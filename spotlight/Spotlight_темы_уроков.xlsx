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Как пользоваться" sheetId="1" state="visible" r:id="rId1"/>
    <sheet xmlns:r="http://schemas.openxmlformats.org/officeDocument/2006/relationships" name="Темы × классы" sheetId="2" state="visible" r:id="rId2"/>
    <sheet xmlns:r="http://schemas.openxmlformats.org/officeDocument/2006/relationships" name="Папки уроков" sheetId="3" state="visible" r:id="rId3"/>
    <sheet xmlns:r="http://schemas.openxmlformats.org/officeDocument/2006/relationships" name="Итоги" sheetId="4" state="visible" r:id="rId4"/>
  </sheets>
  <definedNames>
    <definedName name="_xlnm._FilterDatabase" localSheetId="1" hidden="1">'Темы × классы'!$A$1:$T$647</definedName>
    <definedName name="_xlnm._FilterDatabase" localSheetId="2" hidden="1">'Папки уроков'!$A$1:$L$1929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color rgb="00FFFFFF"/>
    </font>
    <font>
      <b val="1"/>
      <color rgb="00000000"/>
    </font>
    <font>
      <b val="1"/>
    </font>
    <font>
      <color rgb="00888888"/>
    </font>
  </fonts>
  <fills count="9">
    <fill>
      <patternFill/>
    </fill>
    <fill>
      <patternFill patternType="gray125"/>
    </fill>
    <fill>
      <patternFill patternType="solid">
        <fgColor rgb="002F5597"/>
      </patternFill>
    </fill>
    <fill>
      <patternFill patternType="solid">
        <fgColor rgb="00F4B183"/>
      </patternFill>
    </fill>
    <fill>
      <patternFill patternType="solid">
        <fgColor rgb="00DDEBF7"/>
      </patternFill>
    </fill>
    <fill>
      <patternFill patternType="solid">
        <fgColor rgb="00BDD7EE"/>
      </patternFill>
    </fill>
    <fill>
      <patternFill patternType="solid">
        <fgColor rgb="009DC3E6"/>
      </patternFill>
    </fill>
    <fill>
      <patternFill patternType="solid">
        <fgColor rgb="00EDEDED"/>
      </patternFill>
    </fill>
    <fill>
      <patternFill patternType="solid">
        <fgColor rgb="00FCE4D6"/>
      </patternFill>
    </fill>
  </fills>
  <borders count="3">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555555"/>
      </top>
      <bottom style="thin">
        <color rgb="00BBBBBB"/>
      </bottom>
    </border>
  </borders>
  <cellStyleXfs count="1">
    <xf numFmtId="0" fontId="0" fillId="0" borderId="0"/>
  </cellStyleXfs>
  <cellXfs count="28">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2" applyAlignment="1" pivotButton="0" quotePrefix="0" xfId="0">
      <alignment vertical="top" wrapText="1"/>
    </xf>
    <xf numFmtId="0" fontId="4" fillId="3" borderId="2" applyAlignment="1" pivotButton="0" quotePrefix="0" xfId="0">
      <alignment horizontal="center" vertical="top" wrapText="1"/>
    </xf>
    <xf numFmtId="0" fontId="0" fillId="4" borderId="2" applyAlignment="1" pivotButton="0" quotePrefix="0" xfId="0">
      <alignment horizontal="center" vertical="top" wrapText="1"/>
    </xf>
    <xf numFmtId="0" fontId="0" fillId="0" borderId="2" applyAlignment="1" pivotButton="0" quotePrefix="0" xfId="0">
      <alignment horizontal="center" vertical="top"/>
    </xf>
    <xf numFmtId="0" fontId="0"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horizontal="center" vertical="top" wrapText="1"/>
    </xf>
    <xf numFmtId="0" fontId="0" fillId="4" borderId="1" applyAlignment="1" pivotButton="0" quotePrefix="0" xfId="0">
      <alignment horizontal="center" vertical="top" wrapText="1"/>
    </xf>
    <xf numFmtId="0" fontId="0" fillId="0" borderId="1" applyAlignment="1" pivotButton="0" quotePrefix="0" xfId="0">
      <alignment horizontal="center" vertical="top"/>
    </xf>
    <xf numFmtId="0" fontId="0" fillId="5" borderId="1" applyAlignment="1" pivotButton="0" quotePrefix="0" xfId="0">
      <alignment horizontal="center" vertical="top" wrapText="1"/>
    </xf>
    <xf numFmtId="0" fontId="4" fillId="6" borderId="1" applyAlignment="1" pivotButton="0" quotePrefix="0" xfId="0">
      <alignment horizontal="center" vertical="top" wrapText="1"/>
    </xf>
    <xf numFmtId="0" fontId="0" fillId="7" borderId="1" applyAlignment="1" pivotButton="0" quotePrefix="0" xfId="0">
      <alignment horizontal="center" vertical="top"/>
    </xf>
    <xf numFmtId="0" fontId="0" fillId="7" borderId="1" applyAlignment="1" pivotButton="0" quotePrefix="0" xfId="0">
      <alignment vertical="top" wrapText="1"/>
    </xf>
    <xf numFmtId="0" fontId="4" fillId="6" borderId="2" applyAlignment="1" pivotButton="0" quotePrefix="0" xfId="0">
      <alignment horizontal="center" vertical="top" wrapText="1"/>
    </xf>
    <xf numFmtId="0" fontId="0" fillId="7" borderId="2" applyAlignment="1" pivotButton="0" quotePrefix="0" xfId="0">
      <alignment horizontal="center" vertical="top"/>
    </xf>
    <xf numFmtId="0" fontId="0" fillId="7" borderId="2" applyAlignment="1" pivotButton="0" quotePrefix="0" xfId="0">
      <alignment vertical="top" wrapText="1"/>
    </xf>
    <xf numFmtId="0" fontId="0" fillId="5" borderId="2" applyAlignment="1" pivotButton="0" quotePrefix="0" xfId="0">
      <alignment horizontal="center" vertical="top" wrapText="1"/>
    </xf>
    <xf numFmtId="0" fontId="0" fillId="8" borderId="1" applyAlignment="1" pivotButton="0" quotePrefix="0" xfId="0">
      <alignment vertical="top" wrapText="1"/>
    </xf>
    <xf numFmtId="0" fontId="4"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6"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Spotlight</author>
  </authors>
  <commentList>
    <comment ref="G2" authorId="0" shapeId="0">
      <text>
        <t>М4: все лица: worked</t>
      </text>
    </comment>
    <comment ref="G3" authorId="0" shapeId="0">
      <text>
        <t>М4: did not/didn't + V</t>
      </text>
    </comment>
    <comment ref="G4" authorId="0" shapeId="0">
      <text>
        <t>М4: Did … work?</t>
      </text>
    </comment>
    <comment ref="G6" authorId="0" shapeId="0">
      <text>
        <t>М4: danced, studied, travelled, planned</t>
      </text>
    </comment>
    <comment ref="I6" authorId="0" shapeId="0">
      <text>
        <t>М9 (9b): liked, studied, stopped</t>
      </text>
    </comment>
    <comment ref="J6" authorId="0" shapeId="0">
      <text>
        <t>М7 (7a): + travel – travelled</t>
      </text>
    </comment>
    <comment ref="K6" authorId="0" shapeId="0">
      <text>
        <t>М2: loved, tried, dropped, cancelled</t>
      </text>
    </comment>
    <comment ref="L6" authorId="0" shapeId="0">
      <text>
        <t>М1 (1c): новое: гласная + y + -ed (stay – stayed)</t>
      </text>
    </comment>
    <comment ref="G7" authorId="0" shapeId="0">
      <text>
        <t>М4: washed /t/, played /d/, wanted /ɪd/</t>
      </text>
    </comment>
    <comment ref="G8" authorId="0" shapeId="0">
      <text>
        <t>М5: 8 глаголов: say–said, tell–told, go–went, come–came, see–saw, find–found, get–got, have–had (+ make–made)</t>
      </text>
    </comment>
    <comment ref="H8" authorId="0" shapeId="0">
      <text>
        <t>М7: 4 примера: go, see, make, have</t>
      </text>
    </comment>
    <comment ref="I8" authorId="0" shapeId="0">
      <text>
        <t>М9 (9c): таблица ≈70 глаголов (V1–V2–V3)</t>
      </text>
    </comment>
    <comment ref="J8" authorId="0" shapeId="0">
      <text>
        <t>М7 (7b): таблица ≈80 глаголов (V1–V2), новые: beat, bite, blow, burn, fight, grow, hit, hold, throw…</t>
      </text>
    </comment>
    <comment ref="N8" authorId="0" shapeId="0">
      <text>
        <t>М5 (5c): по таблице GR20</t>
      </text>
    </comment>
    <comment ref="G9" authorId="0" shapeId="0">
      <text>
        <t>М5: didn't see</t>
      </text>
    </comment>
    <comment ref="G10" authorId="0" shapeId="0">
      <text>
        <t>М5: Did he go …?</t>
      </text>
    </comment>
    <comment ref="G12" authorId="0" shapeId="0">
      <text>
        <t>М4: yesterday, last week/month/year, two days ago, in 1975</t>
      </text>
    </comment>
    <comment ref="I12" authorId="0" shapeId="0">
      <text>
        <t>М9 (9b): yesterday, last Monday, two days ago</t>
      </text>
    </comment>
    <comment ref="J12" authorId="0" shapeId="0">
      <text>
        <t>М7 (7a): мы знаем, когда: He left yesterday</t>
      </text>
    </comment>
    <comment ref="K12" authorId="0" shapeId="0">
      <text>
        <t>М2: новые сигнальные слова: the other day, in 2006</t>
      </text>
    </comment>
    <comment ref="L12" authorId="0" shapeId="0">
      <text>
        <t>М1 (1c): yesterday morning, last night</t>
      </text>
    </comment>
    <comment ref="N12" authorId="0" shapeId="0">
      <text>
        <t>М5 (5c): завершённые действия</t>
      </text>
    </comment>
    <comment ref="L13" authorId="0" shapeId="0">
      <text>
        <t>М1 (1c): с указанием точного времени</t>
      </text>
    </comment>
    <comment ref="N14" authorId="0" shapeId="0">
      <text>
        <t>М5 (5c): прошлые привычки</t>
      </text>
    </comment>
    <comment ref="L15" authorId="0" shapeId="0">
      <text>
        <t>М1 (1c): came home, changed and went out</t>
      </text>
    </comment>
    <comment ref="O16" authorId="0" shapeId="0">
      <text>
        <t>М1 (1c): Henry James wrote many novels</t>
      </text>
    </comment>
    <comment ref="G17" authorId="0" shapeId="0">
      <text>
        <t>М7: полная и краткая: I am/I'm playing</t>
      </text>
    </comment>
    <comment ref="J17" authorId="0" shapeId="0">
      <text>
        <t>М5 (5a): сокращённые формы I'm, you're, he's…</t>
      </text>
    </comment>
    <comment ref="G18" authorId="0" shapeId="0">
      <text>
        <t>М7: am not, isn't, aren't</t>
      </text>
    </comment>
    <comment ref="G19" authorId="0" shapeId="0">
      <text>
        <t>М7: Am I / Is he / Are you …?</t>
      </text>
    </comment>
    <comment ref="G20" authorId="0" shapeId="0">
      <text>
        <t>М7: все лица; -ing-глагол опускается</t>
      </text>
    </comment>
    <comment ref="I20" authorId="0" shapeId="0">
      <text>
        <t>М6 (6b): в т.ч. No, you're not</t>
      </text>
    </comment>
    <comment ref="I21" authorId="0" shapeId="0">
      <text>
        <t>М6 (6b): -e опускается; удвоение (run – running); -l удваивается; -ie → y (lie – lying)</t>
      </text>
    </comment>
    <comment ref="L21" authorId="0" shapeId="0">
      <text>
        <t>М1 (1c): новое: удвоение в ударном слоге (begin – beginning), но open – opening</t>
      </text>
    </comment>
    <comment ref="M21" authorId="0" shapeId="0">
      <text>
        <t>М1 (1c): occur – occurring, discover – discovering</t>
      </text>
    </comment>
    <comment ref="G22" authorId="0" shapeId="0">
      <text>
        <t>М7: now, at the moment</t>
      </text>
    </comment>
    <comment ref="H22" authorId="0" shapeId="0">
      <text>
        <t>М1: now, at the moment</t>
      </text>
    </comment>
    <comment ref="I22" authorId="0" shapeId="0">
      <text>
        <t>М6 (6b): now</t>
      </text>
    </comment>
    <comment ref="J22" authorId="0" shapeId="0">
      <text>
        <t>М5 (5b): now, at the moment, still</t>
      </text>
    </comment>
    <comment ref="I23" authorId="0" shapeId="0">
      <text>
        <t>М6 (6b): действие в настоящий период, не обязательно в момент речи</t>
      </text>
    </comment>
    <comment ref="J23" authorId="0" shapeId="0">
      <text>
        <t>М5 (5b): сигнальные слова: these days, at present</t>
      </text>
    </comment>
    <comment ref="K23" authorId="0" shapeId="0">
      <text>
        <t>М1: nowadays, today</t>
      </text>
    </comment>
    <comment ref="M23" authorId="0" shapeId="0">
      <text>
        <t>М1 (1c): today, these days</t>
      </text>
    </comment>
    <comment ref="J24" authorId="0" shapeId="0">
      <text>
        <t>М5 (5b): I'm playing tennis on Saturday; tonight
М10 (10b): tonight</t>
      </text>
    </comment>
    <comment ref="K24" authorId="0" shapeId="0">
      <text>
        <t>М1: this afternoon</t>
      </text>
    </comment>
    <comment ref="L24" authorId="0" shapeId="0">
      <text>
        <t>М1 (1c): известны время и место; tomorrow, next month</t>
      </text>
    </comment>
    <comment ref="L25" authorId="0" shapeId="0">
      <text>
        <t>М1 (1c): I'm preparing for my exams this month</t>
      </text>
    </comment>
    <comment ref="K26" authorId="0" shapeId="0">
      <text>
        <t>М1: getting more and more beautiful</t>
      </text>
    </comment>
    <comment ref="L26" authorId="0" shapeId="0">
      <text>
        <t>М1 (1c): Her Spanish is improving</t>
      </text>
    </comment>
    <comment ref="M26" authorId="0" shapeId="0">
      <text>
        <t>М1 (1c): getting thinner and thinner</t>
      </text>
    </comment>
    <comment ref="K27" authorId="0" shapeId="0">
      <text>
        <t>М1: She is always losing her keys</t>
      </text>
    </comment>
    <comment ref="L27" authorId="0" shapeId="0">
      <text>
        <t>М1 (1c): + constantly, continually</t>
      </text>
    </comment>
    <comment ref="G28" authorId="0" shapeId="0">
      <text>
        <t>М3: все лица: I like, he/she/it likes</t>
      </text>
    </comment>
    <comment ref="H28" authorId="0" shapeId="0">
      <text>
        <t>М2: все лица</t>
      </text>
    </comment>
    <comment ref="I28" authorId="0" shapeId="0">
      <text>
        <t>М5 (5a): + правила 3 л.</t>
      </text>
    </comment>
    <comment ref="M28" authorId="0" shapeId="0">
      <text>
        <t>М1 (1c): только V/V-s; −/? не расписаны</t>
      </text>
    </comment>
    <comment ref="N28" authorId="0" shapeId="0">
      <text>
        <t>М1 (1c): только V/V-s</t>
      </text>
    </comment>
    <comment ref="O28" authorId="0" shapeId="0">
      <text>
        <t>М1 (1c): только V/V-s</t>
      </text>
    </comment>
    <comment ref="G29" authorId="0" shapeId="0">
      <text>
        <t>М3: do not/don't, does not/doesn't</t>
      </text>
    </comment>
    <comment ref="H29" authorId="0" shapeId="0">
      <text>
        <t>М2: все лица</t>
      </text>
    </comment>
    <comment ref="I29" authorId="0" shapeId="0">
      <text>
        <t>М5 (5b): don't/doesn't, все лица</t>
      </text>
    </comment>
    <comment ref="G30" authorId="0" shapeId="0">
      <text>
        <t>М3: Do I/you/we/they …? Does he/she/it …?</t>
      </text>
    </comment>
    <comment ref="H30" authorId="0" shapeId="0">
      <text>
        <t>М2: все лица</t>
      </text>
    </comment>
    <comment ref="I30" authorId="0" shapeId="0">
      <text>
        <t>М5 (5b): Do/Does …?</t>
      </text>
    </comment>
    <comment ref="G31" authorId="0" shapeId="0">
      <text>
        <t>М3: все лица</t>
      </text>
    </comment>
    <comment ref="H31" authorId="0" shapeId="0">
      <text>
        <t>М2: все лица</t>
      </text>
    </comment>
    <comment ref="I31" authorId="0" shapeId="0">
      <text>
        <t>М5 (5b): все лица</t>
      </text>
    </comment>
    <comment ref="J31" authorId="0" shapeId="0">
      <text>
        <t>М4 (4b): все лица</t>
      </text>
    </comment>
    <comment ref="G32" authorId="0" shapeId="0">
      <text>
        <t>М8: +s; -ss/-sh/-ch/-x/-o +es; согласная+y → -ies; play – plays</t>
      </text>
    </comment>
    <comment ref="I32" authorId="0" shapeId="0">
      <text>
        <t>М5 (5a): carry – carries, play – plays</t>
      </text>
    </comment>
    <comment ref="L32" authorId="0" shapeId="0">
      <text>
        <t>М1 (1c): says, fixes</t>
      </text>
    </comment>
    <comment ref="O32" authorId="0" shapeId="0">
      <text>
        <t>М1 (1c): fry – fries, pay – pays</t>
      </text>
    </comment>
    <comment ref="G33" authorId="0" shapeId="0">
      <text>
        <t>М8: /s/ eats, /ɪz/ watches, /z/ swims</t>
      </text>
    </comment>
    <comment ref="G34" authorId="0" shapeId="0">
      <text>
        <t>М3: повседневные действия и привычки; сигнальных слов нет
М8: I get up at 8 every day</t>
      </text>
    </comment>
    <comment ref="H34" authorId="0" shapeId="0">
      <text>
        <t>М2: сигнальные слова: every day/week…, in the morning, on Monday, once/twice a week</t>
      </text>
    </comment>
    <comment ref="I34" authorId="0" shapeId="0">
      <text>
        <t>М5 (5a): новое: наречия частотности never, sometimes, often, usually, always; at night</t>
      </text>
    </comment>
    <comment ref="J34" authorId="0" shapeId="0">
      <text>
        <t>М4 (4a): новые сигнальные слова: seldom, rarely</t>
      </text>
    </comment>
    <comment ref="K34" authorId="0" shapeId="0">
      <text>
        <t>М1: always, usually, at the weekend, on Fridays</t>
      </text>
    </comment>
    <comment ref="L34" authorId="0" shapeId="0">
      <text>
        <t>М1 (1c): every day/month/hour…, usually, often</t>
      </text>
    </comment>
    <comment ref="M34" authorId="0" shapeId="0">
      <text>
        <t>М1 (1c): every hour/day…, at the weekend</t>
      </text>
    </comment>
    <comment ref="N34" authorId="0" shapeId="0">
      <text>
        <t>М1 (1c): распорядок дня, повторяющиеся действия, привычки</t>
      </text>
    </comment>
    <comment ref="O34" authorId="0" shapeId="0">
      <text>
        <t>М1 (1c): daily routines, повторяющиеся действия, привычки</t>
      </text>
    </comment>
    <comment ref="J35" authorId="0" shapeId="0">
      <text>
        <t>М4 (4a): She likes sweets</t>
      </text>
    </comment>
    <comment ref="K35" authorId="0" shapeId="0">
      <text>
        <t>М1: Mark lives in New Zealand</t>
      </text>
    </comment>
    <comment ref="L35" authorId="0" shapeId="0">
      <text>
        <t>М1 (1c): He lives in Moscow</t>
      </text>
    </comment>
    <comment ref="M35" authorId="0" shapeId="0">
      <text>
        <t>М1 (1c): He teaches Law at the university</t>
      </text>
    </comment>
    <comment ref="I36" authorId="0" shapeId="0">
      <text>
        <t>М5 (5a): The sun rises in the east</t>
      </text>
    </comment>
    <comment ref="J36" authorId="0" shapeId="0">
      <text>
        <t>М4 (4a): The sun sets in the west</t>
      </text>
    </comment>
    <comment ref="K36" authorId="0" shapeId="0">
      <text>
        <t>М1: The Moon goes round the Earth</t>
      </text>
    </comment>
    <comment ref="K37" authorId="0" shapeId="0">
      <text>
        <t>М1: The train leaves at 6:00 am</t>
      </text>
    </comment>
    <comment ref="L37" authorId="0" shapeId="0">
      <text>
        <t>М1 (1c): в т.ч. запланированное будущее: The train leaves at 9</t>
      </text>
    </comment>
    <comment ref="M37" authorId="0" shapeId="0">
      <text>
        <t>М1 (1c): The play starts at 8:00</t>
      </text>
    </comment>
    <comment ref="N37" authorId="0" shapeId="0">
      <text>
        <t>М1 (1c): значение будущего</t>
      </text>
    </comment>
    <comment ref="O37" authorId="0" shapeId="0">
      <text>
        <t>М1 (1c): The play starts at 8:00</t>
      </text>
    </comment>
    <comment ref="K38" authorId="0" shapeId="0">
      <text>
        <t>М1: I love skiing</t>
      </text>
    </comment>
    <comment ref="K39" authorId="0" shapeId="0">
      <text>
        <t>М1: спортивные комментарии, обзоры, повествования</t>
      </text>
    </comment>
    <comment ref="M39" authorId="0" shapeId="0">
      <text>
        <t>М1 (1c): Meryl Streep acts beautifully</t>
      </text>
    </comment>
    <comment ref="M40" authorId="0" shapeId="0">
      <text>
        <t>М1 (1c): Here comes Elaine!</t>
      </text>
    </comment>
    <comment ref="H42" authorId="0" shapeId="0">
      <text>
        <t>М8: все лица, полная и краткая (I'll)</t>
      </text>
    </comment>
    <comment ref="I42" authorId="0" shapeId="0">
      <text>
        <t>М10 (10b): все лица, 'll</t>
      </text>
    </comment>
    <comment ref="K42" authorId="0" shapeId="0">
      <text>
        <t>М5: will + инфинитив без to; формы −/? не даны</t>
      </text>
    </comment>
    <comment ref="L42" authorId="0" shapeId="0">
      <text>
        <t>М1 (1c): will + V</t>
      </text>
    </comment>
    <comment ref="H43" authorId="0" shapeId="0">
      <text>
        <t>М8: will not / won't</t>
      </text>
    </comment>
    <comment ref="I43" authorId="0" shapeId="0">
      <text>
        <t>М10 (10b): won't</t>
      </text>
    </comment>
    <comment ref="H44" authorId="0" shapeId="0">
      <text>
        <t>М8: Will I/you…? + Yes, I will / No, I won't</t>
      </text>
    </comment>
    <comment ref="I44" authorId="0" shapeId="0">
      <text>
        <t>М10 (10b): краткие ответы для всех лиц</t>
      </text>
    </comment>
    <comment ref="H45" authorId="0" shapeId="0">
      <text>
        <t>М8: tomorrow, next week/month/year, soon</t>
      </text>
    </comment>
    <comment ref="I45" authorId="0" shapeId="0">
      <text>
        <t>М10 (10b): добавлены think, believe, expect, be sure, be afraid</t>
      </text>
    </comment>
    <comment ref="K45" authorId="0" shapeId="0">
      <text>
        <t>М5: добавлены probably, certainly, perhaps</t>
      </text>
    </comment>
    <comment ref="L45" authorId="0" shapeId="0">
      <text>
        <t>М1 (1c): добавлены hope, imagine, maybe</t>
      </text>
    </comment>
    <comment ref="M45" authorId="0" shapeId="0">
      <text>
        <t>М4 (4c): hope, think, believe, expect, imagine; probably, perhaps, maybe</t>
      </text>
    </comment>
    <comment ref="N45" authorId="0" shapeId="0">
      <text>
        <t>М3 (3c): hope, think, believe, expect, imagine; I'm sure, I'm afraid; probably, perhaps</t>
      </text>
    </comment>
    <comment ref="I46" authorId="0" shapeId="0">
      <text>
        <t>М10 (10b): I'll go to sleep</t>
      </text>
    </comment>
    <comment ref="O46" authorId="0" shapeId="0">
      <text>
        <t>М1 (1c): on-the-spot decisions</t>
      </text>
    </comment>
    <comment ref="I48" authorId="0" shapeId="0">
      <text>
        <t>М10 (10b): Will you open the door…?</t>
      </text>
    </comment>
    <comment ref="K49" authorId="0" shapeId="0">
      <text>
        <t>М5: угрозы, предупреждения</t>
      </text>
    </comment>
    <comment ref="N49" authorId="0" shapeId="0">
      <text>
        <t>М3 (3c): угрозы, предупреждения</t>
      </text>
    </comment>
    <comment ref="K50" authorId="0" shapeId="0">
      <text>
        <t>М5: надежды, предложения</t>
      </text>
    </comment>
    <comment ref="N50" authorId="0" shapeId="0">
      <text>
        <t>М3 (3c): добавлены страхи, комментарии</t>
      </text>
    </comment>
    <comment ref="K51" authorId="0" shapeId="0">
      <text>
        <t>М5: Alex will be three years old in April; маркеры tomorrow, tonight, in a week…</t>
      </text>
    </comment>
    <comment ref="N52" authorId="0" shapeId="0">
      <text>
        <t>М3 (3c): Maybe I'll…</t>
      </text>
    </comment>
    <comment ref="O52" authorId="0" shapeId="0">
      <text>
        <t>М1 (1c): Maybe I'll go…</t>
      </text>
    </comment>
    <comment ref="L53" authorId="0" shapeId="0">
      <text>
        <t>М1 (1c): Shall we go to the museum today?</t>
      </text>
    </comment>
    <comment ref="N53" authorId="0" shapeId="0">
      <text>
        <t>М3 (3c): предложения, советы</t>
      </text>
    </comment>
    <comment ref="O53" authorId="0" shapeId="0">
      <text>
        <t>М1 (1c): предложения, помощь, совет</t>
      </text>
    </comment>
    <comment ref="H54" authorId="0" shapeId="0">
      <text>
        <t>М4: регулярные действия vs момент речи</t>
      </text>
    </comment>
    <comment ref="I54" authorId="0" shapeId="0">
      <text>
        <t>М7 (7b): + привычки</t>
      </text>
    </comment>
    <comment ref="J54" authorId="0" shapeId="0">
      <text>
        <t>М9 (9b): повторение 6b</t>
      </text>
    </comment>
    <comment ref="K54" authorId="0" shapeId="0">
      <text>
        <t>М1: через списки значений</t>
      </text>
    </comment>
    <comment ref="I55" authorId="0" shapeId="0">
      <text>
        <t>М7 (7b): состояния/постоянные действия vs действия временного характера</t>
      </text>
    </comment>
    <comment ref="J55" authorId="0" shapeId="0">
      <text>
        <t>М9 (9b): повторение 6b</t>
      </text>
    </comment>
    <comment ref="L55" authorId="0" shapeId="0">
      <text>
        <t>М1 (1c): Maria lives in Milan / She's working as a waitress this summer</t>
      </text>
    </comment>
    <comment ref="K56" authorId="0" shapeId="0">
      <text>
        <t>М1: через списки значений, без явного правила</t>
      </text>
    </comment>
    <comment ref="L56" authorId="0" shapeId="0">
      <text>
        <t>М1 (1c): Tom is riding a bike to work these days</t>
      </text>
    </comment>
    <comment ref="L57" authorId="0" shapeId="0">
      <text>
        <t>М1 (1c): We are leaving on Monday / The train leaves at 9</t>
      </text>
    </comment>
    <comment ref="H58" authorId="0" shapeId="0">
      <text>
        <t>М8: все лица (swim); am/is/are going to</t>
      </text>
    </comment>
    <comment ref="J58" authorId="0" shapeId="0">
      <text>
        <t>М10 (10a): все лица, краткие формы I'm/you're…</t>
      </text>
    </comment>
    <comment ref="L58" authorId="0" shapeId="0">
      <text>
        <t>М1 (1c): формула to be + going to + V</t>
      </text>
    </comment>
    <comment ref="M58" authorId="0" shapeId="0">
      <text>
        <t>М4 (4c): am/is/are going to + V</t>
      </text>
    </comment>
    <comment ref="O58" authorId="0" shapeId="0">
      <text>
        <t>М1 (1c): am/is/are + going to + bare infinitive</t>
      </text>
    </comment>
    <comment ref="H59" authorId="0" shapeId="0">
      <text>
        <t>М8: полная и краткая форма (isn't, aren't)</t>
      </text>
    </comment>
    <comment ref="J59" authorId="0" shapeId="0">
      <text>
        <t>М10 (10a): I'm not / aren't / isn't</t>
      </text>
    </comment>
    <comment ref="H60" authorId="0" shapeId="0">
      <text>
        <t>М8: Am I/Are you/Is he…; кратких ответов нет</t>
      </text>
    </comment>
    <comment ref="J60" authorId="0" shapeId="0">
      <text>
        <t>М10 (10a): добавлены краткие ответы Yes, I am / No, … isn't</t>
      </text>
    </comment>
    <comment ref="H61" authorId="0" shapeId="0">
      <text>
        <t>М8: ближайшее будущее</t>
      </text>
    </comment>
    <comment ref="I61" authorId="0" shapeId="0">
      <text>
        <t>М10 (10b): только значение и пример, форм нет</t>
      </text>
    </comment>
    <comment ref="J61" authorId="0" shapeId="0">
      <text>
        <t>М10 (10a): this afternoon</t>
      </text>
    </comment>
    <comment ref="K61" authorId="0" shapeId="0">
      <text>
        <t>М5: формы не расписаны</t>
      </text>
    </comment>
    <comment ref="M61" authorId="0" shapeId="0">
      <text>
        <t>М4 (4c): принятые заранее решения</t>
      </text>
    </comment>
    <comment ref="L62" authorId="0" shapeId="0">
      <text>
        <t>М1 (1c): принятые решения о ближайшем будущем</t>
      </text>
    </comment>
    <comment ref="J63" authorId="0" shapeId="0">
      <text>
        <t>М10 (10a): dark clouds → It is going to rain</t>
      </text>
    </comment>
    <comment ref="K63" authorId="0" shapeId="0">
      <text>
        <t>М5: It's cloudy; it's going to rain</t>
      </text>
    </comment>
    <comment ref="M63" authorId="0" shapeId="0">
      <text>
        <t>М4 (4c): Look out! You're going to step on…</t>
      </text>
    </comment>
    <comment ref="L64" authorId="0" shapeId="0">
      <text>
        <t>М1 (1c): решение в момент речи / прогноз-предположение — will</t>
      </text>
    </comment>
    <comment ref="N64" authorId="0" shapeId="0">
      <text>
        <t>М3 (3c): спонтанные решения / предсказание-мнение — will</t>
      </text>
    </comment>
    <comment ref="O64" authorId="0" shapeId="0">
      <text>
        <t>М1 (1c): I'm thirsty. I think I'll have a glass of water</t>
      </text>
    </comment>
    <comment ref="I65" authorId="0" shapeId="0">
      <text>
        <t>М10 (10a): только примеры have/has, без таблицы</t>
      </text>
    </comment>
    <comment ref="L65" authorId="0" shapeId="0">
      <text>
        <t>М2 (2c): have/has + V3</t>
      </text>
    </comment>
    <comment ref="I66" authorId="0" shapeId="0">
      <text>
        <t>М10 (10a): только в примерах (haven't, hasn't)</t>
      </text>
    </comment>
    <comment ref="K66" authorId="0" shapeId="0">
      <text>
        <t>М6: только в примерах (hasn't come)</t>
      </text>
    </comment>
    <comment ref="I67" authorId="0" shapeId="0">
      <text>
        <t>М10 (10a): только в примерах (Have you ever…? – No, I haven't)</t>
      </text>
    </comment>
    <comment ref="K67" authorId="0" shapeId="0">
      <text>
        <t>М6: только в примерах (Have you joined…?)</t>
      </text>
    </comment>
    <comment ref="I68" authorId="0" shapeId="0">
      <text>
        <t>М10 (10a): finish – finished, plan – planned; орфография как в Past Simple</t>
      </text>
    </comment>
    <comment ref="L68" authorId="0" shapeId="0">
      <text>
        <t>М2 (2c): explain – explained</t>
      </text>
    </comment>
    <comment ref="M68" authorId="0" shapeId="0">
      <text>
        <t>М1 (1c): -ed</t>
      </text>
    </comment>
    <comment ref="N68" authorId="0" shapeId="0">
      <text>
        <t>М1 (1c): complain – complained</t>
      </text>
    </comment>
    <comment ref="I69" authorId="0" shapeId="0">
      <text>
        <t>М10 (10a): be – been, go – gone, see – seen</t>
      </text>
    </comment>
    <comment ref="M69" authorId="0" shapeId="0">
      <text>
        <t>М1 (1c): 3-я форма по таблице</t>
      </text>
    </comment>
    <comment ref="N69" authorId="0" shapeId="0">
      <text>
        <t>М1 (1c): по таблице Irregular Verbs</t>
      </text>
    </comment>
    <comment ref="I70" authorId="0" shapeId="0">
      <text>
        <t>М10 (10a): I have been to London; ever</t>
      </text>
    </comment>
    <comment ref="K70" authorId="0" shapeId="0">
      <text>
        <t>М6: Natasha has been to the USA twice</t>
      </text>
    </comment>
    <comment ref="L70" authorId="0" shapeId="0">
      <text>
        <t>М2 (2c): добавлены перемены</t>
      </text>
    </comment>
    <comment ref="M70" authorId="0" shapeId="0">
      <text>
        <t>М1 (1c): личный опыт, перемены</t>
      </text>
    </comment>
    <comment ref="I71" authorId="0" shapeId="0">
      <text>
        <t>М10 (10a): действие завершилось к моменту речи (already planned)</t>
      </text>
    </comment>
    <comment ref="K71" authorId="0" shapeId="0">
      <text>
        <t>М6: связь с настоящим через результат</t>
      </text>
    </comment>
    <comment ref="L71" authorId="0" shapeId="0">
      <text>
        <t>М2 (2c): Tina has cut her hair</t>
      </text>
    </comment>
    <comment ref="K73" authorId="0" shapeId="0">
      <text>
        <t>М6: I have seen this film</t>
      </text>
    </comment>
    <comment ref="M73" authorId="0" shapeId="0">
      <text>
        <t>М1 (1c): важно действие, а не время</t>
      </text>
    </comment>
    <comment ref="K74" authorId="0" shapeId="0">
      <text>
        <t>М6: be, have, like, know; for/since</t>
      </text>
    </comment>
    <comment ref="L74" authorId="0" shapeId="0">
      <text>
        <t>М2 (2c): в основном stative verbs</t>
      </text>
    </comment>
    <comment ref="M74" authorId="0" shapeId="0">
      <text>
        <t>М1 (1c): know, be, have, possess, own</t>
      </text>
    </comment>
    <comment ref="O74" authorId="0" shapeId="0">
      <text>
        <t>М1 (1c): know, be, have, possess, own</t>
      </text>
    </comment>
    <comment ref="L75" authorId="0" shapeId="0">
      <text>
        <t>М2 (2c): today, this morning/week, so far</t>
      </text>
    </comment>
    <comment ref="M75" authorId="0" shapeId="0">
      <text>
        <t>М1 (1c): today, this morning/week, so far</t>
      </text>
    </comment>
    <comment ref="M76" authorId="0" shapeId="0">
      <text>
        <t>М1 (1c): two cups of coffee today; seven times this week</t>
      </text>
    </comment>
    <comment ref="I77" authorId="0" shapeId="0">
      <text>
        <t>М10 (10a): ever, never, just, yet, already — с примерами</t>
      </text>
    </comment>
    <comment ref="K77" authorId="0" shapeId="0">
      <text>
        <t>М6: already в утв./вопросе-удивлении, yet в вопр./отриц.; + always, so far, lately, recently, today, this week</t>
      </text>
    </comment>
    <comment ref="L77" authorId="0" shapeId="0">
      <text>
        <t>М2 (2c): just, already, yet, ever, never, for, since</t>
      </text>
    </comment>
    <comment ref="M77" authorId="0" shapeId="0">
      <text>
        <t>М1 (1c): just, already, yet, ever, never, for, since</t>
      </text>
    </comment>
    <comment ref="N77" authorId="0" shapeId="0">
      <text>
        <t>М1 (1c): just, already, yet, for, since, ever, never</t>
      </text>
    </comment>
    <comment ref="J78" authorId="0" shapeId="0">
      <text>
        <t>М6: like, want, know, love</t>
      </text>
    </comment>
    <comment ref="L79" authorId="0" shapeId="0">
      <text>
        <t>М1 (1c): новые: detest, keep, owe, weigh; feel, look в восприятии</t>
      </text>
    </comment>
    <comment ref="K80" authorId="0" shapeId="0">
      <text>
        <t>М1: think, have, see, taste, smell, appear, fit</t>
      </text>
    </comment>
    <comment ref="K81" authorId="0" shapeId="0">
      <text>
        <t>М1: look, feel, ache</t>
      </text>
    </comment>
    <comment ref="L81" authorId="0" shapeId="0">
      <text>
        <t>М1 (1c): + hurt</t>
      </text>
    </comment>
    <comment ref="L82" authorId="0" shapeId="0">
      <text>
        <t>М1 (1c): She's enjoying a glass of lemonade</t>
      </text>
    </comment>
    <comment ref="K83" authorId="0" shapeId="0">
      <text>
        <t>М5: They're going on holiday next week</t>
      </text>
    </comment>
    <comment ref="L83" authorId="0" shapeId="0">
      <text>
        <t>М1 (1c): We're having a meeting on Tuesday</t>
      </text>
    </comment>
    <comment ref="M83" authorId="0" shapeId="0">
      <text>
        <t>М4 (4c): I'm throwing a surprise party on Saturday</t>
      </text>
    </comment>
    <comment ref="O83" authorId="0" shapeId="0">
      <text>
        <t>М1 (1c): твёрдые договорённости</t>
      </text>
    </comment>
    <comment ref="K84" authorId="0" shapeId="0">
      <text>
        <t>М5: My flight leaves at 6 o'clock</t>
      </text>
    </comment>
    <comment ref="L84" authorId="0" shapeId="0">
      <text>
        <t>М1 (1c): транспорт/расписание</t>
      </text>
    </comment>
    <comment ref="M84" authorId="0" shapeId="0">
      <text>
        <t>М4 (4c): The plane takes off at 10:00</t>
      </text>
    </comment>
    <comment ref="K85" authorId="0" shapeId="0">
      <text>
        <t>М5: will — решения в момент речи; going to — планы</t>
      </text>
    </comment>
    <comment ref="K86" authorId="0" shapeId="0">
      <text>
        <t>М5: will — предположения; going to — признаки</t>
      </text>
    </comment>
    <comment ref="K87" authorId="0" shapeId="0">
      <text>
        <t>М5: 4 способа: will, going to, Present Continuous, Present Simple</t>
      </text>
    </comment>
    <comment ref="N87" authorId="0" shapeId="0">
      <text>
        <t>М3 (3c): will; be going to; Present Simple; Present Continuous</t>
      </text>
    </comment>
    <comment ref="O87" authorId="0" shapeId="0">
      <text>
        <t>М1 (1c): сводной таблицы нет</t>
      </text>
    </comment>
    <comment ref="M88" authorId="0" shapeId="0">
      <text>
        <t>М4 (4c): Future Continuous/Perfect среди способов выражения будущего</t>
      </text>
    </comment>
    <comment ref="O88" authorId="0" shapeId="0">
      <text>
        <t>М1 (1c): только Future Continuous</t>
      </text>
    </comment>
    <comment ref="L89" authorId="0" shapeId="0">
      <text>
        <t>М1 (1c): was/were + V-ing; −/? не расписаны</t>
      </text>
    </comment>
    <comment ref="K90" authorId="0" shapeId="0">
      <text>
        <t>М4: at 8 o'clock, all morning</t>
      </text>
    </comment>
    <comment ref="K91" authorId="0" shapeId="0">
      <text>
        <t>М4: when</t>
      </text>
    </comment>
    <comment ref="K92" authorId="0" shapeId="0">
      <text>
        <t>М4: while, as</t>
      </text>
    </comment>
    <comment ref="L92" authorId="0" shapeId="0">
      <text>
        <t>М1 (1c): разных людей</t>
      </text>
    </comment>
    <comment ref="K93" authorId="0" shapeId="0">
      <text>
        <t>М4: вступление к рассказу</t>
      </text>
    </comment>
    <comment ref="O93" authorId="0" shapeId="0">
      <text>
        <t>М1 (1c): background</t>
      </text>
    </comment>
    <comment ref="K94" authorId="0" shapeId="0">
      <text>
        <t>М4: He was walking along (and) talking…</t>
      </text>
    </comment>
    <comment ref="L96" authorId="0" shapeId="0">
      <text>
        <t>М1 (1c): одновременные действия разных людей</t>
      </text>
    </comment>
    <comment ref="K97" authorId="0" shapeId="0">
      <text>
        <t>М4: Joyce was walking her dog when it started to rain</t>
      </text>
    </comment>
    <comment ref="L98" authorId="0" shapeId="0">
      <text>
        <t>М2 (2c): have/has + been + V-ing</t>
      </text>
    </comment>
    <comment ref="K99" authorId="0" shapeId="0">
      <text>
        <t>М8: since, for, how long</t>
      </text>
    </comment>
    <comment ref="L99" authorId="0" shapeId="0">
      <text>
        <t>М2 (2c): since, for, how long</t>
      </text>
    </comment>
    <comment ref="M99" authorId="0" shapeId="0">
      <text>
        <t>М1 (1c): since, for, how long</t>
      </text>
    </comment>
    <comment ref="K100" authorId="0" shapeId="0">
      <text>
        <t>М8: Your hands are dirty. Have you been painting?</t>
      </text>
    </comment>
    <comment ref="L100" authorId="0" shapeId="0">
      <text>
        <t>М2 (2c): clothes are dirty — repairing his car</t>
      </text>
    </comment>
    <comment ref="M100" authorId="0" shapeId="0">
      <text>
        <t>М1 (1c): может быть завершено</t>
      </text>
    </comment>
    <comment ref="N100" authorId="0" shapeId="0">
      <text>
        <t>М1 (1c): могло закончиться</t>
      </text>
    </comment>
    <comment ref="M101" authorId="0" shapeId="0">
      <text>
        <t>М1 (1c): раздражение/критика повторяющимся действием</t>
      </text>
    </comment>
    <comment ref="O101" authorId="0" shapeId="0">
      <text>
        <t>М1 (1c): раздражение/гнев/критика</t>
      </text>
    </comment>
    <comment ref="K103" authorId="0" shapeId="0">
      <text>
        <t>М8: live, work, teach, feel; форма не расписана</t>
      </text>
    </comment>
    <comment ref="K104" authorId="0" shapeId="0">
      <text>
        <t>М7: She wrote … in 1998 vs She has written lots of novels</t>
      </text>
    </comment>
    <comment ref="L104" authorId="0" shapeId="0">
      <text>
        <t>М2 (2c): Chris went jogging yesterday vs They have bought a new car</t>
      </text>
    </comment>
    <comment ref="O104" authorId="0" shapeId="0">
      <text>
        <t>М1 (1c): Liz watched a film yesterday vs Liz has watched a film</t>
      </text>
    </comment>
    <comment ref="K105" authorId="0" shapeId="0">
      <text>
        <t>М7: played for ten years vs have known her for five years (stative)</t>
      </text>
    </comment>
    <comment ref="L105" authorId="0" shapeId="0">
      <text>
        <t>М2 (2c): finished in an hour vs has lived here for ten years</t>
      </text>
    </comment>
    <comment ref="O105" authorId="0" shapeId="0">
      <text>
        <t>М1 (1c): had an earache for a week vs has lived here for two years</t>
      </text>
    </comment>
    <comment ref="K106" authorId="0" shapeId="0">
      <text>
        <t>М9: has just bought vs have been swimming all day</t>
      </text>
    </comment>
    <comment ref="K107" authorId="0" shapeId="0">
      <text>
        <t>М9: like, know, have + for/since — Present Perfect</t>
      </text>
    </comment>
    <comment ref="K108" authorId="0" shapeId="0">
      <text>
        <t>М9: has broken his leg vs He's been sunbathing</t>
      </text>
    </comment>
    <comment ref="K109" authorId="0" shapeId="0">
      <text>
        <t>М9: Who has been using my computer?</t>
      </text>
    </comment>
    <comment ref="L110" authorId="0" shapeId="0">
      <text>
        <t>М3 (3c): had + V3</t>
      </text>
    </comment>
    <comment ref="L111" authorId="0" shapeId="0">
      <text>
        <t>М3 (3c): before, after, already, just, till/until, when, by, by the time, never, for, since</t>
      </text>
    </comment>
    <comment ref="N111" authorId="0" shapeId="0">
      <text>
        <t>М5 (5c): добавлено «до момента в прошлом»</t>
      </text>
    </comment>
    <comment ref="M112" authorId="0" shapeId="0">
      <text>
        <t>М3 (3c): = Present Perfect в прошлом</t>
      </text>
    </comment>
    <comment ref="N112" authorId="0" shapeId="0">
      <text>
        <t>М5 (5c): прошедший эквивалент Present Perfect</t>
      </text>
    </comment>
    <comment ref="N113" authorId="0" shapeId="0">
      <text>
        <t>М5 (5c): с before/after возможен Past Simple без разницы</t>
      </text>
    </comment>
    <comment ref="L114" authorId="0" shapeId="0">
      <text>
        <t>М3 (3c): had + been + V-ing</t>
      </text>
    </comment>
    <comment ref="L115" authorId="0" shapeId="0">
      <text>
        <t>М3 (3c): since, for, how long, before, till/until</t>
      </text>
    </comment>
    <comment ref="M115" authorId="0" shapeId="0">
      <text>
        <t>М3 (3c): since, for, how long</t>
      </text>
    </comment>
    <comment ref="N115" authorId="0" shapeId="0">
      <text>
        <t>М5 (5c): since/for, до другого действия или момента</t>
      </text>
    </comment>
    <comment ref="M116" authorId="0" shapeId="0">
      <text>
        <t>М3 (3c): = Present Perfect Continuous в прошлом</t>
      </text>
    </comment>
    <comment ref="M117" authorId="0" shapeId="0">
      <text>
        <t>М1 (1c): в 9 кл. дано внутри Present Perfect / PP vs Past Simple</t>
      </text>
    </comment>
    <comment ref="O117" authorId="0" shapeId="0">
      <text>
        <t>М1 (1c): в пути или там</t>
      </text>
    </comment>
    <comment ref="M119" authorId="0" shapeId="0">
      <text>
        <t>М4 (4c): will be + V-ing</t>
      </text>
    </comment>
    <comment ref="O119" authorId="0" shapeId="0">
      <text>
        <t>М1 (1c): will be + Present Participle</t>
      </text>
    </comment>
    <comment ref="M122" authorId="0" shapeId="0">
      <text>
        <t>М4 (4c): Will you be watching…?</t>
      </text>
    </comment>
    <comment ref="O122" authorId="0" shapeId="0">
      <text>
        <t>М1 (1c): Will you be watching the show tonight?</t>
      </text>
    </comment>
    <comment ref="M123" authorId="0" shapeId="0">
      <text>
        <t>М4 (4c): will have + V3</t>
      </text>
    </comment>
    <comment ref="M124" authorId="0" shapeId="0">
      <text>
        <t>М4 (4c): before, by, by then, by the time, until/till (только в отрицании)</t>
      </text>
    </comment>
    <comment ref="N124" authorId="0" shapeId="0">
      <text>
        <t>М3 (3c): before, by, by then, by the time, until/till</t>
      </text>
    </comment>
    <comment ref="G125" authorId="0" shapeId="0">
      <text>
        <t>М5: все лица; способность, умение</t>
      </text>
    </comment>
    <comment ref="I125" authorId="0" shapeId="0">
      <text>
        <t>М4 (4a): can не меняется по лицам; после него глагол без to</t>
      </text>
    </comment>
    <comment ref="G126" authorId="0" shapeId="0">
      <text>
        <t>М5: cannot (полное), can't (краткое)</t>
      </text>
    </comment>
    <comment ref="G127" authorId="0" shapeId="0">
      <text>
        <t>М5: Yes, I can / No, he can't</t>
      </text>
    </comment>
    <comment ref="G128" authorId="0" shapeId="0">
      <text>
        <t>М5: все лица, полные и краткие (I've got, he's got)</t>
      </text>
    </comment>
    <comment ref="I128" authorId="0" shapeId="0">
      <text>
        <t>М2 (2a): все лица; 've got / 's got</t>
      </text>
    </comment>
    <comment ref="J128" authorId="0" shapeId="0">
      <text>
        <t>М1: в разговорной речи — в основном краткие формы</t>
      </text>
    </comment>
    <comment ref="G129" authorId="0" shapeId="0">
      <text>
        <t>М5: полные и краткие</t>
      </text>
    </comment>
    <comment ref="G130" authorId="0" shapeId="0">
      <text>
        <t>М5: Have you got…? Has he got…?; got в ответе опускается</t>
      </text>
    </comment>
    <comment ref="G131" authorId="0" shapeId="0">
      <text>
        <t>М5: She has got a rabbit</t>
      </text>
    </comment>
    <comment ref="I131" authorId="0" shapeId="0">
      <text>
        <t>М2 (2a): иметь, владеть, обладать</t>
      </text>
    </comment>
    <comment ref="J131" authorId="0" shapeId="0">
      <text>
        <t>М1: He has got a ball</t>
      </text>
    </comment>
    <comment ref="G132" authorId="0" shapeId="0">
      <text>
        <t>М5: It's got a big mouth</t>
      </text>
    </comment>
    <comment ref="J132" authorId="0" shapeId="0">
      <text>
        <t>М1: She has got blue eyes</t>
      </text>
    </comment>
    <comment ref="J133" authorId="0" shapeId="0">
      <text>
        <t>М1: I have got two sisters</t>
      </text>
    </comment>
    <comment ref="G134" authorId="0" shapeId="0">
      <text>
        <t>М5: It's got = It has got; It's = It is</t>
      </text>
    </comment>
    <comment ref="G135" authorId="0" shapeId="0">
      <text>
        <t>М2: I/he/she/it was; you/we/they were</t>
      </text>
    </comment>
    <comment ref="G136" authorId="0" shapeId="0">
      <text>
        <t>М2: полные и краткие: was not/wasn't, were not/weren't</t>
      </text>
    </comment>
    <comment ref="I136" authorId="0" shapeId="0">
      <text>
        <t>М9 (9a): wasn't / weren't</t>
      </text>
    </comment>
    <comment ref="G137" authorId="0" shapeId="0">
      <text>
        <t>М2: was/were перед подлежащим; Yes, I was / No, they weren't</t>
      </text>
    </comment>
    <comment ref="G138" authorId="0" shapeId="0">
      <text>
        <t>М2: yesterday, last week/month/year, two days ago, in 1975</t>
      </text>
    </comment>
    <comment ref="H138" authorId="0" shapeId="0">
      <text>
        <t>М5: yesterday, last…, …ago, in 1975</t>
      </text>
    </comment>
    <comment ref="G139" authorId="0" shapeId="0">
      <text>
        <t>М1: все лица; I am/I'm, he is/he's, we are/we're…</t>
      </text>
    </comment>
    <comment ref="I139" authorId="0" shapeId="0">
      <text>
        <t>М1 (1b): все лица, полные и краткие; значения быть/находиться/являться</t>
      </text>
    </comment>
    <comment ref="J139" authorId="0" shapeId="0">
      <text>
        <t>М1: все лица; to be — единственный глагол, меняющийся по лицам; при переводе часто опускается</t>
      </text>
    </comment>
    <comment ref="G140" authorId="0" shapeId="0">
      <text>
        <t>М1: полные и краткие: I'm not, isn't, aren't</t>
      </text>
    </comment>
    <comment ref="I140" authorId="0" shapeId="0">
      <text>
        <t>М1 (1b): I'm not, aren't, isn't</t>
      </text>
    </comment>
    <comment ref="G141" authorId="0" shapeId="0">
      <text>
        <t>М1: Am I? Is he? Are you?; Yes, I am / No, I'm not</t>
      </text>
    </comment>
    <comment ref="I141" authorId="0" shapeId="0">
      <text>
        <t>М1 (1b): Yes, I am / No, I'm not; Yes, he is…</t>
      </text>
    </comment>
    <comment ref="H142" authorId="0" shapeId="0">
      <text>
        <t>М2: I have to be at school at 9</t>
      </text>
    </comment>
    <comment ref="J142" authorId="0" shapeId="0">
      <text>
        <t>М8 (8c): вынужденность согласно обстоятельствам</t>
      </text>
    </comment>
    <comment ref="K142" authorId="0" shapeId="0">
      <text>
        <t>М8: «приходится, нужно»</t>
      </text>
    </comment>
    <comment ref="N142" authorId="0" shapeId="0">
      <text>
        <t>М4 (4c): объективная необходимость, решённая не говорящим</t>
      </text>
    </comment>
    <comment ref="H143" authorId="0" shapeId="0">
      <text>
        <t>М2: don't / doesn't have to</t>
      </text>
    </comment>
    <comment ref="J143" authorId="0" shapeId="0">
      <text>
        <t>М8 (8c): You don't have to wash the dishes</t>
      </text>
    </comment>
    <comment ref="K143" authorId="0" shapeId="0">
      <text>
        <t>М8: don't/doesn't have to</t>
      </text>
    </comment>
    <comment ref="L143" authorId="0" shapeId="0">
      <text>
        <t>М7 (7c): нет необходимости в настоящем/будущем</t>
      </text>
    </comment>
    <comment ref="H144" authorId="0" shapeId="0">
      <text>
        <t>М2: Do you have to…? — Yes, I do</t>
      </text>
    </comment>
    <comment ref="K145" authorId="0" shapeId="0">
      <text>
        <t>М8: употребляется в разных временах (had to)</t>
      </text>
    </comment>
    <comment ref="N145" authorId="0" shapeId="0">
      <text>
        <t>М4 (4c): прошедшее для must и have to</t>
      </text>
    </comment>
    <comment ref="L146" authorId="0" shapeId="0">
      <text>
        <t>М7 (7c): неизвестно, сделано ли</t>
      </text>
    </comment>
    <comment ref="N147" authorId="0" shapeId="0">
      <text>
        <t>М4 (4c): have got to</t>
      </text>
    </comment>
    <comment ref="H148" authorId="0" shapeId="0">
      <text>
        <t>М3: официально; Certainly./Of course you may. / No, you may not.</t>
      </text>
    </comment>
    <comment ref="L149" authorId="0" shapeId="0">
      <text>
        <t>М7 (7c): It can get pretty cold up here</t>
      </text>
    </comment>
    <comment ref="O149" authorId="0" shapeId="0">
      <text>
        <t>М5 (5c): Going to the gym can be boring</t>
      </text>
    </comment>
    <comment ref="L150" authorId="0" shapeId="0">
      <text>
        <t>М7 (7c): It might be cold today</t>
      </text>
    </comment>
    <comment ref="L151" authorId="0" shapeId="0">
      <text>
        <t>М7 (7c): Where could I buy a good coat?</t>
      </text>
    </comment>
    <comment ref="O151" authorId="0" shapeId="0">
      <text>
        <t>М5 (5c): How difficult can it be?</t>
      </text>
    </comment>
    <comment ref="L152" authorId="0" shapeId="0">
      <text>
        <t>М7 (7c): I could have lent you some money</t>
      </text>
    </comment>
    <comment ref="N152" authorId="0" shapeId="0">
      <text>
        <t>М4 (4c): He could have come with us, if…</t>
      </text>
    </comment>
    <comment ref="H153" authorId="0" shapeId="0">
      <text>
        <t>М4: I must put my rubbish in the bin</t>
      </text>
    </comment>
    <comment ref="I153" authorId="0" shapeId="0">
      <text>
        <t>М9: обязанность и необходимость</t>
      </text>
    </comment>
    <comment ref="J153" authorId="0" shapeId="0">
      <text>
        <t>М8 (8a): You must listen to your teacher</t>
      </text>
    </comment>
    <comment ref="K153" authorId="0" shapeId="0">
      <text>
        <t>М8: правила, обязанности, долг</t>
      </text>
    </comment>
    <comment ref="L153" authorId="0" shapeId="0">
      <text>
        <t>М7 (7c): долг, строгое обязательство, крайняя необходимость</t>
      </text>
    </comment>
    <comment ref="N153" authorId="0" shapeId="0">
      <text>
        <t>М4 (4c): субъективное решение говорящего</t>
      </text>
    </comment>
    <comment ref="H154" authorId="0" shapeId="0">
      <text>
        <t>М4: must not (mustn't — только в заголовке); вопросов нет</t>
      </text>
    </comment>
    <comment ref="I154" authorId="0" shapeId="0">
      <text>
        <t>М9: You mustn't speak loudly in here</t>
      </text>
    </comment>
    <comment ref="M154" authorId="0" shapeId="0">
      <text>
        <t>М7 (7d): правила, закон</t>
      </text>
    </comment>
    <comment ref="J155" authorId="0" shapeId="0">
      <text>
        <t>М8 (8a): You can't enter the building after 8 pm</t>
      </text>
    </comment>
    <comment ref="L155" authorId="0" shapeId="0">
      <text>
        <t>М7 (7c): mustn't/can't — запрет правилами, законом</t>
      </text>
    </comment>
    <comment ref="N155" authorId="0" shapeId="0">
      <text>
        <t>М4 (4c): mustn't = can't</t>
      </text>
    </comment>
    <comment ref="K156" authorId="0" shapeId="0">
      <text>
        <t>М8: You must tell the truth</t>
      </text>
    </comment>
    <comment ref="K157" authorId="0" shapeId="0">
      <text>
        <t>М8: I had to go to the doctor yesterday</t>
      </text>
    </comment>
    <comment ref="L157" authorId="0" shapeId="0">
      <text>
        <t>М7 (7c): had to — прошедшее для must и have to</t>
      </text>
    </comment>
    <comment ref="N158" authorId="0" shapeId="0">
      <text>
        <t>М4 (4c): с простым и перфектным инфинитивом</t>
      </text>
    </comment>
    <comment ref="I159" authorId="0" shapeId="0">
      <text>
        <t>М10 (10a): Can I borrow your book?</t>
      </text>
    </comment>
    <comment ref="J159" authorId="0" shapeId="0">
      <text>
        <t>М3 (3b): Can we play on the computer, please?</t>
      </text>
    </comment>
    <comment ref="I160" authorId="0" shapeId="0">
      <text>
        <t>М10 (10a): Can you pass me the salt, please?</t>
      </text>
    </comment>
    <comment ref="J160" authorId="0" shapeId="0">
      <text>
        <t>М3 (3b): Can you open the door? Can I have a piece of cake?</t>
      </text>
    </comment>
    <comment ref="I161" authorId="0" shapeId="0">
      <text>
        <t>М10 (10a): Can I give you a lift?</t>
      </text>
    </comment>
    <comment ref="I162" authorId="0" shapeId="0">
      <text>
        <t>М10 (10a): You can't park here</t>
      </text>
    </comment>
    <comment ref="J162" authorId="0" shapeId="0">
      <text>
        <t>М3 (3b): You can't turn left here!</t>
      </text>
    </comment>
    <comment ref="M162" authorId="0" shapeId="0">
      <text>
        <t>М7 (7d): mustn't/can't — правила, закон</t>
      </text>
    </comment>
    <comment ref="N162" authorId="0" shapeId="0">
      <text>
        <t>М4 (4c): mustn't/can't</t>
      </text>
    </comment>
    <comment ref="O162" authorId="0" shapeId="0">
      <text>
        <t>М5 (5c): mustn't/can't — против правил/закона</t>
      </text>
    </comment>
    <comment ref="L163" authorId="0" shapeId="0">
      <text>
        <t>М7 (7c): Can/May I…? — Yes, you can/may</t>
      </text>
    </comment>
    <comment ref="L164" authorId="0" shapeId="0">
      <text>
        <t>М7 (7c): Can I bring…? What else would you like? Shall I…? We could…</t>
      </text>
    </comment>
    <comment ref="N164" authorId="0" shapeId="0">
      <text>
        <t>М4 (4c): Can we…? Would you like…? Shall I…? We can/could…</t>
      </text>
    </comment>
    <comment ref="J165" authorId="0" shapeId="0">
      <text>
        <t>М8 (8c): только needn't (как и don't have to)</t>
      </text>
    </comment>
    <comment ref="L165" authorId="0" shapeId="0">
      <text>
        <t>М7 (7c): don't need to / needn't</t>
      </text>
    </comment>
    <comment ref="O165" authorId="0" shapeId="0">
      <text>
        <t>М5 (5c): don't have to / don't need to / needn't</t>
      </text>
    </comment>
    <comment ref="O166" authorId="0" shapeId="0">
      <text>
        <t>М5 (5c): You needn't have cooked so much food</t>
      </text>
    </comment>
    <comment ref="O167" authorId="0" shapeId="0">
      <text>
        <t>М5 (5c): didn't have to — неизвестно, сделали ли</t>
      </text>
    </comment>
    <comment ref="N168" authorId="0" shapeId="0">
      <text>
        <t>М4 (4c): need как эквивалент must</t>
      </text>
    </comment>
    <comment ref="O168" authorId="0" shapeId="0">
      <text>
        <t>М5 (5c): в списке semi-modals</t>
      </text>
    </comment>
    <comment ref="K169" authorId="0" shapeId="0">
      <text>
        <t>М1: не меняется по временам; + bare infinitive</t>
      </text>
    </comment>
    <comment ref="L169" authorId="0" shapeId="0">
      <text>
        <t>М7 (7c): обычный совет, рекомендация</t>
      </text>
    </comment>
    <comment ref="K170" authorId="0" shapeId="0">
      <text>
        <t>М1: should not / shouldn't</t>
      </text>
    </comment>
    <comment ref="K171" authorId="0" shapeId="0">
      <text>
        <t>М1: should перед подлежащим</t>
      </text>
    </comment>
    <comment ref="L172" authorId="0" shapeId="0">
      <text>
        <t>М7 (7c): ought to — тоже обычный совет</t>
      </text>
    </comment>
    <comment ref="N172" authorId="0" shapeId="0">
      <text>
        <t>М4 (4c): You ought to abide by the rules</t>
      </text>
    </comment>
    <comment ref="L173" authorId="0" shapeId="0">
      <text>
        <t>М7 (7c): обязательство</t>
      </text>
    </comment>
    <comment ref="N173" authorId="0" shapeId="0">
      <text>
        <t>М4 (4c): долг, слабая обязанность</t>
      </text>
    </comment>
    <comment ref="L174" authorId="0" shapeId="0">
      <text>
        <t>М7 (7c): He should be more patient; She should have apologised</t>
      </text>
    </comment>
    <comment ref="L175" authorId="0" shapeId="0">
      <text>
        <t>М7 (7c): They should/ought to be here soon</t>
      </text>
    </comment>
    <comment ref="M176" authorId="0" shapeId="0">
      <text>
        <t>М7 (7d): Shall I…?</t>
      </text>
    </comment>
    <comment ref="N177" authorId="0" shapeId="0">
      <text>
        <t>М4 (4c): Shall I give you a lift?</t>
      </text>
    </comment>
    <comment ref="O178" authorId="0" shapeId="0">
      <text>
        <t>М5 (5c): в списке semi-modals</t>
      </text>
    </comment>
    <comment ref="L179" authorId="0" shapeId="0">
      <text>
        <t>М7 (7c): must be</t>
      </text>
    </comment>
    <comment ref="M179" authorId="0" shapeId="0">
      <text>
        <t>М3 (3d): ~100%</t>
      </text>
    </comment>
    <comment ref="O179" authorId="0" shapeId="0">
      <text>
        <t>М5 (5c): He must be on his way home</t>
      </text>
    </comment>
    <comment ref="L180" authorId="0" shapeId="0">
      <text>
        <t>М7 (7c): might be late</t>
      </text>
    </comment>
    <comment ref="L181" authorId="0" shapeId="0">
      <text>
        <t>М7 (7c): can't be broken</t>
      </text>
    </comment>
    <comment ref="L182" authorId="0" shapeId="0">
      <text>
        <t>М7 (7c): must have done, may have returned, couldn't have said</t>
      </text>
    </comment>
    <comment ref="N182" authorId="0" shapeId="0">
      <text>
        <t>М4 (4c): must have been delayed, couldn't have cooked</t>
      </text>
    </comment>
    <comment ref="O182" authorId="0" shapeId="0">
      <text>
        <t>М5 (5c): They could have been killed</t>
      </text>
    </comment>
    <comment ref="N183" authorId="0" shapeId="0">
      <text>
        <t>М4 (4c): will 100%, should/ought to 90%</t>
      </text>
    </comment>
    <comment ref="O183" authorId="0" shapeId="0">
      <text>
        <t>М5 (5c): should/ought to — только о будущем</t>
      </text>
    </comment>
    <comment ref="N184" authorId="0" shapeId="0">
      <text>
        <t>М4 (4c): could (at least), should, ought to</t>
      </text>
    </comment>
    <comment ref="L185" authorId="0" shapeId="0">
      <text>
        <t>М7 (7c): кроме have to, ought to</t>
      </text>
    </comment>
    <comment ref="L187" authorId="0" shapeId="0">
      <text>
        <t>М7 (7c): He should have washed his car</t>
      </text>
    </comment>
    <comment ref="O187" authorId="0" shapeId="0">
      <text>
        <t>М5 (5c): незавершённое vs завершённое действие</t>
      </text>
    </comment>
    <comment ref="L189" authorId="0" shapeId="0">
      <text>
        <t>М7 (7c): You could at least be polite / could have waited</t>
      </text>
    </comment>
    <comment ref="O189" authorId="0" shapeId="0">
      <text>
        <t>М5 (5c): could at least have called; should have + PP</t>
      </text>
    </comment>
    <comment ref="L191" authorId="0" shapeId="0">
      <text>
        <t>М7 (7c): shall — просьба о совете</t>
      </text>
    </comment>
    <comment ref="N192" authorId="0" shapeId="0">
      <text>
        <t>М4 (4c): need, had better, have (got) to, be able to, used to</t>
      </text>
    </comment>
    <comment ref="O193" authorId="0" shapeId="0">
      <text>
        <t>М5 (5c): Would you like…? Shall I…? Can I…? We can/could…</t>
      </text>
    </comment>
    <comment ref="L194" authorId="0" shapeId="0">
      <text>
        <t>М7 (7c): обязательство, отсутствие необходимости, разрешение, возможность, способность, выводы, критика, предложения, вероятность, совет</t>
      </text>
    </comment>
    <comment ref="N194" authorId="0" shapeId="0">
      <text>
        <t>М7 (7e): 7e: повторение модальных по разделу Module 4 (рецензия) — проверить</t>
      </text>
    </comment>
    <comment ref="O194" authorId="0" shapeId="0">
      <text>
        <t>М5 (5c): систематизация по функциям</t>
      </text>
    </comment>
    <comment ref="O195" authorId="0" shapeId="0">
      <text>
        <t>М6 (6c): will → would</t>
      </text>
    </comment>
    <comment ref="M197" authorId="0" shapeId="0">
      <text>
        <t>М8 (8c): may → might</t>
      </text>
    </comment>
    <comment ref="O197" authorId="0" shapeId="0">
      <text>
        <t>М6 (6c): may → might</t>
      </text>
    </comment>
    <comment ref="O201" authorId="0" shapeId="0">
      <text>
        <t>М6 (6c): назван только should</t>
      </text>
    </comment>
    <comment ref="L202" authorId="0" shapeId="0">
      <text>
        <t>М7 (7c): Daniel could swim when he was three</t>
      </text>
    </comment>
    <comment ref="N202" authorId="0" shapeId="0">
      <text>
        <t>М4 (4c): общая повторяющаяся способность</t>
      </text>
    </comment>
    <comment ref="L203" authorId="0" shapeId="0">
      <text>
        <t>М7 (7c): He was(n't) able to attend yesterday's meeting</t>
      </text>
    </comment>
    <comment ref="L204" authorId="0" shapeId="0">
      <text>
        <t>М7 (7c): couldn't = wasn't able to</t>
      </text>
    </comment>
    <comment ref="N204" authorId="0" shapeId="0">
      <text>
        <t>М4 (4c): любая неспособность в прошлом</t>
      </text>
    </comment>
    <comment ref="O204" authorId="0" shapeId="0">
      <text>
        <t>М5 (5c): любая неспособность — повторяющаяся или конкретная</t>
      </text>
    </comment>
    <comment ref="O205" authorId="0" shapeId="0">
      <text>
        <t>М5 (5c): Will you be able to help me?</t>
      </text>
    </comment>
    <comment ref="O210" authorId="0" shapeId="0">
      <text>
        <t>М5 (5c): must — говорящий решил сам; have to — объективные обстоятельства</t>
      </text>
    </comment>
    <comment ref="O216" authorId="0" shapeId="0">
      <text>
        <t>М7 (7c): главная часть — только Future Simple</t>
      </text>
    </comment>
    <comment ref="K217" authorId="0" shapeId="0">
      <text>
        <t>М5: Imperative; can, must, may + bare inf</t>
      </text>
    </comment>
    <comment ref="K218" authorId="0" shapeId="0">
      <text>
        <t>М5: в будущем</t>
      </text>
    </comment>
    <comment ref="K219" authorId="0" shapeId="0">
      <text>
        <t>М5: без запятой, если главное первым</t>
      </text>
    </comment>
    <comment ref="K220" authorId="0" shapeId="0">
      <text>
        <t>М5: unless + утвердительная форма</t>
      </text>
    </comment>
    <comment ref="K221" authorId="0" shapeId="0">
      <text>
        <t>Irregular Verbs: ≈100 глаголов, с переводом; в 5–6 кл. таблица шла при Past Simple</t>
      </text>
    </comment>
    <comment ref="L221" authorId="0" shapeId="0">
      <text>
        <t>Irregular Verbs: без перевода</t>
      </text>
    </comment>
    <comment ref="M221" authorId="0" shapeId="0">
      <text>
        <t>Irregular Verbs: 103 глагола</t>
      </text>
    </comment>
    <comment ref="K222" authorId="0" shapeId="0">
      <text>
        <t>Irregular Verbs: burnt/burned, dreamt, learnt, smelt, spelt, hung/hanged, got/gotten, can – could</t>
      </text>
    </comment>
    <comment ref="L222" authorId="0" shapeId="0">
      <text>
        <t>Irregular Verbs: + born(e)</t>
      </text>
    </comment>
    <comment ref="N222" authorId="0" shapeId="0">
      <text>
        <t>Irregular Verbs: sew – sewn</t>
      </text>
    </comment>
    <comment ref="K223" authorId="0" shapeId="0">
      <text>
        <t>М2: used to + V; может заменяться Past Simple; −/? не даны</t>
      </text>
    </comment>
    <comment ref="O223" authorId="0" shapeId="0">
      <text>
        <t>М1 (1c): I used to work very hard (I don't any more)</t>
      </text>
    </comment>
    <comment ref="K224" authorId="0" shapeId="0">
      <text>
        <t>М2: He used to live in Spain</t>
      </text>
    </comment>
    <comment ref="M224" authorId="0" shapeId="0">
      <text>
        <t>М3 (3c): I used to work as a waiter</t>
      </text>
    </comment>
    <comment ref="K225" authorId="0" shapeId="0">
      <text>
        <t>М2: NOT: He used to walk to work yesterday</t>
      </text>
    </comment>
    <comment ref="N226" authorId="0" shapeId="0">
      <text>
        <t>М2 (2c): I'm used to working / I used to work</t>
      </text>
    </comment>
    <comment ref="O227" authorId="0" shapeId="0">
      <text>
        <t>М1 (1c): semi-modals: used to (= would)</t>
      </text>
    </comment>
    <comment ref="L229" authorId="0" shapeId="0">
      <text>
        <t>М4 (4d): исполнитель обычно не упоминается</t>
      </text>
    </comment>
    <comment ref="L230" authorId="0" shapeId="0">
      <text>
        <t>М4 (4d): has/is having/had/was having/has had/had had/has been having/had been having/will have</t>
      </text>
    </comment>
    <comment ref="M230" authorId="0" shapeId="0">
      <text>
        <t>М6 (6c): + will be having</t>
      </text>
    </comment>
    <comment ref="L231" authorId="0" shapeId="0">
      <text>
        <t>М4 (4d): to have, having; should have her room painted</t>
      </text>
    </comment>
    <comment ref="M232" authorId="0" shapeId="0">
      <text>
        <t>М6 (6c): Did you have your eyes checked?</t>
      </text>
    </comment>
    <comment ref="M234" authorId="0" shapeId="0">
      <text>
        <t>М6 (6c): George had his car stolen</t>
      </text>
    </comment>
    <comment ref="M236" authorId="0" shapeId="0">
      <text>
        <t>М7 (7c): If Paul was not working today…</t>
      </text>
    </comment>
    <comment ref="L238" authorId="0" shapeId="0">
      <text>
        <t>М8 (8c): were или was</t>
      </text>
    </comment>
    <comment ref="M238" authorId="0" shapeId="0">
      <text>
        <t>М7 (7c): в официальной речи were во всех лицах</t>
      </text>
    </comment>
    <comment ref="L240" authorId="0" shapeId="0">
      <text>
        <t>М8 (8c): bare perfect infinitive</t>
      </text>
    </comment>
    <comment ref="M241" authorId="0" shapeId="0">
      <text>
        <t>М7 (7c): If he hadn't been studying that hard…</t>
      </text>
    </comment>
    <comment ref="L245" authorId="0" shapeId="0">
      <text>
        <t>М5 (5c): admit, appreciate, avoid, consider, continue, deny, fancy, go, imagine, mind, miss, practise, prevent, quit, save, suggest</t>
      </text>
    </comment>
    <comment ref="L247" authorId="0" shapeId="0">
      <text>
        <t>М5 (5c): be busy, it's no use/good, it's (not) worth, what's the use of, can't help, there's no point, can't stand, have difficulty/trouble</t>
      </text>
    </comment>
    <comment ref="L249" authorId="0" shapeId="0">
      <text>
        <t>М5 (5c): look forward to, be/get used to, in addition to, object to; другие предлоги</t>
      </text>
    </comment>
    <comment ref="M249" authorId="0" shapeId="0">
      <text>
        <t>М2 (2c): + think of, apologise for; prefer … to</t>
      </text>
    </comment>
    <comment ref="L250" authorId="0" shapeId="0">
      <text>
        <t>М5 (5c): hear, listen to, notice, see, watch, feel</t>
      </text>
    </comment>
    <comment ref="M252" authorId="0" shapeId="0">
      <text>
        <t>М2 (2c): went to buy</t>
      </text>
    </comment>
    <comment ref="M253" authorId="0" shapeId="0">
      <text>
        <t>М2 (2c): + want sb to do (I want you to come)</t>
      </text>
    </comment>
    <comment ref="L255" authorId="0" shapeId="0">
      <text>
        <t>М5 (5c): чувства, желание, характер, lucky/fortunate; It was kind of them to…</t>
      </text>
    </comment>
    <comment ref="N255" authorId="0" shapeId="0">
      <text>
        <t>М2 (2c): + it + be + adj/noun</t>
      </text>
    </comment>
    <comment ref="L258" authorId="0" shapeId="0">
      <text>
        <t>М5 (5c): to tell you the truth, to be honest, to sum up, to begin with</t>
      </text>
    </comment>
    <comment ref="M259" authorId="0" shapeId="0">
      <text>
        <t>М2 (2c): asked me when to get</t>
      </text>
    </comment>
    <comment ref="N259" authorId="0" shapeId="0">
      <text>
        <t>М2 (2c): после ask, decide, explain, find out, learn, want to know</t>
      </text>
    </comment>
    <comment ref="M260" authorId="0" shapeId="0">
      <text>
        <t>М2 (2c): honour, goal, way; so + adj + as to; only + to-inf (неудача); for + sb + to-inf</t>
      </text>
    </comment>
    <comment ref="L261" authorId="0" shapeId="0">
      <text>
        <t>М5 (5c): дано при цели</t>
      </text>
    </comment>
    <comment ref="M262" authorId="0" shapeId="0">
      <text>
        <t>М2 (2c): осмелиться — с to или без; угроза — без to; вызов — с to</t>
      </text>
    </comment>
    <comment ref="L264" authorId="0" shapeId="0">
      <text>
        <t>М5 (5c): let, make, see, hear, feel; be made/heard/seen + to</t>
      </text>
    </comment>
    <comment ref="M264" authorId="0" shapeId="0">
      <text>
        <t>М2 (2c): + watch, notice (Complex Object)</t>
      </text>
    </comment>
    <comment ref="N264" authorId="0" shapeId="0">
      <text>
        <t>М2 (2c): + see/hear/watch + -ing в пассиве не меняются (She was heard crying)</t>
      </text>
    </comment>
    <comment ref="L266" authorId="0" shapeId="0">
      <text>
        <t>М5 (5c): обзорно в теме Infinitive / -ing form</t>
      </text>
    </comment>
    <comment ref="M266" authorId="0" shapeId="0">
      <text>
        <t>М2 (2c): значения расписаны: не забыть сделать vs помнить о прошлом</t>
      </text>
    </comment>
    <comment ref="L267" authorId="0" shapeId="0">
      <text>
        <t>М5 (5c): обзорно</t>
      </text>
    </comment>
    <comment ref="M267" authorId="0" shapeId="0">
      <text>
        <t>М2 (2c): остановиться, чтобы vs прекратить</t>
      </text>
    </comment>
    <comment ref="L268" authorId="0" shapeId="0">
      <text>
        <t>М5 (5c): обзорно</t>
      </text>
    </comment>
    <comment ref="M268" authorId="0" shapeId="0">
      <text>
        <t>М2 (2c): стараться vs попробовать</t>
      </text>
    </comment>
    <comment ref="L269" authorId="0" shapeId="0">
      <text>
        <t>М5 (5c): обзорно</t>
      </text>
    </comment>
    <comment ref="M269" authorId="0" shapeId="0">
      <text>
        <t>М2 (2c): сожалеть сообщить (say, tell, inform, announce) vs о сделанном</t>
      </text>
    </comment>
    <comment ref="L270" authorId="0" shapeId="0">
      <text>
        <t>М5 (5c): обзорно</t>
      </text>
    </comment>
    <comment ref="M270" authorId="0" shapeId="0">
      <text>
        <t>М2 (2c): намереваться vs означать</t>
      </text>
    </comment>
    <comment ref="L271" authorId="0" shapeId="0">
      <text>
        <t>М5 (5c): обзорно</t>
      </text>
    </comment>
    <comment ref="M271" authorId="0" shapeId="0">
      <text>
        <t>М2 (2c): перейти к другому vs продолжать</t>
      </text>
    </comment>
    <comment ref="L272" authorId="0" shapeId="0">
      <text>
        <t>М5 (5c): обзорно</t>
      </text>
    </comment>
    <comment ref="M275" authorId="0" shapeId="0">
      <text>
        <t>М2 (2c): две -ing подряд нельзя</t>
      </text>
    </comment>
    <comment ref="M276" authorId="0" shapeId="0">
      <text>
        <t>М2 (2c): be advised/allowed… + только to-inf</t>
      </text>
    </comment>
    <comment ref="M277" authorId="0" shapeId="0">
      <text>
        <t>М2 (2c): The lawn needs mowing / to be mowed</t>
      </text>
    </comment>
    <comment ref="L278" authorId="0" shapeId="0">
      <text>
        <t>М4 (4c): is cooked / was cooked</t>
      </text>
    </comment>
    <comment ref="L279" authorId="0" shapeId="0">
      <text>
        <t>М4 (4c): is being / was being cooked</t>
      </text>
    </comment>
    <comment ref="L280" authorId="0" shapeId="0">
      <text>
        <t>М4 (4c): has been / had been cooked</t>
      </text>
    </comment>
    <comment ref="L281" authorId="0" shapeId="0">
      <text>
        <t>М4 (4c): will be cooked</t>
      </text>
    </comment>
    <comment ref="L283" authorId="0" shapeId="0">
      <text>
        <t>М4 (4c): has to be cooked; can be cooked</t>
      </text>
    </comment>
    <comment ref="M283" authorId="0" shapeId="0">
      <text>
        <t>М6 (6c): has to be made; may be made</t>
      </text>
    </comment>
    <comment ref="L284" authorId="0" shapeId="0">
      <text>
        <t>М4 (4c): дополнение → подлежащее; by + агент или опускается</t>
      </text>
    </comment>
    <comment ref="L285" authorId="0" shapeId="0">
      <text>
        <t>М4 (4c): очевиден или неважен</t>
      </text>
    </comment>
    <comment ref="M285" authorId="0" shapeId="0">
      <text>
        <t>М6 (6c): + неизвестен</t>
      </text>
    </comment>
    <comment ref="L286" authorId="0" shapeId="0">
      <text>
        <t>М4 (4c): новости, объявления, инструкции, реклама</t>
      </text>
    </comment>
    <comment ref="L288" authorId="0" shapeId="0">
      <text>
        <t>М4 (4c): by the president himself</t>
      </text>
    </comment>
    <comment ref="L291" authorId="0" shapeId="0">
      <text>
        <t>М4 (4c): they, he, someone, people, one; не опускается, если важен</t>
      </text>
    </comment>
    <comment ref="L292" authorId="0" shapeId="0">
      <text>
        <t>М4 (4c): только переходные; have, fit, suit, resemble</t>
      </text>
    </comment>
    <comment ref="M292" authorId="0" shapeId="0">
      <text>
        <t>М6 (6c): + exist, seem, lack</t>
      </text>
    </comment>
    <comment ref="L293" authorId="0" shapeId="0">
      <text>
        <t>М4 (4c): неожиданные события: The cheque got lost</t>
      </text>
    </comment>
    <comment ref="M293" authorId="0" shapeId="0">
      <text>
        <t>М6 (6c): He got hit</t>
      </text>
    </comment>
    <comment ref="L294" authorId="0" shapeId="0">
      <text>
        <t>М4 (4c): bring, tell, send, show, teach, promise, sell, read, offer, give, lend — две модели; explain, announce, dictate, write — одна</t>
      </text>
    </comment>
    <comment ref="L295" authorId="0" shapeId="0">
      <text>
        <t>М4 (4c): Who will the tickets be booked by?</t>
      </text>
    </comment>
    <comment ref="M296" authorId="0" shapeId="0">
      <text>
        <t>М6 (6c): I was made to lie; hear/see/watch + -ing</t>
      </text>
    </comment>
    <comment ref="L297" authorId="0" shapeId="0">
      <text>
        <t>М6 (6c): that после say/tell можно опустить</t>
      </text>
    </comment>
    <comment ref="L300" authorId="0" shapeId="0">
      <text>
        <t>М6 (6c): SAY/TELL/ASK</t>
      </text>
    </comment>
    <comment ref="L302" authorId="0" shapeId="0">
      <text>
        <t>М6 (6c): только: вводящий глагол в Present Simple</t>
      </text>
    </comment>
    <comment ref="M302" authorId="0" shapeId="0">
      <text>
        <t>М8 (8c): + вводящий глагол в Future/Present Perfect</t>
      </text>
    </comment>
    <comment ref="N303" authorId="0" shapeId="0">
      <text>
        <t>М8 (8c): + unreal past</t>
      </text>
    </comment>
    <comment ref="L304" authorId="0" shapeId="0">
      <text>
        <t>М6 (6c): Past Continuous → Past Perfect Continuous или Past Continuous</t>
      </text>
    </comment>
    <comment ref="M304" authorId="0" shapeId="0">
      <text>
        <t>М8 (8c): Past Simple → Past Simple/Past Perfect</t>
      </text>
    </comment>
    <comment ref="O304" authorId="0" shapeId="0">
      <text>
        <t>М6 (6c): Future Simple → Future in the Past (would)</t>
      </text>
    </comment>
    <comment ref="L305" authorId="0" shapeId="0">
      <text>
        <t>М6 (6c): now → then; today → that day; ago → before; here → there</t>
      </text>
    </comment>
    <comment ref="M305" authorId="0" shapeId="0">
      <text>
        <t>М8 (8c): today → в OCR таблица сбита</t>
      </text>
    </comment>
    <comment ref="L306" authorId="0" shapeId="0">
      <text>
        <t>М6 (6c): order/tell</t>
      </text>
    </comment>
    <comment ref="O306" authorId="0" shapeId="0">
      <text>
        <t>М6 (6c): + instructions: advise, order, tell</t>
      </text>
    </comment>
    <comment ref="L307" authorId="0" shapeId="0">
      <text>
        <t>М6 (6c): ask, beg (She begged me not to tease her)</t>
      </text>
    </comment>
    <comment ref="L308" authorId="0" shapeId="0">
      <text>
        <t>М6 (6c): suggested watching / suggested that I (should) see</t>
      </text>
    </comment>
    <comment ref="L309" authorId="0" shapeId="0">
      <text>
        <t>М6 (6c): She advised me to watch my step</t>
      </text>
    </comment>
    <comment ref="M309" authorId="0" shapeId="0">
      <text>
        <t>М8 (8c): advise в группе приказов</t>
      </text>
    </comment>
    <comment ref="L310" authorId="0" shapeId="0">
      <text>
        <t>М5 (5c): to — предлог</t>
      </text>
    </comment>
    <comment ref="O310" authorId="0" shapeId="0">
      <text>
        <t>М1 (1c): I'm used to working very hard</t>
      </text>
    </comment>
    <comment ref="L311" authorId="0" shapeId="0">
      <text>
        <t>М5 (5c): процесс привыкания</t>
      </text>
    </comment>
    <comment ref="O311" authorId="0" shapeId="0">
      <text>
        <t>М1 (1c): разница be/get не объясняется</t>
      </text>
    </comment>
    <comment ref="L312" authorId="0" shapeId="0">
      <text>
        <t>М5 (5c): used to + V: to — частица</t>
      </text>
    </comment>
    <comment ref="M313" authorId="0" shapeId="0">
      <text>
        <t>М5 (5d): I prefer vegetables to meat; painting to drawing</t>
      </text>
    </comment>
    <comment ref="M316" authorId="0" shapeId="0">
      <text>
        <t>М5 (5d): would sooner и I'd rather sb did — не даны</t>
      </text>
    </comment>
    <comment ref="N316" authorId="0" shapeId="0">
      <text>
        <t>М2 (2c): без I'd rather you did</t>
      </text>
    </comment>
    <comment ref="M317" authorId="0" shapeId="0">
      <text>
        <t>М8 (8c): agree, claim, demand, offer, promise, refuse, threaten</t>
      </text>
    </comment>
    <comment ref="M318" authorId="0" shapeId="0">
      <text>
        <t>М8 (8c): advise, allow, ask, beg, command, encourage, forbid, instruct, invite, order, permit, remind, urge, warn, want</t>
      </text>
    </comment>
    <comment ref="M319" authorId="0" shapeId="0">
      <text>
        <t>М8 (8c): accuse of, apologise for, admit (to), boast about/of, complain of/about, deny, insist on, suggest</t>
      </text>
    </comment>
    <comment ref="N322" authorId="0" shapeId="0">
      <text>
        <t>М8 (8c): and, as, adding that, explaining that…; exclaim, thank; question tags опускаются</t>
      </text>
    </comment>
    <comment ref="M328" authorId="0" shapeId="0">
      <text>
        <t>М3 (3c): would (always/often) + V</t>
      </text>
    </comment>
    <comment ref="M329" authorId="0" shapeId="0">
      <text>
        <t>М3 (3c): NOT: I would work as a waiter</t>
      </text>
    </comment>
    <comment ref="G330" authorId="0" shapeId="0">
      <text>
        <t>М3: только в рамках some/any, отдельного раздела нет</t>
      </text>
    </comment>
    <comment ref="H330" authorId="0" shapeId="0">
      <text>
        <t>М3: только в рамках much/many и how much/how many</t>
      </text>
    </comment>
    <comment ref="I330" authorId="0" shapeId="0">
      <text>
        <t>М8 (8a): определение: у исчисляемых ед. и мн. ч., у неисчисляемых мн. ч. нет</t>
      </text>
    </comment>
    <comment ref="L330" authorId="0" shapeId="0">
      <text>
        <t>М2 (2d): 1 child, 2 children / sugar, heat</t>
      </text>
    </comment>
    <comment ref="O330" authorId="0" shapeId="0">
      <text>
        <t>М8 (8c): 1 pen, 2 pens / sugar, meat</t>
      </text>
    </comment>
    <comment ref="I331" authorId="0" shapeId="0">
      <text>
        <t>М8 (8a): cheese, sugar, butter, salt, rice, flour; water, tea, milk…</t>
      </text>
    </comment>
    <comment ref="J331" authorId="0" shapeId="0">
      <text>
        <t>М9 (9a): добавлены rain, snow</t>
      </text>
    </comment>
    <comment ref="L331" authorId="0" shapeId="0">
      <text>
        <t>М2 (2d): вещества: lemonade, blood, butter, oxygen</t>
      </text>
    </comment>
    <comment ref="O331" authorId="0" shapeId="0">
      <text>
        <t>М8 (8c): beer, blood, bread, air, oxygen, corn, flour</t>
      </text>
    </comment>
    <comment ref="I332" authorId="0" shapeId="0">
      <text>
        <t>М8 (8a): 15 слов: jar, bottle, piece, loaf, cup, bar, glass, kilo…</t>
      </text>
    </comment>
    <comment ref="J332" authorId="0" shapeId="0">
      <text>
        <t>М9 (9a): тот же список</t>
      </text>
    </comment>
    <comment ref="O332" authorId="0" shapeId="0">
      <text>
        <t>М8 (8c): добавлено много партитивов: a piece of advice, a rasher of bacon, a lump of sugar, a pair of trousers…</t>
      </text>
    </comment>
    <comment ref="I333" authorId="0" shapeId="0">
      <text>
        <t>М8 (8a): clothes, shorts, jeans, trousers, stairs, scissors</t>
      </text>
    </comment>
    <comment ref="K334" authorId="0" shapeId="0">
      <text>
        <t>М9: There is a book / There are some, a lot of, (a) few apples / There's some, (a) little butter</t>
      </text>
    </comment>
    <comment ref="K335" authorId="0" shapeId="0">
      <text>
        <t>М9: There isn't a book / aren't any/many apples / isn't any/much butter</t>
      </text>
    </comment>
    <comment ref="K336" authorId="0" shapeId="0">
      <text>
        <t>М9: Is there a book? Are there any apples? Is there any butter?</t>
      </text>
    </comment>
    <comment ref="O337" authorId="0" shapeId="0">
      <text>
        <t>М8 (8c): + some, any, much, no</t>
      </text>
    </comment>
    <comment ref="O338" authorId="0" shapeId="0">
      <text>
        <t>М8 (8c): a help, a knowledge (of sth), a pity, a relief, a shame, a wonder</t>
      </text>
    </comment>
    <comment ref="L339" authorId="0" shapeId="0">
      <text>
        <t>М2 (2d): maths, chemistry; языки; baseball, darts; flu, measles; fog, snow</t>
      </text>
    </comment>
    <comment ref="O339" authorId="0" shapeId="0">
      <text>
        <t>М8 (8c): + спорт (cycling, football), абстрактные (anger, beauty, love)</t>
      </text>
    </comment>
    <comment ref="L340" authorId="0" shapeId="0">
      <text>
        <t>М2 (2d): advice, knowledge, progress, information, news, work; baggage, furniture, luggage, money…</t>
      </text>
    </comment>
    <comment ref="O340" authorId="0" shapeId="0">
      <text>
        <t>М8 (8c): + accommodation, behaviour, stationery, traffic, travel, weather</t>
      </text>
    </comment>
    <comment ref="O341" authorId="0" shapeId="0">
      <text>
        <t>М8 (8c): family, flock, public, team, government; countryside, homework, housework, seaside</t>
      </text>
    </comment>
    <comment ref="G343" authorId="0" shapeId="0">
      <text>
        <t>М5: + woman — women</t>
      </text>
    </comment>
    <comment ref="I343" authorId="0" shapeId="0">
      <text>
        <t>М2 (2b): 6 слов</t>
      </text>
    </comment>
    <comment ref="J343" authorId="0" shapeId="0">
      <text>
        <t>М1: 6 слов</t>
      </text>
    </comment>
    <comment ref="G344" authorId="0" shapeId="0">
      <text>
        <t>М5: fish — fish, sheep — sheep</t>
      </text>
    </comment>
    <comment ref="I345" authorId="0" shapeId="0">
      <text>
        <t>М2 (2b): shorts, jeans, pyjamas, scissors, clothes, glasses</t>
      </text>
    </comment>
    <comment ref="G346" authorId="0" shapeId="0">
      <text>
        <t>М2: только это правило: pen — pens, book — books
М6: chair — chairs</t>
      </text>
    </comment>
    <comment ref="I346" authorId="0" shapeId="0">
      <text>
        <t>М2 (2b): a doll – two dolls</t>
      </text>
    </comment>
    <comment ref="J346" authorId="0" shapeId="0">
      <text>
        <t>М1: a car – two cars</t>
      </text>
    </comment>
    <comment ref="G347" authorId="0" shapeId="0">
      <text>
        <t>М6: -s, -ss, -o, -x: buses, glasses, potatoes, boxes</t>
      </text>
    </comment>
    <comment ref="I347" authorId="0" shapeId="0">
      <text>
        <t>М2 (2b): добавлены -sh, -ch: toothbrushes, matches</t>
      </text>
    </comment>
    <comment ref="J347" authorId="0" shapeId="0">
      <text>
        <t>М1: buses, dresses, brushes, benches, boxes, tomatoes</t>
      </text>
    </comment>
    <comment ref="G348" authorId="0" shapeId="0">
      <text>
        <t>М6: baby — babies, boy — boys</t>
      </text>
    </comment>
    <comment ref="I348" authorId="0" shapeId="0">
      <text>
        <t>М2 (2b): lady – ladies, toy – toys</t>
      </text>
    </comment>
    <comment ref="J348" authorId="0" shapeId="0">
      <text>
        <t>М1: berry – berries, boy – boys</t>
      </text>
    </comment>
    <comment ref="G349" authorId="0" shapeId="0">
      <text>
        <t>М6: shelf — shelves</t>
      </text>
    </comment>
    <comment ref="I349" authorId="0" shapeId="0">
      <text>
        <t>М2 (2b): life – lives, scarf – scarves</t>
      </text>
    </comment>
    <comment ref="J349" authorId="0" shapeId="0">
      <text>
        <t>М1: leaf – leaves, knife – knives</t>
      </text>
    </comment>
    <comment ref="J350" authorId="0" shapeId="0">
      <text>
        <t>М1: videos, photos</t>
      </text>
    </comment>
    <comment ref="I351" authorId="0" shapeId="0">
      <text>
        <t>М2 (2b): только в оглавлении (Listening &amp; Pronunciation 2b), в справочнике правила нет</t>
      </text>
    </comment>
    <comment ref="G352" authorId="0" shapeId="0">
      <text>
        <t>М4: Lulu's rocking horse, the dog's house; только ед. ч.</t>
      </text>
    </comment>
    <comment ref="I352" authorId="0" shapeId="0">
      <text>
        <t>М4 (4b): Jim's room, the girl's guitar; 's — для одушевлённых</t>
      </text>
    </comment>
    <comment ref="J352" authorId="0" shapeId="0">
      <text>
        <t>М1 (1a): Mary's bag; для людей и животных</t>
      </text>
    </comment>
    <comment ref="G353" authorId="0" shapeId="0">
      <text>
        <t>М4: кому принадлежит</t>
      </text>
    </comment>
    <comment ref="I353" authorId="0" shapeId="0">
      <text>
        <t>М4 (4b): Whose is the guitar? It's Peter's.</t>
      </text>
    </comment>
    <comment ref="I354" authorId="0" shapeId="0">
      <text>
        <t>М4 (4b): Linda's sister</t>
      </text>
    </comment>
    <comment ref="J354" authorId="0" shapeId="0">
      <text>
        <t>М1 (1a): Tom's uncle</t>
      </text>
    </comment>
    <comment ref="I355" authorId="0" shapeId="0">
      <text>
        <t>М4 (4b): at the chemist's</t>
      </text>
    </comment>
    <comment ref="J355" authorId="0" shapeId="0">
      <text>
        <t>М1 (1a): добавлено at Bob's — у Боба дома</t>
      </text>
    </comment>
    <comment ref="I356" authorId="0" shapeId="0">
      <text>
        <t>М4 (4b): Doris's / Doris' dress</t>
      </text>
    </comment>
    <comment ref="J356" authorId="0" shapeId="0">
      <text>
        <t>М1 (1a): Doris's / Doris' hat</t>
      </text>
    </comment>
    <comment ref="I357" authorId="0" shapeId="0">
      <text>
        <t>М4 (4b): the boys' toys, the women's dresses</t>
      </text>
    </comment>
    <comment ref="J357" authorId="0" shapeId="0">
      <text>
        <t>М1 (1a): the girls' room, the children's books</t>
      </text>
    </comment>
    <comment ref="G359" authorId="0" shapeId="0">
      <text>
        <t>М4: the не дан</t>
      </text>
    </comment>
    <comment ref="G360" authorId="0" shapeId="0">
      <text>
        <t>М4: a ball, an elephant</t>
      </text>
    </comment>
    <comment ref="I360" authorId="0" shapeId="0">
      <text>
        <t>М1 (1a): правило по букве (a, e, i, o, u)</t>
      </text>
    </comment>
    <comment ref="G361" authorId="0" shapeId="0">
      <text>
        <t>М3: There is some cheese / There are some apples</t>
      </text>
    </comment>
    <comment ref="I361" authorId="0" shapeId="0">
      <text>
        <t>М8 (8b): There are some pencils / There is some jam</t>
      </text>
    </comment>
    <comment ref="J361" authorId="0" shapeId="0">
      <text>
        <t>М2 (2b): I've got some money / some books</t>
      </text>
    </comment>
    <comment ref="K361" authorId="0" shapeId="0">
      <text>
        <t>М9: We need some bananas and some milk</t>
      </text>
    </comment>
    <comment ref="G362" authorId="0" shapeId="0">
      <text>
        <t>М3: There aren't any eggs / isn't any water</t>
      </text>
    </comment>
    <comment ref="I362" authorId="0" shapeId="0">
      <text>
        <t>М8 (8b): There aren't any pencils / isn't any jam</t>
      </text>
    </comment>
    <comment ref="J362" authorId="0" shapeId="0">
      <text>
        <t>М2 (2b): No, I haven't got any money</t>
      </text>
    </comment>
    <comment ref="G363" authorId="0" shapeId="0">
      <text>
        <t>М3: Are there any biscuits? Is there any chocolate?</t>
      </text>
    </comment>
    <comment ref="I363" authorId="0" shapeId="0">
      <text>
        <t>М8 (8b): Are there any pencils? Is there any jam?</t>
      </text>
    </comment>
    <comment ref="J363" authorId="0" shapeId="0">
      <text>
        <t>М2 (2b): Have you got any money?</t>
      </text>
    </comment>
    <comment ref="G364" authorId="0" shapeId="0">
      <text>
        <t>М3: только просьба: Can I have some milk, please?</t>
      </text>
    </comment>
    <comment ref="I364" authorId="0" shapeId="0">
      <text>
        <t>М8 (8b): только в примере: Can I have some water, please?</t>
      </text>
    </comment>
    <comment ref="J364" authorId="0" shapeId="0">
      <text>
        <t>М2 (2b): добавлено предложение: Would you like some coffee?</t>
      </text>
    </comment>
    <comment ref="K364" authorId="0" shapeId="0">
      <text>
        <t>М9: Would you like some tea? / Can I have some apple juice?</t>
      </text>
    </comment>
    <comment ref="I365" authorId="0" shapeId="0">
      <text>
        <t>М8 (8b): There is an apple / There isn't an apple / Is there an apple?</t>
      </text>
    </comment>
    <comment ref="K365" authorId="0" shapeId="0">
      <text>
        <t>М9: a/an во всех типах предложений с исч. ед. ч.</t>
      </text>
    </comment>
    <comment ref="I366" authorId="0" shapeId="0">
      <text>
        <t>М8 (8b): перед неисч. не переводится, перед исч. — «несколько»</t>
      </text>
    </comment>
    <comment ref="J366" authorId="0" shapeId="0">
      <text>
        <t>М2 (2b): some bread — немного хлеба, some apples — несколько яблок</t>
      </text>
    </comment>
    <comment ref="H367" authorId="0" shapeId="0">
      <text>
        <t>М3: She's got a lot of friends. There is a lot of cheese</t>
      </text>
    </comment>
    <comment ref="J367" authorId="0" shapeId="0">
      <text>
        <t>М9 (9a): добавлено lots of</t>
      </text>
    </comment>
    <comment ref="H368" authorId="0" shapeId="0">
      <text>
        <t>М3: There isn't much butter / aren't many apples</t>
      </text>
    </comment>
    <comment ref="J368" authorId="0" shapeId="0">
      <text>
        <t>М9 (9a): There isn't much sugar / aren't many books</t>
      </text>
    </comment>
    <comment ref="H369" authorId="0" shapeId="0">
      <text>
        <t>М3: Is there much sugar? Are there many girls?</t>
      </text>
    </comment>
    <comment ref="J369" authorId="0" shapeId="0">
      <text>
        <t>М9 (9a): Are there many books on the shelf?</t>
      </text>
    </comment>
    <comment ref="I370" authorId="0" shapeId="0">
      <text>
        <t>М8 (8b): How much sugar have you got?</t>
      </text>
    </comment>
    <comment ref="J370" authorId="0" shapeId="0">
      <text>
        <t>М9 (9a): How much money…? How many boys…?</t>
      </text>
    </comment>
    <comment ref="H371" authorId="0" shapeId="0">
      <text>
        <t>М3: Not much. / Not many. / A lot.</t>
      </text>
    </comment>
    <comment ref="K371" authorId="0" shapeId="0">
      <text>
        <t>М9: добавлено: of опускается — Yes, there's a lot / lots</t>
      </text>
    </comment>
    <comment ref="N371" authorId="0" shapeId="0">
      <text>
        <t>М5 (5c): There's lots going on</t>
      </text>
    </comment>
    <comment ref="O371" authorId="0" shapeId="0">
      <text>
        <t>М8 (8c): There's lots/a lot going on</t>
      </text>
    </comment>
    <comment ref="I372" authorId="0" shapeId="0">
      <text>
        <t>М9 (9a): I can see a white cat</t>
      </text>
    </comment>
    <comment ref="L372" authorId="0" shapeId="0">
      <text>
        <t>М2 (2b): неизвестное/неупомянутое ранее</t>
      </text>
    </comment>
    <comment ref="I373" authorId="0" shapeId="0">
      <text>
        <t>М9 (9a): The cat on the sofa is black</t>
      </text>
    </comment>
    <comment ref="L373" authorId="0" shapeId="0">
      <text>
        <t>М2 (2b): добавлено: ясно из контекста; ед./мн., исч./неисч.</t>
      </text>
    </comment>
    <comment ref="I374" authorId="0" shapeId="0">
      <text>
        <t>М9 (9a): They sell toys… Do you like milk?</t>
      </text>
    </comment>
    <comment ref="L374" authorId="0" shapeId="0">
      <text>
        <t>М2 (2b): the не с мн. ч. в значении группы вообще</t>
      </text>
    </comment>
    <comment ref="N374" authorId="0" shapeId="0">
      <text>
        <t>М5 (5c): не the + мн. ч.</t>
      </text>
    </comment>
    <comment ref="I375" authorId="0" shapeId="0">
      <text>
        <t>М9 (9a): my, this, some/any/no, every/each, whose/which, three, my granny's</t>
      </text>
    </comment>
    <comment ref="L376" authorId="0" shapeId="0">
      <text>
        <t>М2 (2b): three times a day, a pound, a third, 60 km an hour</t>
      </text>
    </comment>
    <comment ref="N376" authorId="0" shapeId="0">
      <text>
        <t>М5 (5c): + a million, £4 a litre</t>
      </text>
    </comment>
    <comment ref="L377" authorId="0" shapeId="0">
      <text>
        <t>М2 (2b): a cold, a fever, a headache; но не flu, pneumonia, tonsillitis</t>
      </text>
    </comment>
    <comment ref="L379" authorId="0" shapeId="0">
      <text>
        <t>М2 (2b): the moon, the sky, play the guitar</t>
      </text>
    </comment>
    <comment ref="N379" authorId="0" shapeId="0">
      <text>
        <t>М5 (5c): the moon, play the flute</t>
      </text>
    </comment>
    <comment ref="L380" authorId="0" shapeId="0">
      <text>
        <t>М2 (2b): the: реки, моря, океаны, горные цепи, группы островов, пустыни; без: страны, города, улицы, горы, острова, континенты, озёра (Lake Baikal / the Baikal)</t>
      </text>
    </comment>
    <comment ref="L381" authorId="0" shapeId="0">
      <text>
        <t>М2 (2b): Barclays Bank, but the Black Swan Hotel</t>
      </text>
    </comment>
    <comment ref="N381" authorId="0" shapeId="0">
      <text>
        <t>М5 (5c): Glasgow Airport, Harrods, но the White House</t>
      </text>
    </comment>
    <comment ref="L382" authorId="0" shapeId="0">
      <text>
        <t>М2 (2b): the Jacksons, the President (но King Henry VIII), the young, the poor</t>
      </text>
    </comment>
    <comment ref="N382" authorId="0" shapeId="0">
      <text>
        <t>М5 (5c): the Smiths, the elderly</t>
      </text>
    </comment>
    <comment ref="I385" authorId="0" shapeId="0">
      <text>
        <t>М8 (8b): There are a few eggs</t>
      </text>
    </comment>
    <comment ref="J385" authorId="0" shapeId="0">
      <text>
        <t>М9 (9a): в утверждениях, вопросах и отрицаниях</t>
      </text>
    </comment>
    <comment ref="I386" authorId="0" shapeId="0">
      <text>
        <t>М8 (8b): Put a little sugar</t>
      </text>
    </comment>
    <comment ref="J386" authorId="0" shapeId="0">
      <text>
        <t>М9 (9a): There is a little water</t>
      </text>
    </comment>
    <comment ref="I387" authorId="0" shapeId="0">
      <text>
        <t>М8 (8b): We have got few tomatoes. There is little milk.</t>
      </text>
    </comment>
    <comment ref="I388" authorId="0" shapeId="0">
      <text>
        <t>М8 (8b): противопоставление по значению</t>
      </text>
    </comment>
    <comment ref="M388" authorId="0" shapeId="0">
      <text>
        <t>М8 (8d): формулировка «немного, но достаточно / почти нет»</t>
      </text>
    </comment>
    <comment ref="O390" authorId="0" shapeId="0">
      <text>
        <t>М8 (8c): It's a little cold</t>
      </text>
    </comment>
    <comment ref="K391" authorId="0" shapeId="0">
      <text>
        <t>М9: a bottle of Coke, a glass of water, a loaf of bread…</t>
      </text>
    </comment>
    <comment ref="L393" authorId="0" shapeId="0">
      <text>
        <t>М2 (2d): clothes, jeans, binoculars, pliers, scissors, arms, congratulations, people, stairs, surroundings</t>
      </text>
    </comment>
    <comment ref="L394" authorId="0" shapeId="0">
      <text>
        <t>М2 (2d): The team were… / The team was…</t>
      </text>
    </comment>
    <comment ref="L395" authorId="0" shapeId="0">
      <text>
        <t>М2 (2b): исч. мн. ч. / неисч.; very few, very little</t>
      </text>
    </comment>
    <comment ref="L396" authorId="0" shapeId="0">
      <text>
        <t>М2 (2b): исч. мн. ч. и неисч., обычно в утверждениях</t>
      </text>
    </comment>
    <comment ref="O398" authorId="0" shapeId="0">
      <text>
        <t>М8 (8c): every — вся группа, each — по отдельности; each — о двух, every — о трёх+</t>
      </text>
    </comment>
    <comment ref="O400" authorId="0" shapeId="0">
      <text>
        <t>М8 (8c): a great deal of + неисч.; plenty of + исч./неисч.</t>
      </text>
    </comment>
    <comment ref="O401" authorId="0" shapeId="0">
      <text>
        <t>М8 (8c): отсылка к Indefinite pronouns</t>
      </text>
    </comment>
    <comment ref="I402" authorId="0" shapeId="0">
      <text>
        <t>М2 (2b): This is a ball. / These are balls.</t>
      </text>
    </comment>
    <comment ref="I403" authorId="0" shapeId="0">
      <text>
        <t>М2 (2b): That is a ball. / Those are balls.</t>
      </text>
    </comment>
    <comment ref="G404" authorId="0" shapeId="0">
      <text>
        <t>М4: о людях, животных, предметах рядом / далеко</t>
      </text>
    </comment>
    <comment ref="G405" authorId="0" shapeId="0">
      <text>
        <t>М2: полная таблица I — my … they — their</t>
      </text>
    </comment>
    <comment ref="I405" authorId="0" shapeId="0">
      <text>
        <t>М3 (3b): its — о неодушевлённом</t>
      </text>
    </comment>
    <comment ref="J405" authorId="0" shapeId="0">
      <text>
        <t>М1 (1a): «основная форма»</t>
      </text>
    </comment>
    <comment ref="G406" authorId="0" shapeId="0">
      <text>
        <t>М2: перед существительным: This is my mother</t>
      </text>
    </comment>
    <comment ref="I406" authorId="0" shapeId="0">
      <text>
        <t>М3 (3b): This is my book / Peter is her father</t>
      </text>
    </comment>
    <comment ref="J406" authorId="0" shapeId="0">
      <text>
        <t>М1 (1a): This is my bike / Derek is her brother</t>
      </text>
    </comment>
    <comment ref="I407" authorId="0" shapeId="0">
      <text>
        <t>М3 (3b): в английском употребляются чаще, чем в русском</t>
      </text>
    </comment>
    <comment ref="I409" authorId="0" shapeId="0">
      <text>
        <t>М4 (4a): Look at him! to me, about me</t>
      </text>
    </comment>
    <comment ref="I410" authorId="0" shapeId="0">
      <text>
        <t>М4 (4a): общая таблица I — me — my; функции: подлежащее / дополнение / определение</t>
      </text>
    </comment>
    <comment ref="I412" authorId="0" shapeId="0">
      <text>
        <t>М1 (1b): I — с прописной; you — ед. и мн. ч.</t>
      </text>
    </comment>
    <comment ref="I413" authorId="0" shapeId="0">
      <text>
        <t>М1 (1b): it — неодушевлённые, абстрактные, животные</t>
      </text>
    </comment>
    <comment ref="J413" authorId="0" shapeId="0">
      <text>
        <t>М1: it — предметы или животные</t>
      </text>
    </comment>
    <comment ref="J414" authorId="0" shapeId="0">
      <text>
        <t>М1 (1b): This bike is mine</t>
      </text>
    </comment>
    <comment ref="J415" authorId="0" shapeId="0">
      <text>
        <t>М1 (1b): my – mine … their – theirs</t>
      </text>
    </comment>
    <comment ref="K417" authorId="0" shapeId="0">
      <text>
        <t>М10: Tim cut himself</t>
      </text>
    </comment>
    <comment ref="M417" authorId="0" shapeId="0">
      <text>
        <t>М6 (6d): добавлен список: behave, burn, cut, enjoy, hurt, kill, look at, laugh at, introduce, dry, teach</t>
      </text>
    </comment>
    <comment ref="K418" authorId="0" shapeId="0">
      <text>
        <t>М10: Karen will cut the cake herself</t>
      </text>
    </comment>
    <comment ref="M418" authorId="0" shapeId="0">
      <text>
        <t>М6 (6d): только Do it yourself; в ToC «emphatic pronouns», в справочнике не описано</t>
      </text>
    </comment>
    <comment ref="K419" authorId="0" shapeId="0">
      <text>
        <t>М10: He did the shopping by himself</t>
      </text>
    </comment>
    <comment ref="O419" authorId="0" shapeId="0">
      <text>
        <t>М4: = alone, on my own</t>
      </text>
    </comment>
    <comment ref="K420" authorId="0" shapeId="0">
      <text>
        <t>М10: dress, wash, hide</t>
      </text>
    </comment>
    <comment ref="M420" authorId="0" shapeId="0">
      <text>
        <t>М6 (6d): добавлены shave, undress, afford, complain, meet, wake up; исключение — маленькие дети/животные</t>
      </text>
    </comment>
    <comment ref="O420" authorId="0" shapeId="0">
      <text>
        <t>М4: добавлены rest, relax, stand up, get up, sit down</t>
      </text>
    </comment>
    <comment ref="O421" authorId="0" shapeId="0">
      <text>
        <t>М4: Helen doesn't seem herself lately</t>
      </text>
    </comment>
    <comment ref="M422" authorId="0" shapeId="0">
      <text>
        <t>М6 (6d): behind you</t>
      </text>
    </comment>
    <comment ref="O422" authorId="0" shapeId="0">
      <text>
        <t>М4: take care of yourself; behind you, NOT behind yourself</t>
      </text>
    </comment>
    <comment ref="M424" authorId="0" shapeId="0">
      <text>
        <t>М8 (8d): Every student has a library card</t>
      </text>
    </comment>
    <comment ref="M429" authorId="0" shapeId="0">
      <text>
        <t>М8 (8d): -body/-one, -thing, -where</t>
      </text>
    </comment>
    <comment ref="N429" authorId="0" shapeId="0">
      <text>
        <t>М5 (5c): производные упомянуты без таблицы</t>
      </text>
    </comment>
    <comment ref="M431" authorId="0" shapeId="0">
      <text>
        <t>М8 (8d): Would you like some cake?</t>
      </text>
    </comment>
    <comment ref="O431" authorId="0" shapeId="0">
      <text>
        <t>М8 (8c): добавлено: когда ожидается «да» (Have you lost something?)</t>
      </text>
    </comment>
    <comment ref="N434" authorId="0" shapeId="0">
      <text>
        <t>М5 (5c): Anyone can take part</t>
      </text>
    </comment>
    <comment ref="O434" authorId="0" shapeId="0">
      <text>
        <t>М8 (8c): Anyone can take part; You can come any time</t>
      </text>
    </comment>
    <comment ref="N435" authorId="0" shapeId="0">
      <text>
        <t>М5 (5c): примеры замен: haven't got any → 've got no; wasn't anybody → was nobody</t>
      </text>
    </comment>
    <comment ref="O436" authorId="0" shapeId="0">
      <text>
        <t>М8 (8c): в утвердительных с неисч. и мн. ч.</t>
      </text>
    </comment>
    <comment ref="O439" authorId="0" shapeId="0">
      <text>
        <t>М8 (8c): Both Nick and Alex are… / They are both… / Both of them…</t>
      </text>
    </comment>
    <comment ref="O440" authorId="0" shapeId="0">
      <text>
        <t>М8 (8c): + ед. ч. исчисляемого; either of/neither of + глагол в ед. или мн. ч.</t>
      </text>
    </comment>
    <comment ref="O441" authorId="0" shapeId="0">
      <text>
        <t>М8 (8c): All of us… / We all… / All four of us…</t>
      </text>
    </comment>
    <comment ref="O442" authorId="0" shapeId="0">
      <text>
        <t>М8 (8c): No, none. / none of + сущ./местоимение</t>
      </text>
    </comment>
    <comment ref="O443" authorId="0" shapeId="0">
      <text>
        <t>М8 (8c): a/the/this/my + whole + noun</t>
      </text>
    </comment>
    <comment ref="H445" authorId="0" shapeId="0">
      <text>
        <t>М2: never, sometimes, usually, often, always; с Present Simple</t>
      </text>
    </comment>
    <comment ref="I445" authorId="0" shapeId="0">
      <text>
        <t>М6 (6a): never, sometimes, often, usually, always</t>
      </text>
    </comment>
    <comment ref="H446" authorId="0" shapeId="0">
      <text>
        <t>М2: только примерами: перед смысловым глаголом и после is; правило не сформулировано</t>
      </text>
    </comment>
    <comment ref="I446" authorId="0" shapeId="0">
      <text>
        <t>М6 (6a): правило сформулировано: перед смысловым, после to be</t>
      </text>
    </comment>
    <comment ref="I447" authorId="0" shapeId="0">
      <text>
        <t>М6 (6a): He doesn't often read; He can never sleep</t>
      </text>
    </comment>
    <comment ref="J447" authorId="0" shapeId="0">
      <text>
        <t>М4 (4a): He can never wake up…</t>
      </text>
    </comment>
    <comment ref="L447" authorId="0" shapeId="0">
      <text>
        <t>М1 (1c): после вспомогательных</t>
      </text>
    </comment>
    <comment ref="M447" authorId="0" shapeId="0">
      <text>
        <t>М1 (1c): He has never travelled abroad</t>
      </text>
    </comment>
    <comment ref="J448" authorId="0" shapeId="0">
      <text>
        <t>М4 (4a): seldom, rarely</t>
      </text>
    </comment>
    <comment ref="L449" authorId="0" shapeId="0">
      <text>
        <t>М1 (1c): always 100%, usually 75%, often 50%, sometimes 25%, never 0%</t>
      </text>
    </comment>
    <comment ref="H450" authorId="0" shapeId="0">
      <text>
        <t>М4: small — smaller; + than при сравнении</t>
      </text>
    </comment>
    <comment ref="I450" authorId="0" shapeId="0">
      <text>
        <t>М7: Ben is taller than Emma</t>
      </text>
    </comment>
    <comment ref="H451" authorId="0" shapeId="0">
      <text>
        <t>М4: beautiful — more beautiful</t>
      </text>
    </comment>
    <comment ref="I451" authorId="0" shapeId="0">
      <text>
        <t>М7: more beautiful</t>
      </text>
    </comment>
    <comment ref="L451" authorId="0" shapeId="0">
      <text>
        <t>М1 (1d): sociable</t>
      </text>
    </comment>
    <comment ref="H452" authorId="0" shapeId="0">
      <text>
        <t>М4: nice — nicer, thin — thinner, funny — funnier; только для -er
М7: добавлено -est: nicest, happiest, biggest</t>
      </text>
    </comment>
    <comment ref="I452" authorId="0" shapeId="0">
      <text>
        <t>М7: big – bigger, wise – wiser, sunny – sunnier</t>
      </text>
    </comment>
    <comment ref="J452" authorId="0" shapeId="0">
      <text>
        <t>М8 (8b): safe – safer, early – earlier, big – bigger</t>
      </text>
    </comment>
    <comment ref="K452" authorId="0" shapeId="0">
      <text>
        <t>М7: wide – wider, big – bigger, ugly – uglier</t>
      </text>
    </comment>
    <comment ref="L452" authorId="0" shapeId="0">
      <text>
        <t>М1 (1d): hot – hotter, easy – easier</t>
      </text>
    </comment>
    <comment ref="M452" authorId="0" shapeId="0">
      <text>
        <t>М5 (5c): hot-hotter, easy-easier</t>
      </text>
    </comment>
    <comment ref="N452" authorId="0" shapeId="0">
      <text>
        <t>М3 (3c): big – bigger, -ier</t>
      </text>
    </comment>
    <comment ref="H453" authorId="0" shapeId="0">
      <text>
        <t>М7: tall — tallest; the + … + of/in, сравнение 3+</t>
      </text>
    </comment>
    <comment ref="I453" authorId="0" shapeId="0">
      <text>
        <t>М7: the + -est + of/in; артикль относится к существительному</t>
      </text>
    </comment>
    <comment ref="L453" authorId="0" shapeId="0">
      <text>
        <t>М1 (1d): the youngest of…, the funniest … in</t>
      </text>
    </comment>
    <comment ref="N453" authorId="0" shapeId="0">
      <text>
        <t>М3 (3c): the + in (места) / of</t>
      </text>
    </comment>
    <comment ref="H454" authorId="0" shapeId="0">
      <text>
        <t>М7: interesting — most interesting</t>
      </text>
    </comment>
    <comment ref="I454" authorId="0" shapeId="0">
      <text>
        <t>М7: the most beautiful</t>
      </text>
    </comment>
    <comment ref="H455" authorId="0" shapeId="0">
      <text>
        <t>М7: только good — better — best, bad — worse — worst</t>
      </text>
    </comment>
    <comment ref="I455" authorId="0" shapeId="0">
      <text>
        <t>М6: добавлены much/many/lots – more – most, little – less – least
М7: good, bad, many/much, little</t>
      </text>
    </comment>
    <comment ref="J455" authorId="0" shapeId="0">
      <text>
        <t>М8 (8b): good, bad, many/much, little</t>
      </text>
    </comment>
    <comment ref="N455" authorId="0" shapeId="0">
      <text>
        <t>М3 (3c): good/well, bad/badly, much, many/lots, little</t>
      </text>
    </comment>
    <comment ref="H456" authorId="0" shapeId="0">
      <text>
        <t>М4: только на -y: busy — busier
М7: tasty — tastiest</t>
      </text>
    </comment>
    <comment ref="J456" authorId="0" shapeId="0">
      <text>
        <t>М8 (8b): добавлены двусложные на -er (pretty, …-er)</t>
      </text>
    </comment>
    <comment ref="K456" authorId="0" shapeId="0">
      <text>
        <t>М7: добавлены на -ow (narrow – narrower)</t>
      </text>
    </comment>
    <comment ref="M456" authorId="0" shapeId="0">
      <text>
        <t>М5 (5c): easy-easier</t>
      </text>
    </comment>
    <comment ref="N456" authorId="0" shapeId="0">
      <text>
        <t>М3 (3c): согласная + y → -ier/-iest</t>
      </text>
    </comment>
    <comment ref="K457" authorId="0" shapeId="0">
      <text>
        <t>М7: clever, common, cruel, friendly, gentle, pleasant, polite, simple, stupid, quiet</t>
      </text>
    </comment>
    <comment ref="L457" authorId="0" shapeId="0">
      <text>
        <t>М1 (1d): clever, cruel, friendly, gentle, narrow, quiet, shallow, simple</t>
      </text>
    </comment>
    <comment ref="M457" authorId="0" shapeId="0">
      <text>
        <t>М5 (5c): clever, cruel, friendly…, stupid</t>
      </text>
    </comment>
    <comment ref="N457" authorId="0" shapeId="0">
      <text>
        <t>М3 (3c): clever, common, …, stupid</t>
      </text>
    </comment>
    <comment ref="K458" authorId="0" shapeId="0">
      <text>
        <t>М7: far – farther/further; old – older/elder</t>
      </text>
    </comment>
    <comment ref="L458" authorId="0" shapeId="0">
      <text>
        <t>М1 (1d): farther — расстояние / further — время (further information); elder/eldest — члены семьи</t>
      </text>
    </comment>
    <comment ref="M458" authorId="0" shapeId="0">
      <text>
        <t>М5 (5c): far, elder/eldest</t>
      </text>
    </comment>
    <comment ref="N458" authorId="0" shapeId="0">
      <text>
        <t>М3 (3c): far – farther/further; elder/eldest</t>
      </text>
    </comment>
    <comment ref="I459" authorId="0" shapeId="0">
      <text>
        <t>М6: fast, early, late, high, near: hard – harder – hardest</t>
      </text>
    </comment>
    <comment ref="K459" authorId="0" shapeId="0">
      <text>
        <t>М7: расширенный список: free, low, deep, long, right, wrong, straight</t>
      </text>
    </comment>
    <comment ref="L459" authorId="0" shapeId="0">
      <text>
        <t>М1 (1d): hard, fast, early, late…</t>
      </text>
    </comment>
    <comment ref="I460" authorId="0" shapeId="0">
      <text>
        <t>М6: slowly – more slowly – most slowly</t>
      </text>
    </comment>
    <comment ref="K460" authorId="0" shapeId="0">
      <text>
        <t>М7: slowly</t>
      </text>
    </comment>
    <comment ref="L460" authorId="0" shapeId="0">
      <text>
        <t>М1 (1d): quickly, slowly, easily</t>
      </text>
    </comment>
    <comment ref="I461" authorId="0" shapeId="0">
      <text>
        <t>М6: well – better – best, badly – worse – worst</t>
      </text>
    </comment>
    <comment ref="K461" authorId="0" shapeId="0">
      <text>
        <t>М7: good/well, bad/badly</t>
      </text>
    </comment>
    <comment ref="M461" authorId="0" shapeId="0">
      <text>
        <t>М5 (5c): good/well, bad/badly</t>
      </text>
    </comment>
    <comment ref="K462" authorId="0" shapeId="0">
      <text>
        <t>М3: a small car – small cars</t>
      </text>
    </comment>
    <comment ref="K463" authorId="0" shapeId="0">
      <text>
        <t>М3: Mary is young. You look tired.</t>
      </text>
    </comment>
    <comment ref="K464" authorId="0" shapeId="0">
      <text>
        <t>М3: beautiful, good vs long, strong, young</t>
      </text>
    </comment>
    <comment ref="K465" authorId="0" shapeId="0">
      <text>
        <t>М3: a colourful summer dress; обычно не более трёх</t>
      </text>
    </comment>
    <comment ref="L465" authorId="0" shapeId="0">
      <text>
        <t>М2 (2e): nice, strange; good, practical, bad</t>
      </text>
    </comment>
    <comment ref="K466" authorId="0" shapeId="0">
      <text>
        <t>М3: Size, Age, Shape, Colour, Origin, Material; узор не выделен</t>
      </text>
    </comment>
    <comment ref="L466" authorId="0" shapeId="0">
      <text>
        <t>М2 (2e): huge, old, round, dark pink, Italian, leather</t>
      </text>
    </comment>
    <comment ref="L467" authorId="0" shapeId="0">
      <text>
        <t>М2 (2e): striped, checked, floral — между цветом и происхождением</t>
      </text>
    </comment>
    <comment ref="K468" authorId="0" shapeId="0">
      <text>
        <t>М3: amazing</t>
      </text>
    </comment>
    <comment ref="N468" authorId="0" shapeId="0">
      <text>
        <t>М5 (5e): It was an exciting story</t>
      </text>
    </comment>
    <comment ref="K469" authorId="0" shapeId="0">
      <text>
        <t>М3: shocked, amazed</t>
      </text>
    </comment>
    <comment ref="N469" authorId="0" shapeId="0">
      <text>
        <t>М5 (5e): We were excited by the news</t>
      </text>
    </comment>
    <comment ref="K470" authorId="0" shapeId="0">
      <text>
        <t>М7: as … as, not as/so … as</t>
      </text>
    </comment>
    <comment ref="M470" authorId="0" shapeId="0">
      <text>
        <t>М5 (5c): as … as / not as(so) … as</t>
      </text>
    </comment>
    <comment ref="K471" authorId="0" shapeId="0">
      <text>
        <t>М7: less … than / more … than; the least / the most … of/in</t>
      </text>
    </comment>
    <comment ref="M471" authorId="0" shapeId="0">
      <text>
        <t>М5 (5c): less/more … than, the least/most</t>
      </text>
    </comment>
    <comment ref="K472" authorId="0" shapeId="0">
      <text>
        <t>М7: much/a lot/far/a little/a bit/slightly</t>
      </text>
    </comment>
    <comment ref="M472" authorId="0" shapeId="0">
      <text>
        <t>М5 (5c): much/a lot/far/a little bit/slightly</t>
      </text>
    </comment>
    <comment ref="K473" authorId="0" shapeId="0">
      <text>
        <t>М7: The harder she studies, the more easily…</t>
      </text>
    </comment>
    <comment ref="M473" authorId="0" shapeId="0">
      <text>
        <t>М5 (5c): The longer the day went on, the more tired…</t>
      </text>
    </comment>
    <comment ref="N473" authorId="0" shapeId="0">
      <text>
        <t>М3 (3c): The harder you study, the better…</t>
      </text>
    </comment>
    <comment ref="K474" authorId="0" shapeId="0">
      <text>
        <t>М7: shorter and shorter</t>
      </text>
    </comment>
    <comment ref="M474" authorId="0" shapeId="0">
      <text>
        <t>М5 (5c): worse and worse</t>
      </text>
    </comment>
    <comment ref="N474" authorId="0" shapeId="0">
      <text>
        <t>М3 (3c): warmer and warmer</t>
      </text>
    </comment>
    <comment ref="K475" authorId="0" shapeId="0">
      <text>
        <t>М7: by far + the + superlative</t>
      </text>
    </comment>
    <comment ref="N476" authorId="0" shapeId="0">
      <text>
        <t>М3 (3c): twice/three times/half as … as</t>
      </text>
    </comment>
    <comment ref="N477" authorId="0" shapeId="0">
      <text>
        <t>М3 (3c): the same … as</t>
      </text>
    </comment>
    <comment ref="N478" authorId="0" shapeId="0">
      <text>
        <t>М3 (3c): look/sound/smell/taste + like</t>
      </text>
    </comment>
    <comment ref="L479" authorId="0" shapeId="0">
      <text>
        <t>М1 (1d): место — перед прил./нареч.; really, very, extremely</t>
      </text>
    </comment>
    <comment ref="L480" authorId="0" shapeId="0">
      <text>
        <t>М1 (1d): pretty, quite, rather</t>
      </text>
    </comment>
    <comment ref="L481" authorId="0" shapeId="0">
      <text>
        <t>М1 (1d): a little, a bit</t>
      </text>
    </comment>
    <comment ref="L482" authorId="0" shapeId="0">
      <text>
        <t>М4 (4b): too busy</t>
      </text>
    </comment>
    <comment ref="L483" authorId="0" shapeId="0">
      <text>
        <t>М4 (4b): well enough, not old enough</t>
      </text>
    </comment>
    <comment ref="L484" authorId="0" shapeId="0">
      <text>
        <t>М4 (4b): enough time, not enough chairs</t>
      </text>
    </comment>
    <comment ref="L485" authorId="0" shapeId="0">
      <text>
        <t>М4 (4b): только в примерах: too busy to see you, not old enough to drive</t>
      </text>
    </comment>
    <comment ref="M485" authorId="0" shapeId="0">
      <text>
        <t>М2 (2c): выделено как модель + to-inf; not … enough — недостаточность</t>
      </text>
    </comment>
    <comment ref="M486" authorId="0" shapeId="0">
      <text>
        <t>М4 (4c): so loudly that…; so + many/much/few/little</t>
      </text>
    </comment>
    <comment ref="M487" authorId="0" shapeId="0">
      <text>
        <t>М4 (4c): such (a/an) + сущ.; such a lot of</t>
      </text>
    </comment>
    <comment ref="M488" authorId="0" shapeId="0">
      <text>
        <t>М4 (4c): so + adj + a(n) + noun</t>
      </text>
    </comment>
    <comment ref="O488" authorId="0" shapeId="0">
      <text>
        <t>М2 (2c): so popular a restaurant</t>
      </text>
    </comment>
    <comment ref="H489" authorId="0" shapeId="0">
      <text>
        <t>М5: 1–31 с сокращениями 1st, 2nd, 3rd</t>
      </text>
    </comment>
    <comment ref="J489" authorId="0" shapeId="0">
      <text>
        <t>М2 (2a): добавлены большие числа: 51st, 101st, 382nd, 6503rd</t>
      </text>
    </comment>
    <comment ref="H490" authorId="0" shapeId="0">
      <text>
        <t>М5: список до thirty-first</t>
      </text>
    </comment>
    <comment ref="J490" authorId="0" shapeId="0">
      <text>
        <t>М2 (2a): правило сформулировано: seven – seventh, 56 – fifty-sixth</t>
      </text>
    </comment>
    <comment ref="H491" authorId="0" shapeId="0">
      <text>
        <t>М5: fifteen — the fifteenth; даты</t>
      </text>
    </comment>
    <comment ref="J491" authorId="0" shapeId="0">
      <text>
        <t>М2 (2a): добавлено: пишется September 1 — читается the first of September; всегда с the</t>
      </text>
    </comment>
    <comment ref="G492" authorId="0" shapeId="0">
      <text>
        <t>М6: схемами</t>
      </text>
    </comment>
    <comment ref="J493" authorId="0" shapeId="0">
      <text>
        <t>М2 (2b): beside/next to</t>
      </text>
    </comment>
    <comment ref="H494" authorId="0" shapeId="0">
      <text>
        <t>М1: новые в 4 кл.</t>
      </text>
    </comment>
    <comment ref="I496" authorId="0" shapeId="0">
      <text>
        <t>М3 (3c): at 20, Oxford Street</t>
      </text>
    </comment>
    <comment ref="I497" authorId="0" shapeId="0">
      <text>
        <t>М3 (3c): in the middle, in the air, in prison, in a newspaper</t>
      </text>
    </comment>
    <comment ref="I498" authorId="0" shapeId="0">
      <text>
        <t>М3 (3c): in Athens, in England, in Europe</t>
      </text>
    </comment>
    <comment ref="G500" authorId="0" shapeId="0">
      <text>
        <t>М8: at 4 o'clock, at Christmas, at noon, at night, at the weekend</t>
      </text>
    </comment>
    <comment ref="I500" authorId="0" shapeId="0">
      <text>
        <t>М6 (6a): добавлены at Easter, at the moment, at present, at dawn, at midnight</t>
      </text>
    </comment>
    <comment ref="G501" authorId="0" shapeId="0">
      <text>
        <t>М8: on Monday</t>
      </text>
    </comment>
    <comment ref="I501" authorId="0" shapeId="0">
      <text>
        <t>М6 (6a): on Monday, on New Year's Day</t>
      </text>
    </comment>
    <comment ref="I502" authorId="0" shapeId="0">
      <text>
        <t>М6 (6a): on 6th May, on Tuesday evening, on a hot day</t>
      </text>
    </comment>
    <comment ref="I504" authorId="0" shapeId="0">
      <text>
        <t>М6 (6a): in September, in the winter, in 1996, in the 20th century</t>
      </text>
    </comment>
    <comment ref="N506" authorId="0" shapeId="0">
      <text>
        <t>М3 (3c): works like a dog; like + noun/pronoun/-ing</t>
      </text>
    </comment>
    <comment ref="N507" authorId="0" shapeId="0">
      <text>
        <t>М3 (3c): works as a clerk; придаточные образа действия</t>
      </text>
    </comment>
    <comment ref="N508" authorId="0" shapeId="0">
      <text>
        <t>М3 (3c): works like a dog vs works as a clerk</t>
      </text>
    </comment>
    <comment ref="G509" authorId="0" shapeId="0">
      <text>
        <t>М4: только whose (Whose is this doll?), в разделе Possessive case</t>
      </text>
    </comment>
    <comment ref="H510" authorId="0" shapeId="0">
      <text>
        <t>М3: How much — неисчисляемые, How many — исчисляемые; в разделе Much/Many/A lot of</t>
      </text>
    </comment>
    <comment ref="H511" authorId="0" shapeId="0">
      <text>
        <t>М8: who, what, where, when, why, how — впервые как раздел</t>
      </text>
    </comment>
    <comment ref="G512" authorId="0" shapeId="0">
      <text>
        <t>М6: there's — краткая форма</t>
      </text>
    </comment>
    <comment ref="I512" authorId="0" shapeId="0">
      <text>
        <t>М3 (3b): перевод начинается с обстоятельства места</t>
      </text>
    </comment>
    <comment ref="G513" authorId="0" shapeId="0">
      <text>
        <t>М6: There are two beds…</t>
      </text>
    </comment>
    <comment ref="G514" authorId="0" shapeId="0">
      <text>
        <t>М6: There isn't / There aren't</t>
      </text>
    </comment>
    <comment ref="G515" authorId="0" shapeId="0">
      <text>
        <t>М6: Is there…? / Are there…? (кратких ответов нет)</t>
      </text>
    </comment>
    <comment ref="I515" authorId="0" shapeId="0">
      <text>
        <t>М3 (3b): кратких ответов нет</t>
      </text>
    </comment>
    <comment ref="I516" authorId="0" shapeId="0">
      <text>
        <t>М3 (3b): There are some chairs / There aren't any / Are there any…?</t>
      </text>
    </comment>
    <comment ref="I517" authorId="0" shapeId="0">
      <text>
        <t>М1 (1b): to be, have got (Are you a teacher or a doctor?)</t>
      </text>
    </comment>
    <comment ref="I518" authorId="0" shapeId="0">
      <text>
        <t>М1 (1b): Does he work or does he go to school?
М5 (5b): Does Ann walk her dog in the morning or in the afternoon?</t>
      </text>
    </comment>
    <comment ref="I519" authorId="0" shapeId="0">
      <text>
        <t>М1 (1a): Stand up! Open your books.
М4 (4b): всегда обращено ко 2 лицу ед./мн. ч.</t>
      </text>
    </comment>
    <comment ref="I520" authorId="0" shapeId="0">
      <text>
        <t>М1 (1a): Don't come in!</t>
      </text>
    </comment>
    <comment ref="I521" authorId="0" shapeId="0">
      <text>
        <t>М4 (4b): Be quiet!</t>
      </text>
    </comment>
    <comment ref="I522" authorId="0" shapeId="0">
      <text>
        <t>М4 (4b): Press the button on the left</t>
      </text>
    </comment>
    <comment ref="I523" authorId="0" shapeId="0">
      <text>
        <t>М4 (4b): Have some orange juice</t>
      </text>
    </comment>
    <comment ref="I524" authorId="0" shapeId="0">
      <text>
        <t>М4 (4b): please в начале или в конце</t>
      </text>
    </comment>
    <comment ref="I525" authorId="0" shapeId="0">
      <text>
        <t>М7 (7a): It is 6 o'clock. It's late. It is five miles from here.</t>
      </text>
    </comment>
    <comment ref="I526" authorId="0" shapeId="0">
      <text>
        <t>М7 (7a): It's freezing.</t>
      </text>
    </comment>
    <comment ref="I527" authorId="0" shapeId="0">
      <text>
        <t>М5 (5c): Present Simple: don't you?</t>
      </text>
    </comment>
    <comment ref="K527" authorId="0" shapeId="0">
      <text>
        <t>М8: isn't he, haven't you</t>
      </text>
    </comment>
    <comment ref="M527" authorId="0" shapeId="0">
      <text>
        <t>М8 (8d): добавлено did; do/does/did при отсутствии вспомогательного</t>
      </text>
    </comment>
    <comment ref="I528" authorId="0" shapeId="0">
      <text>
        <t>М5 (5c): is / can: isn't she, can't she</t>
      </text>
    </comment>
    <comment ref="K528" authorId="0" shapeId="0">
      <text>
        <t>М8: can't she</t>
      </text>
    </comment>
    <comment ref="I529" authorId="0" shapeId="0">
      <text>
        <t>М5 (5c): This is…, isn't it? / He doesn't…, does he?
М7 (7a): повторение правил 5c, нового нет</t>
      </text>
    </comment>
    <comment ref="I530" authorId="0" shapeId="0">
      <text>
        <t>М5 (5c): There is no TV…, is there?</t>
      </text>
    </comment>
    <comment ref="K531" authorId="0" shapeId="0">
      <text>
        <t>М8: You never listen…, do you?</t>
      </text>
    </comment>
    <comment ref="M532" authorId="0" shapeId="0">
      <text>
        <t>М8 (8d): I am late, aren't I?</t>
      </text>
    </comment>
    <comment ref="M533" authorId="0" shapeId="0">
      <text>
        <t>М8 (8d): Let's → shall we?; Let me/him → will you/won't you?</t>
      </text>
    </comment>
    <comment ref="M534" authorId="0" shapeId="0">
      <text>
        <t>М8 (8d): отрицательный императив → will you?</t>
      </text>
    </comment>
    <comment ref="M535" authorId="0" shapeId="0">
      <text>
        <t>М8 (8d): I have (владеть) → haven't I?; идиома → don't/didn't I?</t>
      </text>
    </comment>
    <comment ref="M536" authorId="0" shapeId="0">
      <text>
        <t>М8 (8d): This/That is → isn't it?</t>
      </text>
    </comment>
    <comment ref="J537" authorId="0" shapeId="0">
      <text>
        <t>М4 (4c): and, then, after that, when, before, later; because/so в справочнике нет</t>
      </text>
    </comment>
    <comment ref="K538" authorId="0" shapeId="0">
      <text>
        <t>М3: who(m)/that — люди, which/that — предметы</t>
      </text>
    </comment>
    <comment ref="K539" authorId="0" shapeId="0">
      <text>
        <t>М3: whose — люди, животные, предметы; не опускается</t>
      </text>
    </comment>
    <comment ref="K540" authorId="0" shapeId="0">
      <text>
        <t>М3: можно опустить, если дополнение; нельзя — если подлежащее</t>
      </text>
    </comment>
    <comment ref="M540" authorId="0" shapeId="0">
      <text>
        <t>М1 (1d): The woman (who) you met…</t>
      </text>
    </comment>
    <comment ref="K541" authorId="0" shapeId="0">
      <text>
        <t>М3: when/that, where, why (после reason)</t>
      </text>
    </comment>
    <comment ref="M541" authorId="0" shapeId="0">
      <text>
        <t>М1 (1d): when/that, where, why</t>
      </text>
    </comment>
    <comment ref="M542" authorId="0" shapeId="0">
      <text>
        <t>М1 (1d): с запятыми / без, that только в defining</t>
      </text>
    </comment>
    <comment ref="M543" authorId="0" shapeId="0">
      <text>
        <t>М1 (1d): …, which she doesn't like</t>
      </text>
    </comment>
    <comment ref="M544" authorId="0" shapeId="0">
      <text>
        <t>М1 (1d): That's the book of which/whose (the) first page is missing</t>
      </text>
    </comment>
    <comment ref="M545" authorId="0" shapeId="0">
      <text>
        <t>М1 (1d): some of / many of / most of / half of</t>
      </text>
    </comment>
    <comment ref="O545" authorId="0" shapeId="0">
      <text>
        <t>М2 (2c): most of which</t>
      </text>
    </comment>
    <comment ref="M546" authorId="0" shapeId="0">
      <text>
        <t>М1 (1d): The person to whom you were speaking…</t>
      </text>
    </comment>
    <comment ref="K547" authorId="0" shapeId="0">
      <text>
        <t>М5: while, before, after, until/till, as, when, whenever, once, as soon as, as long as, by the time</t>
      </text>
    </comment>
    <comment ref="M547" authorId="0" shapeId="0">
      <text>
        <t>М4 (4c): тот же список союзов</t>
      </text>
    </comment>
    <comment ref="N547" authorId="0" shapeId="0">
      <text>
        <t>М3 (3c): while, before, until, as soon as, after, by the time, as</t>
      </text>
    </comment>
    <comment ref="K548" authorId="0" shapeId="0">
      <text>
        <t>М5: Present Perfect вместо будущего</t>
      </text>
    </comment>
    <comment ref="M549" authorId="0" shapeId="0">
      <text>
        <t>М4 (4c): unless, if, suppose/supposing, in case</t>
      </text>
    </comment>
    <comment ref="N549" authorId="0" shapeId="0">
      <text>
        <t>М3 (3c): только if</t>
      </text>
    </comment>
    <comment ref="M550" authorId="0" shapeId="0">
      <text>
        <t>М4 (4c): when — вопросительное слово; if/whether после I don't know, I doubt, I wonder, I'm not sure</t>
      </text>
    </comment>
    <comment ref="N550" authorId="0" shapeId="0">
      <text>
        <t>М3 (3c): только when: вопросительное слово vs союз</t>
      </text>
    </comment>
    <comment ref="L551" authorId="0" shapeId="0">
      <text>
        <t>М6 (6c): Could you tell me…? Do you know…?</t>
      </text>
    </comment>
    <comment ref="L552" authorId="0" shapeId="0">
      <text>
        <t>М6 (6c): I wonder, I want to know, I doubt</t>
      </text>
    </comment>
    <comment ref="L554" authorId="0" shapeId="0">
      <text>
        <t>М6 (6c): ask, inquire, wonder, want/would like to know</t>
      </text>
    </comment>
    <comment ref="M559" authorId="0" shapeId="0">
      <text>
        <t>М4 (4c): to / in order to / so as to</t>
      </text>
    </comment>
    <comment ref="M560" authorId="0" shapeId="0">
      <text>
        <t>М4 (4c): so that + can/will — наст./буд.; could/would — прош.</t>
      </text>
    </comment>
    <comment ref="M561" authorId="0" shapeId="0">
      <text>
        <t>М4 (4c): with the view to (так в справочнике) / with the aim of</t>
      </text>
    </comment>
    <comment ref="O562" authorId="0" shapeId="0">
      <text>
        <t>М2 (2c): a liquid for removing paint</t>
      </text>
    </comment>
    <comment ref="O563" authorId="0" shapeId="0">
      <text>
        <t>М2 (2c): in case + Present — наст./буд.; + Past — прош.</t>
      </text>
    </comment>
    <comment ref="O564" authorId="0" shapeId="0">
      <text>
        <t>М2 (2c): одно и то же действующее лицо</t>
      </text>
    </comment>
    <comment ref="O565" authorId="0" shapeId="0">
      <text>
        <t>М2 (2c): разные действующие лица</t>
      </text>
    </comment>
    <comment ref="O566" authorId="0" shapeId="0">
      <text>
        <t>М2 (2c): for fear/lest + might/should; for fear of sth/doing</t>
      </text>
    </comment>
    <comment ref="O567" authorId="0" shapeId="0">
      <text>
        <t>М2 (2c): prevent + noun/pronoun (+ from) + -ing; avoid + -ing</t>
      </text>
    </comment>
    <comment ref="M568" authorId="0" shapeId="0">
      <text>
        <t>М4 (4c): such a(n) + исчисл. ед. ч.; such + мн. ч.; such a lot of</t>
      </text>
    </comment>
    <comment ref="M569" authorId="0" shapeId="0">
      <text>
        <t>М4 (4c): so + прил./нареч.; so + few/little/many/much; so popular a museum that</t>
      </text>
    </comment>
    <comment ref="M570" authorId="0" shapeId="0">
      <text>
        <t>М4 (4c): (and) as a result, as a consequence, consequently (офиц.), so, therefore</t>
      </text>
    </comment>
    <comment ref="M572" authorId="0" shapeId="0">
      <text>
        <t>М7 (7c): but for + -ing/noun</t>
      </text>
    </comment>
    <comment ref="M574" authorId="0" shapeId="0">
      <text>
        <t>М7 (7c): Only if…, will you…</t>
      </text>
    </comment>
    <comment ref="N574" authorId="0" shapeId="0">
      <text>
        <t>М6 (6c): Only if you are dressed formally, will you…</t>
      </text>
    </comment>
    <comment ref="M575" authorId="0" shapeId="0">
      <text>
        <t>М7 (7c): If she should need help…</t>
      </text>
    </comment>
    <comment ref="N575" authorId="0" shapeId="0">
      <text>
        <t>М6 (6c): If she should need help…</t>
      </text>
    </comment>
    <comment ref="O575" authorId="0" shapeId="0">
      <text>
        <t>М7 (7c): + настойчивость (If you will stop arguing…); NOT if you will stay</t>
      </text>
    </comment>
    <comment ref="M576" authorId="0" shapeId="0">
      <text>
        <t>М1 (1c): How tall she is! How carefully he drives!</t>
      </text>
    </comment>
    <comment ref="M577" authorId="0" shapeId="0">
      <text>
        <t>М1 (1c): What a pretty baby! What an amazing story!</t>
      </text>
    </comment>
    <comment ref="M578" authorId="0" shapeId="0">
      <text>
        <t>М1 (1c): What horrible weather! (NOT What a horrible weather)</t>
      </text>
    </comment>
    <comment ref="M579" authorId="0" shapeId="0">
      <text>
        <t>М1 (1c): Isn't it great to be here!</t>
      </text>
    </comment>
    <comment ref="M580" authorId="0" shapeId="0">
      <text>
        <t>М7 (7c): Should he pass… / Were there… / Had I known…; дано в разделе условных</t>
      </text>
    </comment>
    <comment ref="N580" authorId="0" shapeId="0">
      <text>
        <t>М6 (6c): Should he pass / Were I / Had I known</t>
      </text>
    </comment>
    <comment ref="O582" authorId="0" shapeId="0">
      <text>
        <t>М8 (8c): Barely, Hardly… when, In no way, Under no circumstances, Little, Never, Nor/Neither, No sooner… than, Not only… but also, Nowhere, On no account, Rarely, Scarcely, Seldom</t>
      </text>
    </comment>
    <comment ref="O583" authorId="0" shapeId="0">
      <text>
        <t>М8 (8c): only after/by/if/when, not since, not till/until</t>
      </text>
    </comment>
    <comment ref="O584" authorId="0" shapeId="0">
      <text>
        <t>М8 (8c): So angry was he, that…</t>
      </text>
    </comment>
    <comment ref="O585" authorId="0" shapeId="0">
      <text>
        <t>М8 (8c): as did his grandparents</t>
      </text>
    </comment>
    <comment ref="O586" authorId="0" shapeId="0">
      <text>
        <t>М8 (8c): НО There it goes / Here they are</t>
      </text>
    </comment>
    <comment ref="O587" authorId="0" shapeId="0">
      <text>
        <t>М8 (8c): НО "…," he said</t>
      </text>
    </comment>
    <comment ref="O588" authorId="0" shapeId="0">
      <text>
        <t>М2 (2c): because отвечает на why; for — после запятой, очень формально</t>
      </text>
    </comment>
    <comment ref="O589" authorId="0" shapeId="0">
      <text>
        <t>М2 (2c): the reason for, the reason (why)</t>
      </text>
    </comment>
    <comment ref="O590" authorId="0" shapeId="0">
      <text>
        <t>М2 (2c): because of / due to + noun/-ing; … the fact that + clause</t>
      </text>
    </comment>
    <comment ref="O591" authorId="0" shapeId="0">
      <text>
        <t>М2 (2c): to whom, of which; ранее в Relative clauses 9–10 кл.</t>
      </text>
    </comment>
    <comment ref="O592" authorId="0" shapeId="0">
      <text>
        <t>М2 (2c): That was the year (when/that)…; можно опустить; ранее в Relative clauses 7, 9, 10 кл.</t>
      </text>
    </comment>
    <comment ref="O593" authorId="0" shapeId="0">
      <text>
        <t>М2 (2c): The restaurant where…</t>
      </text>
    </comment>
    <comment ref="O594" authorId="0" shapeId="0">
      <text>
        <t>М2 (2c): The reason (why) she was late…; можно опустить</t>
      </text>
    </comment>
    <comment ref="O595" authorId="0" shapeId="0">
      <text>
        <t>М8 (8c): So does Jack</t>
      </text>
    </comment>
    <comment ref="O596" authorId="0" shapeId="0">
      <text>
        <t>М8 (8c): Neither/Nor did James; NOT So didn't James</t>
      </text>
    </comment>
    <comment ref="L597" authorId="0" shapeId="0">
      <text>
        <t>М3 (3f): bring: bring about (осуществлять), bring back (напоминать, вспоминать), bring in (приносить деньги, вносить), bring out (выпускать на продажу), bring round (приводить в сознание), bring up (растить, воспитывать).</t>
      </text>
    </comment>
    <comment ref="N597" authorId="0" shapeId="0">
      <text>
        <t>М8 (8c): Фразовые глаголы с bring (ToC: «phrasal verbs (bring)»); состав частиц и значения в источнике не даны.</t>
      </text>
    </comment>
    <comment ref="L598" authorId="0" shapeId="0">
      <text>
        <t>М5 (5f): call: call for (звать; заходить за), call in (заходить, наносить визит), call off (отменять), call on (навещать), call out (звать на помощь).</t>
      </text>
    </comment>
    <comment ref="L599" authorId="0" shapeId="0">
      <text>
        <t>М1 (1f): get: get across (донести идеи до слушателя), get along with (ладить, поддерживать хорошие отношения), get somebody down (расстраивать), get over (поправиться, преодолеть), get over with (закончить, справиться).</t>
      </text>
    </comment>
    <comment ref="N599" authorId="0" shapeId="0">
      <text>
        <t>М5 (5c): Фразовые глаголы с get (ToC: «phrasal verbs (get)»); состав частиц и значения в источнике не даны.</t>
      </text>
    </comment>
    <comment ref="L600" authorId="0" shapeId="0">
      <text>
        <t>М7 (7f): give: give away (1) выдать секрет, 2) отдавать), give back (возвращать), give out (раздавать), give up (сдаваться, прекращать попытки).</t>
      </text>
    </comment>
    <comment ref="N600" authorId="0" shapeId="0">
      <text>
        <t>М6 (6c): Фразовые глаголы с give (ToC: «phrasal verbs (give)»); состав частиц и значения в источнике не даны.</t>
      </text>
    </comment>
    <comment ref="L601" authorId="0" shapeId="0">
      <text>
        <t>М2 (2f): go: go after (преследовать), go down with (заболеть чем-либо), go off (выйти из строя, сломаться), go through (пережить, получить опыт), go up (повышаться, увеличиваться), go with (подходить — об одежде), go without (обходиться без; в приложении — «выживать, справляться»).</t>
      </text>
    </comment>
    <comment ref="O601" authorId="0" shapeId="0">
      <text>
        <t>М4 (4c): go + частицы (English in Use 4c); конкретные частицы в доступных страницах не даны.</t>
      </text>
    </comment>
    <comment ref="L602" authorId="0" shapeId="0">
      <text>
        <t>М4 (4f): put: put away (откладывать, убирать), put off (отсрочивать, откладывать), put on (надевать), put out (потушить огонь), put (sb) through (to sb) (соединить по телефону), put up with (мириться с чем-либо).</t>
      </text>
    </comment>
    <comment ref="O602" authorId="0" shapeId="0">
      <text>
        <t>М2 (2c): put + частицы (English in Use 2c); конкретные частицы в доступных страницах не даны.</t>
      </text>
    </comment>
    <comment ref="L603" authorId="0" shapeId="0">
      <text>
        <t>М6 (6f): set: set aside (отставлять, откладывать), set back (задерживать), set in (наступать, начинаться; в приложении — «устанавливать»), set off (отправляться).</t>
      </text>
    </comment>
    <comment ref="L604" authorId="0" shapeId="0">
      <text>
        <t>М8 (8f): take: take after (быть похожим на), take off (1) взлетать, 2) снимать, убирать), take to (полюбить, пристраститься), take up (1) увлечься, заняться, 2) занимать время).</t>
      </text>
    </comment>
    <comment ref="N604" authorId="0" shapeId="0">
      <text>
        <t>М2 (2c): Фразовые глаголы с take (ToC: «phrasal verbs (take)»); состав частиц и значения в источнике не даны.</t>
      </text>
    </comment>
    <comment ref="M605" authorId="0" shapeId="0">
      <text>
        <t>М4 (4f): break: break down (сломаться), break into (врываться куда-либо), break out (внезапно начаться, разразиться), break out of (вырываться, убегать), break up (прекратить отношения с кем-либо).</t>
      </text>
    </comment>
    <comment ref="M606" authorId="0" shapeId="0">
      <text>
        <t>М8 (8f): carry: carry away (увлечься), carry off (справляться), carry on (продолжать что-либо делать), carry out (выполнять), carry through (доводить до конца).</t>
      </text>
    </comment>
    <comment ref="O606" authorId="0" shapeId="0">
      <text>
        <t>М7 (7c): carry + частицы (English in Use 7c); конкретные частицы в доступных страницах не даны.</t>
      </text>
    </comment>
    <comment ref="M607" authorId="0" shapeId="0">
      <text>
        <t>М6 (6f): check: check in (регистрироваться на рейс, в отеле), check off (отмечать галочкой), check on (проверять, всё ли в порядке с кем-либо), check out (пробовать), check out of (оплатить счёт), check up (убедиться).</t>
      </text>
    </comment>
    <comment ref="O607" authorId="0" shapeId="0">
      <text>
        <t>М8 (8c): check + частицы (English in Use 8c); конкретные частицы в доступных страницах не даны.</t>
      </text>
    </comment>
    <comment ref="M608" authorId="0" shapeId="0">
      <text>
        <t>М3 (3f): come: come across (случайно натолкнуться), come down with (заболеть чем-либо), come out (выступать на публике), come over (овладевать — о чувстве), come up with (предлагать идею).</t>
      </text>
    </comment>
    <comment ref="O608" authorId="0" shapeId="0">
      <text>
        <t>М1 (1c): come + частицы (English in Use 1c); конкретные частицы в доступных страницах не даны.</t>
      </text>
    </comment>
    <comment ref="M609" authorId="0" shapeId="0">
      <text>
        <t>М7 (7f): keep: keep back (держаться в стороне), keep off (не приближаться), keep on (продолжать что-либо делать), keep out of (препятствовать; так в приложении), keep up with (следовать расписанию).</t>
      </text>
    </comment>
    <comment ref="O609" authorId="0" shapeId="0">
      <text>
        <t>М3 (3c): keep + частицы (English in Use 3c); конкретные частицы в доступных страницах не даны.</t>
      </text>
    </comment>
    <comment ref="M610" authorId="0" shapeId="0">
      <text>
        <t>М2 (2f): make: make of (понимать), make off with (убежать с украденным), make out (чётко видеть), make up (изобретать, придумывать), make up for (компенсировать что-либо).</t>
      </text>
    </comment>
    <comment ref="M611" authorId="0" shapeId="0">
      <text>
        <t>М5 (5f): run: run away (убегать), run into (случайно встретить кого-либо), run out of (кончиться — обычно о продуктах), run over (задавить), run through (репетировать).</t>
      </text>
    </comment>
    <comment ref="N611" authorId="0" shapeId="0">
      <text>
        <t>М4 (4c): Фразовые глаголы с run (ToC: «phrasal verbs (run)»); состав частиц и значения в источнике не даны.</t>
      </text>
    </comment>
    <comment ref="M612" authorId="0" shapeId="0">
      <text>
        <t>М1 (1f): turn: turn back (возвращаться), turn down (отказываться), turn into (становиться, превращаться), turn off (выключать), turn up (1) увеличивать звук, 2) появляться).</t>
      </text>
    </comment>
    <comment ref="N612" authorId="0" shapeId="0">
      <text>
        <t>М7 (7c): Фразовые глаголы с turn (ToC: «phrasal verbs (turn)»); состав частиц и значения в источнике не даны.</t>
      </text>
    </comment>
    <comment ref="N613" authorId="0" shapeId="0">
      <text>
        <t>М1 (1c): Фразовые глаголы с look (ToC: «phrasal verbs (look)»); состав частиц и значения в источнике не даны.</t>
      </text>
    </comment>
    <comment ref="N614" authorId="0" shapeId="0">
      <text>
        <t>М3 (3c): Фразовые глаголы с pick (ToC: «phrasal verbs (pick)»); состав частиц и значения в источнике не даны.</t>
      </text>
    </comment>
    <comment ref="O615" authorId="0" shapeId="0">
      <text>
        <t>М5 (5c): do + частицы (English in Use 5c); конкретные частицы в доступных страницах не даны.</t>
      </text>
    </comment>
    <comment ref="O616" authorId="0" shapeId="0">
      <text>
        <t>М6 (6c): talk + частицы (English in Use 6c); конкретные частицы в доступных страницах не даны.</t>
      </text>
    </comment>
    <comment ref="I617" authorId="0" shapeId="0">
      <text>
        <t>М10 (10b): Прилагательные с суффиксами -able, -ous, -ing.</t>
      </text>
    </comment>
    <comment ref="I618" authorId="0" shapeId="0">
      <text>
        <t>М5 (5a): Прилагательные с суффиксом -al.</t>
      </text>
    </comment>
    <comment ref="I619" authorId="0" shapeId="0">
      <text>
        <t>М6 (6b): Существительные (названия профессий) с суффиксами -er/-or, -man, -ist, -ic.</t>
      </text>
    </comment>
    <comment ref="I620" authorId="0" shapeId="0">
      <text>
        <t>М4: Прилагательные с суффиксом -ful.</t>
      </text>
    </comment>
    <comment ref="I621" authorId="0" shapeId="0">
      <text>
        <t>М6 (6a): Наречия с суффиксом -ly.</t>
      </text>
    </comment>
    <comment ref="I622" authorId="0" shapeId="0">
      <text>
        <t>М10 (10c): Существительные с суффиксами -tion/-sion.</t>
      </text>
    </comment>
    <comment ref="I623" authorId="0" shapeId="0">
      <text>
        <t>М3 (3b): Сложные существительные (compound nouns).</t>
      </text>
    </comment>
    <comment ref="J623" authorId="0" shapeId="0">
      <text>
        <t>М6 (6a): Сложные существительные (compound nouns).</t>
      </text>
    </comment>
    <comment ref="L623" authorId="0" shapeId="0">
      <text>
        <t>М7 (7f): Сложные существительные (compound nouns).</t>
      </text>
    </comment>
    <comment ref="N623" authorId="0" shapeId="0">
      <text>
        <t>М5 (5c): Сложные существительные (ToC: «compound nouns»).</t>
      </text>
    </comment>
    <comment ref="I624" authorId="0" shapeId="0">
      <text>
        <t>М8 (8a): Конверсия: глагол от существительного без изменения формы (a dress – to dress).</t>
      </text>
    </comment>
    <comment ref="I625" authorId="0" shapeId="0">
      <text>
        <t>М2 (2a): Существительные/прилагательные национальности с суффиксами -an, -ish, -ian, -ese (по оглавлению: word formation (-an, -ish, -ian, -ese)).</t>
      </text>
    </comment>
    <comment ref="I626" authorId="0" shapeId="0">
      <text>
        <t>М8 (8c): Прилагательные с приставкой un-.</t>
      </text>
    </comment>
    <comment ref="L627" authorId="0" shapeId="0">
      <text>
        <t>М1 (1f): Образование прилагательных: -ful, -able.</t>
      </text>
    </comment>
    <comment ref="L628" authorId="0" shapeId="0">
      <text>
        <t>М5 (5f): Образование существительных от глаголов: -ion, -tion, -ance.</t>
      </text>
    </comment>
    <comment ref="L629" authorId="0" shapeId="0">
      <text>
        <t>М3 (3f): Образование глаголов: -ise/-ize.</t>
      </text>
    </comment>
    <comment ref="L630" authorId="0" shapeId="0">
      <text>
        <t>М6 (6f): Образование существительных: -ness, -ment.</t>
      </text>
    </comment>
    <comment ref="L631" authorId="0" shapeId="0">
      <text>
        <t>М8 (8f): Сложные прилагательные (compound adjectives).</t>
      </text>
    </comment>
    <comment ref="M631" authorId="0" shapeId="0">
      <text>
        <t>М3 (3f): Word formation: сложные прилагательные (compound adjectives).</t>
      </text>
    </comment>
    <comment ref="N631" authorId="0" shapeId="0">
      <text>
        <t>М7 (7c): Образование сложных прилагательных (ToC: «forming compound adjectives»).</t>
      </text>
    </comment>
    <comment ref="L632" authorId="0" shapeId="0">
      <text>
        <t>М4 (4f): Образование прилагательных с противоположным значением: приставки il-, im-, in-, ir-.</t>
      </text>
    </comment>
    <comment ref="L633" authorId="0" shapeId="0">
      <text>
        <t>М2 (2f): Образование отрицательных прилагательных (forming negative adjectives).</t>
      </text>
    </comment>
    <comment ref="N633" authorId="0" shapeId="0">
      <text>
        <t>М4 (4c): Образование отрицательных прилагательных (ToC: «forming negative adjectives»).</t>
      </text>
    </comment>
    <comment ref="M634" authorId="0" shapeId="0">
      <text>
        <t>М6 (6f): Word formation: образование абстрактных существительных (forming abstract nouns).</t>
      </text>
    </comment>
    <comment ref="N634" authorId="0" shapeId="0">
      <text>
        <t>М2 (2c): Образование абстрактных существительных (ToC: «forming abstract nouns»).</t>
      </text>
    </comment>
    <comment ref="M635" authorId="0" shapeId="0">
      <text>
        <t>М2 (2f): Word formation: образование существительных от прилагательных (nouns from adjectives).</t>
      </text>
    </comment>
    <comment ref="M636" authorId="0" shapeId="0">
      <text>
        <t>М4 (4f): Word formation: образование существительных от глаголов (nouns from verbs).</t>
      </text>
    </comment>
    <comment ref="M637" authorId="0" shapeId="0">
      <text>
        <t>М1 (1f): Word formation: образование причастий/прилагательных на -ed и -ing (past/present participles).</t>
      </text>
    </comment>
    <comment ref="M638" authorId="0" shapeId="0">
      <text>
        <t>М8 (8f): Word formation: повторение словообразования (word formation: revision).</t>
      </text>
    </comment>
    <comment ref="M639" authorId="0" shapeId="0">
      <text>
        <t>М7 (7f): Word formation: образование глаголов от существительных и прилагательных (forming verbs from nouns/adjectives).</t>
      </text>
    </comment>
    <comment ref="M640" authorId="0" shapeId="0">
      <text>
        <t>М5 (5f): Word formation: образование глаголов с помощью приставок (forming verbs with prefixes).</t>
      </text>
    </comment>
    <comment ref="N641" authorId="0" shapeId="0">
      <text>
        <t>М1 (1c): Образование прилагательных (ToC: «forming adjectives»).</t>
      </text>
    </comment>
    <comment ref="N642" authorId="0" shapeId="0">
      <text>
        <t>М8 (8c): Образование глаголов (ToC: «forming verbs»).</t>
      </text>
    </comment>
    <comment ref="N643" authorId="0" shapeId="0">
      <text>
        <t>М3 (3c): Образование существительных, обозначающих лиц (ToC: «forming personal pronouns»).</t>
      </text>
    </comment>
    <comment ref="N644" authorId="0" shapeId="0">
      <text>
        <t>М6 (6c): Приставки (ToC: «prefixes»).</t>
      </text>
    </comment>
    <comment ref="L645" authorId="0" shapeId="0">
      <text>
        <t>М1 (1f): Предлоги (prepositions) — тема English in Use 1f.
М2 (2f): Предлоги (prepositions) — тема English in Use 2f.
Appendix 2: Сводный список (без привязки к модулям). Прилагательные + предлог: absent from, close to, fond of, good at, jealous of, keen on, nervous about, patient with, popular with, proud of. Глаголы + предлог: blame someone for, care about, come from, worry about. Существительное + предлог: career in. Предло
М3 (3f): Предлоги (prepositions) — тема English in Use.
М4 (4f): Предлоги (prepositions) — тема English in Use 4f.
М6 (6f): Предлоги (prepositions) — тема English in Use 6f.
М8 (8f): Предлоги (prepositions) — тема English in Use 8f.</t>
      </text>
    </comment>
    <comment ref="M645" authorId="0" shapeId="0">
      <text>
        <t>М1 (1f): Prepositions (заголовок раздела English in Use).
М2 (2f): Prepositions (заголовок раздела English in Use).
Appendix 2: Общий список Appendix 2 (Dependent Prepositions), 59 сочетаний: add to (добавлять), afraid of (бояться), allergic to (иметь аллергию на), apart from (кроме), at auction (на аукционе), be at home (быть дома), be at school (быть в школе), be sold for (быть проданным за), believe in (верить в), burst i
М3 (3f): Prepositions (заголовок раздела English in Use).
М4 (4f): Prepositions (заголовок раздела English in Use).
М5 (5f): Dependent prepositions (заголовок раздела English in Use).
М6 (6f): Dependent prepositions (заголовок раздела English in Use).
М7 (7f): Dependent prepositions (заголовок раздела English in Use).</t>
      </text>
    </comment>
    <comment ref="N645" authorId="0" shapeId="0">
      <text>
        <t>М1 (1c): Зависимые предлоги (ToC: «dependent prepositions»). Конкретные сочетания урока в источнике не даны; общий список предлогов — в Appendix 1 (см. отдельную строку).
Appendix 1: Глагол + предлог: advise sb against, apply for, arrive in, cope with, deal with, feel strongly about, mistake sb for, protect from, recover from, resign from, result in, suffer from. Прилагательное + предлог: avid of (? OCR), bad at, brilliant at, good at, terrible at, be careful with, be careless w</t>
      </text>
    </comment>
    <comment ref="O645" authorId="0" shapeId="0">
      <text>
        <t>М1 (1c): Dependent prepositions (English in Use 1c); конкретные сочетания в доступных страницах не даны.
М2 (2c): Dependent prepositions (English in Use 2c); конкретные сочетания в доступных страницах не даны.
М3 (3c): Dependent prepositions (English in Use 3c); конкретные сочетания в доступных страницах не даны. В справочнике М3 (-ing после предлогов): think of, apologise for, object to, look forward to, be used to, in addition to; have difficulty (in), there's no point (in).
М4 (4c): Dependent prepositions (English in Use 4c); конкретные сочетания в доступных страницах не даны.
М5 (5c): Dependent prepositions (English in Use 5c); конкретные сочетания в доступных страницах не даны.
М6 (6c): Dependent prepositions (English in Use 6c); конкретные сочетания в доступных страницах не даны. В справочнике М6 (вводящие глаголы + -ing): accuse sb of, apologise for, admit (to), boast about/of, complain about/of, insist on.
М7 (7c): Dependent prepositions (English in Use 7c); конкретные сочетания в доступных страницах не даны.
М8 (8c): Dependent prepositions (English in Use 8c); конкретные сочетания в доступных страницах не даны.</t>
      </text>
    </comment>
    <comment ref="L646" authorId="0" shapeId="0">
      <text>
        <t>Appendix 3: Идиомы (сводный список): a piece of cake, again and again, all in all, (be) a bolt from the blue, be a pain in the neck, be bad news, be in the same boat, be on cloud nine, (not) be one's cup of tea, break the ice, cry over spilt milk, drive someone crazy, drive someone up the wall, feel under the w</t>
      </text>
    </comment>
    <comment ref="N646" authorId="0" shapeId="0">
      <text>
        <t>М5 (5c): Сочетания прилагательное + существительное (ToC: «adjective noun collocations»).</t>
      </text>
    </comment>
    <comment ref="O646" authorId="0" shapeId="0">
      <text>
        <t>М1 (1b): Idioms related to people (1b).
М2 (2b): Idioms with numbers (2b).
М4 (4b): Idioms related to health (4b).
М5 (5b): Idioms related to parts of houses (5b).
М6 (6b): Idioms with talk and speak (6b).
М7 (7a): Phrases with hope (7a).
М8 (8b): Collocations related to travel (8b, airport &amp; air travel).</t>
      </text>
    </comment>
    <comment ref="L647" authorId="0" shapeId="0">
      <text>
        <t>М3 (3f): Слова, которые часто путают — тема English in Use 3f.
М4 (4f): Слова, которые часто путают — тема English in Use 4f.
М5 (5f): Слова, которые часто путают — тема English in Use 5f.
М6 (6f): Слова, которые часто путают — тема English in Use 6f.
М7 (7f): Слова, которые часто путают — тема English in Use 7f.</t>
      </text>
    </comment>
    <comment ref="M647" authorId="0" shapeId="0">
      <text>
        <t>М8 (8f): Words often confused — слова, которые часто путают (заголовок раздела English in Use).</t>
      </text>
    </comment>
    <comment ref="O647" authorId="0" shapeId="0">
      <text>
        <t>М3 (3a): Words often confused (3a, тема crime and the law); конкретные пары в доступных страницах не даны.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40" customWidth="1" min="1" max="1"/>
  </cols>
  <sheetData>
    <row r="1">
      <c r="A1" s="1" t="inlineStr">
        <is>
          <t>План уроков по грамматике Spotlight</t>
        </is>
      </c>
    </row>
    <row r="2">
      <c r="A2" s="2" t="inlineStr"/>
    </row>
    <row r="3">
      <c r="A3" s="2" t="inlineStr">
        <is>
          <t>«Темы × классы»: строка = подтема (один короткий урок: видео → правило → мини-тест). Подтемы сгруппированы по темам: Past Simple делится на правильные/неправильные глаголы, утверждение, отрицание, вопросы, орфографию, каждое значение; сравнения времён — отдельными подтемами.</t>
        </is>
      </c>
    </row>
    <row r="4">
      <c r="A4" s="2" t="inlineStr">
        <is>
          <t>В клетке класса — где в учебнике (М9 (9b) = Module 9, урок 9b) и статус: «новое» — подтема в Spotlight впервые; «расш.» — была, здесь добавлено; «повт.» — дана снова. Наведите на клетку — во всплывающей подсказке что именно дано (лица, слова-сигналы, список глаголов).</t>
        </is>
      </c>
    </row>
    <row r="5">
      <c r="A5" s="2" t="inlineStr">
        <is>
          <t>Цвет клетки: оттенок = группа вебинара (оранжевый 7–9 лет, голубой 10+), насыщенность = статус (ярче — новое, бледнее — повторение).</t>
        </is>
      </c>
    </row>
    <row r="6">
      <c r="A6" s="2" t="inlineStr">
        <is>
          <t>Группы вебинаров: 7–9 лет = 1–3 класс → Spotlight 2–3 (у Spotlight 2 нет грамматического справочника, поэтому 2 класса нет). 10+ = Spotlight 4–11; 4 класс (9–10 лет) отнесён к 10+.</t>
        </is>
      </c>
    </row>
    <row r="7">
      <c r="A7" s="2" t="inlineStr">
        <is>
          <t>«Видео 7–9» / «Видео 10+»: «есть» / «нет» (выпадающий список), рядом — название или ссылка вебинара. «—» — подтема этой группе не нужна.</t>
        </is>
      </c>
    </row>
    <row r="8">
      <c r="A8" s="2" t="inlineStr">
        <is>
          <t>«Папки уроков»: Spotlight / класс / модуль / тема (папка) / подтема (урок). Видео подтягивается из «Темы × классы» само; колонка «Готовность» — для отметок.</t>
        </is>
      </c>
    </row>
    <row r="9">
      <c r="A9" s="2" t="inlineStr">
        <is>
          <t>«Итоги»: сколько уроков нужно каждой группе, у скольких есть видео.</t>
        </is>
      </c>
    </row>
    <row r="10">
      <c r="A10" s="2" t="inlineStr"/>
    </row>
    <row r="11">
      <c r="A11" s="2" t="inlineStr">
        <is>
          <t>Источник: грамматический справочник учебников (Use of English — оглавление и приложения). Подробный объём по строкам — в Spotlight_грамматика.xlsx.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47"/>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5" customWidth="1" min="1" max="1"/>
    <col width="12" customWidth="1" min="2" max="2"/>
    <col width="16" customWidth="1" min="3" max="3"/>
    <col width="22" customWidth="1" min="4" max="4"/>
    <col width="46" customWidth="1" min="5" max="5"/>
    <col width="8"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28" customWidth="1" min="17" max="17"/>
    <col width="10" customWidth="1" min="18" max="18"/>
    <col width="28" customWidth="1" min="19" max="19"/>
    <col width="26" customWidth="1" min="20" max="20"/>
  </cols>
  <sheetData>
    <row r="1">
      <c r="A1" s="3" t="inlineStr">
        <is>
          <t>№</t>
        </is>
      </c>
      <c r="B1" s="3" t="inlineStr">
        <is>
          <t>Блок</t>
        </is>
      </c>
      <c r="C1" s="3" t="inlineStr">
        <is>
          <t>Категория</t>
        </is>
      </c>
      <c r="D1" s="3" t="inlineStr">
        <is>
          <t>Тема</t>
        </is>
      </c>
      <c r="E1" s="3" t="inlineStr">
        <is>
          <t>Подтема (урок)</t>
        </is>
      </c>
      <c r="F1" s="3" t="inlineStr">
        <is>
          <t>Группы</t>
        </is>
      </c>
      <c r="G1" s="3" t="inlineStr">
        <is>
          <t>3 кл.</t>
        </is>
      </c>
      <c r="H1" s="3" t="inlineStr">
        <is>
          <t>4 кл.</t>
        </is>
      </c>
      <c r="I1" s="3" t="inlineStr">
        <is>
          <t>5 кл.</t>
        </is>
      </c>
      <c r="J1" s="3" t="inlineStr">
        <is>
          <t>6 кл.</t>
        </is>
      </c>
      <c r="K1" s="3" t="inlineStr">
        <is>
          <t>7 кл.</t>
        </is>
      </c>
      <c r="L1" s="3" t="inlineStr">
        <is>
          <t>8 кл.</t>
        </is>
      </c>
      <c r="M1" s="3" t="inlineStr">
        <is>
          <t>9 кл.</t>
        </is>
      </c>
      <c r="N1" s="3" t="inlineStr">
        <is>
          <t>10 кл.</t>
        </is>
      </c>
      <c r="O1" s="3" t="inlineStr">
        <is>
          <t>11 кл.</t>
        </is>
      </c>
      <c r="P1" s="3" t="inlineStr">
        <is>
          <t>Видео 7–9</t>
        </is>
      </c>
      <c r="Q1" s="3" t="inlineStr">
        <is>
          <t>Вебинар 7–9 (название / ссылка)</t>
        </is>
      </c>
      <c r="R1" s="3" t="inlineStr">
        <is>
          <t>Видео 10+</t>
        </is>
      </c>
      <c r="S1" s="3" t="inlineStr">
        <is>
          <t>Вебинар 10+ (название / ссылка)</t>
        </is>
      </c>
      <c r="T1" s="3" t="inlineStr">
        <is>
          <t>Комментарий</t>
        </is>
      </c>
    </row>
    <row r="2">
      <c r="A2" s="4" t="n">
        <v>1</v>
      </c>
      <c r="B2" s="4" t="inlineStr">
        <is>
          <t>Грамматика</t>
        </is>
      </c>
      <c r="C2" s="4" t="inlineStr">
        <is>
          <t>Глаголы: времена</t>
        </is>
      </c>
      <c r="D2" s="5" t="inlineStr">
        <is>
          <t>Past Simple</t>
        </is>
      </c>
      <c r="E2" s="4" t="inlineStr">
        <is>
          <t>Past Simple: правильные глаголы — утверждение (-ed)</t>
        </is>
      </c>
      <c r="F2" s="4" t="inlineStr">
        <is>
          <t>обе</t>
        </is>
      </c>
      <c r="G2" s="6" t="inlineStr">
        <is>
          <t>М4 · новое</t>
        </is>
      </c>
      <c r="H2" s="7" t="inlineStr">
        <is>
          <t>М6 · повт.</t>
        </is>
      </c>
      <c r="I2" s="7" t="inlineStr">
        <is>
          <t>М9 (9b) · повт.</t>
        </is>
      </c>
      <c r="J2" s="7" t="inlineStr">
        <is>
          <t>М7 (7a) · повт.</t>
        </is>
      </c>
      <c r="K2" s="7" t="inlineStr">
        <is>
          <t>М2 · повт.</t>
        </is>
      </c>
      <c r="L2" s="7" t="inlineStr">
        <is>
          <t>М1 (1c) · повт.</t>
        </is>
      </c>
      <c r="M2" s="7" t="inlineStr">
        <is>
          <t>М3 (3c) · повт.</t>
        </is>
      </c>
      <c r="N2" s="7" t="inlineStr">
        <is>
          <t>М5 (5c) · повт.</t>
        </is>
      </c>
      <c r="O2" s="7" t="inlineStr">
        <is>
          <t>М1 (1c) · повт.</t>
        </is>
      </c>
      <c r="P2" s="8" t="inlineStr">
        <is>
          <t>нет</t>
        </is>
      </c>
      <c r="Q2" s="4" t="inlineStr"/>
      <c r="R2" s="8" t="inlineStr">
        <is>
          <t>нет</t>
        </is>
      </c>
      <c r="S2" s="4" t="inlineStr"/>
      <c r="T2" s="4" t="inlineStr"/>
    </row>
    <row r="3">
      <c r="A3" s="9" t="n">
        <v>2</v>
      </c>
      <c r="B3" s="9" t="inlineStr">
        <is>
          <t>Грамматика</t>
        </is>
      </c>
      <c r="C3" s="9" t="inlineStr">
        <is>
          <t>Глаголы: времена</t>
        </is>
      </c>
      <c r="D3" s="10" t="inlineStr">
        <is>
          <t>Past Simple</t>
        </is>
      </c>
      <c r="E3" s="9" t="inlineStr">
        <is>
          <t>Past Simple: правильные глаголы — отрицание (didn't + V)</t>
        </is>
      </c>
      <c r="F3" s="9" t="inlineStr">
        <is>
          <t>обе</t>
        </is>
      </c>
      <c r="G3" s="11" t="inlineStr">
        <is>
          <t>М4 · новое</t>
        </is>
      </c>
      <c r="H3" s="12" t="inlineStr">
        <is>
          <t>М6 · повт.</t>
        </is>
      </c>
      <c r="I3" s="12" t="inlineStr">
        <is>
          <t>М9 (9b) · повт.</t>
        </is>
      </c>
      <c r="J3" s="12" t="inlineStr">
        <is>
          <t>М7 (7a) · повт.</t>
        </is>
      </c>
      <c r="K3" s="12" t="inlineStr">
        <is>
          <t>М2 · повт.</t>
        </is>
      </c>
      <c r="L3" s="12" t="inlineStr">
        <is>
          <t>М1 (1c) · повт.</t>
        </is>
      </c>
      <c r="M3" s="9" t="inlineStr"/>
      <c r="N3" s="9" t="inlineStr"/>
      <c r="O3" s="9" t="inlineStr"/>
      <c r="P3" s="13" t="inlineStr">
        <is>
          <t>нет</t>
        </is>
      </c>
      <c r="Q3" s="9" t="inlineStr"/>
      <c r="R3" s="13" t="inlineStr">
        <is>
          <t>нет</t>
        </is>
      </c>
      <c r="S3" s="9" t="inlineStr"/>
      <c r="T3" s="9" t="inlineStr"/>
    </row>
    <row r="4">
      <c r="A4" s="9" t="n">
        <v>3</v>
      </c>
      <c r="B4" s="9" t="inlineStr">
        <is>
          <t>Грамматика</t>
        </is>
      </c>
      <c r="C4" s="9" t="inlineStr">
        <is>
          <t>Глаголы: времена</t>
        </is>
      </c>
      <c r="D4" s="10" t="inlineStr">
        <is>
          <t>Past Simple</t>
        </is>
      </c>
      <c r="E4" s="9" t="inlineStr">
        <is>
          <t>Past Simple: правильные глаголы — вопросы (Did …?)</t>
        </is>
      </c>
      <c r="F4" s="9" t="inlineStr">
        <is>
          <t>обе</t>
        </is>
      </c>
      <c r="G4" s="11" t="inlineStr">
        <is>
          <t>М4 · новое</t>
        </is>
      </c>
      <c r="H4" s="12" t="inlineStr">
        <is>
          <t>М6 · повт.</t>
        </is>
      </c>
      <c r="I4" s="12" t="inlineStr">
        <is>
          <t>М9 (9b) · повт.</t>
        </is>
      </c>
      <c r="J4" s="12" t="inlineStr">
        <is>
          <t>М7 (7a) · повт.</t>
        </is>
      </c>
      <c r="K4" s="12" t="inlineStr">
        <is>
          <t>М2 · повт.</t>
        </is>
      </c>
      <c r="L4" s="12" t="inlineStr">
        <is>
          <t>М1 (1c) · повт.</t>
        </is>
      </c>
      <c r="M4" s="9" t="inlineStr"/>
      <c r="N4" s="9" t="inlineStr"/>
      <c r="O4" s="9" t="inlineStr"/>
      <c r="P4" s="13" t="inlineStr">
        <is>
          <t>нет</t>
        </is>
      </c>
      <c r="Q4" s="9" t="inlineStr"/>
      <c r="R4" s="13" t="inlineStr">
        <is>
          <t>нет</t>
        </is>
      </c>
      <c r="S4" s="9" t="inlineStr"/>
      <c r="T4" s="9" t="inlineStr"/>
    </row>
    <row r="5">
      <c r="A5" s="9" t="n">
        <v>4</v>
      </c>
      <c r="B5" s="9" t="inlineStr">
        <is>
          <t>Грамматика</t>
        </is>
      </c>
      <c r="C5" s="9" t="inlineStr">
        <is>
          <t>Глаголы: времена</t>
        </is>
      </c>
      <c r="D5" s="10" t="inlineStr">
        <is>
          <t>Past Simple</t>
        </is>
      </c>
      <c r="E5" s="9" t="inlineStr">
        <is>
          <t>Past Simple: краткие ответы (Yes, I did / No, I didn't)</t>
        </is>
      </c>
      <c r="F5" s="9" t="inlineStr">
        <is>
          <t>обе</t>
        </is>
      </c>
      <c r="G5" s="11" t="inlineStr">
        <is>
          <t>М4 · новое</t>
        </is>
      </c>
      <c r="H5" s="12" t="inlineStr">
        <is>
          <t>М6 · повт.</t>
        </is>
      </c>
      <c r="I5" s="12" t="inlineStr">
        <is>
          <t>М9 (9b) · повт.
М9 (9c) · повт.</t>
        </is>
      </c>
      <c r="J5" s="12" t="inlineStr">
        <is>
          <t>М7 (7a) · повт.
М7 (7b) · повт.</t>
        </is>
      </c>
      <c r="K5" s="12" t="inlineStr">
        <is>
          <t>М2 · повт.</t>
        </is>
      </c>
      <c r="L5" s="12" t="inlineStr">
        <is>
          <t>М1 (1c) · повт.</t>
        </is>
      </c>
      <c r="M5" s="9" t="inlineStr"/>
      <c r="N5" s="9" t="inlineStr"/>
      <c r="O5" s="9" t="inlineStr"/>
      <c r="P5" s="13" t="inlineStr">
        <is>
          <t>нет</t>
        </is>
      </c>
      <c r="Q5" s="9" t="inlineStr"/>
      <c r="R5" s="13" t="inlineStr">
        <is>
          <t>нет</t>
        </is>
      </c>
      <c r="S5" s="9" t="inlineStr"/>
      <c r="T5" s="9" t="inlineStr"/>
    </row>
    <row r="6">
      <c r="A6" s="9" t="n">
        <v>5</v>
      </c>
      <c r="B6" s="9" t="inlineStr">
        <is>
          <t>Грамматика</t>
        </is>
      </c>
      <c r="C6" s="9" t="inlineStr">
        <is>
          <t>Глаголы: времена</t>
        </is>
      </c>
      <c r="D6" s="10" t="inlineStr">
        <is>
          <t>Past Simple</t>
        </is>
      </c>
      <c r="E6" s="9" t="inlineStr">
        <is>
          <t>Past Simple: орфография -ed</t>
        </is>
      </c>
      <c r="F6" s="9" t="inlineStr">
        <is>
          <t>обе</t>
        </is>
      </c>
      <c r="G6" s="11" t="inlineStr">
        <is>
          <t>М4 · новое</t>
        </is>
      </c>
      <c r="H6" s="12" t="inlineStr">
        <is>
          <t>М6 · повт.</t>
        </is>
      </c>
      <c r="I6" s="12" t="inlineStr">
        <is>
          <t>М9 (9b) · повт.</t>
        </is>
      </c>
      <c r="J6" s="12" t="inlineStr">
        <is>
          <t>М7 (7a) · повт.</t>
        </is>
      </c>
      <c r="K6" s="12" t="inlineStr">
        <is>
          <t>М2 · повт.</t>
        </is>
      </c>
      <c r="L6" s="14" t="inlineStr">
        <is>
          <t>М1 (1c) · расш.</t>
        </is>
      </c>
      <c r="M6" s="12" t="inlineStr">
        <is>
          <t>М3 (3c) · повт.</t>
        </is>
      </c>
      <c r="N6" s="12" t="inlineStr">
        <is>
          <t>М5 (5c) · повт.</t>
        </is>
      </c>
      <c r="O6" s="12" t="inlineStr">
        <is>
          <t>М1 (1c) · повт.</t>
        </is>
      </c>
      <c r="P6" s="13" t="inlineStr">
        <is>
          <t>нет</t>
        </is>
      </c>
      <c r="Q6" s="9" t="inlineStr"/>
      <c r="R6" s="13" t="inlineStr">
        <is>
          <t>нет</t>
        </is>
      </c>
      <c r="S6" s="9" t="inlineStr"/>
      <c r="T6" s="9" t="inlineStr"/>
    </row>
    <row r="7">
      <c r="A7" s="9" t="n">
        <v>6</v>
      </c>
      <c r="B7" s="9" t="inlineStr">
        <is>
          <t>Грамматика</t>
        </is>
      </c>
      <c r="C7" s="9" t="inlineStr">
        <is>
          <t>Глаголы: времена</t>
        </is>
      </c>
      <c r="D7" s="10" t="inlineStr">
        <is>
          <t>Past Simple</t>
        </is>
      </c>
      <c r="E7" s="9" t="inlineStr">
        <is>
          <t>Past Simple: произношение -ed (/t/, /d/, /ɪd/)</t>
        </is>
      </c>
      <c r="F7" s="9" t="inlineStr">
        <is>
          <t>обе</t>
        </is>
      </c>
      <c r="G7" s="11" t="inlineStr">
        <is>
          <t>М4 · новое</t>
        </is>
      </c>
      <c r="H7" s="12" t="inlineStr">
        <is>
          <t>М6 · повт.</t>
        </is>
      </c>
      <c r="I7" s="9" t="inlineStr"/>
      <c r="J7" s="9" t="inlineStr"/>
      <c r="K7" s="9" t="inlineStr"/>
      <c r="L7" s="9" t="inlineStr"/>
      <c r="M7" s="9" t="inlineStr"/>
      <c r="N7" s="9" t="inlineStr"/>
      <c r="O7" s="9" t="inlineStr"/>
      <c r="P7" s="13" t="inlineStr">
        <is>
          <t>нет</t>
        </is>
      </c>
      <c r="Q7" s="9" t="inlineStr"/>
      <c r="R7" s="13" t="inlineStr">
        <is>
          <t>нет</t>
        </is>
      </c>
      <c r="S7" s="9" t="inlineStr"/>
      <c r="T7" s="9" t="inlineStr"/>
    </row>
    <row r="8">
      <c r="A8" s="9" t="n">
        <v>7</v>
      </c>
      <c r="B8" s="9" t="inlineStr">
        <is>
          <t>Грамматика</t>
        </is>
      </c>
      <c r="C8" s="9" t="inlineStr">
        <is>
          <t>Глаголы: времена</t>
        </is>
      </c>
      <c r="D8" s="10" t="inlineStr">
        <is>
          <t>Past Simple</t>
        </is>
      </c>
      <c r="E8" s="9" t="inlineStr">
        <is>
          <t>Past Simple: неправильные глаголы — утверждение</t>
        </is>
      </c>
      <c r="F8" s="9" t="inlineStr">
        <is>
          <t>обе</t>
        </is>
      </c>
      <c r="G8" s="11" t="inlineStr">
        <is>
          <t>М5 · новое</t>
        </is>
      </c>
      <c r="H8" s="12" t="inlineStr">
        <is>
          <t>М7 · повт.</t>
        </is>
      </c>
      <c r="I8" s="14" t="inlineStr">
        <is>
          <t>М9 (9c) · расш.</t>
        </is>
      </c>
      <c r="J8" s="14" t="inlineStr">
        <is>
          <t>М7 (7b) · расш.</t>
        </is>
      </c>
      <c r="K8" s="12" t="inlineStr">
        <is>
          <t>М2 · повт.</t>
        </is>
      </c>
      <c r="L8" s="12" t="inlineStr">
        <is>
          <t>М1 (1c) · повт.</t>
        </is>
      </c>
      <c r="M8" s="12" t="inlineStr">
        <is>
          <t>М3 (3c) · повт.</t>
        </is>
      </c>
      <c r="N8" s="12" t="inlineStr">
        <is>
          <t>М5 (5c) · повт.</t>
        </is>
      </c>
      <c r="O8" s="12" t="inlineStr">
        <is>
          <t>М1 (1c) · повт.</t>
        </is>
      </c>
      <c r="P8" s="13" t="inlineStr">
        <is>
          <t>нет</t>
        </is>
      </c>
      <c r="Q8" s="9" t="inlineStr"/>
      <c r="R8" s="13" t="inlineStr">
        <is>
          <t>нет</t>
        </is>
      </c>
      <c r="S8" s="9" t="inlineStr"/>
      <c r="T8" s="9" t="inlineStr"/>
    </row>
    <row r="9">
      <c r="A9" s="9" t="n">
        <v>8</v>
      </c>
      <c r="B9" s="9" t="inlineStr">
        <is>
          <t>Грамматика</t>
        </is>
      </c>
      <c r="C9" s="9" t="inlineStr">
        <is>
          <t>Глаголы: времена</t>
        </is>
      </c>
      <c r="D9" s="10" t="inlineStr">
        <is>
          <t>Past Simple</t>
        </is>
      </c>
      <c r="E9" s="9" t="inlineStr">
        <is>
          <t>Past Simple: неправильные глаголы — отрицание (didn't go)</t>
        </is>
      </c>
      <c r="F9" s="9" t="inlineStr">
        <is>
          <t>обе</t>
        </is>
      </c>
      <c r="G9" s="11" t="inlineStr">
        <is>
          <t>М5 · новое</t>
        </is>
      </c>
      <c r="H9" s="12" t="inlineStr">
        <is>
          <t>М7 · повт.</t>
        </is>
      </c>
      <c r="I9" s="12" t="inlineStr">
        <is>
          <t>М9 (9c) · повт.</t>
        </is>
      </c>
      <c r="J9" s="12" t="inlineStr">
        <is>
          <t>М7 (7b) · повт.</t>
        </is>
      </c>
      <c r="K9" s="12" t="inlineStr">
        <is>
          <t>М2 · повт.</t>
        </is>
      </c>
      <c r="L9" s="9" t="inlineStr"/>
      <c r="M9" s="9" t="inlineStr"/>
      <c r="N9" s="9" t="inlineStr"/>
      <c r="O9" s="9" t="inlineStr"/>
      <c r="P9" s="13" t="inlineStr">
        <is>
          <t>нет</t>
        </is>
      </c>
      <c r="Q9" s="9" t="inlineStr"/>
      <c r="R9" s="13" t="inlineStr">
        <is>
          <t>нет</t>
        </is>
      </c>
      <c r="S9" s="9" t="inlineStr"/>
      <c r="T9" s="9" t="inlineStr"/>
    </row>
    <row r="10">
      <c r="A10" s="9" t="n">
        <v>9</v>
      </c>
      <c r="B10" s="9" t="inlineStr">
        <is>
          <t>Грамматика</t>
        </is>
      </c>
      <c r="C10" s="9" t="inlineStr">
        <is>
          <t>Глаголы: времена</t>
        </is>
      </c>
      <c r="D10" s="10" t="inlineStr">
        <is>
          <t>Past Simple</t>
        </is>
      </c>
      <c r="E10" s="9" t="inlineStr">
        <is>
          <t>Past Simple: неправильные глаголы — вопросы (Did … go?)</t>
        </is>
      </c>
      <c r="F10" s="9" t="inlineStr">
        <is>
          <t>обе</t>
        </is>
      </c>
      <c r="G10" s="11" t="inlineStr">
        <is>
          <t>М5 · новое</t>
        </is>
      </c>
      <c r="H10" s="12" t="inlineStr">
        <is>
          <t>М7 · повт.</t>
        </is>
      </c>
      <c r="I10" s="12" t="inlineStr">
        <is>
          <t>М9 (9c) · повт.</t>
        </is>
      </c>
      <c r="J10" s="12" t="inlineStr">
        <is>
          <t>М7 (7b) · повт.</t>
        </is>
      </c>
      <c r="K10" s="12" t="inlineStr">
        <is>
          <t>М2 · повт.</t>
        </is>
      </c>
      <c r="L10" s="9" t="inlineStr"/>
      <c r="M10" s="9" t="inlineStr"/>
      <c r="N10" s="9" t="inlineStr"/>
      <c r="O10" s="9" t="inlineStr"/>
      <c r="P10" s="13" t="inlineStr">
        <is>
          <t>нет</t>
        </is>
      </c>
      <c r="Q10" s="9" t="inlineStr"/>
      <c r="R10" s="13" t="inlineStr">
        <is>
          <t>нет</t>
        </is>
      </c>
      <c r="S10" s="9" t="inlineStr"/>
      <c r="T10" s="9" t="inlineStr"/>
    </row>
    <row r="11">
      <c r="A11" s="9" t="n">
        <v>10</v>
      </c>
      <c r="B11" s="9" t="inlineStr">
        <is>
          <t>Грамматика</t>
        </is>
      </c>
      <c r="C11" s="9" t="inlineStr">
        <is>
          <t>Глаголы: времена</t>
        </is>
      </c>
      <c r="D11" s="10" t="inlineStr">
        <is>
          <t>Past Simple</t>
        </is>
      </c>
      <c r="E11" s="9" t="inlineStr">
        <is>
          <t>Past Simple: одна форма для всех лиц, исключение was/were</t>
        </is>
      </c>
      <c r="F11" s="9" t="inlineStr">
        <is>
          <t>10+</t>
        </is>
      </c>
      <c r="G11" s="9" t="inlineStr"/>
      <c r="H11" s="9" t="inlineStr"/>
      <c r="I11" s="9" t="inlineStr"/>
      <c r="J11" s="9" t="inlineStr"/>
      <c r="K11" s="9" t="inlineStr"/>
      <c r="L11" s="15" t="inlineStr">
        <is>
          <t>М1 (1c) · новое</t>
        </is>
      </c>
      <c r="M11" s="12" t="inlineStr">
        <is>
          <t>М3 (3c) · повт.</t>
        </is>
      </c>
      <c r="N11" s="12" t="inlineStr">
        <is>
          <t>М5 (5c) · повт.</t>
        </is>
      </c>
      <c r="O11" s="12" t="inlineStr">
        <is>
          <t>М1 (1c) · повт.</t>
        </is>
      </c>
      <c r="P11" s="16" t="inlineStr">
        <is>
          <t>—</t>
        </is>
      </c>
      <c r="Q11" s="17" t="inlineStr"/>
      <c r="R11" s="13" t="inlineStr">
        <is>
          <t>нет</t>
        </is>
      </c>
      <c r="S11" s="9" t="inlineStr"/>
      <c r="T11" s="9" t="inlineStr"/>
    </row>
    <row r="12">
      <c r="A12" s="9" t="n">
        <v>11</v>
      </c>
      <c r="B12" s="9" t="inlineStr">
        <is>
          <t>Грамматика</t>
        </is>
      </c>
      <c r="C12" s="9" t="inlineStr">
        <is>
          <t>Глаголы: времена</t>
        </is>
      </c>
      <c r="D12" s="10" t="inlineStr">
        <is>
          <t>Past Simple</t>
        </is>
      </c>
      <c r="E12" s="9" t="inlineStr">
        <is>
          <t>Past Simple: значение — действие в прошлом (yesterday, ago)</t>
        </is>
      </c>
      <c r="F12" s="9" t="inlineStr">
        <is>
          <t>обе</t>
        </is>
      </c>
      <c r="G12" s="11" t="inlineStr">
        <is>
          <t>М4 · новое
М5 · повт.</t>
        </is>
      </c>
      <c r="H12" s="12" t="inlineStr">
        <is>
          <t>М6 · повт.</t>
        </is>
      </c>
      <c r="I12" s="12" t="inlineStr">
        <is>
          <t>М9 (9b) · повт.</t>
        </is>
      </c>
      <c r="J12" s="12" t="inlineStr">
        <is>
          <t>М7 (7a) · повт.</t>
        </is>
      </c>
      <c r="K12" s="14" t="inlineStr">
        <is>
          <t>М2 · расш.</t>
        </is>
      </c>
      <c r="L12" s="12" t="inlineStr">
        <is>
          <t>М1 (1c) · повт.</t>
        </is>
      </c>
      <c r="M12" s="12" t="inlineStr">
        <is>
          <t>М3 (3c) · повт.</t>
        </is>
      </c>
      <c r="N12" s="12" t="inlineStr">
        <is>
          <t>М5 (5c) · повт.</t>
        </is>
      </c>
      <c r="O12" s="12" t="inlineStr">
        <is>
          <t>М1 (1c) · повт.</t>
        </is>
      </c>
      <c r="P12" s="13" t="inlineStr">
        <is>
          <t>нет</t>
        </is>
      </c>
      <c r="Q12" s="9" t="inlineStr"/>
      <c r="R12" s="13" t="inlineStr">
        <is>
          <t>нет</t>
        </is>
      </c>
      <c r="S12" s="9" t="inlineStr"/>
      <c r="T12" s="9" t="inlineStr"/>
    </row>
    <row r="13">
      <c r="A13" s="9" t="n">
        <v>12</v>
      </c>
      <c r="B13" s="9" t="inlineStr">
        <is>
          <t>Грамматика</t>
        </is>
      </c>
      <c r="C13" s="9" t="inlineStr">
        <is>
          <t>Глаголы: времена</t>
        </is>
      </c>
      <c r="D13" s="10" t="inlineStr">
        <is>
          <t>Past Simple</t>
        </is>
      </c>
      <c r="E13" s="9" t="inlineStr">
        <is>
          <t>Past Simple: значение — действие в указанное время в прошлом</t>
        </is>
      </c>
      <c r="F13" s="9" t="inlineStr">
        <is>
          <t>10+</t>
        </is>
      </c>
      <c r="G13" s="9" t="inlineStr"/>
      <c r="H13" s="9" t="inlineStr"/>
      <c r="I13" s="9" t="inlineStr"/>
      <c r="J13" s="9" t="inlineStr"/>
      <c r="K13" s="9" t="inlineStr"/>
      <c r="L13" s="15" t="inlineStr">
        <is>
          <t>М1 (1c) · новое</t>
        </is>
      </c>
      <c r="M13" s="12" t="inlineStr">
        <is>
          <t>М3 (3c) · повт.</t>
        </is>
      </c>
      <c r="N13" s="12" t="inlineStr">
        <is>
          <t>М5 (5c) · повт.</t>
        </is>
      </c>
      <c r="O13" s="12" t="inlineStr">
        <is>
          <t>М1 (1c) · повт.</t>
        </is>
      </c>
      <c r="P13" s="16" t="inlineStr">
        <is>
          <t>—</t>
        </is>
      </c>
      <c r="Q13" s="17" t="inlineStr"/>
      <c r="R13" s="13" t="inlineStr">
        <is>
          <t>нет</t>
        </is>
      </c>
      <c r="S13" s="9" t="inlineStr"/>
      <c r="T13" s="9" t="inlineStr"/>
    </row>
    <row r="14">
      <c r="A14" s="9" t="n">
        <v>13</v>
      </c>
      <c r="B14" s="9" t="inlineStr">
        <is>
          <t>Грамматика</t>
        </is>
      </c>
      <c r="C14" s="9" t="inlineStr">
        <is>
          <t>Глаголы: времена</t>
        </is>
      </c>
      <c r="D14" s="10" t="inlineStr">
        <is>
          <t>Past Simple</t>
        </is>
      </c>
      <c r="E14" s="9" t="inlineStr">
        <is>
          <t>Past Simple: значение — повторяющиеся действия и привычки в прошлом</t>
        </is>
      </c>
      <c r="F14" s="9" t="inlineStr">
        <is>
          <t>10+</t>
        </is>
      </c>
      <c r="G14" s="9" t="inlineStr"/>
      <c r="H14" s="9" t="inlineStr"/>
      <c r="I14" s="9" t="inlineStr"/>
      <c r="J14" s="9" t="inlineStr"/>
      <c r="K14" s="9" t="inlineStr"/>
      <c r="L14" s="15" t="inlineStr">
        <is>
          <t>М1 (1c) · новое</t>
        </is>
      </c>
      <c r="M14" s="12" t="inlineStr">
        <is>
          <t>М3 (3c) · повт.</t>
        </is>
      </c>
      <c r="N14" s="12" t="inlineStr">
        <is>
          <t>М5 (5c) · повт.</t>
        </is>
      </c>
      <c r="O14" s="12" t="inlineStr">
        <is>
          <t>М1 (1c) · повт.</t>
        </is>
      </c>
      <c r="P14" s="16" t="inlineStr">
        <is>
          <t>—</t>
        </is>
      </c>
      <c r="Q14" s="17" t="inlineStr"/>
      <c r="R14" s="13" t="inlineStr">
        <is>
          <t>нет</t>
        </is>
      </c>
      <c r="S14" s="9" t="inlineStr"/>
      <c r="T14" s="9" t="inlineStr"/>
    </row>
    <row r="15">
      <c r="A15" s="9" t="n">
        <v>14</v>
      </c>
      <c r="B15" s="9" t="inlineStr">
        <is>
          <t>Грамматика</t>
        </is>
      </c>
      <c r="C15" s="9" t="inlineStr">
        <is>
          <t>Глаголы: времена</t>
        </is>
      </c>
      <c r="D15" s="10" t="inlineStr">
        <is>
          <t>Past Simple</t>
        </is>
      </c>
      <c r="E15" s="9" t="inlineStr">
        <is>
          <t>Past Simple: значение — последовательные действия</t>
        </is>
      </c>
      <c r="F15" s="9" t="inlineStr">
        <is>
          <t>10+</t>
        </is>
      </c>
      <c r="G15" s="9" t="inlineStr"/>
      <c r="H15" s="9" t="inlineStr"/>
      <c r="I15" s="9" t="inlineStr"/>
      <c r="J15" s="9" t="inlineStr"/>
      <c r="K15" s="9" t="inlineStr"/>
      <c r="L15" s="15" t="inlineStr">
        <is>
          <t>М1 (1c) · новое</t>
        </is>
      </c>
      <c r="M15" s="12" t="inlineStr">
        <is>
          <t>М3 (3c) · повт.</t>
        </is>
      </c>
      <c r="N15" s="12" t="inlineStr">
        <is>
          <t>М5 (5c) · повт.</t>
        </is>
      </c>
      <c r="O15" s="12" t="inlineStr">
        <is>
          <t>М1 (1c) · повт.</t>
        </is>
      </c>
      <c r="P15" s="16" t="inlineStr">
        <is>
          <t>—</t>
        </is>
      </c>
      <c r="Q15" s="17" t="inlineStr"/>
      <c r="R15" s="13" t="inlineStr">
        <is>
          <t>нет</t>
        </is>
      </c>
      <c r="S15" s="9" t="inlineStr"/>
      <c r="T15" s="9" t="inlineStr"/>
    </row>
    <row r="16">
      <c r="A16" s="9" t="n">
        <v>15</v>
      </c>
      <c r="B16" s="9" t="inlineStr">
        <is>
          <t>Грамматика</t>
        </is>
      </c>
      <c r="C16" s="9" t="inlineStr">
        <is>
          <t>Глаголы: времена</t>
        </is>
      </c>
      <c r="D16" s="10" t="inlineStr">
        <is>
          <t>Past Simple</t>
        </is>
      </c>
      <c r="E16" s="9" t="inlineStr">
        <is>
          <t>Past Simple: значение — завершённые действия без связи с настоящим</t>
        </is>
      </c>
      <c r="F16" s="9" t="inlineStr">
        <is>
          <t>10+</t>
        </is>
      </c>
      <c r="G16" s="9" t="inlineStr"/>
      <c r="H16" s="9" t="inlineStr"/>
      <c r="I16" s="9" t="inlineStr"/>
      <c r="J16" s="9" t="inlineStr"/>
      <c r="K16" s="9" t="inlineStr"/>
      <c r="L16" s="9" t="inlineStr"/>
      <c r="M16" s="15" t="inlineStr">
        <is>
          <t>М3 (3c) · новое</t>
        </is>
      </c>
      <c r="N16" s="12" t="inlineStr">
        <is>
          <t>М5 (5c) · повт.</t>
        </is>
      </c>
      <c r="O16" s="12" t="inlineStr">
        <is>
          <t>М1 (1c) · повт.</t>
        </is>
      </c>
      <c r="P16" s="16" t="inlineStr">
        <is>
          <t>—</t>
        </is>
      </c>
      <c r="Q16" s="17" t="inlineStr"/>
      <c r="R16" s="13" t="inlineStr">
        <is>
          <t>нет</t>
        </is>
      </c>
      <c r="S16" s="9" t="inlineStr"/>
      <c r="T16" s="9" t="inlineStr"/>
    </row>
    <row r="17">
      <c r="A17" s="4" t="n">
        <v>16</v>
      </c>
      <c r="B17" s="4" t="inlineStr">
        <is>
          <t>Грамматика</t>
        </is>
      </c>
      <c r="C17" s="4" t="inlineStr">
        <is>
          <t>Глаголы: времена</t>
        </is>
      </c>
      <c r="D17" s="5" t="inlineStr">
        <is>
          <t>Present Continuous</t>
        </is>
      </c>
      <c r="E17" s="4" t="inlineStr">
        <is>
          <t>Present Continuous: утверждение (am/is/are + V-ing)</t>
        </is>
      </c>
      <c r="F17" s="4" t="inlineStr">
        <is>
          <t>обе</t>
        </is>
      </c>
      <c r="G17" s="6" t="inlineStr">
        <is>
          <t>М7 · новое</t>
        </is>
      </c>
      <c r="H17" s="7" t="inlineStr">
        <is>
          <t>М1 · повт.</t>
        </is>
      </c>
      <c r="I17" s="7" t="inlineStr">
        <is>
          <t>М6 (6b) · повт.</t>
        </is>
      </c>
      <c r="J17" s="7" t="inlineStr">
        <is>
          <t>М5 (5a) · повт.</t>
        </is>
      </c>
      <c r="K17" s="4" t="inlineStr"/>
      <c r="L17" s="7" t="inlineStr">
        <is>
          <t>М1 (1c) · повт.</t>
        </is>
      </c>
      <c r="M17" s="7" t="inlineStr">
        <is>
          <t>М1 (1c) · повт.</t>
        </is>
      </c>
      <c r="N17" s="7" t="inlineStr">
        <is>
          <t>М1 (1c) · повт.</t>
        </is>
      </c>
      <c r="O17" s="7" t="inlineStr">
        <is>
          <t>М1 (1c) · повт.</t>
        </is>
      </c>
      <c r="P17" s="8" t="inlineStr">
        <is>
          <t>нет</t>
        </is>
      </c>
      <c r="Q17" s="4" t="inlineStr"/>
      <c r="R17" s="8" t="inlineStr">
        <is>
          <t>нет</t>
        </is>
      </c>
      <c r="S17" s="4" t="inlineStr"/>
      <c r="T17" s="4" t="inlineStr"/>
    </row>
    <row r="18">
      <c r="A18" s="9" t="n">
        <v>17</v>
      </c>
      <c r="B18" s="9" t="inlineStr">
        <is>
          <t>Грамматика</t>
        </is>
      </c>
      <c r="C18" s="9" t="inlineStr">
        <is>
          <t>Глаголы: времена</t>
        </is>
      </c>
      <c r="D18" s="10" t="inlineStr">
        <is>
          <t>Present Continuous</t>
        </is>
      </c>
      <c r="E18" s="9" t="inlineStr">
        <is>
          <t>Present Continuous: отрицание (I'm not / isn't / aren't)</t>
        </is>
      </c>
      <c r="F18" s="9" t="inlineStr">
        <is>
          <t>обе</t>
        </is>
      </c>
      <c r="G18" s="11" t="inlineStr">
        <is>
          <t>М7 · новое</t>
        </is>
      </c>
      <c r="H18" s="12" t="inlineStr">
        <is>
          <t>М1 · повт.</t>
        </is>
      </c>
      <c r="I18" s="12" t="inlineStr">
        <is>
          <t>М6 (6b) · повт.</t>
        </is>
      </c>
      <c r="J18" s="12" t="inlineStr">
        <is>
          <t>М5 (5b) · повт.</t>
        </is>
      </c>
      <c r="K18" s="9" t="inlineStr"/>
      <c r="L18" s="12" t="inlineStr">
        <is>
          <t>М1 (1c) · повт.</t>
        </is>
      </c>
      <c r="M18" s="9" t="inlineStr"/>
      <c r="N18" s="9" t="inlineStr"/>
      <c r="O18" s="9" t="inlineStr"/>
      <c r="P18" s="13" t="inlineStr">
        <is>
          <t>нет</t>
        </is>
      </c>
      <c r="Q18" s="9" t="inlineStr"/>
      <c r="R18" s="13" t="inlineStr">
        <is>
          <t>нет</t>
        </is>
      </c>
      <c r="S18" s="9" t="inlineStr"/>
      <c r="T18" s="9" t="inlineStr"/>
    </row>
    <row r="19">
      <c r="A19" s="9" t="n">
        <v>18</v>
      </c>
      <c r="B19" s="9" t="inlineStr">
        <is>
          <t>Грамматика</t>
        </is>
      </c>
      <c r="C19" s="9" t="inlineStr">
        <is>
          <t>Глаголы: времена</t>
        </is>
      </c>
      <c r="D19" s="10" t="inlineStr">
        <is>
          <t>Present Continuous</t>
        </is>
      </c>
      <c r="E19" s="9" t="inlineStr">
        <is>
          <t>Present Continuous: общие вопросы (Am/Is/Are …?)</t>
        </is>
      </c>
      <c r="F19" s="9" t="inlineStr">
        <is>
          <t>обе</t>
        </is>
      </c>
      <c r="G19" s="11" t="inlineStr">
        <is>
          <t>М7 · новое</t>
        </is>
      </c>
      <c r="H19" s="12" t="inlineStr">
        <is>
          <t>М1 · повт.</t>
        </is>
      </c>
      <c r="I19" s="12" t="inlineStr">
        <is>
          <t>М6 (6b) · повт.</t>
        </is>
      </c>
      <c r="J19" s="12" t="inlineStr">
        <is>
          <t>М5 (5b) · повт.</t>
        </is>
      </c>
      <c r="K19" s="9" t="inlineStr"/>
      <c r="L19" s="12" t="inlineStr">
        <is>
          <t>М1 (1c) · повт.</t>
        </is>
      </c>
      <c r="M19" s="9" t="inlineStr"/>
      <c r="N19" s="9" t="inlineStr"/>
      <c r="O19" s="9" t="inlineStr"/>
      <c r="P19" s="13" t="inlineStr">
        <is>
          <t>нет</t>
        </is>
      </c>
      <c r="Q19" s="9" t="inlineStr"/>
      <c r="R19" s="13" t="inlineStr">
        <is>
          <t>нет</t>
        </is>
      </c>
      <c r="S19" s="9" t="inlineStr"/>
      <c r="T19" s="9" t="inlineStr"/>
    </row>
    <row r="20">
      <c r="A20" s="9" t="n">
        <v>19</v>
      </c>
      <c r="B20" s="9" t="inlineStr">
        <is>
          <t>Грамматика</t>
        </is>
      </c>
      <c r="C20" s="9" t="inlineStr">
        <is>
          <t>Глаголы: времена</t>
        </is>
      </c>
      <c r="D20" s="10" t="inlineStr">
        <is>
          <t>Present Continuous</t>
        </is>
      </c>
      <c r="E20" s="9" t="inlineStr">
        <is>
          <t>Present Continuous: краткие ответы (Yes, I am / No, he isn't)</t>
        </is>
      </c>
      <c r="F20" s="9" t="inlineStr">
        <is>
          <t>обе</t>
        </is>
      </c>
      <c r="G20" s="11" t="inlineStr">
        <is>
          <t>М7 · новое</t>
        </is>
      </c>
      <c r="H20" s="12" t="inlineStr">
        <is>
          <t>М1 · повт.</t>
        </is>
      </c>
      <c r="I20" s="12" t="inlineStr">
        <is>
          <t>М6 (6b) · повт.</t>
        </is>
      </c>
      <c r="J20" s="12" t="inlineStr">
        <is>
          <t>М5 (5b) · повт.</t>
        </is>
      </c>
      <c r="K20" s="9" t="inlineStr"/>
      <c r="L20" s="12" t="inlineStr">
        <is>
          <t>М1 (1c) · повт.</t>
        </is>
      </c>
      <c r="M20" s="9" t="inlineStr"/>
      <c r="N20" s="9" t="inlineStr"/>
      <c r="O20" s="9" t="inlineStr"/>
      <c r="P20" s="13" t="inlineStr">
        <is>
          <t>нет</t>
        </is>
      </c>
      <c r="Q20" s="9" t="inlineStr"/>
      <c r="R20" s="13" t="inlineStr">
        <is>
          <t>нет</t>
        </is>
      </c>
      <c r="S20" s="9" t="inlineStr"/>
      <c r="T20" s="9" t="inlineStr"/>
    </row>
    <row r="21">
      <c r="A21" s="9" t="n">
        <v>20</v>
      </c>
      <c r="B21" s="9" t="inlineStr">
        <is>
          <t>Грамматика</t>
        </is>
      </c>
      <c r="C21" s="9" t="inlineStr">
        <is>
          <t>Глаголы: времена</t>
        </is>
      </c>
      <c r="D21" s="10" t="inlineStr">
        <is>
          <t>Present Continuous</t>
        </is>
      </c>
      <c r="E21" s="9" t="inlineStr">
        <is>
          <t>Present Continuous: орфография -ing</t>
        </is>
      </c>
      <c r="F21" s="9" t="inlineStr">
        <is>
          <t>10+</t>
        </is>
      </c>
      <c r="G21" s="9" t="inlineStr"/>
      <c r="H21" s="9" t="inlineStr"/>
      <c r="I21" s="15" t="inlineStr">
        <is>
          <t>М6 (6b) · новое</t>
        </is>
      </c>
      <c r="J21" s="12" t="inlineStr">
        <is>
          <t>М5 (5b) · повт.</t>
        </is>
      </c>
      <c r="K21" s="9" t="inlineStr"/>
      <c r="L21" s="14" t="inlineStr">
        <is>
          <t>М1 (1c) · расш.</t>
        </is>
      </c>
      <c r="M21" s="12" t="inlineStr">
        <is>
          <t>М1 (1c) · повт.</t>
        </is>
      </c>
      <c r="N21" s="12" t="inlineStr">
        <is>
          <t>М1 (1c) · повт.</t>
        </is>
      </c>
      <c r="O21" s="12" t="inlineStr">
        <is>
          <t>М1 (1c) · повт.</t>
        </is>
      </c>
      <c r="P21" s="16" t="inlineStr">
        <is>
          <t>—</t>
        </is>
      </c>
      <c r="Q21" s="17" t="inlineStr"/>
      <c r="R21" s="13" t="inlineStr">
        <is>
          <t>нет</t>
        </is>
      </c>
      <c r="S21" s="9" t="inlineStr"/>
      <c r="T21" s="9" t="inlineStr"/>
    </row>
    <row r="22">
      <c r="A22" s="9" t="n">
        <v>21</v>
      </c>
      <c r="B22" s="9" t="inlineStr">
        <is>
          <t>Грамматика</t>
        </is>
      </c>
      <c r="C22" s="9" t="inlineStr">
        <is>
          <t>Глаголы: времена</t>
        </is>
      </c>
      <c r="D22" s="10" t="inlineStr">
        <is>
          <t>Present Continuous</t>
        </is>
      </c>
      <c r="E22" s="9" t="inlineStr">
        <is>
          <t>Present Continuous: значение — действие сейчас (now)</t>
        </is>
      </c>
      <c r="F22" s="9" t="inlineStr">
        <is>
          <t>обе</t>
        </is>
      </c>
      <c r="G22" s="11" t="inlineStr">
        <is>
          <t>М7 · новое</t>
        </is>
      </c>
      <c r="H22" s="12" t="inlineStr">
        <is>
          <t>М1 · повт.</t>
        </is>
      </c>
      <c r="I22" s="12" t="inlineStr">
        <is>
          <t>М6 (6b) · повт.</t>
        </is>
      </c>
      <c r="J22" s="12" t="inlineStr">
        <is>
          <t>М5 (5b) · повт.</t>
        </is>
      </c>
      <c r="K22" s="12" t="inlineStr">
        <is>
          <t>М1 · повт.</t>
        </is>
      </c>
      <c r="L22" s="12" t="inlineStr">
        <is>
          <t>М1 (1c) · повт.</t>
        </is>
      </c>
      <c r="M22" s="12" t="inlineStr">
        <is>
          <t>М1 (1c) · повт.</t>
        </is>
      </c>
      <c r="N22" s="12" t="inlineStr">
        <is>
          <t>М1 (1c) · повт.</t>
        </is>
      </c>
      <c r="O22" s="12" t="inlineStr">
        <is>
          <t>М1 (1c) · повт.</t>
        </is>
      </c>
      <c r="P22" s="13" t="inlineStr">
        <is>
          <t>нет</t>
        </is>
      </c>
      <c r="Q22" s="9" t="inlineStr"/>
      <c r="R22" s="13" t="inlineStr">
        <is>
          <t>нет</t>
        </is>
      </c>
      <c r="S22" s="9" t="inlineStr"/>
      <c r="T22" s="9" t="inlineStr"/>
    </row>
    <row r="23">
      <c r="A23" s="9" t="n">
        <v>22</v>
      </c>
      <c r="B23" s="9" t="inlineStr">
        <is>
          <t>Грамматика</t>
        </is>
      </c>
      <c r="C23" s="9" t="inlineStr">
        <is>
          <t>Глаголы: времена</t>
        </is>
      </c>
      <c r="D23" s="10" t="inlineStr">
        <is>
          <t>Present Continuous</t>
        </is>
      </c>
      <c r="E23" s="9" t="inlineStr">
        <is>
          <t>Present Continuous: значение — действие в настоящий период (these days)</t>
        </is>
      </c>
      <c r="F23" s="9" t="inlineStr">
        <is>
          <t>10+</t>
        </is>
      </c>
      <c r="G23" s="9" t="inlineStr"/>
      <c r="H23" s="9" t="inlineStr"/>
      <c r="I23" s="15" t="inlineStr">
        <is>
          <t>М6 (6b) · новое</t>
        </is>
      </c>
      <c r="J23" s="14" t="inlineStr">
        <is>
          <t>М5 (5b) · расш.</t>
        </is>
      </c>
      <c r="K23" s="12" t="inlineStr">
        <is>
          <t>М1 · повт.</t>
        </is>
      </c>
      <c r="L23" s="9" t="inlineStr"/>
      <c r="M23" s="12" t="inlineStr">
        <is>
          <t>М1 (1c) · повт.</t>
        </is>
      </c>
      <c r="N23" s="12" t="inlineStr">
        <is>
          <t>М1 (1c) · повт.</t>
        </is>
      </c>
      <c r="O23" s="12" t="inlineStr">
        <is>
          <t>М1 (1c) · повт.</t>
        </is>
      </c>
      <c r="P23" s="16" t="inlineStr">
        <is>
          <t>—</t>
        </is>
      </c>
      <c r="Q23" s="17" t="inlineStr"/>
      <c r="R23" s="13" t="inlineStr">
        <is>
          <t>нет</t>
        </is>
      </c>
      <c r="S23" s="9" t="inlineStr"/>
      <c r="T23" s="9" t="inlineStr"/>
    </row>
    <row r="24">
      <c r="A24" s="9" t="n">
        <v>23</v>
      </c>
      <c r="B24" s="9" t="inlineStr">
        <is>
          <t>Грамматика</t>
        </is>
      </c>
      <c r="C24" s="9" t="inlineStr">
        <is>
          <t>Глаголы: времена</t>
        </is>
      </c>
      <c r="D24" s="10" t="inlineStr">
        <is>
          <t>Present Continuous</t>
        </is>
      </c>
      <c r="E24" s="9" t="inlineStr">
        <is>
          <t>Present Continuous: значение — запланированное будущее</t>
        </is>
      </c>
      <c r="F24" s="9" t="inlineStr">
        <is>
          <t>10+</t>
        </is>
      </c>
      <c r="G24" s="9" t="inlineStr"/>
      <c r="H24" s="9" t="inlineStr"/>
      <c r="I24" s="9" t="inlineStr"/>
      <c r="J24" s="15" t="inlineStr">
        <is>
          <t>М5 (5b) · новое
М10 (10b) · повт.</t>
        </is>
      </c>
      <c r="K24" s="12" t="inlineStr">
        <is>
          <t>М1 · повт.</t>
        </is>
      </c>
      <c r="L24" s="14" t="inlineStr">
        <is>
          <t>М1 (1c) · расш.</t>
        </is>
      </c>
      <c r="M24" s="12" t="inlineStr">
        <is>
          <t>М1 (1c) · повт.</t>
        </is>
      </c>
      <c r="N24" s="12" t="inlineStr">
        <is>
          <t>М1 (1c) · повт.</t>
        </is>
      </c>
      <c r="O24" s="12" t="inlineStr">
        <is>
          <t>М1 (1c) · повт.</t>
        </is>
      </c>
      <c r="P24" s="16" t="inlineStr">
        <is>
          <t>—</t>
        </is>
      </c>
      <c r="Q24" s="17" t="inlineStr"/>
      <c r="R24" s="13" t="inlineStr">
        <is>
          <t>нет</t>
        </is>
      </c>
      <c r="S24" s="9" t="inlineStr"/>
      <c r="T24" s="9" t="inlineStr"/>
    </row>
    <row r="25">
      <c r="A25" s="9" t="n">
        <v>24</v>
      </c>
      <c r="B25" s="9" t="inlineStr">
        <is>
          <t>Грамматика</t>
        </is>
      </c>
      <c r="C25" s="9" t="inlineStr">
        <is>
          <t>Глаголы: времена</t>
        </is>
      </c>
      <c r="D25" s="10" t="inlineStr">
        <is>
          <t>Present Continuous</t>
        </is>
      </c>
      <c r="E25" s="9" t="inlineStr">
        <is>
          <t>Present Continuous: значение — временные ситуации</t>
        </is>
      </c>
      <c r="F25" s="9" t="inlineStr">
        <is>
          <t>10+</t>
        </is>
      </c>
      <c r="G25" s="9" t="inlineStr"/>
      <c r="H25" s="9" t="inlineStr"/>
      <c r="I25" s="9" t="inlineStr"/>
      <c r="J25" s="9" t="inlineStr"/>
      <c r="K25" s="9" t="inlineStr"/>
      <c r="L25" s="15" t="inlineStr">
        <is>
          <t>М1 (1c) · новое</t>
        </is>
      </c>
      <c r="M25" s="12" t="inlineStr">
        <is>
          <t>М1 (1c) · повт.</t>
        </is>
      </c>
      <c r="N25" s="12" t="inlineStr">
        <is>
          <t>М1 (1c) · повт.</t>
        </is>
      </c>
      <c r="O25" s="12" t="inlineStr">
        <is>
          <t>М1 (1c) · повт.</t>
        </is>
      </c>
      <c r="P25" s="16" t="inlineStr">
        <is>
          <t>—</t>
        </is>
      </c>
      <c r="Q25" s="17" t="inlineStr"/>
      <c r="R25" s="13" t="inlineStr">
        <is>
          <t>нет</t>
        </is>
      </c>
      <c r="S25" s="9" t="inlineStr"/>
      <c r="T25" s="9" t="inlineStr"/>
    </row>
    <row r="26">
      <c r="A26" s="9" t="n">
        <v>25</v>
      </c>
      <c r="B26" s="9" t="inlineStr">
        <is>
          <t>Грамматика</t>
        </is>
      </c>
      <c r="C26" s="9" t="inlineStr">
        <is>
          <t>Глаголы: времена</t>
        </is>
      </c>
      <c r="D26" s="10" t="inlineStr">
        <is>
          <t>Present Continuous</t>
        </is>
      </c>
      <c r="E26" s="9" t="inlineStr">
        <is>
          <t>Present Continuous: значение — меняющиеся и развивающиеся ситуации</t>
        </is>
      </c>
      <c r="F26" s="9" t="inlineStr">
        <is>
          <t>10+</t>
        </is>
      </c>
      <c r="G26" s="9" t="inlineStr"/>
      <c r="H26" s="9" t="inlineStr"/>
      <c r="I26" s="9" t="inlineStr"/>
      <c r="J26" s="9" t="inlineStr"/>
      <c r="K26" s="15" t="inlineStr">
        <is>
          <t>М1 · новое</t>
        </is>
      </c>
      <c r="L26" s="12" t="inlineStr">
        <is>
          <t>М1 (1c) · повт.</t>
        </is>
      </c>
      <c r="M26" s="12" t="inlineStr">
        <is>
          <t>М1 (1c) · повт.</t>
        </is>
      </c>
      <c r="N26" s="12" t="inlineStr">
        <is>
          <t>М1 (1c) · повт.</t>
        </is>
      </c>
      <c r="O26" s="12" t="inlineStr">
        <is>
          <t>М1 (1c) · повт.</t>
        </is>
      </c>
      <c r="P26" s="16" t="inlineStr">
        <is>
          <t>—</t>
        </is>
      </c>
      <c r="Q26" s="17" t="inlineStr"/>
      <c r="R26" s="13" t="inlineStr">
        <is>
          <t>нет</t>
        </is>
      </c>
      <c r="S26" s="9" t="inlineStr"/>
      <c r="T26" s="9" t="inlineStr"/>
    </row>
    <row r="27">
      <c r="A27" s="9" t="n">
        <v>26</v>
      </c>
      <c r="B27" s="9" t="inlineStr">
        <is>
          <t>Грамматика</t>
        </is>
      </c>
      <c r="C27" s="9" t="inlineStr">
        <is>
          <t>Глаголы: времена</t>
        </is>
      </c>
      <c r="D27" s="10" t="inlineStr">
        <is>
          <t>Present Continuous</t>
        </is>
      </c>
      <c r="E27" s="9" t="inlineStr">
        <is>
          <t>Present Continuous: значение — always + раздражение</t>
        </is>
      </c>
      <c r="F27" s="9" t="inlineStr">
        <is>
          <t>10+</t>
        </is>
      </c>
      <c r="G27" s="9" t="inlineStr"/>
      <c r="H27" s="9" t="inlineStr"/>
      <c r="I27" s="9" t="inlineStr"/>
      <c r="J27" s="9" t="inlineStr"/>
      <c r="K27" s="15" t="inlineStr">
        <is>
          <t>М1 · новое</t>
        </is>
      </c>
      <c r="L27" s="14" t="inlineStr">
        <is>
          <t>М1 (1c) · расш.</t>
        </is>
      </c>
      <c r="M27" s="12" t="inlineStr">
        <is>
          <t>М1 (1c) · повт.</t>
        </is>
      </c>
      <c r="N27" s="12" t="inlineStr">
        <is>
          <t>М1 (1c) · повт.</t>
        </is>
      </c>
      <c r="O27" s="12" t="inlineStr">
        <is>
          <t>М1 (1c) · повт.</t>
        </is>
      </c>
      <c r="P27" s="16" t="inlineStr">
        <is>
          <t>—</t>
        </is>
      </c>
      <c r="Q27" s="17" t="inlineStr"/>
      <c r="R27" s="13" t="inlineStr">
        <is>
          <t>нет</t>
        </is>
      </c>
      <c r="S27" s="9" t="inlineStr"/>
      <c r="T27" s="9" t="inlineStr"/>
    </row>
    <row r="28">
      <c r="A28" s="4" t="n">
        <v>27</v>
      </c>
      <c r="B28" s="4" t="inlineStr">
        <is>
          <t>Грамматика</t>
        </is>
      </c>
      <c r="C28" s="4" t="inlineStr">
        <is>
          <t>Глаголы: времена</t>
        </is>
      </c>
      <c r="D28" s="5" t="inlineStr">
        <is>
          <t>Present Simple</t>
        </is>
      </c>
      <c r="E28" s="4" t="inlineStr">
        <is>
          <t>Present Simple: утверждение (I/you/we/they V, he/she/it V-s)</t>
        </is>
      </c>
      <c r="F28" s="4" t="inlineStr">
        <is>
          <t>обе</t>
        </is>
      </c>
      <c r="G28" s="6" t="inlineStr">
        <is>
          <t>М3 · новое</t>
        </is>
      </c>
      <c r="H28" s="7" t="inlineStr">
        <is>
          <t>М2 · повт.</t>
        </is>
      </c>
      <c r="I28" s="7" t="inlineStr">
        <is>
          <t>М5 (5a) · повт.</t>
        </is>
      </c>
      <c r="J28" s="7" t="inlineStr">
        <is>
          <t>М4 (4a) · повт.</t>
        </is>
      </c>
      <c r="K28" s="4" t="inlineStr"/>
      <c r="L28" s="7" t="inlineStr">
        <is>
          <t>М1 (1c) · повт.</t>
        </is>
      </c>
      <c r="M28" s="7" t="inlineStr">
        <is>
          <t>М1 (1c) · повт.</t>
        </is>
      </c>
      <c r="N28" s="7" t="inlineStr">
        <is>
          <t>М1 (1c) · повт.</t>
        </is>
      </c>
      <c r="O28" s="7" t="inlineStr">
        <is>
          <t>М1 (1c) · повт.</t>
        </is>
      </c>
      <c r="P28" s="8" t="inlineStr">
        <is>
          <t>нет</t>
        </is>
      </c>
      <c r="Q28" s="4" t="inlineStr"/>
      <c r="R28" s="8" t="inlineStr">
        <is>
          <t>нет</t>
        </is>
      </c>
      <c r="S28" s="4" t="inlineStr"/>
      <c r="T28" s="4" t="inlineStr"/>
    </row>
    <row r="29">
      <c r="A29" s="9" t="n">
        <v>28</v>
      </c>
      <c r="B29" s="9" t="inlineStr">
        <is>
          <t>Грамматика</t>
        </is>
      </c>
      <c r="C29" s="9" t="inlineStr">
        <is>
          <t>Глаголы: времена</t>
        </is>
      </c>
      <c r="D29" s="10" t="inlineStr">
        <is>
          <t>Present Simple</t>
        </is>
      </c>
      <c r="E29" s="9" t="inlineStr">
        <is>
          <t>Present Simple: отрицание (don't/doesn't)</t>
        </is>
      </c>
      <c r="F29" s="9" t="inlineStr">
        <is>
          <t>обе</t>
        </is>
      </c>
      <c r="G29" s="11" t="inlineStr">
        <is>
          <t>М3 · новое</t>
        </is>
      </c>
      <c r="H29" s="12" t="inlineStr">
        <is>
          <t>М2 · повт.</t>
        </is>
      </c>
      <c r="I29" s="12" t="inlineStr">
        <is>
          <t>М5 (5b) · повт.</t>
        </is>
      </c>
      <c r="J29" s="12" t="inlineStr">
        <is>
          <t>М4 (4a) · повт.</t>
        </is>
      </c>
      <c r="K29" s="9" t="inlineStr"/>
      <c r="L29" s="12" t="inlineStr">
        <is>
          <t>М1 (1c) · повт.</t>
        </is>
      </c>
      <c r="M29" s="9" t="inlineStr"/>
      <c r="N29" s="9" t="inlineStr"/>
      <c r="O29" s="9" t="inlineStr"/>
      <c r="P29" s="13" t="inlineStr">
        <is>
          <t>нет</t>
        </is>
      </c>
      <c r="Q29" s="9" t="inlineStr"/>
      <c r="R29" s="13" t="inlineStr">
        <is>
          <t>нет</t>
        </is>
      </c>
      <c r="S29" s="9" t="inlineStr"/>
      <c r="T29" s="9" t="inlineStr"/>
    </row>
    <row r="30">
      <c r="A30" s="9" t="n">
        <v>29</v>
      </c>
      <c r="B30" s="9" t="inlineStr">
        <is>
          <t>Грамматика</t>
        </is>
      </c>
      <c r="C30" s="9" t="inlineStr">
        <is>
          <t>Глаголы: времена</t>
        </is>
      </c>
      <c r="D30" s="10" t="inlineStr">
        <is>
          <t>Present Simple</t>
        </is>
      </c>
      <c r="E30" s="9" t="inlineStr">
        <is>
          <t>Present Simple: общие вопросы (Do/Does …?)</t>
        </is>
      </c>
      <c r="F30" s="9" t="inlineStr">
        <is>
          <t>обе</t>
        </is>
      </c>
      <c r="G30" s="11" t="inlineStr">
        <is>
          <t>М3 · новое</t>
        </is>
      </c>
      <c r="H30" s="12" t="inlineStr">
        <is>
          <t>М2 · повт.</t>
        </is>
      </c>
      <c r="I30" s="12" t="inlineStr">
        <is>
          <t>М5 (5b) · повт.</t>
        </is>
      </c>
      <c r="J30" s="12" t="inlineStr">
        <is>
          <t>М4 (4a) · повт.</t>
        </is>
      </c>
      <c r="K30" s="9" t="inlineStr"/>
      <c r="L30" s="12" t="inlineStr">
        <is>
          <t>М1 (1c) · повт.</t>
        </is>
      </c>
      <c r="M30" s="9" t="inlineStr"/>
      <c r="N30" s="9" t="inlineStr"/>
      <c r="O30" s="9" t="inlineStr"/>
      <c r="P30" s="13" t="inlineStr">
        <is>
          <t>нет</t>
        </is>
      </c>
      <c r="Q30" s="9" t="inlineStr"/>
      <c r="R30" s="13" t="inlineStr">
        <is>
          <t>нет</t>
        </is>
      </c>
      <c r="S30" s="9" t="inlineStr"/>
      <c r="T30" s="9" t="inlineStr"/>
    </row>
    <row r="31">
      <c r="A31" s="9" t="n">
        <v>30</v>
      </c>
      <c r="B31" s="9" t="inlineStr">
        <is>
          <t>Грамматика</t>
        </is>
      </c>
      <c r="C31" s="9" t="inlineStr">
        <is>
          <t>Глаголы: времена</t>
        </is>
      </c>
      <c r="D31" s="10" t="inlineStr">
        <is>
          <t>Present Simple</t>
        </is>
      </c>
      <c r="E31" s="9" t="inlineStr">
        <is>
          <t>Present Simple: краткие ответы (Yes, I do / No, he doesn't)</t>
        </is>
      </c>
      <c r="F31" s="9" t="inlineStr">
        <is>
          <t>обе</t>
        </is>
      </c>
      <c r="G31" s="11" t="inlineStr">
        <is>
          <t>М3 · новое</t>
        </is>
      </c>
      <c r="H31" s="12" t="inlineStr">
        <is>
          <t>М2 · повт.</t>
        </is>
      </c>
      <c r="I31" s="12" t="inlineStr">
        <is>
          <t>М5 (5b) · повт.</t>
        </is>
      </c>
      <c r="J31" s="12" t="inlineStr">
        <is>
          <t>М4 (4b) · повт.</t>
        </is>
      </c>
      <c r="K31" s="9" t="inlineStr"/>
      <c r="L31" s="12" t="inlineStr">
        <is>
          <t>М1 (1c) · повт.</t>
        </is>
      </c>
      <c r="M31" s="9" t="inlineStr"/>
      <c r="N31" s="9" t="inlineStr"/>
      <c r="O31" s="9" t="inlineStr"/>
      <c r="P31" s="13" t="inlineStr">
        <is>
          <t>нет</t>
        </is>
      </c>
      <c r="Q31" s="9" t="inlineStr"/>
      <c r="R31" s="13" t="inlineStr">
        <is>
          <t>нет</t>
        </is>
      </c>
      <c r="S31" s="9" t="inlineStr"/>
      <c r="T31" s="9" t="inlineStr"/>
    </row>
    <row r="32">
      <c r="A32" s="9" t="n">
        <v>31</v>
      </c>
      <c r="B32" s="9" t="inlineStr">
        <is>
          <t>Грамматика</t>
        </is>
      </c>
      <c r="C32" s="9" t="inlineStr">
        <is>
          <t>Глаголы: времена</t>
        </is>
      </c>
      <c r="D32" s="10" t="inlineStr">
        <is>
          <t>Present Simple</t>
        </is>
      </c>
      <c r="E32" s="9" t="inlineStr">
        <is>
          <t>Present Simple: орфография окончания -s/-es (3 л. ед. ч.)</t>
        </is>
      </c>
      <c r="F32" s="9" t="inlineStr">
        <is>
          <t>обе</t>
        </is>
      </c>
      <c r="G32" s="11" t="inlineStr">
        <is>
          <t>М8 · новое</t>
        </is>
      </c>
      <c r="H32" s="12" t="inlineStr">
        <is>
          <t>М2 · повт.</t>
        </is>
      </c>
      <c r="I32" s="12" t="inlineStr">
        <is>
          <t>М5 (5a) · повт.</t>
        </is>
      </c>
      <c r="J32" s="12" t="inlineStr">
        <is>
          <t>М4 (4a) · повт.</t>
        </is>
      </c>
      <c r="K32" s="9" t="inlineStr"/>
      <c r="L32" s="12" t="inlineStr">
        <is>
          <t>М1 (1c) · повт.</t>
        </is>
      </c>
      <c r="M32" s="12" t="inlineStr">
        <is>
          <t>М1 (1c) · повт.</t>
        </is>
      </c>
      <c r="N32" s="12" t="inlineStr">
        <is>
          <t>М1 (1c) · повт.</t>
        </is>
      </c>
      <c r="O32" s="12" t="inlineStr">
        <is>
          <t>М1 (1c) · повт.</t>
        </is>
      </c>
      <c r="P32" s="13" t="inlineStr">
        <is>
          <t>нет</t>
        </is>
      </c>
      <c r="Q32" s="9" t="inlineStr"/>
      <c r="R32" s="13" t="inlineStr">
        <is>
          <t>нет</t>
        </is>
      </c>
      <c r="S32" s="9" t="inlineStr"/>
      <c r="T32" s="9" t="inlineStr"/>
    </row>
    <row r="33">
      <c r="A33" s="9" t="n">
        <v>32</v>
      </c>
      <c r="B33" s="9" t="inlineStr">
        <is>
          <t>Грамматика</t>
        </is>
      </c>
      <c r="C33" s="9" t="inlineStr">
        <is>
          <t>Глаголы: времена</t>
        </is>
      </c>
      <c r="D33" s="10" t="inlineStr">
        <is>
          <t>Present Simple</t>
        </is>
      </c>
      <c r="E33" s="9" t="inlineStr">
        <is>
          <t>Present Simple: произношение окончания -s/-es (/s/, /z/, /ɪz/)</t>
        </is>
      </c>
      <c r="F33" s="9" t="inlineStr">
        <is>
          <t>обе</t>
        </is>
      </c>
      <c r="G33" s="11" t="inlineStr">
        <is>
          <t>М8 · новое</t>
        </is>
      </c>
      <c r="H33" s="12" t="inlineStr">
        <is>
          <t>М2 · повт.</t>
        </is>
      </c>
      <c r="I33" s="9" t="inlineStr"/>
      <c r="J33" s="9" t="inlineStr"/>
      <c r="K33" s="9" t="inlineStr"/>
      <c r="L33" s="9" t="inlineStr"/>
      <c r="M33" s="9" t="inlineStr"/>
      <c r="N33" s="9" t="inlineStr"/>
      <c r="O33" s="9" t="inlineStr"/>
      <c r="P33" s="13" t="inlineStr">
        <is>
          <t>нет</t>
        </is>
      </c>
      <c r="Q33" s="9" t="inlineStr"/>
      <c r="R33" s="13" t="inlineStr">
        <is>
          <t>нет</t>
        </is>
      </c>
      <c r="S33" s="9" t="inlineStr"/>
      <c r="T33" s="9" t="inlineStr"/>
    </row>
    <row r="34">
      <c r="A34" s="9" t="n">
        <v>33</v>
      </c>
      <c r="B34" s="9" t="inlineStr">
        <is>
          <t>Грамматика</t>
        </is>
      </c>
      <c r="C34" s="9" t="inlineStr">
        <is>
          <t>Глаголы: времена</t>
        </is>
      </c>
      <c r="D34" s="10" t="inlineStr">
        <is>
          <t>Present Simple</t>
        </is>
      </c>
      <c r="E34" s="9" t="inlineStr">
        <is>
          <t>Present Simple: значение — регулярные действия, распорядок дня, привычки</t>
        </is>
      </c>
      <c r="F34" s="9" t="inlineStr">
        <is>
          <t>обе</t>
        </is>
      </c>
      <c r="G34" s="11" t="inlineStr">
        <is>
          <t>М3 · новое
М8 · повт.</t>
        </is>
      </c>
      <c r="H34" s="14" t="inlineStr">
        <is>
          <t>М2 · расш.</t>
        </is>
      </c>
      <c r="I34" s="14" t="inlineStr">
        <is>
          <t>М5 (5a) · расш.</t>
        </is>
      </c>
      <c r="J34" s="14" t="inlineStr">
        <is>
          <t>М4 (4a) · расш.</t>
        </is>
      </c>
      <c r="K34" s="12" t="inlineStr">
        <is>
          <t>М1 · повт.</t>
        </is>
      </c>
      <c r="L34" s="12" t="inlineStr">
        <is>
          <t>М1 (1c) · повт.</t>
        </is>
      </c>
      <c r="M34" s="12" t="inlineStr">
        <is>
          <t>М1 (1c) · повт.</t>
        </is>
      </c>
      <c r="N34" s="12" t="inlineStr">
        <is>
          <t>М1 (1c) · повт.</t>
        </is>
      </c>
      <c r="O34" s="12" t="inlineStr">
        <is>
          <t>М1 (1c) · повт.</t>
        </is>
      </c>
      <c r="P34" s="13" t="inlineStr">
        <is>
          <t>нет</t>
        </is>
      </c>
      <c r="Q34" s="9" t="inlineStr"/>
      <c r="R34" s="13" t="inlineStr">
        <is>
          <t>нет</t>
        </is>
      </c>
      <c r="S34" s="9" t="inlineStr"/>
      <c r="T34" s="9" t="inlineStr"/>
    </row>
    <row r="35">
      <c r="A35" s="9" t="n">
        <v>34</v>
      </c>
      <c r="B35" s="9" t="inlineStr">
        <is>
          <t>Грамматика</t>
        </is>
      </c>
      <c r="C35" s="9" t="inlineStr">
        <is>
          <t>Глаголы: времена</t>
        </is>
      </c>
      <c r="D35" s="10" t="inlineStr">
        <is>
          <t>Present Simple</t>
        </is>
      </c>
      <c r="E35" s="9" t="inlineStr">
        <is>
          <t>Present Simple: значение — постоянные состояния и действия</t>
        </is>
      </c>
      <c r="F35" s="9" t="inlineStr">
        <is>
          <t>10+</t>
        </is>
      </c>
      <c r="G35" s="9" t="inlineStr"/>
      <c r="H35" s="9" t="inlineStr"/>
      <c r="I35" s="15" t="inlineStr">
        <is>
          <t>М5 (5a) · новое</t>
        </is>
      </c>
      <c r="J35" s="12" t="inlineStr">
        <is>
          <t>М4 (4a) · повт.</t>
        </is>
      </c>
      <c r="K35" s="12" t="inlineStr">
        <is>
          <t>М1 · повт.</t>
        </is>
      </c>
      <c r="L35" s="12" t="inlineStr">
        <is>
          <t>М1 (1c) · повт.</t>
        </is>
      </c>
      <c r="M35" s="12" t="inlineStr">
        <is>
          <t>М1 (1c) · повт.</t>
        </is>
      </c>
      <c r="N35" s="12" t="inlineStr">
        <is>
          <t>М1 (1c) · повт.</t>
        </is>
      </c>
      <c r="O35" s="12" t="inlineStr">
        <is>
          <t>М1 (1c) · повт.</t>
        </is>
      </c>
      <c r="P35" s="16" t="inlineStr">
        <is>
          <t>—</t>
        </is>
      </c>
      <c r="Q35" s="17" t="inlineStr"/>
      <c r="R35" s="13" t="inlineStr">
        <is>
          <t>нет</t>
        </is>
      </c>
      <c r="S35" s="9" t="inlineStr"/>
      <c r="T35" s="9" t="inlineStr"/>
    </row>
    <row r="36">
      <c r="A36" s="9" t="n">
        <v>35</v>
      </c>
      <c r="B36" s="9" t="inlineStr">
        <is>
          <t>Грамматика</t>
        </is>
      </c>
      <c r="C36" s="9" t="inlineStr">
        <is>
          <t>Глаголы: времена</t>
        </is>
      </c>
      <c r="D36" s="10" t="inlineStr">
        <is>
          <t>Present Simple</t>
        </is>
      </c>
      <c r="E36" s="9" t="inlineStr">
        <is>
          <t>Present Simple: значение — непреложные истины и законы природы</t>
        </is>
      </c>
      <c r="F36" s="9" t="inlineStr">
        <is>
          <t>10+</t>
        </is>
      </c>
      <c r="G36" s="9" t="inlineStr"/>
      <c r="H36" s="9" t="inlineStr"/>
      <c r="I36" s="15" t="inlineStr">
        <is>
          <t>М5 (5a) · новое</t>
        </is>
      </c>
      <c r="J36" s="12" t="inlineStr">
        <is>
          <t>М4 (4a) · повт.</t>
        </is>
      </c>
      <c r="K36" s="12" t="inlineStr">
        <is>
          <t>М1 · повт.</t>
        </is>
      </c>
      <c r="L36" s="9" t="inlineStr"/>
      <c r="M36" s="9" t="inlineStr"/>
      <c r="N36" s="9" t="inlineStr"/>
      <c r="O36" s="9" t="inlineStr"/>
      <c r="P36" s="16" t="inlineStr">
        <is>
          <t>—</t>
        </is>
      </c>
      <c r="Q36" s="17" t="inlineStr"/>
      <c r="R36" s="13" t="inlineStr">
        <is>
          <t>нет</t>
        </is>
      </c>
      <c r="S36" s="9" t="inlineStr"/>
      <c r="T36" s="9" t="inlineStr"/>
    </row>
    <row r="37">
      <c r="A37" s="9" t="n">
        <v>36</v>
      </c>
      <c r="B37" s="9" t="inlineStr">
        <is>
          <t>Грамматика</t>
        </is>
      </c>
      <c r="C37" s="9" t="inlineStr">
        <is>
          <t>Глаголы: времена</t>
        </is>
      </c>
      <c r="D37" s="10" t="inlineStr">
        <is>
          <t>Present Simple</t>
        </is>
      </c>
      <c r="E37" s="9" t="inlineStr">
        <is>
          <t>Present Simple: значение — расписания и программы (будущее по расписанию)</t>
        </is>
      </c>
      <c r="F37" s="9" t="inlineStr">
        <is>
          <t>10+</t>
        </is>
      </c>
      <c r="G37" s="9" t="inlineStr"/>
      <c r="H37" s="9" t="inlineStr"/>
      <c r="I37" s="9" t="inlineStr"/>
      <c r="J37" s="9" t="inlineStr"/>
      <c r="K37" s="15" t="inlineStr">
        <is>
          <t>М1 · новое</t>
        </is>
      </c>
      <c r="L37" s="14" t="inlineStr">
        <is>
          <t>М1 (1c) · расш.</t>
        </is>
      </c>
      <c r="M37" s="12" t="inlineStr">
        <is>
          <t>М1 (1c) · повт.</t>
        </is>
      </c>
      <c r="N37" s="12" t="inlineStr">
        <is>
          <t>М1 (1c) · повт.</t>
        </is>
      </c>
      <c r="O37" s="12" t="inlineStr">
        <is>
          <t>М1 (1c) · повт.</t>
        </is>
      </c>
      <c r="P37" s="16" t="inlineStr">
        <is>
          <t>—</t>
        </is>
      </c>
      <c r="Q37" s="17" t="inlineStr"/>
      <c r="R37" s="13" t="inlineStr">
        <is>
          <t>нет</t>
        </is>
      </c>
      <c r="S37" s="9" t="inlineStr"/>
      <c r="T37" s="9" t="inlineStr"/>
    </row>
    <row r="38">
      <c r="A38" s="9" t="n">
        <v>37</v>
      </c>
      <c r="B38" s="9" t="inlineStr">
        <is>
          <t>Грамматика</t>
        </is>
      </c>
      <c r="C38" s="9" t="inlineStr">
        <is>
          <t>Глаголы: времена</t>
        </is>
      </c>
      <c r="D38" s="10" t="inlineStr">
        <is>
          <t>Present Simple</t>
        </is>
      </c>
      <c r="E38" s="9" t="inlineStr">
        <is>
          <t>Present Simple: значение — чувства и эмоции</t>
        </is>
      </c>
      <c r="F38" s="9" t="inlineStr">
        <is>
          <t>10+</t>
        </is>
      </c>
      <c r="G38" s="9" t="inlineStr"/>
      <c r="H38" s="9" t="inlineStr"/>
      <c r="I38" s="9" t="inlineStr"/>
      <c r="J38" s="9" t="inlineStr"/>
      <c r="K38" s="15" t="inlineStr">
        <is>
          <t>М1 · новое</t>
        </is>
      </c>
      <c r="L38" s="9" t="inlineStr"/>
      <c r="M38" s="9" t="inlineStr"/>
      <c r="N38" s="9" t="inlineStr"/>
      <c r="O38" s="9" t="inlineStr"/>
      <c r="P38" s="16" t="inlineStr">
        <is>
          <t>—</t>
        </is>
      </c>
      <c r="Q38" s="17" t="inlineStr"/>
      <c r="R38" s="13" t="inlineStr">
        <is>
          <t>нет</t>
        </is>
      </c>
      <c r="S38" s="9" t="inlineStr"/>
      <c r="T38" s="9" t="inlineStr"/>
    </row>
    <row r="39">
      <c r="A39" s="9" t="n">
        <v>38</v>
      </c>
      <c r="B39" s="9" t="inlineStr">
        <is>
          <t>Грамматика</t>
        </is>
      </c>
      <c r="C39" s="9" t="inlineStr">
        <is>
          <t>Глаголы: времена</t>
        </is>
      </c>
      <c r="D39" s="10" t="inlineStr">
        <is>
          <t>Present Simple</t>
        </is>
      </c>
      <c r="E39" s="9" t="inlineStr">
        <is>
          <t>Present Simple: значение — обзоры, спортивные комментарии, повествование</t>
        </is>
      </c>
      <c r="F39" s="9" t="inlineStr">
        <is>
          <t>10+</t>
        </is>
      </c>
      <c r="G39" s="9" t="inlineStr"/>
      <c r="H39" s="9" t="inlineStr"/>
      <c r="I39" s="9" t="inlineStr"/>
      <c r="J39" s="9" t="inlineStr"/>
      <c r="K39" s="15" t="inlineStr">
        <is>
          <t>М1 · новое</t>
        </is>
      </c>
      <c r="L39" s="9" t="inlineStr"/>
      <c r="M39" s="12" t="inlineStr">
        <is>
          <t>М1 (1c) · повт.</t>
        </is>
      </c>
      <c r="N39" s="12" t="inlineStr">
        <is>
          <t>М1 (1c) · повт.</t>
        </is>
      </c>
      <c r="O39" s="12" t="inlineStr">
        <is>
          <t>М1 (1c) · повт.</t>
        </is>
      </c>
      <c r="P39" s="16" t="inlineStr">
        <is>
          <t>—</t>
        </is>
      </c>
      <c r="Q39" s="17" t="inlineStr"/>
      <c r="R39" s="13" t="inlineStr">
        <is>
          <t>нет</t>
        </is>
      </c>
      <c r="S39" s="9" t="inlineStr"/>
      <c r="T39" s="9" t="inlineStr"/>
    </row>
    <row r="40">
      <c r="A40" s="9" t="n">
        <v>39</v>
      </c>
      <c r="B40" s="9" t="inlineStr">
        <is>
          <t>Грамматика</t>
        </is>
      </c>
      <c r="C40" s="9" t="inlineStr">
        <is>
          <t>Глаголы: времена</t>
        </is>
      </c>
      <c r="D40" s="10" t="inlineStr">
        <is>
          <t>Present Simple</t>
        </is>
      </c>
      <c r="E40" s="9" t="inlineStr">
        <is>
          <t>Present Simple: значение — восклицания (Here comes …!)</t>
        </is>
      </c>
      <c r="F40" s="9" t="inlineStr">
        <is>
          <t>10+</t>
        </is>
      </c>
      <c r="G40" s="9" t="inlineStr"/>
      <c r="H40" s="9" t="inlineStr"/>
      <c r="I40" s="9" t="inlineStr"/>
      <c r="J40" s="9" t="inlineStr"/>
      <c r="K40" s="9" t="inlineStr"/>
      <c r="L40" s="9" t="inlineStr"/>
      <c r="M40" s="15" t="inlineStr">
        <is>
          <t>М1 (1c) · новое</t>
        </is>
      </c>
      <c r="N40" s="12" t="inlineStr">
        <is>
          <t>М1 (1c) · повт.</t>
        </is>
      </c>
      <c r="O40" s="12" t="inlineStr">
        <is>
          <t>М1 (1c) · повт.</t>
        </is>
      </c>
      <c r="P40" s="16" t="inlineStr">
        <is>
          <t>—</t>
        </is>
      </c>
      <c r="Q40" s="17" t="inlineStr"/>
      <c r="R40" s="13" t="inlineStr">
        <is>
          <t>нет</t>
        </is>
      </c>
      <c r="S40" s="9" t="inlineStr"/>
      <c r="T40" s="9" t="inlineStr"/>
    </row>
    <row r="41">
      <c r="A41" s="9" t="n">
        <v>40</v>
      </c>
      <c r="B41" s="9" t="inlineStr">
        <is>
          <t>Грамматика</t>
        </is>
      </c>
      <c r="C41" s="9" t="inlineStr">
        <is>
          <t>Глаголы: времена</t>
        </is>
      </c>
      <c r="D41" s="10" t="inlineStr">
        <is>
          <t>Present Simple</t>
        </is>
      </c>
      <c r="E41" s="9" t="inlineStr">
        <is>
          <t>Present Simple: значение — последовательные действия в настоящем</t>
        </is>
      </c>
      <c r="F41" s="9" t="inlineStr">
        <is>
          <t>10+</t>
        </is>
      </c>
      <c r="G41" s="9" t="inlineStr"/>
      <c r="H41" s="9" t="inlineStr"/>
      <c r="I41" s="9" t="inlineStr"/>
      <c r="J41" s="9" t="inlineStr"/>
      <c r="K41" s="9" t="inlineStr"/>
      <c r="L41" s="15" t="inlineStr">
        <is>
          <t>М1 (1c) · новое</t>
        </is>
      </c>
      <c r="M41" s="9" t="inlineStr"/>
      <c r="N41" s="9" t="inlineStr"/>
      <c r="O41" s="9" t="inlineStr"/>
      <c r="P41" s="16" t="inlineStr">
        <is>
          <t>—</t>
        </is>
      </c>
      <c r="Q41" s="17" t="inlineStr"/>
      <c r="R41" s="13" t="inlineStr">
        <is>
          <t>нет</t>
        </is>
      </c>
      <c r="S41" s="9" t="inlineStr"/>
      <c r="T41" s="9" t="inlineStr"/>
    </row>
    <row r="42">
      <c r="A42" s="4" t="n">
        <v>41</v>
      </c>
      <c r="B42" s="4" t="inlineStr">
        <is>
          <t>Грамматика</t>
        </is>
      </c>
      <c r="C42" s="4" t="inlineStr">
        <is>
          <t>Глаголы: времена</t>
        </is>
      </c>
      <c r="D42" s="5" t="inlineStr">
        <is>
          <t>Future Simple (will)</t>
        </is>
      </c>
      <c r="E42" s="4" t="inlineStr">
        <is>
          <t>Future Simple (will): утверждение (will/'ll + V)</t>
        </is>
      </c>
      <c r="F42" s="4" t="inlineStr">
        <is>
          <t>10+</t>
        </is>
      </c>
      <c r="G42" s="4" t="inlineStr"/>
      <c r="H42" s="18" t="inlineStr">
        <is>
          <t>М8 · новое</t>
        </is>
      </c>
      <c r="I42" s="7" t="inlineStr">
        <is>
          <t>М10 (10b) · повт.</t>
        </is>
      </c>
      <c r="J42" s="4" t="inlineStr"/>
      <c r="K42" s="7" t="inlineStr">
        <is>
          <t>М5 · повт.</t>
        </is>
      </c>
      <c r="L42" s="7" t="inlineStr">
        <is>
          <t>М1 (1c) · повт.</t>
        </is>
      </c>
      <c r="M42" s="7" t="inlineStr">
        <is>
          <t>М4 (4c) · повт.</t>
        </is>
      </c>
      <c r="N42" s="7" t="inlineStr">
        <is>
          <t>М3 (3c) · повт.</t>
        </is>
      </c>
      <c r="O42" s="7" t="inlineStr">
        <is>
          <t>М1 (1c) · повт.</t>
        </is>
      </c>
      <c r="P42" s="19" t="inlineStr">
        <is>
          <t>—</t>
        </is>
      </c>
      <c r="Q42" s="20" t="inlineStr"/>
      <c r="R42" s="8" t="inlineStr">
        <is>
          <t>нет</t>
        </is>
      </c>
      <c r="S42" s="4" t="inlineStr"/>
      <c r="T42" s="4" t="inlineStr"/>
    </row>
    <row r="43">
      <c r="A43" s="9" t="n">
        <v>42</v>
      </c>
      <c r="B43" s="9" t="inlineStr">
        <is>
          <t>Грамматика</t>
        </is>
      </c>
      <c r="C43" s="9" t="inlineStr">
        <is>
          <t>Глаголы: времена</t>
        </is>
      </c>
      <c r="D43" s="10" t="inlineStr">
        <is>
          <t>Future Simple (will)</t>
        </is>
      </c>
      <c r="E43" s="9" t="inlineStr">
        <is>
          <t>Future Simple (will): отрицание (will not/won't)</t>
        </is>
      </c>
      <c r="F43" s="9" t="inlineStr">
        <is>
          <t>10+</t>
        </is>
      </c>
      <c r="G43" s="9" t="inlineStr"/>
      <c r="H43" s="15" t="inlineStr">
        <is>
          <t>М8 · новое</t>
        </is>
      </c>
      <c r="I43" s="12" t="inlineStr">
        <is>
          <t>М10 (10b) · повт.</t>
        </is>
      </c>
      <c r="J43" s="9" t="inlineStr"/>
      <c r="K43" s="9" t="inlineStr"/>
      <c r="L43" s="9" t="inlineStr"/>
      <c r="M43" s="9" t="inlineStr"/>
      <c r="N43" s="9" t="inlineStr"/>
      <c r="O43" s="9" t="inlineStr"/>
      <c r="P43" s="16" t="inlineStr">
        <is>
          <t>—</t>
        </is>
      </c>
      <c r="Q43" s="17" t="inlineStr"/>
      <c r="R43" s="13" t="inlineStr">
        <is>
          <t>нет</t>
        </is>
      </c>
      <c r="S43" s="9" t="inlineStr"/>
      <c r="T43" s="9" t="inlineStr"/>
    </row>
    <row r="44">
      <c r="A44" s="9" t="n">
        <v>43</v>
      </c>
      <c r="B44" s="9" t="inlineStr">
        <is>
          <t>Грамматика</t>
        </is>
      </c>
      <c r="C44" s="9" t="inlineStr">
        <is>
          <t>Глаголы: времена</t>
        </is>
      </c>
      <c r="D44" s="10" t="inlineStr">
        <is>
          <t>Future Simple (will)</t>
        </is>
      </c>
      <c r="E44" s="9" t="inlineStr">
        <is>
          <t>Future Simple (will): вопросы и краткие ответы</t>
        </is>
      </c>
      <c r="F44" s="9" t="inlineStr">
        <is>
          <t>10+</t>
        </is>
      </c>
      <c r="G44" s="9" t="inlineStr"/>
      <c r="H44" s="15" t="inlineStr">
        <is>
          <t>М8 · новое</t>
        </is>
      </c>
      <c r="I44" s="12" t="inlineStr">
        <is>
          <t>М10 (10b) · повт.</t>
        </is>
      </c>
      <c r="J44" s="9" t="inlineStr"/>
      <c r="K44" s="9" t="inlineStr"/>
      <c r="L44" s="9" t="inlineStr"/>
      <c r="M44" s="9" t="inlineStr"/>
      <c r="N44" s="9" t="inlineStr"/>
      <c r="O44" s="9" t="inlineStr"/>
      <c r="P44" s="16" t="inlineStr">
        <is>
          <t>—</t>
        </is>
      </c>
      <c r="Q44" s="17" t="inlineStr"/>
      <c r="R44" s="13" t="inlineStr">
        <is>
          <t>нет</t>
        </is>
      </c>
      <c r="S44" s="9" t="inlineStr"/>
      <c r="T44" s="9" t="inlineStr"/>
    </row>
    <row r="45">
      <c r="A45" s="9" t="n">
        <v>44</v>
      </c>
      <c r="B45" s="9" t="inlineStr">
        <is>
          <t>Грамматика</t>
        </is>
      </c>
      <c r="C45" s="9" t="inlineStr">
        <is>
          <t>Глаголы: времена</t>
        </is>
      </c>
      <c r="D45" s="10" t="inlineStr">
        <is>
          <t>Future Simple (will)</t>
        </is>
      </c>
      <c r="E45" s="9" t="inlineStr">
        <is>
          <t>Future Simple (will): значение — предсказание/предположение</t>
        </is>
      </c>
      <c r="F45" s="9" t="inlineStr">
        <is>
          <t>10+</t>
        </is>
      </c>
      <c r="G45" s="9" t="inlineStr"/>
      <c r="H45" s="15" t="inlineStr">
        <is>
          <t>М8 · новое</t>
        </is>
      </c>
      <c r="I45" s="14" t="inlineStr">
        <is>
          <t>М10 (10b) · расш.</t>
        </is>
      </c>
      <c r="J45" s="9" t="inlineStr"/>
      <c r="K45" s="14" t="inlineStr">
        <is>
          <t>М5 · расш.</t>
        </is>
      </c>
      <c r="L45" s="14" t="inlineStr">
        <is>
          <t>М1 (1c) · расш.</t>
        </is>
      </c>
      <c r="M45" s="12" t="inlineStr">
        <is>
          <t>М4 (4c) · повт.</t>
        </is>
      </c>
      <c r="N45" s="12" t="inlineStr">
        <is>
          <t>М3 (3c) · повт.</t>
        </is>
      </c>
      <c r="O45" s="12" t="inlineStr">
        <is>
          <t>М1 (1c) · повт.</t>
        </is>
      </c>
      <c r="P45" s="16" t="inlineStr">
        <is>
          <t>—</t>
        </is>
      </c>
      <c r="Q45" s="17" t="inlineStr"/>
      <c r="R45" s="13" t="inlineStr">
        <is>
          <t>нет</t>
        </is>
      </c>
      <c r="S45" s="9" t="inlineStr"/>
      <c r="T45" s="9" t="inlineStr"/>
    </row>
    <row r="46">
      <c r="A46" s="9" t="n">
        <v>45</v>
      </c>
      <c r="B46" s="9" t="inlineStr">
        <is>
          <t>Грамматика</t>
        </is>
      </c>
      <c r="C46" s="9" t="inlineStr">
        <is>
          <t>Глаголы: времена</t>
        </is>
      </c>
      <c r="D46" s="10" t="inlineStr">
        <is>
          <t>Future Simple (will)</t>
        </is>
      </c>
      <c r="E46" s="9" t="inlineStr">
        <is>
          <t>Future Simple (will): значение — решение в момент речи</t>
        </is>
      </c>
      <c r="F46" s="9" t="inlineStr">
        <is>
          <t>10+</t>
        </is>
      </c>
      <c r="G46" s="9" t="inlineStr"/>
      <c r="H46" s="15" t="inlineStr">
        <is>
          <t>М8 · новое</t>
        </is>
      </c>
      <c r="I46" s="12" t="inlineStr">
        <is>
          <t>М10 (10b) · повт.</t>
        </is>
      </c>
      <c r="J46" s="9" t="inlineStr"/>
      <c r="K46" s="12" t="inlineStr">
        <is>
          <t>М5 · повт.</t>
        </is>
      </c>
      <c r="L46" s="12" t="inlineStr">
        <is>
          <t>М1 (1c) · повт.</t>
        </is>
      </c>
      <c r="M46" s="12" t="inlineStr">
        <is>
          <t>М4 (4c) · повт.</t>
        </is>
      </c>
      <c r="N46" s="12" t="inlineStr">
        <is>
          <t>М3 (3c) · повт.</t>
        </is>
      </c>
      <c r="O46" s="12" t="inlineStr">
        <is>
          <t>М1 (1c) · повт.</t>
        </is>
      </c>
      <c r="P46" s="16" t="inlineStr">
        <is>
          <t>—</t>
        </is>
      </c>
      <c r="Q46" s="17" t="inlineStr"/>
      <c r="R46" s="13" t="inlineStr">
        <is>
          <t>нет</t>
        </is>
      </c>
      <c r="S46" s="9" t="inlineStr"/>
      <c r="T46" s="9" t="inlineStr"/>
    </row>
    <row r="47">
      <c r="A47" s="9" t="n">
        <v>46</v>
      </c>
      <c r="B47" s="9" t="inlineStr">
        <is>
          <t>Грамматика</t>
        </is>
      </c>
      <c r="C47" s="9" t="inlineStr">
        <is>
          <t>Глаголы: времена</t>
        </is>
      </c>
      <c r="D47" s="10" t="inlineStr">
        <is>
          <t>Future Simple (will)</t>
        </is>
      </c>
      <c r="E47" s="9" t="inlineStr">
        <is>
          <t>Future Simple (will): значение — обещания</t>
        </is>
      </c>
      <c r="F47" s="9" t="inlineStr">
        <is>
          <t>10+</t>
        </is>
      </c>
      <c r="G47" s="9" t="inlineStr"/>
      <c r="H47" s="15" t="inlineStr">
        <is>
          <t>М8 · новое</t>
        </is>
      </c>
      <c r="I47" s="9" t="inlineStr"/>
      <c r="J47" s="9" t="inlineStr"/>
      <c r="K47" s="12" t="inlineStr">
        <is>
          <t>М5 · повт.</t>
        </is>
      </c>
      <c r="L47" s="12" t="inlineStr">
        <is>
          <t>М1 (1c) · повт.</t>
        </is>
      </c>
      <c r="M47" s="12" t="inlineStr">
        <is>
          <t>М4 (4c) · повт.</t>
        </is>
      </c>
      <c r="N47" s="12" t="inlineStr">
        <is>
          <t>М3 (3c) · повт.</t>
        </is>
      </c>
      <c r="O47" s="12" t="inlineStr">
        <is>
          <t>М1 (1c) · повт.</t>
        </is>
      </c>
      <c r="P47" s="16" t="inlineStr">
        <is>
          <t>—</t>
        </is>
      </c>
      <c r="Q47" s="17" t="inlineStr"/>
      <c r="R47" s="13" t="inlineStr">
        <is>
          <t>нет</t>
        </is>
      </c>
      <c r="S47" s="9" t="inlineStr"/>
      <c r="T47" s="9" t="inlineStr"/>
    </row>
    <row r="48">
      <c r="A48" s="9" t="n">
        <v>47</v>
      </c>
      <c r="B48" s="9" t="inlineStr">
        <is>
          <t>Грамматика</t>
        </is>
      </c>
      <c r="C48" s="9" t="inlineStr">
        <is>
          <t>Глаголы: времена</t>
        </is>
      </c>
      <c r="D48" s="10" t="inlineStr">
        <is>
          <t>Future Simple (will)</t>
        </is>
      </c>
      <c r="E48" s="9" t="inlineStr">
        <is>
          <t>Future Simple (will): значение — просьбы (Will you…?)</t>
        </is>
      </c>
      <c r="F48" s="9" t="inlineStr">
        <is>
          <t>10+</t>
        </is>
      </c>
      <c r="G48" s="9" t="inlineStr"/>
      <c r="H48" s="9" t="inlineStr"/>
      <c r="I48" s="15" t="inlineStr">
        <is>
          <t>М10 (10b) · новое</t>
        </is>
      </c>
      <c r="J48" s="9" t="inlineStr"/>
      <c r="K48" s="12" t="inlineStr">
        <is>
          <t>М5 · повт.</t>
        </is>
      </c>
      <c r="L48" s="9" t="inlineStr"/>
      <c r="M48" s="9" t="inlineStr"/>
      <c r="N48" s="12" t="inlineStr">
        <is>
          <t>М3 (3c) · повт.</t>
        </is>
      </c>
      <c r="O48" s="12" t="inlineStr">
        <is>
          <t>М1 (1c) · повт.</t>
        </is>
      </c>
      <c r="P48" s="16" t="inlineStr">
        <is>
          <t>—</t>
        </is>
      </c>
      <c r="Q48" s="17" t="inlineStr"/>
      <c r="R48" s="13" t="inlineStr">
        <is>
          <t>нет</t>
        </is>
      </c>
      <c r="S48" s="9" t="inlineStr"/>
      <c r="T48" s="9" t="inlineStr"/>
    </row>
    <row r="49">
      <c r="A49" s="9" t="n">
        <v>48</v>
      </c>
      <c r="B49" s="9" t="inlineStr">
        <is>
          <t>Грамматика</t>
        </is>
      </c>
      <c r="C49" s="9" t="inlineStr">
        <is>
          <t>Глаголы: времена</t>
        </is>
      </c>
      <c r="D49" s="10" t="inlineStr">
        <is>
          <t>Future Simple (will)</t>
        </is>
      </c>
      <c r="E49" s="9" t="inlineStr">
        <is>
          <t>Future Simple (will): значение — угрозы и предупреждения</t>
        </is>
      </c>
      <c r="F49" s="9" t="inlineStr">
        <is>
          <t>10+</t>
        </is>
      </c>
      <c r="G49" s="9" t="inlineStr"/>
      <c r="H49" s="9" t="inlineStr"/>
      <c r="I49" s="9" t="inlineStr"/>
      <c r="J49" s="9" t="inlineStr"/>
      <c r="K49" s="15" t="inlineStr">
        <is>
          <t>М5 · новое</t>
        </is>
      </c>
      <c r="L49" s="9" t="inlineStr"/>
      <c r="M49" s="9" t="inlineStr"/>
      <c r="N49" s="12" t="inlineStr">
        <is>
          <t>М3 (3c) · повт.</t>
        </is>
      </c>
      <c r="O49" s="12" t="inlineStr">
        <is>
          <t>М1 (1c) · повт.</t>
        </is>
      </c>
      <c r="P49" s="16" t="inlineStr">
        <is>
          <t>—</t>
        </is>
      </c>
      <c r="Q49" s="17" t="inlineStr"/>
      <c r="R49" s="13" t="inlineStr">
        <is>
          <t>нет</t>
        </is>
      </c>
      <c r="S49" s="9" t="inlineStr"/>
      <c r="T49" s="9" t="inlineStr"/>
    </row>
    <row r="50">
      <c r="A50" s="9" t="n">
        <v>49</v>
      </c>
      <c r="B50" s="9" t="inlineStr">
        <is>
          <t>Грамматика</t>
        </is>
      </c>
      <c r="C50" s="9" t="inlineStr">
        <is>
          <t>Глаголы: времена</t>
        </is>
      </c>
      <c r="D50" s="10" t="inlineStr">
        <is>
          <t>Future Simple (will)</t>
        </is>
      </c>
      <c r="E50" s="9" t="inlineStr">
        <is>
          <t>Future Simple (will): значение — надежды, страхи, предложения, комментарии</t>
        </is>
      </c>
      <c r="F50" s="9" t="inlineStr">
        <is>
          <t>10+</t>
        </is>
      </c>
      <c r="G50" s="9" t="inlineStr"/>
      <c r="H50" s="9" t="inlineStr"/>
      <c r="I50" s="9" t="inlineStr"/>
      <c r="J50" s="9" t="inlineStr"/>
      <c r="K50" s="15" t="inlineStr">
        <is>
          <t>М5 · новое</t>
        </is>
      </c>
      <c r="L50" s="9" t="inlineStr"/>
      <c r="M50" s="9" t="inlineStr"/>
      <c r="N50" s="14" t="inlineStr">
        <is>
          <t>М3 (3c) · расш.</t>
        </is>
      </c>
      <c r="O50" s="12" t="inlineStr">
        <is>
          <t>М1 (1c) · повт.</t>
        </is>
      </c>
      <c r="P50" s="16" t="inlineStr">
        <is>
          <t>—</t>
        </is>
      </c>
      <c r="Q50" s="17" t="inlineStr"/>
      <c r="R50" s="13" t="inlineStr">
        <is>
          <t>нет</t>
        </is>
      </c>
      <c r="S50" s="9" t="inlineStr"/>
      <c r="T50" s="9" t="inlineStr"/>
    </row>
    <row r="51">
      <c r="A51" s="9" t="n">
        <v>50</v>
      </c>
      <c r="B51" s="9" t="inlineStr">
        <is>
          <t>Грамматика</t>
        </is>
      </c>
      <c r="C51" s="9" t="inlineStr">
        <is>
          <t>Глаголы: времена</t>
        </is>
      </c>
      <c r="D51" s="10" t="inlineStr">
        <is>
          <t>Future Simple (will)</t>
        </is>
      </c>
      <c r="E51" s="9" t="inlineStr">
        <is>
          <t>Future Simple (will): значение — неизбежные события (не зависят от нас)</t>
        </is>
      </c>
      <c r="F51" s="9" t="inlineStr">
        <is>
          <t>10+</t>
        </is>
      </c>
      <c r="G51" s="9" t="inlineStr"/>
      <c r="H51" s="9" t="inlineStr"/>
      <c r="I51" s="9" t="inlineStr"/>
      <c r="J51" s="9" t="inlineStr"/>
      <c r="K51" s="15" t="inlineStr">
        <is>
          <t>М5 · новое</t>
        </is>
      </c>
      <c r="L51" s="9" t="inlineStr"/>
      <c r="M51" s="9" t="inlineStr"/>
      <c r="N51" s="9" t="inlineStr"/>
      <c r="O51" s="9" t="inlineStr"/>
      <c r="P51" s="16" t="inlineStr">
        <is>
          <t>—</t>
        </is>
      </c>
      <c r="Q51" s="17" t="inlineStr"/>
      <c r="R51" s="13" t="inlineStr">
        <is>
          <t>нет</t>
        </is>
      </c>
      <c r="S51" s="9" t="inlineStr"/>
      <c r="T51" s="9" t="inlineStr"/>
    </row>
    <row r="52">
      <c r="A52" s="9" t="n">
        <v>51</v>
      </c>
      <c r="B52" s="9" t="inlineStr">
        <is>
          <t>Грамматика</t>
        </is>
      </c>
      <c r="C52" s="9" t="inlineStr">
        <is>
          <t>Глаголы: времена</t>
        </is>
      </c>
      <c r="D52" s="10" t="inlineStr">
        <is>
          <t>Future Simple (will)</t>
        </is>
      </c>
      <c r="E52" s="9" t="inlineStr">
        <is>
          <t>Future Simple (will): значение — ещё не решили/не уверены (Maybe I'll…)</t>
        </is>
      </c>
      <c r="F52" s="9" t="inlineStr">
        <is>
          <t>10+</t>
        </is>
      </c>
      <c r="G52" s="9" t="inlineStr"/>
      <c r="H52" s="9" t="inlineStr"/>
      <c r="I52" s="9" t="inlineStr"/>
      <c r="J52" s="9" t="inlineStr"/>
      <c r="K52" s="9" t="inlineStr"/>
      <c r="L52" s="9" t="inlineStr"/>
      <c r="M52" s="9" t="inlineStr"/>
      <c r="N52" s="15" t="inlineStr">
        <is>
          <t>М3 (3c) · новое</t>
        </is>
      </c>
      <c r="O52" s="12" t="inlineStr">
        <is>
          <t>М1 (1c) · повт.</t>
        </is>
      </c>
      <c r="P52" s="16" t="inlineStr">
        <is>
          <t>—</t>
        </is>
      </c>
      <c r="Q52" s="17" t="inlineStr"/>
      <c r="R52" s="13" t="inlineStr">
        <is>
          <t>нет</t>
        </is>
      </c>
      <c r="S52" s="9" t="inlineStr"/>
      <c r="T52" s="9" t="inlineStr"/>
    </row>
    <row r="53">
      <c r="A53" s="9" t="n">
        <v>52</v>
      </c>
      <c r="B53" s="9" t="inlineStr">
        <is>
          <t>Грамматика</t>
        </is>
      </c>
      <c r="C53" s="9" t="inlineStr">
        <is>
          <t>Глаголы: времена</t>
        </is>
      </c>
      <c r="D53" s="10" t="inlineStr">
        <is>
          <t>Future Simple (will)</t>
        </is>
      </c>
      <c r="E53" s="9" t="inlineStr">
        <is>
          <t>Future Simple (will): Shall I/we? — предложение, просьба о совете</t>
        </is>
      </c>
      <c r="F53" s="9" t="inlineStr">
        <is>
          <t>10+</t>
        </is>
      </c>
      <c r="G53" s="9" t="inlineStr"/>
      <c r="H53" s="9" t="inlineStr"/>
      <c r="I53" s="9" t="inlineStr"/>
      <c r="J53" s="9" t="inlineStr"/>
      <c r="K53" s="9" t="inlineStr"/>
      <c r="L53" s="15" t="inlineStr">
        <is>
          <t>М1 (1c) · новое</t>
        </is>
      </c>
      <c r="M53" s="12" t="inlineStr">
        <is>
          <t>М4 (4c) · повт.</t>
        </is>
      </c>
      <c r="N53" s="12" t="inlineStr">
        <is>
          <t>М3 (3c) · повт.</t>
        </is>
      </c>
      <c r="O53" s="12" t="inlineStr">
        <is>
          <t>М1 (1c) · повт.</t>
        </is>
      </c>
      <c r="P53" s="16" t="inlineStr">
        <is>
          <t>—</t>
        </is>
      </c>
      <c r="Q53" s="17" t="inlineStr"/>
      <c r="R53" s="13" t="inlineStr">
        <is>
          <t>нет</t>
        </is>
      </c>
      <c r="S53" s="9" t="inlineStr"/>
      <c r="T53" s="9" t="inlineStr"/>
    </row>
    <row r="54">
      <c r="A54" s="4" t="n">
        <v>53</v>
      </c>
      <c r="B54" s="4" t="inlineStr">
        <is>
          <t>Грамматика</t>
        </is>
      </c>
      <c r="C54" s="4" t="inlineStr">
        <is>
          <t>Глаголы: времена</t>
        </is>
      </c>
      <c r="D54" s="5" t="inlineStr">
        <is>
          <t>Present Simple vs Present Continuous</t>
        </is>
      </c>
      <c r="E54" s="4" t="inlineStr">
        <is>
          <t>Present Simple vs Present Continuous: привычка vs сейчас</t>
        </is>
      </c>
      <c r="F54" s="4" t="inlineStr">
        <is>
          <t>10+</t>
        </is>
      </c>
      <c r="G54" s="4" t="inlineStr"/>
      <c r="H54" s="18" t="inlineStr">
        <is>
          <t>М4 · новое</t>
        </is>
      </c>
      <c r="I54" s="7" t="inlineStr">
        <is>
          <t>М7 (7b) · повт.</t>
        </is>
      </c>
      <c r="J54" s="7" t="inlineStr">
        <is>
          <t>М6 (6b) · повт.
М9 (9b) · повт.</t>
        </is>
      </c>
      <c r="K54" s="7" t="inlineStr">
        <is>
          <t>М1 · повт.</t>
        </is>
      </c>
      <c r="L54" s="4" t="inlineStr"/>
      <c r="M54" s="4" t="inlineStr"/>
      <c r="N54" s="4" t="inlineStr"/>
      <c r="O54" s="4" t="inlineStr"/>
      <c r="P54" s="19" t="inlineStr">
        <is>
          <t>—</t>
        </is>
      </c>
      <c r="Q54" s="20" t="inlineStr"/>
      <c r="R54" s="8" t="inlineStr">
        <is>
          <t>нет</t>
        </is>
      </c>
      <c r="S54" s="4" t="inlineStr"/>
      <c r="T54" s="4" t="inlineStr"/>
    </row>
    <row r="55">
      <c r="A55" s="9" t="n">
        <v>54</v>
      </c>
      <c r="B55" s="9" t="inlineStr">
        <is>
          <t>Грамматика</t>
        </is>
      </c>
      <c r="C55" s="9" t="inlineStr">
        <is>
          <t>Глаголы: времена</t>
        </is>
      </c>
      <c r="D55" s="10" t="inlineStr">
        <is>
          <t>Present Simple vs Present Continuous</t>
        </is>
      </c>
      <c r="E55" s="9" t="inlineStr">
        <is>
          <t>Present Simple vs Present Continuous: постоянное состояние vs временная ситуация</t>
        </is>
      </c>
      <c r="F55" s="9" t="inlineStr">
        <is>
          <t>10+</t>
        </is>
      </c>
      <c r="G55" s="9" t="inlineStr"/>
      <c r="H55" s="9" t="inlineStr"/>
      <c r="I55" s="15" t="inlineStr">
        <is>
          <t>М7 (7b) · новое</t>
        </is>
      </c>
      <c r="J55" s="12" t="inlineStr">
        <is>
          <t>М6 (6b) · повт.
М9 (9b) · повт.</t>
        </is>
      </c>
      <c r="K55" s="9" t="inlineStr"/>
      <c r="L55" s="12" t="inlineStr">
        <is>
          <t>М1 (1c) · повт.</t>
        </is>
      </c>
      <c r="M55" s="12" t="inlineStr">
        <is>
          <t>М1 (1c) · повт.</t>
        </is>
      </c>
      <c r="N55" s="12" t="inlineStr">
        <is>
          <t>М1 (1c) · повт.</t>
        </is>
      </c>
      <c r="O55" s="12" t="inlineStr">
        <is>
          <t>М1 (1c) · повт.</t>
        </is>
      </c>
      <c r="P55" s="16" t="inlineStr">
        <is>
          <t>—</t>
        </is>
      </c>
      <c r="Q55" s="17" t="inlineStr"/>
      <c r="R55" s="13" t="inlineStr">
        <is>
          <t>нет</t>
        </is>
      </c>
      <c r="S55" s="9" t="inlineStr"/>
      <c r="T55" s="9" t="inlineStr"/>
    </row>
    <row r="56">
      <c r="A56" s="9" t="n">
        <v>55</v>
      </c>
      <c r="B56" s="9" t="inlineStr">
        <is>
          <t>Грамматика</t>
        </is>
      </c>
      <c r="C56" s="9" t="inlineStr">
        <is>
          <t>Глаголы: времена</t>
        </is>
      </c>
      <c r="D56" s="10" t="inlineStr">
        <is>
          <t>Present Simple vs Present Continuous</t>
        </is>
      </c>
      <c r="E56" s="9" t="inlineStr">
        <is>
          <t>Present Simple vs Present Continuous: повторяющиеся действия vs настоящий период (these days)</t>
        </is>
      </c>
      <c r="F56" s="9" t="inlineStr">
        <is>
          <t>10+</t>
        </is>
      </c>
      <c r="G56" s="9" t="inlineStr"/>
      <c r="H56" s="9" t="inlineStr"/>
      <c r="I56" s="9" t="inlineStr"/>
      <c r="J56" s="9" t="inlineStr"/>
      <c r="K56" s="15" t="inlineStr">
        <is>
          <t>М1 · новое</t>
        </is>
      </c>
      <c r="L56" s="12" t="inlineStr">
        <is>
          <t>М1 (1c) · повт.</t>
        </is>
      </c>
      <c r="M56" s="12" t="inlineStr">
        <is>
          <t>М1 (1c) · повт.</t>
        </is>
      </c>
      <c r="N56" s="12" t="inlineStr">
        <is>
          <t>М1 (1c) · повт.</t>
        </is>
      </c>
      <c r="O56" s="12" t="inlineStr">
        <is>
          <t>М1 (1c) · повт.</t>
        </is>
      </c>
      <c r="P56" s="16" t="inlineStr">
        <is>
          <t>—</t>
        </is>
      </c>
      <c r="Q56" s="17" t="inlineStr"/>
      <c r="R56" s="13" t="inlineStr">
        <is>
          <t>нет</t>
        </is>
      </c>
      <c r="S56" s="9" t="inlineStr"/>
      <c r="T56" s="9" t="inlineStr"/>
    </row>
    <row r="57">
      <c r="A57" s="9" t="n">
        <v>56</v>
      </c>
      <c r="B57" s="9" t="inlineStr">
        <is>
          <t>Грамматика</t>
        </is>
      </c>
      <c r="C57" s="9" t="inlineStr">
        <is>
          <t>Глаголы: времена</t>
        </is>
      </c>
      <c r="D57" s="10" t="inlineStr">
        <is>
          <t>Present Simple vs Present Continuous</t>
        </is>
      </c>
      <c r="E57" s="9" t="inlineStr">
        <is>
          <t>Present Simple vs Present Continuous: будущее — расписание vs договорённость</t>
        </is>
      </c>
      <c r="F57" s="9" t="inlineStr">
        <is>
          <t>10+</t>
        </is>
      </c>
      <c r="G57" s="9" t="inlineStr"/>
      <c r="H57" s="9" t="inlineStr"/>
      <c r="I57" s="9" t="inlineStr"/>
      <c r="J57" s="9" t="inlineStr"/>
      <c r="K57" s="9" t="inlineStr"/>
      <c r="L57" s="15" t="inlineStr">
        <is>
          <t>М1 (1c) · новое</t>
        </is>
      </c>
      <c r="M57" s="12" t="inlineStr">
        <is>
          <t>М1 (1c) · повт.</t>
        </is>
      </c>
      <c r="N57" s="9" t="inlineStr"/>
      <c r="O57" s="9" t="inlineStr"/>
      <c r="P57" s="16" t="inlineStr">
        <is>
          <t>—</t>
        </is>
      </c>
      <c r="Q57" s="17" t="inlineStr"/>
      <c r="R57" s="13" t="inlineStr">
        <is>
          <t>нет</t>
        </is>
      </c>
      <c r="S57" s="9" t="inlineStr"/>
      <c r="T57" s="9" t="inlineStr"/>
    </row>
    <row r="58">
      <c r="A58" s="4" t="n">
        <v>57</v>
      </c>
      <c r="B58" s="4" t="inlineStr">
        <is>
          <t>Грамматика</t>
        </is>
      </c>
      <c r="C58" s="4" t="inlineStr">
        <is>
          <t>Глаголы: времена</t>
        </is>
      </c>
      <c r="D58" s="5" t="inlineStr">
        <is>
          <t>be going to</t>
        </is>
      </c>
      <c r="E58" s="4" t="inlineStr">
        <is>
          <t>be going to: утверждение (am/is/are going to + V)</t>
        </is>
      </c>
      <c r="F58" s="4" t="inlineStr">
        <is>
          <t>10+</t>
        </is>
      </c>
      <c r="G58" s="4" t="inlineStr"/>
      <c r="H58" s="18" t="inlineStr">
        <is>
          <t>М8 · новое</t>
        </is>
      </c>
      <c r="I58" s="4" t="inlineStr"/>
      <c r="J58" s="7" t="inlineStr">
        <is>
          <t>М10 (10a) · повт.</t>
        </is>
      </c>
      <c r="K58" s="4" t="inlineStr"/>
      <c r="L58" s="7" t="inlineStr">
        <is>
          <t>М1 (1c) · повт.</t>
        </is>
      </c>
      <c r="M58" s="7" t="inlineStr">
        <is>
          <t>М4 (4c) · повт.</t>
        </is>
      </c>
      <c r="N58" s="7" t="inlineStr">
        <is>
          <t>М3 (3c) · повт.</t>
        </is>
      </c>
      <c r="O58" s="7" t="inlineStr">
        <is>
          <t>М1 (1c) · повт.</t>
        </is>
      </c>
      <c r="P58" s="19" t="inlineStr">
        <is>
          <t>—</t>
        </is>
      </c>
      <c r="Q58" s="20" t="inlineStr"/>
      <c r="R58" s="8" t="inlineStr">
        <is>
          <t>нет</t>
        </is>
      </c>
      <c r="S58" s="4" t="inlineStr"/>
      <c r="T58" s="4" t="inlineStr"/>
    </row>
    <row r="59">
      <c r="A59" s="9" t="n">
        <v>58</v>
      </c>
      <c r="B59" s="9" t="inlineStr">
        <is>
          <t>Грамматика</t>
        </is>
      </c>
      <c r="C59" s="9" t="inlineStr">
        <is>
          <t>Глаголы: времена</t>
        </is>
      </c>
      <c r="D59" s="10" t="inlineStr">
        <is>
          <t>be going to</t>
        </is>
      </c>
      <c r="E59" s="9" t="inlineStr">
        <is>
          <t>be going to: отрицание</t>
        </is>
      </c>
      <c r="F59" s="9" t="inlineStr">
        <is>
          <t>10+</t>
        </is>
      </c>
      <c r="G59" s="9" t="inlineStr"/>
      <c r="H59" s="15" t="inlineStr">
        <is>
          <t>М8 · новое</t>
        </is>
      </c>
      <c r="I59" s="9" t="inlineStr"/>
      <c r="J59" s="12" t="inlineStr">
        <is>
          <t>М10 (10a) · повт.</t>
        </is>
      </c>
      <c r="K59" s="9" t="inlineStr"/>
      <c r="L59" s="9" t="inlineStr"/>
      <c r="M59" s="9" t="inlineStr"/>
      <c r="N59" s="9" t="inlineStr"/>
      <c r="O59" s="9" t="inlineStr"/>
      <c r="P59" s="16" t="inlineStr">
        <is>
          <t>—</t>
        </is>
      </c>
      <c r="Q59" s="17" t="inlineStr"/>
      <c r="R59" s="13" t="inlineStr">
        <is>
          <t>нет</t>
        </is>
      </c>
      <c r="S59" s="9" t="inlineStr"/>
      <c r="T59" s="9" t="inlineStr"/>
    </row>
    <row r="60">
      <c r="A60" s="9" t="n">
        <v>59</v>
      </c>
      <c r="B60" s="9" t="inlineStr">
        <is>
          <t>Грамматика</t>
        </is>
      </c>
      <c r="C60" s="9" t="inlineStr">
        <is>
          <t>Глаголы: времена</t>
        </is>
      </c>
      <c r="D60" s="10" t="inlineStr">
        <is>
          <t>be going to</t>
        </is>
      </c>
      <c r="E60" s="9" t="inlineStr">
        <is>
          <t>be going to: вопросы и краткие ответы</t>
        </is>
      </c>
      <c r="F60" s="9" t="inlineStr">
        <is>
          <t>10+</t>
        </is>
      </c>
      <c r="G60" s="9" t="inlineStr"/>
      <c r="H60" s="15" t="inlineStr">
        <is>
          <t>М8 · новое</t>
        </is>
      </c>
      <c r="I60" s="9" t="inlineStr"/>
      <c r="J60" s="14" t="inlineStr">
        <is>
          <t>М10 (10a) · расш.</t>
        </is>
      </c>
      <c r="K60" s="9" t="inlineStr"/>
      <c r="L60" s="9" t="inlineStr"/>
      <c r="M60" s="9" t="inlineStr"/>
      <c r="N60" s="9" t="inlineStr"/>
      <c r="O60" s="9" t="inlineStr"/>
      <c r="P60" s="16" t="inlineStr">
        <is>
          <t>—</t>
        </is>
      </c>
      <c r="Q60" s="17" t="inlineStr"/>
      <c r="R60" s="13" t="inlineStr">
        <is>
          <t>нет</t>
        </is>
      </c>
      <c r="S60" s="9" t="inlineStr"/>
      <c r="T60" s="9" t="inlineStr"/>
    </row>
    <row r="61">
      <c r="A61" s="9" t="n">
        <v>60</v>
      </c>
      <c r="B61" s="9" t="inlineStr">
        <is>
          <t>Грамматика</t>
        </is>
      </c>
      <c r="C61" s="9" t="inlineStr">
        <is>
          <t>Глаголы: времена</t>
        </is>
      </c>
      <c r="D61" s="10" t="inlineStr">
        <is>
          <t>be going to</t>
        </is>
      </c>
      <c r="E61" s="9" t="inlineStr">
        <is>
          <t>be going to: значение — планы и намерения</t>
        </is>
      </c>
      <c r="F61" s="9" t="inlineStr">
        <is>
          <t>10+</t>
        </is>
      </c>
      <c r="G61" s="9" t="inlineStr"/>
      <c r="H61" s="15" t="inlineStr">
        <is>
          <t>М8 · новое</t>
        </is>
      </c>
      <c r="I61" s="12" t="inlineStr">
        <is>
          <t>М10 (10b) · повт.</t>
        </is>
      </c>
      <c r="J61" s="12" t="inlineStr">
        <is>
          <t>М10 (10a) · повт.</t>
        </is>
      </c>
      <c r="K61" s="12" t="inlineStr">
        <is>
          <t>М5 · повт.</t>
        </is>
      </c>
      <c r="L61" s="12" t="inlineStr">
        <is>
          <t>М1 (1c) · повт.</t>
        </is>
      </c>
      <c r="M61" s="12" t="inlineStr">
        <is>
          <t>М4 (4c) · повт.</t>
        </is>
      </c>
      <c r="N61" s="12" t="inlineStr">
        <is>
          <t>М3 (3c) · повт.</t>
        </is>
      </c>
      <c r="O61" s="12" t="inlineStr">
        <is>
          <t>М1 (1c) · повт.</t>
        </is>
      </c>
      <c r="P61" s="16" t="inlineStr">
        <is>
          <t>—</t>
        </is>
      </c>
      <c r="Q61" s="17" t="inlineStr"/>
      <c r="R61" s="13" t="inlineStr">
        <is>
          <t>нет</t>
        </is>
      </c>
      <c r="S61" s="9" t="inlineStr"/>
      <c r="T61" s="9" t="inlineStr"/>
    </row>
    <row r="62">
      <c r="A62" s="9" t="n">
        <v>61</v>
      </c>
      <c r="B62" s="9" t="inlineStr">
        <is>
          <t>Грамматика</t>
        </is>
      </c>
      <c r="C62" s="9" t="inlineStr">
        <is>
          <t>Глаголы: времена</t>
        </is>
      </c>
      <c r="D62" s="10" t="inlineStr">
        <is>
          <t>be going to</t>
        </is>
      </c>
      <c r="E62" s="9" t="inlineStr">
        <is>
          <t>be going to: значение — уже принятое решение на ближайшее будущее</t>
        </is>
      </c>
      <c r="F62" s="9" t="inlineStr">
        <is>
          <t>10+</t>
        </is>
      </c>
      <c r="G62" s="9" t="inlineStr"/>
      <c r="H62" s="9" t="inlineStr"/>
      <c r="I62" s="9" t="inlineStr"/>
      <c r="J62" s="9" t="inlineStr"/>
      <c r="K62" s="9" t="inlineStr"/>
      <c r="L62" s="15" t="inlineStr">
        <is>
          <t>М1 (1c) · новое</t>
        </is>
      </c>
      <c r="M62" s="9" t="inlineStr"/>
      <c r="N62" s="12" t="inlineStr">
        <is>
          <t>М3 (3c) · повт.</t>
        </is>
      </c>
      <c r="O62" s="9" t="inlineStr"/>
      <c r="P62" s="16" t="inlineStr">
        <is>
          <t>—</t>
        </is>
      </c>
      <c r="Q62" s="17" t="inlineStr"/>
      <c r="R62" s="13" t="inlineStr">
        <is>
          <t>нет</t>
        </is>
      </c>
      <c r="S62" s="9" t="inlineStr"/>
      <c r="T62" s="9" t="inlineStr"/>
    </row>
    <row r="63">
      <c r="A63" s="9" t="n">
        <v>62</v>
      </c>
      <c r="B63" s="9" t="inlineStr">
        <is>
          <t>Грамматика</t>
        </is>
      </c>
      <c r="C63" s="9" t="inlineStr">
        <is>
          <t>Глаголы: времена</t>
        </is>
      </c>
      <c r="D63" s="10" t="inlineStr">
        <is>
          <t>be going to</t>
        </is>
      </c>
      <c r="E63" s="9" t="inlineStr">
        <is>
          <t>be going to: значение — предсказание по очевидным признакам</t>
        </is>
      </c>
      <c r="F63" s="9" t="inlineStr">
        <is>
          <t>10+</t>
        </is>
      </c>
      <c r="G63" s="9" t="inlineStr"/>
      <c r="H63" s="9" t="inlineStr"/>
      <c r="I63" s="9" t="inlineStr"/>
      <c r="J63" s="15" t="inlineStr">
        <is>
          <t>М10 (10a) · новое</t>
        </is>
      </c>
      <c r="K63" s="12" t="inlineStr">
        <is>
          <t>М5 · повт.</t>
        </is>
      </c>
      <c r="L63" s="12" t="inlineStr">
        <is>
          <t>М1 (1c) · повт.</t>
        </is>
      </c>
      <c r="M63" s="12" t="inlineStr">
        <is>
          <t>М4 (4c) · повт.</t>
        </is>
      </c>
      <c r="N63" s="12" t="inlineStr">
        <is>
          <t>М3 (3c) · повт.</t>
        </is>
      </c>
      <c r="O63" s="12" t="inlineStr">
        <is>
          <t>М1 (1c) · повт.</t>
        </is>
      </c>
      <c r="P63" s="16" t="inlineStr">
        <is>
          <t>—</t>
        </is>
      </c>
      <c r="Q63" s="17" t="inlineStr"/>
      <c r="R63" s="13" t="inlineStr">
        <is>
          <t>нет</t>
        </is>
      </c>
      <c r="S63" s="9" t="inlineStr"/>
      <c r="T63" s="9" t="inlineStr"/>
    </row>
    <row r="64">
      <c r="A64" s="9" t="n">
        <v>63</v>
      </c>
      <c r="B64" s="9" t="inlineStr">
        <is>
          <t>Грамматика</t>
        </is>
      </c>
      <c r="C64" s="9" t="inlineStr">
        <is>
          <t>Глаголы: времена</t>
        </is>
      </c>
      <c r="D64" s="10" t="inlineStr">
        <is>
          <t>be going to</t>
        </is>
      </c>
      <c r="E64" s="9" t="inlineStr">
        <is>
          <t>be going to vs will: план/признаки vs решение в момент речи/мнение</t>
        </is>
      </c>
      <c r="F64" s="9" t="inlineStr">
        <is>
          <t>10+</t>
        </is>
      </c>
      <c r="G64" s="9" t="inlineStr"/>
      <c r="H64" s="9" t="inlineStr"/>
      <c r="I64" s="9" t="inlineStr"/>
      <c r="J64" s="9" t="inlineStr"/>
      <c r="K64" s="9" t="inlineStr"/>
      <c r="L64" s="15" t="inlineStr">
        <is>
          <t>М1 (1c) · новое</t>
        </is>
      </c>
      <c r="M64" s="12" t="inlineStr">
        <is>
          <t>М4 (4c) · повт.</t>
        </is>
      </c>
      <c r="N64" s="12" t="inlineStr">
        <is>
          <t>М3 (3c) · повт.</t>
        </is>
      </c>
      <c r="O64" s="12" t="inlineStr">
        <is>
          <t>М1 (1c) · повт.</t>
        </is>
      </c>
      <c r="P64" s="16" t="inlineStr">
        <is>
          <t>—</t>
        </is>
      </c>
      <c r="Q64" s="17" t="inlineStr"/>
      <c r="R64" s="13" t="inlineStr">
        <is>
          <t>нет</t>
        </is>
      </c>
      <c r="S64" s="9" t="inlineStr"/>
      <c r="T64" s="9" t="inlineStr"/>
    </row>
    <row r="65">
      <c r="A65" s="4" t="n">
        <v>64</v>
      </c>
      <c r="B65" s="4" t="inlineStr">
        <is>
          <t>Грамматика</t>
        </is>
      </c>
      <c r="C65" s="4" t="inlineStr">
        <is>
          <t>Глаголы: времена</t>
        </is>
      </c>
      <c r="D65" s="5" t="inlineStr">
        <is>
          <t>Present Perfect</t>
        </is>
      </c>
      <c r="E65" s="4" t="inlineStr">
        <is>
          <t>Present Perfect: утверждение (have/has + V3)</t>
        </is>
      </c>
      <c r="F65" s="4" t="inlineStr">
        <is>
          <t>10+</t>
        </is>
      </c>
      <c r="G65" s="4" t="inlineStr"/>
      <c r="H65" s="4" t="inlineStr"/>
      <c r="I65" s="18" t="inlineStr">
        <is>
          <t>М10 (10a) · новое</t>
        </is>
      </c>
      <c r="J65" s="4" t="inlineStr"/>
      <c r="K65" s="7" t="inlineStr">
        <is>
          <t>М6 · повт.</t>
        </is>
      </c>
      <c r="L65" s="7" t="inlineStr">
        <is>
          <t>М2 (2c) · повт.</t>
        </is>
      </c>
      <c r="M65" s="7" t="inlineStr">
        <is>
          <t>М1 (1c) · повт.</t>
        </is>
      </c>
      <c r="N65" s="7" t="inlineStr">
        <is>
          <t>М1 (1c) · повт.</t>
        </is>
      </c>
      <c r="O65" s="7" t="inlineStr">
        <is>
          <t>М1 (1c) · повт.</t>
        </is>
      </c>
      <c r="P65" s="19" t="inlineStr">
        <is>
          <t>—</t>
        </is>
      </c>
      <c r="Q65" s="20" t="inlineStr"/>
      <c r="R65" s="8" t="inlineStr">
        <is>
          <t>нет</t>
        </is>
      </c>
      <c r="S65" s="4" t="inlineStr"/>
      <c r="T65" s="4" t="inlineStr"/>
    </row>
    <row r="66">
      <c r="A66" s="9" t="n">
        <v>65</v>
      </c>
      <c r="B66" s="9" t="inlineStr">
        <is>
          <t>Грамматика</t>
        </is>
      </c>
      <c r="C66" s="9" t="inlineStr">
        <is>
          <t>Глаголы: времена</t>
        </is>
      </c>
      <c r="D66" s="10" t="inlineStr">
        <is>
          <t>Present Perfect</t>
        </is>
      </c>
      <c r="E66" s="9" t="inlineStr">
        <is>
          <t>Present Perfect: отрицание (haven't/hasn't)</t>
        </is>
      </c>
      <c r="F66" s="9" t="inlineStr">
        <is>
          <t>10+</t>
        </is>
      </c>
      <c r="G66" s="9" t="inlineStr"/>
      <c r="H66" s="9" t="inlineStr"/>
      <c r="I66" s="15" t="inlineStr">
        <is>
          <t>М10 (10a) · новое</t>
        </is>
      </c>
      <c r="J66" s="9" t="inlineStr"/>
      <c r="K66" s="12" t="inlineStr">
        <is>
          <t>М6 · повт.</t>
        </is>
      </c>
      <c r="L66" s="9" t="inlineStr"/>
      <c r="M66" s="9" t="inlineStr"/>
      <c r="N66" s="9" t="inlineStr"/>
      <c r="O66" s="9" t="inlineStr"/>
      <c r="P66" s="16" t="inlineStr">
        <is>
          <t>—</t>
        </is>
      </c>
      <c r="Q66" s="17" t="inlineStr"/>
      <c r="R66" s="13" t="inlineStr">
        <is>
          <t>нет</t>
        </is>
      </c>
      <c r="S66" s="9" t="inlineStr"/>
      <c r="T66" s="9" t="inlineStr"/>
    </row>
    <row r="67">
      <c r="A67" s="9" t="n">
        <v>66</v>
      </c>
      <c r="B67" s="9" t="inlineStr">
        <is>
          <t>Грамматика</t>
        </is>
      </c>
      <c r="C67" s="9" t="inlineStr">
        <is>
          <t>Глаголы: времена</t>
        </is>
      </c>
      <c r="D67" s="10" t="inlineStr">
        <is>
          <t>Present Perfect</t>
        </is>
      </c>
      <c r="E67" s="9" t="inlineStr">
        <is>
          <t>Present Perfect: вопросы и краткие ответы</t>
        </is>
      </c>
      <c r="F67" s="9" t="inlineStr">
        <is>
          <t>10+</t>
        </is>
      </c>
      <c r="G67" s="9" t="inlineStr"/>
      <c r="H67" s="9" t="inlineStr"/>
      <c r="I67" s="15" t="inlineStr">
        <is>
          <t>М10 (10a) · новое</t>
        </is>
      </c>
      <c r="J67" s="9" t="inlineStr"/>
      <c r="K67" s="12" t="inlineStr">
        <is>
          <t>М6 · повт.</t>
        </is>
      </c>
      <c r="L67" s="9" t="inlineStr"/>
      <c r="M67" s="9" t="inlineStr"/>
      <c r="N67" s="9" t="inlineStr"/>
      <c r="O67" s="9" t="inlineStr"/>
      <c r="P67" s="16" t="inlineStr">
        <is>
          <t>—</t>
        </is>
      </c>
      <c r="Q67" s="17" t="inlineStr"/>
      <c r="R67" s="13" t="inlineStr">
        <is>
          <t>нет</t>
        </is>
      </c>
      <c r="S67" s="9" t="inlineStr"/>
      <c r="T67" s="9" t="inlineStr"/>
    </row>
    <row r="68">
      <c r="A68" s="9" t="n">
        <v>67</v>
      </c>
      <c r="B68" s="9" t="inlineStr">
        <is>
          <t>Грамматика</t>
        </is>
      </c>
      <c r="C68" s="9" t="inlineStr">
        <is>
          <t>Глаголы: времена</t>
        </is>
      </c>
      <c r="D68" s="10" t="inlineStr">
        <is>
          <t>Present Perfect</t>
        </is>
      </c>
      <c r="E68" s="9" t="inlineStr">
        <is>
          <t>Present Perfect: V3 правильных глаголов (-ed, орфография)</t>
        </is>
      </c>
      <c r="F68" s="9" t="inlineStr">
        <is>
          <t>10+</t>
        </is>
      </c>
      <c r="G68" s="9" t="inlineStr"/>
      <c r="H68" s="9" t="inlineStr"/>
      <c r="I68" s="15" t="inlineStr">
        <is>
          <t>М10 (10a) · новое</t>
        </is>
      </c>
      <c r="J68" s="9" t="inlineStr"/>
      <c r="K68" s="9" t="inlineStr"/>
      <c r="L68" s="12" t="inlineStr">
        <is>
          <t>М2 (2c) · повт.</t>
        </is>
      </c>
      <c r="M68" s="12" t="inlineStr">
        <is>
          <t>М1 (1c) · повт.</t>
        </is>
      </c>
      <c r="N68" s="12" t="inlineStr">
        <is>
          <t>М1 (1c) · повт.</t>
        </is>
      </c>
      <c r="O68" s="12" t="inlineStr">
        <is>
          <t>М1 (1c) · повт.</t>
        </is>
      </c>
      <c r="P68" s="16" t="inlineStr">
        <is>
          <t>—</t>
        </is>
      </c>
      <c r="Q68" s="17" t="inlineStr"/>
      <c r="R68" s="13" t="inlineStr">
        <is>
          <t>нет</t>
        </is>
      </c>
      <c r="S68" s="9" t="inlineStr"/>
      <c r="T68" s="9" t="inlineStr"/>
    </row>
    <row r="69">
      <c r="A69" s="9" t="n">
        <v>68</v>
      </c>
      <c r="B69" s="9" t="inlineStr">
        <is>
          <t>Грамматика</t>
        </is>
      </c>
      <c r="C69" s="9" t="inlineStr">
        <is>
          <t>Глаголы: времена</t>
        </is>
      </c>
      <c r="D69" s="10" t="inlineStr">
        <is>
          <t>Present Perfect</t>
        </is>
      </c>
      <c r="E69" s="9" t="inlineStr">
        <is>
          <t>Present Perfect: V3 неправильных глаголов</t>
        </is>
      </c>
      <c r="F69" s="9" t="inlineStr">
        <is>
          <t>10+</t>
        </is>
      </c>
      <c r="G69" s="9" t="inlineStr"/>
      <c r="H69" s="9" t="inlineStr"/>
      <c r="I69" s="15" t="inlineStr">
        <is>
          <t>М10 (10a) · новое</t>
        </is>
      </c>
      <c r="J69" s="9" t="inlineStr"/>
      <c r="K69" s="9" t="inlineStr"/>
      <c r="L69" s="9" t="inlineStr"/>
      <c r="M69" s="12" t="inlineStr">
        <is>
          <t>М1 (1c) · повт.</t>
        </is>
      </c>
      <c r="N69" s="12" t="inlineStr">
        <is>
          <t>М1 (1c) · повт.</t>
        </is>
      </c>
      <c r="O69" s="12" t="inlineStr">
        <is>
          <t>М1 (1c) · повт.</t>
        </is>
      </c>
      <c r="P69" s="16" t="inlineStr">
        <is>
          <t>—</t>
        </is>
      </c>
      <c r="Q69" s="17" t="inlineStr"/>
      <c r="R69" s="13" t="inlineStr">
        <is>
          <t>нет</t>
        </is>
      </c>
      <c r="S69" s="9" t="inlineStr"/>
      <c r="T69" s="9" t="inlineStr"/>
    </row>
    <row r="70">
      <c r="A70" s="9" t="n">
        <v>69</v>
      </c>
      <c r="B70" s="9" t="inlineStr">
        <is>
          <t>Грамматика</t>
        </is>
      </c>
      <c r="C70" s="9" t="inlineStr">
        <is>
          <t>Глаголы: времена</t>
        </is>
      </c>
      <c r="D70" s="10" t="inlineStr">
        <is>
          <t>Present Perfect</t>
        </is>
      </c>
      <c r="E70" s="9" t="inlineStr">
        <is>
          <t>Present Perfect: значение — жизненный опыт, перемены (ever/never)</t>
        </is>
      </c>
      <c r="F70" s="9" t="inlineStr">
        <is>
          <t>10+</t>
        </is>
      </c>
      <c r="G70" s="9" t="inlineStr"/>
      <c r="H70" s="9" t="inlineStr"/>
      <c r="I70" s="15" t="inlineStr">
        <is>
          <t>М10 (10a) · новое</t>
        </is>
      </c>
      <c r="J70" s="9" t="inlineStr"/>
      <c r="K70" s="12" t="inlineStr">
        <is>
          <t>М6 · повт.</t>
        </is>
      </c>
      <c r="L70" s="14" t="inlineStr">
        <is>
          <t>М2 (2c) · расш.</t>
        </is>
      </c>
      <c r="M70" s="12" t="inlineStr">
        <is>
          <t>М1 (1c) · повт.</t>
        </is>
      </c>
      <c r="N70" s="12" t="inlineStr">
        <is>
          <t>М1 (1c) · повт.</t>
        </is>
      </c>
      <c r="O70" s="12" t="inlineStr">
        <is>
          <t>М1 (1c) · повт.</t>
        </is>
      </c>
      <c r="P70" s="16" t="inlineStr">
        <is>
          <t>—</t>
        </is>
      </c>
      <c r="Q70" s="17" t="inlineStr"/>
      <c r="R70" s="13" t="inlineStr">
        <is>
          <t>нет</t>
        </is>
      </c>
      <c r="S70" s="9" t="inlineStr"/>
      <c r="T70" s="9" t="inlineStr"/>
    </row>
    <row r="71">
      <c r="A71" s="9" t="n">
        <v>70</v>
      </c>
      <c r="B71" s="9" t="inlineStr">
        <is>
          <t>Грамматика</t>
        </is>
      </c>
      <c r="C71" s="9" t="inlineStr">
        <is>
          <t>Глаголы: времена</t>
        </is>
      </c>
      <c r="D71" s="10" t="inlineStr">
        <is>
          <t>Present Perfect</t>
        </is>
      </c>
      <c r="E71" s="9" t="inlineStr">
        <is>
          <t>Present Perfect: значение — результат в настоящем</t>
        </is>
      </c>
      <c r="F71" s="9" t="inlineStr">
        <is>
          <t>10+</t>
        </is>
      </c>
      <c r="G71" s="9" t="inlineStr"/>
      <c r="H71" s="9" t="inlineStr"/>
      <c r="I71" s="15" t="inlineStr">
        <is>
          <t>М10 (10a) · новое</t>
        </is>
      </c>
      <c r="J71" s="9" t="inlineStr"/>
      <c r="K71" s="12" t="inlineStr">
        <is>
          <t>М6 · повт.</t>
        </is>
      </c>
      <c r="L71" s="12" t="inlineStr">
        <is>
          <t>М2 (2c) · повт.</t>
        </is>
      </c>
      <c r="M71" s="12" t="inlineStr">
        <is>
          <t>М1 (1c) · повт.</t>
        </is>
      </c>
      <c r="N71" s="12" t="inlineStr">
        <is>
          <t>М1 (1c) · повт.</t>
        </is>
      </c>
      <c r="O71" s="12" t="inlineStr">
        <is>
          <t>М1 (1c) · повт.</t>
        </is>
      </c>
      <c r="P71" s="16" t="inlineStr">
        <is>
          <t>—</t>
        </is>
      </c>
      <c r="Q71" s="17" t="inlineStr"/>
      <c r="R71" s="13" t="inlineStr">
        <is>
          <t>нет</t>
        </is>
      </c>
      <c r="S71" s="9" t="inlineStr"/>
      <c r="T71" s="9" t="inlineStr"/>
    </row>
    <row r="72">
      <c r="A72" s="9" t="n">
        <v>71</v>
      </c>
      <c r="B72" s="9" t="inlineStr">
        <is>
          <t>Грамматика</t>
        </is>
      </c>
      <c r="C72" s="9" t="inlineStr">
        <is>
          <t>Глаголы: времена</t>
        </is>
      </c>
      <c r="D72" s="10" t="inlineStr">
        <is>
          <t>Present Perfect</t>
        </is>
      </c>
      <c r="E72" s="9" t="inlineStr">
        <is>
          <t>Present Perfect: значение — недавно завершённое действие (just)</t>
        </is>
      </c>
      <c r="F72" s="9" t="inlineStr">
        <is>
          <t>10+</t>
        </is>
      </c>
      <c r="G72" s="9" t="inlineStr"/>
      <c r="H72" s="9" t="inlineStr"/>
      <c r="I72" s="9" t="inlineStr"/>
      <c r="J72" s="9" t="inlineStr"/>
      <c r="K72" s="9" t="inlineStr"/>
      <c r="L72" s="15" t="inlineStr">
        <is>
          <t>М2 (2c) · новое</t>
        </is>
      </c>
      <c r="M72" s="12" t="inlineStr">
        <is>
          <t>М1 (1c) · повт.</t>
        </is>
      </c>
      <c r="N72" s="12" t="inlineStr">
        <is>
          <t>М1 (1c) · повт.</t>
        </is>
      </c>
      <c r="O72" s="12" t="inlineStr">
        <is>
          <t>М1 (1c) · повт.</t>
        </is>
      </c>
      <c r="P72" s="16" t="inlineStr">
        <is>
          <t>—</t>
        </is>
      </c>
      <c r="Q72" s="17" t="inlineStr"/>
      <c r="R72" s="13" t="inlineStr">
        <is>
          <t>нет</t>
        </is>
      </c>
      <c r="S72" s="9" t="inlineStr"/>
      <c r="T72" s="9" t="inlineStr"/>
    </row>
    <row r="73">
      <c r="A73" s="9" t="n">
        <v>72</v>
      </c>
      <c r="B73" s="9" t="inlineStr">
        <is>
          <t>Грамматика</t>
        </is>
      </c>
      <c r="C73" s="9" t="inlineStr">
        <is>
          <t>Глаголы: времена</t>
        </is>
      </c>
      <c r="D73" s="10" t="inlineStr">
        <is>
          <t>Present Perfect</t>
        </is>
      </c>
      <c r="E73" s="9" t="inlineStr">
        <is>
          <t>Present Perfect: значение — неуказанное время в прошлом</t>
        </is>
      </c>
      <c r="F73" s="9" t="inlineStr">
        <is>
          <t>10+</t>
        </is>
      </c>
      <c r="G73" s="9" t="inlineStr"/>
      <c r="H73" s="9" t="inlineStr"/>
      <c r="I73" s="9" t="inlineStr"/>
      <c r="J73" s="9" t="inlineStr"/>
      <c r="K73" s="15" t="inlineStr">
        <is>
          <t>М6 · новое</t>
        </is>
      </c>
      <c r="L73" s="9" t="inlineStr"/>
      <c r="M73" s="12" t="inlineStr">
        <is>
          <t>М1 (1c) · повт.</t>
        </is>
      </c>
      <c r="N73" s="12" t="inlineStr">
        <is>
          <t>М1 (1c) · повт.</t>
        </is>
      </c>
      <c r="O73" s="12" t="inlineStr">
        <is>
          <t>М1 (1c) · повт.</t>
        </is>
      </c>
      <c r="P73" s="16" t="inlineStr">
        <is>
          <t>—</t>
        </is>
      </c>
      <c r="Q73" s="17" t="inlineStr"/>
      <c r="R73" s="13" t="inlineStr">
        <is>
          <t>нет</t>
        </is>
      </c>
      <c r="S73" s="9" t="inlineStr"/>
      <c r="T73" s="9" t="inlineStr"/>
    </row>
    <row r="74">
      <c r="A74" s="9" t="n">
        <v>73</v>
      </c>
      <c r="B74" s="9" t="inlineStr">
        <is>
          <t>Грамматика</t>
        </is>
      </c>
      <c r="C74" s="9" t="inlineStr">
        <is>
          <t>Глаголы: времена</t>
        </is>
      </c>
      <c r="D74" s="10" t="inlineStr">
        <is>
          <t>Present Perfect</t>
        </is>
      </c>
      <c r="E74" s="9" t="inlineStr">
        <is>
          <t>Present Perfect: значение — с прошлого до настоящего (stative verbs, for/since)</t>
        </is>
      </c>
      <c r="F74" s="9" t="inlineStr">
        <is>
          <t>10+</t>
        </is>
      </c>
      <c r="G74" s="9" t="inlineStr"/>
      <c r="H74" s="9" t="inlineStr"/>
      <c r="I74" s="9" t="inlineStr"/>
      <c r="J74" s="9" t="inlineStr"/>
      <c r="K74" s="15" t="inlineStr">
        <is>
          <t>М6 · новое</t>
        </is>
      </c>
      <c r="L74" s="12" t="inlineStr">
        <is>
          <t>М2 (2c) · повт.</t>
        </is>
      </c>
      <c r="M74" s="12" t="inlineStr">
        <is>
          <t>М1 (1c) · повт.</t>
        </is>
      </c>
      <c r="N74" s="12" t="inlineStr">
        <is>
          <t>М1 (1c) · повт.</t>
        </is>
      </c>
      <c r="O74" s="12" t="inlineStr">
        <is>
          <t>М1 (1c) · повт.</t>
        </is>
      </c>
      <c r="P74" s="16" t="inlineStr">
        <is>
          <t>—</t>
        </is>
      </c>
      <c r="Q74" s="17" t="inlineStr"/>
      <c r="R74" s="13" t="inlineStr">
        <is>
          <t>нет</t>
        </is>
      </c>
      <c r="S74" s="9" t="inlineStr"/>
      <c r="T74" s="9" t="inlineStr"/>
    </row>
    <row r="75">
      <c r="A75" s="9" t="n">
        <v>74</v>
      </c>
      <c r="B75" s="9" t="inlineStr">
        <is>
          <t>Грамматика</t>
        </is>
      </c>
      <c r="C75" s="9" t="inlineStr">
        <is>
          <t>Глаголы: времена</t>
        </is>
      </c>
      <c r="D75" s="10" t="inlineStr">
        <is>
          <t>Present Perfect</t>
        </is>
      </c>
      <c r="E75" s="9" t="inlineStr">
        <is>
          <t>Present Perfect: значение — незаконченный период (today, this week, so far)</t>
        </is>
      </c>
      <c r="F75" s="9" t="inlineStr">
        <is>
          <t>10+</t>
        </is>
      </c>
      <c r="G75" s="9" t="inlineStr"/>
      <c r="H75" s="9" t="inlineStr"/>
      <c r="I75" s="9" t="inlineStr"/>
      <c r="J75" s="9" t="inlineStr"/>
      <c r="K75" s="9" t="inlineStr"/>
      <c r="L75" s="15" t="inlineStr">
        <is>
          <t>М2 (2c) · новое</t>
        </is>
      </c>
      <c r="M75" s="12" t="inlineStr">
        <is>
          <t>М1 (1c) · повт.</t>
        </is>
      </c>
      <c r="N75" s="12" t="inlineStr">
        <is>
          <t>М1 (1c) · повт.</t>
        </is>
      </c>
      <c r="O75" s="12" t="inlineStr">
        <is>
          <t>М1 (1c) · повт.</t>
        </is>
      </c>
      <c r="P75" s="16" t="inlineStr">
        <is>
          <t>—</t>
        </is>
      </c>
      <c r="Q75" s="17" t="inlineStr"/>
      <c r="R75" s="13" t="inlineStr">
        <is>
          <t>нет</t>
        </is>
      </c>
      <c r="S75" s="9" t="inlineStr"/>
      <c r="T75" s="9" t="inlineStr"/>
    </row>
    <row r="76">
      <c r="A76" s="9" t="n">
        <v>75</v>
      </c>
      <c r="B76" s="9" t="inlineStr">
        <is>
          <t>Грамматика</t>
        </is>
      </c>
      <c r="C76" s="9" t="inlineStr">
        <is>
          <t>Глаголы: времена</t>
        </is>
      </c>
      <c r="D76" s="10" t="inlineStr">
        <is>
          <t>Present Perfect</t>
        </is>
      </c>
      <c r="E76" s="9" t="inlineStr">
        <is>
          <t>Present Perfect: значение — акцент на количестве (seven times this week)</t>
        </is>
      </c>
      <c r="F76" s="9" t="inlineStr">
        <is>
          <t>10+</t>
        </is>
      </c>
      <c r="G76" s="9" t="inlineStr"/>
      <c r="H76" s="9" t="inlineStr"/>
      <c r="I76" s="9" t="inlineStr"/>
      <c r="J76" s="9" t="inlineStr"/>
      <c r="K76" s="9" t="inlineStr"/>
      <c r="L76" s="9" t="inlineStr"/>
      <c r="M76" s="15" t="inlineStr">
        <is>
          <t>М1 (1c) · новое</t>
        </is>
      </c>
      <c r="N76" s="12" t="inlineStr">
        <is>
          <t>М1 (1c) · повт.</t>
        </is>
      </c>
      <c r="O76" s="12" t="inlineStr">
        <is>
          <t>М1 (1c) · повт.</t>
        </is>
      </c>
      <c r="P76" s="16" t="inlineStr">
        <is>
          <t>—</t>
        </is>
      </c>
      <c r="Q76" s="17" t="inlineStr"/>
      <c r="R76" s="13" t="inlineStr">
        <is>
          <t>нет</t>
        </is>
      </c>
      <c r="S76" s="9" t="inlineStr"/>
      <c r="T76" s="9" t="inlineStr"/>
    </row>
    <row r="77">
      <c r="A77" s="9" t="n">
        <v>76</v>
      </c>
      <c r="B77" s="9" t="inlineStr">
        <is>
          <t>Грамматика</t>
        </is>
      </c>
      <c r="C77" s="9" t="inlineStr">
        <is>
          <t>Глаголы: времена</t>
        </is>
      </c>
      <c r="D77" s="10" t="inlineStr">
        <is>
          <t>Present Perfect</t>
        </is>
      </c>
      <c r="E77" s="9" t="inlineStr">
        <is>
          <t>Present Perfect: слова-маркеры already / yet / just / ever / never</t>
        </is>
      </c>
      <c r="F77" s="9" t="inlineStr">
        <is>
          <t>10+</t>
        </is>
      </c>
      <c r="G77" s="9" t="inlineStr"/>
      <c r="H77" s="9" t="inlineStr"/>
      <c r="I77" s="15" t="inlineStr">
        <is>
          <t>М10 (10a) · новое</t>
        </is>
      </c>
      <c r="J77" s="9" t="inlineStr"/>
      <c r="K77" s="14" t="inlineStr">
        <is>
          <t>М6 · расш.</t>
        </is>
      </c>
      <c r="L77" s="12" t="inlineStr">
        <is>
          <t>М2 (2c) · повт.</t>
        </is>
      </c>
      <c r="M77" s="12" t="inlineStr">
        <is>
          <t>М1 (1c) · повт.</t>
        </is>
      </c>
      <c r="N77" s="12" t="inlineStr">
        <is>
          <t>М1 (1c) · повт.</t>
        </is>
      </c>
      <c r="O77" s="12" t="inlineStr">
        <is>
          <t>М1 (1c) · повт.</t>
        </is>
      </c>
      <c r="P77" s="16" t="inlineStr">
        <is>
          <t>—</t>
        </is>
      </c>
      <c r="Q77" s="17" t="inlineStr"/>
      <c r="R77" s="13" t="inlineStr">
        <is>
          <t>нет</t>
        </is>
      </c>
      <c r="S77" s="9" t="inlineStr"/>
      <c r="T77" s="9" t="inlineStr"/>
    </row>
    <row r="78">
      <c r="A78" s="4" t="n">
        <v>77</v>
      </c>
      <c r="B78" s="4" t="inlineStr">
        <is>
          <t>Грамматика</t>
        </is>
      </c>
      <c r="C78" s="4" t="inlineStr">
        <is>
          <t>Глаголы: времена</t>
        </is>
      </c>
      <c r="D78" s="5" t="inlineStr">
        <is>
          <t>Stative verbs</t>
        </is>
      </c>
      <c r="E78" s="4" t="inlineStr">
        <is>
          <t>Stative verbs: глаголы состояния не употребляются в Continuous</t>
        </is>
      </c>
      <c r="F78" s="4" t="inlineStr">
        <is>
          <t>10+</t>
        </is>
      </c>
      <c r="G78" s="4" t="inlineStr"/>
      <c r="H78" s="4" t="inlineStr"/>
      <c r="I78" s="4" t="inlineStr"/>
      <c r="J78" s="18" t="inlineStr">
        <is>
          <t>М6 · новое</t>
        </is>
      </c>
      <c r="K78" s="7" t="inlineStr">
        <is>
          <t>М1 · повт.</t>
        </is>
      </c>
      <c r="L78" s="7" t="inlineStr">
        <is>
          <t>М1 (1c) · повт.</t>
        </is>
      </c>
      <c r="M78" s="4" t="inlineStr"/>
      <c r="N78" s="7" t="inlineStr">
        <is>
          <t>М1 (1c) · повт.</t>
        </is>
      </c>
      <c r="O78" s="7" t="inlineStr">
        <is>
          <t>М1 (1c) · повт.</t>
        </is>
      </c>
      <c r="P78" s="19" t="inlineStr">
        <is>
          <t>—</t>
        </is>
      </c>
      <c r="Q78" s="20" t="inlineStr"/>
      <c r="R78" s="8" t="inlineStr">
        <is>
          <t>нет</t>
        </is>
      </c>
      <c r="S78" s="4" t="inlineStr"/>
      <c r="T78" s="4" t="inlineStr"/>
    </row>
    <row r="79">
      <c r="A79" s="9" t="n">
        <v>78</v>
      </c>
      <c r="B79" s="9" t="inlineStr">
        <is>
          <t>Грамматика</t>
        </is>
      </c>
      <c r="C79" s="9" t="inlineStr">
        <is>
          <t>Глаголы: времена</t>
        </is>
      </c>
      <c r="D79" s="10" t="inlineStr">
        <is>
          <t>Stative verbs</t>
        </is>
      </c>
      <c r="E79" s="9" t="inlineStr">
        <is>
          <t>Stative verbs: группы глаголов (восприятие, мышление, чувства, прочие)</t>
        </is>
      </c>
      <c r="F79" s="9" t="inlineStr">
        <is>
          <t>10+</t>
        </is>
      </c>
      <c r="G79" s="9" t="inlineStr"/>
      <c r="H79" s="9" t="inlineStr"/>
      <c r="I79" s="9" t="inlineStr"/>
      <c r="J79" s="9" t="inlineStr"/>
      <c r="K79" s="15" t="inlineStr">
        <is>
          <t>М1 · новое</t>
        </is>
      </c>
      <c r="L79" s="14" t="inlineStr">
        <is>
          <t>М1 (1c) · расш.</t>
        </is>
      </c>
      <c r="M79" s="12" t="inlineStr">
        <is>
          <t>М1 (1c) · повт.</t>
        </is>
      </c>
      <c r="N79" s="12" t="inlineStr">
        <is>
          <t>М1 (1c) · повт.</t>
        </is>
      </c>
      <c r="O79" s="12" t="inlineStr">
        <is>
          <t>М1 (1c) · повт.</t>
        </is>
      </c>
      <c r="P79" s="16" t="inlineStr">
        <is>
          <t>—</t>
        </is>
      </c>
      <c r="Q79" s="17" t="inlineStr"/>
      <c r="R79" s="13" t="inlineStr">
        <is>
          <t>нет</t>
        </is>
      </c>
      <c r="S79" s="9" t="inlineStr"/>
      <c r="T79" s="9" t="inlineStr"/>
    </row>
    <row r="80">
      <c r="A80" s="9" t="n">
        <v>79</v>
      </c>
      <c r="B80" s="9" t="inlineStr">
        <is>
          <t>Грамматика</t>
        </is>
      </c>
      <c r="C80" s="9" t="inlineStr">
        <is>
          <t>Глаголы: времена</t>
        </is>
      </c>
      <c r="D80" s="10" t="inlineStr">
        <is>
          <t>Stative verbs</t>
        </is>
      </c>
      <c r="E80" s="9" t="inlineStr">
        <is>
          <t>Stative verbs: разное значение в Simple и Continuous (think, have, see, taste…)</t>
        </is>
      </c>
      <c r="F80" s="9" t="inlineStr">
        <is>
          <t>10+</t>
        </is>
      </c>
      <c r="G80" s="9" t="inlineStr"/>
      <c r="H80" s="9" t="inlineStr"/>
      <c r="I80" s="9" t="inlineStr"/>
      <c r="J80" s="9" t="inlineStr"/>
      <c r="K80" s="15" t="inlineStr">
        <is>
          <t>М1 · новое</t>
        </is>
      </c>
      <c r="L80" s="12" t="inlineStr">
        <is>
          <t>М1 (1c) · повт.</t>
        </is>
      </c>
      <c r="M80" s="12" t="inlineStr">
        <is>
          <t>М1 (1c) · повт.</t>
        </is>
      </c>
      <c r="N80" s="12" t="inlineStr">
        <is>
          <t>М1 (1c) · повт.</t>
        </is>
      </c>
      <c r="O80" s="12" t="inlineStr">
        <is>
          <t>М1 (1c) · повт.</t>
        </is>
      </c>
      <c r="P80" s="16" t="inlineStr">
        <is>
          <t>—</t>
        </is>
      </c>
      <c r="Q80" s="17" t="inlineStr"/>
      <c r="R80" s="13" t="inlineStr">
        <is>
          <t>нет</t>
        </is>
      </c>
      <c r="S80" s="9" t="inlineStr"/>
      <c r="T80" s="9" t="inlineStr"/>
    </row>
    <row r="81">
      <c r="A81" s="9" t="n">
        <v>80</v>
      </c>
      <c r="B81" s="9" t="inlineStr">
        <is>
          <t>Грамматика</t>
        </is>
      </c>
      <c r="C81" s="9" t="inlineStr">
        <is>
          <t>Глаголы: времена</t>
        </is>
      </c>
      <c r="D81" s="10" t="inlineStr">
        <is>
          <t>Stative verbs</t>
        </is>
      </c>
      <c r="E81" s="9" t="inlineStr">
        <is>
          <t>Stative verbs: look, feel, hurt, ache — Simple = Continuous</t>
        </is>
      </c>
      <c r="F81" s="9" t="inlineStr">
        <is>
          <t>10+</t>
        </is>
      </c>
      <c r="G81" s="9" t="inlineStr"/>
      <c r="H81" s="9" t="inlineStr"/>
      <c r="I81" s="9" t="inlineStr"/>
      <c r="J81" s="9" t="inlineStr"/>
      <c r="K81" s="15" t="inlineStr">
        <is>
          <t>М1 · новое</t>
        </is>
      </c>
      <c r="L81" s="14" t="inlineStr">
        <is>
          <t>М1 (1c) · расш.</t>
        </is>
      </c>
      <c r="M81" s="12" t="inlineStr">
        <is>
          <t>М1 (1c) · повт.</t>
        </is>
      </c>
      <c r="N81" s="12" t="inlineStr">
        <is>
          <t>М1 (1c) · повт.</t>
        </is>
      </c>
      <c r="O81" s="12" t="inlineStr">
        <is>
          <t>М1 (1c) · повт.</t>
        </is>
      </c>
      <c r="P81" s="16" t="inlineStr">
        <is>
          <t>—</t>
        </is>
      </c>
      <c r="Q81" s="17" t="inlineStr"/>
      <c r="R81" s="13" t="inlineStr">
        <is>
          <t>нет</t>
        </is>
      </c>
      <c r="S81" s="9" t="inlineStr"/>
      <c r="T81" s="9" t="inlineStr"/>
    </row>
    <row r="82">
      <c r="A82" s="9" t="n">
        <v>81</v>
      </c>
      <c r="B82" s="9" t="inlineStr">
        <is>
          <t>Грамматика</t>
        </is>
      </c>
      <c r="C82" s="9" t="inlineStr">
        <is>
          <t>Глаголы: времена</t>
        </is>
      </c>
      <c r="D82" s="10" t="inlineStr">
        <is>
          <t>Stative verbs</t>
        </is>
      </c>
      <c r="E82" s="9" t="inlineStr">
        <is>
          <t>Stative verbs: enjoy в Continuous — конкретное удовольствие</t>
        </is>
      </c>
      <c r="F82" s="9" t="inlineStr">
        <is>
          <t>10+</t>
        </is>
      </c>
      <c r="G82" s="9" t="inlineStr"/>
      <c r="H82" s="9" t="inlineStr"/>
      <c r="I82" s="9" t="inlineStr"/>
      <c r="J82" s="9" t="inlineStr"/>
      <c r="K82" s="9" t="inlineStr"/>
      <c r="L82" s="15" t="inlineStr">
        <is>
          <t>М1 (1c) · новое</t>
        </is>
      </c>
      <c r="M82" s="12" t="inlineStr">
        <is>
          <t>М1 (1c) · повт.</t>
        </is>
      </c>
      <c r="N82" s="12" t="inlineStr">
        <is>
          <t>М1 (1c) · повт.</t>
        </is>
      </c>
      <c r="O82" s="12" t="inlineStr">
        <is>
          <t>М1 (1c) · повт.</t>
        </is>
      </c>
      <c r="P82" s="16" t="inlineStr">
        <is>
          <t>—</t>
        </is>
      </c>
      <c r="Q82" s="17" t="inlineStr"/>
      <c r="R82" s="13" t="inlineStr">
        <is>
          <t>нет</t>
        </is>
      </c>
      <c r="S82" s="9" t="inlineStr"/>
      <c r="T82" s="9" t="inlineStr"/>
    </row>
    <row r="83">
      <c r="A83" s="4" t="n">
        <v>82</v>
      </c>
      <c r="B83" s="4" t="inlineStr">
        <is>
          <t>Грамматика</t>
        </is>
      </c>
      <c r="C83" s="4" t="inlineStr">
        <is>
          <t>Глаголы: времена</t>
        </is>
      </c>
      <c r="D83" s="5" t="inlineStr">
        <is>
          <t>Future forms (comparison)</t>
        </is>
      </c>
      <c r="E83" s="4" t="inlineStr">
        <is>
          <t>Future forms: Present Continuous — договорённости на ближайшее будущее</t>
        </is>
      </c>
      <c r="F83" s="4" t="inlineStr">
        <is>
          <t>10+</t>
        </is>
      </c>
      <c r="G83" s="4" t="inlineStr"/>
      <c r="H83" s="4" t="inlineStr"/>
      <c r="I83" s="4" t="inlineStr"/>
      <c r="J83" s="4" t="inlineStr"/>
      <c r="K83" s="18" t="inlineStr">
        <is>
          <t>М5 · новое</t>
        </is>
      </c>
      <c r="L83" s="7" t="inlineStr">
        <is>
          <t>М1 (1c) · повт.</t>
        </is>
      </c>
      <c r="M83" s="7" t="inlineStr">
        <is>
          <t>М4 (4c) · повт.</t>
        </is>
      </c>
      <c r="N83" s="7" t="inlineStr">
        <is>
          <t>М3 (3c) · повт.</t>
        </is>
      </c>
      <c r="O83" s="7" t="inlineStr">
        <is>
          <t>М1 (1c) · повт.</t>
        </is>
      </c>
      <c r="P83" s="19" t="inlineStr">
        <is>
          <t>—</t>
        </is>
      </c>
      <c r="Q83" s="20" t="inlineStr"/>
      <c r="R83" s="8" t="inlineStr">
        <is>
          <t>нет</t>
        </is>
      </c>
      <c r="S83" s="4" t="inlineStr"/>
      <c r="T83" s="4" t="inlineStr"/>
    </row>
    <row r="84">
      <c r="A84" s="9" t="n">
        <v>83</v>
      </c>
      <c r="B84" s="9" t="inlineStr">
        <is>
          <t>Грамматика</t>
        </is>
      </c>
      <c r="C84" s="9" t="inlineStr">
        <is>
          <t>Глаголы: времена</t>
        </is>
      </c>
      <c r="D84" s="10" t="inlineStr">
        <is>
          <t>Future forms (comparison)</t>
        </is>
      </c>
      <c r="E84" s="9" t="inlineStr">
        <is>
          <t>Future forms: Present Simple — расписания и программы</t>
        </is>
      </c>
      <c r="F84" s="9" t="inlineStr">
        <is>
          <t>10+</t>
        </is>
      </c>
      <c r="G84" s="9" t="inlineStr"/>
      <c r="H84" s="9" t="inlineStr"/>
      <c r="I84" s="9" t="inlineStr"/>
      <c r="J84" s="9" t="inlineStr"/>
      <c r="K84" s="15" t="inlineStr">
        <is>
          <t>М5 · новое</t>
        </is>
      </c>
      <c r="L84" s="12" t="inlineStr">
        <is>
          <t>М1 (1c) · повт.</t>
        </is>
      </c>
      <c r="M84" s="12" t="inlineStr">
        <is>
          <t>М4 (4c) · повт.</t>
        </is>
      </c>
      <c r="N84" s="12" t="inlineStr">
        <is>
          <t>М3 (3c) · повт.</t>
        </is>
      </c>
      <c r="O84" s="12" t="inlineStr">
        <is>
          <t>М1 (1c) · повт.</t>
        </is>
      </c>
      <c r="P84" s="16" t="inlineStr">
        <is>
          <t>—</t>
        </is>
      </c>
      <c r="Q84" s="17" t="inlineStr"/>
      <c r="R84" s="13" t="inlineStr">
        <is>
          <t>нет</t>
        </is>
      </c>
      <c r="S84" s="9" t="inlineStr"/>
      <c r="T84" s="9" t="inlineStr"/>
    </row>
    <row r="85">
      <c r="A85" s="9" t="n">
        <v>84</v>
      </c>
      <c r="B85" s="9" t="inlineStr">
        <is>
          <t>Грамматика</t>
        </is>
      </c>
      <c r="C85" s="9" t="inlineStr">
        <is>
          <t>Глаголы: времена</t>
        </is>
      </c>
      <c r="D85" s="10" t="inlineStr">
        <is>
          <t>Future forms (comparison)</t>
        </is>
      </c>
      <c r="E85" s="9" t="inlineStr">
        <is>
          <t>Future forms: will vs be going to — решение в момент речи vs план</t>
        </is>
      </c>
      <c r="F85" s="9" t="inlineStr">
        <is>
          <t>10+</t>
        </is>
      </c>
      <c r="G85" s="9" t="inlineStr"/>
      <c r="H85" s="9" t="inlineStr"/>
      <c r="I85" s="9" t="inlineStr"/>
      <c r="J85" s="9" t="inlineStr"/>
      <c r="K85" s="15" t="inlineStr">
        <is>
          <t>М5 · новое</t>
        </is>
      </c>
      <c r="L85" s="12" t="inlineStr">
        <is>
          <t>М1 (1c) · повт.</t>
        </is>
      </c>
      <c r="M85" s="12" t="inlineStr">
        <is>
          <t>М4 (4c) · повт.</t>
        </is>
      </c>
      <c r="N85" s="12" t="inlineStr">
        <is>
          <t>М3 (3c) · повт.</t>
        </is>
      </c>
      <c r="O85" s="12" t="inlineStr">
        <is>
          <t>М1 (1c) · повт.</t>
        </is>
      </c>
      <c r="P85" s="16" t="inlineStr">
        <is>
          <t>—</t>
        </is>
      </c>
      <c r="Q85" s="17" t="inlineStr"/>
      <c r="R85" s="13" t="inlineStr">
        <is>
          <t>нет</t>
        </is>
      </c>
      <c r="S85" s="9" t="inlineStr"/>
      <c r="T85" s="9" t="inlineStr"/>
    </row>
    <row r="86">
      <c r="A86" s="9" t="n">
        <v>85</v>
      </c>
      <c r="B86" s="9" t="inlineStr">
        <is>
          <t>Грамматика</t>
        </is>
      </c>
      <c r="C86" s="9" t="inlineStr">
        <is>
          <t>Глаголы: времена</t>
        </is>
      </c>
      <c r="D86" s="10" t="inlineStr">
        <is>
          <t>Future forms (comparison)</t>
        </is>
      </c>
      <c r="E86" s="9" t="inlineStr">
        <is>
          <t>Future forms: will vs be going to — прогноз-мнение vs прогноз по признакам</t>
        </is>
      </c>
      <c r="F86" s="9" t="inlineStr">
        <is>
          <t>10+</t>
        </is>
      </c>
      <c r="G86" s="9" t="inlineStr"/>
      <c r="H86" s="9" t="inlineStr"/>
      <c r="I86" s="9" t="inlineStr"/>
      <c r="J86" s="9" t="inlineStr"/>
      <c r="K86" s="15" t="inlineStr">
        <is>
          <t>М5 · новое</t>
        </is>
      </c>
      <c r="L86" s="12" t="inlineStr">
        <is>
          <t>М1 (1c) · повт.</t>
        </is>
      </c>
      <c r="M86" s="12" t="inlineStr">
        <is>
          <t>М4 (4c) · повт.</t>
        </is>
      </c>
      <c r="N86" s="12" t="inlineStr">
        <is>
          <t>М3 (3c) · повт.</t>
        </is>
      </c>
      <c r="O86" s="12" t="inlineStr">
        <is>
          <t>М1 (1c) · повт.</t>
        </is>
      </c>
      <c r="P86" s="16" t="inlineStr">
        <is>
          <t>—</t>
        </is>
      </c>
      <c r="Q86" s="17" t="inlineStr"/>
      <c r="R86" s="13" t="inlineStr">
        <is>
          <t>нет</t>
        </is>
      </c>
      <c r="S86" s="9" t="inlineStr"/>
      <c r="T86" s="9" t="inlineStr"/>
    </row>
    <row r="87">
      <c r="A87" s="9" t="n">
        <v>86</v>
      </c>
      <c r="B87" s="9" t="inlineStr">
        <is>
          <t>Грамматика</t>
        </is>
      </c>
      <c r="C87" s="9" t="inlineStr">
        <is>
          <t>Глаголы: времена</t>
        </is>
      </c>
      <c r="D87" s="10" t="inlineStr">
        <is>
          <t>Future forms (comparison)</t>
        </is>
      </c>
      <c r="E87" s="9" t="inlineStr">
        <is>
          <t>Future forms: обзор всех способов выражения будущего</t>
        </is>
      </c>
      <c r="F87" s="9" t="inlineStr">
        <is>
          <t>10+</t>
        </is>
      </c>
      <c r="G87" s="9" t="inlineStr"/>
      <c r="H87" s="9" t="inlineStr"/>
      <c r="I87" s="9" t="inlineStr"/>
      <c r="J87" s="9" t="inlineStr"/>
      <c r="K87" s="15" t="inlineStr">
        <is>
          <t>М5 · новое</t>
        </is>
      </c>
      <c r="L87" s="12" t="inlineStr">
        <is>
          <t>М1 (1c) · повт.</t>
        </is>
      </c>
      <c r="M87" s="9" t="inlineStr"/>
      <c r="N87" s="12" t="inlineStr">
        <is>
          <t>М3 (3c) · повт.</t>
        </is>
      </c>
      <c r="O87" s="12" t="inlineStr">
        <is>
          <t>М1 (1c) · повт.</t>
        </is>
      </c>
      <c r="P87" s="16" t="inlineStr">
        <is>
          <t>—</t>
        </is>
      </c>
      <c r="Q87" s="17" t="inlineStr"/>
      <c r="R87" s="13" t="inlineStr">
        <is>
          <t>нет</t>
        </is>
      </c>
      <c r="S87" s="9" t="inlineStr"/>
      <c r="T87" s="9" t="inlineStr"/>
    </row>
    <row r="88">
      <c r="A88" s="9" t="n">
        <v>87</v>
      </c>
      <c r="B88" s="9" t="inlineStr">
        <is>
          <t>Грамматика</t>
        </is>
      </c>
      <c r="C88" s="9" t="inlineStr">
        <is>
          <t>Глаголы: времена</t>
        </is>
      </c>
      <c r="D88" s="10" t="inlineStr">
        <is>
          <t>Future forms (comparison)</t>
        </is>
      </c>
      <c r="E88" s="9" t="inlineStr">
        <is>
          <t>Future forms: Future Continuous/Future Perfect в системе будущих форм</t>
        </is>
      </c>
      <c r="F88" s="9" t="inlineStr">
        <is>
          <t>10+</t>
        </is>
      </c>
      <c r="G88" s="9" t="inlineStr"/>
      <c r="H88" s="9" t="inlineStr"/>
      <c r="I88" s="9" t="inlineStr"/>
      <c r="J88" s="9" t="inlineStr"/>
      <c r="K88" s="9" t="inlineStr"/>
      <c r="L88" s="9" t="inlineStr"/>
      <c r="M88" s="15" t="inlineStr">
        <is>
          <t>М4 (4c) · новое</t>
        </is>
      </c>
      <c r="N88" s="9" t="inlineStr"/>
      <c r="O88" s="12" t="inlineStr">
        <is>
          <t>М1 (1c) · повт.</t>
        </is>
      </c>
      <c r="P88" s="16" t="inlineStr">
        <is>
          <t>—</t>
        </is>
      </c>
      <c r="Q88" s="17" t="inlineStr"/>
      <c r="R88" s="13" t="inlineStr">
        <is>
          <t>нет</t>
        </is>
      </c>
      <c r="S88" s="9" t="inlineStr"/>
      <c r="T88" s="9" t="inlineStr"/>
    </row>
    <row r="89">
      <c r="A89" s="4" t="n">
        <v>88</v>
      </c>
      <c r="B89" s="4" t="inlineStr">
        <is>
          <t>Грамматика</t>
        </is>
      </c>
      <c r="C89" s="4" t="inlineStr">
        <is>
          <t>Глаголы: времена</t>
        </is>
      </c>
      <c r="D89" s="5" t="inlineStr">
        <is>
          <t>Past Continuous</t>
        </is>
      </c>
      <c r="E89" s="4" t="inlineStr">
        <is>
          <t>Past Continuous: утверждение (was/were + V-ing)</t>
        </is>
      </c>
      <c r="F89" s="4" t="inlineStr">
        <is>
          <t>10+</t>
        </is>
      </c>
      <c r="G89" s="4" t="inlineStr"/>
      <c r="H89" s="4" t="inlineStr"/>
      <c r="I89" s="4" t="inlineStr"/>
      <c r="J89" s="4" t="inlineStr"/>
      <c r="K89" s="4" t="inlineStr"/>
      <c r="L89" s="18" t="inlineStr">
        <is>
          <t>М1 (1c) · новое</t>
        </is>
      </c>
      <c r="M89" s="7" t="inlineStr">
        <is>
          <t>М3 (3c) · повт.</t>
        </is>
      </c>
      <c r="N89" s="7" t="inlineStr">
        <is>
          <t>М5 (5c) · повт.</t>
        </is>
      </c>
      <c r="O89" s="7" t="inlineStr">
        <is>
          <t>М1 (1c) · повт.</t>
        </is>
      </c>
      <c r="P89" s="19" t="inlineStr">
        <is>
          <t>—</t>
        </is>
      </c>
      <c r="Q89" s="20" t="inlineStr"/>
      <c r="R89" s="8" t="inlineStr">
        <is>
          <t>нет</t>
        </is>
      </c>
      <c r="S89" s="4" t="inlineStr"/>
      <c r="T89" s="4" t="inlineStr"/>
    </row>
    <row r="90">
      <c r="A90" s="9" t="n">
        <v>89</v>
      </c>
      <c r="B90" s="9" t="inlineStr">
        <is>
          <t>Грамматика</t>
        </is>
      </c>
      <c r="C90" s="9" t="inlineStr">
        <is>
          <t>Глаголы: времена</t>
        </is>
      </c>
      <c r="D90" s="10" t="inlineStr">
        <is>
          <t>Past Continuous</t>
        </is>
      </c>
      <c r="E90" s="9" t="inlineStr">
        <is>
          <t>Past Continuous: значение — действие в процессе в момент прошлого</t>
        </is>
      </c>
      <c r="F90" s="9" t="inlineStr">
        <is>
          <t>10+</t>
        </is>
      </c>
      <c r="G90" s="9" t="inlineStr"/>
      <c r="H90" s="9" t="inlineStr"/>
      <c r="I90" s="9" t="inlineStr"/>
      <c r="J90" s="9" t="inlineStr"/>
      <c r="K90" s="15" t="inlineStr">
        <is>
          <t>М4 · новое</t>
        </is>
      </c>
      <c r="L90" s="12" t="inlineStr">
        <is>
          <t>М1 (1c) · повт.</t>
        </is>
      </c>
      <c r="M90" s="12" t="inlineStr">
        <is>
          <t>М3 (3c) · повт.</t>
        </is>
      </c>
      <c r="N90" s="12" t="inlineStr">
        <is>
          <t>М5 (5c) · повт.</t>
        </is>
      </c>
      <c r="O90" s="12" t="inlineStr">
        <is>
          <t>М1 (1c) · повт.</t>
        </is>
      </c>
      <c r="P90" s="16" t="inlineStr">
        <is>
          <t>—</t>
        </is>
      </c>
      <c r="Q90" s="17" t="inlineStr"/>
      <c r="R90" s="13" t="inlineStr">
        <is>
          <t>нет</t>
        </is>
      </c>
      <c r="S90" s="9" t="inlineStr"/>
      <c r="T90" s="9" t="inlineStr"/>
    </row>
    <row r="91">
      <c r="A91" s="9" t="n">
        <v>90</v>
      </c>
      <c r="B91" s="9" t="inlineStr">
        <is>
          <t>Грамматика</t>
        </is>
      </c>
      <c r="C91" s="9" t="inlineStr">
        <is>
          <t>Глаголы: времена</t>
        </is>
      </c>
      <c r="D91" s="10" t="inlineStr">
        <is>
          <t>Past Continuous</t>
        </is>
      </c>
      <c r="E91" s="9" t="inlineStr">
        <is>
          <t>Past Continuous: значение — длительное действие, прерванное другим (when)</t>
        </is>
      </c>
      <c r="F91" s="9" t="inlineStr">
        <is>
          <t>10+</t>
        </is>
      </c>
      <c r="G91" s="9" t="inlineStr"/>
      <c r="H91" s="9" t="inlineStr"/>
      <c r="I91" s="9" t="inlineStr"/>
      <c r="J91" s="9" t="inlineStr"/>
      <c r="K91" s="15" t="inlineStr">
        <is>
          <t>М4 · новое</t>
        </is>
      </c>
      <c r="L91" s="12" t="inlineStr">
        <is>
          <t>М1 (1c) · повт.</t>
        </is>
      </c>
      <c r="M91" s="12" t="inlineStr">
        <is>
          <t>М3 (3c) · повт.</t>
        </is>
      </c>
      <c r="N91" s="12" t="inlineStr">
        <is>
          <t>М5 (5c) · повт.</t>
        </is>
      </c>
      <c r="O91" s="12" t="inlineStr">
        <is>
          <t>М1 (1c) · повт.</t>
        </is>
      </c>
      <c r="P91" s="16" t="inlineStr">
        <is>
          <t>—</t>
        </is>
      </c>
      <c r="Q91" s="17" t="inlineStr"/>
      <c r="R91" s="13" t="inlineStr">
        <is>
          <t>нет</t>
        </is>
      </c>
      <c r="S91" s="9" t="inlineStr"/>
      <c r="T91" s="9" t="inlineStr"/>
    </row>
    <row r="92">
      <c r="A92" s="9" t="n">
        <v>91</v>
      </c>
      <c r="B92" s="9" t="inlineStr">
        <is>
          <t>Грамматика</t>
        </is>
      </c>
      <c r="C92" s="9" t="inlineStr">
        <is>
          <t>Глаголы: времена</t>
        </is>
      </c>
      <c r="D92" s="10" t="inlineStr">
        <is>
          <t>Past Continuous</t>
        </is>
      </c>
      <c r="E92" s="9" t="inlineStr">
        <is>
          <t>Past Continuous: значение — одновременные действия (while)</t>
        </is>
      </c>
      <c r="F92" s="9" t="inlineStr">
        <is>
          <t>10+</t>
        </is>
      </c>
      <c r="G92" s="9" t="inlineStr"/>
      <c r="H92" s="9" t="inlineStr"/>
      <c r="I92" s="9" t="inlineStr"/>
      <c r="J92" s="9" t="inlineStr"/>
      <c r="K92" s="15" t="inlineStr">
        <is>
          <t>М4 · новое</t>
        </is>
      </c>
      <c r="L92" s="12" t="inlineStr">
        <is>
          <t>М1 (1c) · повт.</t>
        </is>
      </c>
      <c r="M92" s="12" t="inlineStr">
        <is>
          <t>М3 (3c) · повт.</t>
        </is>
      </c>
      <c r="N92" s="12" t="inlineStr">
        <is>
          <t>М5 (5c) · повт.</t>
        </is>
      </c>
      <c r="O92" s="12" t="inlineStr">
        <is>
          <t>М1 (1c) · повт.</t>
        </is>
      </c>
      <c r="P92" s="16" t="inlineStr">
        <is>
          <t>—</t>
        </is>
      </c>
      <c r="Q92" s="17" t="inlineStr"/>
      <c r="R92" s="13" t="inlineStr">
        <is>
          <t>нет</t>
        </is>
      </c>
      <c r="S92" s="9" t="inlineStr"/>
      <c r="T92" s="9" t="inlineStr"/>
    </row>
    <row r="93">
      <c r="A93" s="9" t="n">
        <v>92</v>
      </c>
      <c r="B93" s="9" t="inlineStr">
        <is>
          <t>Грамматика</t>
        </is>
      </c>
      <c r="C93" s="9" t="inlineStr">
        <is>
          <t>Глаголы: времена</t>
        </is>
      </c>
      <c r="D93" s="10" t="inlineStr">
        <is>
          <t>Past Continuous</t>
        </is>
      </c>
      <c r="E93" s="9" t="inlineStr">
        <is>
          <t>Past Continuous: значение — фон и атмосфера в рассказе</t>
        </is>
      </c>
      <c r="F93" s="9" t="inlineStr">
        <is>
          <t>10+</t>
        </is>
      </c>
      <c r="G93" s="9" t="inlineStr"/>
      <c r="H93" s="9" t="inlineStr"/>
      <c r="I93" s="9" t="inlineStr"/>
      <c r="J93" s="9" t="inlineStr"/>
      <c r="K93" s="15" t="inlineStr">
        <is>
          <t>М4 · новое</t>
        </is>
      </c>
      <c r="L93" s="9" t="inlineStr"/>
      <c r="M93" s="12" t="inlineStr">
        <is>
          <t>М3 (3c) · повт.</t>
        </is>
      </c>
      <c r="N93" s="12" t="inlineStr">
        <is>
          <t>М5 (5c) · повт.</t>
        </is>
      </c>
      <c r="O93" s="12" t="inlineStr">
        <is>
          <t>М1 (1c) · повт.</t>
        </is>
      </c>
      <c r="P93" s="16" t="inlineStr">
        <is>
          <t>—</t>
        </is>
      </c>
      <c r="Q93" s="17" t="inlineStr"/>
      <c r="R93" s="13" t="inlineStr">
        <is>
          <t>нет</t>
        </is>
      </c>
      <c r="S93" s="9" t="inlineStr"/>
      <c r="T93" s="9" t="inlineStr"/>
    </row>
    <row r="94">
      <c r="A94" s="9" t="n">
        <v>93</v>
      </c>
      <c r="B94" s="9" t="inlineStr">
        <is>
          <t>Грамматика</t>
        </is>
      </c>
      <c r="C94" s="9" t="inlineStr">
        <is>
          <t>Глаголы: времена</t>
        </is>
      </c>
      <c r="D94" s="10" t="inlineStr">
        <is>
          <t>Past Continuous</t>
        </is>
      </c>
      <c r="E94" s="9" t="inlineStr">
        <is>
          <t>Past Continuous: опущение второго was/were при одном подлежащем</t>
        </is>
      </c>
      <c r="F94" s="9" t="inlineStr">
        <is>
          <t>10+</t>
        </is>
      </c>
      <c r="G94" s="9" t="inlineStr"/>
      <c r="H94" s="9" t="inlineStr"/>
      <c r="I94" s="9" t="inlineStr"/>
      <c r="J94" s="9" t="inlineStr"/>
      <c r="K94" s="15" t="inlineStr">
        <is>
          <t>М4 · новое</t>
        </is>
      </c>
      <c r="L94" s="9" t="inlineStr"/>
      <c r="M94" s="9" t="inlineStr"/>
      <c r="N94" s="9" t="inlineStr"/>
      <c r="O94" s="9" t="inlineStr"/>
      <c r="P94" s="16" t="inlineStr">
        <is>
          <t>—</t>
        </is>
      </c>
      <c r="Q94" s="17" t="inlineStr"/>
      <c r="R94" s="13" t="inlineStr">
        <is>
          <t>нет</t>
        </is>
      </c>
      <c r="S94" s="9" t="inlineStr"/>
      <c r="T94" s="9" t="inlineStr"/>
    </row>
    <row r="95">
      <c r="A95" s="4" t="n">
        <v>94</v>
      </c>
      <c r="B95" s="4" t="inlineStr">
        <is>
          <t>Грамматика</t>
        </is>
      </c>
      <c r="C95" s="4" t="inlineStr">
        <is>
          <t>Глаголы: времена</t>
        </is>
      </c>
      <c r="D95" s="5" t="inlineStr">
        <is>
          <t>Past Simple vs Past Continuous</t>
        </is>
      </c>
      <c r="E95" s="4" t="inlineStr">
        <is>
          <t>Past Simple vs Past Continuous: указанное время — завершённое vs в процессе</t>
        </is>
      </c>
      <c r="F95" s="4" t="inlineStr">
        <is>
          <t>10+</t>
        </is>
      </c>
      <c r="G95" s="4" t="inlineStr"/>
      <c r="H95" s="4" t="inlineStr"/>
      <c r="I95" s="4" t="inlineStr"/>
      <c r="J95" s="4" t="inlineStr"/>
      <c r="K95" s="18" t="inlineStr">
        <is>
          <t>М4 · новое</t>
        </is>
      </c>
      <c r="L95" s="7" t="inlineStr">
        <is>
          <t>М1 (1c) · повт.</t>
        </is>
      </c>
      <c r="M95" s="7" t="inlineStr">
        <is>
          <t>М3 (3c) · повт.</t>
        </is>
      </c>
      <c r="N95" s="7" t="inlineStr">
        <is>
          <t>М5 (5c) · повт.</t>
        </is>
      </c>
      <c r="O95" s="7" t="inlineStr">
        <is>
          <t>М1 (1c) · повт.</t>
        </is>
      </c>
      <c r="P95" s="19" t="inlineStr">
        <is>
          <t>—</t>
        </is>
      </c>
      <c r="Q95" s="20" t="inlineStr"/>
      <c r="R95" s="8" t="inlineStr">
        <is>
          <t>нет</t>
        </is>
      </c>
      <c r="S95" s="4" t="inlineStr"/>
      <c r="T95" s="4" t="inlineStr"/>
    </row>
    <row r="96">
      <c r="A96" s="9" t="n">
        <v>95</v>
      </c>
      <c r="B96" s="9" t="inlineStr">
        <is>
          <t>Грамматика</t>
        </is>
      </c>
      <c r="C96" s="9" t="inlineStr">
        <is>
          <t>Глаголы: времена</t>
        </is>
      </c>
      <c r="D96" s="10" t="inlineStr">
        <is>
          <t>Past Simple vs Past Continuous</t>
        </is>
      </c>
      <c r="E96" s="9" t="inlineStr">
        <is>
          <t>Past Simple vs Past Continuous: последовательные vs одновременные действия</t>
        </is>
      </c>
      <c r="F96" s="9" t="inlineStr">
        <is>
          <t>10+</t>
        </is>
      </c>
      <c r="G96" s="9" t="inlineStr"/>
      <c r="H96" s="9" t="inlineStr"/>
      <c r="I96" s="9" t="inlineStr"/>
      <c r="J96" s="9" t="inlineStr"/>
      <c r="K96" s="15" t="inlineStr">
        <is>
          <t>М4 · новое</t>
        </is>
      </c>
      <c r="L96" s="12" t="inlineStr">
        <is>
          <t>М1 (1c) · повт.</t>
        </is>
      </c>
      <c r="M96" s="12" t="inlineStr">
        <is>
          <t>М3 (3c) · повт.</t>
        </is>
      </c>
      <c r="N96" s="12" t="inlineStr">
        <is>
          <t>М5 (5c) · повт.</t>
        </is>
      </c>
      <c r="O96" s="12" t="inlineStr">
        <is>
          <t>М1 (1c) · повт.</t>
        </is>
      </c>
      <c r="P96" s="16" t="inlineStr">
        <is>
          <t>—</t>
        </is>
      </c>
      <c r="Q96" s="17" t="inlineStr"/>
      <c r="R96" s="13" t="inlineStr">
        <is>
          <t>нет</t>
        </is>
      </c>
      <c r="S96" s="9" t="inlineStr"/>
      <c r="T96" s="9" t="inlineStr"/>
    </row>
    <row r="97">
      <c r="A97" s="9" t="n">
        <v>96</v>
      </c>
      <c r="B97" s="9" t="inlineStr">
        <is>
          <t>Грамматика</t>
        </is>
      </c>
      <c r="C97" s="9" t="inlineStr">
        <is>
          <t>Глаголы: времена</t>
        </is>
      </c>
      <c r="D97" s="10" t="inlineStr">
        <is>
          <t>Past Simple vs Past Continuous</t>
        </is>
      </c>
      <c r="E97" s="9" t="inlineStr">
        <is>
          <t>Past Simple vs Past Continuous: прерванное (PC) и прерывающее (PS) действие</t>
        </is>
      </c>
      <c r="F97" s="9" t="inlineStr">
        <is>
          <t>10+</t>
        </is>
      </c>
      <c r="G97" s="9" t="inlineStr"/>
      <c r="H97" s="9" t="inlineStr"/>
      <c r="I97" s="9" t="inlineStr"/>
      <c r="J97" s="9" t="inlineStr"/>
      <c r="K97" s="15" t="inlineStr">
        <is>
          <t>М4 · новое</t>
        </is>
      </c>
      <c r="L97" s="12" t="inlineStr">
        <is>
          <t>М1 (1c) · повт.</t>
        </is>
      </c>
      <c r="M97" s="12" t="inlineStr">
        <is>
          <t>М3 (3c) · повт.</t>
        </is>
      </c>
      <c r="N97" s="12" t="inlineStr">
        <is>
          <t>М5 (5c) · повт.</t>
        </is>
      </c>
      <c r="O97" s="12" t="inlineStr">
        <is>
          <t>М1 (1c) · повт.</t>
        </is>
      </c>
      <c r="P97" s="16" t="inlineStr">
        <is>
          <t>—</t>
        </is>
      </c>
      <c r="Q97" s="17" t="inlineStr"/>
      <c r="R97" s="13" t="inlineStr">
        <is>
          <t>нет</t>
        </is>
      </c>
      <c r="S97" s="9" t="inlineStr"/>
      <c r="T97" s="9" t="inlineStr"/>
    </row>
    <row r="98">
      <c r="A98" s="4" t="n">
        <v>97</v>
      </c>
      <c r="B98" s="4" t="inlineStr">
        <is>
          <t>Грамматика</t>
        </is>
      </c>
      <c r="C98" s="4" t="inlineStr">
        <is>
          <t>Глаголы: времена</t>
        </is>
      </c>
      <c r="D98" s="5" t="inlineStr">
        <is>
          <t>Present Perfect Continuous</t>
        </is>
      </c>
      <c r="E98" s="4" t="inlineStr">
        <is>
          <t>Present Perfect Continuous: образование (have/has been + V-ing)</t>
        </is>
      </c>
      <c r="F98" s="4" t="inlineStr">
        <is>
          <t>10+</t>
        </is>
      </c>
      <c r="G98" s="4" t="inlineStr"/>
      <c r="H98" s="4" t="inlineStr"/>
      <c r="I98" s="4" t="inlineStr"/>
      <c r="J98" s="4" t="inlineStr"/>
      <c r="K98" s="4" t="inlineStr"/>
      <c r="L98" s="18" t="inlineStr">
        <is>
          <t>М2 (2c) · новое</t>
        </is>
      </c>
      <c r="M98" s="7" t="inlineStr">
        <is>
          <t>М1 (1c) · повт.</t>
        </is>
      </c>
      <c r="N98" s="7" t="inlineStr">
        <is>
          <t>М1 (1c) · повт.</t>
        </is>
      </c>
      <c r="O98" s="7" t="inlineStr">
        <is>
          <t>М1 (1c) · повт.</t>
        </is>
      </c>
      <c r="P98" s="19" t="inlineStr">
        <is>
          <t>—</t>
        </is>
      </c>
      <c r="Q98" s="20" t="inlineStr"/>
      <c r="R98" s="8" t="inlineStr">
        <is>
          <t>нет</t>
        </is>
      </c>
      <c r="S98" s="4" t="inlineStr"/>
      <c r="T98" s="4" t="inlineStr"/>
    </row>
    <row r="99">
      <c r="A99" s="9" t="n">
        <v>98</v>
      </c>
      <c r="B99" s="9" t="inlineStr">
        <is>
          <t>Грамматика</t>
        </is>
      </c>
      <c r="C99" s="9" t="inlineStr">
        <is>
          <t>Глаголы: времена</t>
        </is>
      </c>
      <c r="D99" s="10" t="inlineStr">
        <is>
          <t>Present Perfect Continuous</t>
        </is>
      </c>
      <c r="E99" s="9" t="inlineStr">
        <is>
          <t>Present Perfect Continuous: значение — длительность до настоящего (since/for/how long)</t>
        </is>
      </c>
      <c r="F99" s="9" t="inlineStr">
        <is>
          <t>10+</t>
        </is>
      </c>
      <c r="G99" s="9" t="inlineStr"/>
      <c r="H99" s="9" t="inlineStr"/>
      <c r="I99" s="9" t="inlineStr"/>
      <c r="J99" s="9" t="inlineStr"/>
      <c r="K99" s="15" t="inlineStr">
        <is>
          <t>М8 · новое</t>
        </is>
      </c>
      <c r="L99" s="12" t="inlineStr">
        <is>
          <t>М2 (2c) · повт.</t>
        </is>
      </c>
      <c r="M99" s="12" t="inlineStr">
        <is>
          <t>М1 (1c) · повт.</t>
        </is>
      </c>
      <c r="N99" s="12" t="inlineStr">
        <is>
          <t>М1 (1c) · повт.</t>
        </is>
      </c>
      <c r="O99" s="12" t="inlineStr">
        <is>
          <t>М1 (1c) · повт.</t>
        </is>
      </c>
      <c r="P99" s="16" t="inlineStr">
        <is>
          <t>—</t>
        </is>
      </c>
      <c r="Q99" s="17" t="inlineStr"/>
      <c r="R99" s="13" t="inlineStr">
        <is>
          <t>нет</t>
        </is>
      </c>
      <c r="S99" s="9" t="inlineStr"/>
      <c r="T99" s="9" t="inlineStr"/>
    </row>
    <row r="100">
      <c r="A100" s="9" t="n">
        <v>99</v>
      </c>
      <c r="B100" s="9" t="inlineStr">
        <is>
          <t>Грамматика</t>
        </is>
      </c>
      <c r="C100" s="9" t="inlineStr">
        <is>
          <t>Глаголы: времена</t>
        </is>
      </c>
      <c r="D100" s="10" t="inlineStr">
        <is>
          <t>Present Perfect Continuous</t>
        </is>
      </c>
      <c r="E100" s="9" t="inlineStr">
        <is>
          <t>Present Perfect Continuous: значение — видимый результат длительного действия</t>
        </is>
      </c>
      <c r="F100" s="9" t="inlineStr">
        <is>
          <t>10+</t>
        </is>
      </c>
      <c r="G100" s="9" t="inlineStr"/>
      <c r="H100" s="9" t="inlineStr"/>
      <c r="I100" s="9" t="inlineStr"/>
      <c r="J100" s="9" t="inlineStr"/>
      <c r="K100" s="15" t="inlineStr">
        <is>
          <t>М8 · новое</t>
        </is>
      </c>
      <c r="L100" s="12" t="inlineStr">
        <is>
          <t>М2 (2c) · повт.</t>
        </is>
      </c>
      <c r="M100" s="12" t="inlineStr">
        <is>
          <t>М1 (1c) · повт.</t>
        </is>
      </c>
      <c r="N100" s="12" t="inlineStr">
        <is>
          <t>М1 (1c) · повт.</t>
        </is>
      </c>
      <c r="O100" s="12" t="inlineStr">
        <is>
          <t>М1 (1c) · повт.</t>
        </is>
      </c>
      <c r="P100" s="16" t="inlineStr">
        <is>
          <t>—</t>
        </is>
      </c>
      <c r="Q100" s="17" t="inlineStr"/>
      <c r="R100" s="13" t="inlineStr">
        <is>
          <t>нет</t>
        </is>
      </c>
      <c r="S100" s="9" t="inlineStr"/>
      <c r="T100" s="9" t="inlineStr"/>
    </row>
    <row r="101">
      <c r="A101" s="9" t="n">
        <v>100</v>
      </c>
      <c r="B101" s="9" t="inlineStr">
        <is>
          <t>Грамматика</t>
        </is>
      </c>
      <c r="C101" s="9" t="inlineStr">
        <is>
          <t>Глаголы: времена</t>
        </is>
      </c>
      <c r="D101" s="10" t="inlineStr">
        <is>
          <t>Present Perfect Continuous</t>
        </is>
      </c>
      <c r="E101" s="9" t="inlineStr">
        <is>
          <t>Present Perfect Continuous: значение — раздражение/критика</t>
        </is>
      </c>
      <c r="F101" s="9" t="inlineStr">
        <is>
          <t>10+</t>
        </is>
      </c>
      <c r="G101" s="9" t="inlineStr"/>
      <c r="H101" s="9" t="inlineStr"/>
      <c r="I101" s="9" t="inlineStr"/>
      <c r="J101" s="9" t="inlineStr"/>
      <c r="K101" s="9" t="inlineStr"/>
      <c r="L101" s="9" t="inlineStr"/>
      <c r="M101" s="15" t="inlineStr">
        <is>
          <t>М1 (1c) · новое</t>
        </is>
      </c>
      <c r="N101" s="12" t="inlineStr">
        <is>
          <t>М1 (1c) · повт.</t>
        </is>
      </c>
      <c r="O101" s="12" t="inlineStr">
        <is>
          <t>М1 (1c) · повт.</t>
        </is>
      </c>
      <c r="P101" s="16" t="inlineStr">
        <is>
          <t>—</t>
        </is>
      </c>
      <c r="Q101" s="17" t="inlineStr"/>
      <c r="R101" s="13" t="inlineStr">
        <is>
          <t>нет</t>
        </is>
      </c>
      <c r="S101" s="9" t="inlineStr"/>
      <c r="T101" s="9" t="inlineStr"/>
    </row>
    <row r="102">
      <c r="A102" s="9" t="n">
        <v>101</v>
      </c>
      <c r="B102" s="9" t="inlineStr">
        <is>
          <t>Грамматика</t>
        </is>
      </c>
      <c r="C102" s="9" t="inlineStr">
        <is>
          <t>Глаголы: времена</t>
        </is>
      </c>
      <c r="D102" s="10" t="inlineStr">
        <is>
          <t>Present Perfect Continuous</t>
        </is>
      </c>
      <c r="E102" s="9" t="inlineStr">
        <is>
          <t>Present Perfect Continuous: значение — повторяющиеся действия до настоящего</t>
        </is>
      </c>
      <c r="F102" s="9" t="inlineStr">
        <is>
          <t>10+</t>
        </is>
      </c>
      <c r="G102" s="9" t="inlineStr"/>
      <c r="H102" s="9" t="inlineStr"/>
      <c r="I102" s="9" t="inlineStr"/>
      <c r="J102" s="9" t="inlineStr"/>
      <c r="K102" s="9" t="inlineStr"/>
      <c r="L102" s="9" t="inlineStr"/>
      <c r="M102" s="15" t="inlineStr">
        <is>
          <t>М1 (1c) · новое</t>
        </is>
      </c>
      <c r="N102" s="12" t="inlineStr">
        <is>
          <t>М1 (1c) · повт.</t>
        </is>
      </c>
      <c r="O102" s="12" t="inlineStr">
        <is>
          <t>М1 (1c) · повт.</t>
        </is>
      </c>
      <c r="P102" s="16" t="inlineStr">
        <is>
          <t>—</t>
        </is>
      </c>
      <c r="Q102" s="17" t="inlineStr"/>
      <c r="R102" s="13" t="inlineStr">
        <is>
          <t>нет</t>
        </is>
      </c>
      <c r="S102" s="9" t="inlineStr"/>
      <c r="T102" s="9" t="inlineStr"/>
    </row>
    <row r="103">
      <c r="A103" s="9" t="n">
        <v>102</v>
      </c>
      <c r="B103" s="9" t="inlineStr">
        <is>
          <t>Грамматика</t>
        </is>
      </c>
      <c r="C103" s="9" t="inlineStr">
        <is>
          <t>Глаголы: времена</t>
        </is>
      </c>
      <c r="D103" s="10" t="inlineStr">
        <is>
          <t>Present Perfect Continuous</t>
        </is>
      </c>
      <c r="E103" s="9" t="inlineStr">
        <is>
          <t>Present Perfect Continuous: live/work/teach/feel — без разницы с Present Perfect</t>
        </is>
      </c>
      <c r="F103" s="9" t="inlineStr">
        <is>
          <t>10+</t>
        </is>
      </c>
      <c r="G103" s="9" t="inlineStr"/>
      <c r="H103" s="9" t="inlineStr"/>
      <c r="I103" s="9" t="inlineStr"/>
      <c r="J103" s="9" t="inlineStr"/>
      <c r="K103" s="15" t="inlineStr">
        <is>
          <t>М8 · новое</t>
        </is>
      </c>
      <c r="L103" s="9" t="inlineStr"/>
      <c r="M103" s="9" t="inlineStr"/>
      <c r="N103" s="9" t="inlineStr"/>
      <c r="O103" s="9" t="inlineStr"/>
      <c r="P103" s="16" t="inlineStr">
        <is>
          <t>—</t>
        </is>
      </c>
      <c r="Q103" s="17" t="inlineStr"/>
      <c r="R103" s="13" t="inlineStr">
        <is>
          <t>нет</t>
        </is>
      </c>
      <c r="S103" s="9" t="inlineStr"/>
      <c r="T103" s="9" t="inlineStr"/>
    </row>
    <row r="104">
      <c r="A104" s="4" t="n">
        <v>103</v>
      </c>
      <c r="B104" s="4" t="inlineStr">
        <is>
          <t>Грамматика</t>
        </is>
      </c>
      <c r="C104" s="4" t="inlineStr">
        <is>
          <t>Глаголы: времена</t>
        </is>
      </c>
      <c r="D104" s="5" t="inlineStr">
        <is>
          <t>Present Perfect vs Past Simple</t>
        </is>
      </c>
      <c r="E104" s="4" t="inlineStr">
        <is>
          <t>Present Perfect vs Past Simple: указанное время vs неуказанное время</t>
        </is>
      </c>
      <c r="F104" s="4" t="inlineStr">
        <is>
          <t>10+</t>
        </is>
      </c>
      <c r="G104" s="4" t="inlineStr"/>
      <c r="H104" s="4" t="inlineStr"/>
      <c r="I104" s="4" t="inlineStr"/>
      <c r="J104" s="4" t="inlineStr"/>
      <c r="K104" s="18" t="inlineStr">
        <is>
          <t>М7 · новое</t>
        </is>
      </c>
      <c r="L104" s="7" t="inlineStr">
        <is>
          <t>М2 (2c) · повт.</t>
        </is>
      </c>
      <c r="M104" s="7" t="inlineStr">
        <is>
          <t>М1 (1c) · повт.</t>
        </is>
      </c>
      <c r="N104" s="7" t="inlineStr">
        <is>
          <t>М1 (1c) · повт.</t>
        </is>
      </c>
      <c r="O104" s="7" t="inlineStr">
        <is>
          <t>М1 (1c) · повт.</t>
        </is>
      </c>
      <c r="P104" s="19" t="inlineStr">
        <is>
          <t>—</t>
        </is>
      </c>
      <c r="Q104" s="20" t="inlineStr"/>
      <c r="R104" s="8" t="inlineStr">
        <is>
          <t>нет</t>
        </is>
      </c>
      <c r="S104" s="4" t="inlineStr"/>
      <c r="T104" s="4" t="inlineStr"/>
    </row>
    <row r="105">
      <c r="A105" s="9" t="n">
        <v>104</v>
      </c>
      <c r="B105" s="9" t="inlineStr">
        <is>
          <t>Грамматика</t>
        </is>
      </c>
      <c r="C105" s="9" t="inlineStr">
        <is>
          <t>Глаголы: времена</t>
        </is>
      </c>
      <c r="D105" s="10" t="inlineStr">
        <is>
          <t>Present Perfect vs Past Simple</t>
        </is>
      </c>
      <c r="E105" s="9" t="inlineStr">
        <is>
          <t>Present Perfect vs Past Simple: закончилось в прошлом vs длится до сих пор</t>
        </is>
      </c>
      <c r="F105" s="9" t="inlineStr">
        <is>
          <t>10+</t>
        </is>
      </c>
      <c r="G105" s="9" t="inlineStr"/>
      <c r="H105" s="9" t="inlineStr"/>
      <c r="I105" s="9" t="inlineStr"/>
      <c r="J105" s="9" t="inlineStr"/>
      <c r="K105" s="15" t="inlineStr">
        <is>
          <t>М7 · новое</t>
        </is>
      </c>
      <c r="L105" s="12" t="inlineStr">
        <is>
          <t>М2 (2c) · повт.</t>
        </is>
      </c>
      <c r="M105" s="12" t="inlineStr">
        <is>
          <t>М1 (1c) · повт.</t>
        </is>
      </c>
      <c r="N105" s="12" t="inlineStr">
        <is>
          <t>М1 (1c) · повт.</t>
        </is>
      </c>
      <c r="O105" s="12" t="inlineStr">
        <is>
          <t>М1 (1c) · повт.</t>
        </is>
      </c>
      <c r="P105" s="16" t="inlineStr">
        <is>
          <t>—</t>
        </is>
      </c>
      <c r="Q105" s="17" t="inlineStr"/>
      <c r="R105" s="13" t="inlineStr">
        <is>
          <t>нет</t>
        </is>
      </c>
      <c r="S105" s="9" t="inlineStr"/>
      <c r="T105" s="9" t="inlineStr"/>
    </row>
    <row r="106">
      <c r="A106" s="4" t="n">
        <v>105</v>
      </c>
      <c r="B106" s="4" t="inlineStr">
        <is>
          <t>Грамматика</t>
        </is>
      </c>
      <c r="C106" s="4" t="inlineStr">
        <is>
          <t>Глаголы: времена</t>
        </is>
      </c>
      <c r="D106" s="5" t="inlineStr">
        <is>
          <t>Present Perfect vs Present Perfect Continuous</t>
        </is>
      </c>
      <c r="E106" s="4" t="inlineStr">
        <is>
          <t>Present Perfect vs Present Perfect Continuous: результат vs длительность</t>
        </is>
      </c>
      <c r="F106" s="4" t="inlineStr">
        <is>
          <t>10+</t>
        </is>
      </c>
      <c r="G106" s="4" t="inlineStr"/>
      <c r="H106" s="4" t="inlineStr"/>
      <c r="I106" s="4" t="inlineStr"/>
      <c r="J106" s="4" t="inlineStr"/>
      <c r="K106" s="18" t="inlineStr">
        <is>
          <t>М9 · новое</t>
        </is>
      </c>
      <c r="L106" s="4" t="inlineStr"/>
      <c r="M106" s="4" t="inlineStr"/>
      <c r="N106" s="4" t="inlineStr"/>
      <c r="O106" s="4" t="inlineStr"/>
      <c r="P106" s="19" t="inlineStr">
        <is>
          <t>—</t>
        </is>
      </c>
      <c r="Q106" s="20" t="inlineStr"/>
      <c r="R106" s="8" t="inlineStr">
        <is>
          <t>нет</t>
        </is>
      </c>
      <c r="S106" s="4" t="inlineStr"/>
      <c r="T106" s="4" t="inlineStr"/>
    </row>
    <row r="107">
      <c r="A107" s="9" t="n">
        <v>106</v>
      </c>
      <c r="B107" s="9" t="inlineStr">
        <is>
          <t>Грамматика</t>
        </is>
      </c>
      <c r="C107" s="9" t="inlineStr">
        <is>
          <t>Глаголы: времена</t>
        </is>
      </c>
      <c r="D107" s="10" t="inlineStr">
        <is>
          <t>Present Perfect vs Present Perfect Continuous</t>
        </is>
      </c>
      <c r="E107" s="9" t="inlineStr">
        <is>
          <t>Present Perfect vs Present Perfect Continuous: stative verbs — только Present Perfect</t>
        </is>
      </c>
      <c r="F107" s="9" t="inlineStr">
        <is>
          <t>10+</t>
        </is>
      </c>
      <c r="G107" s="9" t="inlineStr"/>
      <c r="H107" s="9" t="inlineStr"/>
      <c r="I107" s="9" t="inlineStr"/>
      <c r="J107" s="9" t="inlineStr"/>
      <c r="K107" s="15" t="inlineStr">
        <is>
          <t>М9 · новое</t>
        </is>
      </c>
      <c r="L107" s="9" t="inlineStr"/>
      <c r="M107" s="9" t="inlineStr"/>
      <c r="N107" s="9" t="inlineStr"/>
      <c r="O107" s="9" t="inlineStr"/>
      <c r="P107" s="16" t="inlineStr">
        <is>
          <t>—</t>
        </is>
      </c>
      <c r="Q107" s="17" t="inlineStr"/>
      <c r="R107" s="13" t="inlineStr">
        <is>
          <t>нет</t>
        </is>
      </c>
      <c r="S107" s="9" t="inlineStr"/>
      <c r="T107" s="9" t="inlineStr"/>
    </row>
    <row r="108">
      <c r="A108" s="9" t="n">
        <v>107</v>
      </c>
      <c r="B108" s="9" t="inlineStr">
        <is>
          <t>Грамматика</t>
        </is>
      </c>
      <c r="C108" s="9" t="inlineStr">
        <is>
          <t>Глаголы: времена</t>
        </is>
      </c>
      <c r="D108" s="10" t="inlineStr">
        <is>
          <t>Present Perfect vs Present Perfect Continuous</t>
        </is>
      </c>
      <c r="E108" s="9" t="inlineStr">
        <is>
          <t>Present Perfect vs Present Perfect Continuous: результат завершённого действия vs следы процесса</t>
        </is>
      </c>
      <c r="F108" s="9" t="inlineStr">
        <is>
          <t>10+</t>
        </is>
      </c>
      <c r="G108" s="9" t="inlineStr"/>
      <c r="H108" s="9" t="inlineStr"/>
      <c r="I108" s="9" t="inlineStr"/>
      <c r="J108" s="9" t="inlineStr"/>
      <c r="K108" s="15" t="inlineStr">
        <is>
          <t>М9 · новое</t>
        </is>
      </c>
      <c r="L108" s="9" t="inlineStr"/>
      <c r="M108" s="9" t="inlineStr"/>
      <c r="N108" s="9" t="inlineStr"/>
      <c r="O108" s="9" t="inlineStr"/>
      <c r="P108" s="16" t="inlineStr">
        <is>
          <t>—</t>
        </is>
      </c>
      <c r="Q108" s="17" t="inlineStr"/>
      <c r="R108" s="13" t="inlineStr">
        <is>
          <t>нет</t>
        </is>
      </c>
      <c r="S108" s="9" t="inlineStr"/>
      <c r="T108" s="9" t="inlineStr"/>
    </row>
    <row r="109">
      <c r="A109" s="9" t="n">
        <v>108</v>
      </c>
      <c r="B109" s="9" t="inlineStr">
        <is>
          <t>Грамматика</t>
        </is>
      </c>
      <c r="C109" s="9" t="inlineStr">
        <is>
          <t>Глаголы: времена</t>
        </is>
      </c>
      <c r="D109" s="10" t="inlineStr">
        <is>
          <t>Present Perfect vs Present Perfect Continuous</t>
        </is>
      </c>
      <c r="E109" s="9" t="inlineStr">
        <is>
          <t>Present Perfect vs Present Perfect Continuous: эмоциональная окраска Continuous (раздражение)</t>
        </is>
      </c>
      <c r="F109" s="9" t="inlineStr">
        <is>
          <t>10+</t>
        </is>
      </c>
      <c r="G109" s="9" t="inlineStr"/>
      <c r="H109" s="9" t="inlineStr"/>
      <c r="I109" s="9" t="inlineStr"/>
      <c r="J109" s="9" t="inlineStr"/>
      <c r="K109" s="15" t="inlineStr">
        <is>
          <t>М9 · новое</t>
        </is>
      </c>
      <c r="L109" s="9" t="inlineStr"/>
      <c r="M109" s="9" t="inlineStr"/>
      <c r="N109" s="9" t="inlineStr"/>
      <c r="O109" s="9" t="inlineStr"/>
      <c r="P109" s="16" t="inlineStr">
        <is>
          <t>—</t>
        </is>
      </c>
      <c r="Q109" s="17" t="inlineStr"/>
      <c r="R109" s="13" t="inlineStr">
        <is>
          <t>нет</t>
        </is>
      </c>
      <c r="S109" s="9" t="inlineStr"/>
      <c r="T109" s="9" t="inlineStr"/>
    </row>
    <row r="110">
      <c r="A110" s="4" t="n">
        <v>109</v>
      </c>
      <c r="B110" s="4" t="inlineStr">
        <is>
          <t>Грамматика</t>
        </is>
      </c>
      <c r="C110" s="4" t="inlineStr">
        <is>
          <t>Глаголы: времена</t>
        </is>
      </c>
      <c r="D110" s="5" t="inlineStr">
        <is>
          <t>Past Perfect</t>
        </is>
      </c>
      <c r="E110" s="4" t="inlineStr">
        <is>
          <t>Past Perfect: образование (had + V3)</t>
        </is>
      </c>
      <c r="F110" s="4" t="inlineStr">
        <is>
          <t>10+</t>
        </is>
      </c>
      <c r="G110" s="4" t="inlineStr"/>
      <c r="H110" s="4" t="inlineStr"/>
      <c r="I110" s="4" t="inlineStr"/>
      <c r="J110" s="4" t="inlineStr"/>
      <c r="K110" s="4" t="inlineStr"/>
      <c r="L110" s="18" t="inlineStr">
        <is>
          <t>М3 (3c) · новое</t>
        </is>
      </c>
      <c r="M110" s="7" t="inlineStr">
        <is>
          <t>М3 (3c) · повт.</t>
        </is>
      </c>
      <c r="N110" s="7" t="inlineStr">
        <is>
          <t>М5 (5c) · повт.</t>
        </is>
      </c>
      <c r="O110" s="4" t="inlineStr"/>
      <c r="P110" s="19" t="inlineStr">
        <is>
          <t>—</t>
        </is>
      </c>
      <c r="Q110" s="20" t="inlineStr"/>
      <c r="R110" s="8" t="inlineStr">
        <is>
          <t>нет</t>
        </is>
      </c>
      <c r="S110" s="4" t="inlineStr"/>
      <c r="T110" s="4" t="inlineStr"/>
    </row>
    <row r="111">
      <c r="A111" s="9" t="n">
        <v>110</v>
      </c>
      <c r="B111" s="9" t="inlineStr">
        <is>
          <t>Грамматика</t>
        </is>
      </c>
      <c r="C111" s="9" t="inlineStr">
        <is>
          <t>Глаголы: времена</t>
        </is>
      </c>
      <c r="D111" s="10" t="inlineStr">
        <is>
          <t>Past Perfect</t>
        </is>
      </c>
      <c r="E111" s="9" t="inlineStr">
        <is>
          <t>Past Perfect: значение — действие до другого действия/момента в прошлом</t>
        </is>
      </c>
      <c r="F111" s="9" t="inlineStr">
        <is>
          <t>10+</t>
        </is>
      </c>
      <c r="G111" s="9" t="inlineStr"/>
      <c r="H111" s="9" t="inlineStr"/>
      <c r="I111" s="9" t="inlineStr"/>
      <c r="J111" s="9" t="inlineStr"/>
      <c r="K111" s="9" t="inlineStr"/>
      <c r="L111" s="15" t="inlineStr">
        <is>
          <t>М3 (3c) · новое</t>
        </is>
      </c>
      <c r="M111" s="12" t="inlineStr">
        <is>
          <t>М3 (3c) · повт.</t>
        </is>
      </c>
      <c r="N111" s="14" t="inlineStr">
        <is>
          <t>М5 (5c) · расш.</t>
        </is>
      </c>
      <c r="O111" s="9" t="inlineStr"/>
      <c r="P111" s="16" t="inlineStr">
        <is>
          <t>—</t>
        </is>
      </c>
      <c r="Q111" s="17" t="inlineStr"/>
      <c r="R111" s="13" t="inlineStr">
        <is>
          <t>нет</t>
        </is>
      </c>
      <c r="S111" s="9" t="inlineStr"/>
      <c r="T111" s="9" t="inlineStr"/>
    </row>
    <row r="112">
      <c r="A112" s="9" t="n">
        <v>111</v>
      </c>
      <c r="B112" s="9" t="inlineStr">
        <is>
          <t>Грамматика</t>
        </is>
      </c>
      <c r="C112" s="9" t="inlineStr">
        <is>
          <t>Глаголы: времена</t>
        </is>
      </c>
      <c r="D112" s="10" t="inlineStr">
        <is>
          <t>Past Perfect</t>
        </is>
      </c>
      <c r="E112" s="9" t="inlineStr">
        <is>
          <t>Past Perfect: значение — завершённое действие с результатом в прошлом</t>
        </is>
      </c>
      <c r="F112" s="9" t="inlineStr">
        <is>
          <t>10+</t>
        </is>
      </c>
      <c r="G112" s="9" t="inlineStr"/>
      <c r="H112" s="9" t="inlineStr"/>
      <c r="I112" s="9" t="inlineStr"/>
      <c r="J112" s="9" t="inlineStr"/>
      <c r="K112" s="9" t="inlineStr"/>
      <c r="L112" s="15" t="inlineStr">
        <is>
          <t>М3 (3c) · новое</t>
        </is>
      </c>
      <c r="M112" s="12" t="inlineStr">
        <is>
          <t>М3 (3c) · повт.</t>
        </is>
      </c>
      <c r="N112" s="12" t="inlineStr">
        <is>
          <t>М5 (5c) · повт.</t>
        </is>
      </c>
      <c r="O112" s="9" t="inlineStr"/>
      <c r="P112" s="16" t="inlineStr">
        <is>
          <t>—</t>
        </is>
      </c>
      <c r="Q112" s="17" t="inlineStr"/>
      <c r="R112" s="13" t="inlineStr">
        <is>
          <t>нет</t>
        </is>
      </c>
      <c r="S112" s="9" t="inlineStr"/>
      <c r="T112" s="9" t="inlineStr"/>
    </row>
    <row r="113">
      <c r="A113" s="9" t="n">
        <v>112</v>
      </c>
      <c r="B113" s="9" t="inlineStr">
        <is>
          <t>Грамматика</t>
        </is>
      </c>
      <c r="C113" s="9" t="inlineStr">
        <is>
          <t>Глаголы: времена</t>
        </is>
      </c>
      <c r="D113" s="10" t="inlineStr">
        <is>
          <t>Past Perfect</t>
        </is>
      </c>
      <c r="E113" s="9" t="inlineStr">
        <is>
          <t>Past Perfect vs Past Simple: с before/after без разницы</t>
        </is>
      </c>
      <c r="F113" s="9" t="inlineStr">
        <is>
          <t>10+</t>
        </is>
      </c>
      <c r="G113" s="9" t="inlineStr"/>
      <c r="H113" s="9" t="inlineStr"/>
      <c r="I113" s="9" t="inlineStr"/>
      <c r="J113" s="9" t="inlineStr"/>
      <c r="K113" s="9" t="inlineStr"/>
      <c r="L113" s="9" t="inlineStr"/>
      <c r="M113" s="9" t="inlineStr"/>
      <c r="N113" s="15" t="inlineStr">
        <is>
          <t>М5 (5c) · новое</t>
        </is>
      </c>
      <c r="O113" s="9" t="inlineStr"/>
      <c r="P113" s="16" t="inlineStr">
        <is>
          <t>—</t>
        </is>
      </c>
      <c r="Q113" s="17" t="inlineStr"/>
      <c r="R113" s="13" t="inlineStr">
        <is>
          <t>нет</t>
        </is>
      </c>
      <c r="S113" s="9" t="inlineStr"/>
      <c r="T113" s="9" t="inlineStr"/>
    </row>
    <row r="114">
      <c r="A114" s="4" t="n">
        <v>113</v>
      </c>
      <c r="B114" s="4" t="inlineStr">
        <is>
          <t>Грамматика</t>
        </is>
      </c>
      <c r="C114" s="4" t="inlineStr">
        <is>
          <t>Глаголы: времена</t>
        </is>
      </c>
      <c r="D114" s="5" t="inlineStr">
        <is>
          <t>Past Perfect Continuous</t>
        </is>
      </c>
      <c r="E114" s="4" t="inlineStr">
        <is>
          <t>Past Perfect Continuous: образование (had been + V-ing)</t>
        </is>
      </c>
      <c r="F114" s="4" t="inlineStr">
        <is>
          <t>10+</t>
        </is>
      </c>
      <c r="G114" s="4" t="inlineStr"/>
      <c r="H114" s="4" t="inlineStr"/>
      <c r="I114" s="4" t="inlineStr"/>
      <c r="J114" s="4" t="inlineStr"/>
      <c r="K114" s="4" t="inlineStr"/>
      <c r="L114" s="18" t="inlineStr">
        <is>
          <t>М3 (3c) · новое</t>
        </is>
      </c>
      <c r="M114" s="7" t="inlineStr">
        <is>
          <t>М3 (3c) · повт.</t>
        </is>
      </c>
      <c r="N114" s="7" t="inlineStr">
        <is>
          <t>М5 (5c) · повт.</t>
        </is>
      </c>
      <c r="O114" s="4" t="inlineStr"/>
      <c r="P114" s="19" t="inlineStr">
        <is>
          <t>—</t>
        </is>
      </c>
      <c r="Q114" s="20" t="inlineStr"/>
      <c r="R114" s="8" t="inlineStr">
        <is>
          <t>нет</t>
        </is>
      </c>
      <c r="S114" s="4" t="inlineStr"/>
      <c r="T114" s="4" t="inlineStr"/>
    </row>
    <row r="115">
      <c r="A115" s="9" t="n">
        <v>114</v>
      </c>
      <c r="B115" s="9" t="inlineStr">
        <is>
          <t>Грамматика</t>
        </is>
      </c>
      <c r="C115" s="9" t="inlineStr">
        <is>
          <t>Глаголы: времена</t>
        </is>
      </c>
      <c r="D115" s="10" t="inlineStr">
        <is>
          <t>Past Perfect Continuous</t>
        </is>
      </c>
      <c r="E115" s="9" t="inlineStr">
        <is>
          <t>Past Perfect Continuous: значение — длительность до другого прошлого действия</t>
        </is>
      </c>
      <c r="F115" s="9" t="inlineStr">
        <is>
          <t>10+</t>
        </is>
      </c>
      <c r="G115" s="9" t="inlineStr"/>
      <c r="H115" s="9" t="inlineStr"/>
      <c r="I115" s="9" t="inlineStr"/>
      <c r="J115" s="9" t="inlineStr"/>
      <c r="K115" s="9" t="inlineStr"/>
      <c r="L115" s="15" t="inlineStr">
        <is>
          <t>М3 (3c) · новое</t>
        </is>
      </c>
      <c r="M115" s="12" t="inlineStr">
        <is>
          <t>М3 (3c) · повт.</t>
        </is>
      </c>
      <c r="N115" s="12" t="inlineStr">
        <is>
          <t>М5 (5c) · повт.</t>
        </is>
      </c>
      <c r="O115" s="9" t="inlineStr"/>
      <c r="P115" s="16" t="inlineStr">
        <is>
          <t>—</t>
        </is>
      </c>
      <c r="Q115" s="17" t="inlineStr"/>
      <c r="R115" s="13" t="inlineStr">
        <is>
          <t>нет</t>
        </is>
      </c>
      <c r="S115" s="9" t="inlineStr"/>
      <c r="T115" s="9" t="inlineStr"/>
    </row>
    <row r="116">
      <c r="A116" s="9" t="n">
        <v>115</v>
      </c>
      <c r="B116" s="9" t="inlineStr">
        <is>
          <t>Грамматика</t>
        </is>
      </c>
      <c r="C116" s="9" t="inlineStr">
        <is>
          <t>Глаголы: времена</t>
        </is>
      </c>
      <c r="D116" s="10" t="inlineStr">
        <is>
          <t>Past Perfect Continuous</t>
        </is>
      </c>
      <c r="E116" s="9" t="inlineStr">
        <is>
          <t>Past Perfect Continuous: значение — длительное действие с видимым результатом в прошлом</t>
        </is>
      </c>
      <c r="F116" s="9" t="inlineStr">
        <is>
          <t>10+</t>
        </is>
      </c>
      <c r="G116" s="9" t="inlineStr"/>
      <c r="H116" s="9" t="inlineStr"/>
      <c r="I116" s="9" t="inlineStr"/>
      <c r="J116" s="9" t="inlineStr"/>
      <c r="K116" s="9" t="inlineStr"/>
      <c r="L116" s="15" t="inlineStr">
        <is>
          <t>М3 (3c) · новое</t>
        </is>
      </c>
      <c r="M116" s="12" t="inlineStr">
        <is>
          <t>М3 (3c) · повт.</t>
        </is>
      </c>
      <c r="N116" s="12" t="inlineStr">
        <is>
          <t>М5 (5c) · повт.</t>
        </is>
      </c>
      <c r="O116" s="9" t="inlineStr"/>
      <c r="P116" s="16" t="inlineStr">
        <is>
          <t>—</t>
        </is>
      </c>
      <c r="Q116" s="17" t="inlineStr"/>
      <c r="R116" s="13" t="inlineStr">
        <is>
          <t>нет</t>
        </is>
      </c>
      <c r="S116" s="9" t="inlineStr"/>
      <c r="T116" s="9" t="inlineStr"/>
    </row>
    <row r="117">
      <c r="A117" s="4" t="n">
        <v>116</v>
      </c>
      <c r="B117" s="4" t="inlineStr">
        <is>
          <t>Грамматика</t>
        </is>
      </c>
      <c r="C117" s="4" t="inlineStr">
        <is>
          <t>Глаголы: времена</t>
        </is>
      </c>
      <c r="D117" s="5" t="inlineStr">
        <is>
          <t>have gone to / have been to / have been in</t>
        </is>
      </c>
      <c r="E117" s="4" t="inlineStr">
        <is>
          <t>have gone to vs have been to: уехал и не вернулся vs побывал</t>
        </is>
      </c>
      <c r="F117" s="4" t="inlineStr">
        <is>
          <t>10+</t>
        </is>
      </c>
      <c r="G117" s="4" t="inlineStr"/>
      <c r="H117" s="4" t="inlineStr"/>
      <c r="I117" s="4" t="inlineStr"/>
      <c r="J117" s="4" t="inlineStr"/>
      <c r="K117" s="4" t="inlineStr"/>
      <c r="L117" s="18" t="inlineStr">
        <is>
          <t>М2 (2c) · новое</t>
        </is>
      </c>
      <c r="M117" s="7" t="inlineStr">
        <is>
          <t>М1 (1c) · повт.</t>
        </is>
      </c>
      <c r="N117" s="7" t="inlineStr">
        <is>
          <t>М1 (1c) · повт.</t>
        </is>
      </c>
      <c r="O117" s="7" t="inlineStr">
        <is>
          <t>М1 (1c) · повт.</t>
        </is>
      </c>
      <c r="P117" s="19" t="inlineStr">
        <is>
          <t>—</t>
        </is>
      </c>
      <c r="Q117" s="20" t="inlineStr"/>
      <c r="R117" s="8" t="inlineStr">
        <is>
          <t>нет</t>
        </is>
      </c>
      <c r="S117" s="4" t="inlineStr"/>
      <c r="T117" s="4" t="inlineStr"/>
    </row>
    <row r="118">
      <c r="A118" s="9" t="n">
        <v>117</v>
      </c>
      <c r="B118" s="9" t="inlineStr">
        <is>
          <t>Грамматика</t>
        </is>
      </c>
      <c r="C118" s="9" t="inlineStr">
        <is>
          <t>Глаголы: времена</t>
        </is>
      </c>
      <c r="D118" s="10" t="inlineStr">
        <is>
          <t>have gone to / have been to / have been in</t>
        </is>
      </c>
      <c r="E118" s="9" t="inlineStr">
        <is>
          <t>have been in: находится там (в течение периода)</t>
        </is>
      </c>
      <c r="F118" s="9" t="inlineStr">
        <is>
          <t>10+</t>
        </is>
      </c>
      <c r="G118" s="9" t="inlineStr"/>
      <c r="H118" s="9" t="inlineStr"/>
      <c r="I118" s="9" t="inlineStr"/>
      <c r="J118" s="9" t="inlineStr"/>
      <c r="K118" s="9" t="inlineStr"/>
      <c r="L118" s="15" t="inlineStr">
        <is>
          <t>М2 (2c) · новое</t>
        </is>
      </c>
      <c r="M118" s="12" t="inlineStr">
        <is>
          <t>М1 (1c) · повт.</t>
        </is>
      </c>
      <c r="N118" s="12" t="inlineStr">
        <is>
          <t>М1 (1c) · повт.</t>
        </is>
      </c>
      <c r="O118" s="12" t="inlineStr">
        <is>
          <t>М1 (1c) · повт.</t>
        </is>
      </c>
      <c r="P118" s="16" t="inlineStr">
        <is>
          <t>—</t>
        </is>
      </c>
      <c r="Q118" s="17" t="inlineStr"/>
      <c r="R118" s="13" t="inlineStr">
        <is>
          <t>нет</t>
        </is>
      </c>
      <c r="S118" s="9" t="inlineStr"/>
      <c r="T118" s="9" t="inlineStr"/>
    </row>
    <row r="119">
      <c r="A119" s="4" t="n">
        <v>118</v>
      </c>
      <c r="B119" s="4" t="inlineStr">
        <is>
          <t>Грамматика</t>
        </is>
      </c>
      <c r="C119" s="4" t="inlineStr">
        <is>
          <t>Глаголы: времена</t>
        </is>
      </c>
      <c r="D119" s="5" t="inlineStr">
        <is>
          <t>Future Continuous</t>
        </is>
      </c>
      <c r="E119" s="4" t="inlineStr">
        <is>
          <t>Future Continuous: образование (will be + V-ing)</t>
        </is>
      </c>
      <c r="F119" s="4" t="inlineStr">
        <is>
          <t>10+</t>
        </is>
      </c>
      <c r="G119" s="4" t="inlineStr"/>
      <c r="H119" s="4" t="inlineStr"/>
      <c r="I119" s="4" t="inlineStr"/>
      <c r="J119" s="4" t="inlineStr"/>
      <c r="K119" s="4" t="inlineStr"/>
      <c r="L119" s="4" t="inlineStr"/>
      <c r="M119" s="18" t="inlineStr">
        <is>
          <t>М4 (4c) · новое</t>
        </is>
      </c>
      <c r="N119" s="7" t="inlineStr">
        <is>
          <t>М3 (3c) · повт.</t>
        </is>
      </c>
      <c r="O119" s="7" t="inlineStr">
        <is>
          <t>М1 (1c) · повт.</t>
        </is>
      </c>
      <c r="P119" s="19" t="inlineStr">
        <is>
          <t>—</t>
        </is>
      </c>
      <c r="Q119" s="20" t="inlineStr"/>
      <c r="R119" s="8" t="inlineStr">
        <is>
          <t>нет</t>
        </is>
      </c>
      <c r="S119" s="4" t="inlineStr"/>
      <c r="T119" s="4" t="inlineStr"/>
    </row>
    <row r="120">
      <c r="A120" s="9" t="n">
        <v>119</v>
      </c>
      <c r="B120" s="9" t="inlineStr">
        <is>
          <t>Грамматика</t>
        </is>
      </c>
      <c r="C120" s="9" t="inlineStr">
        <is>
          <t>Глаголы: времена</t>
        </is>
      </c>
      <c r="D120" s="10" t="inlineStr">
        <is>
          <t>Future Continuous</t>
        </is>
      </c>
      <c r="E120" s="9" t="inlineStr">
        <is>
          <t>Future Continuous: значение — действие в процессе в момент будущего</t>
        </is>
      </c>
      <c r="F120" s="9" t="inlineStr">
        <is>
          <t>10+</t>
        </is>
      </c>
      <c r="G120" s="9" t="inlineStr"/>
      <c r="H120" s="9" t="inlineStr"/>
      <c r="I120" s="9" t="inlineStr"/>
      <c r="J120" s="9" t="inlineStr"/>
      <c r="K120" s="9" t="inlineStr"/>
      <c r="L120" s="9" t="inlineStr"/>
      <c r="M120" s="15" t="inlineStr">
        <is>
          <t>М4 (4c) · новое</t>
        </is>
      </c>
      <c r="N120" s="12" t="inlineStr">
        <is>
          <t>М3 (3c) · повт.</t>
        </is>
      </c>
      <c r="O120" s="12" t="inlineStr">
        <is>
          <t>М1 (1c) · повт.</t>
        </is>
      </c>
      <c r="P120" s="16" t="inlineStr">
        <is>
          <t>—</t>
        </is>
      </c>
      <c r="Q120" s="17" t="inlineStr"/>
      <c r="R120" s="13" t="inlineStr">
        <is>
          <t>нет</t>
        </is>
      </c>
      <c r="S120" s="9" t="inlineStr"/>
      <c r="T120" s="9" t="inlineStr"/>
    </row>
    <row r="121">
      <c r="A121" s="9" t="n">
        <v>120</v>
      </c>
      <c r="B121" s="9" t="inlineStr">
        <is>
          <t>Грамматика</t>
        </is>
      </c>
      <c r="C121" s="9" t="inlineStr">
        <is>
          <t>Глаголы: времена</t>
        </is>
      </c>
      <c r="D121" s="10" t="inlineStr">
        <is>
          <t>Future Continuous</t>
        </is>
      </c>
      <c r="E121" s="9" t="inlineStr">
        <is>
          <t>Future Continuous: значение — по распорядку/договорённости</t>
        </is>
      </c>
      <c r="F121" s="9" t="inlineStr">
        <is>
          <t>10+</t>
        </is>
      </c>
      <c r="G121" s="9" t="inlineStr"/>
      <c r="H121" s="9" t="inlineStr"/>
      <c r="I121" s="9" t="inlineStr"/>
      <c r="J121" s="9" t="inlineStr"/>
      <c r="K121" s="9" t="inlineStr"/>
      <c r="L121" s="9" t="inlineStr"/>
      <c r="M121" s="15" t="inlineStr">
        <is>
          <t>М4 (4c) · новое</t>
        </is>
      </c>
      <c r="N121" s="12" t="inlineStr">
        <is>
          <t>М3 (3c) · повт.</t>
        </is>
      </c>
      <c r="O121" s="12" t="inlineStr">
        <is>
          <t>М1 (1c) · повт.</t>
        </is>
      </c>
      <c r="P121" s="16" t="inlineStr">
        <is>
          <t>—</t>
        </is>
      </c>
      <c r="Q121" s="17" t="inlineStr"/>
      <c r="R121" s="13" t="inlineStr">
        <is>
          <t>нет</t>
        </is>
      </c>
      <c r="S121" s="9" t="inlineStr"/>
      <c r="T121" s="9" t="inlineStr"/>
    </row>
    <row r="122">
      <c r="A122" s="9" t="n">
        <v>121</v>
      </c>
      <c r="B122" s="9" t="inlineStr">
        <is>
          <t>Грамматика</t>
        </is>
      </c>
      <c r="C122" s="9" t="inlineStr">
        <is>
          <t>Глаголы: времена</t>
        </is>
      </c>
      <c r="D122" s="10" t="inlineStr">
        <is>
          <t>Future Continuous</t>
        </is>
      </c>
      <c r="E122" s="9" t="inlineStr">
        <is>
          <t>Future Continuous: значение — вежливый вопрос о планах</t>
        </is>
      </c>
      <c r="F122" s="9" t="inlineStr">
        <is>
          <t>10+</t>
        </is>
      </c>
      <c r="G122" s="9" t="inlineStr"/>
      <c r="H122" s="9" t="inlineStr"/>
      <c r="I122" s="9" t="inlineStr"/>
      <c r="J122" s="9" t="inlineStr"/>
      <c r="K122" s="9" t="inlineStr"/>
      <c r="L122" s="9" t="inlineStr"/>
      <c r="M122" s="15" t="inlineStr">
        <is>
          <t>М4 (4c) · новое</t>
        </is>
      </c>
      <c r="N122" s="12" t="inlineStr">
        <is>
          <t>М3 (3c) · повт.</t>
        </is>
      </c>
      <c r="O122" s="12" t="inlineStr">
        <is>
          <t>М1 (1c) · повт.</t>
        </is>
      </c>
      <c r="P122" s="16" t="inlineStr">
        <is>
          <t>—</t>
        </is>
      </c>
      <c r="Q122" s="17" t="inlineStr"/>
      <c r="R122" s="13" t="inlineStr">
        <is>
          <t>нет</t>
        </is>
      </c>
      <c r="S122" s="9" t="inlineStr"/>
      <c r="T122" s="9" t="inlineStr"/>
    </row>
    <row r="123">
      <c r="A123" s="4" t="n">
        <v>122</v>
      </c>
      <c r="B123" s="4" t="inlineStr">
        <is>
          <t>Грамматика</t>
        </is>
      </c>
      <c r="C123" s="4" t="inlineStr">
        <is>
          <t>Глаголы: времена</t>
        </is>
      </c>
      <c r="D123" s="5" t="inlineStr">
        <is>
          <t>Future Perfect</t>
        </is>
      </c>
      <c r="E123" s="4" t="inlineStr">
        <is>
          <t>Future Perfect: образование (will have + V3)</t>
        </is>
      </c>
      <c r="F123" s="4" t="inlineStr">
        <is>
          <t>10+</t>
        </is>
      </c>
      <c r="G123" s="4" t="inlineStr"/>
      <c r="H123" s="4" t="inlineStr"/>
      <c r="I123" s="4" t="inlineStr"/>
      <c r="J123" s="4" t="inlineStr"/>
      <c r="K123" s="4" t="inlineStr"/>
      <c r="L123" s="4" t="inlineStr"/>
      <c r="M123" s="18" t="inlineStr">
        <is>
          <t>М4 (4c) · новое</t>
        </is>
      </c>
      <c r="N123" s="7" t="inlineStr">
        <is>
          <t>М3 (3c) · повт.</t>
        </is>
      </c>
      <c r="O123" s="4" t="inlineStr"/>
      <c r="P123" s="19" t="inlineStr">
        <is>
          <t>—</t>
        </is>
      </c>
      <c r="Q123" s="20" t="inlineStr"/>
      <c r="R123" s="8" t="inlineStr">
        <is>
          <t>нет</t>
        </is>
      </c>
      <c r="S123" s="4" t="inlineStr"/>
      <c r="T123" s="4" t="inlineStr"/>
    </row>
    <row r="124">
      <c r="A124" s="9" t="n">
        <v>123</v>
      </c>
      <c r="B124" s="9" t="inlineStr">
        <is>
          <t>Грамматика</t>
        </is>
      </c>
      <c r="C124" s="9" t="inlineStr">
        <is>
          <t>Глаголы: времена</t>
        </is>
      </c>
      <c r="D124" s="10" t="inlineStr">
        <is>
          <t>Future Perfect</t>
        </is>
      </c>
      <c r="E124" s="9" t="inlineStr">
        <is>
          <t>Future Perfect: значение — завершится к моменту в будущем</t>
        </is>
      </c>
      <c r="F124" s="9" t="inlineStr">
        <is>
          <t>10+</t>
        </is>
      </c>
      <c r="G124" s="9" t="inlineStr"/>
      <c r="H124" s="9" t="inlineStr"/>
      <c r="I124" s="9" t="inlineStr"/>
      <c r="J124" s="9" t="inlineStr"/>
      <c r="K124" s="9" t="inlineStr"/>
      <c r="L124" s="9" t="inlineStr"/>
      <c r="M124" s="15" t="inlineStr">
        <is>
          <t>М4 (4c) · новое</t>
        </is>
      </c>
      <c r="N124" s="12" t="inlineStr">
        <is>
          <t>М3 (3c) · повт.</t>
        </is>
      </c>
      <c r="O124" s="9" t="inlineStr"/>
      <c r="P124" s="16" t="inlineStr">
        <is>
          <t>—</t>
        </is>
      </c>
      <c r="Q124" s="17" t="inlineStr"/>
      <c r="R124" s="13" t="inlineStr">
        <is>
          <t>нет</t>
        </is>
      </c>
      <c r="S124" s="9" t="inlineStr"/>
      <c r="T124" s="9" t="inlineStr"/>
    </row>
    <row r="125">
      <c r="A125" s="4" t="n">
        <v>124</v>
      </c>
      <c r="B125" s="4" t="inlineStr">
        <is>
          <t>Грамматика</t>
        </is>
      </c>
      <c r="C125" s="4" t="inlineStr">
        <is>
          <t>Глаголы: to be / have got / модальные</t>
        </is>
      </c>
      <c r="D125" s="5" t="inlineStr">
        <is>
          <t>can (ability)</t>
        </is>
      </c>
      <c r="E125" s="4" t="inlineStr">
        <is>
          <t>can (ability): значение — умение; утверждение can + глагол без to</t>
        </is>
      </c>
      <c r="F125" s="4" t="inlineStr">
        <is>
          <t>обе</t>
        </is>
      </c>
      <c r="G125" s="6" t="inlineStr">
        <is>
          <t>М5 · новое</t>
        </is>
      </c>
      <c r="H125" s="4" t="inlineStr"/>
      <c r="I125" s="21" t="inlineStr">
        <is>
          <t>М4 (4a) · расш.</t>
        </is>
      </c>
      <c r="J125" s="7" t="inlineStr">
        <is>
          <t>М3 (3b) · повт.</t>
        </is>
      </c>
      <c r="K125" s="4" t="inlineStr"/>
      <c r="L125" s="4" t="inlineStr"/>
      <c r="M125" s="4" t="inlineStr"/>
      <c r="N125" s="4" t="inlineStr"/>
      <c r="O125" s="4" t="inlineStr"/>
      <c r="P125" s="8" t="inlineStr">
        <is>
          <t>нет</t>
        </is>
      </c>
      <c r="Q125" s="4" t="inlineStr"/>
      <c r="R125" s="8" t="inlineStr">
        <is>
          <t>нет</t>
        </is>
      </c>
      <c r="S125" s="4" t="inlineStr"/>
      <c r="T125" s="4" t="inlineStr"/>
    </row>
    <row r="126">
      <c r="A126" s="9" t="n">
        <v>125</v>
      </c>
      <c r="B126" s="9" t="inlineStr">
        <is>
          <t>Грамматика</t>
        </is>
      </c>
      <c r="C126" s="9" t="inlineStr">
        <is>
          <t>Глаголы: to be / have got / модальные</t>
        </is>
      </c>
      <c r="D126" s="10" t="inlineStr">
        <is>
          <t>can (ability)</t>
        </is>
      </c>
      <c r="E126" s="9" t="inlineStr">
        <is>
          <t>can (ability): отрицание — cannot / can't</t>
        </is>
      </c>
      <c r="F126" s="9" t="inlineStr">
        <is>
          <t>обе</t>
        </is>
      </c>
      <c r="G126" s="11" t="inlineStr">
        <is>
          <t>М5 · новое</t>
        </is>
      </c>
      <c r="H126" s="9" t="inlineStr"/>
      <c r="I126" s="12" t="inlineStr">
        <is>
          <t>М4 (4a) · повт.</t>
        </is>
      </c>
      <c r="J126" s="12" t="inlineStr">
        <is>
          <t>М3 (3b) · повт.</t>
        </is>
      </c>
      <c r="K126" s="9" t="inlineStr"/>
      <c r="L126" s="9" t="inlineStr"/>
      <c r="M126" s="9" t="inlineStr"/>
      <c r="N126" s="9" t="inlineStr"/>
      <c r="O126" s="9" t="inlineStr"/>
      <c r="P126" s="13" t="inlineStr">
        <is>
          <t>нет</t>
        </is>
      </c>
      <c r="Q126" s="9" t="inlineStr"/>
      <c r="R126" s="13" t="inlineStr">
        <is>
          <t>нет</t>
        </is>
      </c>
      <c r="S126" s="9" t="inlineStr"/>
      <c r="T126" s="9" t="inlineStr"/>
    </row>
    <row r="127">
      <c r="A127" s="9" t="n">
        <v>126</v>
      </c>
      <c r="B127" s="9" t="inlineStr">
        <is>
          <t>Грамматика</t>
        </is>
      </c>
      <c r="C127" s="9" t="inlineStr">
        <is>
          <t>Глаголы: to be / have got / модальные</t>
        </is>
      </c>
      <c r="D127" s="10" t="inlineStr">
        <is>
          <t>can (ability)</t>
        </is>
      </c>
      <c r="E127" s="9" t="inlineStr">
        <is>
          <t>can (ability): вопросы и краткие ответы</t>
        </is>
      </c>
      <c r="F127" s="9" t="inlineStr">
        <is>
          <t>обе</t>
        </is>
      </c>
      <c r="G127" s="11" t="inlineStr">
        <is>
          <t>М5 · новое</t>
        </is>
      </c>
      <c r="H127" s="9" t="inlineStr"/>
      <c r="I127" s="12" t="inlineStr">
        <is>
          <t>М4 (4a) · повт.</t>
        </is>
      </c>
      <c r="J127" s="12" t="inlineStr">
        <is>
          <t>М3 (3b) · повт.</t>
        </is>
      </c>
      <c r="K127" s="9" t="inlineStr"/>
      <c r="L127" s="9" t="inlineStr"/>
      <c r="M127" s="9" t="inlineStr"/>
      <c r="N127" s="9" t="inlineStr"/>
      <c r="O127" s="9" t="inlineStr"/>
      <c r="P127" s="13" t="inlineStr">
        <is>
          <t>нет</t>
        </is>
      </c>
      <c r="Q127" s="9" t="inlineStr"/>
      <c r="R127" s="13" t="inlineStr">
        <is>
          <t>нет</t>
        </is>
      </c>
      <c r="S127" s="9" t="inlineStr"/>
      <c r="T127" s="9" t="inlineStr"/>
    </row>
    <row r="128">
      <c r="A128" s="4" t="n">
        <v>127</v>
      </c>
      <c r="B128" s="4" t="inlineStr">
        <is>
          <t>Грамматика</t>
        </is>
      </c>
      <c r="C128" s="4" t="inlineStr">
        <is>
          <t>Глаголы: to be / have got / модальные</t>
        </is>
      </c>
      <c r="D128" s="5" t="inlineStr">
        <is>
          <t>have got</t>
        </is>
      </c>
      <c r="E128" s="4" t="inlineStr">
        <is>
          <t>have got: утверждение — have got / has got (полные и краткие формы)</t>
        </is>
      </c>
      <c r="F128" s="4" t="inlineStr">
        <is>
          <t>обе</t>
        </is>
      </c>
      <c r="G128" s="6" t="inlineStr">
        <is>
          <t>М5 · новое</t>
        </is>
      </c>
      <c r="H128" s="4" t="inlineStr"/>
      <c r="I128" s="7" t="inlineStr">
        <is>
          <t>М2 (2a) · повт.</t>
        </is>
      </c>
      <c r="J128" s="7" t="inlineStr">
        <is>
          <t>М1 · повт.</t>
        </is>
      </c>
      <c r="K128" s="4" t="inlineStr"/>
      <c r="L128" s="4" t="inlineStr"/>
      <c r="M128" s="4" t="inlineStr"/>
      <c r="N128" s="4" t="inlineStr"/>
      <c r="O128" s="4" t="inlineStr"/>
      <c r="P128" s="8" t="inlineStr">
        <is>
          <t>нет</t>
        </is>
      </c>
      <c r="Q128" s="4" t="inlineStr"/>
      <c r="R128" s="8" t="inlineStr">
        <is>
          <t>нет</t>
        </is>
      </c>
      <c r="S128" s="4" t="inlineStr"/>
      <c r="T128" s="4" t="inlineStr"/>
    </row>
    <row r="129">
      <c r="A129" s="9" t="n">
        <v>128</v>
      </c>
      <c r="B129" s="9" t="inlineStr">
        <is>
          <t>Грамматика</t>
        </is>
      </c>
      <c r="C129" s="9" t="inlineStr">
        <is>
          <t>Глаголы: to be / have got / модальные</t>
        </is>
      </c>
      <c r="D129" s="10" t="inlineStr">
        <is>
          <t>have got</t>
        </is>
      </c>
      <c r="E129" s="9" t="inlineStr">
        <is>
          <t>have got: отрицание — haven't got / hasn't got</t>
        </is>
      </c>
      <c r="F129" s="9" t="inlineStr">
        <is>
          <t>обе</t>
        </is>
      </c>
      <c r="G129" s="11" t="inlineStr">
        <is>
          <t>М5 · новое</t>
        </is>
      </c>
      <c r="H129" s="9" t="inlineStr"/>
      <c r="I129" s="12" t="inlineStr">
        <is>
          <t>М2 (2a) · повт.</t>
        </is>
      </c>
      <c r="J129" s="12" t="inlineStr">
        <is>
          <t>М1 · повт.</t>
        </is>
      </c>
      <c r="K129" s="9" t="inlineStr"/>
      <c r="L129" s="9" t="inlineStr"/>
      <c r="M129" s="9" t="inlineStr"/>
      <c r="N129" s="9" t="inlineStr"/>
      <c r="O129" s="9" t="inlineStr"/>
      <c r="P129" s="13" t="inlineStr">
        <is>
          <t>нет</t>
        </is>
      </c>
      <c r="Q129" s="9" t="inlineStr"/>
      <c r="R129" s="13" t="inlineStr">
        <is>
          <t>нет</t>
        </is>
      </c>
      <c r="S129" s="9" t="inlineStr"/>
      <c r="T129" s="9" t="inlineStr"/>
    </row>
    <row r="130">
      <c r="A130" s="9" t="n">
        <v>129</v>
      </c>
      <c r="B130" s="9" t="inlineStr">
        <is>
          <t>Грамматика</t>
        </is>
      </c>
      <c r="C130" s="9" t="inlineStr">
        <is>
          <t>Глаголы: to be / have got / модальные</t>
        </is>
      </c>
      <c r="D130" s="10" t="inlineStr">
        <is>
          <t>have got</t>
        </is>
      </c>
      <c r="E130" s="9" t="inlineStr">
        <is>
          <t>have got: вопросы и краткие ответы</t>
        </is>
      </c>
      <c r="F130" s="9" t="inlineStr">
        <is>
          <t>обе</t>
        </is>
      </c>
      <c r="G130" s="11" t="inlineStr">
        <is>
          <t>М5 · новое</t>
        </is>
      </c>
      <c r="H130" s="9" t="inlineStr"/>
      <c r="I130" s="12" t="inlineStr">
        <is>
          <t>М2 (2a) · повт.</t>
        </is>
      </c>
      <c r="J130" s="12" t="inlineStr">
        <is>
          <t>М1 · повт.</t>
        </is>
      </c>
      <c r="K130" s="9" t="inlineStr"/>
      <c r="L130" s="9" t="inlineStr"/>
      <c r="M130" s="9" t="inlineStr"/>
      <c r="N130" s="9" t="inlineStr"/>
      <c r="O130" s="9" t="inlineStr"/>
      <c r="P130" s="13" t="inlineStr">
        <is>
          <t>нет</t>
        </is>
      </c>
      <c r="Q130" s="9" t="inlineStr"/>
      <c r="R130" s="13" t="inlineStr">
        <is>
          <t>нет</t>
        </is>
      </c>
      <c r="S130" s="9" t="inlineStr"/>
      <c r="T130" s="9" t="inlineStr"/>
    </row>
    <row r="131">
      <c r="A131" s="9" t="n">
        <v>130</v>
      </c>
      <c r="B131" s="9" t="inlineStr">
        <is>
          <t>Грамматика</t>
        </is>
      </c>
      <c r="C131" s="9" t="inlineStr">
        <is>
          <t>Глаголы: to be / have got / модальные</t>
        </is>
      </c>
      <c r="D131" s="10" t="inlineStr">
        <is>
          <t>have got</t>
        </is>
      </c>
      <c r="E131" s="9" t="inlineStr">
        <is>
          <t>have got: значение — принадлежность (иметь)</t>
        </is>
      </c>
      <c r="F131" s="9" t="inlineStr">
        <is>
          <t>обе</t>
        </is>
      </c>
      <c r="G131" s="11" t="inlineStr">
        <is>
          <t>М5 · новое</t>
        </is>
      </c>
      <c r="H131" s="9" t="inlineStr"/>
      <c r="I131" s="12" t="inlineStr">
        <is>
          <t>М2 (2a) · повт.</t>
        </is>
      </c>
      <c r="J131" s="12" t="inlineStr">
        <is>
          <t>М1 · повт.</t>
        </is>
      </c>
      <c r="K131" s="9" t="inlineStr"/>
      <c r="L131" s="9" t="inlineStr"/>
      <c r="M131" s="9" t="inlineStr"/>
      <c r="N131" s="9" t="inlineStr"/>
      <c r="O131" s="9" t="inlineStr"/>
      <c r="P131" s="13" t="inlineStr">
        <is>
          <t>нет</t>
        </is>
      </c>
      <c r="Q131" s="9" t="inlineStr"/>
      <c r="R131" s="13" t="inlineStr">
        <is>
          <t>нет</t>
        </is>
      </c>
      <c r="S131" s="9" t="inlineStr"/>
      <c r="T131" s="9" t="inlineStr"/>
    </row>
    <row r="132">
      <c r="A132" s="9" t="n">
        <v>131</v>
      </c>
      <c r="B132" s="9" t="inlineStr">
        <is>
          <t>Грамматика</t>
        </is>
      </c>
      <c r="C132" s="9" t="inlineStr">
        <is>
          <t>Глаголы: to be / have got / модальные</t>
        </is>
      </c>
      <c r="D132" s="10" t="inlineStr">
        <is>
          <t>have got</t>
        </is>
      </c>
      <c r="E132" s="9" t="inlineStr">
        <is>
          <t>have got: значение — описание внешности людей, животных, предметов</t>
        </is>
      </c>
      <c r="F132" s="9" t="inlineStr">
        <is>
          <t>обе</t>
        </is>
      </c>
      <c r="G132" s="11" t="inlineStr">
        <is>
          <t>М5 · новое</t>
        </is>
      </c>
      <c r="H132" s="9" t="inlineStr"/>
      <c r="I132" s="9" t="inlineStr"/>
      <c r="J132" s="12" t="inlineStr">
        <is>
          <t>М1 · повт.</t>
        </is>
      </c>
      <c r="K132" s="9" t="inlineStr"/>
      <c r="L132" s="9" t="inlineStr"/>
      <c r="M132" s="9" t="inlineStr"/>
      <c r="N132" s="9" t="inlineStr"/>
      <c r="O132" s="9" t="inlineStr"/>
      <c r="P132" s="13" t="inlineStr">
        <is>
          <t>нет</t>
        </is>
      </c>
      <c r="Q132" s="9" t="inlineStr"/>
      <c r="R132" s="13" t="inlineStr">
        <is>
          <t>нет</t>
        </is>
      </c>
      <c r="S132" s="9" t="inlineStr"/>
      <c r="T132" s="9" t="inlineStr"/>
    </row>
    <row r="133">
      <c r="A133" s="9" t="n">
        <v>132</v>
      </c>
      <c r="B133" s="9" t="inlineStr">
        <is>
          <t>Грамматика</t>
        </is>
      </c>
      <c r="C133" s="9" t="inlineStr">
        <is>
          <t>Глаголы: to be / have got / модальные</t>
        </is>
      </c>
      <c r="D133" s="10" t="inlineStr">
        <is>
          <t>have got</t>
        </is>
      </c>
      <c r="E133" s="9" t="inlineStr">
        <is>
          <t>have got: значение — родственные отношения</t>
        </is>
      </c>
      <c r="F133" s="9" t="inlineStr">
        <is>
          <t>10+</t>
        </is>
      </c>
      <c r="G133" s="9" t="inlineStr"/>
      <c r="H133" s="9" t="inlineStr"/>
      <c r="I133" s="9" t="inlineStr"/>
      <c r="J133" s="15" t="inlineStr">
        <is>
          <t>М1 · новое</t>
        </is>
      </c>
      <c r="K133" s="9" t="inlineStr"/>
      <c r="L133" s="9" t="inlineStr"/>
      <c r="M133" s="9" t="inlineStr"/>
      <c r="N133" s="9" t="inlineStr"/>
      <c r="O133" s="9" t="inlineStr"/>
      <c r="P133" s="16" t="inlineStr">
        <is>
          <t>—</t>
        </is>
      </c>
      <c r="Q133" s="17" t="inlineStr"/>
      <c r="R133" s="13" t="inlineStr">
        <is>
          <t>нет</t>
        </is>
      </c>
      <c r="S133" s="9" t="inlineStr"/>
      <c r="T133" s="9" t="inlineStr"/>
    </row>
    <row r="134">
      <c r="A134" s="9" t="n">
        <v>133</v>
      </c>
      <c r="B134" s="9" t="inlineStr">
        <is>
          <t>Грамматика</t>
        </is>
      </c>
      <c r="C134" s="9" t="inlineStr">
        <is>
          <t>Глаголы: to be / have got / модальные</t>
        </is>
      </c>
      <c r="D134" s="10" t="inlineStr">
        <is>
          <t>have got</t>
        </is>
      </c>
      <c r="E134" s="9" t="inlineStr">
        <is>
          <t>have got: It's got (= It has got) vs It's (= It is)</t>
        </is>
      </c>
      <c r="F134" s="9" t="inlineStr">
        <is>
          <t>7–9</t>
        </is>
      </c>
      <c r="G134" s="11" t="inlineStr">
        <is>
          <t>М5 · новое</t>
        </is>
      </c>
      <c r="H134" s="9" t="inlineStr"/>
      <c r="I134" s="9" t="inlineStr"/>
      <c r="J134" s="9" t="inlineStr"/>
      <c r="K134" s="9" t="inlineStr"/>
      <c r="L134" s="9" t="inlineStr"/>
      <c r="M134" s="9" t="inlineStr"/>
      <c r="N134" s="9" t="inlineStr"/>
      <c r="O134" s="9" t="inlineStr"/>
      <c r="P134" s="13" t="inlineStr">
        <is>
          <t>нет</t>
        </is>
      </c>
      <c r="Q134" s="9" t="inlineStr"/>
      <c r="R134" s="16" t="inlineStr">
        <is>
          <t>—</t>
        </is>
      </c>
      <c r="S134" s="17" t="inlineStr"/>
      <c r="T134" s="9" t="inlineStr"/>
    </row>
    <row r="135">
      <c r="A135" s="4" t="n">
        <v>134</v>
      </c>
      <c r="B135" s="4" t="inlineStr">
        <is>
          <t>Грамматика</t>
        </is>
      </c>
      <c r="C135" s="4" t="inlineStr">
        <is>
          <t>Глаголы: to be / have got / модальные</t>
        </is>
      </c>
      <c r="D135" s="5" t="inlineStr">
        <is>
          <t>to be (Past: was/were)</t>
        </is>
      </c>
      <c r="E135" s="4" t="inlineStr">
        <is>
          <t>to be (Past): утверждение — was / were</t>
        </is>
      </c>
      <c r="F135" s="4" t="inlineStr">
        <is>
          <t>обе</t>
        </is>
      </c>
      <c r="G135" s="6" t="inlineStr">
        <is>
          <t>М2 · новое</t>
        </is>
      </c>
      <c r="H135" s="7" t="inlineStr">
        <is>
          <t>М5 · повт.</t>
        </is>
      </c>
      <c r="I135" s="7" t="inlineStr">
        <is>
          <t>М9 (9a) · повт.</t>
        </is>
      </c>
      <c r="J135" s="7" t="inlineStr">
        <is>
          <t>М7 (7a) · повт.</t>
        </is>
      </c>
      <c r="K135" s="4" t="inlineStr"/>
      <c r="L135" s="4" t="inlineStr"/>
      <c r="M135" s="4" t="inlineStr"/>
      <c r="N135" s="4" t="inlineStr"/>
      <c r="O135" s="4" t="inlineStr"/>
      <c r="P135" s="8" t="inlineStr">
        <is>
          <t>нет</t>
        </is>
      </c>
      <c r="Q135" s="4" t="inlineStr"/>
      <c r="R135" s="8" t="inlineStr">
        <is>
          <t>нет</t>
        </is>
      </c>
      <c r="S135" s="4" t="inlineStr"/>
      <c r="T135" s="4" t="inlineStr"/>
    </row>
    <row r="136">
      <c r="A136" s="9" t="n">
        <v>135</v>
      </c>
      <c r="B136" s="9" t="inlineStr">
        <is>
          <t>Грамматика</t>
        </is>
      </c>
      <c r="C136" s="9" t="inlineStr">
        <is>
          <t>Глаголы: to be / have got / модальные</t>
        </is>
      </c>
      <c r="D136" s="10" t="inlineStr">
        <is>
          <t>to be (Past: was/were)</t>
        </is>
      </c>
      <c r="E136" s="9" t="inlineStr">
        <is>
          <t>to be (Past): отрицание — wasn't / weren't</t>
        </is>
      </c>
      <c r="F136" s="9" t="inlineStr">
        <is>
          <t>обе</t>
        </is>
      </c>
      <c r="G136" s="11" t="inlineStr">
        <is>
          <t>М2 · новое</t>
        </is>
      </c>
      <c r="H136" s="12" t="inlineStr">
        <is>
          <t>М5 · повт.</t>
        </is>
      </c>
      <c r="I136" s="12" t="inlineStr">
        <is>
          <t>М9 (9a) · повт.</t>
        </is>
      </c>
      <c r="J136" s="12" t="inlineStr">
        <is>
          <t>М7 (7a) · повт.</t>
        </is>
      </c>
      <c r="K136" s="9" t="inlineStr"/>
      <c r="L136" s="9" t="inlineStr"/>
      <c r="M136" s="9" t="inlineStr"/>
      <c r="N136" s="9" t="inlineStr"/>
      <c r="O136" s="9" t="inlineStr"/>
      <c r="P136" s="13" t="inlineStr">
        <is>
          <t>нет</t>
        </is>
      </c>
      <c r="Q136" s="9" t="inlineStr"/>
      <c r="R136" s="13" t="inlineStr">
        <is>
          <t>нет</t>
        </is>
      </c>
      <c r="S136" s="9" t="inlineStr"/>
      <c r="T136" s="9" t="inlineStr"/>
    </row>
    <row r="137">
      <c r="A137" s="9" t="n">
        <v>136</v>
      </c>
      <c r="B137" s="9" t="inlineStr">
        <is>
          <t>Грамматика</t>
        </is>
      </c>
      <c r="C137" s="9" t="inlineStr">
        <is>
          <t>Глаголы: to be / have got / модальные</t>
        </is>
      </c>
      <c r="D137" s="10" t="inlineStr">
        <is>
          <t>to be (Past: was/were)</t>
        </is>
      </c>
      <c r="E137" s="9" t="inlineStr">
        <is>
          <t>to be (Past): вопросы и краткие ответы</t>
        </is>
      </c>
      <c r="F137" s="9" t="inlineStr">
        <is>
          <t>обе</t>
        </is>
      </c>
      <c r="G137" s="11" t="inlineStr">
        <is>
          <t>М2 · новое</t>
        </is>
      </c>
      <c r="H137" s="12" t="inlineStr">
        <is>
          <t>М5 · повт.</t>
        </is>
      </c>
      <c r="I137" s="12" t="inlineStr">
        <is>
          <t>М9 (9a) · повт.</t>
        </is>
      </c>
      <c r="J137" s="12" t="inlineStr">
        <is>
          <t>М7 (7a) · повт.</t>
        </is>
      </c>
      <c r="K137" s="9" t="inlineStr"/>
      <c r="L137" s="9" t="inlineStr"/>
      <c r="M137" s="9" t="inlineStr"/>
      <c r="N137" s="9" t="inlineStr"/>
      <c r="O137" s="9" t="inlineStr"/>
      <c r="P137" s="13" t="inlineStr">
        <is>
          <t>нет</t>
        </is>
      </c>
      <c r="Q137" s="9" t="inlineStr"/>
      <c r="R137" s="13" t="inlineStr">
        <is>
          <t>нет</t>
        </is>
      </c>
      <c r="S137" s="9" t="inlineStr"/>
      <c r="T137" s="9" t="inlineStr"/>
    </row>
    <row r="138">
      <c r="A138" s="9" t="n">
        <v>137</v>
      </c>
      <c r="B138" s="9" t="inlineStr">
        <is>
          <t>Грамматика</t>
        </is>
      </c>
      <c r="C138" s="9" t="inlineStr">
        <is>
          <t>Глаголы: to be / have got / модальные</t>
        </is>
      </c>
      <c r="D138" s="10" t="inlineStr">
        <is>
          <t>to be (Past: was/were)</t>
        </is>
      </c>
      <c r="E138" s="9" t="inlineStr">
        <is>
          <t>to be (Past): слова-указатели прошедшего времени</t>
        </is>
      </c>
      <c r="F138" s="9" t="inlineStr">
        <is>
          <t>обе</t>
        </is>
      </c>
      <c r="G138" s="11" t="inlineStr">
        <is>
          <t>М2 · новое</t>
        </is>
      </c>
      <c r="H138" s="12" t="inlineStr">
        <is>
          <t>М5 · повт.</t>
        </is>
      </c>
      <c r="I138" s="9" t="inlineStr"/>
      <c r="J138" s="9" t="inlineStr"/>
      <c r="K138" s="9" t="inlineStr"/>
      <c r="L138" s="9" t="inlineStr"/>
      <c r="M138" s="9" t="inlineStr"/>
      <c r="N138" s="9" t="inlineStr"/>
      <c r="O138" s="9" t="inlineStr"/>
      <c r="P138" s="13" t="inlineStr">
        <is>
          <t>нет</t>
        </is>
      </c>
      <c r="Q138" s="9" t="inlineStr"/>
      <c r="R138" s="13" t="inlineStr">
        <is>
          <t>нет</t>
        </is>
      </c>
      <c r="S138" s="9" t="inlineStr"/>
      <c r="T138" s="9" t="inlineStr"/>
    </row>
    <row r="139">
      <c r="A139" s="4" t="n">
        <v>138</v>
      </c>
      <c r="B139" s="4" t="inlineStr">
        <is>
          <t>Грамматика</t>
        </is>
      </c>
      <c r="C139" s="4" t="inlineStr">
        <is>
          <t>Глаголы: to be / have got / модальные</t>
        </is>
      </c>
      <c r="D139" s="5" t="inlineStr">
        <is>
          <t>to be (Present)</t>
        </is>
      </c>
      <c r="E139" s="4" t="inlineStr">
        <is>
          <t>to be (Present): утверждение — am/is/are, полные и краткие формы</t>
        </is>
      </c>
      <c r="F139" s="4" t="inlineStr">
        <is>
          <t>обе</t>
        </is>
      </c>
      <c r="G139" s="6" t="inlineStr">
        <is>
          <t>М1 · новое</t>
        </is>
      </c>
      <c r="H139" s="4" t="inlineStr"/>
      <c r="I139" s="7" t="inlineStr">
        <is>
          <t>М1 (1b) · повт.</t>
        </is>
      </c>
      <c r="J139" s="7" t="inlineStr">
        <is>
          <t>М1 · повт.</t>
        </is>
      </c>
      <c r="K139" s="4" t="inlineStr"/>
      <c r="L139" s="4" t="inlineStr"/>
      <c r="M139" s="4" t="inlineStr"/>
      <c r="N139" s="4" t="inlineStr"/>
      <c r="O139" s="4" t="inlineStr"/>
      <c r="P139" s="8" t="inlineStr">
        <is>
          <t>нет</t>
        </is>
      </c>
      <c r="Q139" s="4" t="inlineStr"/>
      <c r="R139" s="8" t="inlineStr">
        <is>
          <t>нет</t>
        </is>
      </c>
      <c r="S139" s="4" t="inlineStr"/>
      <c r="T139" s="4" t="inlineStr"/>
    </row>
    <row r="140">
      <c r="A140" s="9" t="n">
        <v>139</v>
      </c>
      <c r="B140" s="9" t="inlineStr">
        <is>
          <t>Грамматика</t>
        </is>
      </c>
      <c r="C140" s="9" t="inlineStr">
        <is>
          <t>Глаголы: to be / have got / модальные</t>
        </is>
      </c>
      <c r="D140" s="10" t="inlineStr">
        <is>
          <t>to be (Present)</t>
        </is>
      </c>
      <c r="E140" s="9" t="inlineStr">
        <is>
          <t>to be (Present): отрицание — am not / isn't / aren't</t>
        </is>
      </c>
      <c r="F140" s="9" t="inlineStr">
        <is>
          <t>обе</t>
        </is>
      </c>
      <c r="G140" s="11" t="inlineStr">
        <is>
          <t>М1 · новое</t>
        </is>
      </c>
      <c r="H140" s="9" t="inlineStr"/>
      <c r="I140" s="12" t="inlineStr">
        <is>
          <t>М1 (1b) · повт.</t>
        </is>
      </c>
      <c r="J140" s="12" t="inlineStr">
        <is>
          <t>М1 · повт.</t>
        </is>
      </c>
      <c r="K140" s="9" t="inlineStr"/>
      <c r="L140" s="9" t="inlineStr"/>
      <c r="M140" s="9" t="inlineStr"/>
      <c r="N140" s="9" t="inlineStr"/>
      <c r="O140" s="9" t="inlineStr"/>
      <c r="P140" s="13" t="inlineStr">
        <is>
          <t>нет</t>
        </is>
      </c>
      <c r="Q140" s="9" t="inlineStr"/>
      <c r="R140" s="13" t="inlineStr">
        <is>
          <t>нет</t>
        </is>
      </c>
      <c r="S140" s="9" t="inlineStr"/>
      <c r="T140" s="9" t="inlineStr"/>
    </row>
    <row r="141">
      <c r="A141" s="9" t="n">
        <v>140</v>
      </c>
      <c r="B141" s="9" t="inlineStr">
        <is>
          <t>Грамматика</t>
        </is>
      </c>
      <c r="C141" s="9" t="inlineStr">
        <is>
          <t>Глаголы: to be / have got / модальные</t>
        </is>
      </c>
      <c r="D141" s="10" t="inlineStr">
        <is>
          <t>to be (Present)</t>
        </is>
      </c>
      <c r="E141" s="9" t="inlineStr">
        <is>
          <t>to be (Present): вопросы и краткие ответы</t>
        </is>
      </c>
      <c r="F141" s="9" t="inlineStr">
        <is>
          <t>обе</t>
        </is>
      </c>
      <c r="G141" s="11" t="inlineStr">
        <is>
          <t>М1 · новое</t>
        </is>
      </c>
      <c r="H141" s="9" t="inlineStr"/>
      <c r="I141" s="12" t="inlineStr">
        <is>
          <t>М1 (1b) · повт.</t>
        </is>
      </c>
      <c r="J141" s="12" t="inlineStr">
        <is>
          <t>М1 · повт.</t>
        </is>
      </c>
      <c r="K141" s="9" t="inlineStr"/>
      <c r="L141" s="9" t="inlineStr"/>
      <c r="M141" s="9" t="inlineStr"/>
      <c r="N141" s="9" t="inlineStr"/>
      <c r="O141" s="9" t="inlineStr"/>
      <c r="P141" s="13" t="inlineStr">
        <is>
          <t>нет</t>
        </is>
      </c>
      <c r="Q141" s="9" t="inlineStr"/>
      <c r="R141" s="13" t="inlineStr">
        <is>
          <t>нет</t>
        </is>
      </c>
      <c r="S141" s="9" t="inlineStr"/>
      <c r="T141" s="9" t="inlineStr"/>
    </row>
    <row r="142">
      <c r="A142" s="4" t="n">
        <v>141</v>
      </c>
      <c r="B142" s="4" t="inlineStr">
        <is>
          <t>Грамматика</t>
        </is>
      </c>
      <c r="C142" s="4" t="inlineStr">
        <is>
          <t>Глаголы: to be / have got / модальные</t>
        </is>
      </c>
      <c r="D142" s="5" t="inlineStr">
        <is>
          <t>have to</t>
        </is>
      </c>
      <c r="E142" s="4" t="inlineStr">
        <is>
          <t>have to: значение — необходимость из-за обстоятельств (утверждение)</t>
        </is>
      </c>
      <c r="F142" s="4" t="inlineStr">
        <is>
          <t>10+</t>
        </is>
      </c>
      <c r="G142" s="4" t="inlineStr"/>
      <c r="H142" s="18" t="inlineStr">
        <is>
          <t>М2 · новое</t>
        </is>
      </c>
      <c r="I142" s="4" t="inlineStr"/>
      <c r="J142" s="21" t="inlineStr">
        <is>
          <t>М8 (8c) · расш.</t>
        </is>
      </c>
      <c r="K142" s="7" t="inlineStr">
        <is>
          <t>М8 · повт.</t>
        </is>
      </c>
      <c r="L142" s="7" t="inlineStr">
        <is>
          <t>М7 (7c) · повт.</t>
        </is>
      </c>
      <c r="M142" s="7" t="inlineStr">
        <is>
          <t>М7 (7d) · повт.</t>
        </is>
      </c>
      <c r="N142" s="21" t="inlineStr">
        <is>
          <t>М4 (4c) · расш.</t>
        </is>
      </c>
      <c r="O142" s="4" t="inlineStr"/>
      <c r="P142" s="19" t="inlineStr">
        <is>
          <t>—</t>
        </is>
      </c>
      <c r="Q142" s="20" t="inlineStr"/>
      <c r="R142" s="8" t="inlineStr">
        <is>
          <t>нет</t>
        </is>
      </c>
      <c r="S142" s="4" t="inlineStr"/>
      <c r="T142" s="4" t="inlineStr"/>
    </row>
    <row r="143">
      <c r="A143" s="9" t="n">
        <v>142</v>
      </c>
      <c r="B143" s="9" t="inlineStr">
        <is>
          <t>Грамматика</t>
        </is>
      </c>
      <c r="C143" s="9" t="inlineStr">
        <is>
          <t>Глаголы: to be / have got / модальные</t>
        </is>
      </c>
      <c r="D143" s="10" t="inlineStr">
        <is>
          <t>have to</t>
        </is>
      </c>
      <c r="E143" s="9" t="inlineStr">
        <is>
          <t>have to: don't / doesn't have to — отсутствие необходимости</t>
        </is>
      </c>
      <c r="F143" s="9" t="inlineStr">
        <is>
          <t>10+</t>
        </is>
      </c>
      <c r="G143" s="9" t="inlineStr"/>
      <c r="H143" s="15" t="inlineStr">
        <is>
          <t>М2 · новое</t>
        </is>
      </c>
      <c r="I143" s="9" t="inlineStr"/>
      <c r="J143" s="12" t="inlineStr">
        <is>
          <t>М8 (8c) · повт.</t>
        </is>
      </c>
      <c r="K143" s="12" t="inlineStr">
        <is>
          <t>М8 · повт.</t>
        </is>
      </c>
      <c r="L143" s="12" t="inlineStr">
        <is>
          <t>М7 (7c) · повт.</t>
        </is>
      </c>
      <c r="M143" s="12" t="inlineStr">
        <is>
          <t>М7 (7d) · повт.</t>
        </is>
      </c>
      <c r="N143" s="12" t="inlineStr">
        <is>
          <t>М4 (4c) · повт.</t>
        </is>
      </c>
      <c r="O143" s="9" t="inlineStr"/>
      <c r="P143" s="16" t="inlineStr">
        <is>
          <t>—</t>
        </is>
      </c>
      <c r="Q143" s="17" t="inlineStr"/>
      <c r="R143" s="13" t="inlineStr">
        <is>
          <t>нет</t>
        </is>
      </c>
      <c r="S143" s="9" t="inlineStr"/>
      <c r="T143" s="9" t="inlineStr"/>
    </row>
    <row r="144">
      <c r="A144" s="9" t="n">
        <v>143</v>
      </c>
      <c r="B144" s="9" t="inlineStr">
        <is>
          <t>Грамматика</t>
        </is>
      </c>
      <c r="C144" s="9" t="inlineStr">
        <is>
          <t>Глаголы: to be / have got / модальные</t>
        </is>
      </c>
      <c r="D144" s="10" t="inlineStr">
        <is>
          <t>have to</t>
        </is>
      </c>
      <c r="E144" s="9" t="inlineStr">
        <is>
          <t>have to: вопросы и краткие ответы — Do you have to…?</t>
        </is>
      </c>
      <c r="F144" s="9" t="inlineStr">
        <is>
          <t>10+</t>
        </is>
      </c>
      <c r="G144" s="9" t="inlineStr"/>
      <c r="H144" s="15" t="inlineStr">
        <is>
          <t>М2 · новое</t>
        </is>
      </c>
      <c r="I144" s="9" t="inlineStr"/>
      <c r="J144" s="9" t="inlineStr"/>
      <c r="K144" s="9" t="inlineStr"/>
      <c r="L144" s="9" t="inlineStr"/>
      <c r="M144" s="9" t="inlineStr"/>
      <c r="N144" s="9" t="inlineStr"/>
      <c r="O144" s="9" t="inlineStr"/>
      <c r="P144" s="16" t="inlineStr">
        <is>
          <t>—</t>
        </is>
      </c>
      <c r="Q144" s="17" t="inlineStr"/>
      <c r="R144" s="13" t="inlineStr">
        <is>
          <t>нет</t>
        </is>
      </c>
      <c r="S144" s="9" t="inlineStr"/>
      <c r="T144" s="9" t="inlineStr"/>
    </row>
    <row r="145">
      <c r="A145" s="9" t="n">
        <v>144</v>
      </c>
      <c r="B145" s="9" t="inlineStr">
        <is>
          <t>Грамматика</t>
        </is>
      </c>
      <c r="C145" s="9" t="inlineStr">
        <is>
          <t>Глаголы: to be / have got / модальные</t>
        </is>
      </c>
      <c r="D145" s="10" t="inlineStr">
        <is>
          <t>have to</t>
        </is>
      </c>
      <c r="E145" s="9" t="inlineStr">
        <is>
          <t>have to: had to — прошедшее время</t>
        </is>
      </c>
      <c r="F145" s="9" t="inlineStr">
        <is>
          <t>10+</t>
        </is>
      </c>
      <c r="G145" s="9" t="inlineStr"/>
      <c r="H145" s="9" t="inlineStr"/>
      <c r="I145" s="9" t="inlineStr"/>
      <c r="J145" s="9" t="inlineStr"/>
      <c r="K145" s="15" t="inlineStr">
        <is>
          <t>М8 · новое</t>
        </is>
      </c>
      <c r="L145" s="12" t="inlineStr">
        <is>
          <t>М7 (7c) · повт.</t>
        </is>
      </c>
      <c r="M145" s="9" t="inlineStr"/>
      <c r="N145" s="12" t="inlineStr">
        <is>
          <t>М4 (4c) · повт.</t>
        </is>
      </c>
      <c r="O145" s="9" t="inlineStr"/>
      <c r="P145" s="16" t="inlineStr">
        <is>
          <t>—</t>
        </is>
      </c>
      <c r="Q145" s="17" t="inlineStr"/>
      <c r="R145" s="13" t="inlineStr">
        <is>
          <t>нет</t>
        </is>
      </c>
      <c r="S145" s="9" t="inlineStr"/>
      <c r="T145" s="9" t="inlineStr"/>
    </row>
    <row r="146">
      <c r="A146" s="9" t="n">
        <v>145</v>
      </c>
      <c r="B146" s="9" t="inlineStr">
        <is>
          <t>Грамматика</t>
        </is>
      </c>
      <c r="C146" s="9" t="inlineStr">
        <is>
          <t>Глаголы: to be / have got / модальные</t>
        </is>
      </c>
      <c r="D146" s="10" t="inlineStr">
        <is>
          <t>have to</t>
        </is>
      </c>
      <c r="E146" s="9" t="inlineStr">
        <is>
          <t>have to: didn't have to — не было необходимости в прошлом</t>
        </is>
      </c>
      <c r="F146" s="9" t="inlineStr">
        <is>
          <t>10+</t>
        </is>
      </c>
      <c r="G146" s="9" t="inlineStr"/>
      <c r="H146" s="9" t="inlineStr"/>
      <c r="I146" s="9" t="inlineStr"/>
      <c r="J146" s="9" t="inlineStr"/>
      <c r="K146" s="9" t="inlineStr"/>
      <c r="L146" s="15" t="inlineStr">
        <is>
          <t>М7 (7c) · новое</t>
        </is>
      </c>
      <c r="M146" s="12" t="inlineStr">
        <is>
          <t>М7 (7d) · повт.</t>
        </is>
      </c>
      <c r="N146" s="12" t="inlineStr">
        <is>
          <t>М4 (4c) · повт.</t>
        </is>
      </c>
      <c r="O146" s="9" t="inlineStr"/>
      <c r="P146" s="16" t="inlineStr">
        <is>
          <t>—</t>
        </is>
      </c>
      <c r="Q146" s="17" t="inlineStr"/>
      <c r="R146" s="13" t="inlineStr">
        <is>
          <t>нет</t>
        </is>
      </c>
      <c r="S146" s="9" t="inlineStr"/>
      <c r="T146" s="9" t="inlineStr"/>
    </row>
    <row r="147">
      <c r="A147" s="9" t="n">
        <v>146</v>
      </c>
      <c r="B147" s="9" t="inlineStr">
        <is>
          <t>Грамматика</t>
        </is>
      </c>
      <c r="C147" s="9" t="inlineStr">
        <is>
          <t>Глаголы: to be / have got / модальные</t>
        </is>
      </c>
      <c r="D147" s="10" t="inlineStr">
        <is>
          <t>have to</t>
        </is>
      </c>
      <c r="E147" s="9" t="inlineStr">
        <is>
          <t>have to: have got to (= have to)</t>
        </is>
      </c>
      <c r="F147" s="9" t="inlineStr">
        <is>
          <t>10+</t>
        </is>
      </c>
      <c r="G147" s="9" t="inlineStr"/>
      <c r="H147" s="9" t="inlineStr"/>
      <c r="I147" s="9" t="inlineStr"/>
      <c r="J147" s="9" t="inlineStr"/>
      <c r="K147" s="9" t="inlineStr"/>
      <c r="L147" s="9" t="inlineStr"/>
      <c r="M147" s="9" t="inlineStr"/>
      <c r="N147" s="15" t="inlineStr">
        <is>
          <t>М4 (4c) · новое</t>
        </is>
      </c>
      <c r="O147" s="9" t="inlineStr"/>
      <c r="P147" s="16" t="inlineStr">
        <is>
          <t>—</t>
        </is>
      </c>
      <c r="Q147" s="17" t="inlineStr"/>
      <c r="R147" s="13" t="inlineStr">
        <is>
          <t>нет</t>
        </is>
      </c>
      <c r="S147" s="9" t="inlineStr"/>
      <c r="T147" s="9" t="inlineStr"/>
    </row>
    <row r="148">
      <c r="A148" s="4" t="n">
        <v>147</v>
      </c>
      <c r="B148" s="4" t="inlineStr">
        <is>
          <t>Грамматика</t>
        </is>
      </c>
      <c r="C148" s="4" t="inlineStr">
        <is>
          <t>Глаголы: to be / have got / модальные</t>
        </is>
      </c>
      <c r="D148" s="5" t="inlineStr">
        <is>
          <t>may/might</t>
        </is>
      </c>
      <c r="E148" s="4" t="inlineStr">
        <is>
          <t>may/might: may — спросить разрешения (May I…?) и ответы</t>
        </is>
      </c>
      <c r="F148" s="4" t="inlineStr">
        <is>
          <t>10+</t>
        </is>
      </c>
      <c r="G148" s="4" t="inlineStr"/>
      <c r="H148" s="18" t="inlineStr">
        <is>
          <t>М3 · новое</t>
        </is>
      </c>
      <c r="I148" s="4" t="inlineStr"/>
      <c r="J148" s="4" t="inlineStr"/>
      <c r="K148" s="4" t="inlineStr"/>
      <c r="L148" s="4" t="inlineStr"/>
      <c r="M148" s="4" t="inlineStr"/>
      <c r="N148" s="4" t="inlineStr"/>
      <c r="O148" s="4" t="inlineStr"/>
      <c r="P148" s="19" t="inlineStr">
        <is>
          <t>—</t>
        </is>
      </c>
      <c r="Q148" s="20" t="inlineStr"/>
      <c r="R148" s="8" t="inlineStr">
        <is>
          <t>нет</t>
        </is>
      </c>
      <c r="S148" s="4" t="inlineStr"/>
      <c r="T148" s="4" t="inlineStr"/>
    </row>
    <row r="149">
      <c r="A149" s="9" t="n">
        <v>148</v>
      </c>
      <c r="B149" s="9" t="inlineStr">
        <is>
          <t>Грамматика</t>
        </is>
      </c>
      <c r="C149" s="9" t="inlineStr">
        <is>
          <t>Глаголы: to be / have got / модальные</t>
        </is>
      </c>
      <c r="D149" s="10" t="inlineStr">
        <is>
          <t>may/might</t>
        </is>
      </c>
      <c r="E149" s="9" t="inlineStr">
        <is>
          <t>may/might: can — общая (теоретическая) возможность</t>
        </is>
      </c>
      <c r="F149" s="9" t="inlineStr">
        <is>
          <t>10+</t>
        </is>
      </c>
      <c r="G149" s="9" t="inlineStr"/>
      <c r="H149" s="9" t="inlineStr"/>
      <c r="I149" s="9" t="inlineStr"/>
      <c r="J149" s="9" t="inlineStr"/>
      <c r="K149" s="9" t="inlineStr"/>
      <c r="L149" s="15" t="inlineStr">
        <is>
          <t>М7 (7c) · новое</t>
        </is>
      </c>
      <c r="M149" s="12" t="inlineStr">
        <is>
          <t>М7 (7d) · повт.</t>
        </is>
      </c>
      <c r="N149" s="12" t="inlineStr">
        <is>
          <t>М4 (4c) · повт.</t>
        </is>
      </c>
      <c r="O149" s="12" t="inlineStr">
        <is>
          <t>М5 (5c) · повт.</t>
        </is>
      </c>
      <c r="P149" s="16" t="inlineStr">
        <is>
          <t>—</t>
        </is>
      </c>
      <c r="Q149" s="17" t="inlineStr"/>
      <c r="R149" s="13" t="inlineStr">
        <is>
          <t>нет</t>
        </is>
      </c>
      <c r="S149" s="9" t="inlineStr"/>
      <c r="T149" s="9" t="inlineStr"/>
    </row>
    <row r="150">
      <c r="A150" s="9" t="n">
        <v>149</v>
      </c>
      <c r="B150" s="9" t="inlineStr">
        <is>
          <t>Грамматика</t>
        </is>
      </c>
      <c r="C150" s="9" t="inlineStr">
        <is>
          <t>Глаголы: to be / have got / модальные</t>
        </is>
      </c>
      <c r="D150" s="10" t="inlineStr">
        <is>
          <t>may/might</t>
        </is>
      </c>
      <c r="E150" s="9" t="inlineStr">
        <is>
          <t>may/might: could/may/might — возможность в конкретной ситуации</t>
        </is>
      </c>
      <c r="F150" s="9" t="inlineStr">
        <is>
          <t>10+</t>
        </is>
      </c>
      <c r="G150" s="9" t="inlineStr"/>
      <c r="H150" s="9" t="inlineStr"/>
      <c r="I150" s="9" t="inlineStr"/>
      <c r="J150" s="9" t="inlineStr"/>
      <c r="K150" s="9" t="inlineStr"/>
      <c r="L150" s="15" t="inlineStr">
        <is>
          <t>М7 (7c) · новое</t>
        </is>
      </c>
      <c r="M150" s="12" t="inlineStr">
        <is>
          <t>М7 (7d) · повт.</t>
        </is>
      </c>
      <c r="N150" s="12" t="inlineStr">
        <is>
          <t>М4 (4c) · повт.</t>
        </is>
      </c>
      <c r="O150" s="12" t="inlineStr">
        <is>
          <t>М5 (5c) · повт.</t>
        </is>
      </c>
      <c r="P150" s="16" t="inlineStr">
        <is>
          <t>—</t>
        </is>
      </c>
      <c r="Q150" s="17" t="inlineStr"/>
      <c r="R150" s="13" t="inlineStr">
        <is>
          <t>нет</t>
        </is>
      </c>
      <c r="S150" s="9" t="inlineStr"/>
      <c r="T150" s="9" t="inlineStr"/>
    </row>
    <row r="151">
      <c r="A151" s="9" t="n">
        <v>150</v>
      </c>
      <c r="B151" s="9" t="inlineStr">
        <is>
          <t>Грамматика</t>
        </is>
      </c>
      <c r="C151" s="9" t="inlineStr">
        <is>
          <t>Глаголы: to be / have got / модальные</t>
        </is>
      </c>
      <c r="D151" s="10" t="inlineStr">
        <is>
          <t>may/might</t>
        </is>
      </c>
      <c r="E151" s="9" t="inlineStr">
        <is>
          <t>may/might: возможность в вопросах — can/could/might, но не may</t>
        </is>
      </c>
      <c r="F151" s="9" t="inlineStr">
        <is>
          <t>10+</t>
        </is>
      </c>
      <c r="G151" s="9" t="inlineStr"/>
      <c r="H151" s="9" t="inlineStr"/>
      <c r="I151" s="9" t="inlineStr"/>
      <c r="J151" s="9" t="inlineStr"/>
      <c r="K151" s="9" t="inlineStr"/>
      <c r="L151" s="15" t="inlineStr">
        <is>
          <t>М7 (7c) · новое</t>
        </is>
      </c>
      <c r="M151" s="12" t="inlineStr">
        <is>
          <t>М7 (7d) · повт.</t>
        </is>
      </c>
      <c r="N151" s="12" t="inlineStr">
        <is>
          <t>М4 (4c) · повт.</t>
        </is>
      </c>
      <c r="O151" s="12" t="inlineStr">
        <is>
          <t>М5 (5c) · повт.</t>
        </is>
      </c>
      <c r="P151" s="16" t="inlineStr">
        <is>
          <t>—</t>
        </is>
      </c>
      <c r="Q151" s="17" t="inlineStr"/>
      <c r="R151" s="13" t="inlineStr">
        <is>
          <t>нет</t>
        </is>
      </c>
      <c r="S151" s="9" t="inlineStr"/>
      <c r="T151" s="9" t="inlineStr"/>
    </row>
    <row r="152">
      <c r="A152" s="9" t="n">
        <v>151</v>
      </c>
      <c r="B152" s="9" t="inlineStr">
        <is>
          <t>Грамматика</t>
        </is>
      </c>
      <c r="C152" s="9" t="inlineStr">
        <is>
          <t>Глаголы: to be / have got / модальные</t>
        </is>
      </c>
      <c r="D152" s="10" t="inlineStr">
        <is>
          <t>may/might</t>
        </is>
      </c>
      <c r="E152" s="9" t="inlineStr">
        <is>
          <t>may/might: could/might/would + have V3 — было возможно, но не случилось</t>
        </is>
      </c>
      <c r="F152" s="9" t="inlineStr">
        <is>
          <t>10+</t>
        </is>
      </c>
      <c r="G152" s="9" t="inlineStr"/>
      <c r="H152" s="9" t="inlineStr"/>
      <c r="I152" s="9" t="inlineStr"/>
      <c r="J152" s="9" t="inlineStr"/>
      <c r="K152" s="9" t="inlineStr"/>
      <c r="L152" s="15" t="inlineStr">
        <is>
          <t>М7 (7c) · новое</t>
        </is>
      </c>
      <c r="M152" s="12" t="inlineStr">
        <is>
          <t>М7 (7d) · повт.</t>
        </is>
      </c>
      <c r="N152" s="12" t="inlineStr">
        <is>
          <t>М4 (4c) · повт.</t>
        </is>
      </c>
      <c r="O152" s="12" t="inlineStr">
        <is>
          <t>М5 (5c) · повт.</t>
        </is>
      </c>
      <c r="P152" s="16" t="inlineStr">
        <is>
          <t>—</t>
        </is>
      </c>
      <c r="Q152" s="17" t="inlineStr"/>
      <c r="R152" s="13" t="inlineStr">
        <is>
          <t>нет</t>
        </is>
      </c>
      <c r="S152" s="9" t="inlineStr"/>
      <c r="T152" s="9" t="inlineStr"/>
    </row>
    <row r="153">
      <c r="A153" s="4" t="n">
        <v>152</v>
      </c>
      <c r="B153" s="4" t="inlineStr">
        <is>
          <t>Грамматика</t>
        </is>
      </c>
      <c r="C153" s="4" t="inlineStr">
        <is>
          <t>Глаголы: to be / have got / модальные</t>
        </is>
      </c>
      <c r="D153" s="5" t="inlineStr">
        <is>
          <t>must/mustn't</t>
        </is>
      </c>
      <c r="E153" s="4" t="inlineStr">
        <is>
          <t>must/mustn't: must — обязанность, необходимость</t>
        </is>
      </c>
      <c r="F153" s="4" t="inlineStr">
        <is>
          <t>10+</t>
        </is>
      </c>
      <c r="G153" s="4" t="inlineStr"/>
      <c r="H153" s="18" t="inlineStr">
        <is>
          <t>М4 · новое</t>
        </is>
      </c>
      <c r="I153" s="7" t="inlineStr">
        <is>
          <t>М9 · повт.</t>
        </is>
      </c>
      <c r="J153" s="7" t="inlineStr">
        <is>
          <t>М8 (8a) · повт.</t>
        </is>
      </c>
      <c r="K153" s="7" t="inlineStr">
        <is>
          <t>М8 · повт.</t>
        </is>
      </c>
      <c r="L153" s="7" t="inlineStr">
        <is>
          <t>М7 (7c) · повт.</t>
        </is>
      </c>
      <c r="M153" s="7" t="inlineStr">
        <is>
          <t>М7 (7d) · повт.</t>
        </is>
      </c>
      <c r="N153" s="21" t="inlineStr">
        <is>
          <t>М4 (4c) · расш.</t>
        </is>
      </c>
      <c r="O153" s="4" t="inlineStr"/>
      <c r="P153" s="19" t="inlineStr">
        <is>
          <t>—</t>
        </is>
      </c>
      <c r="Q153" s="20" t="inlineStr"/>
      <c r="R153" s="8" t="inlineStr">
        <is>
          <t>нет</t>
        </is>
      </c>
      <c r="S153" s="4" t="inlineStr"/>
      <c r="T153" s="4" t="inlineStr"/>
    </row>
    <row r="154">
      <c r="A154" s="9" t="n">
        <v>153</v>
      </c>
      <c r="B154" s="9" t="inlineStr">
        <is>
          <t>Грамматика</t>
        </is>
      </c>
      <c r="C154" s="9" t="inlineStr">
        <is>
          <t>Глаголы: to be / have got / модальные</t>
        </is>
      </c>
      <c r="D154" s="10" t="inlineStr">
        <is>
          <t>must/mustn't</t>
        </is>
      </c>
      <c r="E154" s="9" t="inlineStr">
        <is>
          <t>must/mustn't: mustn't — запрет</t>
        </is>
      </c>
      <c r="F154" s="9" t="inlineStr">
        <is>
          <t>10+</t>
        </is>
      </c>
      <c r="G154" s="9" t="inlineStr"/>
      <c r="H154" s="15" t="inlineStr">
        <is>
          <t>М4 · новое</t>
        </is>
      </c>
      <c r="I154" s="12" t="inlineStr">
        <is>
          <t>М9 · повт.</t>
        </is>
      </c>
      <c r="J154" s="12" t="inlineStr">
        <is>
          <t>М8 (8a) · повт.</t>
        </is>
      </c>
      <c r="K154" s="12" t="inlineStr">
        <is>
          <t>М8 · повт.</t>
        </is>
      </c>
      <c r="L154" s="9" t="inlineStr"/>
      <c r="M154" s="12" t="inlineStr">
        <is>
          <t>М7 (7d) · повт.</t>
        </is>
      </c>
      <c r="N154" s="12" t="inlineStr">
        <is>
          <t>М4 (4c) · повт.</t>
        </is>
      </c>
      <c r="O154" s="9" t="inlineStr"/>
      <c r="P154" s="16" t="inlineStr">
        <is>
          <t>—</t>
        </is>
      </c>
      <c r="Q154" s="17" t="inlineStr"/>
      <c r="R154" s="13" t="inlineStr">
        <is>
          <t>нет</t>
        </is>
      </c>
      <c r="S154" s="9" t="inlineStr"/>
      <c r="T154" s="9" t="inlineStr"/>
    </row>
    <row r="155">
      <c r="A155" s="9" t="n">
        <v>154</v>
      </c>
      <c r="B155" s="9" t="inlineStr">
        <is>
          <t>Грамматика</t>
        </is>
      </c>
      <c r="C155" s="9" t="inlineStr">
        <is>
          <t>Глаголы: to be / have got / модальные</t>
        </is>
      </c>
      <c r="D155" s="10" t="inlineStr">
        <is>
          <t>must/mustn't</t>
        </is>
      </c>
      <c r="E155" s="9" t="inlineStr">
        <is>
          <t>must/mustn't: can't как запрет (= mustn't)</t>
        </is>
      </c>
      <c r="F155" s="9" t="inlineStr">
        <is>
          <t>10+</t>
        </is>
      </c>
      <c r="G155" s="9" t="inlineStr"/>
      <c r="H155" s="9" t="inlineStr"/>
      <c r="I155" s="9" t="inlineStr"/>
      <c r="J155" s="15" t="inlineStr">
        <is>
          <t>М8 (8a) · новое</t>
        </is>
      </c>
      <c r="K155" s="9" t="inlineStr"/>
      <c r="L155" s="12" t="inlineStr">
        <is>
          <t>М7 (7c) · повт.</t>
        </is>
      </c>
      <c r="M155" s="9" t="inlineStr"/>
      <c r="N155" s="12" t="inlineStr">
        <is>
          <t>М4 (4c) · повт.</t>
        </is>
      </c>
      <c r="O155" s="9" t="inlineStr"/>
      <c r="P155" s="16" t="inlineStr">
        <is>
          <t>—</t>
        </is>
      </c>
      <c r="Q155" s="17" t="inlineStr"/>
      <c r="R155" s="13" t="inlineStr">
        <is>
          <t>нет</t>
        </is>
      </c>
      <c r="S155" s="9" t="inlineStr"/>
      <c r="T155" s="9" t="inlineStr"/>
    </row>
    <row r="156">
      <c r="A156" s="9" t="n">
        <v>155</v>
      </c>
      <c r="B156" s="9" t="inlineStr">
        <is>
          <t>Грамматика</t>
        </is>
      </c>
      <c r="C156" s="9" t="inlineStr">
        <is>
          <t>Глаголы: to be / have got / модальные</t>
        </is>
      </c>
      <c r="D156" s="10" t="inlineStr">
        <is>
          <t>must/mustn't</t>
        </is>
      </c>
      <c r="E156" s="9" t="inlineStr">
        <is>
          <t>must/mustn't: must — настойчивый совет</t>
        </is>
      </c>
      <c r="F156" s="9" t="inlineStr">
        <is>
          <t>10+</t>
        </is>
      </c>
      <c r="G156" s="9" t="inlineStr"/>
      <c r="H156" s="9" t="inlineStr"/>
      <c r="I156" s="9" t="inlineStr"/>
      <c r="J156" s="9" t="inlineStr"/>
      <c r="K156" s="15" t="inlineStr">
        <is>
          <t>М8 · новое</t>
        </is>
      </c>
      <c r="L156" s="9" t="inlineStr"/>
      <c r="M156" s="9" t="inlineStr"/>
      <c r="N156" s="9" t="inlineStr"/>
      <c r="O156" s="9" t="inlineStr"/>
      <c r="P156" s="16" t="inlineStr">
        <is>
          <t>—</t>
        </is>
      </c>
      <c r="Q156" s="17" t="inlineStr"/>
      <c r="R156" s="13" t="inlineStr">
        <is>
          <t>нет</t>
        </is>
      </c>
      <c r="S156" s="9" t="inlineStr"/>
      <c r="T156" s="9" t="inlineStr"/>
    </row>
    <row r="157">
      <c r="A157" s="9" t="n">
        <v>156</v>
      </c>
      <c r="B157" s="9" t="inlineStr">
        <is>
          <t>Грамматика</t>
        </is>
      </c>
      <c r="C157" s="9" t="inlineStr">
        <is>
          <t>Глаголы: to be / have got / модальные</t>
        </is>
      </c>
      <c r="D157" s="10" t="inlineStr">
        <is>
          <t>must/mustn't</t>
        </is>
      </c>
      <c r="E157" s="9" t="inlineStr">
        <is>
          <t>must/mustn't: must только в настоящем; в других временах — have to / had to</t>
        </is>
      </c>
      <c r="F157" s="9" t="inlineStr">
        <is>
          <t>10+</t>
        </is>
      </c>
      <c r="G157" s="9" t="inlineStr"/>
      <c r="H157" s="9" t="inlineStr"/>
      <c r="I157" s="9" t="inlineStr"/>
      <c r="J157" s="9" t="inlineStr"/>
      <c r="K157" s="15" t="inlineStr">
        <is>
          <t>М8 · новое</t>
        </is>
      </c>
      <c r="L157" s="12" t="inlineStr">
        <is>
          <t>М7 (7c) · повт.</t>
        </is>
      </c>
      <c r="M157" s="12" t="inlineStr">
        <is>
          <t>М7 (7d) · повт.</t>
        </is>
      </c>
      <c r="N157" s="9" t="inlineStr"/>
      <c r="O157" s="9" t="inlineStr"/>
      <c r="P157" s="16" t="inlineStr">
        <is>
          <t>—</t>
        </is>
      </c>
      <c r="Q157" s="17" t="inlineStr"/>
      <c r="R157" s="13" t="inlineStr">
        <is>
          <t>нет</t>
        </is>
      </c>
      <c r="S157" s="9" t="inlineStr"/>
      <c r="T157" s="9" t="inlineStr"/>
    </row>
    <row r="158">
      <c r="A158" s="9" t="n">
        <v>157</v>
      </c>
      <c r="B158" s="9" t="inlineStr">
        <is>
          <t>Грамматика</t>
        </is>
      </c>
      <c r="C158" s="9" t="inlineStr">
        <is>
          <t>Глаголы: to be / have got / модальные</t>
        </is>
      </c>
      <c r="D158" s="10" t="inlineStr">
        <is>
          <t>must/mustn't</t>
        </is>
      </c>
      <c r="E158" s="9" t="inlineStr">
        <is>
          <t>must/mustn't: must — логический вывод</t>
        </is>
      </c>
      <c r="F158" s="9" t="inlineStr">
        <is>
          <t>10+</t>
        </is>
      </c>
      <c r="G158" s="9" t="inlineStr"/>
      <c r="H158" s="9" t="inlineStr"/>
      <c r="I158" s="9" t="inlineStr"/>
      <c r="J158" s="9" t="inlineStr"/>
      <c r="K158" s="9" t="inlineStr"/>
      <c r="L158" s="9" t="inlineStr"/>
      <c r="M158" s="9" t="inlineStr"/>
      <c r="N158" s="15" t="inlineStr">
        <is>
          <t>М4 (4c) · новое</t>
        </is>
      </c>
      <c r="O158" s="9" t="inlineStr"/>
      <c r="P158" s="16" t="inlineStr">
        <is>
          <t>—</t>
        </is>
      </c>
      <c r="Q158" s="17" t="inlineStr"/>
      <c r="R158" s="13" t="inlineStr">
        <is>
          <t>нет</t>
        </is>
      </c>
      <c r="S158" s="9" t="inlineStr"/>
      <c r="T158" s="9" t="inlineStr"/>
    </row>
    <row r="159">
      <c r="A159" s="4" t="n">
        <v>158</v>
      </c>
      <c r="B159" s="4" t="inlineStr">
        <is>
          <t>Грамматика</t>
        </is>
      </c>
      <c r="C159" s="4" t="inlineStr">
        <is>
          <t>Глаголы: to be / have got / модальные</t>
        </is>
      </c>
      <c r="D159" s="5" t="inlineStr">
        <is>
          <t>can (permission/request)</t>
        </is>
      </c>
      <c r="E159" s="4" t="inlineStr">
        <is>
          <t>can (permission/request): спросить разрешения — Can I…?</t>
        </is>
      </c>
      <c r="F159" s="4" t="inlineStr">
        <is>
          <t>10+</t>
        </is>
      </c>
      <c r="G159" s="4" t="inlineStr"/>
      <c r="H159" s="4" t="inlineStr"/>
      <c r="I159" s="18" t="inlineStr">
        <is>
          <t>М10 (10a) · новое</t>
        </is>
      </c>
      <c r="J159" s="7" t="inlineStr">
        <is>
          <t>М3 (3b) · повт.</t>
        </is>
      </c>
      <c r="K159" s="4" t="inlineStr"/>
      <c r="L159" s="4" t="inlineStr"/>
      <c r="M159" s="4" t="inlineStr"/>
      <c r="N159" s="4" t="inlineStr"/>
      <c r="O159" s="4" t="inlineStr"/>
      <c r="P159" s="19" t="inlineStr">
        <is>
          <t>—</t>
        </is>
      </c>
      <c r="Q159" s="20" t="inlineStr"/>
      <c r="R159" s="8" t="inlineStr">
        <is>
          <t>нет</t>
        </is>
      </c>
      <c r="S159" s="4" t="inlineStr"/>
      <c r="T159" s="4" t="inlineStr"/>
    </row>
    <row r="160">
      <c r="A160" s="9" t="n">
        <v>159</v>
      </c>
      <c r="B160" s="9" t="inlineStr">
        <is>
          <t>Грамматика</t>
        </is>
      </c>
      <c r="C160" s="9" t="inlineStr">
        <is>
          <t>Глаголы: to be / have got / модальные</t>
        </is>
      </c>
      <c r="D160" s="10" t="inlineStr">
        <is>
          <t>can (permission/request)</t>
        </is>
      </c>
      <c r="E160" s="9" t="inlineStr">
        <is>
          <t>can (permission/request): просьба — Can you…? / Can I have…?</t>
        </is>
      </c>
      <c r="F160" s="9" t="inlineStr">
        <is>
          <t>10+</t>
        </is>
      </c>
      <c r="G160" s="9" t="inlineStr"/>
      <c r="H160" s="9" t="inlineStr"/>
      <c r="I160" s="15" t="inlineStr">
        <is>
          <t>М10 (10a) · новое</t>
        </is>
      </c>
      <c r="J160" s="12" t="inlineStr">
        <is>
          <t>М3 (3b) · повт.</t>
        </is>
      </c>
      <c r="K160" s="9" t="inlineStr"/>
      <c r="L160" s="9" t="inlineStr"/>
      <c r="M160" s="9" t="inlineStr"/>
      <c r="N160" s="9" t="inlineStr"/>
      <c r="O160" s="9" t="inlineStr"/>
      <c r="P160" s="16" t="inlineStr">
        <is>
          <t>—</t>
        </is>
      </c>
      <c r="Q160" s="17" t="inlineStr"/>
      <c r="R160" s="13" t="inlineStr">
        <is>
          <t>нет</t>
        </is>
      </c>
      <c r="S160" s="9" t="inlineStr"/>
      <c r="T160" s="9" t="inlineStr"/>
    </row>
    <row r="161">
      <c r="A161" s="9" t="n">
        <v>160</v>
      </c>
      <c r="B161" s="9" t="inlineStr">
        <is>
          <t>Грамматика</t>
        </is>
      </c>
      <c r="C161" s="9" t="inlineStr">
        <is>
          <t>Глаголы: to be / have got / модальные</t>
        </is>
      </c>
      <c r="D161" s="10" t="inlineStr">
        <is>
          <t>can (permission/request)</t>
        </is>
      </c>
      <c r="E161" s="9" t="inlineStr">
        <is>
          <t>can (permission/request): предложение помощи — Can I…?</t>
        </is>
      </c>
      <c r="F161" s="9" t="inlineStr">
        <is>
          <t>10+</t>
        </is>
      </c>
      <c r="G161" s="9" t="inlineStr"/>
      <c r="H161" s="9" t="inlineStr"/>
      <c r="I161" s="15" t="inlineStr">
        <is>
          <t>М10 (10a) · новое</t>
        </is>
      </c>
      <c r="J161" s="9" t="inlineStr"/>
      <c r="K161" s="9" t="inlineStr"/>
      <c r="L161" s="9" t="inlineStr"/>
      <c r="M161" s="9" t="inlineStr"/>
      <c r="N161" s="9" t="inlineStr"/>
      <c r="O161" s="9" t="inlineStr"/>
      <c r="P161" s="16" t="inlineStr">
        <is>
          <t>—</t>
        </is>
      </c>
      <c r="Q161" s="17" t="inlineStr"/>
      <c r="R161" s="13" t="inlineStr">
        <is>
          <t>нет</t>
        </is>
      </c>
      <c r="S161" s="9" t="inlineStr"/>
      <c r="T161" s="9" t="inlineStr"/>
    </row>
    <row r="162">
      <c r="A162" s="9" t="n">
        <v>161</v>
      </c>
      <c r="B162" s="9" t="inlineStr">
        <is>
          <t>Грамматика</t>
        </is>
      </c>
      <c r="C162" s="9" t="inlineStr">
        <is>
          <t>Глаголы: to be / have got / модальные</t>
        </is>
      </c>
      <c r="D162" s="10" t="inlineStr">
        <is>
          <t>can (permission/request)</t>
        </is>
      </c>
      <c r="E162" s="9" t="inlineStr">
        <is>
          <t>can (permission/request): can't — запрет</t>
        </is>
      </c>
      <c r="F162" s="9" t="inlineStr">
        <is>
          <t>10+</t>
        </is>
      </c>
      <c r="G162" s="9" t="inlineStr"/>
      <c r="H162" s="9" t="inlineStr"/>
      <c r="I162" s="15" t="inlineStr">
        <is>
          <t>М10 (10a) · новое</t>
        </is>
      </c>
      <c r="J162" s="12" t="inlineStr">
        <is>
          <t>М3 (3b) · повт.</t>
        </is>
      </c>
      <c r="K162" s="9" t="inlineStr"/>
      <c r="L162" s="9" t="inlineStr"/>
      <c r="M162" s="14" t="inlineStr">
        <is>
          <t>М7 (7d) · расш.</t>
        </is>
      </c>
      <c r="N162" s="12" t="inlineStr">
        <is>
          <t>М4 (4c) · повт.</t>
        </is>
      </c>
      <c r="O162" s="12" t="inlineStr">
        <is>
          <t>М5 (5c) · повт.</t>
        </is>
      </c>
      <c r="P162" s="16" t="inlineStr">
        <is>
          <t>—</t>
        </is>
      </c>
      <c r="Q162" s="17" t="inlineStr"/>
      <c r="R162" s="13" t="inlineStr">
        <is>
          <t>нет</t>
        </is>
      </c>
      <c r="S162" s="9" t="inlineStr"/>
      <c r="T162" s="9" t="inlineStr"/>
    </row>
    <row r="163">
      <c r="A163" s="9" t="n">
        <v>162</v>
      </c>
      <c r="B163" s="9" t="inlineStr">
        <is>
          <t>Грамматика</t>
        </is>
      </c>
      <c r="C163" s="9" t="inlineStr">
        <is>
          <t>Глаголы: to be / have got / модальные</t>
        </is>
      </c>
      <c r="D163" s="10" t="inlineStr">
        <is>
          <t>can (permission/request)</t>
        </is>
      </c>
      <c r="E163" s="9" t="inlineStr">
        <is>
          <t>can (permission/request): can vs may — разрешение (may формальнее)</t>
        </is>
      </c>
      <c r="F163" s="9" t="inlineStr">
        <is>
          <t>10+</t>
        </is>
      </c>
      <c r="G163" s="9" t="inlineStr"/>
      <c r="H163" s="9" t="inlineStr"/>
      <c r="I163" s="9" t="inlineStr"/>
      <c r="J163" s="9" t="inlineStr"/>
      <c r="K163" s="9" t="inlineStr"/>
      <c r="L163" s="15" t="inlineStr">
        <is>
          <t>М7 (7c) · новое</t>
        </is>
      </c>
      <c r="M163" s="12" t="inlineStr">
        <is>
          <t>М7 (7d) · повт.</t>
        </is>
      </c>
      <c r="N163" s="12" t="inlineStr">
        <is>
          <t>М4 (4c) · повт.</t>
        </is>
      </c>
      <c r="O163" s="12" t="inlineStr">
        <is>
          <t>М5 (5c) · повт.</t>
        </is>
      </c>
      <c r="P163" s="16" t="inlineStr">
        <is>
          <t>—</t>
        </is>
      </c>
      <c r="Q163" s="17" t="inlineStr"/>
      <c r="R163" s="13" t="inlineStr">
        <is>
          <t>нет</t>
        </is>
      </c>
      <c r="S163" s="9" t="inlineStr"/>
      <c r="T163" s="9" t="inlineStr"/>
    </row>
    <row r="164">
      <c r="A164" s="9" t="n">
        <v>163</v>
      </c>
      <c r="B164" s="9" t="inlineStr">
        <is>
          <t>Грамматика</t>
        </is>
      </c>
      <c r="C164" s="9" t="inlineStr">
        <is>
          <t>Глаголы: to be / have got / модальные</t>
        </is>
      </c>
      <c r="D164" s="10" t="inlineStr">
        <is>
          <t>can (permission/request)</t>
        </is>
      </c>
      <c r="E164" s="9" t="inlineStr">
        <is>
          <t>can (permission/request): предложения (offers/suggestions) — can, could, would, shall</t>
        </is>
      </c>
      <c r="F164" s="9" t="inlineStr">
        <is>
          <t>10+</t>
        </is>
      </c>
      <c r="G164" s="9" t="inlineStr"/>
      <c r="H164" s="9" t="inlineStr"/>
      <c r="I164" s="9" t="inlineStr"/>
      <c r="J164" s="9" t="inlineStr"/>
      <c r="K164" s="9" t="inlineStr"/>
      <c r="L164" s="15" t="inlineStr">
        <is>
          <t>М7 (7c) · новое</t>
        </is>
      </c>
      <c r="M164" s="12" t="inlineStr">
        <is>
          <t>М7 (7d) · повт.</t>
        </is>
      </c>
      <c r="N164" s="12" t="inlineStr">
        <is>
          <t>М4 (4c) · повт.</t>
        </is>
      </c>
      <c r="O164" s="9" t="inlineStr"/>
      <c r="P164" s="16" t="inlineStr">
        <is>
          <t>—</t>
        </is>
      </c>
      <c r="Q164" s="17" t="inlineStr"/>
      <c r="R164" s="13" t="inlineStr">
        <is>
          <t>нет</t>
        </is>
      </c>
      <c r="S164" s="9" t="inlineStr"/>
      <c r="T164" s="9" t="inlineStr"/>
    </row>
    <row r="165">
      <c r="A165" s="4" t="n">
        <v>164</v>
      </c>
      <c r="B165" s="4" t="inlineStr">
        <is>
          <t>Грамматика</t>
        </is>
      </c>
      <c r="C165" s="4" t="inlineStr">
        <is>
          <t>Глаголы: to be / have got / модальные</t>
        </is>
      </c>
      <c r="D165" s="5" t="inlineStr">
        <is>
          <t>need/needn't</t>
        </is>
      </c>
      <c r="E165" s="4" t="inlineStr">
        <is>
          <t>need/needn't: needn't / don't need to — нет необходимости (наст./буд.)</t>
        </is>
      </c>
      <c r="F165" s="4" t="inlineStr">
        <is>
          <t>10+</t>
        </is>
      </c>
      <c r="G165" s="4" t="inlineStr"/>
      <c r="H165" s="4" t="inlineStr"/>
      <c r="I165" s="4" t="inlineStr"/>
      <c r="J165" s="18" t="inlineStr">
        <is>
          <t>М8 (8c) · новое</t>
        </is>
      </c>
      <c r="K165" s="4" t="inlineStr"/>
      <c r="L165" s="21" t="inlineStr">
        <is>
          <t>М7 (7c) · расш.</t>
        </is>
      </c>
      <c r="M165" s="7" t="inlineStr">
        <is>
          <t>М7 (7d) · повт.</t>
        </is>
      </c>
      <c r="N165" s="7" t="inlineStr">
        <is>
          <t>М4 (4c) · повт.</t>
        </is>
      </c>
      <c r="O165" s="7" t="inlineStr">
        <is>
          <t>М5 (5c) · повт.</t>
        </is>
      </c>
      <c r="P165" s="19" t="inlineStr">
        <is>
          <t>—</t>
        </is>
      </c>
      <c r="Q165" s="20" t="inlineStr"/>
      <c r="R165" s="8" t="inlineStr">
        <is>
          <t>нет</t>
        </is>
      </c>
      <c r="S165" s="4" t="inlineStr"/>
      <c r="T165" s="4" t="inlineStr"/>
    </row>
    <row r="166">
      <c r="A166" s="9" t="n">
        <v>165</v>
      </c>
      <c r="B166" s="9" t="inlineStr">
        <is>
          <t>Грамматика</t>
        </is>
      </c>
      <c r="C166" s="9" t="inlineStr">
        <is>
          <t>Глаголы: to be / have got / модальные</t>
        </is>
      </c>
      <c r="D166" s="10" t="inlineStr">
        <is>
          <t>need/needn't</t>
        </is>
      </c>
      <c r="E166" s="9" t="inlineStr">
        <is>
          <t>need/needn't: needn't have V3 — не было необходимости, но сделали</t>
        </is>
      </c>
      <c r="F166" s="9" t="inlineStr">
        <is>
          <t>10+</t>
        </is>
      </c>
      <c r="G166" s="9" t="inlineStr"/>
      <c r="H166" s="9" t="inlineStr"/>
      <c r="I166" s="9" t="inlineStr"/>
      <c r="J166" s="9" t="inlineStr"/>
      <c r="K166" s="9" t="inlineStr"/>
      <c r="L166" s="9" t="inlineStr"/>
      <c r="M166" s="9" t="inlineStr"/>
      <c r="N166" s="9" t="inlineStr"/>
      <c r="O166" s="15" t="inlineStr">
        <is>
          <t>М5 (5c) · новое</t>
        </is>
      </c>
      <c r="P166" s="16" t="inlineStr">
        <is>
          <t>—</t>
        </is>
      </c>
      <c r="Q166" s="17" t="inlineStr"/>
      <c r="R166" s="13" t="inlineStr">
        <is>
          <t>нет</t>
        </is>
      </c>
      <c r="S166" s="9" t="inlineStr"/>
      <c r="T166" s="9" t="inlineStr"/>
    </row>
    <row r="167">
      <c r="A167" s="9" t="n">
        <v>166</v>
      </c>
      <c r="B167" s="9" t="inlineStr">
        <is>
          <t>Грамматика</t>
        </is>
      </c>
      <c r="C167" s="9" t="inlineStr">
        <is>
          <t>Глаголы: to be / have got / модальные</t>
        </is>
      </c>
      <c r="D167" s="10" t="inlineStr">
        <is>
          <t>need/needn't</t>
        </is>
      </c>
      <c r="E167" s="9" t="inlineStr">
        <is>
          <t>need/needn't: needn't have vs didn't have to</t>
        </is>
      </c>
      <c r="F167" s="9" t="inlineStr">
        <is>
          <t>10+</t>
        </is>
      </c>
      <c r="G167" s="9" t="inlineStr"/>
      <c r="H167" s="9" t="inlineStr"/>
      <c r="I167" s="9" t="inlineStr"/>
      <c r="J167" s="9" t="inlineStr"/>
      <c r="K167" s="9" t="inlineStr"/>
      <c r="L167" s="9" t="inlineStr"/>
      <c r="M167" s="9" t="inlineStr"/>
      <c r="N167" s="9" t="inlineStr"/>
      <c r="O167" s="15" t="inlineStr">
        <is>
          <t>М5 (5c) · новое</t>
        </is>
      </c>
      <c r="P167" s="16" t="inlineStr">
        <is>
          <t>—</t>
        </is>
      </c>
      <c r="Q167" s="17" t="inlineStr"/>
      <c r="R167" s="13" t="inlineStr">
        <is>
          <t>нет</t>
        </is>
      </c>
      <c r="S167" s="9" t="inlineStr"/>
      <c r="T167" s="9" t="inlineStr"/>
    </row>
    <row r="168">
      <c r="A168" s="9" t="n">
        <v>167</v>
      </c>
      <c r="B168" s="9" t="inlineStr">
        <is>
          <t>Грамматика</t>
        </is>
      </c>
      <c r="C168" s="9" t="inlineStr">
        <is>
          <t>Глаголы: to be / have got / модальные</t>
        </is>
      </c>
      <c r="D168" s="10" t="inlineStr">
        <is>
          <t>need/needn't</t>
        </is>
      </c>
      <c r="E168" s="9" t="inlineStr">
        <is>
          <t>need/needn't: need (= must) как эквивалент модального</t>
        </is>
      </c>
      <c r="F168" s="9" t="inlineStr">
        <is>
          <t>10+</t>
        </is>
      </c>
      <c r="G168" s="9" t="inlineStr"/>
      <c r="H168" s="9" t="inlineStr"/>
      <c r="I168" s="9" t="inlineStr"/>
      <c r="J168" s="9" t="inlineStr"/>
      <c r="K168" s="9" t="inlineStr"/>
      <c r="L168" s="9" t="inlineStr"/>
      <c r="M168" s="9" t="inlineStr"/>
      <c r="N168" s="15" t="inlineStr">
        <is>
          <t>М4 (4c) · новое</t>
        </is>
      </c>
      <c r="O168" s="12" t="inlineStr">
        <is>
          <t>М5 (5c) · повт.</t>
        </is>
      </c>
      <c r="P168" s="16" t="inlineStr">
        <is>
          <t>—</t>
        </is>
      </c>
      <c r="Q168" s="17" t="inlineStr"/>
      <c r="R168" s="13" t="inlineStr">
        <is>
          <t>нет</t>
        </is>
      </c>
      <c r="S168" s="9" t="inlineStr"/>
      <c r="T168" s="9" t="inlineStr"/>
    </row>
    <row r="169">
      <c r="A169" s="4" t="n">
        <v>168</v>
      </c>
      <c r="B169" s="4" t="inlineStr">
        <is>
          <t>Грамматика</t>
        </is>
      </c>
      <c r="C169" s="4" t="inlineStr">
        <is>
          <t>Глаголы: to be / have got / модальные</t>
        </is>
      </c>
      <c r="D169" s="5" t="inlineStr">
        <is>
          <t>should/shouldn't</t>
        </is>
      </c>
      <c r="E169" s="4" t="inlineStr">
        <is>
          <t>should/shouldn't: значение — совет, рекомендация; утверждение should + глагол без to</t>
        </is>
      </c>
      <c r="F169" s="4" t="inlineStr">
        <is>
          <t>10+</t>
        </is>
      </c>
      <c r="G169" s="4" t="inlineStr"/>
      <c r="H169" s="4" t="inlineStr"/>
      <c r="I169" s="4" t="inlineStr"/>
      <c r="J169" s="4" t="inlineStr"/>
      <c r="K169" s="18" t="inlineStr">
        <is>
          <t>М1 · новое</t>
        </is>
      </c>
      <c r="L169" s="7" t="inlineStr">
        <is>
          <t>М7 (7c) · повт.</t>
        </is>
      </c>
      <c r="M169" s="7" t="inlineStr">
        <is>
          <t>М7 (7d) · повт.</t>
        </is>
      </c>
      <c r="N169" s="7" t="inlineStr">
        <is>
          <t>М4 (4c) · повт.</t>
        </is>
      </c>
      <c r="O169" s="7" t="inlineStr">
        <is>
          <t>М5 (5c) · повт.</t>
        </is>
      </c>
      <c r="P169" s="19" t="inlineStr">
        <is>
          <t>—</t>
        </is>
      </c>
      <c r="Q169" s="20" t="inlineStr"/>
      <c r="R169" s="8" t="inlineStr">
        <is>
          <t>нет</t>
        </is>
      </c>
      <c r="S169" s="4" t="inlineStr"/>
      <c r="T169" s="4" t="inlineStr"/>
    </row>
    <row r="170">
      <c r="A170" s="9" t="n">
        <v>169</v>
      </c>
      <c r="B170" s="9" t="inlineStr">
        <is>
          <t>Грамматика</t>
        </is>
      </c>
      <c r="C170" s="9" t="inlineStr">
        <is>
          <t>Глаголы: to be / have got / модальные</t>
        </is>
      </c>
      <c r="D170" s="10" t="inlineStr">
        <is>
          <t>should/shouldn't</t>
        </is>
      </c>
      <c r="E170" s="9" t="inlineStr">
        <is>
          <t>should/shouldn't: отрицание — shouldn't</t>
        </is>
      </c>
      <c r="F170" s="9" t="inlineStr">
        <is>
          <t>10+</t>
        </is>
      </c>
      <c r="G170" s="9" t="inlineStr"/>
      <c r="H170" s="9" t="inlineStr"/>
      <c r="I170" s="9" t="inlineStr"/>
      <c r="J170" s="9" t="inlineStr"/>
      <c r="K170" s="15" t="inlineStr">
        <is>
          <t>М1 · новое</t>
        </is>
      </c>
      <c r="L170" s="9" t="inlineStr"/>
      <c r="M170" s="9" t="inlineStr"/>
      <c r="N170" s="9" t="inlineStr"/>
      <c r="O170" s="9" t="inlineStr"/>
      <c r="P170" s="16" t="inlineStr">
        <is>
          <t>—</t>
        </is>
      </c>
      <c r="Q170" s="17" t="inlineStr"/>
      <c r="R170" s="13" t="inlineStr">
        <is>
          <t>нет</t>
        </is>
      </c>
      <c r="S170" s="9" t="inlineStr"/>
      <c r="T170" s="9" t="inlineStr"/>
    </row>
    <row r="171">
      <c r="A171" s="9" t="n">
        <v>170</v>
      </c>
      <c r="B171" s="9" t="inlineStr">
        <is>
          <t>Грамматика</t>
        </is>
      </c>
      <c r="C171" s="9" t="inlineStr">
        <is>
          <t>Глаголы: to be / have got / модальные</t>
        </is>
      </c>
      <c r="D171" s="10" t="inlineStr">
        <is>
          <t>should/shouldn't</t>
        </is>
      </c>
      <c r="E171" s="9" t="inlineStr">
        <is>
          <t>should/shouldn't: вопросы — Should I…?</t>
        </is>
      </c>
      <c r="F171" s="9" t="inlineStr">
        <is>
          <t>10+</t>
        </is>
      </c>
      <c r="G171" s="9" t="inlineStr"/>
      <c r="H171" s="9" t="inlineStr"/>
      <c r="I171" s="9" t="inlineStr"/>
      <c r="J171" s="9" t="inlineStr"/>
      <c r="K171" s="15" t="inlineStr">
        <is>
          <t>М1 · новое</t>
        </is>
      </c>
      <c r="L171" s="9" t="inlineStr"/>
      <c r="M171" s="9" t="inlineStr"/>
      <c r="N171" s="9" t="inlineStr"/>
      <c r="O171" s="9" t="inlineStr"/>
      <c r="P171" s="16" t="inlineStr">
        <is>
          <t>—</t>
        </is>
      </c>
      <c r="Q171" s="17" t="inlineStr"/>
      <c r="R171" s="13" t="inlineStr">
        <is>
          <t>нет</t>
        </is>
      </c>
      <c r="S171" s="9" t="inlineStr"/>
      <c r="T171" s="9" t="inlineStr"/>
    </row>
    <row r="172">
      <c r="A172" s="9" t="n">
        <v>171</v>
      </c>
      <c r="B172" s="9" t="inlineStr">
        <is>
          <t>Грамматика</t>
        </is>
      </c>
      <c r="C172" s="9" t="inlineStr">
        <is>
          <t>Глаголы: to be / have got / модальные</t>
        </is>
      </c>
      <c r="D172" s="10" t="inlineStr">
        <is>
          <t>should/shouldn't</t>
        </is>
      </c>
      <c r="E172" s="9" t="inlineStr">
        <is>
          <t>should/shouldn't: ought to (= should)</t>
        </is>
      </c>
      <c r="F172" s="9" t="inlineStr">
        <is>
          <t>10+</t>
        </is>
      </c>
      <c r="G172" s="9" t="inlineStr"/>
      <c r="H172" s="9" t="inlineStr"/>
      <c r="I172" s="9" t="inlineStr"/>
      <c r="J172" s="9" t="inlineStr"/>
      <c r="K172" s="9" t="inlineStr"/>
      <c r="L172" s="15" t="inlineStr">
        <is>
          <t>М7 (7c) · новое</t>
        </is>
      </c>
      <c r="M172" s="12" t="inlineStr">
        <is>
          <t>М7 (7d) · повт.</t>
        </is>
      </c>
      <c r="N172" s="12" t="inlineStr">
        <is>
          <t>М4 (4c) · повт.</t>
        </is>
      </c>
      <c r="O172" s="12" t="inlineStr">
        <is>
          <t>М5 (5c) · повт.</t>
        </is>
      </c>
      <c r="P172" s="16" t="inlineStr">
        <is>
          <t>—</t>
        </is>
      </c>
      <c r="Q172" s="17" t="inlineStr"/>
      <c r="R172" s="13" t="inlineStr">
        <is>
          <t>нет</t>
        </is>
      </c>
      <c r="S172" s="9" t="inlineStr"/>
      <c r="T172" s="9" t="inlineStr"/>
    </row>
    <row r="173">
      <c r="A173" s="9" t="n">
        <v>172</v>
      </c>
      <c r="B173" s="9" t="inlineStr">
        <is>
          <t>Грамматика</t>
        </is>
      </c>
      <c r="C173" s="9" t="inlineStr">
        <is>
          <t>Глаголы: to be / have got / модальные</t>
        </is>
      </c>
      <c r="D173" s="10" t="inlineStr">
        <is>
          <t>should/shouldn't</t>
        </is>
      </c>
      <c r="E173" s="9" t="inlineStr">
        <is>
          <t>should/shouldn't: значение — обязательство, долг (слабая обязанность)</t>
        </is>
      </c>
      <c r="F173" s="9" t="inlineStr">
        <is>
          <t>10+</t>
        </is>
      </c>
      <c r="G173" s="9" t="inlineStr"/>
      <c r="H173" s="9" t="inlineStr"/>
      <c r="I173" s="9" t="inlineStr"/>
      <c r="J173" s="9" t="inlineStr"/>
      <c r="K173" s="9" t="inlineStr"/>
      <c r="L173" s="15" t="inlineStr">
        <is>
          <t>М7 (7c) · новое</t>
        </is>
      </c>
      <c r="M173" s="12" t="inlineStr">
        <is>
          <t>М7 (7d) · повт.</t>
        </is>
      </c>
      <c r="N173" s="12" t="inlineStr">
        <is>
          <t>М4 (4c) · повт.</t>
        </is>
      </c>
      <c r="O173" s="9" t="inlineStr"/>
      <c r="P173" s="16" t="inlineStr">
        <is>
          <t>—</t>
        </is>
      </c>
      <c r="Q173" s="17" t="inlineStr"/>
      <c r="R173" s="13" t="inlineStr">
        <is>
          <t>нет</t>
        </is>
      </c>
      <c r="S173" s="9" t="inlineStr"/>
      <c r="T173" s="9" t="inlineStr"/>
    </row>
    <row r="174">
      <c r="A174" s="9" t="n">
        <v>173</v>
      </c>
      <c r="B174" s="9" t="inlineStr">
        <is>
          <t>Грамматика</t>
        </is>
      </c>
      <c r="C174" s="9" t="inlineStr">
        <is>
          <t>Глаголы: to be / have got / модальные</t>
        </is>
      </c>
      <c r="D174" s="10" t="inlineStr">
        <is>
          <t>should/shouldn't</t>
        </is>
      </c>
      <c r="E174" s="9" t="inlineStr">
        <is>
          <t>should/shouldn't: значение — критика (should / should have V3)</t>
        </is>
      </c>
      <c r="F174" s="9" t="inlineStr">
        <is>
          <t>10+</t>
        </is>
      </c>
      <c r="G174" s="9" t="inlineStr"/>
      <c r="H174" s="9" t="inlineStr"/>
      <c r="I174" s="9" t="inlineStr"/>
      <c r="J174" s="9" t="inlineStr"/>
      <c r="K174" s="9" t="inlineStr"/>
      <c r="L174" s="15" t="inlineStr">
        <is>
          <t>М7 (7c) · новое</t>
        </is>
      </c>
      <c r="M174" s="12" t="inlineStr">
        <is>
          <t>М7 (7d) · повт.</t>
        </is>
      </c>
      <c r="N174" s="12" t="inlineStr">
        <is>
          <t>М4 (4c) · повт.</t>
        </is>
      </c>
      <c r="O174" s="9" t="inlineStr"/>
      <c r="P174" s="16" t="inlineStr">
        <is>
          <t>—</t>
        </is>
      </c>
      <c r="Q174" s="17" t="inlineStr"/>
      <c r="R174" s="13" t="inlineStr">
        <is>
          <t>нет</t>
        </is>
      </c>
      <c r="S174" s="9" t="inlineStr"/>
      <c r="T174" s="9" t="inlineStr"/>
    </row>
    <row r="175">
      <c r="A175" s="9" t="n">
        <v>174</v>
      </c>
      <c r="B175" s="9" t="inlineStr">
        <is>
          <t>Грамматика</t>
        </is>
      </c>
      <c r="C175" s="9" t="inlineStr">
        <is>
          <t>Глаголы: to be / have got / модальные</t>
        </is>
      </c>
      <c r="D175" s="10" t="inlineStr">
        <is>
          <t>should/shouldn't</t>
        </is>
      </c>
      <c r="E175" s="9" t="inlineStr">
        <is>
          <t>should/shouldn't: значение — вероятность ~90% (о будущем)</t>
        </is>
      </c>
      <c r="F175" s="9" t="inlineStr">
        <is>
          <t>10+</t>
        </is>
      </c>
      <c r="G175" s="9" t="inlineStr"/>
      <c r="H175" s="9" t="inlineStr"/>
      <c r="I175" s="9" t="inlineStr"/>
      <c r="J175" s="9" t="inlineStr"/>
      <c r="K175" s="9" t="inlineStr"/>
      <c r="L175" s="15" t="inlineStr">
        <is>
          <t>М7 (7c) · новое</t>
        </is>
      </c>
      <c r="M175" s="12" t="inlineStr">
        <is>
          <t>М7 (7d) · повт.</t>
        </is>
      </c>
      <c r="N175" s="12" t="inlineStr">
        <is>
          <t>М4 (4c) · повт.</t>
        </is>
      </c>
      <c r="O175" s="9" t="inlineStr"/>
      <c r="P175" s="16" t="inlineStr">
        <is>
          <t>—</t>
        </is>
      </c>
      <c r="Q175" s="17" t="inlineStr"/>
      <c r="R175" s="13" t="inlineStr">
        <is>
          <t>нет</t>
        </is>
      </c>
      <c r="S175" s="9" t="inlineStr"/>
      <c r="T175" s="9" t="inlineStr"/>
    </row>
    <row r="176">
      <c r="A176" s="9" t="n">
        <v>175</v>
      </c>
      <c r="B176" s="9" t="inlineStr">
        <is>
          <t>Грамматика</t>
        </is>
      </c>
      <c r="C176" s="9" t="inlineStr">
        <is>
          <t>Глаголы: to be / have got / модальные</t>
        </is>
      </c>
      <c r="D176" s="10" t="inlineStr">
        <is>
          <t>should/shouldn't</t>
        </is>
      </c>
      <c r="E176" s="9" t="inlineStr">
        <is>
          <t>should/shouldn't: Shall I…? — просьба о совете</t>
        </is>
      </c>
      <c r="F176" s="9" t="inlineStr">
        <is>
          <t>10+</t>
        </is>
      </c>
      <c r="G176" s="9" t="inlineStr"/>
      <c r="H176" s="9" t="inlineStr"/>
      <c r="I176" s="9" t="inlineStr"/>
      <c r="J176" s="9" t="inlineStr"/>
      <c r="K176" s="9" t="inlineStr"/>
      <c r="L176" s="9" t="inlineStr"/>
      <c r="M176" s="15" t="inlineStr">
        <is>
          <t>М7 (7d) · новое</t>
        </is>
      </c>
      <c r="N176" s="12" t="inlineStr">
        <is>
          <t>М4 (4c) · повт.</t>
        </is>
      </c>
      <c r="O176" s="12" t="inlineStr">
        <is>
          <t>М5 (5c) · повт.</t>
        </is>
      </c>
      <c r="P176" s="16" t="inlineStr">
        <is>
          <t>—</t>
        </is>
      </c>
      <c r="Q176" s="17" t="inlineStr"/>
      <c r="R176" s="13" t="inlineStr">
        <is>
          <t>нет</t>
        </is>
      </c>
      <c r="S176" s="9" t="inlineStr"/>
      <c r="T176" s="9" t="inlineStr"/>
    </row>
    <row r="177">
      <c r="A177" s="9" t="n">
        <v>176</v>
      </c>
      <c r="B177" s="9" t="inlineStr">
        <is>
          <t>Грамматика</t>
        </is>
      </c>
      <c r="C177" s="9" t="inlineStr">
        <is>
          <t>Глаголы: to be / have got / модальные</t>
        </is>
      </c>
      <c r="D177" s="10" t="inlineStr">
        <is>
          <t>should/shouldn't</t>
        </is>
      </c>
      <c r="E177" s="9" t="inlineStr">
        <is>
          <t>should/shouldn't: Shall I…? — предложение помощи</t>
        </is>
      </c>
      <c r="F177" s="9" t="inlineStr">
        <is>
          <t>10+</t>
        </is>
      </c>
      <c r="G177" s="9" t="inlineStr"/>
      <c r="H177" s="9" t="inlineStr"/>
      <c r="I177" s="9" t="inlineStr"/>
      <c r="J177" s="9" t="inlineStr"/>
      <c r="K177" s="9" t="inlineStr"/>
      <c r="L177" s="9" t="inlineStr"/>
      <c r="M177" s="9" t="inlineStr"/>
      <c r="N177" s="15" t="inlineStr">
        <is>
          <t>М4 (4c) · новое</t>
        </is>
      </c>
      <c r="O177" s="9" t="inlineStr"/>
      <c r="P177" s="16" t="inlineStr">
        <is>
          <t>—</t>
        </is>
      </c>
      <c r="Q177" s="17" t="inlineStr"/>
      <c r="R177" s="13" t="inlineStr">
        <is>
          <t>нет</t>
        </is>
      </c>
      <c r="S177" s="9" t="inlineStr"/>
      <c r="T177" s="9" t="inlineStr"/>
    </row>
    <row r="178">
      <c r="A178" s="9" t="n">
        <v>177</v>
      </c>
      <c r="B178" s="9" t="inlineStr">
        <is>
          <t>Грамматика</t>
        </is>
      </c>
      <c r="C178" s="9" t="inlineStr">
        <is>
          <t>Глаголы: to be / have got / модальные</t>
        </is>
      </c>
      <c r="D178" s="10" t="inlineStr">
        <is>
          <t>should/shouldn't</t>
        </is>
      </c>
      <c r="E178" s="9" t="inlineStr">
        <is>
          <t>should/shouldn't: had better (= should)</t>
        </is>
      </c>
      <c r="F178" s="9" t="inlineStr">
        <is>
          <t>10+</t>
        </is>
      </c>
      <c r="G178" s="9" t="inlineStr"/>
      <c r="H178" s="9" t="inlineStr"/>
      <c r="I178" s="9" t="inlineStr"/>
      <c r="J178" s="9" t="inlineStr"/>
      <c r="K178" s="9" t="inlineStr"/>
      <c r="L178" s="9" t="inlineStr"/>
      <c r="M178" s="9" t="inlineStr"/>
      <c r="N178" s="9" t="inlineStr"/>
      <c r="O178" s="15" t="inlineStr">
        <is>
          <t>М5 (5c) · новое</t>
        </is>
      </c>
      <c r="P178" s="16" t="inlineStr">
        <is>
          <t>—</t>
        </is>
      </c>
      <c r="Q178" s="17" t="inlineStr"/>
      <c r="R178" s="13" t="inlineStr">
        <is>
          <t>нет</t>
        </is>
      </c>
      <c r="S178" s="9" t="inlineStr"/>
      <c r="T178" s="9" t="inlineStr"/>
    </row>
    <row r="179">
      <c r="A179" s="4" t="n">
        <v>178</v>
      </c>
      <c r="B179" s="4" t="inlineStr">
        <is>
          <t>Грамматика</t>
        </is>
      </c>
      <c r="C179" s="4" t="inlineStr">
        <is>
          <t>Глаголы: to be / have got / модальные</t>
        </is>
      </c>
      <c r="D179" s="5" t="inlineStr">
        <is>
          <t>Modal verbs (deduction)</t>
        </is>
      </c>
      <c r="E179" s="4" t="inlineStr">
        <is>
          <t>Modal verbs (deduction): must — уверенность (о настоящем)</t>
        </is>
      </c>
      <c r="F179" s="4" t="inlineStr">
        <is>
          <t>10+</t>
        </is>
      </c>
      <c r="G179" s="4" t="inlineStr"/>
      <c r="H179" s="4" t="inlineStr"/>
      <c r="I179" s="4" t="inlineStr"/>
      <c r="J179" s="4" t="inlineStr"/>
      <c r="K179" s="4" t="inlineStr"/>
      <c r="L179" s="18" t="inlineStr">
        <is>
          <t>М7 (7c) · новое</t>
        </is>
      </c>
      <c r="M179" s="7" t="inlineStr">
        <is>
          <t>М3 (3d) · повт.</t>
        </is>
      </c>
      <c r="N179" s="7" t="inlineStr">
        <is>
          <t>М4 (4c) · повт.</t>
        </is>
      </c>
      <c r="O179" s="7" t="inlineStr">
        <is>
          <t>М5 (5c) · повт.</t>
        </is>
      </c>
      <c r="P179" s="19" t="inlineStr">
        <is>
          <t>—</t>
        </is>
      </c>
      <c r="Q179" s="20" t="inlineStr"/>
      <c r="R179" s="8" t="inlineStr">
        <is>
          <t>нет</t>
        </is>
      </c>
      <c r="S179" s="4" t="inlineStr"/>
      <c r="T179" s="4" t="inlineStr"/>
    </row>
    <row r="180">
      <c r="A180" s="9" t="n">
        <v>179</v>
      </c>
      <c r="B180" s="9" t="inlineStr">
        <is>
          <t>Грамматика</t>
        </is>
      </c>
      <c r="C180" s="9" t="inlineStr">
        <is>
          <t>Глаголы: to be / have got / модальные</t>
        </is>
      </c>
      <c r="D180" s="10" t="inlineStr">
        <is>
          <t>Modal verbs (deduction)</t>
        </is>
      </c>
      <c r="E180" s="9" t="inlineStr">
        <is>
          <t>Modal verbs (deduction): may/might/could — вероятность (о настоящем)</t>
        </is>
      </c>
      <c r="F180" s="9" t="inlineStr">
        <is>
          <t>10+</t>
        </is>
      </c>
      <c r="G180" s="9" t="inlineStr"/>
      <c r="H180" s="9" t="inlineStr"/>
      <c r="I180" s="9" t="inlineStr"/>
      <c r="J180" s="9" t="inlineStr"/>
      <c r="K180" s="9" t="inlineStr"/>
      <c r="L180" s="15" t="inlineStr">
        <is>
          <t>М7 (7c) · новое</t>
        </is>
      </c>
      <c r="M180" s="12" t="inlineStr">
        <is>
          <t>М3 (3d) · повт.</t>
        </is>
      </c>
      <c r="N180" s="12" t="inlineStr">
        <is>
          <t>М4 (4c) · повт.</t>
        </is>
      </c>
      <c r="O180" s="12" t="inlineStr">
        <is>
          <t>М5 (5c) · повт.</t>
        </is>
      </c>
      <c r="P180" s="16" t="inlineStr">
        <is>
          <t>—</t>
        </is>
      </c>
      <c r="Q180" s="17" t="inlineStr"/>
      <c r="R180" s="13" t="inlineStr">
        <is>
          <t>нет</t>
        </is>
      </c>
      <c r="S180" s="9" t="inlineStr"/>
      <c r="T180" s="9" t="inlineStr"/>
    </row>
    <row r="181">
      <c r="A181" s="9" t="n">
        <v>180</v>
      </c>
      <c r="B181" s="9" t="inlineStr">
        <is>
          <t>Грамматика</t>
        </is>
      </c>
      <c r="C181" s="9" t="inlineStr">
        <is>
          <t>Глаголы: to be / have got / модальные</t>
        </is>
      </c>
      <c r="D181" s="10" t="inlineStr">
        <is>
          <t>Modal verbs (deduction)</t>
        </is>
      </c>
      <c r="E181" s="9" t="inlineStr">
        <is>
          <t>Modal verbs (deduction): can't/couldn't — невозможность (о настоящем)</t>
        </is>
      </c>
      <c r="F181" s="9" t="inlineStr">
        <is>
          <t>10+</t>
        </is>
      </c>
      <c r="G181" s="9" t="inlineStr"/>
      <c r="H181" s="9" t="inlineStr"/>
      <c r="I181" s="9" t="inlineStr"/>
      <c r="J181" s="9" t="inlineStr"/>
      <c r="K181" s="9" t="inlineStr"/>
      <c r="L181" s="15" t="inlineStr">
        <is>
          <t>М7 (7c) · новое</t>
        </is>
      </c>
      <c r="M181" s="12" t="inlineStr">
        <is>
          <t>М3 (3d) · повт.</t>
        </is>
      </c>
      <c r="N181" s="12" t="inlineStr">
        <is>
          <t>М4 (4c) · повт.</t>
        </is>
      </c>
      <c r="O181" s="12" t="inlineStr">
        <is>
          <t>М5 (5c) · повт.</t>
        </is>
      </c>
      <c r="P181" s="16" t="inlineStr">
        <is>
          <t>—</t>
        </is>
      </c>
      <c r="Q181" s="17" t="inlineStr"/>
      <c r="R181" s="13" t="inlineStr">
        <is>
          <t>нет</t>
        </is>
      </c>
      <c r="S181" s="9" t="inlineStr"/>
      <c r="T181" s="9" t="inlineStr"/>
    </row>
    <row r="182">
      <c r="A182" s="9" t="n">
        <v>181</v>
      </c>
      <c r="B182" s="9" t="inlineStr">
        <is>
          <t>Грамматика</t>
        </is>
      </c>
      <c r="C182" s="9" t="inlineStr">
        <is>
          <t>Глаголы: to be / have got / модальные</t>
        </is>
      </c>
      <c r="D182" s="10" t="inlineStr">
        <is>
          <t>Modal verbs (deduction)</t>
        </is>
      </c>
      <c r="E182" s="9" t="inlineStr">
        <is>
          <t>Modal verbs (deduction): выводы о прошлом — must/may/might/could/can't + have V3</t>
        </is>
      </c>
      <c r="F182" s="9" t="inlineStr">
        <is>
          <t>10+</t>
        </is>
      </c>
      <c r="G182" s="9" t="inlineStr"/>
      <c r="H182" s="9" t="inlineStr"/>
      <c r="I182" s="9" t="inlineStr"/>
      <c r="J182" s="9" t="inlineStr"/>
      <c r="K182" s="9" t="inlineStr"/>
      <c r="L182" s="15" t="inlineStr">
        <is>
          <t>М7 (7c) · новое</t>
        </is>
      </c>
      <c r="M182" s="12" t="inlineStr">
        <is>
          <t>М3 (3d) · повт.</t>
        </is>
      </c>
      <c r="N182" s="12" t="inlineStr">
        <is>
          <t>М4 (4c) · повт.</t>
        </is>
      </c>
      <c r="O182" s="12" t="inlineStr">
        <is>
          <t>М5 (5c) · повт.</t>
        </is>
      </c>
      <c r="P182" s="16" t="inlineStr">
        <is>
          <t>—</t>
        </is>
      </c>
      <c r="Q182" s="17" t="inlineStr"/>
      <c r="R182" s="13" t="inlineStr">
        <is>
          <t>нет</t>
        </is>
      </c>
      <c r="S182" s="9" t="inlineStr"/>
      <c r="T182" s="9" t="inlineStr"/>
    </row>
    <row r="183">
      <c r="A183" s="9" t="n">
        <v>182</v>
      </c>
      <c r="B183" s="9" t="inlineStr">
        <is>
          <t>Грамматика</t>
        </is>
      </c>
      <c r="C183" s="9" t="inlineStr">
        <is>
          <t>Глаголы: to be / have got / модальные</t>
        </is>
      </c>
      <c r="D183" s="10" t="inlineStr">
        <is>
          <t>Modal verbs (deduction)</t>
        </is>
      </c>
      <c r="E183" s="9" t="inlineStr">
        <is>
          <t>Modal verbs (deduction): вероятность — will (100%) vs should/ought to (90%)</t>
        </is>
      </c>
      <c r="F183" s="9" t="inlineStr">
        <is>
          <t>10+</t>
        </is>
      </c>
      <c r="G183" s="9" t="inlineStr"/>
      <c r="H183" s="9" t="inlineStr"/>
      <c r="I183" s="9" t="inlineStr"/>
      <c r="J183" s="9" t="inlineStr"/>
      <c r="K183" s="9" t="inlineStr"/>
      <c r="L183" s="9" t="inlineStr"/>
      <c r="M183" s="9" t="inlineStr"/>
      <c r="N183" s="15" t="inlineStr">
        <is>
          <t>М4 (4c) · новое</t>
        </is>
      </c>
      <c r="O183" s="12" t="inlineStr">
        <is>
          <t>М5 (5c) · повт.</t>
        </is>
      </c>
      <c r="P183" s="16" t="inlineStr">
        <is>
          <t>—</t>
        </is>
      </c>
      <c r="Q183" s="17" t="inlineStr"/>
      <c r="R183" s="13" t="inlineStr">
        <is>
          <t>нет</t>
        </is>
      </c>
      <c r="S183" s="9" t="inlineStr"/>
      <c r="T183" s="9" t="inlineStr"/>
    </row>
    <row r="184">
      <c r="A184" s="9" t="n">
        <v>183</v>
      </c>
      <c r="B184" s="9" t="inlineStr">
        <is>
          <t>Грамматика</t>
        </is>
      </c>
      <c r="C184" s="9" t="inlineStr">
        <is>
          <t>Глаголы: to be / have got / модальные</t>
        </is>
      </c>
      <c r="D184" s="10" t="inlineStr">
        <is>
          <t>Modal verbs (deduction)</t>
        </is>
      </c>
      <c r="E184" s="9" t="inlineStr">
        <is>
          <t>Modal verbs (deduction): критика — could/should/ought to (+ have V3)</t>
        </is>
      </c>
      <c r="F184" s="9" t="inlineStr">
        <is>
          <t>10+</t>
        </is>
      </c>
      <c r="G184" s="9" t="inlineStr"/>
      <c r="H184" s="9" t="inlineStr"/>
      <c r="I184" s="9" t="inlineStr"/>
      <c r="J184" s="9" t="inlineStr"/>
      <c r="K184" s="9" t="inlineStr"/>
      <c r="L184" s="9" t="inlineStr"/>
      <c r="M184" s="9" t="inlineStr"/>
      <c r="N184" s="15" t="inlineStr">
        <is>
          <t>М4 (4c) · новое</t>
        </is>
      </c>
      <c r="O184" s="9" t="inlineStr"/>
      <c r="P184" s="16" t="inlineStr">
        <is>
          <t>—</t>
        </is>
      </c>
      <c r="Q184" s="17" t="inlineStr"/>
      <c r="R184" s="13" t="inlineStr">
        <is>
          <t>нет</t>
        </is>
      </c>
      <c r="S184" s="9" t="inlineStr"/>
      <c r="T184" s="9" t="inlineStr"/>
    </row>
    <row r="185">
      <c r="A185" s="4" t="n">
        <v>184</v>
      </c>
      <c r="B185" s="4" t="inlineStr">
        <is>
          <t>Грамматика</t>
        </is>
      </c>
      <c r="C185" s="4" t="inlineStr">
        <is>
          <t>Глаголы: to be / have got / модальные</t>
        </is>
      </c>
      <c r="D185" s="5" t="inlineStr">
        <is>
          <t>Modal verbs (functions)</t>
        </is>
      </c>
      <c r="E185" s="4" t="inlineStr">
        <is>
          <t>Modal verbs: общие правила формы — без -s/-ing/-ed, + инфинитив без to</t>
        </is>
      </c>
      <c r="F185" s="4" t="inlineStr">
        <is>
          <t>10+</t>
        </is>
      </c>
      <c r="G185" s="4" t="inlineStr"/>
      <c r="H185" s="4" t="inlineStr"/>
      <c r="I185" s="4" t="inlineStr"/>
      <c r="J185" s="4" t="inlineStr"/>
      <c r="K185" s="4" t="inlineStr"/>
      <c r="L185" s="18" t="inlineStr">
        <is>
          <t>М7 (7c) · новое</t>
        </is>
      </c>
      <c r="M185" s="7" t="inlineStr">
        <is>
          <t>М7 (7d) · повт.</t>
        </is>
      </c>
      <c r="N185" s="7" t="inlineStr">
        <is>
          <t>М4 (4c) · повт.</t>
        </is>
      </c>
      <c r="O185" s="7" t="inlineStr">
        <is>
          <t>М5 (5c) · повт.</t>
        </is>
      </c>
      <c r="P185" s="19" t="inlineStr">
        <is>
          <t>—</t>
        </is>
      </c>
      <c r="Q185" s="20" t="inlineStr"/>
      <c r="R185" s="8" t="inlineStr">
        <is>
          <t>нет</t>
        </is>
      </c>
      <c r="S185" s="4" t="inlineStr"/>
      <c r="T185" s="4" t="inlineStr"/>
    </row>
    <row r="186">
      <c r="A186" s="9" t="n">
        <v>185</v>
      </c>
      <c r="B186" s="9" t="inlineStr">
        <is>
          <t>Грамматика</t>
        </is>
      </c>
      <c r="C186" s="9" t="inlineStr">
        <is>
          <t>Глаголы: to be / have got / модальные</t>
        </is>
      </c>
      <c r="D186" s="10" t="inlineStr">
        <is>
          <t>Modal verbs (functions)</t>
        </is>
      </c>
      <c r="E186" s="9" t="inlineStr">
        <is>
          <t>Modal verbs: вопрос и отрицание (инверсия, not)</t>
        </is>
      </c>
      <c r="F186" s="9" t="inlineStr">
        <is>
          <t>10+</t>
        </is>
      </c>
      <c r="G186" s="9" t="inlineStr"/>
      <c r="H186" s="9" t="inlineStr"/>
      <c r="I186" s="9" t="inlineStr"/>
      <c r="J186" s="9" t="inlineStr"/>
      <c r="K186" s="9" t="inlineStr"/>
      <c r="L186" s="15" t="inlineStr">
        <is>
          <t>М7 (7c) · новое</t>
        </is>
      </c>
      <c r="M186" s="12" t="inlineStr">
        <is>
          <t>М7 (7d) · повт.</t>
        </is>
      </c>
      <c r="N186" s="12" t="inlineStr">
        <is>
          <t>М4 (4c) · повт.</t>
        </is>
      </c>
      <c r="O186" s="12" t="inlineStr">
        <is>
          <t>М5 (5c) · повт.</t>
        </is>
      </c>
      <c r="P186" s="16" t="inlineStr">
        <is>
          <t>—</t>
        </is>
      </c>
      <c r="Q186" s="17" t="inlineStr"/>
      <c r="R186" s="13" t="inlineStr">
        <is>
          <t>нет</t>
        </is>
      </c>
      <c r="S186" s="9" t="inlineStr"/>
      <c r="T186" s="9" t="inlineStr"/>
    </row>
    <row r="187">
      <c r="A187" s="9" t="n">
        <v>186</v>
      </c>
      <c r="B187" s="9" t="inlineStr">
        <is>
          <t>Грамматика</t>
        </is>
      </c>
      <c r="C187" s="9" t="inlineStr">
        <is>
          <t>Глаголы: to be / have got / модальные</t>
        </is>
      </c>
      <c r="D187" s="10" t="inlineStr">
        <is>
          <t>Modal verbs (functions)</t>
        </is>
      </c>
      <c r="E187" s="9" t="inlineStr">
        <is>
          <t>Modal verbs: + простой инфинитив (наст./буд.) vs + перфектный инфинитив (прошлое)</t>
        </is>
      </c>
      <c r="F187" s="9" t="inlineStr">
        <is>
          <t>10+</t>
        </is>
      </c>
      <c r="G187" s="9" t="inlineStr"/>
      <c r="H187" s="9" t="inlineStr"/>
      <c r="I187" s="9" t="inlineStr"/>
      <c r="J187" s="9" t="inlineStr"/>
      <c r="K187" s="9" t="inlineStr"/>
      <c r="L187" s="15" t="inlineStr">
        <is>
          <t>М7 (7c) · новое</t>
        </is>
      </c>
      <c r="M187" s="12" t="inlineStr">
        <is>
          <t>М7 (7d) · повт.</t>
        </is>
      </c>
      <c r="N187" s="12" t="inlineStr">
        <is>
          <t>М4 (4c) · повт.</t>
        </is>
      </c>
      <c r="O187" s="12" t="inlineStr">
        <is>
          <t>М5 (5c) · повт.</t>
        </is>
      </c>
      <c r="P187" s="16" t="inlineStr">
        <is>
          <t>—</t>
        </is>
      </c>
      <c r="Q187" s="17" t="inlineStr"/>
      <c r="R187" s="13" t="inlineStr">
        <is>
          <t>нет</t>
        </is>
      </c>
      <c r="S187" s="9" t="inlineStr"/>
      <c r="T187" s="9" t="inlineStr"/>
    </row>
    <row r="188">
      <c r="A188" s="9" t="n">
        <v>187</v>
      </c>
      <c r="B188" s="9" t="inlineStr">
        <is>
          <t>Грамматика</t>
        </is>
      </c>
      <c r="C188" s="9" t="inlineStr">
        <is>
          <t>Глаголы: to be / have got / модальные</t>
        </is>
      </c>
      <c r="D188" s="10" t="inlineStr">
        <is>
          <t>Modal verbs (functions)</t>
        </is>
      </c>
      <c r="E188" s="9" t="inlineStr">
        <is>
          <t>Modal verbs: формы инфинитива — simple / continuous / perfect / perfect continuous</t>
        </is>
      </c>
      <c r="F188" s="9" t="inlineStr">
        <is>
          <t>10+</t>
        </is>
      </c>
      <c r="G188" s="9" t="inlineStr"/>
      <c r="H188" s="9" t="inlineStr"/>
      <c r="I188" s="9" t="inlineStr"/>
      <c r="J188" s="9" t="inlineStr"/>
      <c r="K188" s="9" t="inlineStr"/>
      <c r="L188" s="15" t="inlineStr">
        <is>
          <t>М7 (7c) · новое</t>
        </is>
      </c>
      <c r="M188" s="12" t="inlineStr">
        <is>
          <t>М7 (7d) · повт.</t>
        </is>
      </c>
      <c r="N188" s="12" t="inlineStr">
        <is>
          <t>М4 (4c) · повт.</t>
        </is>
      </c>
      <c r="O188" s="12" t="inlineStr">
        <is>
          <t>М5 (5c) · повт.</t>
        </is>
      </c>
      <c r="P188" s="16" t="inlineStr">
        <is>
          <t>—</t>
        </is>
      </c>
      <c r="Q188" s="17" t="inlineStr"/>
      <c r="R188" s="13" t="inlineStr">
        <is>
          <t>нет</t>
        </is>
      </c>
      <c r="S188" s="9" t="inlineStr"/>
      <c r="T188" s="9" t="inlineStr"/>
    </row>
    <row r="189">
      <c r="A189" s="9" t="n">
        <v>188</v>
      </c>
      <c r="B189" s="9" t="inlineStr">
        <is>
          <t>Грамматика</t>
        </is>
      </c>
      <c r="C189" s="9" t="inlineStr">
        <is>
          <t>Глаголы: to be / have got / модальные</t>
        </is>
      </c>
      <c r="D189" s="10" t="inlineStr">
        <is>
          <t>Modal verbs (functions)</t>
        </is>
      </c>
      <c r="E189" s="9" t="inlineStr">
        <is>
          <t>Modal verbs: значение — критика (could / should / ought to)</t>
        </is>
      </c>
      <c r="F189" s="9" t="inlineStr">
        <is>
          <t>10+</t>
        </is>
      </c>
      <c r="G189" s="9" t="inlineStr"/>
      <c r="H189" s="9" t="inlineStr"/>
      <c r="I189" s="9" t="inlineStr"/>
      <c r="J189" s="9" t="inlineStr"/>
      <c r="K189" s="9" t="inlineStr"/>
      <c r="L189" s="15" t="inlineStr">
        <is>
          <t>М7 (7c) · новое</t>
        </is>
      </c>
      <c r="M189" s="12" t="inlineStr">
        <is>
          <t>М7 (7d) · повт.</t>
        </is>
      </c>
      <c r="N189" s="9" t="inlineStr"/>
      <c r="O189" s="12" t="inlineStr">
        <is>
          <t>М5 (5c) · повт.</t>
        </is>
      </c>
      <c r="P189" s="16" t="inlineStr">
        <is>
          <t>—</t>
        </is>
      </c>
      <c r="Q189" s="17" t="inlineStr"/>
      <c r="R189" s="13" t="inlineStr">
        <is>
          <t>нет</t>
        </is>
      </c>
      <c r="S189" s="9" t="inlineStr"/>
      <c r="T189" s="9" t="inlineStr"/>
    </row>
    <row r="190">
      <c r="A190" s="9" t="n">
        <v>189</v>
      </c>
      <c r="B190" s="9" t="inlineStr">
        <is>
          <t>Грамматика</t>
        </is>
      </c>
      <c r="C190" s="9" t="inlineStr">
        <is>
          <t>Глаголы: to be / have got / модальные</t>
        </is>
      </c>
      <c r="D190" s="10" t="inlineStr">
        <is>
          <t>Modal verbs (functions)</t>
        </is>
      </c>
      <c r="E190" s="9" t="inlineStr">
        <is>
          <t>Modal verbs: значение — вероятность (will 100% vs should/ought to 90%)</t>
        </is>
      </c>
      <c r="F190" s="9" t="inlineStr">
        <is>
          <t>10+</t>
        </is>
      </c>
      <c r="G190" s="9" t="inlineStr"/>
      <c r="H190" s="9" t="inlineStr"/>
      <c r="I190" s="9" t="inlineStr"/>
      <c r="J190" s="9" t="inlineStr"/>
      <c r="K190" s="9" t="inlineStr"/>
      <c r="L190" s="15" t="inlineStr">
        <is>
          <t>М7 (7c) · новое</t>
        </is>
      </c>
      <c r="M190" s="12" t="inlineStr">
        <is>
          <t>М7 (7d) · повт.</t>
        </is>
      </c>
      <c r="N190" s="9" t="inlineStr"/>
      <c r="O190" s="9" t="inlineStr"/>
      <c r="P190" s="16" t="inlineStr">
        <is>
          <t>—</t>
        </is>
      </c>
      <c r="Q190" s="17" t="inlineStr"/>
      <c r="R190" s="13" t="inlineStr">
        <is>
          <t>нет</t>
        </is>
      </c>
      <c r="S190" s="9" t="inlineStr"/>
      <c r="T190" s="9" t="inlineStr"/>
    </row>
    <row r="191">
      <c r="A191" s="9" t="n">
        <v>190</v>
      </c>
      <c r="B191" s="9" t="inlineStr">
        <is>
          <t>Грамматика</t>
        </is>
      </c>
      <c r="C191" s="9" t="inlineStr">
        <is>
          <t>Глаголы: to be / have got / модальные</t>
        </is>
      </c>
      <c r="D191" s="10" t="inlineStr">
        <is>
          <t>Modal verbs (functions)</t>
        </is>
      </c>
      <c r="E191" s="9" t="inlineStr">
        <is>
          <t>Modal verbs: значение — совет (should / ought to / shall)</t>
        </is>
      </c>
      <c r="F191" s="9" t="inlineStr">
        <is>
          <t>10+</t>
        </is>
      </c>
      <c r="G191" s="9" t="inlineStr"/>
      <c r="H191" s="9" t="inlineStr"/>
      <c r="I191" s="9" t="inlineStr"/>
      <c r="J191" s="9" t="inlineStr"/>
      <c r="K191" s="9" t="inlineStr"/>
      <c r="L191" s="15" t="inlineStr">
        <is>
          <t>М7 (7c) · новое</t>
        </is>
      </c>
      <c r="M191" s="12" t="inlineStr">
        <is>
          <t>М7 (7d) · повт.</t>
        </is>
      </c>
      <c r="N191" s="9" t="inlineStr"/>
      <c r="O191" s="9" t="inlineStr"/>
      <c r="P191" s="16" t="inlineStr">
        <is>
          <t>—</t>
        </is>
      </c>
      <c r="Q191" s="17" t="inlineStr"/>
      <c r="R191" s="13" t="inlineStr">
        <is>
          <t>нет</t>
        </is>
      </c>
      <c r="S191" s="9" t="inlineStr"/>
      <c r="T191" s="9" t="inlineStr"/>
    </row>
    <row r="192">
      <c r="A192" s="9" t="n">
        <v>191</v>
      </c>
      <c r="B192" s="9" t="inlineStr">
        <is>
          <t>Грамматика</t>
        </is>
      </c>
      <c r="C192" s="9" t="inlineStr">
        <is>
          <t>Глаголы: to be / have got / модальные</t>
        </is>
      </c>
      <c r="D192" s="10" t="inlineStr">
        <is>
          <t>Modal verbs (functions)</t>
        </is>
      </c>
      <c r="E192" s="9" t="inlineStr">
        <is>
          <t>Modal verbs: эквиваленты модальных (need, had better, have (got) to, be able to, used to)</t>
        </is>
      </c>
      <c r="F192" s="9" t="inlineStr">
        <is>
          <t>10+</t>
        </is>
      </c>
      <c r="G192" s="9" t="inlineStr"/>
      <c r="H192" s="9" t="inlineStr"/>
      <c r="I192" s="9" t="inlineStr"/>
      <c r="J192" s="9" t="inlineStr"/>
      <c r="K192" s="9" t="inlineStr"/>
      <c r="L192" s="9" t="inlineStr"/>
      <c r="M192" s="9" t="inlineStr"/>
      <c r="N192" s="15" t="inlineStr">
        <is>
          <t>М4 (4c) · новое</t>
        </is>
      </c>
      <c r="O192" s="9" t="inlineStr"/>
      <c r="P192" s="16" t="inlineStr">
        <is>
          <t>—</t>
        </is>
      </c>
      <c r="Q192" s="17" t="inlineStr"/>
      <c r="R192" s="13" t="inlineStr">
        <is>
          <t>нет</t>
        </is>
      </c>
      <c r="S192" s="9" t="inlineStr"/>
      <c r="T192" s="9" t="inlineStr"/>
    </row>
    <row r="193">
      <c r="A193" s="9" t="n">
        <v>192</v>
      </c>
      <c r="B193" s="9" t="inlineStr">
        <is>
          <t>Грамматика</t>
        </is>
      </c>
      <c r="C193" s="9" t="inlineStr">
        <is>
          <t>Глаголы: to be / have got / модальные</t>
        </is>
      </c>
      <c r="D193" s="10" t="inlineStr">
        <is>
          <t>Modal verbs (functions)</t>
        </is>
      </c>
      <c r="E193" s="9" t="inlineStr">
        <is>
          <t>Modal verbs: значение — предложения (offers/suggestions)</t>
        </is>
      </c>
      <c r="F193" s="9" t="inlineStr">
        <is>
          <t>10+</t>
        </is>
      </c>
      <c r="G193" s="9" t="inlineStr"/>
      <c r="H193" s="9" t="inlineStr"/>
      <c r="I193" s="9" t="inlineStr"/>
      <c r="J193" s="9" t="inlineStr"/>
      <c r="K193" s="9" t="inlineStr"/>
      <c r="L193" s="9" t="inlineStr"/>
      <c r="M193" s="9" t="inlineStr"/>
      <c r="N193" s="9" t="inlineStr"/>
      <c r="O193" s="15" t="inlineStr">
        <is>
          <t>М5 (5c) · новое</t>
        </is>
      </c>
      <c r="P193" s="16" t="inlineStr">
        <is>
          <t>—</t>
        </is>
      </c>
      <c r="Q193" s="17" t="inlineStr"/>
      <c r="R193" s="13" t="inlineStr">
        <is>
          <t>нет</t>
        </is>
      </c>
      <c r="S193" s="9" t="inlineStr"/>
      <c r="T193" s="9" t="inlineStr"/>
    </row>
    <row r="194">
      <c r="A194" s="9" t="n">
        <v>193</v>
      </c>
      <c r="B194" s="9" t="inlineStr">
        <is>
          <t>Грамматика</t>
        </is>
      </c>
      <c r="C194" s="9" t="inlineStr">
        <is>
          <t>Глаголы: to be / have got / модальные</t>
        </is>
      </c>
      <c r="D194" s="10" t="inlineStr">
        <is>
          <t>Modal verbs (functions)</t>
        </is>
      </c>
      <c r="E194" s="9" t="inlineStr">
        <is>
          <t>Modal verbs: обзор значений модальных (систематизация)</t>
        </is>
      </c>
      <c r="F194" s="9" t="inlineStr">
        <is>
          <t>10+</t>
        </is>
      </c>
      <c r="G194" s="9" t="inlineStr"/>
      <c r="H194" s="9" t="inlineStr"/>
      <c r="I194" s="9" t="inlineStr"/>
      <c r="J194" s="9" t="inlineStr"/>
      <c r="K194" s="9" t="inlineStr"/>
      <c r="L194" s="15" t="inlineStr">
        <is>
          <t>М7 (7c) · новое</t>
        </is>
      </c>
      <c r="M194" s="9" t="inlineStr"/>
      <c r="N194" s="12" t="inlineStr">
        <is>
          <t>М7 (7e) · повт.</t>
        </is>
      </c>
      <c r="O194" s="12" t="inlineStr">
        <is>
          <t>М5 (5c) · повт.</t>
        </is>
      </c>
      <c r="P194" s="16" t="inlineStr">
        <is>
          <t>—</t>
        </is>
      </c>
      <c r="Q194" s="17" t="inlineStr"/>
      <c r="R194" s="13" t="inlineStr">
        <is>
          <t>нет</t>
        </is>
      </c>
      <c r="S194" s="9" t="inlineStr"/>
      <c r="T194" s="9" t="inlineStr"/>
    </row>
    <row r="195">
      <c r="A195" s="4" t="n">
        <v>194</v>
      </c>
      <c r="B195" s="4" t="inlineStr">
        <is>
          <t>Грамматика</t>
        </is>
      </c>
      <c r="C195" s="4" t="inlineStr">
        <is>
          <t>Глаголы: to be / have got / модальные</t>
        </is>
      </c>
      <c r="D195" s="5" t="inlineStr">
        <is>
          <t>Reported Speech: modal verbs</t>
        </is>
      </c>
      <c r="E195" s="4" t="inlineStr">
        <is>
          <t>Reported Speech: modal verbs: will/shall → would</t>
        </is>
      </c>
      <c r="F195" s="4" t="inlineStr">
        <is>
          <t>10+</t>
        </is>
      </c>
      <c r="G195" s="4" t="inlineStr"/>
      <c r="H195" s="4" t="inlineStr"/>
      <c r="I195" s="4" t="inlineStr"/>
      <c r="J195" s="4" t="inlineStr"/>
      <c r="K195" s="4" t="inlineStr"/>
      <c r="L195" s="18" t="inlineStr">
        <is>
          <t>М6 (6c) · новое</t>
        </is>
      </c>
      <c r="M195" s="7" t="inlineStr">
        <is>
          <t>М8 (8c) · повт.</t>
        </is>
      </c>
      <c r="N195" s="7" t="inlineStr">
        <is>
          <t>М8 (8c) · повт.</t>
        </is>
      </c>
      <c r="O195" s="7" t="inlineStr">
        <is>
          <t>М6 (6c) · повт.</t>
        </is>
      </c>
      <c r="P195" s="19" t="inlineStr">
        <is>
          <t>—</t>
        </is>
      </c>
      <c r="Q195" s="20" t="inlineStr"/>
      <c r="R195" s="8" t="inlineStr">
        <is>
          <t>нет</t>
        </is>
      </c>
      <c r="S195" s="4" t="inlineStr"/>
      <c r="T195" s="4" t="inlineStr"/>
    </row>
    <row r="196">
      <c r="A196" s="9" t="n">
        <v>195</v>
      </c>
      <c r="B196" s="9" t="inlineStr">
        <is>
          <t>Грамматика</t>
        </is>
      </c>
      <c r="C196" s="9" t="inlineStr">
        <is>
          <t>Глаголы: to be / have got / модальные</t>
        </is>
      </c>
      <c r="D196" s="10" t="inlineStr">
        <is>
          <t>Reported Speech: modal verbs</t>
        </is>
      </c>
      <c r="E196" s="9" t="inlineStr">
        <is>
          <t>Reported Speech: modal verbs: can → could / would be able to</t>
        </is>
      </c>
      <c r="F196" s="9" t="inlineStr">
        <is>
          <t>10+</t>
        </is>
      </c>
      <c r="G196" s="9" t="inlineStr"/>
      <c r="H196" s="9" t="inlineStr"/>
      <c r="I196" s="9" t="inlineStr"/>
      <c r="J196" s="9" t="inlineStr"/>
      <c r="K196" s="9" t="inlineStr"/>
      <c r="L196" s="15" t="inlineStr">
        <is>
          <t>М6 (6c) · новое</t>
        </is>
      </c>
      <c r="M196" s="12" t="inlineStr">
        <is>
          <t>М8 (8c) · повт.</t>
        </is>
      </c>
      <c r="N196" s="12" t="inlineStr">
        <is>
          <t>М8 (8c) · повт.</t>
        </is>
      </c>
      <c r="O196" s="12" t="inlineStr">
        <is>
          <t>М6 (6c) · повт.</t>
        </is>
      </c>
      <c r="P196" s="16" t="inlineStr">
        <is>
          <t>—</t>
        </is>
      </c>
      <c r="Q196" s="17" t="inlineStr"/>
      <c r="R196" s="13" t="inlineStr">
        <is>
          <t>нет</t>
        </is>
      </c>
      <c r="S196" s="9" t="inlineStr"/>
      <c r="T196" s="9" t="inlineStr"/>
    </row>
    <row r="197">
      <c r="A197" s="9" t="n">
        <v>196</v>
      </c>
      <c r="B197" s="9" t="inlineStr">
        <is>
          <t>Грамматика</t>
        </is>
      </c>
      <c r="C197" s="9" t="inlineStr">
        <is>
          <t>Глаголы: to be / have got / модальные</t>
        </is>
      </c>
      <c r="D197" s="10" t="inlineStr">
        <is>
          <t>Reported Speech: modal verbs</t>
        </is>
      </c>
      <c r="E197" s="9" t="inlineStr">
        <is>
          <t>Reported Speech: modal verbs: may → might/could</t>
        </is>
      </c>
      <c r="F197" s="9" t="inlineStr">
        <is>
          <t>10+</t>
        </is>
      </c>
      <c r="G197" s="9" t="inlineStr"/>
      <c r="H197" s="9" t="inlineStr"/>
      <c r="I197" s="9" t="inlineStr"/>
      <c r="J197" s="9" t="inlineStr"/>
      <c r="K197" s="9" t="inlineStr"/>
      <c r="L197" s="15" t="inlineStr">
        <is>
          <t>М6 (6c) · новое</t>
        </is>
      </c>
      <c r="M197" s="12" t="inlineStr">
        <is>
          <t>М8 (8c) · повт.</t>
        </is>
      </c>
      <c r="N197" s="12" t="inlineStr">
        <is>
          <t>М8 (8c) · повт.</t>
        </is>
      </c>
      <c r="O197" s="12" t="inlineStr">
        <is>
          <t>М6 (6c) · повт.</t>
        </is>
      </c>
      <c r="P197" s="16" t="inlineStr">
        <is>
          <t>—</t>
        </is>
      </c>
      <c r="Q197" s="17" t="inlineStr"/>
      <c r="R197" s="13" t="inlineStr">
        <is>
          <t>нет</t>
        </is>
      </c>
      <c r="S197" s="9" t="inlineStr"/>
      <c r="T197" s="9" t="inlineStr"/>
    </row>
    <row r="198">
      <c r="A198" s="9" t="n">
        <v>197</v>
      </c>
      <c r="B198" s="9" t="inlineStr">
        <is>
          <t>Грамматика</t>
        </is>
      </c>
      <c r="C198" s="9" t="inlineStr">
        <is>
          <t>Глаголы: to be / have got / модальные</t>
        </is>
      </c>
      <c r="D198" s="10" t="inlineStr">
        <is>
          <t>Reported Speech: modal verbs</t>
        </is>
      </c>
      <c r="E198" s="9" t="inlineStr">
        <is>
          <t>Reported Speech: modal verbs: shall → should / would / offered</t>
        </is>
      </c>
      <c r="F198" s="9" t="inlineStr">
        <is>
          <t>10+</t>
        </is>
      </c>
      <c r="G198" s="9" t="inlineStr"/>
      <c r="H198" s="9" t="inlineStr"/>
      <c r="I198" s="9" t="inlineStr"/>
      <c r="J198" s="9" t="inlineStr"/>
      <c r="K198" s="9" t="inlineStr"/>
      <c r="L198" s="15" t="inlineStr">
        <is>
          <t>М6 (6c) · новое</t>
        </is>
      </c>
      <c r="M198" s="12" t="inlineStr">
        <is>
          <t>М8 (8c) · повт.</t>
        </is>
      </c>
      <c r="N198" s="12" t="inlineStr">
        <is>
          <t>М8 (8c) · повт.</t>
        </is>
      </c>
      <c r="O198" s="12" t="inlineStr">
        <is>
          <t>М6 (6c) · повт.</t>
        </is>
      </c>
      <c r="P198" s="16" t="inlineStr">
        <is>
          <t>—</t>
        </is>
      </c>
      <c r="Q198" s="17" t="inlineStr"/>
      <c r="R198" s="13" t="inlineStr">
        <is>
          <t>нет</t>
        </is>
      </c>
      <c r="S198" s="9" t="inlineStr"/>
      <c r="T198" s="9" t="inlineStr"/>
    </row>
    <row r="199">
      <c r="A199" s="9" t="n">
        <v>198</v>
      </c>
      <c r="B199" s="9" t="inlineStr">
        <is>
          <t>Грамматика</t>
        </is>
      </c>
      <c r="C199" s="9" t="inlineStr">
        <is>
          <t>Глаголы: to be / have got / модальные</t>
        </is>
      </c>
      <c r="D199" s="10" t="inlineStr">
        <is>
          <t>Reported Speech: modal verbs</t>
        </is>
      </c>
      <c r="E199" s="9" t="inlineStr">
        <is>
          <t>Reported Speech: modal verbs: must → had to (обязанность) / must (вывод)</t>
        </is>
      </c>
      <c r="F199" s="9" t="inlineStr">
        <is>
          <t>10+</t>
        </is>
      </c>
      <c r="G199" s="9" t="inlineStr"/>
      <c r="H199" s="9" t="inlineStr"/>
      <c r="I199" s="9" t="inlineStr"/>
      <c r="J199" s="9" t="inlineStr"/>
      <c r="K199" s="9" t="inlineStr"/>
      <c r="L199" s="15" t="inlineStr">
        <is>
          <t>М6 (6c) · новое</t>
        </is>
      </c>
      <c r="M199" s="12" t="inlineStr">
        <is>
          <t>М8 (8c) · повт.</t>
        </is>
      </c>
      <c r="N199" s="12" t="inlineStr">
        <is>
          <t>М8 (8c) · повт.</t>
        </is>
      </c>
      <c r="O199" s="12" t="inlineStr">
        <is>
          <t>М6 (6c) · повт.</t>
        </is>
      </c>
      <c r="P199" s="16" t="inlineStr">
        <is>
          <t>—</t>
        </is>
      </c>
      <c r="Q199" s="17" t="inlineStr"/>
      <c r="R199" s="13" t="inlineStr">
        <is>
          <t>нет</t>
        </is>
      </c>
      <c r="S199" s="9" t="inlineStr"/>
      <c r="T199" s="9" t="inlineStr"/>
    </row>
    <row r="200">
      <c r="A200" s="9" t="n">
        <v>199</v>
      </c>
      <c r="B200" s="9" t="inlineStr">
        <is>
          <t>Грамматика</t>
        </is>
      </c>
      <c r="C200" s="9" t="inlineStr">
        <is>
          <t>Глаголы: to be / have got / модальные</t>
        </is>
      </c>
      <c r="D200" s="10" t="inlineStr">
        <is>
          <t>Reported Speech: modal verbs</t>
        </is>
      </c>
      <c r="E200" s="9" t="inlineStr">
        <is>
          <t>Reported Speech: modal verbs: needn't → didn't need to / didn't have to / wouldn't have to</t>
        </is>
      </c>
      <c r="F200" s="9" t="inlineStr">
        <is>
          <t>10+</t>
        </is>
      </c>
      <c r="G200" s="9" t="inlineStr"/>
      <c r="H200" s="9" t="inlineStr"/>
      <c r="I200" s="9" t="inlineStr"/>
      <c r="J200" s="9" t="inlineStr"/>
      <c r="K200" s="9" t="inlineStr"/>
      <c r="L200" s="15" t="inlineStr">
        <is>
          <t>М6 (6c) · новое</t>
        </is>
      </c>
      <c r="M200" s="12" t="inlineStr">
        <is>
          <t>М8 (8c) · повт.</t>
        </is>
      </c>
      <c r="N200" s="12" t="inlineStr">
        <is>
          <t>М8 (8c) · повт.</t>
        </is>
      </c>
      <c r="O200" s="12" t="inlineStr">
        <is>
          <t>М6 (6c) · повт.</t>
        </is>
      </c>
      <c r="P200" s="16" t="inlineStr">
        <is>
          <t>—</t>
        </is>
      </c>
      <c r="Q200" s="17" t="inlineStr"/>
      <c r="R200" s="13" t="inlineStr">
        <is>
          <t>нет</t>
        </is>
      </c>
      <c r="S200" s="9" t="inlineStr"/>
      <c r="T200" s="9" t="inlineStr"/>
    </row>
    <row r="201">
      <c r="A201" s="9" t="n">
        <v>200</v>
      </c>
      <c r="B201" s="9" t="inlineStr">
        <is>
          <t>Грамматика</t>
        </is>
      </c>
      <c r="C201" s="9" t="inlineStr">
        <is>
          <t>Глаголы: to be / have got / модальные</t>
        </is>
      </c>
      <c r="D201" s="10" t="inlineStr">
        <is>
          <t>Reported Speech: modal verbs</t>
        </is>
      </c>
      <c r="E201" s="9" t="inlineStr">
        <is>
          <t>Reported Speech: modal verbs: не меняются (would, could, used to, mustn't, should, might, ought to, had better)</t>
        </is>
      </c>
      <c r="F201" s="9" t="inlineStr">
        <is>
          <t>10+</t>
        </is>
      </c>
      <c r="G201" s="9" t="inlineStr"/>
      <c r="H201" s="9" t="inlineStr"/>
      <c r="I201" s="9" t="inlineStr"/>
      <c r="J201" s="9" t="inlineStr"/>
      <c r="K201" s="9" t="inlineStr"/>
      <c r="L201" s="15" t="inlineStr">
        <is>
          <t>М6 (6c) · новое</t>
        </is>
      </c>
      <c r="M201" s="12" t="inlineStr">
        <is>
          <t>М8 (8c) · повт.</t>
        </is>
      </c>
      <c r="N201" s="12" t="inlineStr">
        <is>
          <t>М8 (8c) · повт.</t>
        </is>
      </c>
      <c r="O201" s="12" t="inlineStr">
        <is>
          <t>М6 (6c) · повт.</t>
        </is>
      </c>
      <c r="P201" s="16" t="inlineStr">
        <is>
          <t>—</t>
        </is>
      </c>
      <c r="Q201" s="17" t="inlineStr"/>
      <c r="R201" s="13" t="inlineStr">
        <is>
          <t>нет</t>
        </is>
      </c>
      <c r="S201" s="9" t="inlineStr"/>
      <c r="T201" s="9" t="inlineStr"/>
    </row>
    <row r="202">
      <c r="A202" s="4" t="n">
        <v>201</v>
      </c>
      <c r="B202" s="4" t="inlineStr">
        <is>
          <t>Грамматика</t>
        </is>
      </c>
      <c r="C202" s="4" t="inlineStr">
        <is>
          <t>Глаголы: to be / have got / модальные</t>
        </is>
      </c>
      <c r="D202" s="5" t="inlineStr">
        <is>
          <t>can/could (ability past)</t>
        </is>
      </c>
      <c r="E202" s="4" t="inlineStr">
        <is>
          <t>can/could (ability past): could — общая способность в прошлом</t>
        </is>
      </c>
      <c r="F202" s="4" t="inlineStr">
        <is>
          <t>10+</t>
        </is>
      </c>
      <c r="G202" s="4" t="inlineStr"/>
      <c r="H202" s="4" t="inlineStr"/>
      <c r="I202" s="4" t="inlineStr"/>
      <c r="J202" s="4" t="inlineStr"/>
      <c r="K202" s="4" t="inlineStr"/>
      <c r="L202" s="18" t="inlineStr">
        <is>
          <t>М7 (7c) · новое</t>
        </is>
      </c>
      <c r="M202" s="7" t="inlineStr">
        <is>
          <t>М7 (7d) · повт.</t>
        </is>
      </c>
      <c r="N202" s="21" t="inlineStr">
        <is>
          <t>М4 (4c) · расш.</t>
        </is>
      </c>
      <c r="O202" s="7" t="inlineStr">
        <is>
          <t>М5 (5c) · повт.</t>
        </is>
      </c>
      <c r="P202" s="19" t="inlineStr">
        <is>
          <t>—</t>
        </is>
      </c>
      <c r="Q202" s="20" t="inlineStr"/>
      <c r="R202" s="8" t="inlineStr">
        <is>
          <t>нет</t>
        </is>
      </c>
      <c r="S202" s="4" t="inlineStr"/>
      <c r="T202" s="4" t="inlineStr"/>
    </row>
    <row r="203">
      <c r="A203" s="9" t="n">
        <v>202</v>
      </c>
      <c r="B203" s="9" t="inlineStr">
        <is>
          <t>Грамматика</t>
        </is>
      </c>
      <c r="C203" s="9" t="inlineStr">
        <is>
          <t>Глаголы: to be / have got / модальные</t>
        </is>
      </c>
      <c r="D203" s="10" t="inlineStr">
        <is>
          <t>can/could (ability past)</t>
        </is>
      </c>
      <c r="E203" s="9" t="inlineStr">
        <is>
          <t>can/could (ability past): was/were able to — способность в конкретной ситуации</t>
        </is>
      </c>
      <c r="F203" s="9" t="inlineStr">
        <is>
          <t>10+</t>
        </is>
      </c>
      <c r="G203" s="9" t="inlineStr"/>
      <c r="H203" s="9" t="inlineStr"/>
      <c r="I203" s="9" t="inlineStr"/>
      <c r="J203" s="9" t="inlineStr"/>
      <c r="K203" s="9" t="inlineStr"/>
      <c r="L203" s="15" t="inlineStr">
        <is>
          <t>М7 (7c) · новое</t>
        </is>
      </c>
      <c r="M203" s="12" t="inlineStr">
        <is>
          <t>М7 (7d) · повт.</t>
        </is>
      </c>
      <c r="N203" s="12" t="inlineStr">
        <is>
          <t>М4 (4c) · повт.</t>
        </is>
      </c>
      <c r="O203" s="12" t="inlineStr">
        <is>
          <t>М5 (5c) · повт.</t>
        </is>
      </c>
      <c r="P203" s="16" t="inlineStr">
        <is>
          <t>—</t>
        </is>
      </c>
      <c r="Q203" s="17" t="inlineStr"/>
      <c r="R203" s="13" t="inlineStr">
        <is>
          <t>нет</t>
        </is>
      </c>
      <c r="S203" s="9" t="inlineStr"/>
      <c r="T203" s="9" t="inlineStr"/>
    </row>
    <row r="204">
      <c r="A204" s="9" t="n">
        <v>203</v>
      </c>
      <c r="B204" s="9" t="inlineStr">
        <is>
          <t>Грамматика</t>
        </is>
      </c>
      <c r="C204" s="9" t="inlineStr">
        <is>
          <t>Глаголы: to be / have got / модальные</t>
        </is>
      </c>
      <c r="D204" s="10" t="inlineStr">
        <is>
          <t>can/could (ability past)</t>
        </is>
      </c>
      <c r="E204" s="9" t="inlineStr">
        <is>
          <t>can/could (ability past): couldn't — неспособность в прошлом</t>
        </is>
      </c>
      <c r="F204" s="9" t="inlineStr">
        <is>
          <t>10+</t>
        </is>
      </c>
      <c r="G204" s="9" t="inlineStr"/>
      <c r="H204" s="9" t="inlineStr"/>
      <c r="I204" s="9" t="inlineStr"/>
      <c r="J204" s="9" t="inlineStr"/>
      <c r="K204" s="9" t="inlineStr"/>
      <c r="L204" s="15" t="inlineStr">
        <is>
          <t>М7 (7c) · новое</t>
        </is>
      </c>
      <c r="M204" s="12" t="inlineStr">
        <is>
          <t>М7 (7d) · повт.</t>
        </is>
      </c>
      <c r="N204" s="14" t="inlineStr">
        <is>
          <t>М4 (4c) · расш.</t>
        </is>
      </c>
      <c r="O204" s="12" t="inlineStr">
        <is>
          <t>М5 (5c) · повт.</t>
        </is>
      </c>
      <c r="P204" s="16" t="inlineStr">
        <is>
          <t>—</t>
        </is>
      </c>
      <c r="Q204" s="17" t="inlineStr"/>
      <c r="R204" s="13" t="inlineStr">
        <is>
          <t>нет</t>
        </is>
      </c>
      <c r="S204" s="9" t="inlineStr"/>
      <c r="T204" s="9" t="inlineStr"/>
    </row>
    <row r="205">
      <c r="A205" s="9" t="n">
        <v>204</v>
      </c>
      <c r="B205" s="9" t="inlineStr">
        <is>
          <t>Грамматика</t>
        </is>
      </c>
      <c r="C205" s="9" t="inlineStr">
        <is>
          <t>Глаголы: to be / have got / модальные</t>
        </is>
      </c>
      <c r="D205" s="10" t="inlineStr">
        <is>
          <t>can/could (ability past)</t>
        </is>
      </c>
      <c r="E205" s="9" t="inlineStr">
        <is>
          <t>can/could (ability past): be able to в других временах (will be able to)</t>
        </is>
      </c>
      <c r="F205" s="9" t="inlineStr">
        <is>
          <t>10+</t>
        </is>
      </c>
      <c r="G205" s="9" t="inlineStr"/>
      <c r="H205" s="9" t="inlineStr"/>
      <c r="I205" s="9" t="inlineStr"/>
      <c r="J205" s="9" t="inlineStr"/>
      <c r="K205" s="9" t="inlineStr"/>
      <c r="L205" s="9" t="inlineStr"/>
      <c r="M205" s="9" t="inlineStr"/>
      <c r="N205" s="9" t="inlineStr"/>
      <c r="O205" s="15" t="inlineStr">
        <is>
          <t>М5 (5c) · новое</t>
        </is>
      </c>
      <c r="P205" s="16" t="inlineStr">
        <is>
          <t>—</t>
        </is>
      </c>
      <c r="Q205" s="17" t="inlineStr"/>
      <c r="R205" s="13" t="inlineStr">
        <is>
          <t>нет</t>
        </is>
      </c>
      <c r="S205" s="9" t="inlineStr"/>
      <c r="T205" s="9" t="inlineStr"/>
    </row>
    <row r="206">
      <c r="A206" s="4" t="n">
        <v>205</v>
      </c>
      <c r="B206" s="4" t="inlineStr">
        <is>
          <t>Грамматика</t>
        </is>
      </c>
      <c r="C206" s="4" t="inlineStr">
        <is>
          <t>Глаголы: to be / have got / модальные</t>
        </is>
      </c>
      <c r="D206" s="5" t="inlineStr">
        <is>
          <t>Semi-modals</t>
        </is>
      </c>
      <c r="E206" s="4" t="inlineStr">
        <is>
          <t>Semi-modals: need (= must), have (got) to (= must)</t>
        </is>
      </c>
      <c r="F206" s="4" t="inlineStr">
        <is>
          <t>10+</t>
        </is>
      </c>
      <c r="G206" s="4" t="inlineStr"/>
      <c r="H206" s="4" t="inlineStr"/>
      <c r="I206" s="4" t="inlineStr"/>
      <c r="J206" s="4" t="inlineStr"/>
      <c r="K206" s="4" t="inlineStr"/>
      <c r="L206" s="4" t="inlineStr"/>
      <c r="M206" s="4" t="inlineStr"/>
      <c r="N206" s="4" t="inlineStr"/>
      <c r="O206" s="18" t="inlineStr">
        <is>
          <t>М5 (5c) · новое</t>
        </is>
      </c>
      <c r="P206" s="19" t="inlineStr">
        <is>
          <t>—</t>
        </is>
      </c>
      <c r="Q206" s="20" t="inlineStr"/>
      <c r="R206" s="8" t="inlineStr">
        <is>
          <t>нет</t>
        </is>
      </c>
      <c r="S206" s="4" t="inlineStr"/>
      <c r="T206" s="4" t="inlineStr"/>
    </row>
    <row r="207">
      <c r="A207" s="9" t="n">
        <v>206</v>
      </c>
      <c r="B207" s="9" t="inlineStr">
        <is>
          <t>Грамматика</t>
        </is>
      </c>
      <c r="C207" s="9" t="inlineStr">
        <is>
          <t>Глаголы: to be / have got / модальные</t>
        </is>
      </c>
      <c r="D207" s="10" t="inlineStr">
        <is>
          <t>Semi-modals</t>
        </is>
      </c>
      <c r="E207" s="9" t="inlineStr">
        <is>
          <t>Semi-modals: had better (= should)</t>
        </is>
      </c>
      <c r="F207" s="9" t="inlineStr">
        <is>
          <t>10+</t>
        </is>
      </c>
      <c r="G207" s="9" t="inlineStr"/>
      <c r="H207" s="9" t="inlineStr"/>
      <c r="I207" s="9" t="inlineStr"/>
      <c r="J207" s="9" t="inlineStr"/>
      <c r="K207" s="9" t="inlineStr"/>
      <c r="L207" s="9" t="inlineStr"/>
      <c r="M207" s="9" t="inlineStr"/>
      <c r="N207" s="9" t="inlineStr"/>
      <c r="O207" s="15" t="inlineStr">
        <is>
          <t>М5 (5c) · новое</t>
        </is>
      </c>
      <c r="P207" s="16" t="inlineStr">
        <is>
          <t>—</t>
        </is>
      </c>
      <c r="Q207" s="17" t="inlineStr"/>
      <c r="R207" s="13" t="inlineStr">
        <is>
          <t>нет</t>
        </is>
      </c>
      <c r="S207" s="9" t="inlineStr"/>
      <c r="T207" s="9" t="inlineStr"/>
    </row>
    <row r="208">
      <c r="A208" s="9" t="n">
        <v>207</v>
      </c>
      <c r="B208" s="9" t="inlineStr">
        <is>
          <t>Грамматика</t>
        </is>
      </c>
      <c r="C208" s="9" t="inlineStr">
        <is>
          <t>Глаголы: to be / have got / модальные</t>
        </is>
      </c>
      <c r="D208" s="10" t="inlineStr">
        <is>
          <t>Semi-modals</t>
        </is>
      </c>
      <c r="E208" s="9" t="inlineStr">
        <is>
          <t>Semi-modals: be able to (= can)</t>
        </is>
      </c>
      <c r="F208" s="9" t="inlineStr">
        <is>
          <t>10+</t>
        </is>
      </c>
      <c r="G208" s="9" t="inlineStr"/>
      <c r="H208" s="9" t="inlineStr"/>
      <c r="I208" s="9" t="inlineStr"/>
      <c r="J208" s="9" t="inlineStr"/>
      <c r="K208" s="9" t="inlineStr"/>
      <c r="L208" s="9" t="inlineStr"/>
      <c r="M208" s="9" t="inlineStr"/>
      <c r="N208" s="9" t="inlineStr"/>
      <c r="O208" s="15" t="inlineStr">
        <is>
          <t>М5 (5c) · новое</t>
        </is>
      </c>
      <c r="P208" s="16" t="inlineStr">
        <is>
          <t>—</t>
        </is>
      </c>
      <c r="Q208" s="17" t="inlineStr"/>
      <c r="R208" s="13" t="inlineStr">
        <is>
          <t>нет</t>
        </is>
      </c>
      <c r="S208" s="9" t="inlineStr"/>
      <c r="T208" s="9" t="inlineStr"/>
    </row>
    <row r="209">
      <c r="A209" s="9" t="n">
        <v>208</v>
      </c>
      <c r="B209" s="9" t="inlineStr">
        <is>
          <t>Грамматика</t>
        </is>
      </c>
      <c r="C209" s="9" t="inlineStr">
        <is>
          <t>Глаголы: to be / have got / модальные</t>
        </is>
      </c>
      <c r="D209" s="10" t="inlineStr">
        <is>
          <t>Semi-modals</t>
        </is>
      </c>
      <c r="E209" s="9" t="inlineStr">
        <is>
          <t>Semi-modals: used to (= would)</t>
        </is>
      </c>
      <c r="F209" s="9" t="inlineStr">
        <is>
          <t>10+</t>
        </is>
      </c>
      <c r="G209" s="9" t="inlineStr"/>
      <c r="H209" s="9" t="inlineStr"/>
      <c r="I209" s="9" t="inlineStr"/>
      <c r="J209" s="9" t="inlineStr"/>
      <c r="K209" s="9" t="inlineStr"/>
      <c r="L209" s="9" t="inlineStr"/>
      <c r="M209" s="9" t="inlineStr"/>
      <c r="N209" s="9" t="inlineStr"/>
      <c r="O209" s="15" t="inlineStr">
        <is>
          <t>М5 (5c) · новое</t>
        </is>
      </c>
      <c r="P209" s="16" t="inlineStr">
        <is>
          <t>—</t>
        </is>
      </c>
      <c r="Q209" s="17" t="inlineStr"/>
      <c r="R209" s="13" t="inlineStr">
        <is>
          <t>нет</t>
        </is>
      </c>
      <c r="S209" s="9" t="inlineStr"/>
      <c r="T209" s="9" t="inlineStr"/>
    </row>
    <row r="210">
      <c r="A210" s="4" t="n">
        <v>209</v>
      </c>
      <c r="B210" s="4" t="inlineStr">
        <is>
          <t>Грамматика</t>
        </is>
      </c>
      <c r="C210" s="4" t="inlineStr">
        <is>
          <t>Глаголы: to be / have got / модальные</t>
        </is>
      </c>
      <c r="D210" s="5" t="inlineStr">
        <is>
          <t>must/have to (obligation)</t>
        </is>
      </c>
      <c r="E210" s="4" t="inlineStr">
        <is>
          <t>must/have to (obligation): must vs have to — субъективная vs объективная необходимость</t>
        </is>
      </c>
      <c r="F210" s="4" t="inlineStr">
        <is>
          <t>10+</t>
        </is>
      </c>
      <c r="G210" s="4" t="inlineStr"/>
      <c r="H210" s="4" t="inlineStr"/>
      <c r="I210" s="4" t="inlineStr"/>
      <c r="J210" s="4" t="inlineStr"/>
      <c r="K210" s="4" t="inlineStr"/>
      <c r="L210" s="4" t="inlineStr"/>
      <c r="M210" s="4" t="inlineStr"/>
      <c r="N210" s="4" t="inlineStr"/>
      <c r="O210" s="18" t="inlineStr">
        <is>
          <t>М5 (5c) · новое</t>
        </is>
      </c>
      <c r="P210" s="19" t="inlineStr">
        <is>
          <t>—</t>
        </is>
      </c>
      <c r="Q210" s="20" t="inlineStr"/>
      <c r="R210" s="8" t="inlineStr">
        <is>
          <t>нет</t>
        </is>
      </c>
      <c r="S210" s="4" t="inlineStr"/>
      <c r="T210" s="4" t="inlineStr"/>
    </row>
    <row r="211">
      <c r="A211" s="9" t="n">
        <v>210</v>
      </c>
      <c r="B211" s="9" t="inlineStr">
        <is>
          <t>Грамматика</t>
        </is>
      </c>
      <c r="C211" s="9" t="inlineStr">
        <is>
          <t>Глаголы: to be / have got / модальные</t>
        </is>
      </c>
      <c r="D211" s="10" t="inlineStr">
        <is>
          <t>must/have to (obligation)</t>
        </is>
      </c>
      <c r="E211" s="9" t="inlineStr">
        <is>
          <t>must/have to (obligation): had to — прошедшее для must и have to</t>
        </is>
      </c>
      <c r="F211" s="9" t="inlineStr">
        <is>
          <t>10+</t>
        </is>
      </c>
      <c r="G211" s="9" t="inlineStr"/>
      <c r="H211" s="9" t="inlineStr"/>
      <c r="I211" s="9" t="inlineStr"/>
      <c r="J211" s="9" t="inlineStr"/>
      <c r="K211" s="9" t="inlineStr"/>
      <c r="L211" s="9" t="inlineStr"/>
      <c r="M211" s="9" t="inlineStr"/>
      <c r="N211" s="9" t="inlineStr"/>
      <c r="O211" s="15" t="inlineStr">
        <is>
          <t>М5 (5c) · новое</t>
        </is>
      </c>
      <c r="P211" s="16" t="inlineStr">
        <is>
          <t>—</t>
        </is>
      </c>
      <c r="Q211" s="17" t="inlineStr"/>
      <c r="R211" s="13" t="inlineStr">
        <is>
          <t>нет</t>
        </is>
      </c>
      <c r="S211" s="9" t="inlineStr"/>
      <c r="T211" s="9" t="inlineStr"/>
    </row>
    <row r="212">
      <c r="A212" s="9" t="n">
        <v>211</v>
      </c>
      <c r="B212" s="9" t="inlineStr">
        <is>
          <t>Грамматика</t>
        </is>
      </c>
      <c r="C212" s="9" t="inlineStr">
        <is>
          <t>Глаголы: to be / have got / модальные</t>
        </is>
      </c>
      <c r="D212" s="10" t="inlineStr">
        <is>
          <t>must/have to (obligation)</t>
        </is>
      </c>
      <c r="E212" s="9" t="inlineStr">
        <is>
          <t>must/have to (obligation): should/ought to — долг, слабая обязанность</t>
        </is>
      </c>
      <c r="F212" s="9" t="inlineStr">
        <is>
          <t>10+</t>
        </is>
      </c>
      <c r="G212" s="9" t="inlineStr"/>
      <c r="H212" s="9" t="inlineStr"/>
      <c r="I212" s="9" t="inlineStr"/>
      <c r="J212" s="9" t="inlineStr"/>
      <c r="K212" s="9" t="inlineStr"/>
      <c r="L212" s="9" t="inlineStr"/>
      <c r="M212" s="9" t="inlineStr"/>
      <c r="N212" s="9" t="inlineStr"/>
      <c r="O212" s="15" t="inlineStr">
        <is>
          <t>М5 (5c) · новое</t>
        </is>
      </c>
      <c r="P212" s="16" t="inlineStr">
        <is>
          <t>—</t>
        </is>
      </c>
      <c r="Q212" s="17" t="inlineStr"/>
      <c r="R212" s="13" t="inlineStr">
        <is>
          <t>нет</t>
        </is>
      </c>
      <c r="S212" s="9" t="inlineStr"/>
      <c r="T212" s="9" t="inlineStr"/>
    </row>
    <row r="213">
      <c r="A213" s="4" t="n">
        <v>212</v>
      </c>
      <c r="B213" s="4" t="inlineStr">
        <is>
          <t>Грамматика</t>
        </is>
      </c>
      <c r="C213" s="4" t="inlineStr">
        <is>
          <t>Глаголы: другое</t>
        </is>
      </c>
      <c r="D213" s="5" t="inlineStr">
        <is>
          <t>Conditionals (Type 0)</t>
        </is>
      </c>
      <c r="E213" s="4" t="inlineStr">
        <is>
          <t>Conditionals Type 0: форма If/When + Present Simple — Present Simple</t>
        </is>
      </c>
      <c r="F213" s="4" t="inlineStr">
        <is>
          <t>10+</t>
        </is>
      </c>
      <c r="G213" s="4" t="inlineStr"/>
      <c r="H213" s="4" t="inlineStr"/>
      <c r="I213" s="4" t="inlineStr"/>
      <c r="J213" s="4" t="inlineStr"/>
      <c r="K213" s="18" t="inlineStr">
        <is>
          <t>М5 · новое</t>
        </is>
      </c>
      <c r="L213" s="7" t="inlineStr">
        <is>
          <t>М8 (8c) · повт.</t>
        </is>
      </c>
      <c r="M213" s="4" t="inlineStr"/>
      <c r="N213" s="7" t="inlineStr">
        <is>
          <t>М6 (6c) · повт.</t>
        </is>
      </c>
      <c r="O213" s="4" t="inlineStr"/>
      <c r="P213" s="19" t="inlineStr">
        <is>
          <t>—</t>
        </is>
      </c>
      <c r="Q213" s="20" t="inlineStr"/>
      <c r="R213" s="8" t="inlineStr">
        <is>
          <t>нет</t>
        </is>
      </c>
      <c r="S213" s="4" t="inlineStr"/>
      <c r="T213" s="4" t="inlineStr"/>
    </row>
    <row r="214">
      <c r="A214" s="9" t="n">
        <v>213</v>
      </c>
      <c r="B214" s="9" t="inlineStr">
        <is>
          <t>Грамматика</t>
        </is>
      </c>
      <c r="C214" s="9" t="inlineStr">
        <is>
          <t>Глаголы: другое</t>
        </is>
      </c>
      <c r="D214" s="10" t="inlineStr">
        <is>
          <t>Conditionals (Type 0)</t>
        </is>
      </c>
      <c r="E214" s="9" t="inlineStr">
        <is>
          <t>Conditionals Type 0: значение — общие истины, научные факты</t>
        </is>
      </c>
      <c r="F214" s="9" t="inlineStr">
        <is>
          <t>10+</t>
        </is>
      </c>
      <c r="G214" s="9" t="inlineStr"/>
      <c r="H214" s="9" t="inlineStr"/>
      <c r="I214" s="9" t="inlineStr"/>
      <c r="J214" s="9" t="inlineStr"/>
      <c r="K214" s="15" t="inlineStr">
        <is>
          <t>М5 · новое</t>
        </is>
      </c>
      <c r="L214" s="12" t="inlineStr">
        <is>
          <t>М8 (8c) · повт.</t>
        </is>
      </c>
      <c r="M214" s="9" t="inlineStr"/>
      <c r="N214" s="12" t="inlineStr">
        <is>
          <t>М6 (6c) · повт.</t>
        </is>
      </c>
      <c r="O214" s="9" t="inlineStr"/>
      <c r="P214" s="16" t="inlineStr">
        <is>
          <t>—</t>
        </is>
      </c>
      <c r="Q214" s="17" t="inlineStr"/>
      <c r="R214" s="13" t="inlineStr">
        <is>
          <t>нет</t>
        </is>
      </c>
      <c r="S214" s="9" t="inlineStr"/>
      <c r="T214" s="9" t="inlineStr"/>
    </row>
    <row r="215">
      <c r="A215" s="9" t="n">
        <v>214</v>
      </c>
      <c r="B215" s="9" t="inlineStr">
        <is>
          <t>Грамматика</t>
        </is>
      </c>
      <c r="C215" s="9" t="inlineStr">
        <is>
          <t>Глаголы: другое</t>
        </is>
      </c>
      <c r="D215" s="10" t="inlineStr">
        <is>
          <t>Conditionals (Type 0)</t>
        </is>
      </c>
      <c r="E215" s="9" t="inlineStr">
        <is>
          <t>Conditionals Type 0: when вместо if</t>
        </is>
      </c>
      <c r="F215" s="9" t="inlineStr">
        <is>
          <t>10+</t>
        </is>
      </c>
      <c r="G215" s="9" t="inlineStr"/>
      <c r="H215" s="9" t="inlineStr"/>
      <c r="I215" s="9" t="inlineStr"/>
      <c r="J215" s="9" t="inlineStr"/>
      <c r="K215" s="15" t="inlineStr">
        <is>
          <t>М5 · новое</t>
        </is>
      </c>
      <c r="L215" s="12" t="inlineStr">
        <is>
          <t>М8 (8c) · повт.</t>
        </is>
      </c>
      <c r="M215" s="9" t="inlineStr"/>
      <c r="N215" s="12" t="inlineStr">
        <is>
          <t>М6 (6c) · повт.</t>
        </is>
      </c>
      <c r="O215" s="9" t="inlineStr"/>
      <c r="P215" s="16" t="inlineStr">
        <is>
          <t>—</t>
        </is>
      </c>
      <c r="Q215" s="17" t="inlineStr"/>
      <c r="R215" s="13" t="inlineStr">
        <is>
          <t>нет</t>
        </is>
      </c>
      <c r="S215" s="9" t="inlineStr"/>
      <c r="T215" s="9" t="inlineStr"/>
    </row>
    <row r="216">
      <c r="A216" s="4" t="n">
        <v>215</v>
      </c>
      <c r="B216" s="4" t="inlineStr">
        <is>
          <t>Грамматика</t>
        </is>
      </c>
      <c r="C216" s="4" t="inlineStr">
        <is>
          <t>Глаголы: другое</t>
        </is>
      </c>
      <c r="D216" s="5" t="inlineStr">
        <is>
          <t>Conditionals (Type 1)</t>
        </is>
      </c>
      <c r="E216" s="4" t="inlineStr">
        <is>
          <t>Conditionals Type 1: форма If + Present Simple — will + V</t>
        </is>
      </c>
      <c r="F216" s="4" t="inlineStr">
        <is>
          <t>10+</t>
        </is>
      </c>
      <c r="G216" s="4" t="inlineStr"/>
      <c r="H216" s="4" t="inlineStr"/>
      <c r="I216" s="4" t="inlineStr"/>
      <c r="J216" s="4" t="inlineStr"/>
      <c r="K216" s="18" t="inlineStr">
        <is>
          <t>М5 · новое</t>
        </is>
      </c>
      <c r="L216" s="7" t="inlineStr">
        <is>
          <t>М8 (8c) · повт.</t>
        </is>
      </c>
      <c r="M216" s="7" t="inlineStr">
        <is>
          <t>М7 (7c) · повт.</t>
        </is>
      </c>
      <c r="N216" s="7" t="inlineStr">
        <is>
          <t>М6 (6c) · повт.</t>
        </is>
      </c>
      <c r="O216" s="7" t="inlineStr">
        <is>
          <t>М7 (7c) · повт.</t>
        </is>
      </c>
      <c r="P216" s="19" t="inlineStr">
        <is>
          <t>—</t>
        </is>
      </c>
      <c r="Q216" s="20" t="inlineStr"/>
      <c r="R216" s="8" t="inlineStr">
        <is>
          <t>нет</t>
        </is>
      </c>
      <c r="S216" s="4" t="inlineStr"/>
      <c r="T216" s="4" t="inlineStr"/>
    </row>
    <row r="217">
      <c r="A217" s="9" t="n">
        <v>216</v>
      </c>
      <c r="B217" s="9" t="inlineStr">
        <is>
          <t>Грамматика</t>
        </is>
      </c>
      <c r="C217" s="9" t="inlineStr">
        <is>
          <t>Глаголы: другое</t>
        </is>
      </c>
      <c r="D217" s="10" t="inlineStr">
        <is>
          <t>Conditionals (Type 1)</t>
        </is>
      </c>
      <c r="E217" s="9" t="inlineStr">
        <is>
          <t>Conditionals Type 1: главная часть с Imperative / can, must, may</t>
        </is>
      </c>
      <c r="F217" s="9" t="inlineStr">
        <is>
          <t>10+</t>
        </is>
      </c>
      <c r="G217" s="9" t="inlineStr"/>
      <c r="H217" s="9" t="inlineStr"/>
      <c r="I217" s="9" t="inlineStr"/>
      <c r="J217" s="9" t="inlineStr"/>
      <c r="K217" s="15" t="inlineStr">
        <is>
          <t>М5 · новое</t>
        </is>
      </c>
      <c r="L217" s="12" t="inlineStr">
        <is>
          <t>М8 (8c) · повт.</t>
        </is>
      </c>
      <c r="M217" s="9" t="inlineStr"/>
      <c r="N217" s="12" t="inlineStr">
        <is>
          <t>М6 (6c) · повт.</t>
        </is>
      </c>
      <c r="O217" s="9" t="inlineStr"/>
      <c r="P217" s="16" t="inlineStr">
        <is>
          <t>—</t>
        </is>
      </c>
      <c r="Q217" s="17" t="inlineStr"/>
      <c r="R217" s="13" t="inlineStr">
        <is>
          <t>нет</t>
        </is>
      </c>
      <c r="S217" s="9" t="inlineStr"/>
      <c r="T217" s="9" t="inlineStr"/>
    </row>
    <row r="218">
      <c r="A218" s="9" t="n">
        <v>217</v>
      </c>
      <c r="B218" s="9" t="inlineStr">
        <is>
          <t>Грамматика</t>
        </is>
      </c>
      <c r="C218" s="9" t="inlineStr">
        <is>
          <t>Глаголы: другое</t>
        </is>
      </c>
      <c r="D218" s="10" t="inlineStr">
        <is>
          <t>Conditionals (Type 1)</t>
        </is>
      </c>
      <c r="E218" s="9" t="inlineStr">
        <is>
          <t>Conditionals Type 1: значение — реальная/вероятная ситуация в настоящем/будущем</t>
        </is>
      </c>
      <c r="F218" s="9" t="inlineStr">
        <is>
          <t>10+</t>
        </is>
      </c>
      <c r="G218" s="9" t="inlineStr"/>
      <c r="H218" s="9" t="inlineStr"/>
      <c r="I218" s="9" t="inlineStr"/>
      <c r="J218" s="9" t="inlineStr"/>
      <c r="K218" s="15" t="inlineStr">
        <is>
          <t>М5 · новое</t>
        </is>
      </c>
      <c r="L218" s="12" t="inlineStr">
        <is>
          <t>М8 (8c) · повт.</t>
        </is>
      </c>
      <c r="M218" s="12" t="inlineStr">
        <is>
          <t>М7 (7c) · повт.</t>
        </is>
      </c>
      <c r="N218" s="12" t="inlineStr">
        <is>
          <t>М6 (6c) · повт.</t>
        </is>
      </c>
      <c r="O218" s="12" t="inlineStr">
        <is>
          <t>М7 (7c) · повт.</t>
        </is>
      </c>
      <c r="P218" s="16" t="inlineStr">
        <is>
          <t>—</t>
        </is>
      </c>
      <c r="Q218" s="17" t="inlineStr"/>
      <c r="R218" s="13" t="inlineStr">
        <is>
          <t>нет</t>
        </is>
      </c>
      <c r="S218" s="9" t="inlineStr"/>
      <c r="T218" s="9" t="inlineStr"/>
    </row>
    <row r="219">
      <c r="A219" s="9" t="n">
        <v>218</v>
      </c>
      <c r="B219" s="9" t="inlineStr">
        <is>
          <t>Грамматика</t>
        </is>
      </c>
      <c r="C219" s="9" t="inlineStr">
        <is>
          <t>Глаголы: другое</t>
        </is>
      </c>
      <c r="D219" s="10" t="inlineStr">
        <is>
          <t>Conditionals (Type 1)</t>
        </is>
      </c>
      <c r="E219" s="9" t="inlineStr">
        <is>
          <t>Conditionals Type 1: запятая, если if-часть впереди</t>
        </is>
      </c>
      <c r="F219" s="9" t="inlineStr">
        <is>
          <t>10+</t>
        </is>
      </c>
      <c r="G219" s="9" t="inlineStr"/>
      <c r="H219" s="9" t="inlineStr"/>
      <c r="I219" s="9" t="inlineStr"/>
      <c r="J219" s="9" t="inlineStr"/>
      <c r="K219" s="15" t="inlineStr">
        <is>
          <t>М5 · новое</t>
        </is>
      </c>
      <c r="L219" s="12" t="inlineStr">
        <is>
          <t>М8 (8c) · повт.</t>
        </is>
      </c>
      <c r="M219" s="12" t="inlineStr">
        <is>
          <t>М7 (7c) · повт.</t>
        </is>
      </c>
      <c r="N219" s="12" t="inlineStr">
        <is>
          <t>М6 (6c) · повт.</t>
        </is>
      </c>
      <c r="O219" s="12" t="inlineStr">
        <is>
          <t>М7 (7c) · повт.</t>
        </is>
      </c>
      <c r="P219" s="16" t="inlineStr">
        <is>
          <t>—</t>
        </is>
      </c>
      <c r="Q219" s="17" t="inlineStr"/>
      <c r="R219" s="13" t="inlineStr">
        <is>
          <t>нет</t>
        </is>
      </c>
      <c r="S219" s="9" t="inlineStr"/>
      <c r="T219" s="9" t="inlineStr"/>
    </row>
    <row r="220">
      <c r="A220" s="9" t="n">
        <v>219</v>
      </c>
      <c r="B220" s="9" t="inlineStr">
        <is>
          <t>Грамматика</t>
        </is>
      </c>
      <c r="C220" s="9" t="inlineStr">
        <is>
          <t>Глаголы: другое</t>
        </is>
      </c>
      <c r="D220" s="10" t="inlineStr">
        <is>
          <t>Conditionals (Type 1)</t>
        </is>
      </c>
      <c r="E220" s="9" t="inlineStr">
        <is>
          <t>Conditionals Type 1: unless = if not</t>
        </is>
      </c>
      <c r="F220" s="9" t="inlineStr">
        <is>
          <t>10+</t>
        </is>
      </c>
      <c r="G220" s="9" t="inlineStr"/>
      <c r="H220" s="9" t="inlineStr"/>
      <c r="I220" s="9" t="inlineStr"/>
      <c r="J220" s="9" t="inlineStr"/>
      <c r="K220" s="15" t="inlineStr">
        <is>
          <t>М5 · новое</t>
        </is>
      </c>
      <c r="L220" s="12" t="inlineStr">
        <is>
          <t>М8 (8c) · повт.</t>
        </is>
      </c>
      <c r="M220" s="12" t="inlineStr">
        <is>
          <t>М7 (7c) · повт.</t>
        </is>
      </c>
      <c r="N220" s="12" t="inlineStr">
        <is>
          <t>М6 (6c) · повт.</t>
        </is>
      </c>
      <c r="O220" s="12" t="inlineStr">
        <is>
          <t>М7 (7c) · повт.</t>
        </is>
      </c>
      <c r="P220" s="16" t="inlineStr">
        <is>
          <t>—</t>
        </is>
      </c>
      <c r="Q220" s="17" t="inlineStr"/>
      <c r="R220" s="13" t="inlineStr">
        <is>
          <t>нет</t>
        </is>
      </c>
      <c r="S220" s="9" t="inlineStr"/>
      <c r="T220" s="9" t="inlineStr"/>
    </row>
    <row r="221">
      <c r="A221" s="4" t="n">
        <v>220</v>
      </c>
      <c r="B221" s="4" t="inlineStr">
        <is>
          <t>Грамматика</t>
        </is>
      </c>
      <c r="C221" s="4" t="inlineStr">
        <is>
          <t>Глаголы: другое</t>
        </is>
      </c>
      <c r="D221" s="5" t="inlineStr">
        <is>
          <t>Irregular verbs (list)</t>
        </is>
      </c>
      <c r="E221" s="4" t="inlineStr">
        <is>
          <t>Irregular verbs: таблица Infinitive – Past – Past Participle</t>
        </is>
      </c>
      <c r="F221" s="4" t="inlineStr">
        <is>
          <t>10+</t>
        </is>
      </c>
      <c r="G221" s="4" t="inlineStr"/>
      <c r="H221" s="4" t="inlineStr"/>
      <c r="I221" s="4" t="inlineStr"/>
      <c r="J221" s="4" t="inlineStr"/>
      <c r="K221" s="18" t="inlineStr">
        <is>
          <t>Irregular Verbs · новое</t>
        </is>
      </c>
      <c r="L221" s="7" t="inlineStr">
        <is>
          <t>Irregular Verbs · повт.</t>
        </is>
      </c>
      <c r="M221" s="7" t="inlineStr">
        <is>
          <t>Irregular Verbs · повт.</t>
        </is>
      </c>
      <c r="N221" s="7" t="inlineStr">
        <is>
          <t>Irregular Verbs · повт.</t>
        </is>
      </c>
      <c r="O221" s="7" t="inlineStr">
        <is>
          <t>М1 · повт.</t>
        </is>
      </c>
      <c r="P221" s="19" t="inlineStr">
        <is>
          <t>—</t>
        </is>
      </c>
      <c r="Q221" s="20" t="inlineStr"/>
      <c r="R221" s="8" t="inlineStr">
        <is>
          <t>нет</t>
        </is>
      </c>
      <c r="S221" s="4" t="inlineStr"/>
      <c r="T221" s="4" t="inlineStr"/>
    </row>
    <row r="222">
      <c r="A222" s="9" t="n">
        <v>221</v>
      </c>
      <c r="B222" s="9" t="inlineStr">
        <is>
          <t>Грамматика</t>
        </is>
      </c>
      <c r="C222" s="9" t="inlineStr">
        <is>
          <t>Глаголы: другое</t>
        </is>
      </c>
      <c r="D222" s="10" t="inlineStr">
        <is>
          <t>Irregular verbs (list)</t>
        </is>
      </c>
      <c r="E222" s="9" t="inlineStr">
        <is>
          <t>Irregular verbs: двойные и особые формы (burnt/burned, got/gotten, can – could)</t>
        </is>
      </c>
      <c r="F222" s="9" t="inlineStr">
        <is>
          <t>10+</t>
        </is>
      </c>
      <c r="G222" s="9" t="inlineStr"/>
      <c r="H222" s="9" t="inlineStr"/>
      <c r="I222" s="9" t="inlineStr"/>
      <c r="J222" s="9" t="inlineStr"/>
      <c r="K222" s="15" t="inlineStr">
        <is>
          <t>Irregular Verbs · новое</t>
        </is>
      </c>
      <c r="L222" s="14" t="inlineStr">
        <is>
          <t>Irregular Verbs · расш.</t>
        </is>
      </c>
      <c r="M222" s="12" t="inlineStr">
        <is>
          <t>Irregular Verbs · повт.</t>
        </is>
      </c>
      <c r="N222" s="12" t="inlineStr">
        <is>
          <t>Irregular Verbs · повт.</t>
        </is>
      </c>
      <c r="O222" s="12" t="inlineStr">
        <is>
          <t>М1 · повт.</t>
        </is>
      </c>
      <c r="P222" s="16" t="inlineStr">
        <is>
          <t>—</t>
        </is>
      </c>
      <c r="Q222" s="17" t="inlineStr"/>
      <c r="R222" s="13" t="inlineStr">
        <is>
          <t>нет</t>
        </is>
      </c>
      <c r="S222" s="9" t="inlineStr"/>
      <c r="T222" s="9" t="inlineStr"/>
    </row>
    <row r="223">
      <c r="A223" s="4" t="n">
        <v>222</v>
      </c>
      <c r="B223" s="4" t="inlineStr">
        <is>
          <t>Грамматика</t>
        </is>
      </c>
      <c r="C223" s="4" t="inlineStr">
        <is>
          <t>Глаголы: другое</t>
        </is>
      </c>
      <c r="D223" s="5" t="inlineStr">
        <is>
          <t>used to</t>
        </is>
      </c>
      <c r="E223" s="4" t="inlineStr">
        <is>
          <t>used to: значение — прошлые привычки и регулярные действия</t>
        </is>
      </c>
      <c r="F223" s="4" t="inlineStr">
        <is>
          <t>10+</t>
        </is>
      </c>
      <c r="G223" s="4" t="inlineStr"/>
      <c r="H223" s="4" t="inlineStr"/>
      <c r="I223" s="4" t="inlineStr"/>
      <c r="J223" s="4" t="inlineStr"/>
      <c r="K223" s="18" t="inlineStr">
        <is>
          <t>М2 · новое</t>
        </is>
      </c>
      <c r="L223" s="4" t="inlineStr"/>
      <c r="M223" s="7" t="inlineStr">
        <is>
          <t>М3 (3c) · повт.</t>
        </is>
      </c>
      <c r="N223" s="4" t="inlineStr"/>
      <c r="O223" s="7" t="inlineStr">
        <is>
          <t>М1 (1c) · повт.</t>
        </is>
      </c>
      <c r="P223" s="19" t="inlineStr">
        <is>
          <t>—</t>
        </is>
      </c>
      <c r="Q223" s="20" t="inlineStr"/>
      <c r="R223" s="8" t="inlineStr">
        <is>
          <t>нет</t>
        </is>
      </c>
      <c r="S223" s="4" t="inlineStr"/>
      <c r="T223" s="4" t="inlineStr"/>
    </row>
    <row r="224">
      <c r="A224" s="9" t="n">
        <v>223</v>
      </c>
      <c r="B224" s="9" t="inlineStr">
        <is>
          <t>Грамматика</t>
        </is>
      </c>
      <c r="C224" s="9" t="inlineStr">
        <is>
          <t>Глаголы: другое</t>
        </is>
      </c>
      <c r="D224" s="10" t="inlineStr">
        <is>
          <t>used to</t>
        </is>
      </c>
      <c r="E224" s="9" t="inlineStr">
        <is>
          <t>used to: значение — прошлые состояния, которых больше нет</t>
        </is>
      </c>
      <c r="F224" s="9" t="inlineStr">
        <is>
          <t>10+</t>
        </is>
      </c>
      <c r="G224" s="9" t="inlineStr"/>
      <c r="H224" s="9" t="inlineStr"/>
      <c r="I224" s="9" t="inlineStr"/>
      <c r="J224" s="9" t="inlineStr"/>
      <c r="K224" s="15" t="inlineStr">
        <is>
          <t>М2 · новое</t>
        </is>
      </c>
      <c r="L224" s="9" t="inlineStr"/>
      <c r="M224" s="12" t="inlineStr">
        <is>
          <t>М3 (3c) · повт.</t>
        </is>
      </c>
      <c r="N224" s="9" t="inlineStr"/>
      <c r="O224" s="9" t="inlineStr"/>
      <c r="P224" s="16" t="inlineStr">
        <is>
          <t>—</t>
        </is>
      </c>
      <c r="Q224" s="17" t="inlineStr"/>
      <c r="R224" s="13" t="inlineStr">
        <is>
          <t>нет</t>
        </is>
      </c>
      <c r="S224" s="9" t="inlineStr"/>
      <c r="T224" s="9" t="inlineStr"/>
    </row>
    <row r="225">
      <c r="A225" s="9" t="n">
        <v>224</v>
      </c>
      <c r="B225" s="9" t="inlineStr">
        <is>
          <t>Грамматика</t>
        </is>
      </c>
      <c r="C225" s="9" t="inlineStr">
        <is>
          <t>Глаголы: другое</t>
        </is>
      </c>
      <c r="D225" s="10" t="inlineStr">
        <is>
          <t>used to</t>
        </is>
      </c>
      <c r="E225" s="9" t="inlineStr">
        <is>
          <t>used to vs Past Simple: однократное действие — только Past Simple</t>
        </is>
      </c>
      <c r="F225" s="9" t="inlineStr">
        <is>
          <t>10+</t>
        </is>
      </c>
      <c r="G225" s="9" t="inlineStr"/>
      <c r="H225" s="9" t="inlineStr"/>
      <c r="I225" s="9" t="inlineStr"/>
      <c r="J225" s="9" t="inlineStr"/>
      <c r="K225" s="15" t="inlineStr">
        <is>
          <t>М2 · новое</t>
        </is>
      </c>
      <c r="L225" s="9" t="inlineStr"/>
      <c r="M225" s="12" t="inlineStr">
        <is>
          <t>М3 (3c) · повт.</t>
        </is>
      </c>
      <c r="N225" s="9" t="inlineStr"/>
      <c r="O225" s="9" t="inlineStr"/>
      <c r="P225" s="16" t="inlineStr">
        <is>
          <t>—</t>
        </is>
      </c>
      <c r="Q225" s="17" t="inlineStr"/>
      <c r="R225" s="13" t="inlineStr">
        <is>
          <t>нет</t>
        </is>
      </c>
      <c r="S225" s="9" t="inlineStr"/>
      <c r="T225" s="9" t="inlineStr"/>
    </row>
    <row r="226">
      <c r="A226" s="9" t="n">
        <v>225</v>
      </c>
      <c r="B226" s="9" t="inlineStr">
        <is>
          <t>Грамматика</t>
        </is>
      </c>
      <c r="C226" s="9" t="inlineStr">
        <is>
          <t>Глаголы: другое</t>
        </is>
      </c>
      <c r="D226" s="10" t="inlineStr">
        <is>
          <t>used to</t>
        </is>
      </c>
      <c r="E226" s="9" t="inlineStr">
        <is>
          <t>used to vs be/get used to + -ing</t>
        </is>
      </c>
      <c r="F226" s="9" t="inlineStr">
        <is>
          <t>10+</t>
        </is>
      </c>
      <c r="G226" s="9" t="inlineStr"/>
      <c r="H226" s="9" t="inlineStr"/>
      <c r="I226" s="9" t="inlineStr"/>
      <c r="J226" s="9" t="inlineStr"/>
      <c r="K226" s="9" t="inlineStr"/>
      <c r="L226" s="9" t="inlineStr"/>
      <c r="M226" s="9" t="inlineStr"/>
      <c r="N226" s="15" t="inlineStr">
        <is>
          <t>М2 (2c) · новое</t>
        </is>
      </c>
      <c r="O226" s="12" t="inlineStr">
        <is>
          <t>М1 (1c) · повт.</t>
        </is>
      </c>
      <c r="P226" s="16" t="inlineStr">
        <is>
          <t>—</t>
        </is>
      </c>
      <c r="Q226" s="17" t="inlineStr"/>
      <c r="R226" s="13" t="inlineStr">
        <is>
          <t>нет</t>
        </is>
      </c>
      <c r="S226" s="9" t="inlineStr"/>
      <c r="T226" s="9" t="inlineStr"/>
    </row>
    <row r="227">
      <c r="A227" s="9" t="n">
        <v>226</v>
      </c>
      <c r="B227" s="9" t="inlineStr">
        <is>
          <t>Грамматика</t>
        </is>
      </c>
      <c r="C227" s="9" t="inlineStr">
        <is>
          <t>Глаголы: другое</t>
        </is>
      </c>
      <c r="D227" s="10" t="inlineStr">
        <is>
          <t>used to</t>
        </is>
      </c>
      <c r="E227" s="9" t="inlineStr">
        <is>
          <t>used to и would (used to = would)</t>
        </is>
      </c>
      <c r="F227" s="9" t="inlineStr">
        <is>
          <t>10+</t>
        </is>
      </c>
      <c r="G227" s="9" t="inlineStr"/>
      <c r="H227" s="9" t="inlineStr"/>
      <c r="I227" s="9" t="inlineStr"/>
      <c r="J227" s="9" t="inlineStr"/>
      <c r="K227" s="9" t="inlineStr"/>
      <c r="L227" s="9" t="inlineStr"/>
      <c r="M227" s="9" t="inlineStr"/>
      <c r="N227" s="9" t="inlineStr"/>
      <c r="O227" s="15" t="inlineStr">
        <is>
          <t>М1 (1c) · новое</t>
        </is>
      </c>
      <c r="P227" s="16" t="inlineStr">
        <is>
          <t>—</t>
        </is>
      </c>
      <c r="Q227" s="17" t="inlineStr"/>
      <c r="R227" s="13" t="inlineStr">
        <is>
          <t>нет</t>
        </is>
      </c>
      <c r="S227" s="9" t="inlineStr"/>
      <c r="T227" s="9" t="inlineStr"/>
    </row>
    <row r="228">
      <c r="A228" s="4" t="n">
        <v>227</v>
      </c>
      <c r="B228" s="4" t="inlineStr">
        <is>
          <t>Грамматика</t>
        </is>
      </c>
      <c r="C228" s="4" t="inlineStr">
        <is>
          <t>Глаголы: другое</t>
        </is>
      </c>
      <c r="D228" s="5" t="inlineStr">
        <is>
          <t>Causative (have something done)</t>
        </is>
      </c>
      <c r="E228" s="4" t="inlineStr">
        <is>
          <t>Causative: форма have + object + V3</t>
        </is>
      </c>
      <c r="F228" s="4" t="inlineStr">
        <is>
          <t>10+</t>
        </is>
      </c>
      <c r="G228" s="4" t="inlineStr"/>
      <c r="H228" s="4" t="inlineStr"/>
      <c r="I228" s="4" t="inlineStr"/>
      <c r="J228" s="4" t="inlineStr"/>
      <c r="K228" s="4" t="inlineStr"/>
      <c r="L228" s="18" t="inlineStr">
        <is>
          <t>М4 (4d) · новое</t>
        </is>
      </c>
      <c r="M228" s="7" t="inlineStr">
        <is>
          <t>М6 (6c) · повт.</t>
        </is>
      </c>
      <c r="N228" s="4" t="inlineStr"/>
      <c r="O228" s="7" t="inlineStr">
        <is>
          <t>М4 (4c) · повт.</t>
        </is>
      </c>
      <c r="P228" s="19" t="inlineStr">
        <is>
          <t>—</t>
        </is>
      </c>
      <c r="Q228" s="20" t="inlineStr"/>
      <c r="R228" s="8" t="inlineStr">
        <is>
          <t>нет</t>
        </is>
      </c>
      <c r="S228" s="4" t="inlineStr"/>
      <c r="T228" s="4" t="inlineStr"/>
    </row>
    <row r="229">
      <c r="A229" s="9" t="n">
        <v>228</v>
      </c>
      <c r="B229" s="9" t="inlineStr">
        <is>
          <t>Грамматика</t>
        </is>
      </c>
      <c r="C229" s="9" t="inlineStr">
        <is>
          <t>Глаголы: другое</t>
        </is>
      </c>
      <c r="D229" s="10" t="inlineStr">
        <is>
          <t>Causative (have something done)</t>
        </is>
      </c>
      <c r="E229" s="9" t="inlineStr">
        <is>
          <t>Causative: значение — действие выполняет кто-то другой для подлежащего</t>
        </is>
      </c>
      <c r="F229" s="9" t="inlineStr">
        <is>
          <t>10+</t>
        </is>
      </c>
      <c r="G229" s="9" t="inlineStr"/>
      <c r="H229" s="9" t="inlineStr"/>
      <c r="I229" s="9" t="inlineStr"/>
      <c r="J229" s="9" t="inlineStr"/>
      <c r="K229" s="9" t="inlineStr"/>
      <c r="L229" s="15" t="inlineStr">
        <is>
          <t>М4 (4d) · новое</t>
        </is>
      </c>
      <c r="M229" s="12" t="inlineStr">
        <is>
          <t>М6 (6c) · повт.</t>
        </is>
      </c>
      <c r="N229" s="9" t="inlineStr"/>
      <c r="O229" s="12" t="inlineStr">
        <is>
          <t>М4 (4c) · повт.</t>
        </is>
      </c>
      <c r="P229" s="16" t="inlineStr">
        <is>
          <t>—</t>
        </is>
      </c>
      <c r="Q229" s="17" t="inlineStr"/>
      <c r="R229" s="13" t="inlineStr">
        <is>
          <t>нет</t>
        </is>
      </c>
      <c r="S229" s="9" t="inlineStr"/>
      <c r="T229" s="9" t="inlineStr"/>
    </row>
    <row r="230">
      <c r="A230" s="9" t="n">
        <v>229</v>
      </c>
      <c r="B230" s="9" t="inlineStr">
        <is>
          <t>Грамматика</t>
        </is>
      </c>
      <c r="C230" s="9" t="inlineStr">
        <is>
          <t>Глаголы: другое</t>
        </is>
      </c>
      <c r="D230" s="10" t="inlineStr">
        <is>
          <t>Causative (have something done)</t>
        </is>
      </c>
      <c r="E230" s="9" t="inlineStr">
        <is>
          <t>Causative: have sth done в разных временах (Continuous, Perfect, Future)</t>
        </is>
      </c>
      <c r="F230" s="9" t="inlineStr">
        <is>
          <t>10+</t>
        </is>
      </c>
      <c r="G230" s="9" t="inlineStr"/>
      <c r="H230" s="9" t="inlineStr"/>
      <c r="I230" s="9" t="inlineStr"/>
      <c r="J230" s="9" t="inlineStr"/>
      <c r="K230" s="9" t="inlineStr"/>
      <c r="L230" s="15" t="inlineStr">
        <is>
          <t>М4 (4d) · новое</t>
        </is>
      </c>
      <c r="M230" s="14" t="inlineStr">
        <is>
          <t>М6 (6c) · расш.</t>
        </is>
      </c>
      <c r="N230" s="9" t="inlineStr"/>
      <c r="O230" s="12" t="inlineStr">
        <is>
          <t>М4 (4c) · повт.</t>
        </is>
      </c>
      <c r="P230" s="16" t="inlineStr">
        <is>
          <t>—</t>
        </is>
      </c>
      <c r="Q230" s="17" t="inlineStr"/>
      <c r="R230" s="13" t="inlineStr">
        <is>
          <t>нет</t>
        </is>
      </c>
      <c r="S230" s="9" t="inlineStr"/>
      <c r="T230" s="9" t="inlineStr"/>
    </row>
    <row r="231">
      <c r="A231" s="9" t="n">
        <v>230</v>
      </c>
      <c r="B231" s="9" t="inlineStr">
        <is>
          <t>Грамматика</t>
        </is>
      </c>
      <c r="C231" s="9" t="inlineStr">
        <is>
          <t>Глаголы: другое</t>
        </is>
      </c>
      <c r="D231" s="10" t="inlineStr">
        <is>
          <t>Causative (have something done)</t>
        </is>
      </c>
      <c r="E231" s="9" t="inlineStr">
        <is>
          <t>Causative: инфинитив, -ing и модальные (to have / having sth done)</t>
        </is>
      </c>
      <c r="F231" s="9" t="inlineStr">
        <is>
          <t>10+</t>
        </is>
      </c>
      <c r="G231" s="9" t="inlineStr"/>
      <c r="H231" s="9" t="inlineStr"/>
      <c r="I231" s="9" t="inlineStr"/>
      <c r="J231" s="9" t="inlineStr"/>
      <c r="K231" s="9" t="inlineStr"/>
      <c r="L231" s="15" t="inlineStr">
        <is>
          <t>М4 (4d) · новое</t>
        </is>
      </c>
      <c r="M231" s="12" t="inlineStr">
        <is>
          <t>М6 (6c) · повт.</t>
        </is>
      </c>
      <c r="N231" s="9" t="inlineStr"/>
      <c r="O231" s="12" t="inlineStr">
        <is>
          <t>М4 (4c) · повт.</t>
        </is>
      </c>
      <c r="P231" s="16" t="inlineStr">
        <is>
          <t>—</t>
        </is>
      </c>
      <c r="Q231" s="17" t="inlineStr"/>
      <c r="R231" s="13" t="inlineStr">
        <is>
          <t>нет</t>
        </is>
      </c>
      <c r="S231" s="9" t="inlineStr"/>
      <c r="T231" s="9" t="inlineStr"/>
    </row>
    <row r="232">
      <c r="A232" s="9" t="n">
        <v>231</v>
      </c>
      <c r="B232" s="9" t="inlineStr">
        <is>
          <t>Грамматика</t>
        </is>
      </c>
      <c r="C232" s="9" t="inlineStr">
        <is>
          <t>Глаголы: другое</t>
        </is>
      </c>
      <c r="D232" s="10" t="inlineStr">
        <is>
          <t>Causative (have something done)</t>
        </is>
      </c>
      <c r="E232" s="9" t="inlineStr">
        <is>
          <t>Causative: отрицания и вопросы с do/does/did</t>
        </is>
      </c>
      <c r="F232" s="9" t="inlineStr">
        <is>
          <t>10+</t>
        </is>
      </c>
      <c r="G232" s="9" t="inlineStr"/>
      <c r="H232" s="9" t="inlineStr"/>
      <c r="I232" s="9" t="inlineStr"/>
      <c r="J232" s="9" t="inlineStr"/>
      <c r="K232" s="9" t="inlineStr"/>
      <c r="L232" s="9" t="inlineStr"/>
      <c r="M232" s="15" t="inlineStr">
        <is>
          <t>М6 (6c) · новое</t>
        </is>
      </c>
      <c r="N232" s="9" t="inlineStr"/>
      <c r="O232" s="12" t="inlineStr">
        <is>
          <t>М4 (4c) · повт.</t>
        </is>
      </c>
      <c r="P232" s="16" t="inlineStr">
        <is>
          <t>—</t>
        </is>
      </c>
      <c r="Q232" s="17" t="inlineStr"/>
      <c r="R232" s="13" t="inlineStr">
        <is>
          <t>нет</t>
        </is>
      </c>
      <c r="S232" s="9" t="inlineStr"/>
      <c r="T232" s="9" t="inlineStr"/>
    </row>
    <row r="233">
      <c r="A233" s="9" t="n">
        <v>232</v>
      </c>
      <c r="B233" s="9" t="inlineStr">
        <is>
          <t>Грамматика</t>
        </is>
      </c>
      <c r="C233" s="9" t="inlineStr">
        <is>
          <t>Глаголы: другое</t>
        </is>
      </c>
      <c r="D233" s="10" t="inlineStr">
        <is>
          <t>Causative (have something done)</t>
        </is>
      </c>
      <c r="E233" s="9" t="inlineStr">
        <is>
          <t>Causative: get sth done вместо have</t>
        </is>
      </c>
      <c r="F233" s="9" t="inlineStr">
        <is>
          <t>10+</t>
        </is>
      </c>
      <c r="G233" s="9" t="inlineStr"/>
      <c r="H233" s="9" t="inlineStr"/>
      <c r="I233" s="9" t="inlineStr"/>
      <c r="J233" s="9" t="inlineStr"/>
      <c r="K233" s="9" t="inlineStr"/>
      <c r="L233" s="9" t="inlineStr"/>
      <c r="M233" s="15" t="inlineStr">
        <is>
          <t>М6 (6c) · новое</t>
        </is>
      </c>
      <c r="N233" s="9" t="inlineStr"/>
      <c r="O233" s="12" t="inlineStr">
        <is>
          <t>М4 (4c) · повт.</t>
        </is>
      </c>
      <c r="P233" s="16" t="inlineStr">
        <is>
          <t>—</t>
        </is>
      </c>
      <c r="Q233" s="17" t="inlineStr"/>
      <c r="R233" s="13" t="inlineStr">
        <is>
          <t>нет</t>
        </is>
      </c>
      <c r="S233" s="9" t="inlineStr"/>
      <c r="T233" s="9" t="inlineStr"/>
    </row>
    <row r="234">
      <c r="A234" s="9" t="n">
        <v>233</v>
      </c>
      <c r="B234" s="9" t="inlineStr">
        <is>
          <t>Грамматика</t>
        </is>
      </c>
      <c r="C234" s="9" t="inlineStr">
        <is>
          <t>Глаголы: другое</t>
        </is>
      </c>
      <c r="D234" s="10" t="inlineStr">
        <is>
          <t>Causative (have something done)</t>
        </is>
      </c>
      <c r="E234" s="9" t="inlineStr">
        <is>
          <t>Causative: значение — неприятное происшествие (had his car stolen)</t>
        </is>
      </c>
      <c r="F234" s="9" t="inlineStr">
        <is>
          <t>10+</t>
        </is>
      </c>
      <c r="G234" s="9" t="inlineStr"/>
      <c r="H234" s="9" t="inlineStr"/>
      <c r="I234" s="9" t="inlineStr"/>
      <c r="J234" s="9" t="inlineStr"/>
      <c r="K234" s="9" t="inlineStr"/>
      <c r="L234" s="9" t="inlineStr"/>
      <c r="M234" s="15" t="inlineStr">
        <is>
          <t>М6 (6c) · новое</t>
        </is>
      </c>
      <c r="N234" s="9" t="inlineStr"/>
      <c r="O234" s="12" t="inlineStr">
        <is>
          <t>М4 (4c) · повт.</t>
        </is>
      </c>
      <c r="P234" s="16" t="inlineStr">
        <is>
          <t>—</t>
        </is>
      </c>
      <c r="Q234" s="17" t="inlineStr"/>
      <c r="R234" s="13" t="inlineStr">
        <is>
          <t>нет</t>
        </is>
      </c>
      <c r="S234" s="9" t="inlineStr"/>
      <c r="T234" s="9" t="inlineStr"/>
    </row>
    <row r="235">
      <c r="A235" s="4" t="n">
        <v>234</v>
      </c>
      <c r="B235" s="4" t="inlineStr">
        <is>
          <t>Грамматика</t>
        </is>
      </c>
      <c r="C235" s="4" t="inlineStr">
        <is>
          <t>Глаголы: другое</t>
        </is>
      </c>
      <c r="D235" s="5" t="inlineStr">
        <is>
          <t>Conditionals (Type 2)</t>
        </is>
      </c>
      <c r="E235" s="4" t="inlineStr">
        <is>
          <t>Conditionals Type 2: форма If + Past Simple — would/could/might + V</t>
        </is>
      </c>
      <c r="F235" s="4" t="inlineStr">
        <is>
          <t>10+</t>
        </is>
      </c>
      <c r="G235" s="4" t="inlineStr"/>
      <c r="H235" s="4" t="inlineStr"/>
      <c r="I235" s="4" t="inlineStr"/>
      <c r="J235" s="4" t="inlineStr"/>
      <c r="K235" s="4" t="inlineStr"/>
      <c r="L235" s="18" t="inlineStr">
        <is>
          <t>М8 (8c) · новое</t>
        </is>
      </c>
      <c r="M235" s="7" t="inlineStr">
        <is>
          <t>М7 (7c) · повт.</t>
        </is>
      </c>
      <c r="N235" s="7" t="inlineStr">
        <is>
          <t>М6 (6c) · повт.</t>
        </is>
      </c>
      <c r="O235" s="7" t="inlineStr">
        <is>
          <t>М7 (7c) · повт.</t>
        </is>
      </c>
      <c r="P235" s="19" t="inlineStr">
        <is>
          <t>—</t>
        </is>
      </c>
      <c r="Q235" s="20" t="inlineStr"/>
      <c r="R235" s="8" t="inlineStr">
        <is>
          <t>нет</t>
        </is>
      </c>
      <c r="S235" s="4" t="inlineStr"/>
      <c r="T235" s="4" t="inlineStr"/>
    </row>
    <row r="236">
      <c r="A236" s="9" t="n">
        <v>235</v>
      </c>
      <c r="B236" s="9" t="inlineStr">
        <is>
          <t>Грамматика</t>
        </is>
      </c>
      <c r="C236" s="9" t="inlineStr">
        <is>
          <t>Глаголы: другое</t>
        </is>
      </c>
      <c r="D236" s="10" t="inlineStr">
        <is>
          <t>Conditionals (Type 2)</t>
        </is>
      </c>
      <c r="E236" s="9" t="inlineStr">
        <is>
          <t>Conditionals Type 2: If + Past Continuous</t>
        </is>
      </c>
      <c r="F236" s="9" t="inlineStr">
        <is>
          <t>10+</t>
        </is>
      </c>
      <c r="G236" s="9" t="inlineStr"/>
      <c r="H236" s="9" t="inlineStr"/>
      <c r="I236" s="9" t="inlineStr"/>
      <c r="J236" s="9" t="inlineStr"/>
      <c r="K236" s="9" t="inlineStr"/>
      <c r="L236" s="15" t="inlineStr">
        <is>
          <t>М8 (8c) · новое</t>
        </is>
      </c>
      <c r="M236" s="12" t="inlineStr">
        <is>
          <t>М7 (7c) · повт.</t>
        </is>
      </c>
      <c r="N236" s="12" t="inlineStr">
        <is>
          <t>М6 (6c) · повт.</t>
        </is>
      </c>
      <c r="O236" s="12" t="inlineStr">
        <is>
          <t>М7 (7c) · повт.</t>
        </is>
      </c>
      <c r="P236" s="16" t="inlineStr">
        <is>
          <t>—</t>
        </is>
      </c>
      <c r="Q236" s="17" t="inlineStr"/>
      <c r="R236" s="13" t="inlineStr">
        <is>
          <t>нет</t>
        </is>
      </c>
      <c r="S236" s="9" t="inlineStr"/>
      <c r="T236" s="9" t="inlineStr"/>
    </row>
    <row r="237">
      <c r="A237" s="9" t="n">
        <v>236</v>
      </c>
      <c r="B237" s="9" t="inlineStr">
        <is>
          <t>Грамматика</t>
        </is>
      </c>
      <c r="C237" s="9" t="inlineStr">
        <is>
          <t>Глаголы: другое</t>
        </is>
      </c>
      <c r="D237" s="10" t="inlineStr">
        <is>
          <t>Conditionals (Type 2)</t>
        </is>
      </c>
      <c r="E237" s="9" t="inlineStr">
        <is>
          <t>Conditionals Type 2: значение — воображаемая/маловероятная ситуация в настоящем/будущем</t>
        </is>
      </c>
      <c r="F237" s="9" t="inlineStr">
        <is>
          <t>10+</t>
        </is>
      </c>
      <c r="G237" s="9" t="inlineStr"/>
      <c r="H237" s="9" t="inlineStr"/>
      <c r="I237" s="9" t="inlineStr"/>
      <c r="J237" s="9" t="inlineStr"/>
      <c r="K237" s="9" t="inlineStr"/>
      <c r="L237" s="15" t="inlineStr">
        <is>
          <t>М8 (8c) · новое</t>
        </is>
      </c>
      <c r="M237" s="12" t="inlineStr">
        <is>
          <t>М7 (7c) · повт.</t>
        </is>
      </c>
      <c r="N237" s="12" t="inlineStr">
        <is>
          <t>М6 (6c) · повт.</t>
        </is>
      </c>
      <c r="O237" s="12" t="inlineStr">
        <is>
          <t>М7 (7c) · повт.</t>
        </is>
      </c>
      <c r="P237" s="16" t="inlineStr">
        <is>
          <t>—</t>
        </is>
      </c>
      <c r="Q237" s="17" t="inlineStr"/>
      <c r="R237" s="13" t="inlineStr">
        <is>
          <t>нет</t>
        </is>
      </c>
      <c r="S237" s="9" t="inlineStr"/>
      <c r="T237" s="9" t="inlineStr"/>
    </row>
    <row r="238">
      <c r="A238" s="9" t="n">
        <v>237</v>
      </c>
      <c r="B238" s="9" t="inlineStr">
        <is>
          <t>Грамматика</t>
        </is>
      </c>
      <c r="C238" s="9" t="inlineStr">
        <is>
          <t>Глаголы: другое</t>
        </is>
      </c>
      <c r="D238" s="10" t="inlineStr">
        <is>
          <t>Conditionals (Type 2)</t>
        </is>
      </c>
      <c r="E238" s="9" t="inlineStr">
        <is>
          <t>Conditionals Type 2: were/was для I, he, she, it</t>
        </is>
      </c>
      <c r="F238" s="9" t="inlineStr">
        <is>
          <t>10+</t>
        </is>
      </c>
      <c r="G238" s="9" t="inlineStr"/>
      <c r="H238" s="9" t="inlineStr"/>
      <c r="I238" s="9" t="inlineStr"/>
      <c r="J238" s="9" t="inlineStr"/>
      <c r="K238" s="9" t="inlineStr"/>
      <c r="L238" s="15" t="inlineStr">
        <is>
          <t>М8 (8c) · новое</t>
        </is>
      </c>
      <c r="M238" s="14" t="inlineStr">
        <is>
          <t>М7 (7c) · расш.</t>
        </is>
      </c>
      <c r="N238" s="12" t="inlineStr">
        <is>
          <t>М6 (6c) · повт.</t>
        </is>
      </c>
      <c r="O238" s="12" t="inlineStr">
        <is>
          <t>М7 (7c) · повт.</t>
        </is>
      </c>
      <c r="P238" s="16" t="inlineStr">
        <is>
          <t>—</t>
        </is>
      </c>
      <c r="Q238" s="17" t="inlineStr"/>
      <c r="R238" s="13" t="inlineStr">
        <is>
          <t>нет</t>
        </is>
      </c>
      <c r="S238" s="9" t="inlineStr"/>
      <c r="T238" s="9" t="inlineStr"/>
    </row>
    <row r="239">
      <c r="A239" s="9" t="n">
        <v>238</v>
      </c>
      <c r="B239" s="9" t="inlineStr">
        <is>
          <t>Грамматика</t>
        </is>
      </c>
      <c r="C239" s="9" t="inlineStr">
        <is>
          <t>Глаголы: другое</t>
        </is>
      </c>
      <c r="D239" s="10" t="inlineStr">
        <is>
          <t>Conditionals (Type 2)</t>
        </is>
      </c>
      <c r="E239" s="9" t="inlineStr">
        <is>
          <t>Conditionals Type 2: If I were you — совет</t>
        </is>
      </c>
      <c r="F239" s="9" t="inlineStr">
        <is>
          <t>10+</t>
        </is>
      </c>
      <c r="G239" s="9" t="inlineStr"/>
      <c r="H239" s="9" t="inlineStr"/>
      <c r="I239" s="9" t="inlineStr"/>
      <c r="J239" s="9" t="inlineStr"/>
      <c r="K239" s="9" t="inlineStr"/>
      <c r="L239" s="15" t="inlineStr">
        <is>
          <t>М8 (8c) · новое</t>
        </is>
      </c>
      <c r="M239" s="12" t="inlineStr">
        <is>
          <t>М7 (7c) · повт.</t>
        </is>
      </c>
      <c r="N239" s="12" t="inlineStr">
        <is>
          <t>М6 (6c) · повт.</t>
        </is>
      </c>
      <c r="O239" s="12" t="inlineStr">
        <is>
          <t>М7 (7c) · повт.</t>
        </is>
      </c>
      <c r="P239" s="16" t="inlineStr">
        <is>
          <t>—</t>
        </is>
      </c>
      <c r="Q239" s="17" t="inlineStr"/>
      <c r="R239" s="13" t="inlineStr">
        <is>
          <t>нет</t>
        </is>
      </c>
      <c r="S239" s="9" t="inlineStr"/>
      <c r="T239" s="9" t="inlineStr"/>
    </row>
    <row r="240">
      <c r="A240" s="4" t="n">
        <v>239</v>
      </c>
      <c r="B240" s="4" t="inlineStr">
        <is>
          <t>Грамматика</t>
        </is>
      </c>
      <c r="C240" s="4" t="inlineStr">
        <is>
          <t>Глаголы: другое</t>
        </is>
      </c>
      <c r="D240" s="5" t="inlineStr">
        <is>
          <t>Conditionals (Type 3)</t>
        </is>
      </c>
      <c r="E240" s="4" t="inlineStr">
        <is>
          <t>Conditionals Type 3: форма If + Past Perfect — would/could/might have + V3</t>
        </is>
      </c>
      <c r="F240" s="4" t="inlineStr">
        <is>
          <t>10+</t>
        </is>
      </c>
      <c r="G240" s="4" t="inlineStr"/>
      <c r="H240" s="4" t="inlineStr"/>
      <c r="I240" s="4" t="inlineStr"/>
      <c r="J240" s="4" t="inlineStr"/>
      <c r="K240" s="4" t="inlineStr"/>
      <c r="L240" s="18" t="inlineStr">
        <is>
          <t>М8 (8c) · новое</t>
        </is>
      </c>
      <c r="M240" s="7" t="inlineStr">
        <is>
          <t>М7 (7c) · повт.</t>
        </is>
      </c>
      <c r="N240" s="7" t="inlineStr">
        <is>
          <t>М6 (6c) · повт.</t>
        </is>
      </c>
      <c r="O240" s="7" t="inlineStr">
        <is>
          <t>М7 (7c) · повт.</t>
        </is>
      </c>
      <c r="P240" s="19" t="inlineStr">
        <is>
          <t>—</t>
        </is>
      </c>
      <c r="Q240" s="20" t="inlineStr"/>
      <c r="R240" s="8" t="inlineStr">
        <is>
          <t>нет</t>
        </is>
      </c>
      <c r="S240" s="4" t="inlineStr"/>
      <c r="T240" s="4" t="inlineStr"/>
    </row>
    <row r="241">
      <c r="A241" s="9" t="n">
        <v>240</v>
      </c>
      <c r="B241" s="9" t="inlineStr">
        <is>
          <t>Грамматика</t>
        </is>
      </c>
      <c r="C241" s="9" t="inlineStr">
        <is>
          <t>Глаголы: другое</t>
        </is>
      </c>
      <c r="D241" s="10" t="inlineStr">
        <is>
          <t>Conditionals (Type 3)</t>
        </is>
      </c>
      <c r="E241" s="9" t="inlineStr">
        <is>
          <t>Conditionals Type 3: If + Past Perfect Continuous</t>
        </is>
      </c>
      <c r="F241" s="9" t="inlineStr">
        <is>
          <t>10+</t>
        </is>
      </c>
      <c r="G241" s="9" t="inlineStr"/>
      <c r="H241" s="9" t="inlineStr"/>
      <c r="I241" s="9" t="inlineStr"/>
      <c r="J241" s="9" t="inlineStr"/>
      <c r="K241" s="9" t="inlineStr"/>
      <c r="L241" s="15" t="inlineStr">
        <is>
          <t>М8 (8c) · новое</t>
        </is>
      </c>
      <c r="M241" s="12" t="inlineStr">
        <is>
          <t>М7 (7c) · повт.</t>
        </is>
      </c>
      <c r="N241" s="12" t="inlineStr">
        <is>
          <t>М6 (6c) · повт.</t>
        </is>
      </c>
      <c r="O241" s="12" t="inlineStr">
        <is>
          <t>М7 (7c) · повт.</t>
        </is>
      </c>
      <c r="P241" s="16" t="inlineStr">
        <is>
          <t>—</t>
        </is>
      </c>
      <c r="Q241" s="17" t="inlineStr"/>
      <c r="R241" s="13" t="inlineStr">
        <is>
          <t>нет</t>
        </is>
      </c>
      <c r="S241" s="9" t="inlineStr"/>
      <c r="T241" s="9" t="inlineStr"/>
    </row>
    <row r="242">
      <c r="A242" s="9" t="n">
        <v>241</v>
      </c>
      <c r="B242" s="9" t="inlineStr">
        <is>
          <t>Грамматика</t>
        </is>
      </c>
      <c r="C242" s="9" t="inlineStr">
        <is>
          <t>Глаголы: другое</t>
        </is>
      </c>
      <c r="D242" s="10" t="inlineStr">
        <is>
          <t>Conditionals (Type 3)</t>
        </is>
      </c>
      <c r="E242" s="9" t="inlineStr">
        <is>
          <t>Conditionals Type 3: значение — нереальная ситуация в прошлом</t>
        </is>
      </c>
      <c r="F242" s="9" t="inlineStr">
        <is>
          <t>10+</t>
        </is>
      </c>
      <c r="G242" s="9" t="inlineStr"/>
      <c r="H242" s="9" t="inlineStr"/>
      <c r="I242" s="9" t="inlineStr"/>
      <c r="J242" s="9" t="inlineStr"/>
      <c r="K242" s="9" t="inlineStr"/>
      <c r="L242" s="15" t="inlineStr">
        <is>
          <t>М8 (8c) · новое</t>
        </is>
      </c>
      <c r="M242" s="12" t="inlineStr">
        <is>
          <t>М7 (7c) · повт.</t>
        </is>
      </c>
      <c r="N242" s="12" t="inlineStr">
        <is>
          <t>М6 (6c) · повт.</t>
        </is>
      </c>
      <c r="O242" s="12" t="inlineStr">
        <is>
          <t>М7 (7c) · повт.</t>
        </is>
      </c>
      <c r="P242" s="16" t="inlineStr">
        <is>
          <t>—</t>
        </is>
      </c>
      <c r="Q242" s="17" t="inlineStr"/>
      <c r="R242" s="13" t="inlineStr">
        <is>
          <t>нет</t>
        </is>
      </c>
      <c r="S242" s="9" t="inlineStr"/>
      <c r="T242" s="9" t="inlineStr"/>
    </row>
    <row r="243">
      <c r="A243" s="9" t="n">
        <v>242</v>
      </c>
      <c r="B243" s="9" t="inlineStr">
        <is>
          <t>Грамматика</t>
        </is>
      </c>
      <c r="C243" s="9" t="inlineStr">
        <is>
          <t>Глаголы: другое</t>
        </is>
      </c>
      <c r="D243" s="10" t="inlineStr">
        <is>
          <t>Conditionals (Type 3)</t>
        </is>
      </c>
      <c r="E243" s="9" t="inlineStr">
        <is>
          <t>Conditionals Type 3: значение — сожаление, критика</t>
        </is>
      </c>
      <c r="F243" s="9" t="inlineStr">
        <is>
          <t>10+</t>
        </is>
      </c>
      <c r="G243" s="9" t="inlineStr"/>
      <c r="H243" s="9" t="inlineStr"/>
      <c r="I243" s="9" t="inlineStr"/>
      <c r="J243" s="9" t="inlineStr"/>
      <c r="K243" s="9" t="inlineStr"/>
      <c r="L243" s="15" t="inlineStr">
        <is>
          <t>М8 (8c) · новое</t>
        </is>
      </c>
      <c r="M243" s="12" t="inlineStr">
        <is>
          <t>М7 (7c) · повт.</t>
        </is>
      </c>
      <c r="N243" s="12" t="inlineStr">
        <is>
          <t>М6 (6c) · повт.</t>
        </is>
      </c>
      <c r="O243" s="12" t="inlineStr">
        <is>
          <t>М7 (7c) · повт.</t>
        </is>
      </c>
      <c r="P243" s="16" t="inlineStr">
        <is>
          <t>—</t>
        </is>
      </c>
      <c r="Q243" s="17" t="inlineStr"/>
      <c r="R243" s="13" t="inlineStr">
        <is>
          <t>нет</t>
        </is>
      </c>
      <c r="S243" s="9" t="inlineStr"/>
      <c r="T243" s="9" t="inlineStr"/>
    </row>
    <row r="244">
      <c r="A244" s="4" t="n">
        <v>243</v>
      </c>
      <c r="B244" s="4" t="inlineStr">
        <is>
          <t>Грамматика</t>
        </is>
      </c>
      <c r="C244" s="4" t="inlineStr">
        <is>
          <t>Глаголы: другое</t>
        </is>
      </c>
      <c r="D244" s="5" t="inlineStr">
        <is>
          <t>Infinitive / -ing form</t>
        </is>
      </c>
      <c r="E244" s="4" t="inlineStr">
        <is>
          <t>-ing form: в роли подлежащего</t>
        </is>
      </c>
      <c r="F244" s="4" t="inlineStr">
        <is>
          <t>10+</t>
        </is>
      </c>
      <c r="G244" s="4" t="inlineStr"/>
      <c r="H244" s="4" t="inlineStr"/>
      <c r="I244" s="4" t="inlineStr"/>
      <c r="J244" s="4" t="inlineStr"/>
      <c r="K244" s="4" t="inlineStr"/>
      <c r="L244" s="18" t="inlineStr">
        <is>
          <t>М5 (5c) · новое</t>
        </is>
      </c>
      <c r="M244" s="7" t="inlineStr">
        <is>
          <t>М2 (2c) · повт.</t>
        </is>
      </c>
      <c r="N244" s="7" t="inlineStr">
        <is>
          <t>М2 (2c) · повт.</t>
        </is>
      </c>
      <c r="O244" s="7" t="inlineStr">
        <is>
          <t>М3 (3c) · повт.</t>
        </is>
      </c>
      <c r="P244" s="19" t="inlineStr">
        <is>
          <t>—</t>
        </is>
      </c>
      <c r="Q244" s="20" t="inlineStr"/>
      <c r="R244" s="8" t="inlineStr">
        <is>
          <t>нет</t>
        </is>
      </c>
      <c r="S244" s="4" t="inlineStr"/>
      <c r="T244" s="4" t="inlineStr"/>
    </row>
    <row r="245">
      <c r="A245" s="9" t="n">
        <v>244</v>
      </c>
      <c r="B245" s="9" t="inlineStr">
        <is>
          <t>Грамматика</t>
        </is>
      </c>
      <c r="C245" s="9" t="inlineStr">
        <is>
          <t>Глаголы: другое</t>
        </is>
      </c>
      <c r="D245" s="10" t="inlineStr">
        <is>
          <t>Infinitive / -ing form</t>
        </is>
      </c>
      <c r="E245" s="9" t="inlineStr">
        <is>
          <t>-ing form: после глаголов admit, avoid, consider, deny, fancy, go, imagine, mind, miss, practise, suggest…</t>
        </is>
      </c>
      <c r="F245" s="9" t="inlineStr">
        <is>
          <t>10+</t>
        </is>
      </c>
      <c r="G245" s="9" t="inlineStr"/>
      <c r="H245" s="9" t="inlineStr"/>
      <c r="I245" s="9" t="inlineStr"/>
      <c r="J245" s="9" t="inlineStr"/>
      <c r="K245" s="9" t="inlineStr"/>
      <c r="L245" s="15" t="inlineStr">
        <is>
          <t>М5 (5c) · новое</t>
        </is>
      </c>
      <c r="M245" s="12" t="inlineStr">
        <is>
          <t>М2 (2c) · повт.</t>
        </is>
      </c>
      <c r="N245" s="12" t="inlineStr">
        <is>
          <t>М2 (2c) · повт.</t>
        </is>
      </c>
      <c r="O245" s="12" t="inlineStr">
        <is>
          <t>М3 (3c) · повт.</t>
        </is>
      </c>
      <c r="P245" s="16" t="inlineStr">
        <is>
          <t>—</t>
        </is>
      </c>
      <c r="Q245" s="17" t="inlineStr"/>
      <c r="R245" s="13" t="inlineStr">
        <is>
          <t>нет</t>
        </is>
      </c>
      <c r="S245" s="9" t="inlineStr"/>
      <c r="T245" s="9" t="inlineStr"/>
    </row>
    <row r="246">
      <c r="A246" s="9" t="n">
        <v>245</v>
      </c>
      <c r="B246" s="9" t="inlineStr">
        <is>
          <t>Грамматика</t>
        </is>
      </c>
      <c r="C246" s="9" t="inlineStr">
        <is>
          <t>Глаголы: другое</t>
        </is>
      </c>
      <c r="D246" s="10" t="inlineStr">
        <is>
          <t>Infinitive / -ing form</t>
        </is>
      </c>
      <c r="E246" s="9" t="inlineStr">
        <is>
          <t>-ing form: после like, love, enjoy, prefer, dislike, hate — общее предпочтение</t>
        </is>
      </c>
      <c r="F246" s="9" t="inlineStr">
        <is>
          <t>10+</t>
        </is>
      </c>
      <c r="G246" s="9" t="inlineStr"/>
      <c r="H246" s="9" t="inlineStr"/>
      <c r="I246" s="9" t="inlineStr"/>
      <c r="J246" s="9" t="inlineStr"/>
      <c r="K246" s="9" t="inlineStr"/>
      <c r="L246" s="15" t="inlineStr">
        <is>
          <t>М5 (5c) · новое</t>
        </is>
      </c>
      <c r="M246" s="12" t="inlineStr">
        <is>
          <t>М2 (2c) · повт.</t>
        </is>
      </c>
      <c r="N246" s="12" t="inlineStr">
        <is>
          <t>М2 (2c) · повт.</t>
        </is>
      </c>
      <c r="O246" s="12" t="inlineStr">
        <is>
          <t>М3 (3c) · повт.</t>
        </is>
      </c>
      <c r="P246" s="16" t="inlineStr">
        <is>
          <t>—</t>
        </is>
      </c>
      <c r="Q246" s="17" t="inlineStr"/>
      <c r="R246" s="13" t="inlineStr">
        <is>
          <t>нет</t>
        </is>
      </c>
      <c r="S246" s="9" t="inlineStr"/>
      <c r="T246" s="9" t="inlineStr"/>
    </row>
    <row r="247">
      <c r="A247" s="9" t="n">
        <v>246</v>
      </c>
      <c r="B247" s="9" t="inlineStr">
        <is>
          <t>Грамматика</t>
        </is>
      </c>
      <c r="C247" s="9" t="inlineStr">
        <is>
          <t>Глаголы: другое</t>
        </is>
      </c>
      <c r="D247" s="10" t="inlineStr">
        <is>
          <t>Infinitive / -ing form</t>
        </is>
      </c>
      <c r="E247" s="9" t="inlineStr">
        <is>
          <t>-ing form: после выражений it's no use, it's (not) worth, can't help, there's no point…</t>
        </is>
      </c>
      <c r="F247" s="9" t="inlineStr">
        <is>
          <t>10+</t>
        </is>
      </c>
      <c r="G247" s="9" t="inlineStr"/>
      <c r="H247" s="9" t="inlineStr"/>
      <c r="I247" s="9" t="inlineStr"/>
      <c r="J247" s="9" t="inlineStr"/>
      <c r="K247" s="9" t="inlineStr"/>
      <c r="L247" s="15" t="inlineStr">
        <is>
          <t>М5 (5c) · новое</t>
        </is>
      </c>
      <c r="M247" s="12" t="inlineStr">
        <is>
          <t>М2 (2c) · повт.</t>
        </is>
      </c>
      <c r="N247" s="12" t="inlineStr">
        <is>
          <t>М2 (2c) · повт.</t>
        </is>
      </c>
      <c r="O247" s="12" t="inlineStr">
        <is>
          <t>М3 (3c) · повт.</t>
        </is>
      </c>
      <c r="P247" s="16" t="inlineStr">
        <is>
          <t>—</t>
        </is>
      </c>
      <c r="Q247" s="17" t="inlineStr"/>
      <c r="R247" s="13" t="inlineStr">
        <is>
          <t>нет</t>
        </is>
      </c>
      <c r="S247" s="9" t="inlineStr"/>
      <c r="T247" s="9" t="inlineStr"/>
    </row>
    <row r="248">
      <c r="A248" s="9" t="n">
        <v>247</v>
      </c>
      <c r="B248" s="9" t="inlineStr">
        <is>
          <t>Грамматика</t>
        </is>
      </c>
      <c r="C248" s="9" t="inlineStr">
        <is>
          <t>Глаголы: другое</t>
        </is>
      </c>
      <c r="D248" s="10" t="inlineStr">
        <is>
          <t>Infinitive / -ing form</t>
        </is>
      </c>
      <c r="E248" s="9" t="inlineStr">
        <is>
          <t>-ing form: после spend/waste/lose + время/деньги</t>
        </is>
      </c>
      <c r="F248" s="9" t="inlineStr">
        <is>
          <t>10+</t>
        </is>
      </c>
      <c r="G248" s="9" t="inlineStr"/>
      <c r="H248" s="9" t="inlineStr"/>
      <c r="I248" s="9" t="inlineStr"/>
      <c r="J248" s="9" t="inlineStr"/>
      <c r="K248" s="9" t="inlineStr"/>
      <c r="L248" s="15" t="inlineStr">
        <is>
          <t>М5 (5c) · новое</t>
        </is>
      </c>
      <c r="M248" s="12" t="inlineStr">
        <is>
          <t>М2 (2c) · повт.</t>
        </is>
      </c>
      <c r="N248" s="12" t="inlineStr">
        <is>
          <t>М2 (2c) · повт.</t>
        </is>
      </c>
      <c r="O248" s="12" t="inlineStr">
        <is>
          <t>М3 (3c) · повт.</t>
        </is>
      </c>
      <c r="P248" s="16" t="inlineStr">
        <is>
          <t>—</t>
        </is>
      </c>
      <c r="Q248" s="17" t="inlineStr"/>
      <c r="R248" s="13" t="inlineStr">
        <is>
          <t>нет</t>
        </is>
      </c>
      <c r="S248" s="9" t="inlineStr"/>
      <c r="T248" s="9" t="inlineStr"/>
    </row>
    <row r="249">
      <c r="A249" s="9" t="n">
        <v>248</v>
      </c>
      <c r="B249" s="9" t="inlineStr">
        <is>
          <t>Грамматика</t>
        </is>
      </c>
      <c r="C249" s="9" t="inlineStr">
        <is>
          <t>Глаголы: другое</t>
        </is>
      </c>
      <c r="D249" s="10" t="inlineStr">
        <is>
          <t>Infinitive / -ing form</t>
        </is>
      </c>
      <c r="E249" s="9" t="inlineStr">
        <is>
          <t>-ing form: после предлогов (look forward to, be used to, object to…)</t>
        </is>
      </c>
      <c r="F249" s="9" t="inlineStr">
        <is>
          <t>10+</t>
        </is>
      </c>
      <c r="G249" s="9" t="inlineStr"/>
      <c r="H249" s="9" t="inlineStr"/>
      <c r="I249" s="9" t="inlineStr"/>
      <c r="J249" s="9" t="inlineStr"/>
      <c r="K249" s="9" t="inlineStr"/>
      <c r="L249" s="15" t="inlineStr">
        <is>
          <t>М5 (5c) · новое</t>
        </is>
      </c>
      <c r="M249" s="14" t="inlineStr">
        <is>
          <t>М2 (2c) · расш.</t>
        </is>
      </c>
      <c r="N249" s="12" t="inlineStr">
        <is>
          <t>М2 (2c) · повт.</t>
        </is>
      </c>
      <c r="O249" s="12" t="inlineStr">
        <is>
          <t>М3 (3c) · повт.</t>
        </is>
      </c>
      <c r="P249" s="16" t="inlineStr">
        <is>
          <t>—</t>
        </is>
      </c>
      <c r="Q249" s="17" t="inlineStr"/>
      <c r="R249" s="13" t="inlineStr">
        <is>
          <t>нет</t>
        </is>
      </c>
      <c r="S249" s="9" t="inlineStr"/>
      <c r="T249" s="9" t="inlineStr"/>
    </row>
    <row r="250">
      <c r="A250" s="9" t="n">
        <v>249</v>
      </c>
      <c r="B250" s="9" t="inlineStr">
        <is>
          <t>Грамматика</t>
        </is>
      </c>
      <c r="C250" s="9" t="inlineStr">
        <is>
          <t>Глаголы: другое</t>
        </is>
      </c>
      <c r="D250" s="10" t="inlineStr">
        <is>
          <t>Infinitive / -ing form</t>
        </is>
      </c>
      <c r="E250" s="9" t="inlineStr">
        <is>
          <t>-ing vs bare infinitive после see, hear, watch, feel — незавершённое vs завершённое</t>
        </is>
      </c>
      <c r="F250" s="9" t="inlineStr">
        <is>
          <t>10+</t>
        </is>
      </c>
      <c r="G250" s="9" t="inlineStr"/>
      <c r="H250" s="9" t="inlineStr"/>
      <c r="I250" s="9" t="inlineStr"/>
      <c r="J250" s="9" t="inlineStr"/>
      <c r="K250" s="9" t="inlineStr"/>
      <c r="L250" s="15" t="inlineStr">
        <is>
          <t>М5 (5c) · новое</t>
        </is>
      </c>
      <c r="M250" s="12" t="inlineStr">
        <is>
          <t>М2 (2c) · повт.</t>
        </is>
      </c>
      <c r="N250" s="12" t="inlineStr">
        <is>
          <t>М2 (2c) · повт.</t>
        </is>
      </c>
      <c r="O250" s="12" t="inlineStr">
        <is>
          <t>М3 (3c) · повт.</t>
        </is>
      </c>
      <c r="P250" s="16" t="inlineStr">
        <is>
          <t>—</t>
        </is>
      </c>
      <c r="Q250" s="17" t="inlineStr"/>
      <c r="R250" s="13" t="inlineStr">
        <is>
          <t>нет</t>
        </is>
      </c>
      <c r="S250" s="9" t="inlineStr"/>
      <c r="T250" s="9" t="inlineStr"/>
    </row>
    <row r="251">
      <c r="A251" s="9" t="n">
        <v>250</v>
      </c>
      <c r="B251" s="9" t="inlineStr">
        <is>
          <t>Грамматика</t>
        </is>
      </c>
      <c r="C251" s="9" t="inlineStr">
        <is>
          <t>Глаголы: другое</t>
        </is>
      </c>
      <c r="D251" s="10" t="inlineStr">
        <is>
          <t>Infinitive / -ing form</t>
        </is>
      </c>
      <c r="E251" s="9" t="inlineStr">
        <is>
          <t>-ing form: be/get used to + -ing vs used to + V</t>
        </is>
      </c>
      <c r="F251" s="9" t="inlineStr">
        <is>
          <t>10+</t>
        </is>
      </c>
      <c r="G251" s="9" t="inlineStr"/>
      <c r="H251" s="9" t="inlineStr"/>
      <c r="I251" s="9" t="inlineStr"/>
      <c r="J251" s="9" t="inlineStr"/>
      <c r="K251" s="9" t="inlineStr"/>
      <c r="L251" s="9" t="inlineStr"/>
      <c r="M251" s="15" t="inlineStr">
        <is>
          <t>М2 (2c) · новое</t>
        </is>
      </c>
      <c r="N251" s="9" t="inlineStr"/>
      <c r="O251" s="12" t="inlineStr">
        <is>
          <t>М3 (3c) · повт.</t>
        </is>
      </c>
      <c r="P251" s="16" t="inlineStr">
        <is>
          <t>—</t>
        </is>
      </c>
      <c r="Q251" s="17" t="inlineStr"/>
      <c r="R251" s="13" t="inlineStr">
        <is>
          <t>нет</t>
        </is>
      </c>
      <c r="S251" s="9" t="inlineStr"/>
      <c r="T251" s="9" t="inlineStr"/>
    </row>
    <row r="252">
      <c r="A252" s="9" t="n">
        <v>251</v>
      </c>
      <c r="B252" s="9" t="inlineStr">
        <is>
          <t>Грамматика</t>
        </is>
      </c>
      <c r="C252" s="9" t="inlineStr">
        <is>
          <t>Глаголы: другое</t>
        </is>
      </c>
      <c r="D252" s="10" t="inlineStr">
        <is>
          <t>Infinitive / -ing form</t>
        </is>
      </c>
      <c r="E252" s="9" t="inlineStr">
        <is>
          <t>to-infinitive: цель</t>
        </is>
      </c>
      <c r="F252" s="9" t="inlineStr">
        <is>
          <t>10+</t>
        </is>
      </c>
      <c r="G252" s="9" t="inlineStr"/>
      <c r="H252" s="9" t="inlineStr"/>
      <c r="I252" s="9" t="inlineStr"/>
      <c r="J252" s="9" t="inlineStr"/>
      <c r="K252" s="9" t="inlineStr"/>
      <c r="L252" s="15" t="inlineStr">
        <is>
          <t>М5 (5c) · новое</t>
        </is>
      </c>
      <c r="M252" s="12" t="inlineStr">
        <is>
          <t>М2 (2c) · повт.</t>
        </is>
      </c>
      <c r="N252" s="12" t="inlineStr">
        <is>
          <t>М2 (2c) · повт.</t>
        </is>
      </c>
      <c r="O252" s="12" t="inlineStr">
        <is>
          <t>М3 (3c) · повт.</t>
        </is>
      </c>
      <c r="P252" s="16" t="inlineStr">
        <is>
          <t>—</t>
        </is>
      </c>
      <c r="Q252" s="17" t="inlineStr"/>
      <c r="R252" s="13" t="inlineStr">
        <is>
          <t>нет</t>
        </is>
      </c>
      <c r="S252" s="9" t="inlineStr"/>
      <c r="T252" s="9" t="inlineStr"/>
    </row>
    <row r="253">
      <c r="A253" s="9" t="n">
        <v>252</v>
      </c>
      <c r="B253" s="9" t="inlineStr">
        <is>
          <t>Грамматика</t>
        </is>
      </c>
      <c r="C253" s="9" t="inlineStr">
        <is>
          <t>Глаголы: другое</t>
        </is>
      </c>
      <c r="D253" s="10" t="inlineStr">
        <is>
          <t>Infinitive / -ing form</t>
        </is>
      </c>
      <c r="E253" s="9" t="inlineStr">
        <is>
          <t>to-infinitive: после agree, decide, expect, hope, plan, promise, refuse, want</t>
        </is>
      </c>
      <c r="F253" s="9" t="inlineStr">
        <is>
          <t>10+</t>
        </is>
      </c>
      <c r="G253" s="9" t="inlineStr"/>
      <c r="H253" s="9" t="inlineStr"/>
      <c r="I253" s="9" t="inlineStr"/>
      <c r="J253" s="9" t="inlineStr"/>
      <c r="K253" s="9" t="inlineStr"/>
      <c r="L253" s="15" t="inlineStr">
        <is>
          <t>М5 (5c) · новое</t>
        </is>
      </c>
      <c r="M253" s="14" t="inlineStr">
        <is>
          <t>М2 (2c) · расш.</t>
        </is>
      </c>
      <c r="N253" s="12" t="inlineStr">
        <is>
          <t>М2 (2c) · повт.</t>
        </is>
      </c>
      <c r="O253" s="12" t="inlineStr">
        <is>
          <t>М3 (3c) · повт.</t>
        </is>
      </c>
      <c r="P253" s="16" t="inlineStr">
        <is>
          <t>—</t>
        </is>
      </c>
      <c r="Q253" s="17" t="inlineStr"/>
      <c r="R253" s="13" t="inlineStr">
        <is>
          <t>нет</t>
        </is>
      </c>
      <c r="S253" s="9" t="inlineStr"/>
      <c r="T253" s="9" t="inlineStr"/>
    </row>
    <row r="254">
      <c r="A254" s="9" t="n">
        <v>253</v>
      </c>
      <c r="B254" s="9" t="inlineStr">
        <is>
          <t>Грамматика</t>
        </is>
      </c>
      <c r="C254" s="9" t="inlineStr">
        <is>
          <t>Глаголы: другое</t>
        </is>
      </c>
      <c r="D254" s="10" t="inlineStr">
        <is>
          <t>Infinitive / -ing form</t>
        </is>
      </c>
      <c r="E254" s="9" t="inlineStr">
        <is>
          <t>to-infinitive: после would like/prefer/love — конкретное предпочтение</t>
        </is>
      </c>
      <c r="F254" s="9" t="inlineStr">
        <is>
          <t>10+</t>
        </is>
      </c>
      <c r="G254" s="9" t="inlineStr"/>
      <c r="H254" s="9" t="inlineStr"/>
      <c r="I254" s="9" t="inlineStr"/>
      <c r="J254" s="9" t="inlineStr"/>
      <c r="K254" s="9" t="inlineStr"/>
      <c r="L254" s="15" t="inlineStr">
        <is>
          <t>М5 (5c) · новое</t>
        </is>
      </c>
      <c r="M254" s="12" t="inlineStr">
        <is>
          <t>М2 (2c) · повт.</t>
        </is>
      </c>
      <c r="N254" s="12" t="inlineStr">
        <is>
          <t>М2 (2c) · повт.</t>
        </is>
      </c>
      <c r="O254" s="12" t="inlineStr">
        <is>
          <t>М3 (3c) · повт.</t>
        </is>
      </c>
      <c r="P254" s="16" t="inlineStr">
        <is>
          <t>—</t>
        </is>
      </c>
      <c r="Q254" s="17" t="inlineStr"/>
      <c r="R254" s="13" t="inlineStr">
        <is>
          <t>нет</t>
        </is>
      </c>
      <c r="S254" s="9" t="inlineStr"/>
      <c r="T254" s="9" t="inlineStr"/>
    </row>
    <row r="255">
      <c r="A255" s="9" t="n">
        <v>254</v>
      </c>
      <c r="B255" s="9" t="inlineStr">
        <is>
          <t>Грамматика</t>
        </is>
      </c>
      <c r="C255" s="9" t="inlineStr">
        <is>
          <t>Глаголы: другое</t>
        </is>
      </c>
      <c r="D255" s="10" t="inlineStr">
        <is>
          <t>Infinitive / -ing form</t>
        </is>
      </c>
      <c r="E255" s="9" t="inlineStr">
        <is>
          <t>to-infinitive: после прилагательных (happy, eager, kind, lucky…); It was kind of you to…</t>
        </is>
      </c>
      <c r="F255" s="9" t="inlineStr">
        <is>
          <t>10+</t>
        </is>
      </c>
      <c r="G255" s="9" t="inlineStr"/>
      <c r="H255" s="9" t="inlineStr"/>
      <c r="I255" s="9" t="inlineStr"/>
      <c r="J255" s="9" t="inlineStr"/>
      <c r="K255" s="9" t="inlineStr"/>
      <c r="L255" s="15" t="inlineStr">
        <is>
          <t>М5 (5c) · новое</t>
        </is>
      </c>
      <c r="M255" s="12" t="inlineStr">
        <is>
          <t>М2 (2c) · повт.</t>
        </is>
      </c>
      <c r="N255" s="12" t="inlineStr">
        <is>
          <t>М2 (2c) · повт.</t>
        </is>
      </c>
      <c r="O255" s="12" t="inlineStr">
        <is>
          <t>М3 (3c) · повт.</t>
        </is>
      </c>
      <c r="P255" s="16" t="inlineStr">
        <is>
          <t>—</t>
        </is>
      </c>
      <c r="Q255" s="17" t="inlineStr"/>
      <c r="R255" s="13" t="inlineStr">
        <is>
          <t>нет</t>
        </is>
      </c>
      <c r="S255" s="9" t="inlineStr"/>
      <c r="T255" s="9" t="inlineStr"/>
    </row>
    <row r="256">
      <c r="A256" s="9" t="n">
        <v>255</v>
      </c>
      <c r="B256" s="9" t="inlineStr">
        <is>
          <t>Грамматика</t>
        </is>
      </c>
      <c r="C256" s="9" t="inlineStr">
        <is>
          <t>Глаголы: другое</t>
        </is>
      </c>
      <c r="D256" s="10" t="inlineStr">
        <is>
          <t>Infinitive / -ing form</t>
        </is>
      </c>
      <c r="E256" s="9" t="inlineStr">
        <is>
          <t>to-infinitive: после too/enough</t>
        </is>
      </c>
      <c r="F256" s="9" t="inlineStr">
        <is>
          <t>10+</t>
        </is>
      </c>
      <c r="G256" s="9" t="inlineStr"/>
      <c r="H256" s="9" t="inlineStr"/>
      <c r="I256" s="9" t="inlineStr"/>
      <c r="J256" s="9" t="inlineStr"/>
      <c r="K256" s="9" t="inlineStr"/>
      <c r="L256" s="15" t="inlineStr">
        <is>
          <t>М5 (5c) · новое</t>
        </is>
      </c>
      <c r="M256" s="12" t="inlineStr">
        <is>
          <t>М2 (2c) · повт.</t>
        </is>
      </c>
      <c r="N256" s="12" t="inlineStr">
        <is>
          <t>М2 (2c) · повт.</t>
        </is>
      </c>
      <c r="O256" s="12" t="inlineStr">
        <is>
          <t>М3 (3c) · повт.</t>
        </is>
      </c>
      <c r="P256" s="16" t="inlineStr">
        <is>
          <t>—</t>
        </is>
      </c>
      <c r="Q256" s="17" t="inlineStr"/>
      <c r="R256" s="13" t="inlineStr">
        <is>
          <t>нет</t>
        </is>
      </c>
      <c r="S256" s="9" t="inlineStr"/>
      <c r="T256" s="9" t="inlineStr"/>
    </row>
    <row r="257">
      <c r="A257" s="9" t="n">
        <v>256</v>
      </c>
      <c r="B257" s="9" t="inlineStr">
        <is>
          <t>Грамматика</t>
        </is>
      </c>
      <c r="C257" s="9" t="inlineStr">
        <is>
          <t>Глаголы: другое</t>
        </is>
      </c>
      <c r="D257" s="10" t="inlineStr">
        <is>
          <t>Infinitive / -ing form</t>
        </is>
      </c>
      <c r="E257" s="9" t="inlineStr">
        <is>
          <t>to-infinitive: после be the first/next/last</t>
        </is>
      </c>
      <c r="F257" s="9" t="inlineStr">
        <is>
          <t>10+</t>
        </is>
      </c>
      <c r="G257" s="9" t="inlineStr"/>
      <c r="H257" s="9" t="inlineStr"/>
      <c r="I257" s="9" t="inlineStr"/>
      <c r="J257" s="9" t="inlineStr"/>
      <c r="K257" s="9" t="inlineStr"/>
      <c r="L257" s="15" t="inlineStr">
        <is>
          <t>М5 (5c) · новое</t>
        </is>
      </c>
      <c r="M257" s="12" t="inlineStr">
        <is>
          <t>М2 (2c) · повт.</t>
        </is>
      </c>
      <c r="N257" s="12" t="inlineStr">
        <is>
          <t>М2 (2c) · повт.</t>
        </is>
      </c>
      <c r="O257" s="12" t="inlineStr">
        <is>
          <t>М3 (3c) · повт.</t>
        </is>
      </c>
      <c r="P257" s="16" t="inlineStr">
        <is>
          <t>—</t>
        </is>
      </c>
      <c r="Q257" s="17" t="inlineStr"/>
      <c r="R257" s="13" t="inlineStr">
        <is>
          <t>нет</t>
        </is>
      </c>
      <c r="S257" s="9" t="inlineStr"/>
      <c r="T257" s="9" t="inlineStr"/>
    </row>
    <row r="258">
      <c r="A258" s="9" t="n">
        <v>257</v>
      </c>
      <c r="B258" s="9" t="inlineStr">
        <is>
          <t>Грамматика</t>
        </is>
      </c>
      <c r="C258" s="9" t="inlineStr">
        <is>
          <t>Глаголы: другое</t>
        </is>
      </c>
      <c r="D258" s="10" t="inlineStr">
        <is>
          <t>Infinitive / -ing form</t>
        </is>
      </c>
      <c r="E258" s="9" t="inlineStr">
        <is>
          <t>to-infinitive: устойчивые выражения (to tell you the truth, to be honest, to sum up…)</t>
        </is>
      </c>
      <c r="F258" s="9" t="inlineStr">
        <is>
          <t>10+</t>
        </is>
      </c>
      <c r="G258" s="9" t="inlineStr"/>
      <c r="H258" s="9" t="inlineStr"/>
      <c r="I258" s="9" t="inlineStr"/>
      <c r="J258" s="9" t="inlineStr"/>
      <c r="K258" s="9" t="inlineStr"/>
      <c r="L258" s="15" t="inlineStr">
        <is>
          <t>М5 (5c) · новое</t>
        </is>
      </c>
      <c r="M258" s="12" t="inlineStr">
        <is>
          <t>М2 (2c) · повт.</t>
        </is>
      </c>
      <c r="N258" s="12" t="inlineStr">
        <is>
          <t>М2 (2c) · повт.</t>
        </is>
      </c>
      <c r="O258" s="12" t="inlineStr">
        <is>
          <t>М3 (3c) · повт.</t>
        </is>
      </c>
      <c r="P258" s="16" t="inlineStr">
        <is>
          <t>—</t>
        </is>
      </c>
      <c r="Q258" s="17" t="inlineStr"/>
      <c r="R258" s="13" t="inlineStr">
        <is>
          <t>нет</t>
        </is>
      </c>
      <c r="S258" s="9" t="inlineStr"/>
      <c r="T258" s="9" t="inlineStr"/>
    </row>
    <row r="259">
      <c r="A259" s="9" t="n">
        <v>258</v>
      </c>
      <c r="B259" s="9" t="inlineStr">
        <is>
          <t>Грамматика</t>
        </is>
      </c>
      <c r="C259" s="9" t="inlineStr">
        <is>
          <t>Глаголы: другое</t>
        </is>
      </c>
      <c r="D259" s="10" t="inlineStr">
        <is>
          <t>Infinitive / -ing form</t>
        </is>
      </c>
      <c r="E259" s="9" t="inlineStr">
        <is>
          <t>to-infinitive: вопросительное слово + to-inf (when to go)</t>
        </is>
      </c>
      <c r="F259" s="9" t="inlineStr">
        <is>
          <t>10+</t>
        </is>
      </c>
      <c r="G259" s="9" t="inlineStr"/>
      <c r="H259" s="9" t="inlineStr"/>
      <c r="I259" s="9" t="inlineStr"/>
      <c r="J259" s="9" t="inlineStr"/>
      <c r="K259" s="9" t="inlineStr"/>
      <c r="L259" s="9" t="inlineStr"/>
      <c r="M259" s="15" t="inlineStr">
        <is>
          <t>М2 (2c) · новое</t>
        </is>
      </c>
      <c r="N259" s="12" t="inlineStr">
        <is>
          <t>М2 (2c) · повт.</t>
        </is>
      </c>
      <c r="O259" s="12" t="inlineStr">
        <is>
          <t>М3 (3c) · повт.</t>
        </is>
      </c>
      <c r="P259" s="16" t="inlineStr">
        <is>
          <t>—</t>
        </is>
      </c>
      <c r="Q259" s="17" t="inlineStr"/>
      <c r="R259" s="13" t="inlineStr">
        <is>
          <t>нет</t>
        </is>
      </c>
      <c r="S259" s="9" t="inlineStr"/>
      <c r="T259" s="9" t="inlineStr"/>
    </row>
    <row r="260">
      <c r="A260" s="9" t="n">
        <v>259</v>
      </c>
      <c r="B260" s="9" t="inlineStr">
        <is>
          <t>Грамматика</t>
        </is>
      </c>
      <c r="C260" s="9" t="inlineStr">
        <is>
          <t>Глаголы: другое</t>
        </is>
      </c>
      <c r="D260" s="10" t="inlineStr">
        <is>
          <t>Infinitive / -ing form</t>
        </is>
      </c>
      <c r="E260" s="9" t="inlineStr">
        <is>
          <t>to-infinitive: после существительных; so + adj + as to; only + to-inf; for + sb + to-inf</t>
        </is>
      </c>
      <c r="F260" s="9" t="inlineStr">
        <is>
          <t>10+</t>
        </is>
      </c>
      <c r="G260" s="9" t="inlineStr"/>
      <c r="H260" s="9" t="inlineStr"/>
      <c r="I260" s="9" t="inlineStr"/>
      <c r="J260" s="9" t="inlineStr"/>
      <c r="K260" s="9" t="inlineStr"/>
      <c r="L260" s="9" t="inlineStr"/>
      <c r="M260" s="15" t="inlineStr">
        <is>
          <t>М2 (2c) · новое</t>
        </is>
      </c>
      <c r="N260" s="12" t="inlineStr">
        <is>
          <t>М2 (2c) · повт.</t>
        </is>
      </c>
      <c r="O260" s="12" t="inlineStr">
        <is>
          <t>М3 (3c) · повт.</t>
        </is>
      </c>
      <c r="P260" s="16" t="inlineStr">
        <is>
          <t>—</t>
        </is>
      </c>
      <c r="Q260" s="17" t="inlineStr"/>
      <c r="R260" s="13" t="inlineStr">
        <is>
          <t>нет</t>
        </is>
      </c>
      <c r="S260" s="9" t="inlineStr"/>
      <c r="T260" s="9" t="inlineStr"/>
    </row>
    <row r="261">
      <c r="A261" s="9" t="n">
        <v>260</v>
      </c>
      <c r="B261" s="9" t="inlineStr">
        <is>
          <t>Грамматика</t>
        </is>
      </c>
      <c r="C261" s="9" t="inlineStr">
        <is>
          <t>Глаголы: другое</t>
        </is>
      </c>
      <c r="D261" s="10" t="inlineStr">
        <is>
          <t>Infinitive / -ing form</t>
        </is>
      </c>
      <c r="E261" s="9" t="inlineStr">
        <is>
          <t>to-infinitive: второй инфинитив после and/or без to</t>
        </is>
      </c>
      <c r="F261" s="9" t="inlineStr">
        <is>
          <t>10+</t>
        </is>
      </c>
      <c r="G261" s="9" t="inlineStr"/>
      <c r="H261" s="9" t="inlineStr"/>
      <c r="I261" s="9" t="inlineStr"/>
      <c r="J261" s="9" t="inlineStr"/>
      <c r="K261" s="9" t="inlineStr"/>
      <c r="L261" s="15" t="inlineStr">
        <is>
          <t>М5 (5c) · новое</t>
        </is>
      </c>
      <c r="M261" s="12" t="inlineStr">
        <is>
          <t>М2 (2c) · повт.</t>
        </is>
      </c>
      <c r="N261" s="12" t="inlineStr">
        <is>
          <t>М2 (2c) · повт.</t>
        </is>
      </c>
      <c r="O261" s="12" t="inlineStr">
        <is>
          <t>М3 (3c) · повт.</t>
        </is>
      </c>
      <c r="P261" s="16" t="inlineStr">
        <is>
          <t>—</t>
        </is>
      </c>
      <c r="Q261" s="17" t="inlineStr"/>
      <c r="R261" s="13" t="inlineStr">
        <is>
          <t>нет</t>
        </is>
      </c>
      <c r="S261" s="9" t="inlineStr"/>
      <c r="T261" s="9" t="inlineStr"/>
    </row>
    <row r="262">
      <c r="A262" s="9" t="n">
        <v>261</v>
      </c>
      <c r="B262" s="9" t="inlineStr">
        <is>
          <t>Грамматика</t>
        </is>
      </c>
      <c r="C262" s="9" t="inlineStr">
        <is>
          <t>Глаголы: другое</t>
        </is>
      </c>
      <c r="D262" s="10" t="inlineStr">
        <is>
          <t>Infinitive / -ing form</t>
        </is>
      </c>
      <c r="E262" s="9" t="inlineStr">
        <is>
          <t>to-infinitive: dare — с to и без</t>
        </is>
      </c>
      <c r="F262" s="9" t="inlineStr">
        <is>
          <t>10+</t>
        </is>
      </c>
      <c r="G262" s="9" t="inlineStr"/>
      <c r="H262" s="9" t="inlineStr"/>
      <c r="I262" s="9" t="inlineStr"/>
      <c r="J262" s="9" t="inlineStr"/>
      <c r="K262" s="9" t="inlineStr"/>
      <c r="L262" s="9" t="inlineStr"/>
      <c r="M262" s="15" t="inlineStr">
        <is>
          <t>М2 (2c) · новое</t>
        </is>
      </c>
      <c r="N262" s="12" t="inlineStr">
        <is>
          <t>М2 (2c) · повт.</t>
        </is>
      </c>
      <c r="O262" s="12" t="inlineStr">
        <is>
          <t>М3 (3c) · повт.</t>
        </is>
      </c>
      <c r="P262" s="16" t="inlineStr">
        <is>
          <t>—</t>
        </is>
      </c>
      <c r="Q262" s="17" t="inlineStr"/>
      <c r="R262" s="13" t="inlineStr">
        <is>
          <t>нет</t>
        </is>
      </c>
      <c r="S262" s="9" t="inlineStr"/>
      <c r="T262" s="9" t="inlineStr"/>
    </row>
    <row r="263">
      <c r="A263" s="9" t="n">
        <v>262</v>
      </c>
      <c r="B263" s="9" t="inlineStr">
        <is>
          <t>Грамматика</t>
        </is>
      </c>
      <c r="C263" s="9" t="inlineStr">
        <is>
          <t>Глаголы: другое</t>
        </is>
      </c>
      <c r="D263" s="10" t="inlineStr">
        <is>
          <t>Infinitive / -ing form</t>
        </is>
      </c>
      <c r="E263" s="9" t="inlineStr">
        <is>
          <t>Bare infinitive: после модальных, had better, would rather</t>
        </is>
      </c>
      <c r="F263" s="9" t="inlineStr">
        <is>
          <t>10+</t>
        </is>
      </c>
      <c r="G263" s="9" t="inlineStr"/>
      <c r="H263" s="9" t="inlineStr"/>
      <c r="I263" s="9" t="inlineStr"/>
      <c r="J263" s="9" t="inlineStr"/>
      <c r="K263" s="9" t="inlineStr"/>
      <c r="L263" s="15" t="inlineStr">
        <is>
          <t>М5 (5c) · новое</t>
        </is>
      </c>
      <c r="M263" s="12" t="inlineStr">
        <is>
          <t>М2 (2c) · повт.</t>
        </is>
      </c>
      <c r="N263" s="12" t="inlineStr">
        <is>
          <t>М2 (2c) · повт.</t>
        </is>
      </c>
      <c r="O263" s="12" t="inlineStr">
        <is>
          <t>М3 (3c) · повт.</t>
        </is>
      </c>
      <c r="P263" s="16" t="inlineStr">
        <is>
          <t>—</t>
        </is>
      </c>
      <c r="Q263" s="17" t="inlineStr"/>
      <c r="R263" s="13" t="inlineStr">
        <is>
          <t>нет</t>
        </is>
      </c>
      <c r="S263" s="9" t="inlineStr"/>
      <c r="T263" s="9" t="inlineStr"/>
    </row>
    <row r="264">
      <c r="A264" s="9" t="n">
        <v>263</v>
      </c>
      <c r="B264" s="9" t="inlineStr">
        <is>
          <t>Грамматика</t>
        </is>
      </c>
      <c r="C264" s="9" t="inlineStr">
        <is>
          <t>Глаголы: другое</t>
        </is>
      </c>
      <c r="D264" s="10" t="inlineStr">
        <is>
          <t>Infinitive / -ing form</t>
        </is>
      </c>
      <c r="E264" s="9" t="inlineStr">
        <is>
          <t>Bare infinitive: let/make/see/hear/feel + object + V; в пассиве + to (was made to)</t>
        </is>
      </c>
      <c r="F264" s="9" t="inlineStr">
        <is>
          <t>10+</t>
        </is>
      </c>
      <c r="G264" s="9" t="inlineStr"/>
      <c r="H264" s="9" t="inlineStr"/>
      <c r="I264" s="9" t="inlineStr"/>
      <c r="J264" s="9" t="inlineStr"/>
      <c r="K264" s="9" t="inlineStr"/>
      <c r="L264" s="15" t="inlineStr">
        <is>
          <t>М5 (5c) · новое</t>
        </is>
      </c>
      <c r="M264" s="14" t="inlineStr">
        <is>
          <t>М2 (2c) · расш.</t>
        </is>
      </c>
      <c r="N264" s="14" t="inlineStr">
        <is>
          <t>М2 (2c) · расш.</t>
        </is>
      </c>
      <c r="O264" s="12" t="inlineStr">
        <is>
          <t>М3 (3c) · повт.</t>
        </is>
      </c>
      <c r="P264" s="16" t="inlineStr">
        <is>
          <t>—</t>
        </is>
      </c>
      <c r="Q264" s="17" t="inlineStr"/>
      <c r="R264" s="13" t="inlineStr">
        <is>
          <t>нет</t>
        </is>
      </c>
      <c r="S264" s="9" t="inlineStr"/>
      <c r="T264" s="9" t="inlineStr"/>
    </row>
    <row r="265">
      <c r="A265" s="9" t="n">
        <v>264</v>
      </c>
      <c r="B265" s="9" t="inlineStr">
        <is>
          <t>Грамматика</t>
        </is>
      </c>
      <c r="C265" s="9" t="inlineStr">
        <is>
          <t>Глаголы: другое</t>
        </is>
      </c>
      <c r="D265" s="10" t="inlineStr">
        <is>
          <t>Infinitive / -ing form</t>
        </is>
      </c>
      <c r="E265" s="9" t="inlineStr">
        <is>
          <t>Bare infinitive: help + (to) V</t>
        </is>
      </c>
      <c r="F265" s="9" t="inlineStr">
        <is>
          <t>10+</t>
        </is>
      </c>
      <c r="G265" s="9" t="inlineStr"/>
      <c r="H265" s="9" t="inlineStr"/>
      <c r="I265" s="9" t="inlineStr"/>
      <c r="J265" s="9" t="inlineStr"/>
      <c r="K265" s="9" t="inlineStr"/>
      <c r="L265" s="15" t="inlineStr">
        <is>
          <t>М5 (5c) · новое</t>
        </is>
      </c>
      <c r="M265" s="12" t="inlineStr">
        <is>
          <t>М2 (2c) · повт.</t>
        </is>
      </c>
      <c r="N265" s="12" t="inlineStr">
        <is>
          <t>М2 (2c) · повт.</t>
        </is>
      </c>
      <c r="O265" s="12" t="inlineStr">
        <is>
          <t>М3 (3c) · повт.</t>
        </is>
      </c>
      <c r="P265" s="16" t="inlineStr">
        <is>
          <t>—</t>
        </is>
      </c>
      <c r="Q265" s="17" t="inlineStr"/>
      <c r="R265" s="13" t="inlineStr">
        <is>
          <t>нет</t>
        </is>
      </c>
      <c r="S265" s="9" t="inlineStr"/>
      <c r="T265" s="9" t="inlineStr"/>
    </row>
    <row r="266">
      <c r="A266" s="4" t="n">
        <v>265</v>
      </c>
      <c r="B266" s="4" t="inlineStr">
        <is>
          <t>Грамматика</t>
        </is>
      </c>
      <c r="C266" s="4" t="inlineStr">
        <is>
          <t>Глаголы: другое</t>
        </is>
      </c>
      <c r="D266" s="5" t="inlineStr">
        <is>
          <t>Infinitive / -ing form (difference in meaning)</t>
        </is>
      </c>
      <c r="E266" s="4" t="inlineStr">
        <is>
          <t>Infinitive vs -ing: forget/remember</t>
        </is>
      </c>
      <c r="F266" s="4" t="inlineStr">
        <is>
          <t>10+</t>
        </is>
      </c>
      <c r="G266" s="4" t="inlineStr"/>
      <c r="H266" s="4" t="inlineStr"/>
      <c r="I266" s="4" t="inlineStr"/>
      <c r="J266" s="4" t="inlineStr"/>
      <c r="K266" s="4" t="inlineStr"/>
      <c r="L266" s="18" t="inlineStr">
        <is>
          <t>М5 (5c) · новое</t>
        </is>
      </c>
      <c r="M266" s="21" t="inlineStr">
        <is>
          <t>М2 (2c) · расш.</t>
        </is>
      </c>
      <c r="N266" s="7" t="inlineStr">
        <is>
          <t>М2 (2c) · повт.</t>
        </is>
      </c>
      <c r="O266" s="7" t="inlineStr">
        <is>
          <t>М3 (3c) · повт.</t>
        </is>
      </c>
      <c r="P266" s="19" t="inlineStr">
        <is>
          <t>—</t>
        </is>
      </c>
      <c r="Q266" s="20" t="inlineStr"/>
      <c r="R266" s="8" t="inlineStr">
        <is>
          <t>нет</t>
        </is>
      </c>
      <c r="S266" s="4" t="inlineStr"/>
      <c r="T266" s="4" t="inlineStr"/>
    </row>
    <row r="267">
      <c r="A267" s="9" t="n">
        <v>266</v>
      </c>
      <c r="B267" s="9" t="inlineStr">
        <is>
          <t>Грамматика</t>
        </is>
      </c>
      <c r="C267" s="9" t="inlineStr">
        <is>
          <t>Глаголы: другое</t>
        </is>
      </c>
      <c r="D267" s="10" t="inlineStr">
        <is>
          <t>Infinitive / -ing form (difference in meaning)</t>
        </is>
      </c>
      <c r="E267" s="9" t="inlineStr">
        <is>
          <t>Infinitive vs -ing: stop</t>
        </is>
      </c>
      <c r="F267" s="9" t="inlineStr">
        <is>
          <t>10+</t>
        </is>
      </c>
      <c r="G267" s="9" t="inlineStr"/>
      <c r="H267" s="9" t="inlineStr"/>
      <c r="I267" s="9" t="inlineStr"/>
      <c r="J267" s="9" t="inlineStr"/>
      <c r="K267" s="9" t="inlineStr"/>
      <c r="L267" s="15" t="inlineStr">
        <is>
          <t>М5 (5c) · новое</t>
        </is>
      </c>
      <c r="M267" s="14" t="inlineStr">
        <is>
          <t>М2 (2c) · расш.</t>
        </is>
      </c>
      <c r="N267" s="12" t="inlineStr">
        <is>
          <t>М2 (2c) · повт.</t>
        </is>
      </c>
      <c r="O267" s="12" t="inlineStr">
        <is>
          <t>М3 (3c) · повт.</t>
        </is>
      </c>
      <c r="P267" s="16" t="inlineStr">
        <is>
          <t>—</t>
        </is>
      </c>
      <c r="Q267" s="17" t="inlineStr"/>
      <c r="R267" s="13" t="inlineStr">
        <is>
          <t>нет</t>
        </is>
      </c>
      <c r="S267" s="9" t="inlineStr"/>
      <c r="T267" s="9" t="inlineStr"/>
    </row>
    <row r="268">
      <c r="A268" s="9" t="n">
        <v>267</v>
      </c>
      <c r="B268" s="9" t="inlineStr">
        <is>
          <t>Грамматика</t>
        </is>
      </c>
      <c r="C268" s="9" t="inlineStr">
        <is>
          <t>Глаголы: другое</t>
        </is>
      </c>
      <c r="D268" s="10" t="inlineStr">
        <is>
          <t>Infinitive / -ing form (difference in meaning)</t>
        </is>
      </c>
      <c r="E268" s="9" t="inlineStr">
        <is>
          <t>Infinitive vs -ing: try</t>
        </is>
      </c>
      <c r="F268" s="9" t="inlineStr">
        <is>
          <t>10+</t>
        </is>
      </c>
      <c r="G268" s="9" t="inlineStr"/>
      <c r="H268" s="9" t="inlineStr"/>
      <c r="I268" s="9" t="inlineStr"/>
      <c r="J268" s="9" t="inlineStr"/>
      <c r="K268" s="9" t="inlineStr"/>
      <c r="L268" s="15" t="inlineStr">
        <is>
          <t>М5 (5c) · новое</t>
        </is>
      </c>
      <c r="M268" s="14" t="inlineStr">
        <is>
          <t>М2 (2c) · расш.</t>
        </is>
      </c>
      <c r="N268" s="12" t="inlineStr">
        <is>
          <t>М2 (2c) · повт.</t>
        </is>
      </c>
      <c r="O268" s="12" t="inlineStr">
        <is>
          <t>М3 (3c) · повт.</t>
        </is>
      </c>
      <c r="P268" s="16" t="inlineStr">
        <is>
          <t>—</t>
        </is>
      </c>
      <c r="Q268" s="17" t="inlineStr"/>
      <c r="R268" s="13" t="inlineStr">
        <is>
          <t>нет</t>
        </is>
      </c>
      <c r="S268" s="9" t="inlineStr"/>
      <c r="T268" s="9" t="inlineStr"/>
    </row>
    <row r="269">
      <c r="A269" s="9" t="n">
        <v>268</v>
      </c>
      <c r="B269" s="9" t="inlineStr">
        <is>
          <t>Грамматика</t>
        </is>
      </c>
      <c r="C269" s="9" t="inlineStr">
        <is>
          <t>Глаголы: другое</t>
        </is>
      </c>
      <c r="D269" s="10" t="inlineStr">
        <is>
          <t>Infinitive / -ing form (difference in meaning)</t>
        </is>
      </c>
      <c r="E269" s="9" t="inlineStr">
        <is>
          <t>Infinitive vs -ing: regret</t>
        </is>
      </c>
      <c r="F269" s="9" t="inlineStr">
        <is>
          <t>10+</t>
        </is>
      </c>
      <c r="G269" s="9" t="inlineStr"/>
      <c r="H269" s="9" t="inlineStr"/>
      <c r="I269" s="9" t="inlineStr"/>
      <c r="J269" s="9" t="inlineStr"/>
      <c r="K269" s="9" t="inlineStr"/>
      <c r="L269" s="15" t="inlineStr">
        <is>
          <t>М5 (5c) · новое</t>
        </is>
      </c>
      <c r="M269" s="14" t="inlineStr">
        <is>
          <t>М2 (2c) · расш.</t>
        </is>
      </c>
      <c r="N269" s="12" t="inlineStr">
        <is>
          <t>М2 (2c) · повт.</t>
        </is>
      </c>
      <c r="O269" s="12" t="inlineStr">
        <is>
          <t>М3 (3c) · повт.</t>
        </is>
      </c>
      <c r="P269" s="16" t="inlineStr">
        <is>
          <t>—</t>
        </is>
      </c>
      <c r="Q269" s="17" t="inlineStr"/>
      <c r="R269" s="13" t="inlineStr">
        <is>
          <t>нет</t>
        </is>
      </c>
      <c r="S269" s="9" t="inlineStr"/>
      <c r="T269" s="9" t="inlineStr"/>
    </row>
    <row r="270">
      <c r="A270" s="9" t="n">
        <v>269</v>
      </c>
      <c r="B270" s="9" t="inlineStr">
        <is>
          <t>Грамматика</t>
        </is>
      </c>
      <c r="C270" s="9" t="inlineStr">
        <is>
          <t>Глаголы: другое</t>
        </is>
      </c>
      <c r="D270" s="10" t="inlineStr">
        <is>
          <t>Infinitive / -ing form (difference in meaning)</t>
        </is>
      </c>
      <c r="E270" s="9" t="inlineStr">
        <is>
          <t>Infinitive vs -ing: mean</t>
        </is>
      </c>
      <c r="F270" s="9" t="inlineStr">
        <is>
          <t>10+</t>
        </is>
      </c>
      <c r="G270" s="9" t="inlineStr"/>
      <c r="H270" s="9" t="inlineStr"/>
      <c r="I270" s="9" t="inlineStr"/>
      <c r="J270" s="9" t="inlineStr"/>
      <c r="K270" s="9" t="inlineStr"/>
      <c r="L270" s="15" t="inlineStr">
        <is>
          <t>М5 (5c) · новое</t>
        </is>
      </c>
      <c r="M270" s="14" t="inlineStr">
        <is>
          <t>М2 (2c) · расш.</t>
        </is>
      </c>
      <c r="N270" s="12" t="inlineStr">
        <is>
          <t>М2 (2c) · повт.</t>
        </is>
      </c>
      <c r="O270" s="12" t="inlineStr">
        <is>
          <t>М3 (3c) · повт.</t>
        </is>
      </c>
      <c r="P270" s="16" t="inlineStr">
        <is>
          <t>—</t>
        </is>
      </c>
      <c r="Q270" s="17" t="inlineStr"/>
      <c r="R270" s="13" t="inlineStr">
        <is>
          <t>нет</t>
        </is>
      </c>
      <c r="S270" s="9" t="inlineStr"/>
      <c r="T270" s="9" t="inlineStr"/>
    </row>
    <row r="271">
      <c r="A271" s="9" t="n">
        <v>270</v>
      </c>
      <c r="B271" s="9" t="inlineStr">
        <is>
          <t>Грамматика</t>
        </is>
      </c>
      <c r="C271" s="9" t="inlineStr">
        <is>
          <t>Глаголы: другое</t>
        </is>
      </c>
      <c r="D271" s="10" t="inlineStr">
        <is>
          <t>Infinitive / -ing form (difference in meaning)</t>
        </is>
      </c>
      <c r="E271" s="9" t="inlineStr">
        <is>
          <t>Infinitive vs -ing: go on</t>
        </is>
      </c>
      <c r="F271" s="9" t="inlineStr">
        <is>
          <t>10+</t>
        </is>
      </c>
      <c r="G271" s="9" t="inlineStr"/>
      <c r="H271" s="9" t="inlineStr"/>
      <c r="I271" s="9" t="inlineStr"/>
      <c r="J271" s="9" t="inlineStr"/>
      <c r="K271" s="9" t="inlineStr"/>
      <c r="L271" s="15" t="inlineStr">
        <is>
          <t>М5 (5c) · новое</t>
        </is>
      </c>
      <c r="M271" s="14" t="inlineStr">
        <is>
          <t>М2 (2c) · расш.</t>
        </is>
      </c>
      <c r="N271" s="12" t="inlineStr">
        <is>
          <t>М2 (2c) · повт.</t>
        </is>
      </c>
      <c r="O271" s="12" t="inlineStr">
        <is>
          <t>М3 (3c) · повт.</t>
        </is>
      </c>
      <c r="P271" s="16" t="inlineStr">
        <is>
          <t>—</t>
        </is>
      </c>
      <c r="Q271" s="17" t="inlineStr"/>
      <c r="R271" s="13" t="inlineStr">
        <is>
          <t>нет</t>
        </is>
      </c>
      <c r="S271" s="9" t="inlineStr"/>
      <c r="T271" s="9" t="inlineStr"/>
    </row>
    <row r="272">
      <c r="A272" s="9" t="n">
        <v>271</v>
      </c>
      <c r="B272" s="9" t="inlineStr">
        <is>
          <t>Грамматика</t>
        </is>
      </c>
      <c r="C272" s="9" t="inlineStr">
        <is>
          <t>Глаголы: другое</t>
        </is>
      </c>
      <c r="D272" s="10" t="inlineStr">
        <is>
          <t>Infinitive / -ing form (difference in meaning)</t>
        </is>
      </c>
      <c r="E272" s="9" t="inlineStr">
        <is>
          <t>Infinitive vs -ing: hate</t>
        </is>
      </c>
      <c r="F272" s="9" t="inlineStr">
        <is>
          <t>10+</t>
        </is>
      </c>
      <c r="G272" s="9" t="inlineStr"/>
      <c r="H272" s="9" t="inlineStr"/>
      <c r="I272" s="9" t="inlineStr"/>
      <c r="J272" s="9" t="inlineStr"/>
      <c r="K272" s="9" t="inlineStr"/>
      <c r="L272" s="15" t="inlineStr">
        <is>
          <t>М5 (5c) · новое</t>
        </is>
      </c>
      <c r="M272" s="12" t="inlineStr">
        <is>
          <t>М2 (2c) · повт.</t>
        </is>
      </c>
      <c r="N272" s="12" t="inlineStr">
        <is>
          <t>М2 (2c) · повт.</t>
        </is>
      </c>
      <c r="O272" s="12" t="inlineStr">
        <is>
          <t>М3 (3c) · повт.</t>
        </is>
      </c>
      <c r="P272" s="16" t="inlineStr">
        <is>
          <t>—</t>
        </is>
      </c>
      <c r="Q272" s="17" t="inlineStr"/>
      <c r="R272" s="13" t="inlineStr">
        <is>
          <t>нет</t>
        </is>
      </c>
      <c r="S272" s="9" t="inlineStr"/>
      <c r="T272" s="9" t="inlineStr"/>
    </row>
    <row r="273">
      <c r="A273" s="9" t="n">
        <v>272</v>
      </c>
      <c r="B273" s="9" t="inlineStr">
        <is>
          <t>Грамматика</t>
        </is>
      </c>
      <c r="C273" s="9" t="inlineStr">
        <is>
          <t>Глаголы: другое</t>
        </is>
      </c>
      <c r="D273" s="10" t="inlineStr">
        <is>
          <t>Infinitive / -ing form (difference in meaning)</t>
        </is>
      </c>
      <c r="E273" s="9" t="inlineStr">
        <is>
          <t>Infinitive vs -ing: want (My car wants cleaning)</t>
        </is>
      </c>
      <c r="F273" s="9" t="inlineStr">
        <is>
          <t>10+</t>
        </is>
      </c>
      <c r="G273" s="9" t="inlineStr"/>
      <c r="H273" s="9" t="inlineStr"/>
      <c r="I273" s="9" t="inlineStr"/>
      <c r="J273" s="9" t="inlineStr"/>
      <c r="K273" s="9" t="inlineStr"/>
      <c r="L273" s="9" t="inlineStr"/>
      <c r="M273" s="15" t="inlineStr">
        <is>
          <t>М2 (2c) · новое</t>
        </is>
      </c>
      <c r="N273" s="12" t="inlineStr">
        <is>
          <t>М2 (2c) · повт.</t>
        </is>
      </c>
      <c r="O273" s="12" t="inlineStr">
        <is>
          <t>М3 (3c) · повт.</t>
        </is>
      </c>
      <c r="P273" s="16" t="inlineStr">
        <is>
          <t>—</t>
        </is>
      </c>
      <c r="Q273" s="17" t="inlineStr"/>
      <c r="R273" s="13" t="inlineStr">
        <is>
          <t>нет</t>
        </is>
      </c>
      <c r="S273" s="9" t="inlineStr"/>
      <c r="T273" s="9" t="inlineStr"/>
    </row>
    <row r="274">
      <c r="A274" s="9" t="n">
        <v>273</v>
      </c>
      <c r="B274" s="9" t="inlineStr">
        <is>
          <t>Грамматика</t>
        </is>
      </c>
      <c r="C274" s="9" t="inlineStr">
        <is>
          <t>Глаголы: другое</t>
        </is>
      </c>
      <c r="D274" s="10" t="inlineStr">
        <is>
          <t>Infinitive / -ing form (difference in meaning)</t>
        </is>
      </c>
      <c r="E274" s="9" t="inlineStr">
        <is>
          <t>Infinitive vs -ing: be sorry to / for -ing; be afraid to / of -ing</t>
        </is>
      </c>
      <c r="F274" s="9" t="inlineStr">
        <is>
          <t>10+</t>
        </is>
      </c>
      <c r="G274" s="9" t="inlineStr"/>
      <c r="H274" s="9" t="inlineStr"/>
      <c r="I274" s="9" t="inlineStr"/>
      <c r="J274" s="9" t="inlineStr"/>
      <c r="K274" s="9" t="inlineStr"/>
      <c r="L274" s="9" t="inlineStr"/>
      <c r="M274" s="15" t="inlineStr">
        <is>
          <t>М2 (2c) · новое</t>
        </is>
      </c>
      <c r="N274" s="12" t="inlineStr">
        <is>
          <t>М2 (2c) · повт.</t>
        </is>
      </c>
      <c r="O274" s="12" t="inlineStr">
        <is>
          <t>М3 (3c) · повт.</t>
        </is>
      </c>
      <c r="P274" s="16" t="inlineStr">
        <is>
          <t>—</t>
        </is>
      </c>
      <c r="Q274" s="17" t="inlineStr"/>
      <c r="R274" s="13" t="inlineStr">
        <is>
          <t>нет</t>
        </is>
      </c>
      <c r="S274" s="9" t="inlineStr"/>
      <c r="T274" s="9" t="inlineStr"/>
    </row>
    <row r="275">
      <c r="A275" s="9" t="n">
        <v>274</v>
      </c>
      <c r="B275" s="9" t="inlineStr">
        <is>
          <t>Грамматика</t>
        </is>
      </c>
      <c r="C275" s="9" t="inlineStr">
        <is>
          <t>Глаголы: другое</t>
        </is>
      </c>
      <c r="D275" s="10" t="inlineStr">
        <is>
          <t>Infinitive / -ing form (difference in meaning)</t>
        </is>
      </c>
      <c r="E275" s="9" t="inlineStr">
        <is>
          <t>Infinitive / -ing без смены значения: begin, start, continue, intend</t>
        </is>
      </c>
      <c r="F275" s="9" t="inlineStr">
        <is>
          <t>10+</t>
        </is>
      </c>
      <c r="G275" s="9" t="inlineStr"/>
      <c r="H275" s="9" t="inlineStr"/>
      <c r="I275" s="9" t="inlineStr"/>
      <c r="J275" s="9" t="inlineStr"/>
      <c r="K275" s="9" t="inlineStr"/>
      <c r="L275" s="9" t="inlineStr"/>
      <c r="M275" s="15" t="inlineStr">
        <is>
          <t>М2 (2c) · новое</t>
        </is>
      </c>
      <c r="N275" s="12" t="inlineStr">
        <is>
          <t>М2 (2c) · повт.</t>
        </is>
      </c>
      <c r="O275" s="12" t="inlineStr">
        <is>
          <t>М3 (3c) · повт.</t>
        </is>
      </c>
      <c r="P275" s="16" t="inlineStr">
        <is>
          <t>—</t>
        </is>
      </c>
      <c r="Q275" s="17" t="inlineStr"/>
      <c r="R275" s="13" t="inlineStr">
        <is>
          <t>нет</t>
        </is>
      </c>
      <c r="S275" s="9" t="inlineStr"/>
      <c r="T275" s="9" t="inlineStr"/>
    </row>
    <row r="276">
      <c r="A276" s="9" t="n">
        <v>275</v>
      </c>
      <c r="B276" s="9" t="inlineStr">
        <is>
          <t>Грамматика</t>
        </is>
      </c>
      <c r="C276" s="9" t="inlineStr">
        <is>
          <t>Глаголы: другое</t>
        </is>
      </c>
      <c r="D276" s="10" t="inlineStr">
        <is>
          <t>Infinitive / -ing form (difference in meaning)</t>
        </is>
      </c>
      <c r="E276" s="9" t="inlineStr">
        <is>
          <t>Infinitive / -ing: advise, allow, encourage, permit, require + object + to-inf / + -ing; в пассиве только to-inf</t>
        </is>
      </c>
      <c r="F276" s="9" t="inlineStr">
        <is>
          <t>10+</t>
        </is>
      </c>
      <c r="G276" s="9" t="inlineStr"/>
      <c r="H276" s="9" t="inlineStr"/>
      <c r="I276" s="9" t="inlineStr"/>
      <c r="J276" s="9" t="inlineStr"/>
      <c r="K276" s="9" t="inlineStr"/>
      <c r="L276" s="9" t="inlineStr"/>
      <c r="M276" s="15" t="inlineStr">
        <is>
          <t>М2 (2c) · новое</t>
        </is>
      </c>
      <c r="N276" s="12" t="inlineStr">
        <is>
          <t>М2 (2c) · повт.</t>
        </is>
      </c>
      <c r="O276" s="12" t="inlineStr">
        <is>
          <t>М3 (3c) · повт.</t>
        </is>
      </c>
      <c r="P276" s="16" t="inlineStr">
        <is>
          <t>—</t>
        </is>
      </c>
      <c r="Q276" s="17" t="inlineStr"/>
      <c r="R276" s="13" t="inlineStr">
        <is>
          <t>нет</t>
        </is>
      </c>
      <c r="S276" s="9" t="inlineStr"/>
      <c r="T276" s="9" t="inlineStr"/>
    </row>
    <row r="277">
      <c r="A277" s="9" t="n">
        <v>276</v>
      </c>
      <c r="B277" s="9" t="inlineStr">
        <is>
          <t>Грамматика</t>
        </is>
      </c>
      <c r="C277" s="9" t="inlineStr">
        <is>
          <t>Глаголы: другое</t>
        </is>
      </c>
      <c r="D277" s="10" t="inlineStr">
        <is>
          <t>Infinitive / -ing form (difference in meaning)</t>
        </is>
      </c>
      <c r="E277" s="9" t="inlineStr">
        <is>
          <t>Infinitive / -ing: need/require/want + -ing / to be done (пассивное значение)</t>
        </is>
      </c>
      <c r="F277" s="9" t="inlineStr">
        <is>
          <t>10+</t>
        </is>
      </c>
      <c r="G277" s="9" t="inlineStr"/>
      <c r="H277" s="9" t="inlineStr"/>
      <c r="I277" s="9" t="inlineStr"/>
      <c r="J277" s="9" t="inlineStr"/>
      <c r="K277" s="9" t="inlineStr"/>
      <c r="L277" s="9" t="inlineStr"/>
      <c r="M277" s="15" t="inlineStr">
        <is>
          <t>М2 (2c) · новое</t>
        </is>
      </c>
      <c r="N277" s="12" t="inlineStr">
        <is>
          <t>М2 (2c) · повт.</t>
        </is>
      </c>
      <c r="O277" s="12" t="inlineStr">
        <is>
          <t>М3 (3c) · повт.</t>
        </is>
      </c>
      <c r="P277" s="16" t="inlineStr">
        <is>
          <t>—</t>
        </is>
      </c>
      <c r="Q277" s="17" t="inlineStr"/>
      <c r="R277" s="13" t="inlineStr">
        <is>
          <t>нет</t>
        </is>
      </c>
      <c r="S277" s="9" t="inlineStr"/>
      <c r="T277" s="9" t="inlineStr"/>
    </row>
    <row r="278">
      <c r="A278" s="4" t="n">
        <v>277</v>
      </c>
      <c r="B278" s="4" t="inlineStr">
        <is>
          <t>Грамматика</t>
        </is>
      </c>
      <c r="C278" s="4" t="inlineStr">
        <is>
          <t>Глаголы: другое</t>
        </is>
      </c>
      <c r="D278" s="5" t="inlineStr">
        <is>
          <t>Passive Voice</t>
        </is>
      </c>
      <c r="E278" s="4" t="inlineStr">
        <is>
          <t>Passive Voice: форма be + V3 — Present Simple и Past Simple</t>
        </is>
      </c>
      <c r="F278" s="4" t="inlineStr">
        <is>
          <t>10+</t>
        </is>
      </c>
      <c r="G278" s="4" t="inlineStr"/>
      <c r="H278" s="4" t="inlineStr"/>
      <c r="I278" s="4" t="inlineStr"/>
      <c r="J278" s="4" t="inlineStr"/>
      <c r="K278" s="4" t="inlineStr"/>
      <c r="L278" s="18" t="inlineStr">
        <is>
          <t>М4 (4c) · новое</t>
        </is>
      </c>
      <c r="M278" s="7" t="inlineStr">
        <is>
          <t>М6 (6c) · повт.</t>
        </is>
      </c>
      <c r="N278" s="7" t="inlineStr">
        <is>
          <t>М7 (7c) · повт.</t>
        </is>
      </c>
      <c r="O278" s="7" t="inlineStr">
        <is>
          <t>М4 (4c) · повт.</t>
        </is>
      </c>
      <c r="P278" s="19" t="inlineStr">
        <is>
          <t>—</t>
        </is>
      </c>
      <c r="Q278" s="20" t="inlineStr"/>
      <c r="R278" s="8" t="inlineStr">
        <is>
          <t>нет</t>
        </is>
      </c>
      <c r="S278" s="4" t="inlineStr"/>
      <c r="T278" s="4" t="inlineStr"/>
    </row>
    <row r="279">
      <c r="A279" s="9" t="n">
        <v>278</v>
      </c>
      <c r="B279" s="9" t="inlineStr">
        <is>
          <t>Грамматика</t>
        </is>
      </c>
      <c r="C279" s="9" t="inlineStr">
        <is>
          <t>Глаголы: другое</t>
        </is>
      </c>
      <c r="D279" s="10" t="inlineStr">
        <is>
          <t>Passive Voice</t>
        </is>
      </c>
      <c r="E279" s="9" t="inlineStr">
        <is>
          <t>Passive Voice: Continuous (is/was being + V3)</t>
        </is>
      </c>
      <c r="F279" s="9" t="inlineStr">
        <is>
          <t>10+</t>
        </is>
      </c>
      <c r="G279" s="9" t="inlineStr"/>
      <c r="H279" s="9" t="inlineStr"/>
      <c r="I279" s="9" t="inlineStr"/>
      <c r="J279" s="9" t="inlineStr"/>
      <c r="K279" s="9" t="inlineStr"/>
      <c r="L279" s="15" t="inlineStr">
        <is>
          <t>М4 (4c) · новое</t>
        </is>
      </c>
      <c r="M279" s="12" t="inlineStr">
        <is>
          <t>М6 (6c) · повт.</t>
        </is>
      </c>
      <c r="N279" s="12" t="inlineStr">
        <is>
          <t>М7 (7c) · повт.</t>
        </is>
      </c>
      <c r="O279" s="12" t="inlineStr">
        <is>
          <t>М4 (4c) · повт.</t>
        </is>
      </c>
      <c r="P279" s="16" t="inlineStr">
        <is>
          <t>—</t>
        </is>
      </c>
      <c r="Q279" s="17" t="inlineStr"/>
      <c r="R279" s="13" t="inlineStr">
        <is>
          <t>нет</t>
        </is>
      </c>
      <c r="S279" s="9" t="inlineStr"/>
      <c r="T279" s="9" t="inlineStr"/>
    </row>
    <row r="280">
      <c r="A280" s="9" t="n">
        <v>279</v>
      </c>
      <c r="B280" s="9" t="inlineStr">
        <is>
          <t>Грамматика</t>
        </is>
      </c>
      <c r="C280" s="9" t="inlineStr">
        <is>
          <t>Глаголы: другое</t>
        </is>
      </c>
      <c r="D280" s="10" t="inlineStr">
        <is>
          <t>Passive Voice</t>
        </is>
      </c>
      <c r="E280" s="9" t="inlineStr">
        <is>
          <t>Passive Voice: Present/Past Perfect (has/had been + V3)</t>
        </is>
      </c>
      <c r="F280" s="9" t="inlineStr">
        <is>
          <t>10+</t>
        </is>
      </c>
      <c r="G280" s="9" t="inlineStr"/>
      <c r="H280" s="9" t="inlineStr"/>
      <c r="I280" s="9" t="inlineStr"/>
      <c r="J280" s="9" t="inlineStr"/>
      <c r="K280" s="9" t="inlineStr"/>
      <c r="L280" s="15" t="inlineStr">
        <is>
          <t>М4 (4c) · новое</t>
        </is>
      </c>
      <c r="M280" s="12" t="inlineStr">
        <is>
          <t>М6 (6c) · повт.</t>
        </is>
      </c>
      <c r="N280" s="12" t="inlineStr">
        <is>
          <t>М7 (7c) · повт.</t>
        </is>
      </c>
      <c r="O280" s="12" t="inlineStr">
        <is>
          <t>М4 (4c) · повт.</t>
        </is>
      </c>
      <c r="P280" s="16" t="inlineStr">
        <is>
          <t>—</t>
        </is>
      </c>
      <c r="Q280" s="17" t="inlineStr"/>
      <c r="R280" s="13" t="inlineStr">
        <is>
          <t>нет</t>
        </is>
      </c>
      <c r="S280" s="9" t="inlineStr"/>
      <c r="T280" s="9" t="inlineStr"/>
    </row>
    <row r="281">
      <c r="A281" s="9" t="n">
        <v>280</v>
      </c>
      <c r="B281" s="9" t="inlineStr">
        <is>
          <t>Грамматика</t>
        </is>
      </c>
      <c r="C281" s="9" t="inlineStr">
        <is>
          <t>Глаголы: другое</t>
        </is>
      </c>
      <c r="D281" s="10" t="inlineStr">
        <is>
          <t>Passive Voice</t>
        </is>
      </c>
      <c r="E281" s="9" t="inlineStr">
        <is>
          <t>Passive Voice: Future Simple (will be + V3)</t>
        </is>
      </c>
      <c r="F281" s="9" t="inlineStr">
        <is>
          <t>10+</t>
        </is>
      </c>
      <c r="G281" s="9" t="inlineStr"/>
      <c r="H281" s="9" t="inlineStr"/>
      <c r="I281" s="9" t="inlineStr"/>
      <c r="J281" s="9" t="inlineStr"/>
      <c r="K281" s="9" t="inlineStr"/>
      <c r="L281" s="15" t="inlineStr">
        <is>
          <t>М4 (4c) · новое</t>
        </is>
      </c>
      <c r="M281" s="12" t="inlineStr">
        <is>
          <t>М6 (6c) · повт.</t>
        </is>
      </c>
      <c r="N281" s="12" t="inlineStr">
        <is>
          <t>М7 (7c) · повт.</t>
        </is>
      </c>
      <c r="O281" s="12" t="inlineStr">
        <is>
          <t>М4 (4c) · повт.</t>
        </is>
      </c>
      <c r="P281" s="16" t="inlineStr">
        <is>
          <t>—</t>
        </is>
      </c>
      <c r="Q281" s="17" t="inlineStr"/>
      <c r="R281" s="13" t="inlineStr">
        <is>
          <t>нет</t>
        </is>
      </c>
      <c r="S281" s="9" t="inlineStr"/>
      <c r="T281" s="9" t="inlineStr"/>
    </row>
    <row r="282">
      <c r="A282" s="9" t="n">
        <v>281</v>
      </c>
      <c r="B282" s="9" t="inlineStr">
        <is>
          <t>Грамматика</t>
        </is>
      </c>
      <c r="C282" s="9" t="inlineStr">
        <is>
          <t>Глаголы: другое</t>
        </is>
      </c>
      <c r="D282" s="10" t="inlineStr">
        <is>
          <t>Passive Voice</t>
        </is>
      </c>
      <c r="E282" s="9" t="inlineStr">
        <is>
          <t>Passive Voice: Future Perfect (will have been + V3)</t>
        </is>
      </c>
      <c r="F282" s="9" t="inlineStr">
        <is>
          <t>10+</t>
        </is>
      </c>
      <c r="G282" s="9" t="inlineStr"/>
      <c r="H282" s="9" t="inlineStr"/>
      <c r="I282" s="9" t="inlineStr"/>
      <c r="J282" s="9" t="inlineStr"/>
      <c r="K282" s="9" t="inlineStr"/>
      <c r="L282" s="9" t="inlineStr"/>
      <c r="M282" s="15" t="inlineStr">
        <is>
          <t>М6 (6c) · новое</t>
        </is>
      </c>
      <c r="N282" s="12" t="inlineStr">
        <is>
          <t>М7 (7c) · повт.</t>
        </is>
      </c>
      <c r="O282" s="12" t="inlineStr">
        <is>
          <t>М4 (4c) · повт.</t>
        </is>
      </c>
      <c r="P282" s="16" t="inlineStr">
        <is>
          <t>—</t>
        </is>
      </c>
      <c r="Q282" s="17" t="inlineStr"/>
      <c r="R282" s="13" t="inlineStr">
        <is>
          <t>нет</t>
        </is>
      </c>
      <c r="S282" s="9" t="inlineStr"/>
      <c r="T282" s="9" t="inlineStr"/>
    </row>
    <row r="283">
      <c r="A283" s="9" t="n">
        <v>282</v>
      </c>
      <c r="B283" s="9" t="inlineStr">
        <is>
          <t>Грамматика</t>
        </is>
      </c>
      <c r="C283" s="9" t="inlineStr">
        <is>
          <t>Глаголы: другое</t>
        </is>
      </c>
      <c r="D283" s="10" t="inlineStr">
        <is>
          <t>Passive Voice</t>
        </is>
      </c>
      <c r="E283" s="9" t="inlineStr">
        <is>
          <t>Passive Voice: инфинитив и модальные (has to be / can be + V3)</t>
        </is>
      </c>
      <c r="F283" s="9" t="inlineStr">
        <is>
          <t>10+</t>
        </is>
      </c>
      <c r="G283" s="9" t="inlineStr"/>
      <c r="H283" s="9" t="inlineStr"/>
      <c r="I283" s="9" t="inlineStr"/>
      <c r="J283" s="9" t="inlineStr"/>
      <c r="K283" s="9" t="inlineStr"/>
      <c r="L283" s="15" t="inlineStr">
        <is>
          <t>М4 (4c) · новое</t>
        </is>
      </c>
      <c r="M283" s="12" t="inlineStr">
        <is>
          <t>М6 (6c) · повт.</t>
        </is>
      </c>
      <c r="N283" s="12" t="inlineStr">
        <is>
          <t>М7 (7c) · повт.</t>
        </is>
      </c>
      <c r="O283" s="12" t="inlineStr">
        <is>
          <t>М4 (4c) · повт.</t>
        </is>
      </c>
      <c r="P283" s="16" t="inlineStr">
        <is>
          <t>—</t>
        </is>
      </c>
      <c r="Q283" s="17" t="inlineStr"/>
      <c r="R283" s="13" t="inlineStr">
        <is>
          <t>нет</t>
        </is>
      </c>
      <c r="S283" s="9" t="inlineStr"/>
      <c r="T283" s="9" t="inlineStr"/>
    </row>
    <row r="284">
      <c r="A284" s="9" t="n">
        <v>283</v>
      </c>
      <c r="B284" s="9" t="inlineStr">
        <is>
          <t>Грамматика</t>
        </is>
      </c>
      <c r="C284" s="9" t="inlineStr">
        <is>
          <t>Глаголы: другое</t>
        </is>
      </c>
      <c r="D284" s="10" t="inlineStr">
        <is>
          <t>Passive Voice</t>
        </is>
      </c>
      <c r="E284" s="9" t="inlineStr">
        <is>
          <t>Passive Voice: преобразование active → passive</t>
        </is>
      </c>
      <c r="F284" s="9" t="inlineStr">
        <is>
          <t>10+</t>
        </is>
      </c>
      <c r="G284" s="9" t="inlineStr"/>
      <c r="H284" s="9" t="inlineStr"/>
      <c r="I284" s="9" t="inlineStr"/>
      <c r="J284" s="9" t="inlineStr"/>
      <c r="K284" s="9" t="inlineStr"/>
      <c r="L284" s="15" t="inlineStr">
        <is>
          <t>М4 (4c) · новое</t>
        </is>
      </c>
      <c r="M284" s="12" t="inlineStr">
        <is>
          <t>М6 (6c) · повт.</t>
        </is>
      </c>
      <c r="N284" s="12" t="inlineStr">
        <is>
          <t>М7 (7c) · повт.</t>
        </is>
      </c>
      <c r="O284" s="12" t="inlineStr">
        <is>
          <t>М4 (4c) · повт.</t>
        </is>
      </c>
      <c r="P284" s="16" t="inlineStr">
        <is>
          <t>—</t>
        </is>
      </c>
      <c r="Q284" s="17" t="inlineStr"/>
      <c r="R284" s="13" t="inlineStr">
        <is>
          <t>нет</t>
        </is>
      </c>
      <c r="S284" s="9" t="inlineStr"/>
      <c r="T284" s="9" t="inlineStr"/>
    </row>
    <row r="285">
      <c r="A285" s="9" t="n">
        <v>284</v>
      </c>
      <c r="B285" s="9" t="inlineStr">
        <is>
          <t>Грамматика</t>
        </is>
      </c>
      <c r="C285" s="9" t="inlineStr">
        <is>
          <t>Глаголы: другое</t>
        </is>
      </c>
      <c r="D285" s="10" t="inlineStr">
        <is>
          <t>Passive Voice</t>
        </is>
      </c>
      <c r="E285" s="9" t="inlineStr">
        <is>
          <t>Passive Voice: значение — исполнитель неизвестен/неважен/очевиден</t>
        </is>
      </c>
      <c r="F285" s="9" t="inlineStr">
        <is>
          <t>10+</t>
        </is>
      </c>
      <c r="G285" s="9" t="inlineStr"/>
      <c r="H285" s="9" t="inlineStr"/>
      <c r="I285" s="9" t="inlineStr"/>
      <c r="J285" s="9" t="inlineStr"/>
      <c r="K285" s="9" t="inlineStr"/>
      <c r="L285" s="15" t="inlineStr">
        <is>
          <t>М4 (4c) · новое</t>
        </is>
      </c>
      <c r="M285" s="14" t="inlineStr">
        <is>
          <t>М6 (6c) · расш.</t>
        </is>
      </c>
      <c r="N285" s="12" t="inlineStr">
        <is>
          <t>М7 (7c) · повт.</t>
        </is>
      </c>
      <c r="O285" s="12" t="inlineStr">
        <is>
          <t>М4 (4c) · повт.</t>
        </is>
      </c>
      <c r="P285" s="16" t="inlineStr">
        <is>
          <t>—</t>
        </is>
      </c>
      <c r="Q285" s="17" t="inlineStr"/>
      <c r="R285" s="13" t="inlineStr">
        <is>
          <t>нет</t>
        </is>
      </c>
      <c r="S285" s="9" t="inlineStr"/>
      <c r="T285" s="9" t="inlineStr"/>
    </row>
    <row r="286">
      <c r="A286" s="9" t="n">
        <v>285</v>
      </c>
      <c r="B286" s="9" t="inlineStr">
        <is>
          <t>Грамматика</t>
        </is>
      </c>
      <c r="C286" s="9" t="inlineStr">
        <is>
          <t>Глаголы: другое</t>
        </is>
      </c>
      <c r="D286" s="10" t="inlineStr">
        <is>
          <t>Passive Voice</t>
        </is>
      </c>
      <c r="E286" s="9" t="inlineStr">
        <is>
          <t>Passive Voice: значение — действие важнее исполнителя (новости, инструкции, реклама)</t>
        </is>
      </c>
      <c r="F286" s="9" t="inlineStr">
        <is>
          <t>10+</t>
        </is>
      </c>
      <c r="G286" s="9" t="inlineStr"/>
      <c r="H286" s="9" t="inlineStr"/>
      <c r="I286" s="9" t="inlineStr"/>
      <c r="J286" s="9" t="inlineStr"/>
      <c r="K286" s="9" t="inlineStr"/>
      <c r="L286" s="15" t="inlineStr">
        <is>
          <t>М4 (4c) · новое</t>
        </is>
      </c>
      <c r="M286" s="12" t="inlineStr">
        <is>
          <t>М6 (6c) · повт.</t>
        </is>
      </c>
      <c r="N286" s="12" t="inlineStr">
        <is>
          <t>М7 (7c) · повт.</t>
        </is>
      </c>
      <c r="O286" s="12" t="inlineStr">
        <is>
          <t>М4 (4c) · повт.</t>
        </is>
      </c>
      <c r="P286" s="16" t="inlineStr">
        <is>
          <t>—</t>
        </is>
      </c>
      <c r="Q286" s="17" t="inlineStr"/>
      <c r="R286" s="13" t="inlineStr">
        <is>
          <t>нет</t>
        </is>
      </c>
      <c r="S286" s="9" t="inlineStr"/>
      <c r="T286" s="9" t="inlineStr"/>
    </row>
    <row r="287">
      <c r="A287" s="9" t="n">
        <v>286</v>
      </c>
      <c r="B287" s="9" t="inlineStr">
        <is>
          <t>Грамматика</t>
        </is>
      </c>
      <c r="C287" s="9" t="inlineStr">
        <is>
          <t>Глаголы: другое</t>
        </is>
      </c>
      <c r="D287" s="10" t="inlineStr">
        <is>
          <t>Passive Voice</t>
        </is>
      </c>
      <c r="E287" s="9" t="inlineStr">
        <is>
          <t>Passive Voice: значение — уход от ответственности</t>
        </is>
      </c>
      <c r="F287" s="9" t="inlineStr">
        <is>
          <t>10+</t>
        </is>
      </c>
      <c r="G287" s="9" t="inlineStr"/>
      <c r="H287" s="9" t="inlineStr"/>
      <c r="I287" s="9" t="inlineStr"/>
      <c r="J287" s="9" t="inlineStr"/>
      <c r="K287" s="9" t="inlineStr"/>
      <c r="L287" s="15" t="inlineStr">
        <is>
          <t>М4 (4c) · новое</t>
        </is>
      </c>
      <c r="M287" s="12" t="inlineStr">
        <is>
          <t>М6 (6c) · повт.</t>
        </is>
      </c>
      <c r="N287" s="12" t="inlineStr">
        <is>
          <t>М7 (7c) · повт.</t>
        </is>
      </c>
      <c r="O287" s="12" t="inlineStr">
        <is>
          <t>М4 (4c) · повт.</t>
        </is>
      </c>
      <c r="P287" s="16" t="inlineStr">
        <is>
          <t>—</t>
        </is>
      </c>
      <c r="Q287" s="17" t="inlineStr"/>
      <c r="R287" s="13" t="inlineStr">
        <is>
          <t>нет</t>
        </is>
      </c>
      <c r="S287" s="9" t="inlineStr"/>
      <c r="T287" s="9" t="inlineStr"/>
    </row>
    <row r="288">
      <c r="A288" s="9" t="n">
        <v>287</v>
      </c>
      <c r="B288" s="9" t="inlineStr">
        <is>
          <t>Грамматика</t>
        </is>
      </c>
      <c r="C288" s="9" t="inlineStr">
        <is>
          <t>Глаголы: другое</t>
        </is>
      </c>
      <c r="D288" s="10" t="inlineStr">
        <is>
          <t>Passive Voice</t>
        </is>
      </c>
      <c r="E288" s="9" t="inlineStr">
        <is>
          <t>Passive Voice: значение — акцент на исполнителе</t>
        </is>
      </c>
      <c r="F288" s="9" t="inlineStr">
        <is>
          <t>10+</t>
        </is>
      </c>
      <c r="G288" s="9" t="inlineStr"/>
      <c r="H288" s="9" t="inlineStr"/>
      <c r="I288" s="9" t="inlineStr"/>
      <c r="J288" s="9" t="inlineStr"/>
      <c r="K288" s="9" t="inlineStr"/>
      <c r="L288" s="15" t="inlineStr">
        <is>
          <t>М4 (4c) · новое</t>
        </is>
      </c>
      <c r="M288" s="12" t="inlineStr">
        <is>
          <t>М6 (6c) · повт.</t>
        </is>
      </c>
      <c r="N288" s="12" t="inlineStr">
        <is>
          <t>М7 (7c) · повт.</t>
        </is>
      </c>
      <c r="O288" s="12" t="inlineStr">
        <is>
          <t>М4 (4c) · повт.</t>
        </is>
      </c>
      <c r="P288" s="16" t="inlineStr">
        <is>
          <t>—</t>
        </is>
      </c>
      <c r="Q288" s="17" t="inlineStr"/>
      <c r="R288" s="13" t="inlineStr">
        <is>
          <t>нет</t>
        </is>
      </c>
      <c r="S288" s="9" t="inlineStr"/>
      <c r="T288" s="9" t="inlineStr"/>
    </row>
    <row r="289">
      <c r="A289" s="9" t="n">
        <v>288</v>
      </c>
      <c r="B289" s="9" t="inlineStr">
        <is>
          <t>Грамматика</t>
        </is>
      </c>
      <c r="C289" s="9" t="inlineStr">
        <is>
          <t>Глаголы: другое</t>
        </is>
      </c>
      <c r="D289" s="10" t="inlineStr">
        <is>
          <t>Passive Voice</t>
        </is>
      </c>
      <c r="E289" s="9" t="inlineStr">
        <is>
          <t>Passive Voice: значение — формальность, вежливость</t>
        </is>
      </c>
      <c r="F289" s="9" t="inlineStr">
        <is>
          <t>10+</t>
        </is>
      </c>
      <c r="G289" s="9" t="inlineStr"/>
      <c r="H289" s="9" t="inlineStr"/>
      <c r="I289" s="9" t="inlineStr"/>
      <c r="J289" s="9" t="inlineStr"/>
      <c r="K289" s="9" t="inlineStr"/>
      <c r="L289" s="15" t="inlineStr">
        <is>
          <t>М4 (4c) · новое</t>
        </is>
      </c>
      <c r="M289" s="12" t="inlineStr">
        <is>
          <t>М6 (6c) · повт.</t>
        </is>
      </c>
      <c r="N289" s="12" t="inlineStr">
        <is>
          <t>М7 (7c) · повт.</t>
        </is>
      </c>
      <c r="O289" s="12" t="inlineStr">
        <is>
          <t>М4 (4c) · повт.</t>
        </is>
      </c>
      <c r="P289" s="16" t="inlineStr">
        <is>
          <t>—</t>
        </is>
      </c>
      <c r="Q289" s="17" t="inlineStr"/>
      <c r="R289" s="13" t="inlineStr">
        <is>
          <t>нет</t>
        </is>
      </c>
      <c r="S289" s="9" t="inlineStr"/>
      <c r="T289" s="9" t="inlineStr"/>
    </row>
    <row r="290">
      <c r="A290" s="9" t="n">
        <v>289</v>
      </c>
      <c r="B290" s="9" t="inlineStr">
        <is>
          <t>Грамматика</t>
        </is>
      </c>
      <c r="C290" s="9" t="inlineStr">
        <is>
          <t>Глаголы: другое</t>
        </is>
      </c>
      <c r="D290" s="10" t="inlineStr">
        <is>
          <t>Passive Voice</t>
        </is>
      </c>
      <c r="E290" s="9" t="inlineStr">
        <is>
          <t>Passive Voice: by + исполнитель vs with + инструмент/материал</t>
        </is>
      </c>
      <c r="F290" s="9" t="inlineStr">
        <is>
          <t>10+</t>
        </is>
      </c>
      <c r="G290" s="9" t="inlineStr"/>
      <c r="H290" s="9" t="inlineStr"/>
      <c r="I290" s="9" t="inlineStr"/>
      <c r="J290" s="9" t="inlineStr"/>
      <c r="K290" s="9" t="inlineStr"/>
      <c r="L290" s="15" t="inlineStr">
        <is>
          <t>М4 (4c) · новое</t>
        </is>
      </c>
      <c r="M290" s="12" t="inlineStr">
        <is>
          <t>М6 (6c) · повт.</t>
        </is>
      </c>
      <c r="N290" s="12" t="inlineStr">
        <is>
          <t>М7 (7c) · повт.</t>
        </is>
      </c>
      <c r="O290" s="12" t="inlineStr">
        <is>
          <t>М4 (4c) · повт.</t>
        </is>
      </c>
      <c r="P290" s="16" t="inlineStr">
        <is>
          <t>—</t>
        </is>
      </c>
      <c r="Q290" s="17" t="inlineStr"/>
      <c r="R290" s="13" t="inlineStr">
        <is>
          <t>нет</t>
        </is>
      </c>
      <c r="S290" s="9" t="inlineStr"/>
      <c r="T290" s="9" t="inlineStr"/>
    </row>
    <row r="291">
      <c r="A291" s="9" t="n">
        <v>290</v>
      </c>
      <c r="B291" s="9" t="inlineStr">
        <is>
          <t>Грамматика</t>
        </is>
      </c>
      <c r="C291" s="9" t="inlineStr">
        <is>
          <t>Глаголы: другое</t>
        </is>
      </c>
      <c r="D291" s="10" t="inlineStr">
        <is>
          <t>Passive Voice</t>
        </is>
      </c>
      <c r="E291" s="9" t="inlineStr">
        <is>
          <t>Passive Voice: когда агент опускается (they, people, someone…)</t>
        </is>
      </c>
      <c r="F291" s="9" t="inlineStr">
        <is>
          <t>10+</t>
        </is>
      </c>
      <c r="G291" s="9" t="inlineStr"/>
      <c r="H291" s="9" t="inlineStr"/>
      <c r="I291" s="9" t="inlineStr"/>
      <c r="J291" s="9" t="inlineStr"/>
      <c r="K291" s="9" t="inlineStr"/>
      <c r="L291" s="15" t="inlineStr">
        <is>
          <t>М4 (4c) · новое</t>
        </is>
      </c>
      <c r="M291" s="12" t="inlineStr">
        <is>
          <t>М6 (6c) · повт.</t>
        </is>
      </c>
      <c r="N291" s="12" t="inlineStr">
        <is>
          <t>М7 (7c) · повт.</t>
        </is>
      </c>
      <c r="O291" s="12" t="inlineStr">
        <is>
          <t>М4 (4c) · повт.</t>
        </is>
      </c>
      <c r="P291" s="16" t="inlineStr">
        <is>
          <t>—</t>
        </is>
      </c>
      <c r="Q291" s="17" t="inlineStr"/>
      <c r="R291" s="13" t="inlineStr">
        <is>
          <t>нет</t>
        </is>
      </c>
      <c r="S291" s="9" t="inlineStr"/>
      <c r="T291" s="9" t="inlineStr"/>
    </row>
    <row r="292">
      <c r="A292" s="9" t="n">
        <v>291</v>
      </c>
      <c r="B292" s="9" t="inlineStr">
        <is>
          <t>Грамматика</t>
        </is>
      </c>
      <c r="C292" s="9" t="inlineStr">
        <is>
          <t>Глаголы: другое</t>
        </is>
      </c>
      <c r="D292" s="10" t="inlineStr">
        <is>
          <t>Passive Voice</t>
        </is>
      </c>
      <c r="E292" s="9" t="inlineStr">
        <is>
          <t>Passive Voice: глаголы без пассива (непереходные; have, fit, suit, resemble…)</t>
        </is>
      </c>
      <c r="F292" s="9" t="inlineStr">
        <is>
          <t>10+</t>
        </is>
      </c>
      <c r="G292" s="9" t="inlineStr"/>
      <c r="H292" s="9" t="inlineStr"/>
      <c r="I292" s="9" t="inlineStr"/>
      <c r="J292" s="9" t="inlineStr"/>
      <c r="K292" s="9" t="inlineStr"/>
      <c r="L292" s="15" t="inlineStr">
        <is>
          <t>М4 (4c) · новое</t>
        </is>
      </c>
      <c r="M292" s="14" t="inlineStr">
        <is>
          <t>М6 (6c) · расш.</t>
        </is>
      </c>
      <c r="N292" s="12" t="inlineStr">
        <is>
          <t>М7 (7c) · повт.</t>
        </is>
      </c>
      <c r="O292" s="12" t="inlineStr">
        <is>
          <t>М4 (4c) · повт.</t>
        </is>
      </c>
      <c r="P292" s="16" t="inlineStr">
        <is>
          <t>—</t>
        </is>
      </c>
      <c r="Q292" s="17" t="inlineStr"/>
      <c r="R292" s="13" t="inlineStr">
        <is>
          <t>нет</t>
        </is>
      </c>
      <c r="S292" s="9" t="inlineStr"/>
      <c r="T292" s="9" t="inlineStr"/>
    </row>
    <row r="293">
      <c r="A293" s="9" t="n">
        <v>292</v>
      </c>
      <c r="B293" s="9" t="inlineStr">
        <is>
          <t>Грамматика</t>
        </is>
      </c>
      <c r="C293" s="9" t="inlineStr">
        <is>
          <t>Глаголы: другое</t>
        </is>
      </c>
      <c r="D293" s="10" t="inlineStr">
        <is>
          <t>Passive Voice</t>
        </is>
      </c>
      <c r="E293" s="9" t="inlineStr">
        <is>
          <t>Passive Voice: get вместо be</t>
        </is>
      </c>
      <c r="F293" s="9" t="inlineStr">
        <is>
          <t>10+</t>
        </is>
      </c>
      <c r="G293" s="9" t="inlineStr"/>
      <c r="H293" s="9" t="inlineStr"/>
      <c r="I293" s="9" t="inlineStr"/>
      <c r="J293" s="9" t="inlineStr"/>
      <c r="K293" s="9" t="inlineStr"/>
      <c r="L293" s="15" t="inlineStr">
        <is>
          <t>М4 (4c) · новое</t>
        </is>
      </c>
      <c r="M293" s="12" t="inlineStr">
        <is>
          <t>М6 (6c) · повт.</t>
        </is>
      </c>
      <c r="N293" s="12" t="inlineStr">
        <is>
          <t>М7 (7c) · повт.</t>
        </is>
      </c>
      <c r="O293" s="12" t="inlineStr">
        <is>
          <t>М4 (4c) · повт.</t>
        </is>
      </c>
      <c r="P293" s="16" t="inlineStr">
        <is>
          <t>—</t>
        </is>
      </c>
      <c r="Q293" s="17" t="inlineStr"/>
      <c r="R293" s="13" t="inlineStr">
        <is>
          <t>нет</t>
        </is>
      </c>
      <c r="S293" s="9" t="inlineStr"/>
      <c r="T293" s="9" t="inlineStr"/>
    </row>
    <row r="294">
      <c r="A294" s="9" t="n">
        <v>293</v>
      </c>
      <c r="B294" s="9" t="inlineStr">
        <is>
          <t>Грамматика</t>
        </is>
      </c>
      <c r="C294" s="9" t="inlineStr">
        <is>
          <t>Глаголы: другое</t>
        </is>
      </c>
      <c r="D294" s="10" t="inlineStr">
        <is>
          <t>Passive Voice</t>
        </is>
      </c>
      <c r="E294" s="9" t="inlineStr">
        <is>
          <t>Passive Voice: глаголы с двумя дополнениями (give, offer, send…)</t>
        </is>
      </c>
      <c r="F294" s="9" t="inlineStr">
        <is>
          <t>10+</t>
        </is>
      </c>
      <c r="G294" s="9" t="inlineStr"/>
      <c r="H294" s="9" t="inlineStr"/>
      <c r="I294" s="9" t="inlineStr"/>
      <c r="J294" s="9" t="inlineStr"/>
      <c r="K294" s="9" t="inlineStr"/>
      <c r="L294" s="15" t="inlineStr">
        <is>
          <t>М4 (4c) · новое</t>
        </is>
      </c>
      <c r="M294" s="12" t="inlineStr">
        <is>
          <t>М6 (6c) · повт.</t>
        </is>
      </c>
      <c r="N294" s="12" t="inlineStr">
        <is>
          <t>М7 (7c) · повт.</t>
        </is>
      </c>
      <c r="O294" s="12" t="inlineStr">
        <is>
          <t>М4 (4c) · повт.</t>
        </is>
      </c>
      <c r="P294" s="16" t="inlineStr">
        <is>
          <t>—</t>
        </is>
      </c>
      <c r="Q294" s="17" t="inlineStr"/>
      <c r="R294" s="13" t="inlineStr">
        <is>
          <t>нет</t>
        </is>
      </c>
      <c r="S294" s="9" t="inlineStr"/>
      <c r="T294" s="9" t="inlineStr"/>
    </row>
    <row r="295">
      <c r="A295" s="9" t="n">
        <v>294</v>
      </c>
      <c r="B295" s="9" t="inlineStr">
        <is>
          <t>Грамматика</t>
        </is>
      </c>
      <c r="C295" s="9" t="inlineStr">
        <is>
          <t>Глаголы: другое</t>
        </is>
      </c>
      <c r="D295" s="10" t="inlineStr">
        <is>
          <t>Passive Voice</t>
        </is>
      </c>
      <c r="E295" s="9" t="inlineStr">
        <is>
          <t>Passive Voice: by в вопросах с who/whom/which</t>
        </is>
      </c>
      <c r="F295" s="9" t="inlineStr">
        <is>
          <t>10+</t>
        </is>
      </c>
      <c r="G295" s="9" t="inlineStr"/>
      <c r="H295" s="9" t="inlineStr"/>
      <c r="I295" s="9" t="inlineStr"/>
      <c r="J295" s="9" t="inlineStr"/>
      <c r="K295" s="9" t="inlineStr"/>
      <c r="L295" s="15" t="inlineStr">
        <is>
          <t>М4 (4c) · новое</t>
        </is>
      </c>
      <c r="M295" s="12" t="inlineStr">
        <is>
          <t>М6 (6c) · повт.</t>
        </is>
      </c>
      <c r="N295" s="12" t="inlineStr">
        <is>
          <t>М7 (7c) · повт.</t>
        </is>
      </c>
      <c r="O295" s="12" t="inlineStr">
        <is>
          <t>М4 (4c) · повт.</t>
        </is>
      </c>
      <c r="P295" s="16" t="inlineStr">
        <is>
          <t>—</t>
        </is>
      </c>
      <c r="Q295" s="17" t="inlineStr"/>
      <c r="R295" s="13" t="inlineStr">
        <is>
          <t>нет</t>
        </is>
      </c>
      <c r="S295" s="9" t="inlineStr"/>
      <c r="T295" s="9" t="inlineStr"/>
    </row>
    <row r="296">
      <c r="A296" s="9" t="n">
        <v>295</v>
      </c>
      <c r="B296" s="9" t="inlineStr">
        <is>
          <t>Грамматика</t>
        </is>
      </c>
      <c r="C296" s="9" t="inlineStr">
        <is>
          <t>Глаголы: другое</t>
        </is>
      </c>
      <c r="D296" s="10" t="inlineStr">
        <is>
          <t>Passive Voice</t>
        </is>
      </c>
      <c r="E296" s="9" t="inlineStr">
        <is>
          <t>Passive Voice: make/hear/see/help + to-inf в пассиве; see/hear/watch + -ing</t>
        </is>
      </c>
      <c r="F296" s="9" t="inlineStr">
        <is>
          <t>10+</t>
        </is>
      </c>
      <c r="G296" s="9" t="inlineStr"/>
      <c r="H296" s="9" t="inlineStr"/>
      <c r="I296" s="9" t="inlineStr"/>
      <c r="J296" s="9" t="inlineStr"/>
      <c r="K296" s="9" t="inlineStr"/>
      <c r="L296" s="9" t="inlineStr"/>
      <c r="M296" s="15" t="inlineStr">
        <is>
          <t>М6 (6c) · новое</t>
        </is>
      </c>
      <c r="N296" s="12" t="inlineStr">
        <is>
          <t>М7 (7c) · повт.</t>
        </is>
      </c>
      <c r="O296" s="12" t="inlineStr">
        <is>
          <t>М4 (4c) · повт.</t>
        </is>
      </c>
      <c r="P296" s="16" t="inlineStr">
        <is>
          <t>—</t>
        </is>
      </c>
      <c r="Q296" s="17" t="inlineStr"/>
      <c r="R296" s="13" t="inlineStr">
        <is>
          <t>нет</t>
        </is>
      </c>
      <c r="S296" s="9" t="inlineStr"/>
      <c r="T296" s="9" t="inlineStr"/>
    </row>
    <row r="297">
      <c r="A297" s="4" t="n">
        <v>296</v>
      </c>
      <c r="B297" s="4" t="inlineStr">
        <is>
          <t>Грамматика</t>
        </is>
      </c>
      <c r="C297" s="4" t="inlineStr">
        <is>
          <t>Глаголы: другое</t>
        </is>
      </c>
      <c r="D297" s="5" t="inlineStr">
        <is>
          <t>Reported Speech</t>
        </is>
      </c>
      <c r="E297" s="4" t="inlineStr">
        <is>
          <t>Reported Speech: прямая vs косвенная речь, that можно опустить</t>
        </is>
      </c>
      <c r="F297" s="4" t="inlineStr">
        <is>
          <t>10+</t>
        </is>
      </c>
      <c r="G297" s="4" t="inlineStr"/>
      <c r="H297" s="4" t="inlineStr"/>
      <c r="I297" s="4" t="inlineStr"/>
      <c r="J297" s="4" t="inlineStr"/>
      <c r="K297" s="4" t="inlineStr"/>
      <c r="L297" s="18" t="inlineStr">
        <is>
          <t>М6 (6c) · новое</t>
        </is>
      </c>
      <c r="M297" s="4" t="inlineStr"/>
      <c r="N297" s="7" t="inlineStr">
        <is>
          <t>М8 (8c) · повт.</t>
        </is>
      </c>
      <c r="O297" s="7" t="inlineStr">
        <is>
          <t>М6 (6c) · повт.</t>
        </is>
      </c>
      <c r="P297" s="19" t="inlineStr">
        <is>
          <t>—</t>
        </is>
      </c>
      <c r="Q297" s="20" t="inlineStr"/>
      <c r="R297" s="8" t="inlineStr">
        <is>
          <t>нет</t>
        </is>
      </c>
      <c r="S297" s="4" t="inlineStr"/>
      <c r="T297" s="4" t="inlineStr"/>
    </row>
    <row r="298">
      <c r="A298" s="9" t="n">
        <v>297</v>
      </c>
      <c r="B298" s="9" t="inlineStr">
        <is>
          <t>Грамматика</t>
        </is>
      </c>
      <c r="C298" s="9" t="inlineStr">
        <is>
          <t>Глаголы: другое</t>
        </is>
      </c>
      <c r="D298" s="10" t="inlineStr">
        <is>
          <t>Reported Speech</t>
        </is>
      </c>
      <c r="E298" s="9" t="inlineStr">
        <is>
          <t>Reported Speech: say vs tell (say to sb, tell sb)</t>
        </is>
      </c>
      <c r="F298" s="9" t="inlineStr">
        <is>
          <t>10+</t>
        </is>
      </c>
      <c r="G298" s="9" t="inlineStr"/>
      <c r="H298" s="9" t="inlineStr"/>
      <c r="I298" s="9" t="inlineStr"/>
      <c r="J298" s="9" t="inlineStr"/>
      <c r="K298" s="9" t="inlineStr"/>
      <c r="L298" s="15" t="inlineStr">
        <is>
          <t>М6 (6c) · новое</t>
        </is>
      </c>
      <c r="M298" s="12" t="inlineStr">
        <is>
          <t>М8 (8c) · повт.</t>
        </is>
      </c>
      <c r="N298" s="12" t="inlineStr">
        <is>
          <t>М8 (8c) · повт.</t>
        </is>
      </c>
      <c r="O298" s="12" t="inlineStr">
        <is>
          <t>М6 (6c) · повт.</t>
        </is>
      </c>
      <c r="P298" s="16" t="inlineStr">
        <is>
          <t>—</t>
        </is>
      </c>
      <c r="Q298" s="17" t="inlineStr"/>
      <c r="R298" s="13" t="inlineStr">
        <is>
          <t>нет</t>
        </is>
      </c>
      <c r="S298" s="9" t="inlineStr"/>
      <c r="T298" s="9" t="inlineStr"/>
    </row>
    <row r="299">
      <c r="A299" s="9" t="n">
        <v>298</v>
      </c>
      <c r="B299" s="9" t="inlineStr">
        <is>
          <t>Грамматика</t>
        </is>
      </c>
      <c r="C299" s="9" t="inlineStr">
        <is>
          <t>Глаголы: другое</t>
        </is>
      </c>
      <c r="D299" s="10" t="inlineStr">
        <is>
          <t>Reported Speech</t>
        </is>
      </c>
      <c r="E299" s="9" t="inlineStr">
        <is>
          <t>Reported Speech: say + to-inf; speak/talk about (не say about)</t>
        </is>
      </c>
      <c r="F299" s="9" t="inlineStr">
        <is>
          <t>10+</t>
        </is>
      </c>
      <c r="G299" s="9" t="inlineStr"/>
      <c r="H299" s="9" t="inlineStr"/>
      <c r="I299" s="9" t="inlineStr"/>
      <c r="J299" s="9" t="inlineStr"/>
      <c r="K299" s="9" t="inlineStr"/>
      <c r="L299" s="9" t="inlineStr"/>
      <c r="M299" s="15" t="inlineStr">
        <is>
          <t>М8 (8c) · новое</t>
        </is>
      </c>
      <c r="N299" s="12" t="inlineStr">
        <is>
          <t>М8 (8c) · повт.</t>
        </is>
      </c>
      <c r="O299" s="12" t="inlineStr">
        <is>
          <t>М6 (6c) · повт.</t>
        </is>
      </c>
      <c r="P299" s="16" t="inlineStr">
        <is>
          <t>—</t>
        </is>
      </c>
      <c r="Q299" s="17" t="inlineStr"/>
      <c r="R299" s="13" t="inlineStr">
        <is>
          <t>нет</t>
        </is>
      </c>
      <c r="S299" s="9" t="inlineStr"/>
      <c r="T299" s="9" t="inlineStr"/>
    </row>
    <row r="300">
      <c r="A300" s="9" t="n">
        <v>299</v>
      </c>
      <c r="B300" s="9" t="inlineStr">
        <is>
          <t>Грамматика</t>
        </is>
      </c>
      <c r="C300" s="9" t="inlineStr">
        <is>
          <t>Глаголы: другое</t>
        </is>
      </c>
      <c r="D300" s="10" t="inlineStr">
        <is>
          <t>Reported Speech</t>
        </is>
      </c>
      <c r="E300" s="9" t="inlineStr">
        <is>
          <t>Reported Speech: устойчивые сочетания с say/tell/ask</t>
        </is>
      </c>
      <c r="F300" s="9" t="inlineStr">
        <is>
          <t>10+</t>
        </is>
      </c>
      <c r="G300" s="9" t="inlineStr"/>
      <c r="H300" s="9" t="inlineStr"/>
      <c r="I300" s="9" t="inlineStr"/>
      <c r="J300" s="9" t="inlineStr"/>
      <c r="K300" s="9" t="inlineStr"/>
      <c r="L300" s="15" t="inlineStr">
        <is>
          <t>М6 (6c) · новое</t>
        </is>
      </c>
      <c r="M300" s="12" t="inlineStr">
        <is>
          <t>М8 (8c) · повт.</t>
        </is>
      </c>
      <c r="N300" s="12" t="inlineStr">
        <is>
          <t>М8 (8c) · повт.</t>
        </is>
      </c>
      <c r="O300" s="12" t="inlineStr">
        <is>
          <t>М6 (6c) · повт.</t>
        </is>
      </c>
      <c r="P300" s="16" t="inlineStr">
        <is>
          <t>—</t>
        </is>
      </c>
      <c r="Q300" s="17" t="inlineStr"/>
      <c r="R300" s="13" t="inlineStr">
        <is>
          <t>нет</t>
        </is>
      </c>
      <c r="S300" s="9" t="inlineStr"/>
      <c r="T300" s="9" t="inlineStr"/>
    </row>
    <row r="301">
      <c r="A301" s="9" t="n">
        <v>300</v>
      </c>
      <c r="B301" s="9" t="inlineStr">
        <is>
          <t>Грамматика</t>
        </is>
      </c>
      <c r="C301" s="9" t="inlineStr">
        <is>
          <t>Глаголы: другое</t>
        </is>
      </c>
      <c r="D301" s="10" t="inlineStr">
        <is>
          <t>Reported Speech</t>
        </is>
      </c>
      <c r="E301" s="9" t="inlineStr">
        <is>
          <t>Reported Speech: смена местоимений</t>
        </is>
      </c>
      <c r="F301" s="9" t="inlineStr">
        <is>
          <t>10+</t>
        </is>
      </c>
      <c r="G301" s="9" t="inlineStr"/>
      <c r="H301" s="9" t="inlineStr"/>
      <c r="I301" s="9" t="inlineStr"/>
      <c r="J301" s="9" t="inlineStr"/>
      <c r="K301" s="9" t="inlineStr"/>
      <c r="L301" s="15" t="inlineStr">
        <is>
          <t>М6 (6c) · новое</t>
        </is>
      </c>
      <c r="M301" s="12" t="inlineStr">
        <is>
          <t>М8 (8c) · повт.</t>
        </is>
      </c>
      <c r="N301" s="9" t="inlineStr"/>
      <c r="O301" s="12" t="inlineStr">
        <is>
          <t>М6 (6c) · повт.</t>
        </is>
      </c>
      <c r="P301" s="16" t="inlineStr">
        <is>
          <t>—</t>
        </is>
      </c>
      <c r="Q301" s="17" t="inlineStr"/>
      <c r="R301" s="13" t="inlineStr">
        <is>
          <t>нет</t>
        </is>
      </c>
      <c r="S301" s="9" t="inlineStr"/>
      <c r="T301" s="9" t="inlineStr"/>
    </row>
    <row r="302">
      <c r="A302" s="9" t="n">
        <v>301</v>
      </c>
      <c r="B302" s="9" t="inlineStr">
        <is>
          <t>Грамматика</t>
        </is>
      </c>
      <c r="C302" s="9" t="inlineStr">
        <is>
          <t>Глаголы: другое</t>
        </is>
      </c>
      <c r="D302" s="10" t="inlineStr">
        <is>
          <t>Reported Speech</t>
        </is>
      </c>
      <c r="E302" s="9" t="inlineStr">
        <is>
          <t>Reported Speech: без сдвига времён — вводящий глагол в настоящем (up-to-date reporting)</t>
        </is>
      </c>
      <c r="F302" s="9" t="inlineStr">
        <is>
          <t>10+</t>
        </is>
      </c>
      <c r="G302" s="9" t="inlineStr"/>
      <c r="H302" s="9" t="inlineStr"/>
      <c r="I302" s="9" t="inlineStr"/>
      <c r="J302" s="9" t="inlineStr"/>
      <c r="K302" s="9" t="inlineStr"/>
      <c r="L302" s="15" t="inlineStr">
        <is>
          <t>М6 (6c) · новое</t>
        </is>
      </c>
      <c r="M302" s="14" t="inlineStr">
        <is>
          <t>М8 (8c) · расш.</t>
        </is>
      </c>
      <c r="N302" s="12" t="inlineStr">
        <is>
          <t>М8 (8c) · повт.</t>
        </is>
      </c>
      <c r="O302" s="12" t="inlineStr">
        <is>
          <t>М6 (6c) · повт.</t>
        </is>
      </c>
      <c r="P302" s="16" t="inlineStr">
        <is>
          <t>—</t>
        </is>
      </c>
      <c r="Q302" s="17" t="inlineStr"/>
      <c r="R302" s="13" t="inlineStr">
        <is>
          <t>нет</t>
        </is>
      </c>
      <c r="S302" s="9" t="inlineStr"/>
      <c r="T302" s="9" t="inlineStr"/>
    </row>
    <row r="303">
      <c r="A303" s="9" t="n">
        <v>302</v>
      </c>
      <c r="B303" s="9" t="inlineStr">
        <is>
          <t>Грамматика</t>
        </is>
      </c>
      <c r="C303" s="9" t="inlineStr">
        <is>
          <t>Глаголы: другое</t>
        </is>
      </c>
      <c r="D303" s="10" t="inlineStr">
        <is>
          <t>Reported Speech</t>
        </is>
      </c>
      <c r="E303" s="9" t="inlineStr">
        <is>
          <t>Reported Speech: без сдвига времён — общие истины, условные 2/3 типа, wish, сразу после сказанного</t>
        </is>
      </c>
      <c r="F303" s="9" t="inlineStr">
        <is>
          <t>10+</t>
        </is>
      </c>
      <c r="G303" s="9" t="inlineStr"/>
      <c r="H303" s="9" t="inlineStr"/>
      <c r="I303" s="9" t="inlineStr"/>
      <c r="J303" s="9" t="inlineStr"/>
      <c r="K303" s="9" t="inlineStr"/>
      <c r="L303" s="9" t="inlineStr"/>
      <c r="M303" s="15" t="inlineStr">
        <is>
          <t>М8 (8c) · новое</t>
        </is>
      </c>
      <c r="N303" s="12" t="inlineStr">
        <is>
          <t>М8 (8c) · повт.</t>
        </is>
      </c>
      <c r="O303" s="12" t="inlineStr">
        <is>
          <t>М6 (6c) · повт.</t>
        </is>
      </c>
      <c r="P303" s="16" t="inlineStr">
        <is>
          <t>—</t>
        </is>
      </c>
      <c r="Q303" s="17" t="inlineStr"/>
      <c r="R303" s="13" t="inlineStr">
        <is>
          <t>нет</t>
        </is>
      </c>
      <c r="S303" s="9" t="inlineStr"/>
      <c r="T303" s="9" t="inlineStr"/>
    </row>
    <row r="304">
      <c r="A304" s="9" t="n">
        <v>303</v>
      </c>
      <c r="B304" s="9" t="inlineStr">
        <is>
          <t>Грамматика</t>
        </is>
      </c>
      <c r="C304" s="9" t="inlineStr">
        <is>
          <t>Глаголы: другое</t>
        </is>
      </c>
      <c r="D304" s="10" t="inlineStr">
        <is>
          <t>Reported Speech</t>
        </is>
      </c>
      <c r="E304" s="9" t="inlineStr">
        <is>
          <t>Reported Speech: сдвиг времён (Present → Past, Past → Past Perfect, will → would)</t>
        </is>
      </c>
      <c r="F304" s="9" t="inlineStr">
        <is>
          <t>10+</t>
        </is>
      </c>
      <c r="G304" s="9" t="inlineStr"/>
      <c r="H304" s="9" t="inlineStr"/>
      <c r="I304" s="9" t="inlineStr"/>
      <c r="J304" s="9" t="inlineStr"/>
      <c r="K304" s="9" t="inlineStr"/>
      <c r="L304" s="15" t="inlineStr">
        <is>
          <t>М6 (6c) · новое</t>
        </is>
      </c>
      <c r="M304" s="14" t="inlineStr">
        <is>
          <t>М8 (8c) · расш.</t>
        </is>
      </c>
      <c r="N304" s="12" t="inlineStr">
        <is>
          <t>М8 (8c) · повт.</t>
        </is>
      </c>
      <c r="O304" s="12" t="inlineStr">
        <is>
          <t>М6 (6c) · повт.</t>
        </is>
      </c>
      <c r="P304" s="16" t="inlineStr">
        <is>
          <t>—</t>
        </is>
      </c>
      <c r="Q304" s="17" t="inlineStr"/>
      <c r="R304" s="13" t="inlineStr">
        <is>
          <t>нет</t>
        </is>
      </c>
      <c r="S304" s="9" t="inlineStr"/>
      <c r="T304" s="9" t="inlineStr"/>
    </row>
    <row r="305">
      <c r="A305" s="9" t="n">
        <v>304</v>
      </c>
      <c r="B305" s="9" t="inlineStr">
        <is>
          <t>Грамматика</t>
        </is>
      </c>
      <c r="C305" s="9" t="inlineStr">
        <is>
          <t>Глаголы: другое</t>
        </is>
      </c>
      <c r="D305" s="10" t="inlineStr">
        <is>
          <t>Reported Speech</t>
        </is>
      </c>
      <c r="E305" s="9" t="inlineStr">
        <is>
          <t>Reported Speech: слова времени и места (now → then, yesterday → the day before…)</t>
        </is>
      </c>
      <c r="F305" s="9" t="inlineStr">
        <is>
          <t>10+</t>
        </is>
      </c>
      <c r="G305" s="9" t="inlineStr"/>
      <c r="H305" s="9" t="inlineStr"/>
      <c r="I305" s="9" t="inlineStr"/>
      <c r="J305" s="9" t="inlineStr"/>
      <c r="K305" s="9" t="inlineStr"/>
      <c r="L305" s="15" t="inlineStr">
        <is>
          <t>М6 (6c) · новое</t>
        </is>
      </c>
      <c r="M305" s="12" t="inlineStr">
        <is>
          <t>М8 (8c) · повт.</t>
        </is>
      </c>
      <c r="N305" s="12" t="inlineStr">
        <is>
          <t>М8 (8c) · повт.</t>
        </is>
      </c>
      <c r="O305" s="12" t="inlineStr">
        <is>
          <t>М6 (6c) · повт.</t>
        </is>
      </c>
      <c r="P305" s="16" t="inlineStr">
        <is>
          <t>—</t>
        </is>
      </c>
      <c r="Q305" s="17" t="inlineStr"/>
      <c r="R305" s="13" t="inlineStr">
        <is>
          <t>нет</t>
        </is>
      </c>
      <c r="S305" s="9" t="inlineStr"/>
      <c r="T305" s="9" t="inlineStr"/>
    </row>
    <row r="306">
      <c r="A306" s="4" t="n">
        <v>305</v>
      </c>
      <c r="B306" s="4" t="inlineStr">
        <is>
          <t>Грамматика</t>
        </is>
      </c>
      <c r="C306" s="4" t="inlineStr">
        <is>
          <t>Глаголы: другое</t>
        </is>
      </c>
      <c r="D306" s="5" t="inlineStr">
        <is>
          <t>Reported commands/requests</t>
        </is>
      </c>
      <c r="E306" s="4" t="inlineStr">
        <is>
          <t>Reported commands: приказы — order/tell + sb + (not) to-inf</t>
        </is>
      </c>
      <c r="F306" s="4" t="inlineStr">
        <is>
          <t>10+</t>
        </is>
      </c>
      <c r="G306" s="4" t="inlineStr"/>
      <c r="H306" s="4" t="inlineStr"/>
      <c r="I306" s="4" t="inlineStr"/>
      <c r="J306" s="4" t="inlineStr"/>
      <c r="K306" s="4" t="inlineStr"/>
      <c r="L306" s="18" t="inlineStr">
        <is>
          <t>М6 (6c) · новое</t>
        </is>
      </c>
      <c r="M306" s="7" t="inlineStr">
        <is>
          <t>М8 (8c) · повт.</t>
        </is>
      </c>
      <c r="N306" s="7" t="inlineStr">
        <is>
          <t>М8 (8c) · повт.</t>
        </is>
      </c>
      <c r="O306" s="7" t="inlineStr">
        <is>
          <t>М6 (6c) · повт.</t>
        </is>
      </c>
      <c r="P306" s="19" t="inlineStr">
        <is>
          <t>—</t>
        </is>
      </c>
      <c r="Q306" s="20" t="inlineStr"/>
      <c r="R306" s="8" t="inlineStr">
        <is>
          <t>нет</t>
        </is>
      </c>
      <c r="S306" s="4" t="inlineStr"/>
      <c r="T306" s="4" t="inlineStr"/>
    </row>
    <row r="307">
      <c r="A307" s="9" t="n">
        <v>306</v>
      </c>
      <c r="B307" s="9" t="inlineStr">
        <is>
          <t>Грамматика</t>
        </is>
      </c>
      <c r="C307" s="9" t="inlineStr">
        <is>
          <t>Глаголы: другое</t>
        </is>
      </c>
      <c r="D307" s="10" t="inlineStr">
        <is>
          <t>Reported commands/requests</t>
        </is>
      </c>
      <c r="E307" s="9" t="inlineStr">
        <is>
          <t>Reported requests: ask/beg + sb + (not) to-inf</t>
        </is>
      </c>
      <c r="F307" s="9" t="inlineStr">
        <is>
          <t>10+</t>
        </is>
      </c>
      <c r="G307" s="9" t="inlineStr"/>
      <c r="H307" s="9" t="inlineStr"/>
      <c r="I307" s="9" t="inlineStr"/>
      <c r="J307" s="9" t="inlineStr"/>
      <c r="K307" s="9" t="inlineStr"/>
      <c r="L307" s="15" t="inlineStr">
        <is>
          <t>М6 (6c) · новое</t>
        </is>
      </c>
      <c r="M307" s="12" t="inlineStr">
        <is>
          <t>М8 (8c) · повт.</t>
        </is>
      </c>
      <c r="N307" s="12" t="inlineStr">
        <is>
          <t>М8 (8c) · повт.</t>
        </is>
      </c>
      <c r="O307" s="12" t="inlineStr">
        <is>
          <t>М6 (6c) · повт.</t>
        </is>
      </c>
      <c r="P307" s="16" t="inlineStr">
        <is>
          <t>—</t>
        </is>
      </c>
      <c r="Q307" s="17" t="inlineStr"/>
      <c r="R307" s="13" t="inlineStr">
        <is>
          <t>нет</t>
        </is>
      </c>
      <c r="S307" s="9" t="inlineStr"/>
      <c r="T307" s="9" t="inlineStr"/>
    </row>
    <row r="308">
      <c r="A308" s="9" t="n">
        <v>307</v>
      </c>
      <c r="B308" s="9" t="inlineStr">
        <is>
          <t>Грамматика</t>
        </is>
      </c>
      <c r="C308" s="9" t="inlineStr">
        <is>
          <t>Глаголы: другое</t>
        </is>
      </c>
      <c r="D308" s="10" t="inlineStr">
        <is>
          <t>Reported commands/requests</t>
        </is>
      </c>
      <c r="E308" s="9" t="inlineStr">
        <is>
          <t>Reported suggestions: suggest + -ing / that sb (should) …</t>
        </is>
      </c>
      <c r="F308" s="9" t="inlineStr">
        <is>
          <t>10+</t>
        </is>
      </c>
      <c r="G308" s="9" t="inlineStr"/>
      <c r="H308" s="9" t="inlineStr"/>
      <c r="I308" s="9" t="inlineStr"/>
      <c r="J308" s="9" t="inlineStr"/>
      <c r="K308" s="9" t="inlineStr"/>
      <c r="L308" s="15" t="inlineStr">
        <is>
          <t>М6 (6c) · новое</t>
        </is>
      </c>
      <c r="M308" s="12" t="inlineStr">
        <is>
          <t>М8 (8c) · повт.</t>
        </is>
      </c>
      <c r="N308" s="12" t="inlineStr">
        <is>
          <t>М8 (8c) · повт.</t>
        </is>
      </c>
      <c r="O308" s="12" t="inlineStr">
        <is>
          <t>М6 (6c) · повт.</t>
        </is>
      </c>
      <c r="P308" s="16" t="inlineStr">
        <is>
          <t>—</t>
        </is>
      </c>
      <c r="Q308" s="17" t="inlineStr"/>
      <c r="R308" s="13" t="inlineStr">
        <is>
          <t>нет</t>
        </is>
      </c>
      <c r="S308" s="9" t="inlineStr"/>
      <c r="T308" s="9" t="inlineStr"/>
    </row>
    <row r="309">
      <c r="A309" s="9" t="n">
        <v>308</v>
      </c>
      <c r="B309" s="9" t="inlineStr">
        <is>
          <t>Грамматика</t>
        </is>
      </c>
      <c r="C309" s="9" t="inlineStr">
        <is>
          <t>Глаголы: другое</t>
        </is>
      </c>
      <c r="D309" s="10" t="inlineStr">
        <is>
          <t>Reported commands/requests</t>
        </is>
      </c>
      <c r="E309" s="9" t="inlineStr">
        <is>
          <t>Reported advice: advise + sb + (not) to-inf</t>
        </is>
      </c>
      <c r="F309" s="9" t="inlineStr">
        <is>
          <t>10+</t>
        </is>
      </c>
      <c r="G309" s="9" t="inlineStr"/>
      <c r="H309" s="9" t="inlineStr"/>
      <c r="I309" s="9" t="inlineStr"/>
      <c r="J309" s="9" t="inlineStr"/>
      <c r="K309" s="9" t="inlineStr"/>
      <c r="L309" s="15" t="inlineStr">
        <is>
          <t>М6 (6c) · новое</t>
        </is>
      </c>
      <c r="M309" s="12" t="inlineStr">
        <is>
          <t>М8 (8c) · повт.</t>
        </is>
      </c>
      <c r="N309" s="12" t="inlineStr">
        <is>
          <t>М8 (8c) · повт.</t>
        </is>
      </c>
      <c r="O309" s="12" t="inlineStr">
        <is>
          <t>М6 (6c) · повт.</t>
        </is>
      </c>
      <c r="P309" s="16" t="inlineStr">
        <is>
          <t>—</t>
        </is>
      </c>
      <c r="Q309" s="17" t="inlineStr"/>
      <c r="R309" s="13" t="inlineStr">
        <is>
          <t>нет</t>
        </is>
      </c>
      <c r="S309" s="9" t="inlineStr"/>
      <c r="T309" s="9" t="inlineStr"/>
    </row>
    <row r="310">
      <c r="A310" s="4" t="n">
        <v>309</v>
      </c>
      <c r="B310" s="4" t="inlineStr">
        <is>
          <t>Грамматика</t>
        </is>
      </c>
      <c r="C310" s="4" t="inlineStr">
        <is>
          <t>Глаголы: другое</t>
        </is>
      </c>
      <c r="D310" s="5" t="inlineStr">
        <is>
          <t>be/get used to</t>
        </is>
      </c>
      <c r="E310" s="4" t="inlineStr">
        <is>
          <t>be/get used to: be used to + -ing — привык</t>
        </is>
      </c>
      <c r="F310" s="4" t="inlineStr">
        <is>
          <t>10+</t>
        </is>
      </c>
      <c r="G310" s="4" t="inlineStr"/>
      <c r="H310" s="4" t="inlineStr"/>
      <c r="I310" s="4" t="inlineStr"/>
      <c r="J310" s="4" t="inlineStr"/>
      <c r="K310" s="4" t="inlineStr"/>
      <c r="L310" s="18" t="inlineStr">
        <is>
          <t>М5 (5c) · новое</t>
        </is>
      </c>
      <c r="M310" s="4" t="inlineStr"/>
      <c r="N310" s="4" t="inlineStr"/>
      <c r="O310" s="7" t="inlineStr">
        <is>
          <t>М1 (1c) · повт.</t>
        </is>
      </c>
      <c r="P310" s="19" t="inlineStr">
        <is>
          <t>—</t>
        </is>
      </c>
      <c r="Q310" s="20" t="inlineStr"/>
      <c r="R310" s="8" t="inlineStr">
        <is>
          <t>нет</t>
        </is>
      </c>
      <c r="S310" s="4" t="inlineStr"/>
      <c r="T310" s="4" t="inlineStr"/>
    </row>
    <row r="311">
      <c r="A311" s="9" t="n">
        <v>310</v>
      </c>
      <c r="B311" s="9" t="inlineStr">
        <is>
          <t>Грамматика</t>
        </is>
      </c>
      <c r="C311" s="9" t="inlineStr">
        <is>
          <t>Глаголы: другое</t>
        </is>
      </c>
      <c r="D311" s="10" t="inlineStr">
        <is>
          <t>be/get used to</t>
        </is>
      </c>
      <c r="E311" s="9" t="inlineStr">
        <is>
          <t>be/get used to: get used to + -ing — привыкаю</t>
        </is>
      </c>
      <c r="F311" s="9" t="inlineStr">
        <is>
          <t>10+</t>
        </is>
      </c>
      <c r="G311" s="9" t="inlineStr"/>
      <c r="H311" s="9" t="inlineStr"/>
      <c r="I311" s="9" t="inlineStr"/>
      <c r="J311" s="9" t="inlineStr"/>
      <c r="K311" s="9" t="inlineStr"/>
      <c r="L311" s="15" t="inlineStr">
        <is>
          <t>М5 (5c) · новое</t>
        </is>
      </c>
      <c r="M311" s="9" t="inlineStr"/>
      <c r="N311" s="9" t="inlineStr"/>
      <c r="O311" s="12" t="inlineStr">
        <is>
          <t>М1 (1c) · повт.</t>
        </is>
      </c>
      <c r="P311" s="16" t="inlineStr">
        <is>
          <t>—</t>
        </is>
      </c>
      <c r="Q311" s="17" t="inlineStr"/>
      <c r="R311" s="13" t="inlineStr">
        <is>
          <t>нет</t>
        </is>
      </c>
      <c r="S311" s="9" t="inlineStr"/>
      <c r="T311" s="9" t="inlineStr"/>
    </row>
    <row r="312">
      <c r="A312" s="9" t="n">
        <v>311</v>
      </c>
      <c r="B312" s="9" t="inlineStr">
        <is>
          <t>Грамматика</t>
        </is>
      </c>
      <c r="C312" s="9" t="inlineStr">
        <is>
          <t>Глаголы: другое</t>
        </is>
      </c>
      <c r="D312" s="10" t="inlineStr">
        <is>
          <t>be/get used to</t>
        </is>
      </c>
      <c r="E312" s="9" t="inlineStr">
        <is>
          <t>be/get used to vs used to + V (to — предлог vs частица)</t>
        </is>
      </c>
      <c r="F312" s="9" t="inlineStr">
        <is>
          <t>10+</t>
        </is>
      </c>
      <c r="G312" s="9" t="inlineStr"/>
      <c r="H312" s="9" t="inlineStr"/>
      <c r="I312" s="9" t="inlineStr"/>
      <c r="J312" s="9" t="inlineStr"/>
      <c r="K312" s="9" t="inlineStr"/>
      <c r="L312" s="15" t="inlineStr">
        <is>
          <t>М5 (5c) · новое</t>
        </is>
      </c>
      <c r="M312" s="9" t="inlineStr"/>
      <c r="N312" s="9" t="inlineStr"/>
      <c r="O312" s="12" t="inlineStr">
        <is>
          <t>М1 (1c) · повт.</t>
        </is>
      </c>
      <c r="P312" s="16" t="inlineStr">
        <is>
          <t>—</t>
        </is>
      </c>
      <c r="Q312" s="17" t="inlineStr"/>
      <c r="R312" s="13" t="inlineStr">
        <is>
          <t>нет</t>
        </is>
      </c>
      <c r="S312" s="9" t="inlineStr"/>
      <c r="T312" s="9" t="inlineStr"/>
    </row>
    <row r="313">
      <c r="A313" s="4" t="n">
        <v>312</v>
      </c>
      <c r="B313" s="4" t="inlineStr">
        <is>
          <t>Грамматика</t>
        </is>
      </c>
      <c r="C313" s="4" t="inlineStr">
        <is>
          <t>Глаголы: другое</t>
        </is>
      </c>
      <c r="D313" s="5" t="inlineStr">
        <is>
          <t>Expressing preference (prefer / would rather)</t>
        </is>
      </c>
      <c r="E313" s="4" t="inlineStr">
        <is>
          <t>Expressing preference: prefer + noun/-ing to noun/-ing — общее предпочтение</t>
        </is>
      </c>
      <c r="F313" s="4" t="inlineStr">
        <is>
          <t>10+</t>
        </is>
      </c>
      <c r="G313" s="4" t="inlineStr"/>
      <c r="H313" s="4" t="inlineStr"/>
      <c r="I313" s="4" t="inlineStr"/>
      <c r="J313" s="4" t="inlineStr"/>
      <c r="K313" s="4" t="inlineStr"/>
      <c r="L313" s="4" t="inlineStr"/>
      <c r="M313" s="18" t="inlineStr">
        <is>
          <t>М5 (5d) · новое</t>
        </is>
      </c>
      <c r="N313" s="7" t="inlineStr">
        <is>
          <t>М2 (2c) · повт.</t>
        </is>
      </c>
      <c r="O313" s="7" t="inlineStr">
        <is>
          <t>М3 · повт.</t>
        </is>
      </c>
      <c r="P313" s="19" t="inlineStr">
        <is>
          <t>—</t>
        </is>
      </c>
      <c r="Q313" s="20" t="inlineStr"/>
      <c r="R313" s="8" t="inlineStr">
        <is>
          <t>нет</t>
        </is>
      </c>
      <c r="S313" s="4" t="inlineStr"/>
      <c r="T313" s="4" t="inlineStr"/>
    </row>
    <row r="314">
      <c r="A314" s="9" t="n">
        <v>313</v>
      </c>
      <c r="B314" s="9" t="inlineStr">
        <is>
          <t>Грамматика</t>
        </is>
      </c>
      <c r="C314" s="9" t="inlineStr">
        <is>
          <t>Глаголы: другое</t>
        </is>
      </c>
      <c r="D314" s="10" t="inlineStr">
        <is>
          <t>Expressing preference (prefer / would rather)</t>
        </is>
      </c>
      <c r="E314" s="9" t="inlineStr">
        <is>
          <t>Expressing preference: prefer + to-inf rather than + bare inf</t>
        </is>
      </c>
      <c r="F314" s="9" t="inlineStr">
        <is>
          <t>10+</t>
        </is>
      </c>
      <c r="G314" s="9" t="inlineStr"/>
      <c r="H314" s="9" t="inlineStr"/>
      <c r="I314" s="9" t="inlineStr"/>
      <c r="J314" s="9" t="inlineStr"/>
      <c r="K314" s="9" t="inlineStr"/>
      <c r="L314" s="9" t="inlineStr"/>
      <c r="M314" s="15" t="inlineStr">
        <is>
          <t>М5 (5d) · новое</t>
        </is>
      </c>
      <c r="N314" s="12" t="inlineStr">
        <is>
          <t>М2 (2c) · повт.</t>
        </is>
      </c>
      <c r="O314" s="12" t="inlineStr">
        <is>
          <t>М3 · повт.</t>
        </is>
      </c>
      <c r="P314" s="16" t="inlineStr">
        <is>
          <t>—</t>
        </is>
      </c>
      <c r="Q314" s="17" t="inlineStr"/>
      <c r="R314" s="13" t="inlineStr">
        <is>
          <t>нет</t>
        </is>
      </c>
      <c r="S314" s="9" t="inlineStr"/>
      <c r="T314" s="9" t="inlineStr"/>
    </row>
    <row r="315">
      <c r="A315" s="9" t="n">
        <v>314</v>
      </c>
      <c r="B315" s="9" t="inlineStr">
        <is>
          <t>Грамматика</t>
        </is>
      </c>
      <c r="C315" s="9" t="inlineStr">
        <is>
          <t>Глаголы: другое</t>
        </is>
      </c>
      <c r="D315" s="10" t="inlineStr">
        <is>
          <t>Expressing preference (prefer / would rather)</t>
        </is>
      </c>
      <c r="E315" s="9" t="inlineStr">
        <is>
          <t>Expressing preference: I'd prefer + to-inf / noun (rather than) — конкретное предпочтение</t>
        </is>
      </c>
      <c r="F315" s="9" t="inlineStr">
        <is>
          <t>10+</t>
        </is>
      </c>
      <c r="G315" s="9" t="inlineStr"/>
      <c r="H315" s="9" t="inlineStr"/>
      <c r="I315" s="9" t="inlineStr"/>
      <c r="J315" s="9" t="inlineStr"/>
      <c r="K315" s="9" t="inlineStr"/>
      <c r="L315" s="9" t="inlineStr"/>
      <c r="M315" s="15" t="inlineStr">
        <is>
          <t>М5 (5d) · новое</t>
        </is>
      </c>
      <c r="N315" s="12" t="inlineStr">
        <is>
          <t>М2 (2c) · повт.</t>
        </is>
      </c>
      <c r="O315" s="12" t="inlineStr">
        <is>
          <t>М3 · повт.</t>
        </is>
      </c>
      <c r="P315" s="16" t="inlineStr">
        <is>
          <t>—</t>
        </is>
      </c>
      <c r="Q315" s="17" t="inlineStr"/>
      <c r="R315" s="13" t="inlineStr">
        <is>
          <t>нет</t>
        </is>
      </c>
      <c r="S315" s="9" t="inlineStr"/>
      <c r="T315" s="9" t="inlineStr"/>
    </row>
    <row r="316">
      <c r="A316" s="9" t="n">
        <v>315</v>
      </c>
      <c r="B316" s="9" t="inlineStr">
        <is>
          <t>Грамматика</t>
        </is>
      </c>
      <c r="C316" s="9" t="inlineStr">
        <is>
          <t>Глаголы: другое</t>
        </is>
      </c>
      <c r="D316" s="10" t="inlineStr">
        <is>
          <t>Expressing preference (prefer / would rather)</t>
        </is>
      </c>
      <c r="E316" s="9" t="inlineStr">
        <is>
          <t>Expressing preference: I'd rather + bare inf (than + bare inf)</t>
        </is>
      </c>
      <c r="F316" s="9" t="inlineStr">
        <is>
          <t>10+</t>
        </is>
      </c>
      <c r="G316" s="9" t="inlineStr"/>
      <c r="H316" s="9" t="inlineStr"/>
      <c r="I316" s="9" t="inlineStr"/>
      <c r="J316" s="9" t="inlineStr"/>
      <c r="K316" s="9" t="inlineStr"/>
      <c r="L316" s="9" t="inlineStr"/>
      <c r="M316" s="15" t="inlineStr">
        <is>
          <t>М5 (5d) · новое</t>
        </is>
      </c>
      <c r="N316" s="12" t="inlineStr">
        <is>
          <t>М2 (2c) · повт.</t>
        </is>
      </c>
      <c r="O316" s="12" t="inlineStr">
        <is>
          <t>М3 · повт.</t>
        </is>
      </c>
      <c r="P316" s="16" t="inlineStr">
        <is>
          <t>—</t>
        </is>
      </c>
      <c r="Q316" s="17" t="inlineStr"/>
      <c r="R316" s="13" t="inlineStr">
        <is>
          <t>нет</t>
        </is>
      </c>
      <c r="S316" s="9" t="inlineStr"/>
      <c r="T316" s="9" t="inlineStr"/>
    </row>
    <row r="317">
      <c r="A317" s="4" t="n">
        <v>316</v>
      </c>
      <c r="B317" s="4" t="inlineStr">
        <is>
          <t>Грамматика</t>
        </is>
      </c>
      <c r="C317" s="4" t="inlineStr">
        <is>
          <t>Глаголы: другое</t>
        </is>
      </c>
      <c r="D317" s="5" t="inlineStr">
        <is>
          <t>Reporting verbs</t>
        </is>
      </c>
      <c r="E317" s="4" t="inlineStr">
        <is>
          <t>Reporting verbs: + to-inf (agree, claim, offer, promise, refuse, threaten…)</t>
        </is>
      </c>
      <c r="F317" s="4" t="inlineStr">
        <is>
          <t>10+</t>
        </is>
      </c>
      <c r="G317" s="4" t="inlineStr"/>
      <c r="H317" s="4" t="inlineStr"/>
      <c r="I317" s="4" t="inlineStr"/>
      <c r="J317" s="4" t="inlineStr"/>
      <c r="K317" s="4" t="inlineStr"/>
      <c r="L317" s="4" t="inlineStr"/>
      <c r="M317" s="18" t="inlineStr">
        <is>
          <t>М8 (8c) · новое</t>
        </is>
      </c>
      <c r="N317" s="7" t="inlineStr">
        <is>
          <t>М8 (8c) · повт.</t>
        </is>
      </c>
      <c r="O317" s="7" t="inlineStr">
        <is>
          <t>М6 (6c) · повт.</t>
        </is>
      </c>
      <c r="P317" s="19" t="inlineStr">
        <is>
          <t>—</t>
        </is>
      </c>
      <c r="Q317" s="20" t="inlineStr"/>
      <c r="R317" s="8" t="inlineStr">
        <is>
          <t>нет</t>
        </is>
      </c>
      <c r="S317" s="4" t="inlineStr"/>
      <c r="T317" s="4" t="inlineStr"/>
    </row>
    <row r="318">
      <c r="A318" s="9" t="n">
        <v>317</v>
      </c>
      <c r="B318" s="9" t="inlineStr">
        <is>
          <t>Грамматика</t>
        </is>
      </c>
      <c r="C318" s="9" t="inlineStr">
        <is>
          <t>Глаголы: другое</t>
        </is>
      </c>
      <c r="D318" s="10" t="inlineStr">
        <is>
          <t>Reporting verbs</t>
        </is>
      </c>
      <c r="E318" s="9" t="inlineStr">
        <is>
          <t>Reporting verbs: + sb + to-inf (advise, allow, encourage, order, remind, warn…)</t>
        </is>
      </c>
      <c r="F318" s="9" t="inlineStr">
        <is>
          <t>10+</t>
        </is>
      </c>
      <c r="G318" s="9" t="inlineStr"/>
      <c r="H318" s="9" t="inlineStr"/>
      <c r="I318" s="9" t="inlineStr"/>
      <c r="J318" s="9" t="inlineStr"/>
      <c r="K318" s="9" t="inlineStr"/>
      <c r="L318" s="9" t="inlineStr"/>
      <c r="M318" s="15" t="inlineStr">
        <is>
          <t>М8 (8c) · новое</t>
        </is>
      </c>
      <c r="N318" s="12" t="inlineStr">
        <is>
          <t>М8 (8c) · повт.</t>
        </is>
      </c>
      <c r="O318" s="12" t="inlineStr">
        <is>
          <t>М6 (6c) · повт.</t>
        </is>
      </c>
      <c r="P318" s="16" t="inlineStr">
        <is>
          <t>—</t>
        </is>
      </c>
      <c r="Q318" s="17" t="inlineStr"/>
      <c r="R318" s="13" t="inlineStr">
        <is>
          <t>нет</t>
        </is>
      </c>
      <c r="S318" s="9" t="inlineStr"/>
      <c r="T318" s="9" t="inlineStr"/>
    </row>
    <row r="319">
      <c r="A319" s="9" t="n">
        <v>318</v>
      </c>
      <c r="B319" s="9" t="inlineStr">
        <is>
          <t>Грамматика</t>
        </is>
      </c>
      <c r="C319" s="9" t="inlineStr">
        <is>
          <t>Глаголы: другое</t>
        </is>
      </c>
      <c r="D319" s="10" t="inlineStr">
        <is>
          <t>Reporting verbs</t>
        </is>
      </c>
      <c r="E319" s="9" t="inlineStr">
        <is>
          <t>Reporting verbs: + (предлог +) -ing (accuse sb of, apologise for, deny, insist on, suggest…)</t>
        </is>
      </c>
      <c r="F319" s="9" t="inlineStr">
        <is>
          <t>10+</t>
        </is>
      </c>
      <c r="G319" s="9" t="inlineStr"/>
      <c r="H319" s="9" t="inlineStr"/>
      <c r="I319" s="9" t="inlineStr"/>
      <c r="J319" s="9" t="inlineStr"/>
      <c r="K319" s="9" t="inlineStr"/>
      <c r="L319" s="9" t="inlineStr"/>
      <c r="M319" s="15" t="inlineStr">
        <is>
          <t>М8 (8c) · новое</t>
        </is>
      </c>
      <c r="N319" s="12" t="inlineStr">
        <is>
          <t>М8 (8c) · повт.</t>
        </is>
      </c>
      <c r="O319" s="12" t="inlineStr">
        <is>
          <t>М6 (6c) · повт.</t>
        </is>
      </c>
      <c r="P319" s="16" t="inlineStr">
        <is>
          <t>—</t>
        </is>
      </c>
      <c r="Q319" s="17" t="inlineStr"/>
      <c r="R319" s="13" t="inlineStr">
        <is>
          <t>нет</t>
        </is>
      </c>
      <c r="S319" s="9" t="inlineStr"/>
      <c r="T319" s="9" t="inlineStr"/>
    </row>
    <row r="320">
      <c r="A320" s="9" t="n">
        <v>319</v>
      </c>
      <c r="B320" s="9" t="inlineStr">
        <is>
          <t>Грамматика</t>
        </is>
      </c>
      <c r="C320" s="9" t="inlineStr">
        <is>
          <t>Глаголы: другое</t>
        </is>
      </c>
      <c r="D320" s="10" t="inlineStr">
        <is>
          <t>Reporting verbs</t>
        </is>
      </c>
      <c r="E320" s="9" t="inlineStr">
        <is>
          <t>Reporting verbs: + that-clause (agree, claim, explain, inform sb, promise…)</t>
        </is>
      </c>
      <c r="F320" s="9" t="inlineStr">
        <is>
          <t>10+</t>
        </is>
      </c>
      <c r="G320" s="9" t="inlineStr"/>
      <c r="H320" s="9" t="inlineStr"/>
      <c r="I320" s="9" t="inlineStr"/>
      <c r="J320" s="9" t="inlineStr"/>
      <c r="K320" s="9" t="inlineStr"/>
      <c r="L320" s="9" t="inlineStr"/>
      <c r="M320" s="15" t="inlineStr">
        <is>
          <t>М8 (8c) · новое</t>
        </is>
      </c>
      <c r="N320" s="12" t="inlineStr">
        <is>
          <t>М8 (8c) · повт.</t>
        </is>
      </c>
      <c r="O320" s="12" t="inlineStr">
        <is>
          <t>М6 (6c) · повт.</t>
        </is>
      </c>
      <c r="P320" s="16" t="inlineStr">
        <is>
          <t>—</t>
        </is>
      </c>
      <c r="Q320" s="17" t="inlineStr"/>
      <c r="R320" s="13" t="inlineStr">
        <is>
          <t>нет</t>
        </is>
      </c>
      <c r="S320" s="9" t="inlineStr"/>
      <c r="T320" s="9" t="inlineStr"/>
    </row>
    <row r="321">
      <c r="A321" s="9" t="n">
        <v>320</v>
      </c>
      <c r="B321" s="9" t="inlineStr">
        <is>
          <t>Грамматика</t>
        </is>
      </c>
      <c r="C321" s="9" t="inlineStr">
        <is>
          <t>Глаголы: другое</t>
        </is>
      </c>
      <c r="D321" s="10" t="inlineStr">
        <is>
          <t>Reporting verbs</t>
        </is>
      </c>
      <c r="E321" s="9" t="inlineStr">
        <is>
          <t>Reporting verbs: explain/wonder + вопросительное слово (+ to-inf / clause)</t>
        </is>
      </c>
      <c r="F321" s="9" t="inlineStr">
        <is>
          <t>10+</t>
        </is>
      </c>
      <c r="G321" s="9" t="inlineStr"/>
      <c r="H321" s="9" t="inlineStr"/>
      <c r="I321" s="9" t="inlineStr"/>
      <c r="J321" s="9" t="inlineStr"/>
      <c r="K321" s="9" t="inlineStr"/>
      <c r="L321" s="9" t="inlineStr"/>
      <c r="M321" s="15" t="inlineStr">
        <is>
          <t>М8 (8c) · новое</t>
        </is>
      </c>
      <c r="N321" s="12" t="inlineStr">
        <is>
          <t>М8 (8c) · повт.</t>
        </is>
      </c>
      <c r="O321" s="12" t="inlineStr">
        <is>
          <t>М6 (6c) · повт.</t>
        </is>
      </c>
      <c r="P321" s="16" t="inlineStr">
        <is>
          <t>—</t>
        </is>
      </c>
      <c r="Q321" s="17" t="inlineStr"/>
      <c r="R321" s="13" t="inlineStr">
        <is>
          <t>нет</t>
        </is>
      </c>
      <c r="S321" s="9" t="inlineStr"/>
      <c r="T321" s="9" t="inlineStr"/>
    </row>
    <row r="322">
      <c r="A322" s="9" t="n">
        <v>321</v>
      </c>
      <c r="B322" s="9" t="inlineStr">
        <is>
          <t>Грамматика</t>
        </is>
      </c>
      <c r="C322" s="9" t="inlineStr">
        <is>
          <t>Глаголы: другое</t>
        </is>
      </c>
      <c r="D322" s="10" t="inlineStr">
        <is>
          <t>Reporting verbs</t>
        </is>
      </c>
      <c r="E322" s="9" t="inlineStr">
        <is>
          <t>Reporting verbs: пересказ диалогов — связки, восклицания, краткие ответы, question tags</t>
        </is>
      </c>
      <c r="F322" s="9" t="inlineStr">
        <is>
          <t>10+</t>
        </is>
      </c>
      <c r="G322" s="9" t="inlineStr"/>
      <c r="H322" s="9" t="inlineStr"/>
      <c r="I322" s="9" t="inlineStr"/>
      <c r="J322" s="9" t="inlineStr"/>
      <c r="K322" s="9" t="inlineStr"/>
      <c r="L322" s="9" t="inlineStr"/>
      <c r="M322" s="9" t="inlineStr"/>
      <c r="N322" s="15" t="inlineStr">
        <is>
          <t>М8 (8c) · новое</t>
        </is>
      </c>
      <c r="O322" s="9" t="inlineStr"/>
      <c r="P322" s="16" t="inlineStr">
        <is>
          <t>—</t>
        </is>
      </c>
      <c r="Q322" s="17" t="inlineStr"/>
      <c r="R322" s="13" t="inlineStr">
        <is>
          <t>нет</t>
        </is>
      </c>
      <c r="S322" s="9" t="inlineStr"/>
      <c r="T322" s="9" t="inlineStr"/>
    </row>
    <row r="323">
      <c r="A323" s="4" t="n">
        <v>322</v>
      </c>
      <c r="B323" s="4" t="inlineStr">
        <is>
          <t>Грамматика</t>
        </is>
      </c>
      <c r="C323" s="4" t="inlineStr">
        <is>
          <t>Глаголы: другое</t>
        </is>
      </c>
      <c r="D323" s="5" t="inlineStr">
        <is>
          <t>Wishes (I wish / If only)</t>
        </is>
      </c>
      <c r="E323" s="4" t="inlineStr">
        <is>
          <t>Wishes: I wish / If only + Past Simple/Continuous — желание изменить настоящее</t>
        </is>
      </c>
      <c r="F323" s="4" t="inlineStr">
        <is>
          <t>10+</t>
        </is>
      </c>
      <c r="G323" s="4" t="inlineStr"/>
      <c r="H323" s="4" t="inlineStr"/>
      <c r="I323" s="4" t="inlineStr"/>
      <c r="J323" s="4" t="inlineStr"/>
      <c r="K323" s="4" t="inlineStr"/>
      <c r="L323" s="4" t="inlineStr"/>
      <c r="M323" s="18" t="inlineStr">
        <is>
          <t>М7 (7c) · новое</t>
        </is>
      </c>
      <c r="N323" s="7" t="inlineStr">
        <is>
          <t>М6 (6c) · повт.</t>
        </is>
      </c>
      <c r="O323" s="7" t="inlineStr">
        <is>
          <t>М7 (7c) · повт.</t>
        </is>
      </c>
      <c r="P323" s="19" t="inlineStr">
        <is>
          <t>—</t>
        </is>
      </c>
      <c r="Q323" s="20" t="inlineStr"/>
      <c r="R323" s="8" t="inlineStr">
        <is>
          <t>нет</t>
        </is>
      </c>
      <c r="S323" s="4" t="inlineStr"/>
      <c r="T323" s="4" t="inlineStr"/>
    </row>
    <row r="324">
      <c r="A324" s="9" t="n">
        <v>323</v>
      </c>
      <c r="B324" s="9" t="inlineStr">
        <is>
          <t>Грамматика</t>
        </is>
      </c>
      <c r="C324" s="9" t="inlineStr">
        <is>
          <t>Глаголы: другое</t>
        </is>
      </c>
      <c r="D324" s="10" t="inlineStr">
        <is>
          <t>Wishes (I wish / If only)</t>
        </is>
      </c>
      <c r="E324" s="9" t="inlineStr">
        <is>
          <t>Wishes: I wish / If only + Past Perfect — сожаление о прошлом</t>
        </is>
      </c>
      <c r="F324" s="9" t="inlineStr">
        <is>
          <t>10+</t>
        </is>
      </c>
      <c r="G324" s="9" t="inlineStr"/>
      <c r="H324" s="9" t="inlineStr"/>
      <c r="I324" s="9" t="inlineStr"/>
      <c r="J324" s="9" t="inlineStr"/>
      <c r="K324" s="9" t="inlineStr"/>
      <c r="L324" s="9" t="inlineStr"/>
      <c r="M324" s="15" t="inlineStr">
        <is>
          <t>М7 (7c) · новое</t>
        </is>
      </c>
      <c r="N324" s="12" t="inlineStr">
        <is>
          <t>М6 (6c) · повт.</t>
        </is>
      </c>
      <c r="O324" s="12" t="inlineStr">
        <is>
          <t>М7 (7c) · повт.</t>
        </is>
      </c>
      <c r="P324" s="16" t="inlineStr">
        <is>
          <t>—</t>
        </is>
      </c>
      <c r="Q324" s="17" t="inlineStr"/>
      <c r="R324" s="13" t="inlineStr">
        <is>
          <t>нет</t>
        </is>
      </c>
      <c r="S324" s="9" t="inlineStr"/>
      <c r="T324" s="9" t="inlineStr"/>
    </row>
    <row r="325">
      <c r="A325" s="9" t="n">
        <v>324</v>
      </c>
      <c r="B325" s="9" t="inlineStr">
        <is>
          <t>Грамматика</t>
        </is>
      </c>
      <c r="C325" s="9" t="inlineStr">
        <is>
          <t>Глаголы: другое</t>
        </is>
      </c>
      <c r="D325" s="10" t="inlineStr">
        <is>
          <t>Wishes (I wish / If only)</t>
        </is>
      </c>
      <c r="E325" s="9" t="inlineStr">
        <is>
          <t>Wishes: I wish / If only + would + V — раздражение, просьба изменить поведение</t>
        </is>
      </c>
      <c r="F325" s="9" t="inlineStr">
        <is>
          <t>10+</t>
        </is>
      </c>
      <c r="G325" s="9" t="inlineStr"/>
      <c r="H325" s="9" t="inlineStr"/>
      <c r="I325" s="9" t="inlineStr"/>
      <c r="J325" s="9" t="inlineStr"/>
      <c r="K325" s="9" t="inlineStr"/>
      <c r="L325" s="9" t="inlineStr"/>
      <c r="M325" s="15" t="inlineStr">
        <is>
          <t>М7 (7c) · новое</t>
        </is>
      </c>
      <c r="N325" s="12" t="inlineStr">
        <is>
          <t>М6 (6c) · повт.</t>
        </is>
      </c>
      <c r="O325" s="12" t="inlineStr">
        <is>
          <t>М7 (7c) · повт.</t>
        </is>
      </c>
      <c r="P325" s="16" t="inlineStr">
        <is>
          <t>—</t>
        </is>
      </c>
      <c r="Q325" s="17" t="inlineStr"/>
      <c r="R325" s="13" t="inlineStr">
        <is>
          <t>нет</t>
        </is>
      </c>
      <c r="S325" s="9" t="inlineStr"/>
      <c r="T325" s="9" t="inlineStr"/>
    </row>
    <row r="326">
      <c r="A326" s="9" t="n">
        <v>325</v>
      </c>
      <c r="B326" s="9" t="inlineStr">
        <is>
          <t>Грамматика</t>
        </is>
      </c>
      <c r="C326" s="9" t="inlineStr">
        <is>
          <t>Глаголы: другое</t>
        </is>
      </c>
      <c r="D326" s="10" t="inlineStr">
        <is>
          <t>Wishes (I wish / If only)</t>
        </is>
      </c>
      <c r="E326" s="9" t="inlineStr">
        <is>
          <t>Wishes: were вместо was</t>
        </is>
      </c>
      <c r="F326" s="9" t="inlineStr">
        <is>
          <t>10+</t>
        </is>
      </c>
      <c r="G326" s="9" t="inlineStr"/>
      <c r="H326" s="9" t="inlineStr"/>
      <c r="I326" s="9" t="inlineStr"/>
      <c r="J326" s="9" t="inlineStr"/>
      <c r="K326" s="9" t="inlineStr"/>
      <c r="L326" s="9" t="inlineStr"/>
      <c r="M326" s="15" t="inlineStr">
        <is>
          <t>М7 (7c) · новое</t>
        </is>
      </c>
      <c r="N326" s="12" t="inlineStr">
        <is>
          <t>М6 (6c) · повт.</t>
        </is>
      </c>
      <c r="O326" s="12" t="inlineStr">
        <is>
          <t>М7 (7c) · повт.</t>
        </is>
      </c>
      <c r="P326" s="16" t="inlineStr">
        <is>
          <t>—</t>
        </is>
      </c>
      <c r="Q326" s="17" t="inlineStr"/>
      <c r="R326" s="13" t="inlineStr">
        <is>
          <t>нет</t>
        </is>
      </c>
      <c r="S326" s="9" t="inlineStr"/>
      <c r="T326" s="9" t="inlineStr"/>
    </row>
    <row r="327">
      <c r="A327" s="9" t="n">
        <v>326</v>
      </c>
      <c r="B327" s="9" t="inlineStr">
        <is>
          <t>Грамматика</t>
        </is>
      </c>
      <c r="C327" s="9" t="inlineStr">
        <is>
          <t>Глаголы: другое</t>
        </is>
      </c>
      <c r="D327" s="10" t="inlineStr">
        <is>
          <t>Wishes (I wish / If only)</t>
        </is>
      </c>
      <c r="E327" s="9" t="inlineStr">
        <is>
          <t>Wishes: If only vs I wish — эмоциональность</t>
        </is>
      </c>
      <c r="F327" s="9" t="inlineStr">
        <is>
          <t>10+</t>
        </is>
      </c>
      <c r="G327" s="9" t="inlineStr"/>
      <c r="H327" s="9" t="inlineStr"/>
      <c r="I327" s="9" t="inlineStr"/>
      <c r="J327" s="9" t="inlineStr"/>
      <c r="K327" s="9" t="inlineStr"/>
      <c r="L327" s="9" t="inlineStr"/>
      <c r="M327" s="15" t="inlineStr">
        <is>
          <t>М7 (7c) · новое</t>
        </is>
      </c>
      <c r="N327" s="12" t="inlineStr">
        <is>
          <t>М6 (6c) · повт.</t>
        </is>
      </c>
      <c r="O327" s="12" t="inlineStr">
        <is>
          <t>М7 (7c) · повт.</t>
        </is>
      </c>
      <c r="P327" s="16" t="inlineStr">
        <is>
          <t>—</t>
        </is>
      </c>
      <c r="Q327" s="17" t="inlineStr"/>
      <c r="R327" s="13" t="inlineStr">
        <is>
          <t>нет</t>
        </is>
      </c>
      <c r="S327" s="9" t="inlineStr"/>
      <c r="T327" s="9" t="inlineStr"/>
    </row>
    <row r="328">
      <c r="A328" s="4" t="n">
        <v>327</v>
      </c>
      <c r="B328" s="4" t="inlineStr">
        <is>
          <t>Грамматика</t>
        </is>
      </c>
      <c r="C328" s="4" t="inlineStr">
        <is>
          <t>Глаголы: другое</t>
        </is>
      </c>
      <c r="D328" s="5" t="inlineStr">
        <is>
          <t>would (past habits)</t>
        </is>
      </c>
      <c r="E328" s="4" t="inlineStr">
        <is>
          <t>would: значение — повторяющиеся действия в прошлом (would + V)</t>
        </is>
      </c>
      <c r="F328" s="4" t="inlineStr">
        <is>
          <t>10+</t>
        </is>
      </c>
      <c r="G328" s="4" t="inlineStr"/>
      <c r="H328" s="4" t="inlineStr"/>
      <c r="I328" s="4" t="inlineStr"/>
      <c r="J328" s="4" t="inlineStr"/>
      <c r="K328" s="4" t="inlineStr"/>
      <c r="L328" s="4" t="inlineStr"/>
      <c r="M328" s="18" t="inlineStr">
        <is>
          <t>М3 (3c) · новое</t>
        </is>
      </c>
      <c r="N328" s="4" t="inlineStr"/>
      <c r="O328" s="4" t="inlineStr"/>
      <c r="P328" s="19" t="inlineStr">
        <is>
          <t>—</t>
        </is>
      </c>
      <c r="Q328" s="20" t="inlineStr"/>
      <c r="R328" s="8" t="inlineStr">
        <is>
          <t>нет</t>
        </is>
      </c>
      <c r="S328" s="4" t="inlineStr"/>
      <c r="T328" s="4" t="inlineStr"/>
    </row>
    <row r="329">
      <c r="A329" s="9" t="n">
        <v>328</v>
      </c>
      <c r="B329" s="9" t="inlineStr">
        <is>
          <t>Грамматика</t>
        </is>
      </c>
      <c r="C329" s="9" t="inlineStr">
        <is>
          <t>Глаголы: другое</t>
        </is>
      </c>
      <c r="D329" s="10" t="inlineStr">
        <is>
          <t>would (past habits)</t>
        </is>
      </c>
      <c r="E329" s="9" t="inlineStr">
        <is>
          <t>would vs used to: прошлые состояния — только used to</t>
        </is>
      </c>
      <c r="F329" s="9" t="inlineStr">
        <is>
          <t>10+</t>
        </is>
      </c>
      <c r="G329" s="9" t="inlineStr"/>
      <c r="H329" s="9" t="inlineStr"/>
      <c r="I329" s="9" t="inlineStr"/>
      <c r="J329" s="9" t="inlineStr"/>
      <c r="K329" s="9" t="inlineStr"/>
      <c r="L329" s="9" t="inlineStr"/>
      <c r="M329" s="15" t="inlineStr">
        <is>
          <t>М3 (3c) · новое</t>
        </is>
      </c>
      <c r="N329" s="9" t="inlineStr"/>
      <c r="O329" s="9" t="inlineStr"/>
      <c r="P329" s="16" t="inlineStr">
        <is>
          <t>—</t>
        </is>
      </c>
      <c r="Q329" s="17" t="inlineStr"/>
      <c r="R329" s="13" t="inlineStr">
        <is>
          <t>нет</t>
        </is>
      </c>
      <c r="S329" s="9" t="inlineStr"/>
      <c r="T329" s="9" t="inlineStr"/>
    </row>
    <row r="330">
      <c r="A330" s="4" t="n">
        <v>329</v>
      </c>
      <c r="B330" s="4" t="inlineStr">
        <is>
          <t>Грамматика</t>
        </is>
      </c>
      <c r="C330" s="4" t="inlineStr">
        <is>
          <t>Существительные и артикли</t>
        </is>
      </c>
      <c r="D330" s="5" t="inlineStr">
        <is>
          <t>Countable / Uncountable nouns</t>
        </is>
      </c>
      <c r="E330" s="4" t="inlineStr">
        <is>
          <t>Countable / Uncountable: различие исчисляемых и неисчисляемых</t>
        </is>
      </c>
      <c r="F330" s="4" t="inlineStr">
        <is>
          <t>обе</t>
        </is>
      </c>
      <c r="G330" s="6" t="inlineStr">
        <is>
          <t>М3 · новое</t>
        </is>
      </c>
      <c r="H330" s="7" t="inlineStr">
        <is>
          <t>М3 · повт.</t>
        </is>
      </c>
      <c r="I330" s="21" t="inlineStr">
        <is>
          <t>М8 (8a) · расш.</t>
        </is>
      </c>
      <c r="J330" s="7" t="inlineStr">
        <is>
          <t>М9 (9a) · повт.</t>
        </is>
      </c>
      <c r="K330" s="7" t="inlineStr">
        <is>
          <t>М9 · повт.</t>
        </is>
      </c>
      <c r="L330" s="7" t="inlineStr">
        <is>
          <t>М2 (2d) · повт.</t>
        </is>
      </c>
      <c r="M330" s="4" t="inlineStr"/>
      <c r="N330" s="4" t="inlineStr"/>
      <c r="O330" s="7" t="inlineStr">
        <is>
          <t>М8 (8c) · повт.</t>
        </is>
      </c>
      <c r="P330" s="8" t="inlineStr">
        <is>
          <t>нет</t>
        </is>
      </c>
      <c r="Q330" s="4" t="inlineStr"/>
      <c r="R330" s="8" t="inlineStr">
        <is>
          <t>нет</t>
        </is>
      </c>
      <c r="S330" s="4" t="inlineStr"/>
      <c r="T330" s="4" t="inlineStr"/>
    </row>
    <row r="331">
      <c r="A331" s="9" t="n">
        <v>330</v>
      </c>
      <c r="B331" s="9" t="inlineStr">
        <is>
          <t>Грамматика</t>
        </is>
      </c>
      <c r="C331" s="9" t="inlineStr">
        <is>
          <t>Существительные и артикли</t>
        </is>
      </c>
      <c r="D331" s="10" t="inlineStr">
        <is>
          <t>Countable / Uncountable nouns</t>
        </is>
      </c>
      <c r="E331" s="9" t="inlineStr">
        <is>
          <t>Countable / Uncountable: неисчисляемые — еда и жидкости</t>
        </is>
      </c>
      <c r="F331" s="9" t="inlineStr">
        <is>
          <t>10+</t>
        </is>
      </c>
      <c r="G331" s="9" t="inlineStr"/>
      <c r="H331" s="9" t="inlineStr"/>
      <c r="I331" s="15" t="inlineStr">
        <is>
          <t>М8 (8a) · новое</t>
        </is>
      </c>
      <c r="J331" s="14" t="inlineStr">
        <is>
          <t>М9 (9a) · расш.</t>
        </is>
      </c>
      <c r="K331" s="9" t="inlineStr"/>
      <c r="L331" s="14" t="inlineStr">
        <is>
          <t>М2 (2d) · расш.</t>
        </is>
      </c>
      <c r="M331" s="9" t="inlineStr"/>
      <c r="N331" s="9" t="inlineStr"/>
      <c r="O331" s="12" t="inlineStr">
        <is>
          <t>М8 (8c) · повт.</t>
        </is>
      </c>
      <c r="P331" s="16" t="inlineStr">
        <is>
          <t>—</t>
        </is>
      </c>
      <c r="Q331" s="17" t="inlineStr"/>
      <c r="R331" s="13" t="inlineStr">
        <is>
          <t>нет</t>
        </is>
      </c>
      <c r="S331" s="9" t="inlineStr"/>
      <c r="T331" s="9" t="inlineStr"/>
    </row>
    <row r="332">
      <c r="A332" s="9" t="n">
        <v>331</v>
      </c>
      <c r="B332" s="9" t="inlineStr">
        <is>
          <t>Грамматика</t>
        </is>
      </c>
      <c r="C332" s="9" t="inlineStr">
        <is>
          <t>Существительные и артикли</t>
        </is>
      </c>
      <c r="D332" s="10" t="inlineStr">
        <is>
          <t>Countable / Uncountable nouns</t>
        </is>
      </c>
      <c r="E332" s="9" t="inlineStr">
        <is>
          <t>Countable / Uncountable: количество с неисчисляемыми (a jar of, a bottle of)</t>
        </is>
      </c>
      <c r="F332" s="9" t="inlineStr">
        <is>
          <t>10+</t>
        </is>
      </c>
      <c r="G332" s="9" t="inlineStr"/>
      <c r="H332" s="9" t="inlineStr"/>
      <c r="I332" s="15" t="inlineStr">
        <is>
          <t>М8 (8a) · новое</t>
        </is>
      </c>
      <c r="J332" s="12" t="inlineStr">
        <is>
          <t>М9 (9a) · повт.</t>
        </is>
      </c>
      <c r="K332" s="9" t="inlineStr"/>
      <c r="L332" s="9" t="inlineStr"/>
      <c r="M332" s="9" t="inlineStr"/>
      <c r="N332" s="9" t="inlineStr"/>
      <c r="O332" s="14" t="inlineStr">
        <is>
          <t>М8 (8c) · расш.</t>
        </is>
      </c>
      <c r="P332" s="16" t="inlineStr">
        <is>
          <t>—</t>
        </is>
      </c>
      <c r="Q332" s="17" t="inlineStr"/>
      <c r="R332" s="13" t="inlineStr">
        <is>
          <t>нет</t>
        </is>
      </c>
      <c r="S332" s="9" t="inlineStr"/>
      <c r="T332" s="9" t="inlineStr"/>
    </row>
    <row r="333">
      <c r="A333" s="9" t="n">
        <v>332</v>
      </c>
      <c r="B333" s="9" t="inlineStr">
        <is>
          <t>Грамматика</t>
        </is>
      </c>
      <c r="C333" s="9" t="inlineStr">
        <is>
          <t>Существительные и артикли</t>
        </is>
      </c>
      <c r="D333" s="10" t="inlineStr">
        <is>
          <t>Countable / Uncountable nouns</t>
        </is>
      </c>
      <c r="E333" s="9" t="inlineStr">
        <is>
          <t>Countable / Uncountable: существительные без ед. числа (clothes, jeans)</t>
        </is>
      </c>
      <c r="F333" s="9" t="inlineStr">
        <is>
          <t>10+</t>
        </is>
      </c>
      <c r="G333" s="9" t="inlineStr"/>
      <c r="H333" s="9" t="inlineStr"/>
      <c r="I333" s="15" t="inlineStr">
        <is>
          <t>М8 (8a) · новое</t>
        </is>
      </c>
      <c r="J333" s="9" t="inlineStr"/>
      <c r="K333" s="9" t="inlineStr"/>
      <c r="L333" s="9" t="inlineStr"/>
      <c r="M333" s="9" t="inlineStr"/>
      <c r="N333" s="9" t="inlineStr"/>
      <c r="O333" s="9" t="inlineStr"/>
      <c r="P333" s="16" t="inlineStr">
        <is>
          <t>—</t>
        </is>
      </c>
      <c r="Q333" s="17" t="inlineStr"/>
      <c r="R333" s="13" t="inlineStr">
        <is>
          <t>нет</t>
        </is>
      </c>
      <c r="S333" s="9" t="inlineStr"/>
      <c r="T333" s="9" t="inlineStr"/>
    </row>
    <row r="334">
      <c r="A334" s="9" t="n">
        <v>333</v>
      </c>
      <c r="B334" s="9" t="inlineStr">
        <is>
          <t>Грамматика</t>
        </is>
      </c>
      <c r="C334" s="9" t="inlineStr">
        <is>
          <t>Существительные и артикли</t>
        </is>
      </c>
      <c r="D334" s="10" t="inlineStr">
        <is>
          <t>Countable / Uncountable nouns</t>
        </is>
      </c>
      <c r="E334" s="9" t="inlineStr">
        <is>
          <t>Countable / Uncountable: There is/are + исчисляемые/неисчисляемые — утверждение</t>
        </is>
      </c>
      <c r="F334" s="9" t="inlineStr">
        <is>
          <t>10+</t>
        </is>
      </c>
      <c r="G334" s="9" t="inlineStr"/>
      <c r="H334" s="9" t="inlineStr"/>
      <c r="I334" s="9" t="inlineStr"/>
      <c r="J334" s="9" t="inlineStr"/>
      <c r="K334" s="15" t="inlineStr">
        <is>
          <t>М9 · новое</t>
        </is>
      </c>
      <c r="L334" s="9" t="inlineStr"/>
      <c r="M334" s="9" t="inlineStr"/>
      <c r="N334" s="9" t="inlineStr"/>
      <c r="O334" s="9" t="inlineStr"/>
      <c r="P334" s="16" t="inlineStr">
        <is>
          <t>—</t>
        </is>
      </c>
      <c r="Q334" s="17" t="inlineStr"/>
      <c r="R334" s="13" t="inlineStr">
        <is>
          <t>нет</t>
        </is>
      </c>
      <c r="S334" s="9" t="inlineStr"/>
      <c r="T334" s="9" t="inlineStr"/>
    </row>
    <row r="335">
      <c r="A335" s="9" t="n">
        <v>334</v>
      </c>
      <c r="B335" s="9" t="inlineStr">
        <is>
          <t>Грамматика</t>
        </is>
      </c>
      <c r="C335" s="9" t="inlineStr">
        <is>
          <t>Существительные и артикли</t>
        </is>
      </c>
      <c r="D335" s="10" t="inlineStr">
        <is>
          <t>Countable / Uncountable nouns</t>
        </is>
      </c>
      <c r="E335" s="9" t="inlineStr">
        <is>
          <t>Countable / Uncountable: There is/are + исчисляемые/неисчисляемые — отрицание</t>
        </is>
      </c>
      <c r="F335" s="9" t="inlineStr">
        <is>
          <t>10+</t>
        </is>
      </c>
      <c r="G335" s="9" t="inlineStr"/>
      <c r="H335" s="9" t="inlineStr"/>
      <c r="I335" s="9" t="inlineStr"/>
      <c r="J335" s="9" t="inlineStr"/>
      <c r="K335" s="15" t="inlineStr">
        <is>
          <t>М9 · новое</t>
        </is>
      </c>
      <c r="L335" s="9" t="inlineStr"/>
      <c r="M335" s="9" t="inlineStr"/>
      <c r="N335" s="9" t="inlineStr"/>
      <c r="O335" s="9" t="inlineStr"/>
      <c r="P335" s="16" t="inlineStr">
        <is>
          <t>—</t>
        </is>
      </c>
      <c r="Q335" s="17" t="inlineStr"/>
      <c r="R335" s="13" t="inlineStr">
        <is>
          <t>нет</t>
        </is>
      </c>
      <c r="S335" s="9" t="inlineStr"/>
      <c r="T335" s="9" t="inlineStr"/>
    </row>
    <row r="336">
      <c r="A336" s="9" t="n">
        <v>335</v>
      </c>
      <c r="B336" s="9" t="inlineStr">
        <is>
          <t>Грамматика</t>
        </is>
      </c>
      <c r="C336" s="9" t="inlineStr">
        <is>
          <t>Существительные и артикли</t>
        </is>
      </c>
      <c r="D336" s="10" t="inlineStr">
        <is>
          <t>Countable / Uncountable nouns</t>
        </is>
      </c>
      <c r="E336" s="9" t="inlineStr">
        <is>
          <t>Countable / Uncountable: There is/are + исчисляемые/неисчисляемые — вопрос</t>
        </is>
      </c>
      <c r="F336" s="9" t="inlineStr">
        <is>
          <t>10+</t>
        </is>
      </c>
      <c r="G336" s="9" t="inlineStr"/>
      <c r="H336" s="9" t="inlineStr"/>
      <c r="I336" s="9" t="inlineStr"/>
      <c r="J336" s="9" t="inlineStr"/>
      <c r="K336" s="15" t="inlineStr">
        <is>
          <t>М9 · новое</t>
        </is>
      </c>
      <c r="L336" s="9" t="inlineStr"/>
      <c r="M336" s="9" t="inlineStr"/>
      <c r="N336" s="9" t="inlineStr"/>
      <c r="O336" s="9" t="inlineStr"/>
      <c r="P336" s="16" t="inlineStr">
        <is>
          <t>—</t>
        </is>
      </c>
      <c r="Q336" s="17" t="inlineStr"/>
      <c r="R336" s="13" t="inlineStr">
        <is>
          <t>нет</t>
        </is>
      </c>
      <c r="S336" s="9" t="inlineStr"/>
      <c r="T336" s="9" t="inlineStr"/>
    </row>
    <row r="337">
      <c r="A337" s="9" t="n">
        <v>336</v>
      </c>
      <c r="B337" s="9" t="inlineStr">
        <is>
          <t>Грамматика</t>
        </is>
      </c>
      <c r="C337" s="9" t="inlineStr">
        <is>
          <t>Существительные и артикли</t>
        </is>
      </c>
      <c r="D337" s="10" t="inlineStr">
        <is>
          <t>Countable / Uncountable nouns</t>
        </is>
      </c>
      <c r="E337" s="9" t="inlineStr">
        <is>
          <t>Countable / Uncountable: неисчисляемые без a/an, глагол в ед. ч.</t>
        </is>
      </c>
      <c r="F337" s="9" t="inlineStr">
        <is>
          <t>10+</t>
        </is>
      </c>
      <c r="G337" s="9" t="inlineStr"/>
      <c r="H337" s="9" t="inlineStr"/>
      <c r="I337" s="9" t="inlineStr"/>
      <c r="J337" s="9" t="inlineStr"/>
      <c r="K337" s="9" t="inlineStr"/>
      <c r="L337" s="15" t="inlineStr">
        <is>
          <t>М2 (2d) · новое</t>
        </is>
      </c>
      <c r="M337" s="9" t="inlineStr"/>
      <c r="N337" s="9" t="inlineStr"/>
      <c r="O337" s="14" t="inlineStr">
        <is>
          <t>М8 (8c) · расш.</t>
        </is>
      </c>
      <c r="P337" s="16" t="inlineStr">
        <is>
          <t>—</t>
        </is>
      </c>
      <c r="Q337" s="17" t="inlineStr"/>
      <c r="R337" s="13" t="inlineStr">
        <is>
          <t>нет</t>
        </is>
      </c>
      <c r="S337" s="9" t="inlineStr"/>
      <c r="T337" s="9" t="inlineStr"/>
    </row>
    <row r="338">
      <c r="A338" s="9" t="n">
        <v>337</v>
      </c>
      <c r="B338" s="9" t="inlineStr">
        <is>
          <t>Грамматика</t>
        </is>
      </c>
      <c r="C338" s="9" t="inlineStr">
        <is>
          <t>Существительные и артикли</t>
        </is>
      </c>
      <c r="D338" s="10" t="inlineStr">
        <is>
          <t>Countable / Uncountable nouns</t>
        </is>
      </c>
      <c r="E338" s="9" t="inlineStr">
        <is>
          <t>Countable / Uncountable: исключения с a/an (a help, a pity, a shame)</t>
        </is>
      </c>
      <c r="F338" s="9" t="inlineStr">
        <is>
          <t>10+</t>
        </is>
      </c>
      <c r="G338" s="9" t="inlineStr"/>
      <c r="H338" s="9" t="inlineStr"/>
      <c r="I338" s="9" t="inlineStr"/>
      <c r="J338" s="9" t="inlineStr"/>
      <c r="K338" s="9" t="inlineStr"/>
      <c r="L338" s="9" t="inlineStr"/>
      <c r="M338" s="9" t="inlineStr"/>
      <c r="N338" s="9" t="inlineStr"/>
      <c r="O338" s="15" t="inlineStr">
        <is>
          <t>М8 (8c) · новое</t>
        </is>
      </c>
      <c r="P338" s="16" t="inlineStr">
        <is>
          <t>—</t>
        </is>
      </c>
      <c r="Q338" s="17" t="inlineStr"/>
      <c r="R338" s="13" t="inlineStr">
        <is>
          <t>нет</t>
        </is>
      </c>
      <c r="S338" s="9" t="inlineStr"/>
      <c r="T338" s="9" t="inlineStr"/>
    </row>
    <row r="339">
      <c r="A339" s="9" t="n">
        <v>338</v>
      </c>
      <c r="B339" s="9" t="inlineStr">
        <is>
          <t>Грамматика</t>
        </is>
      </c>
      <c r="C339" s="9" t="inlineStr">
        <is>
          <t>Существительные и артикли</t>
        </is>
      </c>
      <c r="D339" s="10" t="inlineStr">
        <is>
          <t>Countable / Uncountable nouns</t>
        </is>
      </c>
      <c r="E339" s="9" t="inlineStr">
        <is>
          <t>Countable / Uncountable: группы неисчисляемых — предметы, языки, игры, болезни, явления природы</t>
        </is>
      </c>
      <c r="F339" s="9" t="inlineStr">
        <is>
          <t>10+</t>
        </is>
      </c>
      <c r="G339" s="9" t="inlineStr"/>
      <c r="H339" s="9" t="inlineStr"/>
      <c r="I339" s="9" t="inlineStr"/>
      <c r="J339" s="9" t="inlineStr"/>
      <c r="K339" s="9" t="inlineStr"/>
      <c r="L339" s="15" t="inlineStr">
        <is>
          <t>М2 (2d) · новое</t>
        </is>
      </c>
      <c r="M339" s="9" t="inlineStr"/>
      <c r="N339" s="9" t="inlineStr"/>
      <c r="O339" s="14" t="inlineStr">
        <is>
          <t>М8 (8c) · расш.</t>
        </is>
      </c>
      <c r="P339" s="16" t="inlineStr">
        <is>
          <t>—</t>
        </is>
      </c>
      <c r="Q339" s="17" t="inlineStr"/>
      <c r="R339" s="13" t="inlineStr">
        <is>
          <t>нет</t>
        </is>
      </c>
      <c r="S339" s="9" t="inlineStr"/>
      <c r="T339" s="9" t="inlineStr"/>
    </row>
    <row r="340">
      <c r="A340" s="9" t="n">
        <v>339</v>
      </c>
      <c r="B340" s="9" t="inlineStr">
        <is>
          <t>Грамматика</t>
        </is>
      </c>
      <c r="C340" s="9" t="inlineStr">
        <is>
          <t>Существительные и артикли</t>
        </is>
      </c>
      <c r="D340" s="10" t="inlineStr">
        <is>
          <t>Countable / Uncountable nouns</t>
        </is>
      </c>
      <c r="E340" s="9" t="inlineStr">
        <is>
          <t>Countable / Uncountable: «ловушки» — advice, information, news, furniture, luggage, money</t>
        </is>
      </c>
      <c r="F340" s="9" t="inlineStr">
        <is>
          <t>10+</t>
        </is>
      </c>
      <c r="G340" s="9" t="inlineStr"/>
      <c r="H340" s="9" t="inlineStr"/>
      <c r="I340" s="9" t="inlineStr"/>
      <c r="J340" s="9" t="inlineStr"/>
      <c r="K340" s="9" t="inlineStr"/>
      <c r="L340" s="15" t="inlineStr">
        <is>
          <t>М2 (2d) · новое</t>
        </is>
      </c>
      <c r="M340" s="9" t="inlineStr"/>
      <c r="N340" s="9" t="inlineStr"/>
      <c r="O340" s="14" t="inlineStr">
        <is>
          <t>М8 (8c) · расш.</t>
        </is>
      </c>
      <c r="P340" s="16" t="inlineStr">
        <is>
          <t>—</t>
        </is>
      </c>
      <c r="Q340" s="17" t="inlineStr"/>
      <c r="R340" s="13" t="inlineStr">
        <is>
          <t>нет</t>
        </is>
      </c>
      <c r="S340" s="9" t="inlineStr"/>
      <c r="T340" s="9" t="inlineStr"/>
    </row>
    <row r="341">
      <c r="A341" s="9" t="n">
        <v>340</v>
      </c>
      <c r="B341" s="9" t="inlineStr">
        <is>
          <t>Грамматика</t>
        </is>
      </c>
      <c r="C341" s="9" t="inlineStr">
        <is>
          <t>Существительные и артикли</t>
        </is>
      </c>
      <c r="D341" s="10" t="inlineStr">
        <is>
          <t>Countable / Uncountable nouns</t>
        </is>
      </c>
      <c r="E341" s="9" t="inlineStr">
        <is>
          <t>Countable / Uncountable: собирательные (family, team) и составные (homework, countryside)</t>
        </is>
      </c>
      <c r="F341" s="9" t="inlineStr">
        <is>
          <t>10+</t>
        </is>
      </c>
      <c r="G341" s="9" t="inlineStr"/>
      <c r="H341" s="9" t="inlineStr"/>
      <c r="I341" s="9" t="inlineStr"/>
      <c r="J341" s="9" t="inlineStr"/>
      <c r="K341" s="9" t="inlineStr"/>
      <c r="L341" s="9" t="inlineStr"/>
      <c r="M341" s="9" t="inlineStr"/>
      <c r="N341" s="9" t="inlineStr"/>
      <c r="O341" s="15" t="inlineStr">
        <is>
          <t>М8 (8c) · новое</t>
        </is>
      </c>
      <c r="P341" s="16" t="inlineStr">
        <is>
          <t>—</t>
        </is>
      </c>
      <c r="Q341" s="17" t="inlineStr"/>
      <c r="R341" s="13" t="inlineStr">
        <is>
          <t>нет</t>
        </is>
      </c>
      <c r="S341" s="9" t="inlineStr"/>
      <c r="T341" s="9" t="inlineStr"/>
    </row>
    <row r="342">
      <c r="A342" s="9" t="n">
        <v>341</v>
      </c>
      <c r="B342" s="9" t="inlineStr">
        <is>
          <t>Грамматика</t>
        </is>
      </c>
      <c r="C342" s="9" t="inlineStr">
        <is>
          <t>Существительные и артикли</t>
        </is>
      </c>
      <c r="D342" s="10" t="inlineStr">
        <is>
          <t>Countable / Uncountable nouns</t>
        </is>
      </c>
      <c r="E342" s="9" t="inlineStr">
        <is>
          <t>Countable / Uncountable: длительность, расстояние, деньги как целое — глагол в ед. ч.</t>
        </is>
      </c>
      <c r="F342" s="9" t="inlineStr">
        <is>
          <t>10+</t>
        </is>
      </c>
      <c r="G342" s="9" t="inlineStr"/>
      <c r="H342" s="9" t="inlineStr"/>
      <c r="I342" s="9" t="inlineStr"/>
      <c r="J342" s="9" t="inlineStr"/>
      <c r="K342" s="9" t="inlineStr"/>
      <c r="L342" s="9" t="inlineStr"/>
      <c r="M342" s="9" t="inlineStr"/>
      <c r="N342" s="9" t="inlineStr"/>
      <c r="O342" s="15" t="inlineStr">
        <is>
          <t>М8 (8c) · новое</t>
        </is>
      </c>
      <c r="P342" s="16" t="inlineStr">
        <is>
          <t>—</t>
        </is>
      </c>
      <c r="Q342" s="17" t="inlineStr"/>
      <c r="R342" s="13" t="inlineStr">
        <is>
          <t>нет</t>
        </is>
      </c>
      <c r="S342" s="9" t="inlineStr"/>
      <c r="T342" s="9" t="inlineStr"/>
    </row>
    <row r="343">
      <c r="A343" s="4" t="n">
        <v>342</v>
      </c>
      <c r="B343" s="4" t="inlineStr">
        <is>
          <t>Грамматика</t>
        </is>
      </c>
      <c r="C343" s="4" t="inlineStr">
        <is>
          <t>Существительные и артикли</t>
        </is>
      </c>
      <c r="D343" s="5" t="inlineStr">
        <is>
          <t>Plurals (irregular)</t>
        </is>
      </c>
      <c r="E343" s="4" t="inlineStr">
        <is>
          <t>Plurals (irregular): man — men, child — children, tooth — teeth, foot — feet, mouse — mice</t>
        </is>
      </c>
      <c r="F343" s="4" t="inlineStr">
        <is>
          <t>обе</t>
        </is>
      </c>
      <c r="G343" s="6" t="inlineStr">
        <is>
          <t>М5 · новое</t>
        </is>
      </c>
      <c r="H343" s="4" t="inlineStr"/>
      <c r="I343" s="7" t="inlineStr">
        <is>
          <t>М2 (2b) · повт.</t>
        </is>
      </c>
      <c r="J343" s="7" t="inlineStr">
        <is>
          <t>М1 · повт.</t>
        </is>
      </c>
      <c r="K343" s="4" t="inlineStr"/>
      <c r="L343" s="4" t="inlineStr"/>
      <c r="M343" s="4" t="inlineStr"/>
      <c r="N343" s="4" t="inlineStr"/>
      <c r="O343" s="4" t="inlineStr"/>
      <c r="P343" s="8" t="inlineStr">
        <is>
          <t>нет</t>
        </is>
      </c>
      <c r="Q343" s="4" t="inlineStr"/>
      <c r="R343" s="8" t="inlineStr">
        <is>
          <t>нет</t>
        </is>
      </c>
      <c r="S343" s="4" t="inlineStr"/>
      <c r="T343" s="4" t="inlineStr"/>
    </row>
    <row r="344">
      <c r="A344" s="9" t="n">
        <v>343</v>
      </c>
      <c r="B344" s="9" t="inlineStr">
        <is>
          <t>Грамматика</t>
        </is>
      </c>
      <c r="C344" s="9" t="inlineStr">
        <is>
          <t>Существительные и артикли</t>
        </is>
      </c>
      <c r="D344" s="10" t="inlineStr">
        <is>
          <t>Plurals (irregular)</t>
        </is>
      </c>
      <c r="E344" s="9" t="inlineStr">
        <is>
          <t>Plurals (irregular): одинаковая форма ед. и мн. ч. (fish, sheep)</t>
        </is>
      </c>
      <c r="F344" s="9" t="inlineStr">
        <is>
          <t>7–9</t>
        </is>
      </c>
      <c r="G344" s="11" t="inlineStr">
        <is>
          <t>М5 · новое</t>
        </is>
      </c>
      <c r="H344" s="9" t="inlineStr"/>
      <c r="I344" s="9" t="inlineStr"/>
      <c r="J344" s="9" t="inlineStr"/>
      <c r="K344" s="9" t="inlineStr"/>
      <c r="L344" s="9" t="inlineStr"/>
      <c r="M344" s="9" t="inlineStr"/>
      <c r="N344" s="9" t="inlineStr"/>
      <c r="O344" s="9" t="inlineStr"/>
      <c r="P344" s="13" t="inlineStr">
        <is>
          <t>нет</t>
        </is>
      </c>
      <c r="Q344" s="9" t="inlineStr"/>
      <c r="R344" s="16" t="inlineStr">
        <is>
          <t>—</t>
        </is>
      </c>
      <c r="S344" s="17" t="inlineStr"/>
      <c r="T344" s="9" t="inlineStr"/>
    </row>
    <row r="345">
      <c r="A345" s="9" t="n">
        <v>344</v>
      </c>
      <c r="B345" s="9" t="inlineStr">
        <is>
          <t>Грамматика</t>
        </is>
      </c>
      <c r="C345" s="9" t="inlineStr">
        <is>
          <t>Существительные и артикли</t>
        </is>
      </c>
      <c r="D345" s="10" t="inlineStr">
        <is>
          <t>Plurals (irregular)</t>
        </is>
      </c>
      <c r="E345" s="9" t="inlineStr">
        <is>
          <t>Plurals (irregular): существительные только во мн. ч. (jeans, scissors)</t>
        </is>
      </c>
      <c r="F345" s="9" t="inlineStr">
        <is>
          <t>10+</t>
        </is>
      </c>
      <c r="G345" s="9" t="inlineStr"/>
      <c r="H345" s="9" t="inlineStr"/>
      <c r="I345" s="15" t="inlineStr">
        <is>
          <t>М2 (2b) · новое</t>
        </is>
      </c>
      <c r="J345" s="9" t="inlineStr"/>
      <c r="K345" s="9" t="inlineStr"/>
      <c r="L345" s="9" t="inlineStr"/>
      <c r="M345" s="9" t="inlineStr"/>
      <c r="N345" s="9" t="inlineStr"/>
      <c r="O345" s="9" t="inlineStr"/>
      <c r="P345" s="16" t="inlineStr">
        <is>
          <t>—</t>
        </is>
      </c>
      <c r="Q345" s="17" t="inlineStr"/>
      <c r="R345" s="13" t="inlineStr">
        <is>
          <t>нет</t>
        </is>
      </c>
      <c r="S345" s="9" t="inlineStr"/>
      <c r="T345" s="9" t="inlineStr"/>
    </row>
    <row r="346">
      <c r="A346" s="4" t="n">
        <v>345</v>
      </c>
      <c r="B346" s="4" t="inlineStr">
        <is>
          <t>Грамматика</t>
        </is>
      </c>
      <c r="C346" s="4" t="inlineStr">
        <is>
          <t>Существительные и артикли</t>
        </is>
      </c>
      <c r="D346" s="5" t="inlineStr">
        <is>
          <t>Plurals (regular)</t>
        </is>
      </c>
      <c r="E346" s="4" t="inlineStr">
        <is>
          <t>Plurals (regular): основное правило — + -s</t>
        </is>
      </c>
      <c r="F346" s="4" t="inlineStr">
        <is>
          <t>обе</t>
        </is>
      </c>
      <c r="G346" s="6" t="inlineStr">
        <is>
          <t>М2 · новое
М6 · повт.</t>
        </is>
      </c>
      <c r="H346" s="4" t="inlineStr"/>
      <c r="I346" s="7" t="inlineStr">
        <is>
          <t>М2 (2b) · повт.</t>
        </is>
      </c>
      <c r="J346" s="7" t="inlineStr">
        <is>
          <t>М1 · повт.</t>
        </is>
      </c>
      <c r="K346" s="4" t="inlineStr"/>
      <c r="L346" s="4" t="inlineStr"/>
      <c r="M346" s="4" t="inlineStr"/>
      <c r="N346" s="4" t="inlineStr"/>
      <c r="O346" s="4" t="inlineStr"/>
      <c r="P346" s="8" t="inlineStr">
        <is>
          <t>нет</t>
        </is>
      </c>
      <c r="Q346" s="4" t="inlineStr"/>
      <c r="R346" s="8" t="inlineStr">
        <is>
          <t>нет</t>
        </is>
      </c>
      <c r="S346" s="4" t="inlineStr"/>
      <c r="T346" s="4" t="inlineStr"/>
    </row>
    <row r="347">
      <c r="A347" s="9" t="n">
        <v>346</v>
      </c>
      <c r="B347" s="9" t="inlineStr">
        <is>
          <t>Грамматика</t>
        </is>
      </c>
      <c r="C347" s="9" t="inlineStr">
        <is>
          <t>Существительные и артикли</t>
        </is>
      </c>
      <c r="D347" s="10" t="inlineStr">
        <is>
          <t>Plurals (regular)</t>
        </is>
      </c>
      <c r="E347" s="9" t="inlineStr">
        <is>
          <t>Plurals (regular): орфография — + -es после -s, -ss, -sh, -ch, -x, -o</t>
        </is>
      </c>
      <c r="F347" s="9" t="inlineStr">
        <is>
          <t>обе</t>
        </is>
      </c>
      <c r="G347" s="11" t="inlineStr">
        <is>
          <t>М6 · новое</t>
        </is>
      </c>
      <c r="H347" s="9" t="inlineStr"/>
      <c r="I347" s="14" t="inlineStr">
        <is>
          <t>М2 (2b) · расш.</t>
        </is>
      </c>
      <c r="J347" s="12" t="inlineStr">
        <is>
          <t>М1 · повт.</t>
        </is>
      </c>
      <c r="K347" s="9" t="inlineStr"/>
      <c r="L347" s="9" t="inlineStr"/>
      <c r="M347" s="9" t="inlineStr"/>
      <c r="N347" s="9" t="inlineStr"/>
      <c r="O347" s="9" t="inlineStr"/>
      <c r="P347" s="13" t="inlineStr">
        <is>
          <t>нет</t>
        </is>
      </c>
      <c r="Q347" s="9" t="inlineStr"/>
      <c r="R347" s="13" t="inlineStr">
        <is>
          <t>нет</t>
        </is>
      </c>
      <c r="S347" s="9" t="inlineStr"/>
      <c r="T347" s="9" t="inlineStr"/>
    </row>
    <row r="348">
      <c r="A348" s="9" t="n">
        <v>347</v>
      </c>
      <c r="B348" s="9" t="inlineStr">
        <is>
          <t>Грамматика</t>
        </is>
      </c>
      <c r="C348" s="9" t="inlineStr">
        <is>
          <t>Существительные и артикли</t>
        </is>
      </c>
      <c r="D348" s="10" t="inlineStr">
        <is>
          <t>Plurals (regular)</t>
        </is>
      </c>
      <c r="E348" s="9" t="inlineStr">
        <is>
          <t>Plurals (regular): орфография — -y → -ies (но гласная + y → -s)</t>
        </is>
      </c>
      <c r="F348" s="9" t="inlineStr">
        <is>
          <t>обе</t>
        </is>
      </c>
      <c r="G348" s="11" t="inlineStr">
        <is>
          <t>М6 · новое</t>
        </is>
      </c>
      <c r="H348" s="9" t="inlineStr"/>
      <c r="I348" s="12" t="inlineStr">
        <is>
          <t>М2 (2b) · повт.</t>
        </is>
      </c>
      <c r="J348" s="12" t="inlineStr">
        <is>
          <t>М1 · повт.</t>
        </is>
      </c>
      <c r="K348" s="9" t="inlineStr"/>
      <c r="L348" s="9" t="inlineStr"/>
      <c r="M348" s="9" t="inlineStr"/>
      <c r="N348" s="9" t="inlineStr"/>
      <c r="O348" s="9" t="inlineStr"/>
      <c r="P348" s="13" t="inlineStr">
        <is>
          <t>нет</t>
        </is>
      </c>
      <c r="Q348" s="9" t="inlineStr"/>
      <c r="R348" s="13" t="inlineStr">
        <is>
          <t>нет</t>
        </is>
      </c>
      <c r="S348" s="9" t="inlineStr"/>
      <c r="T348" s="9" t="inlineStr"/>
    </row>
    <row r="349">
      <c r="A349" s="9" t="n">
        <v>348</v>
      </c>
      <c r="B349" s="9" t="inlineStr">
        <is>
          <t>Грамматика</t>
        </is>
      </c>
      <c r="C349" s="9" t="inlineStr">
        <is>
          <t>Существительные и артикли</t>
        </is>
      </c>
      <c r="D349" s="10" t="inlineStr">
        <is>
          <t>Plurals (regular)</t>
        </is>
      </c>
      <c r="E349" s="9" t="inlineStr">
        <is>
          <t>Plurals (regular): орфография — -f/-fe → -ves</t>
        </is>
      </c>
      <c r="F349" s="9" t="inlineStr">
        <is>
          <t>обе</t>
        </is>
      </c>
      <c r="G349" s="11" t="inlineStr">
        <is>
          <t>М6 · новое</t>
        </is>
      </c>
      <c r="H349" s="9" t="inlineStr"/>
      <c r="I349" s="12" t="inlineStr">
        <is>
          <t>М2 (2b) · повт.</t>
        </is>
      </c>
      <c r="J349" s="12" t="inlineStr">
        <is>
          <t>М1 · повт.</t>
        </is>
      </c>
      <c r="K349" s="9" t="inlineStr"/>
      <c r="L349" s="9" t="inlineStr"/>
      <c r="M349" s="9" t="inlineStr"/>
      <c r="N349" s="9" t="inlineStr"/>
      <c r="O349" s="9" t="inlineStr"/>
      <c r="P349" s="13" t="inlineStr">
        <is>
          <t>нет</t>
        </is>
      </c>
      <c r="Q349" s="9" t="inlineStr"/>
      <c r="R349" s="13" t="inlineStr">
        <is>
          <t>нет</t>
        </is>
      </c>
      <c r="S349" s="9" t="inlineStr"/>
      <c r="T349" s="9" t="inlineStr"/>
    </row>
    <row r="350">
      <c r="A350" s="9" t="n">
        <v>349</v>
      </c>
      <c r="B350" s="9" t="inlineStr">
        <is>
          <t>Грамматика</t>
        </is>
      </c>
      <c r="C350" s="9" t="inlineStr">
        <is>
          <t>Существительные и артикли</t>
        </is>
      </c>
      <c r="D350" s="10" t="inlineStr">
        <is>
          <t>Plurals (regular)</t>
        </is>
      </c>
      <c r="E350" s="9" t="inlineStr">
        <is>
          <t>Plurals (regular): исключения на -o — только -s (photos, videos)</t>
        </is>
      </c>
      <c r="F350" s="9" t="inlineStr">
        <is>
          <t>10+</t>
        </is>
      </c>
      <c r="G350" s="9" t="inlineStr"/>
      <c r="H350" s="9" t="inlineStr"/>
      <c r="I350" s="9" t="inlineStr"/>
      <c r="J350" s="15" t="inlineStr">
        <is>
          <t>М1 · новое</t>
        </is>
      </c>
      <c r="K350" s="9" t="inlineStr"/>
      <c r="L350" s="9" t="inlineStr"/>
      <c r="M350" s="9" t="inlineStr"/>
      <c r="N350" s="9" t="inlineStr"/>
      <c r="O350" s="9" t="inlineStr"/>
      <c r="P350" s="16" t="inlineStr">
        <is>
          <t>—</t>
        </is>
      </c>
      <c r="Q350" s="17" t="inlineStr"/>
      <c r="R350" s="13" t="inlineStr">
        <is>
          <t>нет</t>
        </is>
      </c>
      <c r="S350" s="9" t="inlineStr"/>
      <c r="T350" s="9" t="inlineStr"/>
    </row>
    <row r="351">
      <c r="A351" s="9" t="n">
        <v>350</v>
      </c>
      <c r="B351" s="9" t="inlineStr">
        <is>
          <t>Грамматика</t>
        </is>
      </c>
      <c r="C351" s="9" t="inlineStr">
        <is>
          <t>Существительные и артикли</t>
        </is>
      </c>
      <c r="D351" s="10" t="inlineStr">
        <is>
          <t>Plurals (regular)</t>
        </is>
      </c>
      <c r="E351" s="9" t="inlineStr">
        <is>
          <t>Plurals (regular): произношение окончания -(e)s</t>
        </is>
      </c>
      <c r="F351" s="9" t="inlineStr">
        <is>
          <t>10+</t>
        </is>
      </c>
      <c r="G351" s="9" t="inlineStr"/>
      <c r="H351" s="9" t="inlineStr"/>
      <c r="I351" s="15" t="inlineStr">
        <is>
          <t>М2 (2b) · новое</t>
        </is>
      </c>
      <c r="J351" s="9" t="inlineStr"/>
      <c r="K351" s="9" t="inlineStr"/>
      <c r="L351" s="9" t="inlineStr"/>
      <c r="M351" s="9" t="inlineStr"/>
      <c r="N351" s="9" t="inlineStr"/>
      <c r="O351" s="9" t="inlineStr"/>
      <c r="P351" s="16" t="inlineStr">
        <is>
          <t>—</t>
        </is>
      </c>
      <c r="Q351" s="17" t="inlineStr"/>
      <c r="R351" s="13" t="inlineStr">
        <is>
          <t>нет</t>
        </is>
      </c>
      <c r="S351" s="9" t="inlineStr"/>
      <c r="T351" s="9" t="inlineStr"/>
    </row>
    <row r="352">
      <c r="A352" s="4" t="n">
        <v>351</v>
      </c>
      <c r="B352" s="4" t="inlineStr">
        <is>
          <t>Грамматика</t>
        </is>
      </c>
      <c r="C352" s="4" t="inlineStr">
        <is>
          <t>Существительные и артикли</t>
        </is>
      </c>
      <c r="D352" s="5" t="inlineStr">
        <is>
          <t>Possessive case ('s)</t>
        </is>
      </c>
      <c r="E352" s="4" t="inlineStr">
        <is>
          <t>Possessive case ('s): 's в ед. ч. — принадлежность</t>
        </is>
      </c>
      <c r="F352" s="4" t="inlineStr">
        <is>
          <t>обе</t>
        </is>
      </c>
      <c r="G352" s="6" t="inlineStr">
        <is>
          <t>М4 · новое</t>
        </is>
      </c>
      <c r="H352" s="4" t="inlineStr"/>
      <c r="I352" s="7" t="inlineStr">
        <is>
          <t>М4 (4b) · повт.</t>
        </is>
      </c>
      <c r="J352" s="7" t="inlineStr">
        <is>
          <t>М1 (1a) · повт.</t>
        </is>
      </c>
      <c r="K352" s="4" t="inlineStr"/>
      <c r="L352" s="4" t="inlineStr"/>
      <c r="M352" s="4" t="inlineStr"/>
      <c r="N352" s="4" t="inlineStr"/>
      <c r="O352" s="4" t="inlineStr"/>
      <c r="P352" s="8" t="inlineStr">
        <is>
          <t>нет</t>
        </is>
      </c>
      <c r="Q352" s="4" t="inlineStr"/>
      <c r="R352" s="8" t="inlineStr">
        <is>
          <t>нет</t>
        </is>
      </c>
      <c r="S352" s="4" t="inlineStr"/>
      <c r="T352" s="4" t="inlineStr"/>
    </row>
    <row r="353">
      <c r="A353" s="9" t="n">
        <v>352</v>
      </c>
      <c r="B353" s="9" t="inlineStr">
        <is>
          <t>Грамматика</t>
        </is>
      </c>
      <c r="C353" s="9" t="inlineStr">
        <is>
          <t>Существительные и артикли</t>
        </is>
      </c>
      <c r="D353" s="10" t="inlineStr">
        <is>
          <t>Possessive case ('s)</t>
        </is>
      </c>
      <c r="E353" s="9" t="inlineStr">
        <is>
          <t>Possessive case ('s): вопрос Whose?</t>
        </is>
      </c>
      <c r="F353" s="9" t="inlineStr">
        <is>
          <t>обе</t>
        </is>
      </c>
      <c r="G353" s="11" t="inlineStr">
        <is>
          <t>М4 · новое</t>
        </is>
      </c>
      <c r="H353" s="9" t="inlineStr"/>
      <c r="I353" s="12" t="inlineStr">
        <is>
          <t>М4 (4b) · повт.</t>
        </is>
      </c>
      <c r="J353" s="9" t="inlineStr"/>
      <c r="K353" s="9" t="inlineStr"/>
      <c r="L353" s="9" t="inlineStr"/>
      <c r="M353" s="9" t="inlineStr"/>
      <c r="N353" s="9" t="inlineStr"/>
      <c r="O353" s="9" t="inlineStr"/>
      <c r="P353" s="13" t="inlineStr">
        <is>
          <t>нет</t>
        </is>
      </c>
      <c r="Q353" s="9" t="inlineStr"/>
      <c r="R353" s="13" t="inlineStr">
        <is>
          <t>нет</t>
        </is>
      </c>
      <c r="S353" s="9" t="inlineStr"/>
      <c r="T353" s="9" t="inlineStr"/>
    </row>
    <row r="354">
      <c r="A354" s="9" t="n">
        <v>353</v>
      </c>
      <c r="B354" s="9" t="inlineStr">
        <is>
          <t>Грамматика</t>
        </is>
      </c>
      <c r="C354" s="9" t="inlineStr">
        <is>
          <t>Существительные и артикли</t>
        </is>
      </c>
      <c r="D354" s="10" t="inlineStr">
        <is>
          <t>Possessive case ('s)</t>
        </is>
      </c>
      <c r="E354" s="9" t="inlineStr">
        <is>
          <t>Possessive case ('s): значение — отношения между людьми</t>
        </is>
      </c>
      <c r="F354" s="9" t="inlineStr">
        <is>
          <t>10+</t>
        </is>
      </c>
      <c r="G354" s="9" t="inlineStr"/>
      <c r="H354" s="9" t="inlineStr"/>
      <c r="I354" s="15" t="inlineStr">
        <is>
          <t>М4 (4b) · новое</t>
        </is>
      </c>
      <c r="J354" s="12" t="inlineStr">
        <is>
          <t>М1 (1a) · повт.</t>
        </is>
      </c>
      <c r="K354" s="9" t="inlineStr"/>
      <c r="L354" s="9" t="inlineStr"/>
      <c r="M354" s="9" t="inlineStr"/>
      <c r="N354" s="9" t="inlineStr"/>
      <c r="O354" s="9" t="inlineStr"/>
      <c r="P354" s="16" t="inlineStr">
        <is>
          <t>—</t>
        </is>
      </c>
      <c r="Q354" s="17" t="inlineStr"/>
      <c r="R354" s="13" t="inlineStr">
        <is>
          <t>нет</t>
        </is>
      </c>
      <c r="S354" s="9" t="inlineStr"/>
      <c r="T354" s="9" t="inlineStr"/>
    </row>
    <row r="355">
      <c r="A355" s="9" t="n">
        <v>354</v>
      </c>
      <c r="B355" s="9" t="inlineStr">
        <is>
          <t>Грамматика</t>
        </is>
      </c>
      <c r="C355" s="9" t="inlineStr">
        <is>
          <t>Существительные и артикли</t>
        </is>
      </c>
      <c r="D355" s="10" t="inlineStr">
        <is>
          <t>Possessive case ('s)</t>
        </is>
      </c>
      <c r="E355" s="9" t="inlineStr">
        <is>
          <t>Possessive case ('s): магазины, учреждения, чей-то дом (at the baker's)</t>
        </is>
      </c>
      <c r="F355" s="9" t="inlineStr">
        <is>
          <t>10+</t>
        </is>
      </c>
      <c r="G355" s="9" t="inlineStr"/>
      <c r="H355" s="9" t="inlineStr"/>
      <c r="I355" s="15" t="inlineStr">
        <is>
          <t>М4 (4b) · новое</t>
        </is>
      </c>
      <c r="J355" s="14" t="inlineStr">
        <is>
          <t>М1 (1a) · расш.</t>
        </is>
      </c>
      <c r="K355" s="9" t="inlineStr"/>
      <c r="L355" s="9" t="inlineStr"/>
      <c r="M355" s="9" t="inlineStr"/>
      <c r="N355" s="9" t="inlineStr"/>
      <c r="O355" s="9" t="inlineStr"/>
      <c r="P355" s="16" t="inlineStr">
        <is>
          <t>—</t>
        </is>
      </c>
      <c r="Q355" s="17" t="inlineStr"/>
      <c r="R355" s="13" t="inlineStr">
        <is>
          <t>нет</t>
        </is>
      </c>
      <c r="S355" s="9" t="inlineStr"/>
      <c r="T355" s="9" t="inlineStr"/>
    </row>
    <row r="356">
      <c r="A356" s="9" t="n">
        <v>355</v>
      </c>
      <c r="B356" s="9" t="inlineStr">
        <is>
          <t>Грамматика</t>
        </is>
      </c>
      <c r="C356" s="9" t="inlineStr">
        <is>
          <t>Существительные и артикли</t>
        </is>
      </c>
      <c r="D356" s="10" t="inlineStr">
        <is>
          <t>Possessive case ('s)</t>
        </is>
      </c>
      <c r="E356" s="9" t="inlineStr">
        <is>
          <t>Possessive case ('s): имена на -s — 's или только апостроф</t>
        </is>
      </c>
      <c r="F356" s="9" t="inlineStr">
        <is>
          <t>10+</t>
        </is>
      </c>
      <c r="G356" s="9" t="inlineStr"/>
      <c r="H356" s="9" t="inlineStr"/>
      <c r="I356" s="15" t="inlineStr">
        <is>
          <t>М4 (4b) · новое</t>
        </is>
      </c>
      <c r="J356" s="12" t="inlineStr">
        <is>
          <t>М1 (1a) · повт.</t>
        </is>
      </c>
      <c r="K356" s="9" t="inlineStr"/>
      <c r="L356" s="9" t="inlineStr"/>
      <c r="M356" s="9" t="inlineStr"/>
      <c r="N356" s="9" t="inlineStr"/>
      <c r="O356" s="9" t="inlineStr"/>
      <c r="P356" s="16" t="inlineStr">
        <is>
          <t>—</t>
        </is>
      </c>
      <c r="Q356" s="17" t="inlineStr"/>
      <c r="R356" s="13" t="inlineStr">
        <is>
          <t>нет</t>
        </is>
      </c>
      <c r="S356" s="9" t="inlineStr"/>
      <c r="T356" s="9" t="inlineStr"/>
    </row>
    <row r="357">
      <c r="A357" s="9" t="n">
        <v>356</v>
      </c>
      <c r="B357" s="9" t="inlineStr">
        <is>
          <t>Грамматика</t>
        </is>
      </c>
      <c r="C357" s="9" t="inlineStr">
        <is>
          <t>Существительные и артикли</t>
        </is>
      </c>
      <c r="D357" s="10" t="inlineStr">
        <is>
          <t>Possessive case ('s)</t>
        </is>
      </c>
      <c r="E357" s="9" t="inlineStr">
        <is>
          <t>Possessive case ('s): мн. ч. — s' (the boys') и исключения 's (the children's)</t>
        </is>
      </c>
      <c r="F357" s="9" t="inlineStr">
        <is>
          <t>10+</t>
        </is>
      </c>
      <c r="G357" s="9" t="inlineStr"/>
      <c r="H357" s="9" t="inlineStr"/>
      <c r="I357" s="15" t="inlineStr">
        <is>
          <t>М4 (4b) · новое</t>
        </is>
      </c>
      <c r="J357" s="12" t="inlineStr">
        <is>
          <t>М1 (1a) · повт.</t>
        </is>
      </c>
      <c r="K357" s="9" t="inlineStr"/>
      <c r="L357" s="9" t="inlineStr"/>
      <c r="M357" s="9" t="inlineStr"/>
      <c r="N357" s="9" t="inlineStr"/>
      <c r="O357" s="9" t="inlineStr"/>
      <c r="P357" s="16" t="inlineStr">
        <is>
          <t>—</t>
        </is>
      </c>
      <c r="Q357" s="17" t="inlineStr"/>
      <c r="R357" s="13" t="inlineStr">
        <is>
          <t>нет</t>
        </is>
      </c>
      <c r="S357" s="9" t="inlineStr"/>
      <c r="T357" s="9" t="inlineStr"/>
    </row>
    <row r="358">
      <c r="A358" s="9" t="n">
        <v>357</v>
      </c>
      <c r="B358" s="9" t="inlineStr">
        <is>
          <t>Грамматика</t>
        </is>
      </c>
      <c r="C358" s="9" t="inlineStr">
        <is>
          <t>Существительные и артикли</t>
        </is>
      </c>
      <c r="D358" s="10" t="inlineStr">
        <is>
          <t>Possessive case ('s)</t>
        </is>
      </c>
      <c r="E358" s="9" t="inlineStr">
        <is>
          <t>Possessive case ('s): of для неодушевлённых (the windows of the house)</t>
        </is>
      </c>
      <c r="F358" s="9" t="inlineStr">
        <is>
          <t>10+</t>
        </is>
      </c>
      <c r="G358" s="9" t="inlineStr"/>
      <c r="H358" s="9" t="inlineStr"/>
      <c r="I358" s="15" t="inlineStr">
        <is>
          <t>М4 (4b) · новое</t>
        </is>
      </c>
      <c r="J358" s="9" t="inlineStr"/>
      <c r="K358" s="9" t="inlineStr"/>
      <c r="L358" s="9" t="inlineStr"/>
      <c r="M358" s="9" t="inlineStr"/>
      <c r="N358" s="9" t="inlineStr"/>
      <c r="O358" s="9" t="inlineStr"/>
      <c r="P358" s="16" t="inlineStr">
        <is>
          <t>—</t>
        </is>
      </c>
      <c r="Q358" s="17" t="inlineStr"/>
      <c r="R358" s="13" t="inlineStr">
        <is>
          <t>нет</t>
        </is>
      </c>
      <c r="S358" s="9" t="inlineStr"/>
      <c r="T358" s="9" t="inlineStr"/>
    </row>
    <row r="359">
      <c r="A359" s="4" t="n">
        <v>358</v>
      </c>
      <c r="B359" s="4" t="inlineStr">
        <is>
          <t>Грамматика</t>
        </is>
      </c>
      <c r="C359" s="4" t="inlineStr">
        <is>
          <t>Существительные и артикли</t>
        </is>
      </c>
      <c r="D359" s="5" t="inlineStr">
        <is>
          <t>a/an</t>
        </is>
      </c>
      <c r="E359" s="4" t="inlineStr">
        <is>
          <t>a/an: неопределённый артикль — только с исчисляемыми в ед. ч.</t>
        </is>
      </c>
      <c r="F359" s="4" t="inlineStr">
        <is>
          <t>обе</t>
        </is>
      </c>
      <c r="G359" s="6" t="inlineStr">
        <is>
          <t>М4 · новое</t>
        </is>
      </c>
      <c r="H359" s="4" t="inlineStr"/>
      <c r="I359" s="7" t="inlineStr">
        <is>
          <t>М1 (1a) · повт.</t>
        </is>
      </c>
      <c r="J359" s="4" t="inlineStr"/>
      <c r="K359" s="4" t="inlineStr"/>
      <c r="L359" s="4" t="inlineStr"/>
      <c r="M359" s="4" t="inlineStr"/>
      <c r="N359" s="4" t="inlineStr"/>
      <c r="O359" s="4" t="inlineStr"/>
      <c r="P359" s="8" t="inlineStr">
        <is>
          <t>нет</t>
        </is>
      </c>
      <c r="Q359" s="4" t="inlineStr"/>
      <c r="R359" s="8" t="inlineStr">
        <is>
          <t>нет</t>
        </is>
      </c>
      <c r="S359" s="4" t="inlineStr"/>
      <c r="T359" s="4" t="inlineStr"/>
    </row>
    <row r="360">
      <c r="A360" s="9" t="n">
        <v>359</v>
      </c>
      <c r="B360" s="9" t="inlineStr">
        <is>
          <t>Грамматика</t>
        </is>
      </c>
      <c r="C360" s="9" t="inlineStr">
        <is>
          <t>Существительные и артикли</t>
        </is>
      </c>
      <c r="D360" s="10" t="inlineStr">
        <is>
          <t>a/an</t>
        </is>
      </c>
      <c r="E360" s="9" t="inlineStr">
        <is>
          <t>a/an: a перед согласной, an перед гласной</t>
        </is>
      </c>
      <c r="F360" s="9" t="inlineStr">
        <is>
          <t>обе</t>
        </is>
      </c>
      <c r="G360" s="11" t="inlineStr">
        <is>
          <t>М4 · новое</t>
        </is>
      </c>
      <c r="H360" s="9" t="inlineStr"/>
      <c r="I360" s="12" t="inlineStr">
        <is>
          <t>М1 (1a) · повт.</t>
        </is>
      </c>
      <c r="J360" s="9" t="inlineStr"/>
      <c r="K360" s="9" t="inlineStr"/>
      <c r="L360" s="9" t="inlineStr"/>
      <c r="M360" s="9" t="inlineStr"/>
      <c r="N360" s="9" t="inlineStr"/>
      <c r="O360" s="9" t="inlineStr"/>
      <c r="P360" s="13" t="inlineStr">
        <is>
          <t>нет</t>
        </is>
      </c>
      <c r="Q360" s="9" t="inlineStr"/>
      <c r="R360" s="13" t="inlineStr">
        <is>
          <t>нет</t>
        </is>
      </c>
      <c r="S360" s="9" t="inlineStr"/>
      <c r="T360" s="9" t="inlineStr"/>
    </row>
    <row r="361">
      <c r="A361" s="4" t="n">
        <v>360</v>
      </c>
      <c r="B361" s="4" t="inlineStr">
        <is>
          <t>Грамматика</t>
        </is>
      </c>
      <c r="C361" s="4" t="inlineStr">
        <is>
          <t>Существительные и артикли</t>
        </is>
      </c>
      <c r="D361" s="5" t="inlineStr">
        <is>
          <t>a/an/some/any</t>
        </is>
      </c>
      <c r="E361" s="4" t="inlineStr">
        <is>
          <t>a/an/some/any: some — в утверждениях (неисчисляемые и мн. ч.)</t>
        </is>
      </c>
      <c r="F361" s="4" t="inlineStr">
        <is>
          <t>обе</t>
        </is>
      </c>
      <c r="G361" s="6" t="inlineStr">
        <is>
          <t>М3 · новое</t>
        </is>
      </c>
      <c r="H361" s="4" t="inlineStr"/>
      <c r="I361" s="7" t="inlineStr">
        <is>
          <t>М8 (8b) · повт.</t>
        </is>
      </c>
      <c r="J361" s="7" t="inlineStr">
        <is>
          <t>М2 (2b) · повт.</t>
        </is>
      </c>
      <c r="K361" s="7" t="inlineStr">
        <is>
          <t>М9 · повт.</t>
        </is>
      </c>
      <c r="L361" s="4" t="inlineStr"/>
      <c r="M361" s="4" t="inlineStr"/>
      <c r="N361" s="4" t="inlineStr"/>
      <c r="O361" s="4" t="inlineStr"/>
      <c r="P361" s="8" t="inlineStr">
        <is>
          <t>нет</t>
        </is>
      </c>
      <c r="Q361" s="4" t="inlineStr"/>
      <c r="R361" s="8" t="inlineStr">
        <is>
          <t>нет</t>
        </is>
      </c>
      <c r="S361" s="4" t="inlineStr"/>
      <c r="T361" s="4" t="inlineStr"/>
    </row>
    <row r="362">
      <c r="A362" s="9" t="n">
        <v>361</v>
      </c>
      <c r="B362" s="9" t="inlineStr">
        <is>
          <t>Грамматика</t>
        </is>
      </c>
      <c r="C362" s="9" t="inlineStr">
        <is>
          <t>Существительные и артикли</t>
        </is>
      </c>
      <c r="D362" s="10" t="inlineStr">
        <is>
          <t>a/an/some/any</t>
        </is>
      </c>
      <c r="E362" s="9" t="inlineStr">
        <is>
          <t>a/an/some/any: any — в отрицаниях</t>
        </is>
      </c>
      <c r="F362" s="9" t="inlineStr">
        <is>
          <t>обе</t>
        </is>
      </c>
      <c r="G362" s="11" t="inlineStr">
        <is>
          <t>М3 · новое</t>
        </is>
      </c>
      <c r="H362" s="9" t="inlineStr"/>
      <c r="I362" s="12" t="inlineStr">
        <is>
          <t>М8 (8b) · повт.</t>
        </is>
      </c>
      <c r="J362" s="12" t="inlineStr">
        <is>
          <t>М2 (2b) · повт.</t>
        </is>
      </c>
      <c r="K362" s="12" t="inlineStr">
        <is>
          <t>М9 · повт.</t>
        </is>
      </c>
      <c r="L362" s="9" t="inlineStr"/>
      <c r="M362" s="9" t="inlineStr"/>
      <c r="N362" s="9" t="inlineStr"/>
      <c r="O362" s="9" t="inlineStr"/>
      <c r="P362" s="13" t="inlineStr">
        <is>
          <t>нет</t>
        </is>
      </c>
      <c r="Q362" s="9" t="inlineStr"/>
      <c r="R362" s="13" t="inlineStr">
        <is>
          <t>нет</t>
        </is>
      </c>
      <c r="S362" s="9" t="inlineStr"/>
      <c r="T362" s="9" t="inlineStr"/>
    </row>
    <row r="363">
      <c r="A363" s="9" t="n">
        <v>362</v>
      </c>
      <c r="B363" s="9" t="inlineStr">
        <is>
          <t>Грамматика</t>
        </is>
      </c>
      <c r="C363" s="9" t="inlineStr">
        <is>
          <t>Существительные и артикли</t>
        </is>
      </c>
      <c r="D363" s="10" t="inlineStr">
        <is>
          <t>a/an/some/any</t>
        </is>
      </c>
      <c r="E363" s="9" t="inlineStr">
        <is>
          <t>a/an/some/any: any — в вопросах</t>
        </is>
      </c>
      <c r="F363" s="9" t="inlineStr">
        <is>
          <t>обе</t>
        </is>
      </c>
      <c r="G363" s="11" t="inlineStr">
        <is>
          <t>М3 · новое</t>
        </is>
      </c>
      <c r="H363" s="9" t="inlineStr"/>
      <c r="I363" s="12" t="inlineStr">
        <is>
          <t>М8 (8b) · повт.</t>
        </is>
      </c>
      <c r="J363" s="12" t="inlineStr">
        <is>
          <t>М2 (2b) · повт.</t>
        </is>
      </c>
      <c r="K363" s="12" t="inlineStr">
        <is>
          <t>М9 · повт.</t>
        </is>
      </c>
      <c r="L363" s="9" t="inlineStr"/>
      <c r="M363" s="9" t="inlineStr"/>
      <c r="N363" s="9" t="inlineStr"/>
      <c r="O363" s="9" t="inlineStr"/>
      <c r="P363" s="13" t="inlineStr">
        <is>
          <t>нет</t>
        </is>
      </c>
      <c r="Q363" s="9" t="inlineStr"/>
      <c r="R363" s="13" t="inlineStr">
        <is>
          <t>нет</t>
        </is>
      </c>
      <c r="S363" s="9" t="inlineStr"/>
      <c r="T363" s="9" t="inlineStr"/>
    </row>
    <row r="364">
      <c r="A364" s="9" t="n">
        <v>363</v>
      </c>
      <c r="B364" s="9" t="inlineStr">
        <is>
          <t>Грамматика</t>
        </is>
      </c>
      <c r="C364" s="9" t="inlineStr">
        <is>
          <t>Существительные и артикли</t>
        </is>
      </c>
      <c r="D364" s="10" t="inlineStr">
        <is>
          <t>a/an/some/any</t>
        </is>
      </c>
      <c r="E364" s="9" t="inlineStr">
        <is>
          <t>a/an/some/any: some в вопросах — просьба и предложение</t>
        </is>
      </c>
      <c r="F364" s="9" t="inlineStr">
        <is>
          <t>обе</t>
        </is>
      </c>
      <c r="G364" s="11" t="inlineStr">
        <is>
          <t>М3 · новое</t>
        </is>
      </c>
      <c r="H364" s="9" t="inlineStr"/>
      <c r="I364" s="12" t="inlineStr">
        <is>
          <t>М8 (8b) · повт.</t>
        </is>
      </c>
      <c r="J364" s="14" t="inlineStr">
        <is>
          <t>М2 (2b) · расш.</t>
        </is>
      </c>
      <c r="K364" s="12" t="inlineStr">
        <is>
          <t>М9 · повт.</t>
        </is>
      </c>
      <c r="L364" s="9" t="inlineStr"/>
      <c r="M364" s="9" t="inlineStr"/>
      <c r="N364" s="9" t="inlineStr"/>
      <c r="O364" s="9" t="inlineStr"/>
      <c r="P364" s="13" t="inlineStr">
        <is>
          <t>нет</t>
        </is>
      </c>
      <c r="Q364" s="9" t="inlineStr"/>
      <c r="R364" s="13" t="inlineStr">
        <is>
          <t>нет</t>
        </is>
      </c>
      <c r="S364" s="9" t="inlineStr"/>
      <c r="T364" s="9" t="inlineStr"/>
    </row>
    <row r="365">
      <c r="A365" s="9" t="n">
        <v>364</v>
      </c>
      <c r="B365" s="9" t="inlineStr">
        <is>
          <t>Грамматика</t>
        </is>
      </c>
      <c r="C365" s="9" t="inlineStr">
        <is>
          <t>Существительные и артикли</t>
        </is>
      </c>
      <c r="D365" s="10" t="inlineStr">
        <is>
          <t>a/an/some/any</t>
        </is>
      </c>
      <c r="E365" s="9" t="inlineStr">
        <is>
          <t>a/an/some/any: a/an vs some/any — исчисляемые ед. ч. во всех типах предложений</t>
        </is>
      </c>
      <c r="F365" s="9" t="inlineStr">
        <is>
          <t>10+</t>
        </is>
      </c>
      <c r="G365" s="9" t="inlineStr"/>
      <c r="H365" s="9" t="inlineStr"/>
      <c r="I365" s="15" t="inlineStr">
        <is>
          <t>М8 (8b) · новое</t>
        </is>
      </c>
      <c r="J365" s="9" t="inlineStr"/>
      <c r="K365" s="12" t="inlineStr">
        <is>
          <t>М9 · повт.</t>
        </is>
      </c>
      <c r="L365" s="9" t="inlineStr"/>
      <c r="M365" s="9" t="inlineStr"/>
      <c r="N365" s="9" t="inlineStr"/>
      <c r="O365" s="9" t="inlineStr"/>
      <c r="P365" s="16" t="inlineStr">
        <is>
          <t>—</t>
        </is>
      </c>
      <c r="Q365" s="17" t="inlineStr"/>
      <c r="R365" s="13" t="inlineStr">
        <is>
          <t>нет</t>
        </is>
      </c>
      <c r="S365" s="9" t="inlineStr"/>
      <c r="T365" s="9" t="inlineStr"/>
    </row>
    <row r="366">
      <c r="A366" s="9" t="n">
        <v>365</v>
      </c>
      <c r="B366" s="9" t="inlineStr">
        <is>
          <t>Грамматика</t>
        </is>
      </c>
      <c r="C366" s="9" t="inlineStr">
        <is>
          <t>Существительные и артикли</t>
        </is>
      </c>
      <c r="D366" s="10" t="inlineStr">
        <is>
          <t>a/an/some/any</t>
        </is>
      </c>
      <c r="E366" s="9" t="inlineStr">
        <is>
          <t>a/an/some/any: перевод some — «несколько» / «немного» / не переводится</t>
        </is>
      </c>
      <c r="F366" s="9" t="inlineStr">
        <is>
          <t>10+</t>
        </is>
      </c>
      <c r="G366" s="9" t="inlineStr"/>
      <c r="H366" s="9" t="inlineStr"/>
      <c r="I366" s="15" t="inlineStr">
        <is>
          <t>М8 (8b) · новое</t>
        </is>
      </c>
      <c r="J366" s="12" t="inlineStr">
        <is>
          <t>М2 (2b) · повт.</t>
        </is>
      </c>
      <c r="K366" s="9" t="inlineStr"/>
      <c r="L366" s="9" t="inlineStr"/>
      <c r="M366" s="9" t="inlineStr"/>
      <c r="N366" s="9" t="inlineStr"/>
      <c r="O366" s="9" t="inlineStr"/>
      <c r="P366" s="16" t="inlineStr">
        <is>
          <t>—</t>
        </is>
      </c>
      <c r="Q366" s="17" t="inlineStr"/>
      <c r="R366" s="13" t="inlineStr">
        <is>
          <t>нет</t>
        </is>
      </c>
      <c r="S366" s="9" t="inlineStr"/>
      <c r="T366" s="9" t="inlineStr"/>
    </row>
    <row r="367">
      <c r="A367" s="4" t="n">
        <v>366</v>
      </c>
      <c r="B367" s="4" t="inlineStr">
        <is>
          <t>Грамматика</t>
        </is>
      </c>
      <c r="C367" s="4" t="inlineStr">
        <is>
          <t>Существительные и артикли</t>
        </is>
      </c>
      <c r="D367" s="5" t="inlineStr">
        <is>
          <t>much/many/a lot of</t>
        </is>
      </c>
      <c r="E367" s="4" t="inlineStr">
        <is>
          <t>much/many/a lot of: a lot of / lots of — в утверждениях (исчисляемые и неисчисляемые)</t>
        </is>
      </c>
      <c r="F367" s="4" t="inlineStr">
        <is>
          <t>10+</t>
        </is>
      </c>
      <c r="G367" s="4" t="inlineStr"/>
      <c r="H367" s="18" t="inlineStr">
        <is>
          <t>М3 · новое</t>
        </is>
      </c>
      <c r="I367" s="7" t="inlineStr">
        <is>
          <t>М8 (8b) · повт.</t>
        </is>
      </c>
      <c r="J367" s="21" t="inlineStr">
        <is>
          <t>М9 (9a) · расш.</t>
        </is>
      </c>
      <c r="K367" s="7" t="inlineStr">
        <is>
          <t>М9 · повт.</t>
        </is>
      </c>
      <c r="L367" s="4" t="inlineStr"/>
      <c r="M367" s="4" t="inlineStr"/>
      <c r="N367" s="7" t="inlineStr">
        <is>
          <t>М5 (5c) · повт.</t>
        </is>
      </c>
      <c r="O367" s="7" t="inlineStr">
        <is>
          <t>М8 (8c) · повт.</t>
        </is>
      </c>
      <c r="P367" s="19" t="inlineStr">
        <is>
          <t>—</t>
        </is>
      </c>
      <c r="Q367" s="20" t="inlineStr"/>
      <c r="R367" s="8" t="inlineStr">
        <is>
          <t>нет</t>
        </is>
      </c>
      <c r="S367" s="4" t="inlineStr"/>
      <c r="T367" s="4" t="inlineStr"/>
    </row>
    <row r="368">
      <c r="A368" s="9" t="n">
        <v>367</v>
      </c>
      <c r="B368" s="9" t="inlineStr">
        <is>
          <t>Грамматика</t>
        </is>
      </c>
      <c r="C368" s="9" t="inlineStr">
        <is>
          <t>Существительные и артикли</t>
        </is>
      </c>
      <c r="D368" s="10" t="inlineStr">
        <is>
          <t>much/many/a lot of</t>
        </is>
      </c>
      <c r="E368" s="9" t="inlineStr">
        <is>
          <t>much/many/a lot of: much/many — отрицание</t>
        </is>
      </c>
      <c r="F368" s="9" t="inlineStr">
        <is>
          <t>10+</t>
        </is>
      </c>
      <c r="G368" s="9" t="inlineStr"/>
      <c r="H368" s="15" t="inlineStr">
        <is>
          <t>М3 · новое</t>
        </is>
      </c>
      <c r="I368" s="12" t="inlineStr">
        <is>
          <t>М8 (8b) · повт.</t>
        </is>
      </c>
      <c r="J368" s="12" t="inlineStr">
        <is>
          <t>М9 (9a) · повт.</t>
        </is>
      </c>
      <c r="K368" s="12" t="inlineStr">
        <is>
          <t>М9 · повт.</t>
        </is>
      </c>
      <c r="L368" s="9" t="inlineStr"/>
      <c r="M368" s="9" t="inlineStr"/>
      <c r="N368" s="12" t="inlineStr">
        <is>
          <t>М5 (5c) · повт.</t>
        </is>
      </c>
      <c r="O368" s="12" t="inlineStr">
        <is>
          <t>М8 (8c) · повт.</t>
        </is>
      </c>
      <c r="P368" s="16" t="inlineStr">
        <is>
          <t>—</t>
        </is>
      </c>
      <c r="Q368" s="17" t="inlineStr"/>
      <c r="R368" s="13" t="inlineStr">
        <is>
          <t>нет</t>
        </is>
      </c>
      <c r="S368" s="9" t="inlineStr"/>
      <c r="T368" s="9" t="inlineStr"/>
    </row>
    <row r="369">
      <c r="A369" s="9" t="n">
        <v>368</v>
      </c>
      <c r="B369" s="9" t="inlineStr">
        <is>
          <t>Грамматика</t>
        </is>
      </c>
      <c r="C369" s="9" t="inlineStr">
        <is>
          <t>Существительные и артикли</t>
        </is>
      </c>
      <c r="D369" s="10" t="inlineStr">
        <is>
          <t>much/many/a lot of</t>
        </is>
      </c>
      <c r="E369" s="9" t="inlineStr">
        <is>
          <t>much/many/a lot of: much/many — вопросы</t>
        </is>
      </c>
      <c r="F369" s="9" t="inlineStr">
        <is>
          <t>10+</t>
        </is>
      </c>
      <c r="G369" s="9" t="inlineStr"/>
      <c r="H369" s="15" t="inlineStr">
        <is>
          <t>М3 · новое</t>
        </is>
      </c>
      <c r="I369" s="12" t="inlineStr">
        <is>
          <t>М8 (8b) · повт.</t>
        </is>
      </c>
      <c r="J369" s="12" t="inlineStr">
        <is>
          <t>М9 (9a) · повт.</t>
        </is>
      </c>
      <c r="K369" s="12" t="inlineStr">
        <is>
          <t>М9 · повт.</t>
        </is>
      </c>
      <c r="L369" s="9" t="inlineStr"/>
      <c r="M369" s="9" t="inlineStr"/>
      <c r="N369" s="12" t="inlineStr">
        <is>
          <t>М5 (5c) · повт.</t>
        </is>
      </c>
      <c r="O369" s="12" t="inlineStr">
        <is>
          <t>М8 (8c) · повт.</t>
        </is>
      </c>
      <c r="P369" s="16" t="inlineStr">
        <is>
          <t>—</t>
        </is>
      </c>
      <c r="Q369" s="17" t="inlineStr"/>
      <c r="R369" s="13" t="inlineStr">
        <is>
          <t>нет</t>
        </is>
      </c>
      <c r="S369" s="9" t="inlineStr"/>
      <c r="T369" s="9" t="inlineStr"/>
    </row>
    <row r="370">
      <c r="A370" s="9" t="n">
        <v>369</v>
      </c>
      <c r="B370" s="9" t="inlineStr">
        <is>
          <t>Грамматика</t>
        </is>
      </c>
      <c r="C370" s="9" t="inlineStr">
        <is>
          <t>Существительные и артикли</t>
        </is>
      </c>
      <c r="D370" s="10" t="inlineStr">
        <is>
          <t>much/many/a lot of</t>
        </is>
      </c>
      <c r="E370" s="9" t="inlineStr">
        <is>
          <t>much/many/a lot of: How much? / How many?</t>
        </is>
      </c>
      <c r="F370" s="9" t="inlineStr">
        <is>
          <t>10+</t>
        </is>
      </c>
      <c r="G370" s="9" t="inlineStr"/>
      <c r="H370" s="15" t="inlineStr">
        <is>
          <t>М3 · новое</t>
        </is>
      </c>
      <c r="I370" s="12" t="inlineStr">
        <is>
          <t>М8 (8b) · повт.</t>
        </is>
      </c>
      <c r="J370" s="12" t="inlineStr">
        <is>
          <t>М9 (9a) · повт.</t>
        </is>
      </c>
      <c r="K370" s="9" t="inlineStr"/>
      <c r="L370" s="9" t="inlineStr"/>
      <c r="M370" s="9" t="inlineStr"/>
      <c r="N370" s="9" t="inlineStr"/>
      <c r="O370" s="9" t="inlineStr"/>
      <c r="P370" s="16" t="inlineStr">
        <is>
          <t>—</t>
        </is>
      </c>
      <c r="Q370" s="17" t="inlineStr"/>
      <c r="R370" s="13" t="inlineStr">
        <is>
          <t>нет</t>
        </is>
      </c>
      <c r="S370" s="9" t="inlineStr"/>
      <c r="T370" s="9" t="inlineStr"/>
    </row>
    <row r="371">
      <c r="A371" s="9" t="n">
        <v>370</v>
      </c>
      <c r="B371" s="9" t="inlineStr">
        <is>
          <t>Грамматика</t>
        </is>
      </c>
      <c r="C371" s="9" t="inlineStr">
        <is>
          <t>Существительные и артикли</t>
        </is>
      </c>
      <c r="D371" s="10" t="inlineStr">
        <is>
          <t>much/many/a lot of</t>
        </is>
      </c>
      <c r="E371" s="9" t="inlineStr">
        <is>
          <t>much/many/a lot of: краткие ответы и a lot / lots без существительного</t>
        </is>
      </c>
      <c r="F371" s="9" t="inlineStr">
        <is>
          <t>10+</t>
        </is>
      </c>
      <c r="G371" s="9" t="inlineStr"/>
      <c r="H371" s="15" t="inlineStr">
        <is>
          <t>М3 · новое</t>
        </is>
      </c>
      <c r="I371" s="9" t="inlineStr"/>
      <c r="J371" s="9" t="inlineStr"/>
      <c r="K371" s="14" t="inlineStr">
        <is>
          <t>М9 · расш.</t>
        </is>
      </c>
      <c r="L371" s="9" t="inlineStr"/>
      <c r="M371" s="9" t="inlineStr"/>
      <c r="N371" s="12" t="inlineStr">
        <is>
          <t>М5 (5c) · повт.</t>
        </is>
      </c>
      <c r="O371" s="12" t="inlineStr">
        <is>
          <t>М8 (8c) · повт.</t>
        </is>
      </c>
      <c r="P371" s="16" t="inlineStr">
        <is>
          <t>—</t>
        </is>
      </c>
      <c r="Q371" s="17" t="inlineStr"/>
      <c r="R371" s="13" t="inlineStr">
        <is>
          <t>нет</t>
        </is>
      </c>
      <c r="S371" s="9" t="inlineStr"/>
      <c r="T371" s="9" t="inlineStr"/>
    </row>
    <row r="372">
      <c r="A372" s="4" t="n">
        <v>371</v>
      </c>
      <c r="B372" s="4" t="inlineStr">
        <is>
          <t>Грамматика</t>
        </is>
      </c>
      <c r="C372" s="4" t="inlineStr">
        <is>
          <t>Существительные и артикли</t>
        </is>
      </c>
      <c r="D372" s="5" t="inlineStr">
        <is>
          <t>Articles (a/an/the/zero)</t>
        </is>
      </c>
      <c r="E372" s="4" t="inlineStr">
        <is>
          <t>Articles: a/an — первое упоминание, значение «один»</t>
        </is>
      </c>
      <c r="F372" s="4" t="inlineStr">
        <is>
          <t>10+</t>
        </is>
      </c>
      <c r="G372" s="4" t="inlineStr"/>
      <c r="H372" s="4" t="inlineStr"/>
      <c r="I372" s="18" t="inlineStr">
        <is>
          <t>М9 (9a) · новое</t>
        </is>
      </c>
      <c r="J372" s="4" t="inlineStr"/>
      <c r="K372" s="4" t="inlineStr"/>
      <c r="L372" s="7" t="inlineStr">
        <is>
          <t>М2 (2b) · повт.</t>
        </is>
      </c>
      <c r="M372" s="4" t="inlineStr"/>
      <c r="N372" s="7" t="inlineStr">
        <is>
          <t>М5 (5c) · повт.</t>
        </is>
      </c>
      <c r="O372" s="4" t="inlineStr"/>
      <c r="P372" s="19" t="inlineStr">
        <is>
          <t>—</t>
        </is>
      </c>
      <c r="Q372" s="20" t="inlineStr"/>
      <c r="R372" s="8" t="inlineStr">
        <is>
          <t>нет</t>
        </is>
      </c>
      <c r="S372" s="4" t="inlineStr"/>
      <c r="T372" s="4" t="inlineStr"/>
    </row>
    <row r="373">
      <c r="A373" s="9" t="n">
        <v>372</v>
      </c>
      <c r="B373" s="9" t="inlineStr">
        <is>
          <t>Грамматика</t>
        </is>
      </c>
      <c r="C373" s="9" t="inlineStr">
        <is>
          <t>Существительные и артикли</t>
        </is>
      </c>
      <c r="D373" s="10" t="inlineStr">
        <is>
          <t>Articles (a/an/the/zero)</t>
        </is>
      </c>
      <c r="E373" s="9" t="inlineStr">
        <is>
          <t>Articles: the — известный, упомянутый ранее предмет</t>
        </is>
      </c>
      <c r="F373" s="9" t="inlineStr">
        <is>
          <t>10+</t>
        </is>
      </c>
      <c r="G373" s="9" t="inlineStr"/>
      <c r="H373" s="9" t="inlineStr"/>
      <c r="I373" s="15" t="inlineStr">
        <is>
          <t>М9 (9a) · новое</t>
        </is>
      </c>
      <c r="J373" s="9" t="inlineStr"/>
      <c r="K373" s="9" t="inlineStr"/>
      <c r="L373" s="14" t="inlineStr">
        <is>
          <t>М2 (2b) · расш.</t>
        </is>
      </c>
      <c r="M373" s="9" t="inlineStr"/>
      <c r="N373" s="12" t="inlineStr">
        <is>
          <t>М5 (5c) · повт.</t>
        </is>
      </c>
      <c r="O373" s="9" t="inlineStr"/>
      <c r="P373" s="16" t="inlineStr">
        <is>
          <t>—</t>
        </is>
      </c>
      <c r="Q373" s="17" t="inlineStr"/>
      <c r="R373" s="13" t="inlineStr">
        <is>
          <t>нет</t>
        </is>
      </c>
      <c r="S373" s="9" t="inlineStr"/>
      <c r="T373" s="9" t="inlineStr"/>
    </row>
    <row r="374">
      <c r="A374" s="9" t="n">
        <v>373</v>
      </c>
      <c r="B374" s="9" t="inlineStr">
        <is>
          <t>Грамматика</t>
        </is>
      </c>
      <c r="C374" s="9" t="inlineStr">
        <is>
          <t>Существительные и артикли</t>
        </is>
      </c>
      <c r="D374" s="10" t="inlineStr">
        <is>
          <t>Articles (a/an/the/zero)</t>
        </is>
      </c>
      <c r="E374" s="9" t="inlineStr">
        <is>
          <t>Articles: нулевой артикль — мн. ч. и неисчисляемые в общем значении</t>
        </is>
      </c>
      <c r="F374" s="9" t="inlineStr">
        <is>
          <t>10+</t>
        </is>
      </c>
      <c r="G374" s="9" t="inlineStr"/>
      <c r="H374" s="9" t="inlineStr"/>
      <c r="I374" s="15" t="inlineStr">
        <is>
          <t>М9 (9a) · новое</t>
        </is>
      </c>
      <c r="J374" s="9" t="inlineStr"/>
      <c r="K374" s="9" t="inlineStr"/>
      <c r="L374" s="12" t="inlineStr">
        <is>
          <t>М2 (2b) · повт.</t>
        </is>
      </c>
      <c r="M374" s="9" t="inlineStr"/>
      <c r="N374" s="12" t="inlineStr">
        <is>
          <t>М5 (5c) · повт.</t>
        </is>
      </c>
      <c r="O374" s="9" t="inlineStr"/>
      <c r="P374" s="16" t="inlineStr">
        <is>
          <t>—</t>
        </is>
      </c>
      <c r="Q374" s="17" t="inlineStr"/>
      <c r="R374" s="13" t="inlineStr">
        <is>
          <t>нет</t>
        </is>
      </c>
      <c r="S374" s="9" t="inlineStr"/>
      <c r="T374" s="9" t="inlineStr"/>
    </row>
    <row r="375">
      <c r="A375" s="9" t="n">
        <v>374</v>
      </c>
      <c r="B375" s="9" t="inlineStr">
        <is>
          <t>Грамматика</t>
        </is>
      </c>
      <c r="C375" s="9" t="inlineStr">
        <is>
          <t>Существительные и артикли</t>
        </is>
      </c>
      <c r="D375" s="10" t="inlineStr">
        <is>
          <t>Articles (a/an/the/zero)</t>
        </is>
      </c>
      <c r="E375" s="9" t="inlineStr">
        <is>
          <t>Articles: нулевой артикль — при другом определителе (my, this, some, числительное, 's)</t>
        </is>
      </c>
      <c r="F375" s="9" t="inlineStr">
        <is>
          <t>10+</t>
        </is>
      </c>
      <c r="G375" s="9" t="inlineStr"/>
      <c r="H375" s="9" t="inlineStr"/>
      <c r="I375" s="15" t="inlineStr">
        <is>
          <t>М9 (9a) · новое</t>
        </is>
      </c>
      <c r="J375" s="9" t="inlineStr"/>
      <c r="K375" s="9" t="inlineStr"/>
      <c r="L375" s="9" t="inlineStr"/>
      <c r="M375" s="9" t="inlineStr"/>
      <c r="N375" s="9" t="inlineStr"/>
      <c r="O375" s="9" t="inlineStr"/>
      <c r="P375" s="16" t="inlineStr">
        <is>
          <t>—</t>
        </is>
      </c>
      <c r="Q375" s="17" t="inlineStr"/>
      <c r="R375" s="13" t="inlineStr">
        <is>
          <t>нет</t>
        </is>
      </c>
      <c r="S375" s="9" t="inlineStr"/>
      <c r="T375" s="9" t="inlineStr"/>
    </row>
    <row r="376">
      <c r="A376" s="9" t="n">
        <v>375</v>
      </c>
      <c r="B376" s="9" t="inlineStr">
        <is>
          <t>Грамматика</t>
        </is>
      </c>
      <c r="C376" s="9" t="inlineStr">
        <is>
          <t>Существительные и артикли</t>
        </is>
      </c>
      <c r="D376" s="10" t="inlineStr">
        <is>
          <t>Articles (a/an/the/zero)</t>
        </is>
      </c>
      <c r="E376" s="9" t="inlineStr">
        <is>
          <t>Articles: a/an = per; деньги, дроби, меры, частота, скорость</t>
        </is>
      </c>
      <c r="F376" s="9" t="inlineStr">
        <is>
          <t>10+</t>
        </is>
      </c>
      <c r="G376" s="9" t="inlineStr"/>
      <c r="H376" s="9" t="inlineStr"/>
      <c r="I376" s="9" t="inlineStr"/>
      <c r="J376" s="9" t="inlineStr"/>
      <c r="K376" s="9" t="inlineStr"/>
      <c r="L376" s="15" t="inlineStr">
        <is>
          <t>М2 (2b) · новое</t>
        </is>
      </c>
      <c r="M376" s="9" t="inlineStr"/>
      <c r="N376" s="12" t="inlineStr">
        <is>
          <t>М5 (5c) · повт.</t>
        </is>
      </c>
      <c r="O376" s="9" t="inlineStr"/>
      <c r="P376" s="16" t="inlineStr">
        <is>
          <t>—</t>
        </is>
      </c>
      <c r="Q376" s="17" t="inlineStr"/>
      <c r="R376" s="13" t="inlineStr">
        <is>
          <t>нет</t>
        </is>
      </c>
      <c r="S376" s="9" t="inlineStr"/>
      <c r="T376" s="9" t="inlineStr"/>
    </row>
    <row r="377">
      <c r="A377" s="9" t="n">
        <v>376</v>
      </c>
      <c r="B377" s="9" t="inlineStr">
        <is>
          <t>Грамматика</t>
        </is>
      </c>
      <c r="C377" s="9" t="inlineStr">
        <is>
          <t>Существительные и артикли</t>
        </is>
      </c>
      <c r="D377" s="10" t="inlineStr">
        <is>
          <t>Articles (a/an/the/zero)</t>
        </is>
      </c>
      <c r="E377" s="9" t="inlineStr">
        <is>
          <t>Articles: a/an с болезнями (a cold, но flu)</t>
        </is>
      </c>
      <c r="F377" s="9" t="inlineStr">
        <is>
          <t>10+</t>
        </is>
      </c>
      <c r="G377" s="9" t="inlineStr"/>
      <c r="H377" s="9" t="inlineStr"/>
      <c r="I377" s="9" t="inlineStr"/>
      <c r="J377" s="9" t="inlineStr"/>
      <c r="K377" s="9" t="inlineStr"/>
      <c r="L377" s="15" t="inlineStr">
        <is>
          <t>М2 (2b) · новое</t>
        </is>
      </c>
      <c r="M377" s="9" t="inlineStr"/>
      <c r="N377" s="12" t="inlineStr">
        <is>
          <t>М5 (5c) · повт.</t>
        </is>
      </c>
      <c r="O377" s="9" t="inlineStr"/>
      <c r="P377" s="16" t="inlineStr">
        <is>
          <t>—</t>
        </is>
      </c>
      <c r="Q377" s="17" t="inlineStr"/>
      <c r="R377" s="13" t="inlineStr">
        <is>
          <t>нет</t>
        </is>
      </c>
      <c r="S377" s="9" t="inlineStr"/>
      <c r="T377" s="9" t="inlineStr"/>
    </row>
    <row r="378">
      <c r="A378" s="9" t="n">
        <v>377</v>
      </c>
      <c r="B378" s="9" t="inlineStr">
        <is>
          <t>Грамматика</t>
        </is>
      </c>
      <c r="C378" s="9" t="inlineStr">
        <is>
          <t>Существительные и артикли</t>
        </is>
      </c>
      <c r="D378" s="10" t="inlineStr">
        <is>
          <t>Articles (a/an/the/zero)</t>
        </is>
      </c>
      <c r="E378" s="9" t="inlineStr">
        <is>
          <t>Articles: a/the + ед. ч. — обобщение группы</t>
        </is>
      </c>
      <c r="F378" s="9" t="inlineStr">
        <is>
          <t>10+</t>
        </is>
      </c>
      <c r="G378" s="9" t="inlineStr"/>
      <c r="H378" s="9" t="inlineStr"/>
      <c r="I378" s="9" t="inlineStr"/>
      <c r="J378" s="9" t="inlineStr"/>
      <c r="K378" s="9" t="inlineStr"/>
      <c r="L378" s="9" t="inlineStr"/>
      <c r="M378" s="9" t="inlineStr"/>
      <c r="N378" s="15" t="inlineStr">
        <is>
          <t>М5 (5c) · новое</t>
        </is>
      </c>
      <c r="O378" s="9" t="inlineStr"/>
      <c r="P378" s="16" t="inlineStr">
        <is>
          <t>—</t>
        </is>
      </c>
      <c r="Q378" s="17" t="inlineStr"/>
      <c r="R378" s="13" t="inlineStr">
        <is>
          <t>нет</t>
        </is>
      </c>
      <c r="S378" s="9" t="inlineStr"/>
      <c r="T378" s="9" t="inlineStr"/>
    </row>
    <row r="379">
      <c r="A379" s="9" t="n">
        <v>378</v>
      </c>
      <c r="B379" s="9" t="inlineStr">
        <is>
          <t>Грамматика</t>
        </is>
      </c>
      <c r="C379" s="9" t="inlineStr">
        <is>
          <t>Существительные и артикли</t>
        </is>
      </c>
      <c r="D379" s="10" t="inlineStr">
        <is>
          <t>Articles (a/an/the/zero)</t>
        </is>
      </c>
      <c r="E379" s="9" t="inlineStr">
        <is>
          <t>Articles: the — уникальные объекты, музыкальные инструменты, исторические события</t>
        </is>
      </c>
      <c r="F379" s="9" t="inlineStr">
        <is>
          <t>10+</t>
        </is>
      </c>
      <c r="G379" s="9" t="inlineStr"/>
      <c r="H379" s="9" t="inlineStr"/>
      <c r="I379" s="9" t="inlineStr"/>
      <c r="J379" s="9" t="inlineStr"/>
      <c r="K379" s="9" t="inlineStr"/>
      <c r="L379" s="15" t="inlineStr">
        <is>
          <t>М2 (2b) · новое</t>
        </is>
      </c>
      <c r="M379" s="9" t="inlineStr"/>
      <c r="N379" s="12" t="inlineStr">
        <is>
          <t>М5 (5c) · повт.</t>
        </is>
      </c>
      <c r="O379" s="9" t="inlineStr"/>
      <c r="P379" s="16" t="inlineStr">
        <is>
          <t>—</t>
        </is>
      </c>
      <c r="Q379" s="17" t="inlineStr"/>
      <c r="R379" s="13" t="inlineStr">
        <is>
          <t>нет</t>
        </is>
      </c>
      <c r="S379" s="9" t="inlineStr"/>
      <c r="T379" s="9" t="inlineStr"/>
    </row>
    <row r="380">
      <c r="A380" s="9" t="n">
        <v>379</v>
      </c>
      <c r="B380" s="9" t="inlineStr">
        <is>
          <t>Грамматика</t>
        </is>
      </c>
      <c r="C380" s="9" t="inlineStr">
        <is>
          <t>Существительные и артикли</t>
        </is>
      </c>
      <c r="D380" s="10" t="inlineStr">
        <is>
          <t>Articles (a/an/the/zero)</t>
        </is>
      </c>
      <c r="E380" s="9" t="inlineStr">
        <is>
          <t>Articles: the и нулевой — географические названия</t>
        </is>
      </c>
      <c r="F380" s="9" t="inlineStr">
        <is>
          <t>10+</t>
        </is>
      </c>
      <c r="G380" s="9" t="inlineStr"/>
      <c r="H380" s="9" t="inlineStr"/>
      <c r="I380" s="9" t="inlineStr"/>
      <c r="J380" s="9" t="inlineStr"/>
      <c r="K380" s="9" t="inlineStr"/>
      <c r="L380" s="15" t="inlineStr">
        <is>
          <t>М2 (2b) · новое</t>
        </is>
      </c>
      <c r="M380" s="9" t="inlineStr"/>
      <c r="N380" s="12" t="inlineStr">
        <is>
          <t>М5 (5c) · повт.</t>
        </is>
      </c>
      <c r="O380" s="9" t="inlineStr"/>
      <c r="P380" s="16" t="inlineStr">
        <is>
          <t>—</t>
        </is>
      </c>
      <c r="Q380" s="17" t="inlineStr"/>
      <c r="R380" s="13" t="inlineStr">
        <is>
          <t>нет</t>
        </is>
      </c>
      <c r="S380" s="9" t="inlineStr"/>
      <c r="T380" s="9" t="inlineStr"/>
    </row>
    <row r="381">
      <c r="A381" s="9" t="n">
        <v>380</v>
      </c>
      <c r="B381" s="9" t="inlineStr">
        <is>
          <t>Грамматика</t>
        </is>
      </c>
      <c r="C381" s="9" t="inlineStr">
        <is>
          <t>Существительные и артикли</t>
        </is>
      </c>
      <c r="D381" s="10" t="inlineStr">
        <is>
          <t>Articles (a/an/the/zero)</t>
        </is>
      </c>
      <c r="E381" s="9" t="inlineStr">
        <is>
          <t>Articles: the и нулевой — театры, отели, музеи, газеты; названия с именем (Victoria Station, Harrods)</t>
        </is>
      </c>
      <c r="F381" s="9" t="inlineStr">
        <is>
          <t>10+</t>
        </is>
      </c>
      <c r="G381" s="9" t="inlineStr"/>
      <c r="H381" s="9" t="inlineStr"/>
      <c r="I381" s="9" t="inlineStr"/>
      <c r="J381" s="9" t="inlineStr"/>
      <c r="K381" s="9" t="inlineStr"/>
      <c r="L381" s="15" t="inlineStr">
        <is>
          <t>М2 (2b) · новое</t>
        </is>
      </c>
      <c r="M381" s="9" t="inlineStr"/>
      <c r="N381" s="12" t="inlineStr">
        <is>
          <t>М5 (5c) · повт.</t>
        </is>
      </c>
      <c r="O381" s="9" t="inlineStr"/>
      <c r="P381" s="16" t="inlineStr">
        <is>
          <t>—</t>
        </is>
      </c>
      <c r="Q381" s="17" t="inlineStr"/>
      <c r="R381" s="13" t="inlineStr">
        <is>
          <t>нет</t>
        </is>
      </c>
      <c r="S381" s="9" t="inlineStr"/>
      <c r="T381" s="9" t="inlineStr"/>
    </row>
    <row r="382">
      <c r="A382" s="9" t="n">
        <v>381</v>
      </c>
      <c r="B382" s="9" t="inlineStr">
        <is>
          <t>Грамматика</t>
        </is>
      </c>
      <c r="C382" s="9" t="inlineStr">
        <is>
          <t>Существительные и артикли</t>
        </is>
      </c>
      <c r="D382" s="10" t="inlineStr">
        <is>
          <t>Articles (a/an/the/zero)</t>
        </is>
      </c>
      <c r="E382" s="9" t="inlineStr">
        <is>
          <t>Articles: the — люди: фамилии, титулы, the + прилагательное (the rich)</t>
        </is>
      </c>
      <c r="F382" s="9" t="inlineStr">
        <is>
          <t>10+</t>
        </is>
      </c>
      <c r="G382" s="9" t="inlineStr"/>
      <c r="H382" s="9" t="inlineStr"/>
      <c r="I382" s="9" t="inlineStr"/>
      <c r="J382" s="9" t="inlineStr"/>
      <c r="K382" s="9" t="inlineStr"/>
      <c r="L382" s="15" t="inlineStr">
        <is>
          <t>М2 (2b) · новое</t>
        </is>
      </c>
      <c r="M382" s="9" t="inlineStr"/>
      <c r="N382" s="12" t="inlineStr">
        <is>
          <t>М5 (5c) · повт.</t>
        </is>
      </c>
      <c r="O382" s="9" t="inlineStr"/>
      <c r="P382" s="16" t="inlineStr">
        <is>
          <t>—</t>
        </is>
      </c>
      <c r="Q382" s="17" t="inlineStr"/>
      <c r="R382" s="13" t="inlineStr">
        <is>
          <t>нет</t>
        </is>
      </c>
      <c r="S382" s="9" t="inlineStr"/>
      <c r="T382" s="9" t="inlineStr"/>
    </row>
    <row r="383">
      <c r="A383" s="9" t="n">
        <v>382</v>
      </c>
      <c r="B383" s="9" t="inlineStr">
        <is>
          <t>Грамматика</t>
        </is>
      </c>
      <c r="C383" s="9" t="inlineStr">
        <is>
          <t>Существительные и артикли</t>
        </is>
      </c>
      <c r="D383" s="10" t="inlineStr">
        <is>
          <t>Articles (a/an/the/zero)</t>
        </is>
      </c>
      <c r="E383" s="9" t="inlineStr">
        <is>
          <t>Articles: нулевой артикль — имена, спорт, дни, месяцы, праздники, цвета, напитки, еда, языки</t>
        </is>
      </c>
      <c r="F383" s="9" t="inlineStr">
        <is>
          <t>10+</t>
        </is>
      </c>
      <c r="G383" s="9" t="inlineStr"/>
      <c r="H383" s="9" t="inlineStr"/>
      <c r="I383" s="9" t="inlineStr"/>
      <c r="J383" s="9" t="inlineStr"/>
      <c r="K383" s="9" t="inlineStr"/>
      <c r="L383" s="15" t="inlineStr">
        <is>
          <t>М2 (2b) · новое</t>
        </is>
      </c>
      <c r="M383" s="9" t="inlineStr"/>
      <c r="N383" s="12" t="inlineStr">
        <is>
          <t>М5 (5c) · повт.</t>
        </is>
      </c>
      <c r="O383" s="9" t="inlineStr"/>
      <c r="P383" s="16" t="inlineStr">
        <is>
          <t>—</t>
        </is>
      </c>
      <c r="Q383" s="17" t="inlineStr"/>
      <c r="R383" s="13" t="inlineStr">
        <is>
          <t>нет</t>
        </is>
      </c>
      <c r="S383" s="9" t="inlineStr"/>
      <c r="T383" s="9" t="inlineStr"/>
    </row>
    <row r="384">
      <c r="A384" s="9" t="n">
        <v>383</v>
      </c>
      <c r="B384" s="9" t="inlineStr">
        <is>
          <t>Грамматика</t>
        </is>
      </c>
      <c r="C384" s="9" t="inlineStr">
        <is>
          <t>Существительные и артикли</t>
        </is>
      </c>
      <c r="D384" s="10" t="inlineStr">
        <is>
          <t>Articles (a/an/the/zero)</t>
        </is>
      </c>
      <c r="E384" s="9" t="inlineStr">
        <is>
          <t>Articles: нулевой артикль — school, hospital, church, bed по назначению</t>
        </is>
      </c>
      <c r="F384" s="9" t="inlineStr">
        <is>
          <t>10+</t>
        </is>
      </c>
      <c r="G384" s="9" t="inlineStr"/>
      <c r="H384" s="9" t="inlineStr"/>
      <c r="I384" s="9" t="inlineStr"/>
      <c r="J384" s="9" t="inlineStr"/>
      <c r="K384" s="9" t="inlineStr"/>
      <c r="L384" s="15" t="inlineStr">
        <is>
          <t>М2 (2b) · новое</t>
        </is>
      </c>
      <c r="M384" s="9" t="inlineStr"/>
      <c r="N384" s="12" t="inlineStr">
        <is>
          <t>М5 (5c) · повт.</t>
        </is>
      </c>
      <c r="O384" s="9" t="inlineStr"/>
      <c r="P384" s="16" t="inlineStr">
        <is>
          <t>—</t>
        </is>
      </c>
      <c r="Q384" s="17" t="inlineStr"/>
      <c r="R384" s="13" t="inlineStr">
        <is>
          <t>нет</t>
        </is>
      </c>
      <c r="S384" s="9" t="inlineStr"/>
      <c r="T384" s="9" t="inlineStr"/>
    </row>
    <row r="385">
      <c r="A385" s="4" t="n">
        <v>384</v>
      </c>
      <c r="B385" s="4" t="inlineStr">
        <is>
          <t>Грамматика</t>
        </is>
      </c>
      <c r="C385" s="4" t="inlineStr">
        <is>
          <t>Существительные и артикли</t>
        </is>
      </c>
      <c r="D385" s="5" t="inlineStr">
        <is>
          <t>a few/a little</t>
        </is>
      </c>
      <c r="E385" s="4" t="inlineStr">
        <is>
          <t>a few/a little: a few — с исчисляемыми мн. ч. («несколько»)</t>
        </is>
      </c>
      <c r="F385" s="4" t="inlineStr">
        <is>
          <t>10+</t>
        </is>
      </c>
      <c r="G385" s="4" t="inlineStr"/>
      <c r="H385" s="4" t="inlineStr"/>
      <c r="I385" s="18" t="inlineStr">
        <is>
          <t>М8 (8b) · новое</t>
        </is>
      </c>
      <c r="J385" s="7" t="inlineStr">
        <is>
          <t>М9 (9a) · повт.</t>
        </is>
      </c>
      <c r="K385" s="7" t="inlineStr">
        <is>
          <t>М9 · повт.</t>
        </is>
      </c>
      <c r="L385" s="4" t="inlineStr"/>
      <c r="M385" s="7" t="inlineStr">
        <is>
          <t>М8 (8d) · повт.</t>
        </is>
      </c>
      <c r="N385" s="7" t="inlineStr">
        <is>
          <t>М5 (5c) · повт.</t>
        </is>
      </c>
      <c r="O385" s="7" t="inlineStr">
        <is>
          <t>М8 (8c) · повт.</t>
        </is>
      </c>
      <c r="P385" s="19" t="inlineStr">
        <is>
          <t>—</t>
        </is>
      </c>
      <c r="Q385" s="20" t="inlineStr"/>
      <c r="R385" s="8" t="inlineStr">
        <is>
          <t>нет</t>
        </is>
      </c>
      <c r="S385" s="4" t="inlineStr"/>
      <c r="T385" s="4" t="inlineStr"/>
    </row>
    <row r="386">
      <c r="A386" s="9" t="n">
        <v>385</v>
      </c>
      <c r="B386" s="9" t="inlineStr">
        <is>
          <t>Грамматика</t>
        </is>
      </c>
      <c r="C386" s="9" t="inlineStr">
        <is>
          <t>Существительные и артикли</t>
        </is>
      </c>
      <c r="D386" s="10" t="inlineStr">
        <is>
          <t>a few/a little</t>
        </is>
      </c>
      <c r="E386" s="9" t="inlineStr">
        <is>
          <t>a few/a little: a little — с неисчисляемыми («немного»)</t>
        </is>
      </c>
      <c r="F386" s="9" t="inlineStr">
        <is>
          <t>10+</t>
        </is>
      </c>
      <c r="G386" s="9" t="inlineStr"/>
      <c r="H386" s="9" t="inlineStr"/>
      <c r="I386" s="15" t="inlineStr">
        <is>
          <t>М8 (8b) · новое</t>
        </is>
      </c>
      <c r="J386" s="12" t="inlineStr">
        <is>
          <t>М9 (9a) · повт.</t>
        </is>
      </c>
      <c r="K386" s="12" t="inlineStr">
        <is>
          <t>М9 · повт.</t>
        </is>
      </c>
      <c r="L386" s="9" t="inlineStr"/>
      <c r="M386" s="12" t="inlineStr">
        <is>
          <t>М8 (8d) · повт.</t>
        </is>
      </c>
      <c r="N386" s="12" t="inlineStr">
        <is>
          <t>М5 (5c) · повт.</t>
        </is>
      </c>
      <c r="O386" s="12" t="inlineStr">
        <is>
          <t>М8 (8c) · повт.</t>
        </is>
      </c>
      <c r="P386" s="16" t="inlineStr">
        <is>
          <t>—</t>
        </is>
      </c>
      <c r="Q386" s="17" t="inlineStr"/>
      <c r="R386" s="13" t="inlineStr">
        <is>
          <t>нет</t>
        </is>
      </c>
      <c r="S386" s="9" t="inlineStr"/>
      <c r="T386" s="9" t="inlineStr"/>
    </row>
    <row r="387">
      <c r="A387" s="9" t="n">
        <v>386</v>
      </c>
      <c r="B387" s="9" t="inlineStr">
        <is>
          <t>Грамматика</t>
        </is>
      </c>
      <c r="C387" s="9" t="inlineStr">
        <is>
          <t>Существительные и артикли</t>
        </is>
      </c>
      <c r="D387" s="10" t="inlineStr">
        <is>
          <t>a few/a little</t>
        </is>
      </c>
      <c r="E387" s="9" t="inlineStr">
        <is>
          <t>a few/a little: few / little — «мало»</t>
        </is>
      </c>
      <c r="F387" s="9" t="inlineStr">
        <is>
          <t>10+</t>
        </is>
      </c>
      <c r="G387" s="9" t="inlineStr"/>
      <c r="H387" s="9" t="inlineStr"/>
      <c r="I387" s="15" t="inlineStr">
        <is>
          <t>М8 (8b) · новое</t>
        </is>
      </c>
      <c r="J387" s="9" t="inlineStr"/>
      <c r="K387" s="12" t="inlineStr">
        <is>
          <t>М9 · повт.</t>
        </is>
      </c>
      <c r="L387" s="9" t="inlineStr"/>
      <c r="M387" s="12" t="inlineStr">
        <is>
          <t>М8 (8d) · повт.</t>
        </is>
      </c>
      <c r="N387" s="12" t="inlineStr">
        <is>
          <t>М5 (5c) · повт.</t>
        </is>
      </c>
      <c r="O387" s="12" t="inlineStr">
        <is>
          <t>М8 (8c) · повт.</t>
        </is>
      </c>
      <c r="P387" s="16" t="inlineStr">
        <is>
          <t>—</t>
        </is>
      </c>
      <c r="Q387" s="17" t="inlineStr"/>
      <c r="R387" s="13" t="inlineStr">
        <is>
          <t>нет</t>
        </is>
      </c>
      <c r="S387" s="9" t="inlineStr"/>
      <c r="T387" s="9" t="inlineStr"/>
    </row>
    <row r="388">
      <c r="A388" s="9" t="n">
        <v>387</v>
      </c>
      <c r="B388" s="9" t="inlineStr">
        <is>
          <t>Грамматика</t>
        </is>
      </c>
      <c r="C388" s="9" t="inlineStr">
        <is>
          <t>Существительные и артикли</t>
        </is>
      </c>
      <c r="D388" s="10" t="inlineStr">
        <is>
          <t>a few/a little</t>
        </is>
      </c>
      <c r="E388" s="9" t="inlineStr">
        <is>
          <t>a few/a little: a few vs few, a little vs little — «немного, но достаточно» vs «почти нет»</t>
        </is>
      </c>
      <c r="F388" s="9" t="inlineStr">
        <is>
          <t>10+</t>
        </is>
      </c>
      <c r="G388" s="9" t="inlineStr"/>
      <c r="H388" s="9" t="inlineStr"/>
      <c r="I388" s="15" t="inlineStr">
        <is>
          <t>М8 (8b) · новое</t>
        </is>
      </c>
      <c r="J388" s="9" t="inlineStr"/>
      <c r="K388" s="12" t="inlineStr">
        <is>
          <t>М9 · повт.</t>
        </is>
      </c>
      <c r="L388" s="9" t="inlineStr"/>
      <c r="M388" s="14" t="inlineStr">
        <is>
          <t>М8 (8d) · расш.</t>
        </is>
      </c>
      <c r="N388" s="12" t="inlineStr">
        <is>
          <t>М5 (5c) · повт.</t>
        </is>
      </c>
      <c r="O388" s="12" t="inlineStr">
        <is>
          <t>М8 (8c) · повт.</t>
        </is>
      </c>
      <c r="P388" s="16" t="inlineStr">
        <is>
          <t>—</t>
        </is>
      </c>
      <c r="Q388" s="17" t="inlineStr"/>
      <c r="R388" s="13" t="inlineStr">
        <is>
          <t>нет</t>
        </is>
      </c>
      <c r="S388" s="9" t="inlineStr"/>
      <c r="T388" s="9" t="inlineStr"/>
    </row>
    <row r="389">
      <c r="A389" s="9" t="n">
        <v>388</v>
      </c>
      <c r="B389" s="9" t="inlineStr">
        <is>
          <t>Грамматика</t>
        </is>
      </c>
      <c r="C389" s="9" t="inlineStr">
        <is>
          <t>Существительные и артикли</t>
        </is>
      </c>
      <c r="D389" s="10" t="inlineStr">
        <is>
          <t>a few/a little</t>
        </is>
      </c>
      <c r="E389" s="9" t="inlineStr">
        <is>
          <t>a few/a little: very few / very little</t>
        </is>
      </c>
      <c r="F389" s="9" t="inlineStr">
        <is>
          <t>10+</t>
        </is>
      </c>
      <c r="G389" s="9" t="inlineStr"/>
      <c r="H389" s="9" t="inlineStr"/>
      <c r="I389" s="9" t="inlineStr"/>
      <c r="J389" s="9" t="inlineStr"/>
      <c r="K389" s="9" t="inlineStr"/>
      <c r="L389" s="9" t="inlineStr"/>
      <c r="M389" s="15" t="inlineStr">
        <is>
          <t>М8 (8d) · новое</t>
        </is>
      </c>
      <c r="N389" s="12" t="inlineStr">
        <is>
          <t>М5 (5c) · повт.</t>
        </is>
      </c>
      <c r="O389" s="12" t="inlineStr">
        <is>
          <t>М8 (8c) · повт.</t>
        </is>
      </c>
      <c r="P389" s="16" t="inlineStr">
        <is>
          <t>—</t>
        </is>
      </c>
      <c r="Q389" s="17" t="inlineStr"/>
      <c r="R389" s="13" t="inlineStr">
        <is>
          <t>нет</t>
        </is>
      </c>
      <c r="S389" s="9" t="inlineStr"/>
      <c r="T389" s="9" t="inlineStr"/>
    </row>
    <row r="390">
      <c r="A390" s="9" t="n">
        <v>389</v>
      </c>
      <c r="B390" s="9" t="inlineStr">
        <is>
          <t>Грамматика</t>
        </is>
      </c>
      <c r="C390" s="9" t="inlineStr">
        <is>
          <t>Существительные и артикли</t>
        </is>
      </c>
      <c r="D390" s="10" t="inlineStr">
        <is>
          <t>a few/a little</t>
        </is>
      </c>
      <c r="E390" s="9" t="inlineStr">
        <is>
          <t>a few/a little: a little + прилагательное (a little cold)</t>
        </is>
      </c>
      <c r="F390" s="9" t="inlineStr">
        <is>
          <t>10+</t>
        </is>
      </c>
      <c r="G390" s="9" t="inlineStr"/>
      <c r="H390" s="9" t="inlineStr"/>
      <c r="I390" s="9" t="inlineStr"/>
      <c r="J390" s="9" t="inlineStr"/>
      <c r="K390" s="9" t="inlineStr"/>
      <c r="L390" s="9" t="inlineStr"/>
      <c r="M390" s="9" t="inlineStr"/>
      <c r="N390" s="9" t="inlineStr"/>
      <c r="O390" s="15" t="inlineStr">
        <is>
          <t>М8 (8c) · новое</t>
        </is>
      </c>
      <c r="P390" s="16" t="inlineStr">
        <is>
          <t>—</t>
        </is>
      </c>
      <c r="Q390" s="17" t="inlineStr"/>
      <c r="R390" s="13" t="inlineStr">
        <is>
          <t>нет</t>
        </is>
      </c>
      <c r="S390" s="9" t="inlineStr"/>
      <c r="T390" s="9" t="inlineStr"/>
    </row>
    <row r="391">
      <c r="A391" s="4" t="n">
        <v>390</v>
      </c>
      <c r="B391" s="4" t="inlineStr">
        <is>
          <t>Грамматика</t>
        </is>
      </c>
      <c r="C391" s="4" t="inlineStr">
        <is>
          <t>Существительные и артикли</t>
        </is>
      </c>
      <c r="D391" s="5" t="inlineStr">
        <is>
          <t>Partitives (a bottle of…)</t>
        </is>
      </c>
      <c r="E391" s="4" t="inlineStr">
        <is>
          <t>Partitives: a bottle/glass/carton/cup/bowl/packet/slice/loaf/kilo/bar of</t>
        </is>
      </c>
      <c r="F391" s="4" t="inlineStr">
        <is>
          <t>10+</t>
        </is>
      </c>
      <c r="G391" s="4" t="inlineStr"/>
      <c r="H391" s="4" t="inlineStr"/>
      <c r="I391" s="4" t="inlineStr"/>
      <c r="J391" s="4" t="inlineStr"/>
      <c r="K391" s="18" t="inlineStr">
        <is>
          <t>М9 · новое</t>
        </is>
      </c>
      <c r="L391" s="4" t="inlineStr"/>
      <c r="M391" s="4" t="inlineStr"/>
      <c r="N391" s="4" t="inlineStr"/>
      <c r="O391" s="4" t="inlineStr"/>
      <c r="P391" s="19" t="inlineStr">
        <is>
          <t>—</t>
        </is>
      </c>
      <c r="Q391" s="20" t="inlineStr"/>
      <c r="R391" s="8" t="inlineStr">
        <is>
          <t>нет</t>
        </is>
      </c>
      <c r="S391" s="4" t="inlineStr"/>
      <c r="T391" s="4" t="inlineStr"/>
    </row>
    <row r="392">
      <c r="A392" s="9" t="n">
        <v>391</v>
      </c>
      <c r="B392" s="9" t="inlineStr">
        <is>
          <t>Грамматика</t>
        </is>
      </c>
      <c r="C392" s="9" t="inlineStr">
        <is>
          <t>Существительные и артикли</t>
        </is>
      </c>
      <c r="D392" s="10" t="inlineStr">
        <is>
          <t>Partitives (a bottle of…)</t>
        </is>
      </c>
      <c r="E392" s="9" t="inlineStr">
        <is>
          <t>Partitives: мн. ч. — two bottles of, two loaves of</t>
        </is>
      </c>
      <c r="F392" s="9" t="inlineStr">
        <is>
          <t>10+</t>
        </is>
      </c>
      <c r="G392" s="9" t="inlineStr"/>
      <c r="H392" s="9" t="inlineStr"/>
      <c r="I392" s="9" t="inlineStr"/>
      <c r="J392" s="9" t="inlineStr"/>
      <c r="K392" s="15" t="inlineStr">
        <is>
          <t>М9 · новое</t>
        </is>
      </c>
      <c r="L392" s="9" t="inlineStr"/>
      <c r="M392" s="9" t="inlineStr"/>
      <c r="N392" s="9" t="inlineStr"/>
      <c r="O392" s="9" t="inlineStr"/>
      <c r="P392" s="16" t="inlineStr">
        <is>
          <t>—</t>
        </is>
      </c>
      <c r="Q392" s="17" t="inlineStr"/>
      <c r="R392" s="13" t="inlineStr">
        <is>
          <t>нет</t>
        </is>
      </c>
      <c r="S392" s="9" t="inlineStr"/>
      <c r="T392" s="9" t="inlineStr"/>
    </row>
    <row r="393">
      <c r="A393" s="4" t="n">
        <v>392</v>
      </c>
      <c r="B393" s="4" t="inlineStr">
        <is>
          <t>Грамматика</t>
        </is>
      </c>
      <c r="C393" s="4" t="inlineStr">
        <is>
          <t>Существительные и артикли</t>
        </is>
      </c>
      <c r="D393" s="5" t="inlineStr">
        <is>
          <t>Plurals (only plural / collective nouns)</t>
        </is>
      </c>
      <c r="E393" s="4" t="inlineStr">
        <is>
          <t>Plurals (only plural / collective nouns): только мн. ч. — одежда, приборы, инструменты, people, stairs</t>
        </is>
      </c>
      <c r="F393" s="4" t="inlineStr">
        <is>
          <t>10+</t>
        </is>
      </c>
      <c r="G393" s="4" t="inlineStr"/>
      <c r="H393" s="4" t="inlineStr"/>
      <c r="I393" s="4" t="inlineStr"/>
      <c r="J393" s="4" t="inlineStr"/>
      <c r="K393" s="4" t="inlineStr"/>
      <c r="L393" s="18" t="inlineStr">
        <is>
          <t>М2 (2d) · новое</t>
        </is>
      </c>
      <c r="M393" s="4" t="inlineStr"/>
      <c r="N393" s="4" t="inlineStr"/>
      <c r="O393" s="4" t="inlineStr"/>
      <c r="P393" s="19" t="inlineStr">
        <is>
          <t>—</t>
        </is>
      </c>
      <c r="Q393" s="20" t="inlineStr"/>
      <c r="R393" s="8" t="inlineStr">
        <is>
          <t>нет</t>
        </is>
      </c>
      <c r="S393" s="4" t="inlineStr"/>
      <c r="T393" s="4" t="inlineStr"/>
    </row>
    <row r="394">
      <c r="A394" s="9" t="n">
        <v>393</v>
      </c>
      <c r="B394" s="9" t="inlineStr">
        <is>
          <t>Грамматика</t>
        </is>
      </c>
      <c r="C394" s="9" t="inlineStr">
        <is>
          <t>Существительные и артикли</t>
        </is>
      </c>
      <c r="D394" s="10" t="inlineStr">
        <is>
          <t>Plurals (only plural / collective nouns)</t>
        </is>
      </c>
      <c r="E394" s="9" t="inlineStr">
        <is>
          <t>Plurals (only plural / collective nouns): собирательные (team, family, police) — глагол в ед. или мн. ч.</t>
        </is>
      </c>
      <c r="F394" s="9" t="inlineStr">
        <is>
          <t>10+</t>
        </is>
      </c>
      <c r="G394" s="9" t="inlineStr"/>
      <c r="H394" s="9" t="inlineStr"/>
      <c r="I394" s="9" t="inlineStr"/>
      <c r="J394" s="9" t="inlineStr"/>
      <c r="K394" s="9" t="inlineStr"/>
      <c r="L394" s="15" t="inlineStr">
        <is>
          <t>М2 (2d) · новое</t>
        </is>
      </c>
      <c r="M394" s="9" t="inlineStr"/>
      <c r="N394" s="9" t="inlineStr"/>
      <c r="O394" s="9" t="inlineStr"/>
      <c r="P394" s="16" t="inlineStr">
        <is>
          <t>—</t>
        </is>
      </c>
      <c r="Q394" s="17" t="inlineStr"/>
      <c r="R394" s="13" t="inlineStr">
        <is>
          <t>нет</t>
        </is>
      </c>
      <c r="S394" s="9" t="inlineStr"/>
      <c r="T394" s="9" t="inlineStr"/>
    </row>
    <row r="395">
      <c r="A395" s="4" t="n">
        <v>394</v>
      </c>
      <c r="B395" s="4" t="inlineStr">
        <is>
          <t>Грамматика</t>
        </is>
      </c>
      <c r="C395" s="4" t="inlineStr">
        <is>
          <t>Существительные и артикли</t>
        </is>
      </c>
      <c r="D395" s="5" t="inlineStr">
        <is>
          <t>Quantifiers</t>
        </is>
      </c>
      <c r="E395" s="4" t="inlineStr">
        <is>
          <t>Quantifiers: a few/few vs a little/little</t>
        </is>
      </c>
      <c r="F395" s="4" t="inlineStr">
        <is>
          <t>10+</t>
        </is>
      </c>
      <c r="G395" s="4" t="inlineStr"/>
      <c r="H395" s="4" t="inlineStr"/>
      <c r="I395" s="4" t="inlineStr"/>
      <c r="J395" s="4" t="inlineStr"/>
      <c r="K395" s="4" t="inlineStr"/>
      <c r="L395" s="18" t="inlineStr">
        <is>
          <t>М2 (2b) · новое</t>
        </is>
      </c>
      <c r="M395" s="4" t="inlineStr"/>
      <c r="N395" s="4" t="inlineStr"/>
      <c r="O395" s="4" t="inlineStr"/>
      <c r="P395" s="19" t="inlineStr">
        <is>
          <t>—</t>
        </is>
      </c>
      <c r="Q395" s="20" t="inlineStr"/>
      <c r="R395" s="8" t="inlineStr">
        <is>
          <t>нет</t>
        </is>
      </c>
      <c r="S395" s="4" t="inlineStr"/>
      <c r="T395" s="4" t="inlineStr"/>
    </row>
    <row r="396">
      <c r="A396" s="9" t="n">
        <v>395</v>
      </c>
      <c r="B396" s="9" t="inlineStr">
        <is>
          <t>Грамматика</t>
        </is>
      </c>
      <c r="C396" s="9" t="inlineStr">
        <is>
          <t>Существительные и артикли</t>
        </is>
      </c>
      <c r="D396" s="10" t="inlineStr">
        <is>
          <t>Quantifiers</t>
        </is>
      </c>
      <c r="E396" s="9" t="inlineStr">
        <is>
          <t>Quantifiers: a lot of / lots of</t>
        </is>
      </c>
      <c r="F396" s="9" t="inlineStr">
        <is>
          <t>10+</t>
        </is>
      </c>
      <c r="G396" s="9" t="inlineStr"/>
      <c r="H396" s="9" t="inlineStr"/>
      <c r="I396" s="9" t="inlineStr"/>
      <c r="J396" s="9" t="inlineStr"/>
      <c r="K396" s="9" t="inlineStr"/>
      <c r="L396" s="15" t="inlineStr">
        <is>
          <t>М2 (2b) · новое</t>
        </is>
      </c>
      <c r="M396" s="9" t="inlineStr"/>
      <c r="N396" s="9" t="inlineStr"/>
      <c r="O396" s="9" t="inlineStr"/>
      <c r="P396" s="16" t="inlineStr">
        <is>
          <t>—</t>
        </is>
      </c>
      <c r="Q396" s="17" t="inlineStr"/>
      <c r="R396" s="13" t="inlineStr">
        <is>
          <t>нет</t>
        </is>
      </c>
      <c r="S396" s="9" t="inlineStr"/>
      <c r="T396" s="9" t="inlineStr"/>
    </row>
    <row r="397">
      <c r="A397" s="9" t="n">
        <v>396</v>
      </c>
      <c r="B397" s="9" t="inlineStr">
        <is>
          <t>Грамматика</t>
        </is>
      </c>
      <c r="C397" s="9" t="inlineStr">
        <is>
          <t>Существительные и артикли</t>
        </is>
      </c>
      <c r="D397" s="10" t="inlineStr">
        <is>
          <t>Quantifiers</t>
        </is>
      </c>
      <c r="E397" s="9" t="inlineStr">
        <is>
          <t>Quantifiers: much/many — отрицания и вопросы</t>
        </is>
      </c>
      <c r="F397" s="9" t="inlineStr">
        <is>
          <t>10+</t>
        </is>
      </c>
      <c r="G397" s="9" t="inlineStr"/>
      <c r="H397" s="9" t="inlineStr"/>
      <c r="I397" s="9" t="inlineStr"/>
      <c r="J397" s="9" t="inlineStr"/>
      <c r="K397" s="9" t="inlineStr"/>
      <c r="L397" s="15" t="inlineStr">
        <is>
          <t>М2 (2b) · новое</t>
        </is>
      </c>
      <c r="M397" s="9" t="inlineStr"/>
      <c r="N397" s="9" t="inlineStr"/>
      <c r="O397" s="9" t="inlineStr"/>
      <c r="P397" s="16" t="inlineStr">
        <is>
          <t>—</t>
        </is>
      </c>
      <c r="Q397" s="17" t="inlineStr"/>
      <c r="R397" s="13" t="inlineStr">
        <is>
          <t>нет</t>
        </is>
      </c>
      <c r="S397" s="9" t="inlineStr"/>
      <c r="T397" s="9" t="inlineStr"/>
    </row>
    <row r="398">
      <c r="A398" s="9" t="n">
        <v>397</v>
      </c>
      <c r="B398" s="9" t="inlineStr">
        <is>
          <t>Грамматика</t>
        </is>
      </c>
      <c r="C398" s="9" t="inlineStr">
        <is>
          <t>Существительные и артикли</t>
        </is>
      </c>
      <c r="D398" s="10" t="inlineStr">
        <is>
          <t>Quantifiers</t>
        </is>
      </c>
      <c r="E398" s="9" t="inlineStr">
        <is>
          <t>Quantifiers: every vs each</t>
        </is>
      </c>
      <c r="F398" s="9" t="inlineStr">
        <is>
          <t>10+</t>
        </is>
      </c>
      <c r="G398" s="9" t="inlineStr"/>
      <c r="H398" s="9" t="inlineStr"/>
      <c r="I398" s="9" t="inlineStr"/>
      <c r="J398" s="9" t="inlineStr"/>
      <c r="K398" s="9" t="inlineStr"/>
      <c r="L398" s="9" t="inlineStr"/>
      <c r="M398" s="9" t="inlineStr"/>
      <c r="N398" s="9" t="inlineStr"/>
      <c r="O398" s="15" t="inlineStr">
        <is>
          <t>М8 (8c) · новое</t>
        </is>
      </c>
      <c r="P398" s="16" t="inlineStr">
        <is>
          <t>—</t>
        </is>
      </c>
      <c r="Q398" s="17" t="inlineStr"/>
      <c r="R398" s="13" t="inlineStr">
        <is>
          <t>нет</t>
        </is>
      </c>
      <c r="S398" s="9" t="inlineStr"/>
      <c r="T398" s="9" t="inlineStr"/>
    </row>
    <row r="399">
      <c r="A399" s="9" t="n">
        <v>398</v>
      </c>
      <c r="B399" s="9" t="inlineStr">
        <is>
          <t>Грамматика</t>
        </is>
      </c>
      <c r="C399" s="9" t="inlineStr">
        <is>
          <t>Существительные и артикли</t>
        </is>
      </c>
      <c r="D399" s="10" t="inlineStr">
        <is>
          <t>Quantifiers</t>
        </is>
      </c>
      <c r="E399" s="9" t="inlineStr">
        <is>
          <t>Quantifiers: a couple of, several + исчисляемые мн. ч.</t>
        </is>
      </c>
      <c r="F399" s="9" t="inlineStr">
        <is>
          <t>10+</t>
        </is>
      </c>
      <c r="G399" s="9" t="inlineStr"/>
      <c r="H399" s="9" t="inlineStr"/>
      <c r="I399" s="9" t="inlineStr"/>
      <c r="J399" s="9" t="inlineStr"/>
      <c r="K399" s="9" t="inlineStr"/>
      <c r="L399" s="9" t="inlineStr"/>
      <c r="M399" s="9" t="inlineStr"/>
      <c r="N399" s="9" t="inlineStr"/>
      <c r="O399" s="15" t="inlineStr">
        <is>
          <t>М8 (8c) · новое</t>
        </is>
      </c>
      <c r="P399" s="16" t="inlineStr">
        <is>
          <t>—</t>
        </is>
      </c>
      <c r="Q399" s="17" t="inlineStr"/>
      <c r="R399" s="13" t="inlineStr">
        <is>
          <t>нет</t>
        </is>
      </c>
      <c r="S399" s="9" t="inlineStr"/>
      <c r="T399" s="9" t="inlineStr"/>
    </row>
    <row r="400">
      <c r="A400" s="9" t="n">
        <v>399</v>
      </c>
      <c r="B400" s="9" t="inlineStr">
        <is>
          <t>Грамматика</t>
        </is>
      </c>
      <c r="C400" s="9" t="inlineStr">
        <is>
          <t>Существительные и артикли</t>
        </is>
      </c>
      <c r="D400" s="10" t="inlineStr">
        <is>
          <t>Quantifiers</t>
        </is>
      </c>
      <c r="E400" s="9" t="inlineStr">
        <is>
          <t>Quantifiers: a great deal of, plenty of</t>
        </is>
      </c>
      <c r="F400" s="9" t="inlineStr">
        <is>
          <t>10+</t>
        </is>
      </c>
      <c r="G400" s="9" t="inlineStr"/>
      <c r="H400" s="9" t="inlineStr"/>
      <c r="I400" s="9" t="inlineStr"/>
      <c r="J400" s="9" t="inlineStr"/>
      <c r="K400" s="9" t="inlineStr"/>
      <c r="L400" s="9" t="inlineStr"/>
      <c r="M400" s="9" t="inlineStr"/>
      <c r="N400" s="9" t="inlineStr"/>
      <c r="O400" s="15" t="inlineStr">
        <is>
          <t>М8 (8c) · новое</t>
        </is>
      </c>
      <c r="P400" s="16" t="inlineStr">
        <is>
          <t>—</t>
        </is>
      </c>
      <c r="Q400" s="17" t="inlineStr"/>
      <c r="R400" s="13" t="inlineStr">
        <is>
          <t>нет</t>
        </is>
      </c>
      <c r="S400" s="9" t="inlineStr"/>
      <c r="T400" s="9" t="inlineStr"/>
    </row>
    <row r="401">
      <c r="A401" s="9" t="n">
        <v>400</v>
      </c>
      <c r="B401" s="9" t="inlineStr">
        <is>
          <t>Грамматика</t>
        </is>
      </c>
      <c r="C401" s="9" t="inlineStr">
        <is>
          <t>Существительные и артикли</t>
        </is>
      </c>
      <c r="D401" s="10" t="inlineStr">
        <is>
          <t>Quantifiers</t>
        </is>
      </c>
      <c r="E401" s="9" t="inlineStr">
        <is>
          <t>Quantifiers: hardly any</t>
        </is>
      </c>
      <c r="F401" s="9" t="inlineStr">
        <is>
          <t>10+</t>
        </is>
      </c>
      <c r="G401" s="9" t="inlineStr"/>
      <c r="H401" s="9" t="inlineStr"/>
      <c r="I401" s="9" t="inlineStr"/>
      <c r="J401" s="9" t="inlineStr"/>
      <c r="K401" s="9" t="inlineStr"/>
      <c r="L401" s="9" t="inlineStr"/>
      <c r="M401" s="9" t="inlineStr"/>
      <c r="N401" s="9" t="inlineStr"/>
      <c r="O401" s="15" t="inlineStr">
        <is>
          <t>М8 (8c) · новое</t>
        </is>
      </c>
      <c r="P401" s="16" t="inlineStr">
        <is>
          <t>—</t>
        </is>
      </c>
      <c r="Q401" s="17" t="inlineStr"/>
      <c r="R401" s="13" t="inlineStr">
        <is>
          <t>нет</t>
        </is>
      </c>
      <c r="S401" s="9" t="inlineStr"/>
      <c r="T401" s="9" t="inlineStr"/>
    </row>
    <row r="402">
      <c r="A402" s="4" t="n">
        <v>401</v>
      </c>
      <c r="B402" s="4" t="inlineStr">
        <is>
          <t>Грамматика</t>
        </is>
      </c>
      <c r="C402" s="4" t="inlineStr">
        <is>
          <t>Местоимения</t>
        </is>
      </c>
      <c r="D402" s="5" t="inlineStr">
        <is>
          <t>Demonstratives (this/that/these/those)</t>
        </is>
      </c>
      <c r="E402" s="4" t="inlineStr">
        <is>
          <t>Demonstratives: this — these (ед. и мн. ч.)</t>
        </is>
      </c>
      <c r="F402" s="4" t="inlineStr">
        <is>
          <t>обе</t>
        </is>
      </c>
      <c r="G402" s="6" t="inlineStr">
        <is>
          <t>М4 · новое</t>
        </is>
      </c>
      <c r="H402" s="4" t="inlineStr"/>
      <c r="I402" s="7" t="inlineStr">
        <is>
          <t>М2 (2b) · повт.</t>
        </is>
      </c>
      <c r="J402" s="4" t="inlineStr"/>
      <c r="K402" s="4" t="inlineStr"/>
      <c r="L402" s="4" t="inlineStr"/>
      <c r="M402" s="4" t="inlineStr"/>
      <c r="N402" s="4" t="inlineStr"/>
      <c r="O402" s="4" t="inlineStr"/>
      <c r="P402" s="8" t="inlineStr">
        <is>
          <t>нет</t>
        </is>
      </c>
      <c r="Q402" s="4" t="inlineStr"/>
      <c r="R402" s="8" t="inlineStr">
        <is>
          <t>нет</t>
        </is>
      </c>
      <c r="S402" s="4" t="inlineStr"/>
      <c r="T402" s="4" t="inlineStr"/>
    </row>
    <row r="403">
      <c r="A403" s="9" t="n">
        <v>402</v>
      </c>
      <c r="B403" s="9" t="inlineStr">
        <is>
          <t>Грамматика</t>
        </is>
      </c>
      <c r="C403" s="9" t="inlineStr">
        <is>
          <t>Местоимения</t>
        </is>
      </c>
      <c r="D403" s="10" t="inlineStr">
        <is>
          <t>Demonstratives (this/that/these/those)</t>
        </is>
      </c>
      <c r="E403" s="9" t="inlineStr">
        <is>
          <t>Demonstratives: that — those (ед. и мн. ч.)</t>
        </is>
      </c>
      <c r="F403" s="9" t="inlineStr">
        <is>
          <t>обе</t>
        </is>
      </c>
      <c r="G403" s="11" t="inlineStr">
        <is>
          <t>М4 · новое</t>
        </is>
      </c>
      <c r="H403" s="9" t="inlineStr"/>
      <c r="I403" s="12" t="inlineStr">
        <is>
          <t>М2 (2b) · повт.</t>
        </is>
      </c>
      <c r="J403" s="9" t="inlineStr"/>
      <c r="K403" s="9" t="inlineStr"/>
      <c r="L403" s="9" t="inlineStr"/>
      <c r="M403" s="9" t="inlineStr"/>
      <c r="N403" s="9" t="inlineStr"/>
      <c r="O403" s="9" t="inlineStr"/>
      <c r="P403" s="13" t="inlineStr">
        <is>
          <t>нет</t>
        </is>
      </c>
      <c r="Q403" s="9" t="inlineStr"/>
      <c r="R403" s="13" t="inlineStr">
        <is>
          <t>нет</t>
        </is>
      </c>
      <c r="S403" s="9" t="inlineStr"/>
      <c r="T403" s="9" t="inlineStr"/>
    </row>
    <row r="404">
      <c r="A404" s="9" t="n">
        <v>403</v>
      </c>
      <c r="B404" s="9" t="inlineStr">
        <is>
          <t>Грамматика</t>
        </is>
      </c>
      <c r="C404" s="9" t="inlineStr">
        <is>
          <t>Местоимения</t>
        </is>
      </c>
      <c r="D404" s="10" t="inlineStr">
        <is>
          <t>Demonstratives (this/that/these/those)</t>
        </is>
      </c>
      <c r="E404" s="9" t="inlineStr">
        <is>
          <t>Demonstratives: this/these vs that/those — близко vs далеко</t>
        </is>
      </c>
      <c r="F404" s="9" t="inlineStr">
        <is>
          <t>7–9</t>
        </is>
      </c>
      <c r="G404" s="11" t="inlineStr">
        <is>
          <t>М4 · новое</t>
        </is>
      </c>
      <c r="H404" s="9" t="inlineStr"/>
      <c r="I404" s="9" t="inlineStr"/>
      <c r="J404" s="9" t="inlineStr"/>
      <c r="K404" s="9" t="inlineStr"/>
      <c r="L404" s="9" t="inlineStr"/>
      <c r="M404" s="9" t="inlineStr"/>
      <c r="N404" s="9" t="inlineStr"/>
      <c r="O404" s="9" t="inlineStr"/>
      <c r="P404" s="13" t="inlineStr">
        <is>
          <t>нет</t>
        </is>
      </c>
      <c r="Q404" s="9" t="inlineStr"/>
      <c r="R404" s="16" t="inlineStr">
        <is>
          <t>—</t>
        </is>
      </c>
      <c r="S404" s="17" t="inlineStr"/>
      <c r="T404" s="9" t="inlineStr"/>
    </row>
    <row r="405">
      <c r="A405" s="4" t="n">
        <v>404</v>
      </c>
      <c r="B405" s="4" t="inlineStr">
        <is>
          <t>Грамматика</t>
        </is>
      </c>
      <c r="C405" s="4" t="inlineStr">
        <is>
          <t>Местоимения</t>
        </is>
      </c>
      <c r="D405" s="5" t="inlineStr">
        <is>
          <t>Possessive adjectives</t>
        </is>
      </c>
      <c r="E405" s="4" t="inlineStr">
        <is>
          <t>Possessive adjectives: формы my, your, his, her, its, our, their</t>
        </is>
      </c>
      <c r="F405" s="4" t="inlineStr">
        <is>
          <t>обе</t>
        </is>
      </c>
      <c r="G405" s="6" t="inlineStr">
        <is>
          <t>М2 · новое</t>
        </is>
      </c>
      <c r="H405" s="4" t="inlineStr"/>
      <c r="I405" s="7" t="inlineStr">
        <is>
          <t>М3 (3b) · повт.</t>
        </is>
      </c>
      <c r="J405" s="7" t="inlineStr">
        <is>
          <t>М1 (1a) · повт.</t>
        </is>
      </c>
      <c r="K405" s="4" t="inlineStr"/>
      <c r="L405" s="4" t="inlineStr"/>
      <c r="M405" s="4" t="inlineStr"/>
      <c r="N405" s="4" t="inlineStr"/>
      <c r="O405" s="4" t="inlineStr"/>
      <c r="P405" s="8" t="inlineStr">
        <is>
          <t>нет</t>
        </is>
      </c>
      <c r="Q405" s="4" t="inlineStr"/>
      <c r="R405" s="8" t="inlineStr">
        <is>
          <t>нет</t>
        </is>
      </c>
      <c r="S405" s="4" t="inlineStr"/>
      <c r="T405" s="4" t="inlineStr"/>
    </row>
    <row r="406">
      <c r="A406" s="9" t="n">
        <v>405</v>
      </c>
      <c r="B406" s="9" t="inlineStr">
        <is>
          <t>Грамматика</t>
        </is>
      </c>
      <c r="C406" s="9" t="inlineStr">
        <is>
          <t>Местоимения</t>
        </is>
      </c>
      <c r="D406" s="10" t="inlineStr">
        <is>
          <t>Possessive adjectives</t>
        </is>
      </c>
      <c r="E406" s="9" t="inlineStr">
        <is>
          <t>Possessive adjectives: значение — принадлежность и отношения между людьми</t>
        </is>
      </c>
      <c r="F406" s="9" t="inlineStr">
        <is>
          <t>обе</t>
        </is>
      </c>
      <c r="G406" s="11" t="inlineStr">
        <is>
          <t>М2 · новое</t>
        </is>
      </c>
      <c r="H406" s="9" t="inlineStr"/>
      <c r="I406" s="12" t="inlineStr">
        <is>
          <t>М3 (3b) · повт.</t>
        </is>
      </c>
      <c r="J406" s="12" t="inlineStr">
        <is>
          <t>М1 (1a) · повт.</t>
        </is>
      </c>
      <c r="K406" s="9" t="inlineStr"/>
      <c r="L406" s="9" t="inlineStr"/>
      <c r="M406" s="9" t="inlineStr"/>
      <c r="N406" s="9" t="inlineStr"/>
      <c r="O406" s="9" t="inlineStr"/>
      <c r="P406" s="13" t="inlineStr">
        <is>
          <t>нет</t>
        </is>
      </c>
      <c r="Q406" s="9" t="inlineStr"/>
      <c r="R406" s="13" t="inlineStr">
        <is>
          <t>нет</t>
        </is>
      </c>
      <c r="S406" s="9" t="inlineStr"/>
      <c r="T406" s="9" t="inlineStr"/>
    </row>
    <row r="407">
      <c r="A407" s="9" t="n">
        <v>406</v>
      </c>
      <c r="B407" s="9" t="inlineStr">
        <is>
          <t>Грамматика</t>
        </is>
      </c>
      <c r="C407" s="9" t="inlineStr">
        <is>
          <t>Местоимения</t>
        </is>
      </c>
      <c r="D407" s="10" t="inlineStr">
        <is>
          <t>Possessive adjectives</t>
        </is>
      </c>
      <c r="E407" s="9" t="inlineStr">
        <is>
          <t>Possessive adjectives: обязательны с частями тела, одеждой, родственниками (vs русский)</t>
        </is>
      </c>
      <c r="F407" s="9" t="inlineStr">
        <is>
          <t>10+</t>
        </is>
      </c>
      <c r="G407" s="9" t="inlineStr"/>
      <c r="H407" s="9" t="inlineStr"/>
      <c r="I407" s="15" t="inlineStr">
        <is>
          <t>М3 (3b) · новое</t>
        </is>
      </c>
      <c r="J407" s="9" t="inlineStr"/>
      <c r="K407" s="9" t="inlineStr"/>
      <c r="L407" s="9" t="inlineStr"/>
      <c r="M407" s="9" t="inlineStr"/>
      <c r="N407" s="9" t="inlineStr"/>
      <c r="O407" s="9" t="inlineStr"/>
      <c r="P407" s="16" t="inlineStr">
        <is>
          <t>—</t>
        </is>
      </c>
      <c r="Q407" s="17" t="inlineStr"/>
      <c r="R407" s="13" t="inlineStr">
        <is>
          <t>нет</t>
        </is>
      </c>
      <c r="S407" s="9" t="inlineStr"/>
      <c r="T407" s="9" t="inlineStr"/>
    </row>
    <row r="408">
      <c r="A408" s="4" t="n">
        <v>407</v>
      </c>
      <c r="B408" s="4" t="inlineStr">
        <is>
          <t>Грамматика</t>
        </is>
      </c>
      <c r="C408" s="4" t="inlineStr">
        <is>
          <t>Местоимения</t>
        </is>
      </c>
      <c r="D408" s="5" t="inlineStr">
        <is>
          <t>Object pronouns</t>
        </is>
      </c>
      <c r="E408" s="4" t="inlineStr">
        <is>
          <t>Object pronouns: формы me, you, him, her, it, us, them</t>
        </is>
      </c>
      <c r="F408" s="4" t="inlineStr">
        <is>
          <t>10+</t>
        </is>
      </c>
      <c r="G408" s="4" t="inlineStr"/>
      <c r="H408" s="4" t="inlineStr"/>
      <c r="I408" s="18" t="inlineStr">
        <is>
          <t>М4 (4a) · новое</t>
        </is>
      </c>
      <c r="J408" s="4" t="inlineStr"/>
      <c r="K408" s="4" t="inlineStr"/>
      <c r="L408" s="4" t="inlineStr"/>
      <c r="M408" s="4" t="inlineStr"/>
      <c r="N408" s="4" t="inlineStr"/>
      <c r="O408" s="4" t="inlineStr"/>
      <c r="P408" s="19" t="inlineStr">
        <is>
          <t>—</t>
        </is>
      </c>
      <c r="Q408" s="20" t="inlineStr"/>
      <c r="R408" s="8" t="inlineStr">
        <is>
          <t>нет</t>
        </is>
      </c>
      <c r="S408" s="4" t="inlineStr"/>
      <c r="T408" s="4" t="inlineStr"/>
    </row>
    <row r="409">
      <c r="A409" s="9" t="n">
        <v>408</v>
      </c>
      <c r="B409" s="9" t="inlineStr">
        <is>
          <t>Грамматика</t>
        </is>
      </c>
      <c r="C409" s="9" t="inlineStr">
        <is>
          <t>Местоимения</t>
        </is>
      </c>
      <c r="D409" s="10" t="inlineStr">
        <is>
          <t>Object pronouns</t>
        </is>
      </c>
      <c r="E409" s="9" t="inlineStr">
        <is>
          <t>Object pronouns: употребление — дополнение, после предлогов</t>
        </is>
      </c>
      <c r="F409" s="9" t="inlineStr">
        <is>
          <t>10+</t>
        </is>
      </c>
      <c r="G409" s="9" t="inlineStr"/>
      <c r="H409" s="9" t="inlineStr"/>
      <c r="I409" s="15" t="inlineStr">
        <is>
          <t>М4 (4a) · новое</t>
        </is>
      </c>
      <c r="J409" s="9" t="inlineStr"/>
      <c r="K409" s="9" t="inlineStr"/>
      <c r="L409" s="9" t="inlineStr"/>
      <c r="M409" s="9" t="inlineStr"/>
      <c r="N409" s="9" t="inlineStr"/>
      <c r="O409" s="9" t="inlineStr"/>
      <c r="P409" s="16" t="inlineStr">
        <is>
          <t>—</t>
        </is>
      </c>
      <c r="Q409" s="17" t="inlineStr"/>
      <c r="R409" s="13" t="inlineStr">
        <is>
          <t>нет</t>
        </is>
      </c>
      <c r="S409" s="9" t="inlineStr"/>
      <c r="T409" s="9" t="inlineStr"/>
    </row>
    <row r="410">
      <c r="A410" s="9" t="n">
        <v>409</v>
      </c>
      <c r="B410" s="9" t="inlineStr">
        <is>
          <t>Грамматика</t>
        </is>
      </c>
      <c r="C410" s="9" t="inlineStr">
        <is>
          <t>Местоимения</t>
        </is>
      </c>
      <c r="D410" s="10" t="inlineStr">
        <is>
          <t>Object pronouns</t>
        </is>
      </c>
      <c r="E410" s="9" t="inlineStr">
        <is>
          <t>Object pronouns: личные vs объектные vs притяжательные — сопоставление</t>
        </is>
      </c>
      <c r="F410" s="9" t="inlineStr">
        <is>
          <t>10+</t>
        </is>
      </c>
      <c r="G410" s="9" t="inlineStr"/>
      <c r="H410" s="9" t="inlineStr"/>
      <c r="I410" s="15" t="inlineStr">
        <is>
          <t>М4 (4a) · новое</t>
        </is>
      </c>
      <c r="J410" s="9" t="inlineStr"/>
      <c r="K410" s="9" t="inlineStr"/>
      <c r="L410" s="9" t="inlineStr"/>
      <c r="M410" s="9" t="inlineStr"/>
      <c r="N410" s="9" t="inlineStr"/>
      <c r="O410" s="9" t="inlineStr"/>
      <c r="P410" s="16" t="inlineStr">
        <is>
          <t>—</t>
        </is>
      </c>
      <c r="Q410" s="17" t="inlineStr"/>
      <c r="R410" s="13" t="inlineStr">
        <is>
          <t>нет</t>
        </is>
      </c>
      <c r="S410" s="9" t="inlineStr"/>
      <c r="T410" s="9" t="inlineStr"/>
    </row>
    <row r="411">
      <c r="A411" s="4" t="n">
        <v>410</v>
      </c>
      <c r="B411" s="4" t="inlineStr">
        <is>
          <t>Грамматика</t>
        </is>
      </c>
      <c r="C411" s="4" t="inlineStr">
        <is>
          <t>Местоимения</t>
        </is>
      </c>
      <c r="D411" s="5" t="inlineStr">
        <is>
          <t>Personal pronouns (subject)</t>
        </is>
      </c>
      <c r="E411" s="4" t="inlineStr">
        <is>
          <t>Personal pronouns: формы I, you, he, she, it, we, you, they</t>
        </is>
      </c>
      <c r="F411" s="4" t="inlineStr">
        <is>
          <t>10+</t>
        </is>
      </c>
      <c r="G411" s="4" t="inlineStr"/>
      <c r="H411" s="4" t="inlineStr"/>
      <c r="I411" s="18" t="inlineStr">
        <is>
          <t>М1 (1b) · новое</t>
        </is>
      </c>
      <c r="J411" s="7" t="inlineStr">
        <is>
          <t>М1 · повт.</t>
        </is>
      </c>
      <c r="K411" s="4" t="inlineStr"/>
      <c r="L411" s="4" t="inlineStr"/>
      <c r="M411" s="4" t="inlineStr"/>
      <c r="N411" s="4" t="inlineStr"/>
      <c r="O411" s="4" t="inlineStr"/>
      <c r="P411" s="19" t="inlineStr">
        <is>
          <t>—</t>
        </is>
      </c>
      <c r="Q411" s="20" t="inlineStr"/>
      <c r="R411" s="8" t="inlineStr">
        <is>
          <t>нет</t>
        </is>
      </c>
      <c r="S411" s="4" t="inlineStr"/>
      <c r="T411" s="4" t="inlineStr"/>
    </row>
    <row r="412">
      <c r="A412" s="9" t="n">
        <v>411</v>
      </c>
      <c r="B412" s="9" t="inlineStr">
        <is>
          <t>Грамматика</t>
        </is>
      </c>
      <c r="C412" s="9" t="inlineStr">
        <is>
          <t>Местоимения</t>
        </is>
      </c>
      <c r="D412" s="10" t="inlineStr">
        <is>
          <t>Personal pronouns (subject)</t>
        </is>
      </c>
      <c r="E412" s="9" t="inlineStr">
        <is>
          <t>Personal pronouns: употребление — подлежащее вместо существительного</t>
        </is>
      </c>
      <c r="F412" s="9" t="inlineStr">
        <is>
          <t>10+</t>
        </is>
      </c>
      <c r="G412" s="9" t="inlineStr"/>
      <c r="H412" s="9" t="inlineStr"/>
      <c r="I412" s="15" t="inlineStr">
        <is>
          <t>М1 (1b) · новое</t>
        </is>
      </c>
      <c r="J412" s="12" t="inlineStr">
        <is>
          <t>М1 · повт.</t>
        </is>
      </c>
      <c r="K412" s="9" t="inlineStr"/>
      <c r="L412" s="9" t="inlineStr"/>
      <c r="M412" s="9" t="inlineStr"/>
      <c r="N412" s="9" t="inlineStr"/>
      <c r="O412" s="9" t="inlineStr"/>
      <c r="P412" s="16" t="inlineStr">
        <is>
          <t>—</t>
        </is>
      </c>
      <c r="Q412" s="17" t="inlineStr"/>
      <c r="R412" s="13" t="inlineStr">
        <is>
          <t>нет</t>
        </is>
      </c>
      <c r="S412" s="9" t="inlineStr"/>
      <c r="T412" s="9" t="inlineStr"/>
    </row>
    <row r="413">
      <c r="A413" s="9" t="n">
        <v>412</v>
      </c>
      <c r="B413" s="9" t="inlineStr">
        <is>
          <t>Грамматика</t>
        </is>
      </c>
      <c r="C413" s="9" t="inlineStr">
        <is>
          <t>Местоимения</t>
        </is>
      </c>
      <c r="D413" s="10" t="inlineStr">
        <is>
          <t>Personal pronouns (subject)</t>
        </is>
      </c>
      <c r="E413" s="9" t="inlineStr">
        <is>
          <t>Personal pronouns: he/she vs it vs they — выбор местоимения</t>
        </is>
      </c>
      <c r="F413" s="9" t="inlineStr">
        <is>
          <t>10+</t>
        </is>
      </c>
      <c r="G413" s="9" t="inlineStr"/>
      <c r="H413" s="9" t="inlineStr"/>
      <c r="I413" s="15" t="inlineStr">
        <is>
          <t>М1 (1b) · новое</t>
        </is>
      </c>
      <c r="J413" s="12" t="inlineStr">
        <is>
          <t>М1 · повт.</t>
        </is>
      </c>
      <c r="K413" s="9" t="inlineStr"/>
      <c r="L413" s="9" t="inlineStr"/>
      <c r="M413" s="9" t="inlineStr"/>
      <c r="N413" s="9" t="inlineStr"/>
      <c r="O413" s="9" t="inlineStr"/>
      <c r="P413" s="16" t="inlineStr">
        <is>
          <t>—</t>
        </is>
      </c>
      <c r="Q413" s="17" t="inlineStr"/>
      <c r="R413" s="13" t="inlineStr">
        <is>
          <t>нет</t>
        </is>
      </c>
      <c r="S413" s="9" t="inlineStr"/>
      <c r="T413" s="9" t="inlineStr"/>
    </row>
    <row r="414">
      <c r="A414" s="4" t="n">
        <v>413</v>
      </c>
      <c r="B414" s="4" t="inlineStr">
        <is>
          <t>Грамматика</t>
        </is>
      </c>
      <c r="C414" s="4" t="inlineStr">
        <is>
          <t>Местоимения</t>
        </is>
      </c>
      <c r="D414" s="5" t="inlineStr">
        <is>
          <t>Possessive pronouns</t>
        </is>
      </c>
      <c r="E414" s="4" t="inlineStr">
        <is>
          <t>Possessive pronouns: формы mine, yours, his, hers, its, ours, theirs — без существительного</t>
        </is>
      </c>
      <c r="F414" s="4" t="inlineStr">
        <is>
          <t>10+</t>
        </is>
      </c>
      <c r="G414" s="4" t="inlineStr"/>
      <c r="H414" s="4" t="inlineStr"/>
      <c r="I414" s="4" t="inlineStr"/>
      <c r="J414" s="18" t="inlineStr">
        <is>
          <t>М1 (1b) · новое</t>
        </is>
      </c>
      <c r="K414" s="4" t="inlineStr"/>
      <c r="L414" s="4" t="inlineStr"/>
      <c r="M414" s="4" t="inlineStr"/>
      <c r="N414" s="4" t="inlineStr"/>
      <c r="O414" s="4" t="inlineStr"/>
      <c r="P414" s="19" t="inlineStr">
        <is>
          <t>—</t>
        </is>
      </c>
      <c r="Q414" s="20" t="inlineStr"/>
      <c r="R414" s="8" t="inlineStr">
        <is>
          <t>нет</t>
        </is>
      </c>
      <c r="S414" s="4" t="inlineStr"/>
      <c r="T414" s="4" t="inlineStr"/>
    </row>
    <row r="415">
      <c r="A415" s="9" t="n">
        <v>414</v>
      </c>
      <c r="B415" s="9" t="inlineStr">
        <is>
          <t>Грамматика</t>
        </is>
      </c>
      <c r="C415" s="9" t="inlineStr">
        <is>
          <t>Местоимения</t>
        </is>
      </c>
      <c r="D415" s="10" t="inlineStr">
        <is>
          <t>Possessive pronouns</t>
        </is>
      </c>
      <c r="E415" s="9" t="inlineStr">
        <is>
          <t>Possessive pronouns: my vs mine — сопоставление основной и абсолютной формы</t>
        </is>
      </c>
      <c r="F415" s="9" t="inlineStr">
        <is>
          <t>10+</t>
        </is>
      </c>
      <c r="G415" s="9" t="inlineStr"/>
      <c r="H415" s="9" t="inlineStr"/>
      <c r="I415" s="9" t="inlineStr"/>
      <c r="J415" s="15" t="inlineStr">
        <is>
          <t>М1 (1b) · новое</t>
        </is>
      </c>
      <c r="K415" s="9" t="inlineStr"/>
      <c r="L415" s="9" t="inlineStr"/>
      <c r="M415" s="9" t="inlineStr"/>
      <c r="N415" s="9" t="inlineStr"/>
      <c r="O415" s="9" t="inlineStr"/>
      <c r="P415" s="16" t="inlineStr">
        <is>
          <t>—</t>
        </is>
      </c>
      <c r="Q415" s="17" t="inlineStr"/>
      <c r="R415" s="13" t="inlineStr">
        <is>
          <t>нет</t>
        </is>
      </c>
      <c r="S415" s="9" t="inlineStr"/>
      <c r="T415" s="9" t="inlineStr"/>
    </row>
    <row r="416">
      <c r="A416" s="4" t="n">
        <v>415</v>
      </c>
      <c r="B416" s="4" t="inlineStr">
        <is>
          <t>Грамматика</t>
        </is>
      </c>
      <c r="C416" s="4" t="inlineStr">
        <is>
          <t>Местоимения</t>
        </is>
      </c>
      <c r="D416" s="5" t="inlineStr">
        <is>
          <t>Reflexive pronouns</t>
        </is>
      </c>
      <c r="E416" s="4" t="inlineStr">
        <is>
          <t>Reflexive pronouns: формы myself … themselves</t>
        </is>
      </c>
      <c r="F416" s="4" t="inlineStr">
        <is>
          <t>10+</t>
        </is>
      </c>
      <c r="G416" s="4" t="inlineStr"/>
      <c r="H416" s="4" t="inlineStr"/>
      <c r="I416" s="4" t="inlineStr"/>
      <c r="J416" s="4" t="inlineStr"/>
      <c r="K416" s="18" t="inlineStr">
        <is>
          <t>М10 · новое</t>
        </is>
      </c>
      <c r="L416" s="4" t="inlineStr"/>
      <c r="M416" s="7" t="inlineStr">
        <is>
          <t>М6 (6d) · повт.</t>
        </is>
      </c>
      <c r="N416" s="4" t="inlineStr"/>
      <c r="O416" s="7" t="inlineStr">
        <is>
          <t>М4 · повт.</t>
        </is>
      </c>
      <c r="P416" s="19" t="inlineStr">
        <is>
          <t>—</t>
        </is>
      </c>
      <c r="Q416" s="20" t="inlineStr"/>
      <c r="R416" s="8" t="inlineStr">
        <is>
          <t>нет</t>
        </is>
      </c>
      <c r="S416" s="4" t="inlineStr"/>
      <c r="T416" s="4" t="inlineStr"/>
    </row>
    <row r="417">
      <c r="A417" s="9" t="n">
        <v>416</v>
      </c>
      <c r="B417" s="9" t="inlineStr">
        <is>
          <t>Грамматика</t>
        </is>
      </c>
      <c r="C417" s="9" t="inlineStr">
        <is>
          <t>Местоимения</t>
        </is>
      </c>
      <c r="D417" s="10" t="inlineStr">
        <is>
          <t>Reflexive pronouns</t>
        </is>
      </c>
      <c r="E417" s="9" t="inlineStr">
        <is>
          <t>Reflexive pronouns: подлежащее = дополнение (cut himself)</t>
        </is>
      </c>
      <c r="F417" s="9" t="inlineStr">
        <is>
          <t>10+</t>
        </is>
      </c>
      <c r="G417" s="9" t="inlineStr"/>
      <c r="H417" s="9" t="inlineStr"/>
      <c r="I417" s="9" t="inlineStr"/>
      <c r="J417" s="9" t="inlineStr"/>
      <c r="K417" s="15" t="inlineStr">
        <is>
          <t>М10 · новое</t>
        </is>
      </c>
      <c r="L417" s="9" t="inlineStr"/>
      <c r="M417" s="14" t="inlineStr">
        <is>
          <t>М6 (6d) · расш.</t>
        </is>
      </c>
      <c r="N417" s="9" t="inlineStr"/>
      <c r="O417" s="12" t="inlineStr">
        <is>
          <t>М4 · повт.</t>
        </is>
      </c>
      <c r="P417" s="16" t="inlineStr">
        <is>
          <t>—</t>
        </is>
      </c>
      <c r="Q417" s="17" t="inlineStr"/>
      <c r="R417" s="13" t="inlineStr">
        <is>
          <t>нет</t>
        </is>
      </c>
      <c r="S417" s="9" t="inlineStr"/>
      <c r="T417" s="9" t="inlineStr"/>
    </row>
    <row r="418">
      <c r="A418" s="9" t="n">
        <v>417</v>
      </c>
      <c r="B418" s="9" t="inlineStr">
        <is>
          <t>Грамматика</t>
        </is>
      </c>
      <c r="C418" s="9" t="inlineStr">
        <is>
          <t>Местоимения</t>
        </is>
      </c>
      <c r="D418" s="10" t="inlineStr">
        <is>
          <t>Reflexive pronouns</t>
        </is>
      </c>
      <c r="E418" s="9" t="inlineStr">
        <is>
          <t>Reflexive pronouns: эмфатическое — «сам» (She will cut the cake herself)</t>
        </is>
      </c>
      <c r="F418" s="9" t="inlineStr">
        <is>
          <t>10+</t>
        </is>
      </c>
      <c r="G418" s="9" t="inlineStr"/>
      <c r="H418" s="9" t="inlineStr"/>
      <c r="I418" s="9" t="inlineStr"/>
      <c r="J418" s="9" t="inlineStr"/>
      <c r="K418" s="15" t="inlineStr">
        <is>
          <t>М10 · новое</t>
        </is>
      </c>
      <c r="L418" s="9" t="inlineStr"/>
      <c r="M418" s="12" t="inlineStr">
        <is>
          <t>М6 (6d) · повт.</t>
        </is>
      </c>
      <c r="N418" s="9" t="inlineStr"/>
      <c r="O418" s="9" t="inlineStr"/>
      <c r="P418" s="16" t="inlineStr">
        <is>
          <t>—</t>
        </is>
      </c>
      <c r="Q418" s="17" t="inlineStr"/>
      <c r="R418" s="13" t="inlineStr">
        <is>
          <t>нет</t>
        </is>
      </c>
      <c r="S418" s="9" t="inlineStr"/>
      <c r="T418" s="9" t="inlineStr"/>
    </row>
    <row r="419">
      <c r="A419" s="9" t="n">
        <v>418</v>
      </c>
      <c r="B419" s="9" t="inlineStr">
        <is>
          <t>Грамматика</t>
        </is>
      </c>
      <c r="C419" s="9" t="inlineStr">
        <is>
          <t>Местоимения</t>
        </is>
      </c>
      <c r="D419" s="10" t="inlineStr">
        <is>
          <t>Reflexive pronouns</t>
        </is>
      </c>
      <c r="E419" s="9" t="inlineStr">
        <is>
          <t>Reflexive pronouns: by myself — «сам, в одиночку»</t>
        </is>
      </c>
      <c r="F419" s="9" t="inlineStr">
        <is>
          <t>10+</t>
        </is>
      </c>
      <c r="G419" s="9" t="inlineStr"/>
      <c r="H419" s="9" t="inlineStr"/>
      <c r="I419" s="9" t="inlineStr"/>
      <c r="J419" s="9" t="inlineStr"/>
      <c r="K419" s="15" t="inlineStr">
        <is>
          <t>М10 · новое</t>
        </is>
      </c>
      <c r="L419" s="9" t="inlineStr"/>
      <c r="M419" s="12" t="inlineStr">
        <is>
          <t>М6 (6d) · повт.</t>
        </is>
      </c>
      <c r="N419" s="9" t="inlineStr"/>
      <c r="O419" s="12" t="inlineStr">
        <is>
          <t>М4 · повт.</t>
        </is>
      </c>
      <c r="P419" s="16" t="inlineStr">
        <is>
          <t>—</t>
        </is>
      </c>
      <c r="Q419" s="17" t="inlineStr"/>
      <c r="R419" s="13" t="inlineStr">
        <is>
          <t>нет</t>
        </is>
      </c>
      <c r="S419" s="9" t="inlineStr"/>
      <c r="T419" s="9" t="inlineStr"/>
    </row>
    <row r="420">
      <c r="A420" s="9" t="n">
        <v>419</v>
      </c>
      <c r="B420" s="9" t="inlineStr">
        <is>
          <t>Грамматика</t>
        </is>
      </c>
      <c r="C420" s="9" t="inlineStr">
        <is>
          <t>Местоимения</t>
        </is>
      </c>
      <c r="D420" s="10" t="inlineStr">
        <is>
          <t>Reflexive pronouns</t>
        </is>
      </c>
      <c r="E420" s="9" t="inlineStr">
        <is>
          <t>Reflexive pronouns: глаголы без возвратного местоимения (wash, dress, meet)</t>
        </is>
      </c>
      <c r="F420" s="9" t="inlineStr">
        <is>
          <t>10+</t>
        </is>
      </c>
      <c r="G420" s="9" t="inlineStr"/>
      <c r="H420" s="9" t="inlineStr"/>
      <c r="I420" s="9" t="inlineStr"/>
      <c r="J420" s="9" t="inlineStr"/>
      <c r="K420" s="15" t="inlineStr">
        <is>
          <t>М10 · новое</t>
        </is>
      </c>
      <c r="L420" s="9" t="inlineStr"/>
      <c r="M420" s="14" t="inlineStr">
        <is>
          <t>М6 (6d) · расш.</t>
        </is>
      </c>
      <c r="N420" s="9" t="inlineStr"/>
      <c r="O420" s="14" t="inlineStr">
        <is>
          <t>М4 · расш.</t>
        </is>
      </c>
      <c r="P420" s="16" t="inlineStr">
        <is>
          <t>—</t>
        </is>
      </c>
      <c r="Q420" s="17" t="inlineStr"/>
      <c r="R420" s="13" t="inlineStr">
        <is>
          <t>нет</t>
        </is>
      </c>
      <c r="S420" s="9" t="inlineStr"/>
      <c r="T420" s="9" t="inlineStr"/>
    </row>
    <row r="421">
      <c r="A421" s="9" t="n">
        <v>420</v>
      </c>
      <c r="B421" s="9" t="inlineStr">
        <is>
          <t>Грамматика</t>
        </is>
      </c>
      <c r="C421" s="9" t="inlineStr">
        <is>
          <t>Местоимения</t>
        </is>
      </c>
      <c r="D421" s="10" t="inlineStr">
        <is>
          <t>Reflexive pronouns</t>
        </is>
      </c>
      <c r="E421" s="9" t="inlineStr">
        <is>
          <t>Reflexive pronouns: после be, feel, look, seem</t>
        </is>
      </c>
      <c r="F421" s="9" t="inlineStr">
        <is>
          <t>10+</t>
        </is>
      </c>
      <c r="G421" s="9" t="inlineStr"/>
      <c r="H421" s="9" t="inlineStr"/>
      <c r="I421" s="9" t="inlineStr"/>
      <c r="J421" s="9" t="inlineStr"/>
      <c r="K421" s="9" t="inlineStr"/>
      <c r="L421" s="9" t="inlineStr"/>
      <c r="M421" s="15" t="inlineStr">
        <is>
          <t>М6 (6d) · новое</t>
        </is>
      </c>
      <c r="N421" s="9" t="inlineStr"/>
      <c r="O421" s="12" t="inlineStr">
        <is>
          <t>М4 · повт.</t>
        </is>
      </c>
      <c r="P421" s="16" t="inlineStr">
        <is>
          <t>—</t>
        </is>
      </c>
      <c r="Q421" s="17" t="inlineStr"/>
      <c r="R421" s="13" t="inlineStr">
        <is>
          <t>нет</t>
        </is>
      </c>
      <c r="S421" s="9" t="inlineStr"/>
      <c r="T421" s="9" t="inlineStr"/>
    </row>
    <row r="422">
      <c r="A422" s="9" t="n">
        <v>421</v>
      </c>
      <c r="B422" s="9" t="inlineStr">
        <is>
          <t>Грамматика</t>
        </is>
      </c>
      <c r="C422" s="9" t="inlineStr">
        <is>
          <t>Местоимения</t>
        </is>
      </c>
      <c r="D422" s="10" t="inlineStr">
        <is>
          <t>Reflexive pronouns</t>
        </is>
      </c>
      <c r="E422" s="9" t="inlineStr">
        <is>
          <t>Reflexive pronouns: после предлогов (но не предлогов места)</t>
        </is>
      </c>
      <c r="F422" s="9" t="inlineStr">
        <is>
          <t>10+</t>
        </is>
      </c>
      <c r="G422" s="9" t="inlineStr"/>
      <c r="H422" s="9" t="inlineStr"/>
      <c r="I422" s="9" t="inlineStr"/>
      <c r="J422" s="9" t="inlineStr"/>
      <c r="K422" s="9" t="inlineStr"/>
      <c r="L422" s="9" t="inlineStr"/>
      <c r="M422" s="15" t="inlineStr">
        <is>
          <t>М6 (6d) · новое</t>
        </is>
      </c>
      <c r="N422" s="9" t="inlineStr"/>
      <c r="O422" s="12" t="inlineStr">
        <is>
          <t>М4 · повт.</t>
        </is>
      </c>
      <c r="P422" s="16" t="inlineStr">
        <is>
          <t>—</t>
        </is>
      </c>
      <c r="Q422" s="17" t="inlineStr"/>
      <c r="R422" s="13" t="inlineStr">
        <is>
          <t>нет</t>
        </is>
      </c>
      <c r="S422" s="9" t="inlineStr"/>
      <c r="T422" s="9" t="inlineStr"/>
    </row>
    <row r="423">
      <c r="A423" s="9" t="n">
        <v>422</v>
      </c>
      <c r="B423" s="9" t="inlineStr">
        <is>
          <t>Грамматика</t>
        </is>
      </c>
      <c r="C423" s="9" t="inlineStr">
        <is>
          <t>Местоимения</t>
        </is>
      </c>
      <c r="D423" s="10" t="inlineStr">
        <is>
          <t>Reflexive pronouns</t>
        </is>
      </c>
      <c r="E423" s="9" t="inlineStr">
        <is>
          <t>Reflexive pronouns: устойчивые выражения (Enjoy yourself!, Help yourself, Make yourself at home)</t>
        </is>
      </c>
      <c r="F423" s="9" t="inlineStr">
        <is>
          <t>10+</t>
        </is>
      </c>
      <c r="G423" s="9" t="inlineStr"/>
      <c r="H423" s="9" t="inlineStr"/>
      <c r="I423" s="9" t="inlineStr"/>
      <c r="J423" s="9" t="inlineStr"/>
      <c r="K423" s="9" t="inlineStr"/>
      <c r="L423" s="9" t="inlineStr"/>
      <c r="M423" s="15" t="inlineStr">
        <is>
          <t>М6 (6d) · новое</t>
        </is>
      </c>
      <c r="N423" s="9" t="inlineStr"/>
      <c r="O423" s="12" t="inlineStr">
        <is>
          <t>М4 · повт.</t>
        </is>
      </c>
      <c r="P423" s="16" t="inlineStr">
        <is>
          <t>—</t>
        </is>
      </c>
      <c r="Q423" s="17" t="inlineStr"/>
      <c r="R423" s="13" t="inlineStr">
        <is>
          <t>нет</t>
        </is>
      </c>
      <c r="S423" s="9" t="inlineStr"/>
      <c r="T423" s="9" t="inlineStr"/>
    </row>
    <row r="424">
      <c r="A424" s="4" t="n">
        <v>423</v>
      </c>
      <c r="B424" s="4" t="inlineStr">
        <is>
          <t>Грамматика</t>
        </is>
      </c>
      <c r="C424" s="4" t="inlineStr">
        <is>
          <t>Местоимения</t>
        </is>
      </c>
      <c r="D424" s="5" t="inlineStr">
        <is>
          <t>Determiners (every/each)</t>
        </is>
      </c>
      <c r="E424" s="4" t="inlineStr">
        <is>
          <t>Determiners (every/each): every + ед. ч. — вся группа (= all)</t>
        </is>
      </c>
      <c r="F424" s="4" t="inlineStr">
        <is>
          <t>10+</t>
        </is>
      </c>
      <c r="G424" s="4" t="inlineStr"/>
      <c r="H424" s="4" t="inlineStr"/>
      <c r="I424" s="4" t="inlineStr"/>
      <c r="J424" s="4" t="inlineStr"/>
      <c r="K424" s="4" t="inlineStr"/>
      <c r="L424" s="4" t="inlineStr"/>
      <c r="M424" s="18" t="inlineStr">
        <is>
          <t>М8 (8d) · новое</t>
        </is>
      </c>
      <c r="N424" s="7" t="inlineStr">
        <is>
          <t>М5 (5c) · повт.</t>
        </is>
      </c>
      <c r="O424" s="4" t="inlineStr"/>
      <c r="P424" s="19" t="inlineStr">
        <is>
          <t>—</t>
        </is>
      </c>
      <c r="Q424" s="20" t="inlineStr"/>
      <c r="R424" s="8" t="inlineStr">
        <is>
          <t>нет</t>
        </is>
      </c>
      <c r="S424" s="4" t="inlineStr"/>
      <c r="T424" s="4" t="inlineStr"/>
    </row>
    <row r="425">
      <c r="A425" s="9" t="n">
        <v>424</v>
      </c>
      <c r="B425" s="9" t="inlineStr">
        <is>
          <t>Грамматика</t>
        </is>
      </c>
      <c r="C425" s="9" t="inlineStr">
        <is>
          <t>Местоимения</t>
        </is>
      </c>
      <c r="D425" s="10" t="inlineStr">
        <is>
          <t>Determiners (every/each)</t>
        </is>
      </c>
      <c r="E425" s="9" t="inlineStr">
        <is>
          <t>Determiners (every/each): each + ед. ч. — каждый в отдельности</t>
        </is>
      </c>
      <c r="F425" s="9" t="inlineStr">
        <is>
          <t>10+</t>
        </is>
      </c>
      <c r="G425" s="9" t="inlineStr"/>
      <c r="H425" s="9" t="inlineStr"/>
      <c r="I425" s="9" t="inlineStr"/>
      <c r="J425" s="9" t="inlineStr"/>
      <c r="K425" s="9" t="inlineStr"/>
      <c r="L425" s="9" t="inlineStr"/>
      <c r="M425" s="15" t="inlineStr">
        <is>
          <t>М8 (8d) · новое</t>
        </is>
      </c>
      <c r="N425" s="12" t="inlineStr">
        <is>
          <t>М5 (5c) · повт.</t>
        </is>
      </c>
      <c r="O425" s="9" t="inlineStr"/>
      <c r="P425" s="16" t="inlineStr">
        <is>
          <t>—</t>
        </is>
      </c>
      <c r="Q425" s="17" t="inlineStr"/>
      <c r="R425" s="13" t="inlineStr">
        <is>
          <t>нет</t>
        </is>
      </c>
      <c r="S425" s="9" t="inlineStr"/>
      <c r="T425" s="9" t="inlineStr"/>
    </row>
    <row r="426">
      <c r="A426" s="9" t="n">
        <v>425</v>
      </c>
      <c r="B426" s="9" t="inlineStr">
        <is>
          <t>Грамматика</t>
        </is>
      </c>
      <c r="C426" s="9" t="inlineStr">
        <is>
          <t>Местоимения</t>
        </is>
      </c>
      <c r="D426" s="10" t="inlineStr">
        <is>
          <t>Determiners (every/each)</t>
        </is>
      </c>
      <c r="E426" s="9" t="inlineStr">
        <is>
          <t>Determiners (every/each): every vs each — о двух vs о трёх и более</t>
        </is>
      </c>
      <c r="F426" s="9" t="inlineStr">
        <is>
          <t>10+</t>
        </is>
      </c>
      <c r="G426" s="9" t="inlineStr"/>
      <c r="H426" s="9" t="inlineStr"/>
      <c r="I426" s="9" t="inlineStr"/>
      <c r="J426" s="9" t="inlineStr"/>
      <c r="K426" s="9" t="inlineStr"/>
      <c r="L426" s="9" t="inlineStr"/>
      <c r="M426" s="15" t="inlineStr">
        <is>
          <t>М8 (8d) · новое</t>
        </is>
      </c>
      <c r="N426" s="12" t="inlineStr">
        <is>
          <t>М5 (5c) · повт.</t>
        </is>
      </c>
      <c r="O426" s="9" t="inlineStr"/>
      <c r="P426" s="16" t="inlineStr">
        <is>
          <t>—</t>
        </is>
      </c>
      <c r="Q426" s="17" t="inlineStr"/>
      <c r="R426" s="13" t="inlineStr">
        <is>
          <t>нет</t>
        </is>
      </c>
      <c r="S426" s="9" t="inlineStr"/>
      <c r="T426" s="9" t="inlineStr"/>
    </row>
    <row r="427">
      <c r="A427" s="9" t="n">
        <v>426</v>
      </c>
      <c r="B427" s="9" t="inlineStr">
        <is>
          <t>Грамматика</t>
        </is>
      </c>
      <c r="C427" s="9" t="inlineStr">
        <is>
          <t>Местоимения</t>
        </is>
      </c>
      <c r="D427" s="10" t="inlineStr">
        <is>
          <t>Determiners (every/each)</t>
        </is>
      </c>
      <c r="E427" s="9" t="inlineStr">
        <is>
          <t>Determiners (every/each): each (one) of / every one of</t>
        </is>
      </c>
      <c r="F427" s="9" t="inlineStr">
        <is>
          <t>10+</t>
        </is>
      </c>
      <c r="G427" s="9" t="inlineStr"/>
      <c r="H427" s="9" t="inlineStr"/>
      <c r="I427" s="9" t="inlineStr"/>
      <c r="J427" s="9" t="inlineStr"/>
      <c r="K427" s="9" t="inlineStr"/>
      <c r="L427" s="9" t="inlineStr"/>
      <c r="M427" s="15" t="inlineStr">
        <is>
          <t>М8 (8d) · новое</t>
        </is>
      </c>
      <c r="N427" s="12" t="inlineStr">
        <is>
          <t>М5 (5c) · повт.</t>
        </is>
      </c>
      <c r="O427" s="9" t="inlineStr"/>
      <c r="P427" s="16" t="inlineStr">
        <is>
          <t>—</t>
        </is>
      </c>
      <c r="Q427" s="17" t="inlineStr"/>
      <c r="R427" s="13" t="inlineStr">
        <is>
          <t>нет</t>
        </is>
      </c>
      <c r="S427" s="9" t="inlineStr"/>
      <c r="T427" s="9" t="inlineStr"/>
    </row>
    <row r="428">
      <c r="A428" s="4" t="n">
        <v>427</v>
      </c>
      <c r="B428" s="4" t="inlineStr">
        <is>
          <t>Грамматика</t>
        </is>
      </c>
      <c r="C428" s="4" t="inlineStr">
        <is>
          <t>Местоимения</t>
        </is>
      </c>
      <c r="D428" s="5" t="inlineStr">
        <is>
          <t>Indefinite pronouns (some-/any-/no-/every-)</t>
        </is>
      </c>
      <c r="E428" s="4" t="inlineStr">
        <is>
          <t>Indefinite pronouns: some/any/no + неисчисляемые и мн. ч.</t>
        </is>
      </c>
      <c r="F428" s="4" t="inlineStr">
        <is>
          <t>10+</t>
        </is>
      </c>
      <c r="G428" s="4" t="inlineStr"/>
      <c r="H428" s="4" t="inlineStr"/>
      <c r="I428" s="4" t="inlineStr"/>
      <c r="J428" s="4" t="inlineStr"/>
      <c r="K428" s="4" t="inlineStr"/>
      <c r="L428" s="4" t="inlineStr"/>
      <c r="M428" s="18" t="inlineStr">
        <is>
          <t>М8 (8d) · новое</t>
        </is>
      </c>
      <c r="N428" s="7" t="inlineStr">
        <is>
          <t>М5 (5c) · повт.</t>
        </is>
      </c>
      <c r="O428" s="7" t="inlineStr">
        <is>
          <t>М8 (8c) · повт.</t>
        </is>
      </c>
      <c r="P428" s="19" t="inlineStr">
        <is>
          <t>—</t>
        </is>
      </c>
      <c r="Q428" s="20" t="inlineStr"/>
      <c r="R428" s="8" t="inlineStr">
        <is>
          <t>нет</t>
        </is>
      </c>
      <c r="S428" s="4" t="inlineStr"/>
      <c r="T428" s="4" t="inlineStr"/>
    </row>
    <row r="429">
      <c r="A429" s="9" t="n">
        <v>428</v>
      </c>
      <c r="B429" s="9" t="inlineStr">
        <is>
          <t>Грамматика</t>
        </is>
      </c>
      <c r="C429" s="9" t="inlineStr">
        <is>
          <t>Местоимения</t>
        </is>
      </c>
      <c r="D429" s="10" t="inlineStr">
        <is>
          <t>Indefinite pronouns (some-/any-/no-/every-)</t>
        </is>
      </c>
      <c r="E429" s="9" t="inlineStr">
        <is>
          <t>Indefinite pronouns: производные — люди, вещи, места (somebody, anything, nowhere)</t>
        </is>
      </c>
      <c r="F429" s="9" t="inlineStr">
        <is>
          <t>10+</t>
        </is>
      </c>
      <c r="G429" s="9" t="inlineStr"/>
      <c r="H429" s="9" t="inlineStr"/>
      <c r="I429" s="9" t="inlineStr"/>
      <c r="J429" s="9" t="inlineStr"/>
      <c r="K429" s="9" t="inlineStr"/>
      <c r="L429" s="9" t="inlineStr"/>
      <c r="M429" s="15" t="inlineStr">
        <is>
          <t>М8 (8d) · новое</t>
        </is>
      </c>
      <c r="N429" s="12" t="inlineStr">
        <is>
          <t>М5 (5c) · повт.</t>
        </is>
      </c>
      <c r="O429" s="12" t="inlineStr">
        <is>
          <t>М8 (8c) · повт.</t>
        </is>
      </c>
      <c r="P429" s="16" t="inlineStr">
        <is>
          <t>—</t>
        </is>
      </c>
      <c r="Q429" s="17" t="inlineStr"/>
      <c r="R429" s="13" t="inlineStr">
        <is>
          <t>нет</t>
        </is>
      </c>
      <c r="S429" s="9" t="inlineStr"/>
      <c r="T429" s="9" t="inlineStr"/>
    </row>
    <row r="430">
      <c r="A430" s="9" t="n">
        <v>429</v>
      </c>
      <c r="B430" s="9" t="inlineStr">
        <is>
          <t>Грамматика</t>
        </is>
      </c>
      <c r="C430" s="9" t="inlineStr">
        <is>
          <t>Местоимения</t>
        </is>
      </c>
      <c r="D430" s="10" t="inlineStr">
        <is>
          <t>Indefinite pronouns (some-/any-/no-/every-)</t>
        </is>
      </c>
      <c r="E430" s="9" t="inlineStr">
        <is>
          <t>Indefinite pronouns: some- — в утверждениях</t>
        </is>
      </c>
      <c r="F430" s="9" t="inlineStr">
        <is>
          <t>10+</t>
        </is>
      </c>
      <c r="G430" s="9" t="inlineStr"/>
      <c r="H430" s="9" t="inlineStr"/>
      <c r="I430" s="9" t="inlineStr"/>
      <c r="J430" s="9" t="inlineStr"/>
      <c r="K430" s="9" t="inlineStr"/>
      <c r="L430" s="9" t="inlineStr"/>
      <c r="M430" s="15" t="inlineStr">
        <is>
          <t>М8 (8d) · новое</t>
        </is>
      </c>
      <c r="N430" s="12" t="inlineStr">
        <is>
          <t>М5 (5c) · повт.</t>
        </is>
      </c>
      <c r="O430" s="12" t="inlineStr">
        <is>
          <t>М8 (8c) · повт.</t>
        </is>
      </c>
      <c r="P430" s="16" t="inlineStr">
        <is>
          <t>—</t>
        </is>
      </c>
      <c r="Q430" s="17" t="inlineStr"/>
      <c r="R430" s="13" t="inlineStr">
        <is>
          <t>нет</t>
        </is>
      </c>
      <c r="S430" s="9" t="inlineStr"/>
      <c r="T430" s="9" t="inlineStr"/>
    </row>
    <row r="431">
      <c r="A431" s="9" t="n">
        <v>430</v>
      </c>
      <c r="B431" s="9" t="inlineStr">
        <is>
          <t>Грамматика</t>
        </is>
      </c>
      <c r="C431" s="9" t="inlineStr">
        <is>
          <t>Местоимения</t>
        </is>
      </c>
      <c r="D431" s="10" t="inlineStr">
        <is>
          <t>Indefinite pronouns (some-/any-/no-/every-)</t>
        </is>
      </c>
      <c r="E431" s="9" t="inlineStr">
        <is>
          <t>Indefinite pronouns: some- в вопросах — предложения и просьбы</t>
        </is>
      </c>
      <c r="F431" s="9" t="inlineStr">
        <is>
          <t>10+</t>
        </is>
      </c>
      <c r="G431" s="9" t="inlineStr"/>
      <c r="H431" s="9" t="inlineStr"/>
      <c r="I431" s="9" t="inlineStr"/>
      <c r="J431" s="9" t="inlineStr"/>
      <c r="K431" s="9" t="inlineStr"/>
      <c r="L431" s="9" t="inlineStr"/>
      <c r="M431" s="15" t="inlineStr">
        <is>
          <t>М8 (8d) · новое</t>
        </is>
      </c>
      <c r="N431" s="12" t="inlineStr">
        <is>
          <t>М5 (5c) · повт.</t>
        </is>
      </c>
      <c r="O431" s="14" t="inlineStr">
        <is>
          <t>М8 (8c) · расш.</t>
        </is>
      </c>
      <c r="P431" s="16" t="inlineStr">
        <is>
          <t>—</t>
        </is>
      </c>
      <c r="Q431" s="17" t="inlineStr"/>
      <c r="R431" s="13" t="inlineStr">
        <is>
          <t>нет</t>
        </is>
      </c>
      <c r="S431" s="9" t="inlineStr"/>
      <c r="T431" s="9" t="inlineStr"/>
    </row>
    <row r="432">
      <c r="A432" s="9" t="n">
        <v>431</v>
      </c>
      <c r="B432" s="9" t="inlineStr">
        <is>
          <t>Грамматика</t>
        </is>
      </c>
      <c r="C432" s="9" t="inlineStr">
        <is>
          <t>Местоимения</t>
        </is>
      </c>
      <c r="D432" s="10" t="inlineStr">
        <is>
          <t>Indefinite pronouns (some-/any-/no-/every-)</t>
        </is>
      </c>
      <c r="E432" s="9" t="inlineStr">
        <is>
          <t>Indefinite pronouns: any- — в вопросах</t>
        </is>
      </c>
      <c r="F432" s="9" t="inlineStr">
        <is>
          <t>10+</t>
        </is>
      </c>
      <c r="G432" s="9" t="inlineStr"/>
      <c r="H432" s="9" t="inlineStr"/>
      <c r="I432" s="9" t="inlineStr"/>
      <c r="J432" s="9" t="inlineStr"/>
      <c r="K432" s="9" t="inlineStr"/>
      <c r="L432" s="9" t="inlineStr"/>
      <c r="M432" s="15" t="inlineStr">
        <is>
          <t>М8 (8d) · новое</t>
        </is>
      </c>
      <c r="N432" s="12" t="inlineStr">
        <is>
          <t>М5 (5c) · повт.</t>
        </is>
      </c>
      <c r="O432" s="12" t="inlineStr">
        <is>
          <t>М8 (8c) · повт.</t>
        </is>
      </c>
      <c r="P432" s="16" t="inlineStr">
        <is>
          <t>—</t>
        </is>
      </c>
      <c r="Q432" s="17" t="inlineStr"/>
      <c r="R432" s="13" t="inlineStr">
        <is>
          <t>нет</t>
        </is>
      </c>
      <c r="S432" s="9" t="inlineStr"/>
      <c r="T432" s="9" t="inlineStr"/>
    </row>
    <row r="433">
      <c r="A433" s="9" t="n">
        <v>432</v>
      </c>
      <c r="B433" s="9" t="inlineStr">
        <is>
          <t>Грамматика</t>
        </is>
      </c>
      <c r="C433" s="9" t="inlineStr">
        <is>
          <t>Местоимения</t>
        </is>
      </c>
      <c r="D433" s="10" t="inlineStr">
        <is>
          <t>Indefinite pronouns (some-/any-/no-/every-)</t>
        </is>
      </c>
      <c r="E433" s="9" t="inlineStr">
        <is>
          <t>Indefinite pronouns: not any- в отрицаниях; any после without, never, rarely</t>
        </is>
      </c>
      <c r="F433" s="9" t="inlineStr">
        <is>
          <t>10+</t>
        </is>
      </c>
      <c r="G433" s="9" t="inlineStr"/>
      <c r="H433" s="9" t="inlineStr"/>
      <c r="I433" s="9" t="inlineStr"/>
      <c r="J433" s="9" t="inlineStr"/>
      <c r="K433" s="9" t="inlineStr"/>
      <c r="L433" s="9" t="inlineStr"/>
      <c r="M433" s="15" t="inlineStr">
        <is>
          <t>М8 (8d) · новое</t>
        </is>
      </c>
      <c r="N433" s="12" t="inlineStr">
        <is>
          <t>М5 (5c) · повт.</t>
        </is>
      </c>
      <c r="O433" s="12" t="inlineStr">
        <is>
          <t>М8 (8c) · повт.</t>
        </is>
      </c>
      <c r="P433" s="16" t="inlineStr">
        <is>
          <t>—</t>
        </is>
      </c>
      <c r="Q433" s="17" t="inlineStr"/>
      <c r="R433" s="13" t="inlineStr">
        <is>
          <t>нет</t>
        </is>
      </c>
      <c r="S433" s="9" t="inlineStr"/>
      <c r="T433" s="9" t="inlineStr"/>
    </row>
    <row r="434">
      <c r="A434" s="9" t="n">
        <v>433</v>
      </c>
      <c r="B434" s="9" t="inlineStr">
        <is>
          <t>Грамматика</t>
        </is>
      </c>
      <c r="C434" s="9" t="inlineStr">
        <is>
          <t>Местоимения</t>
        </is>
      </c>
      <c r="D434" s="10" t="inlineStr">
        <is>
          <t>Indefinite pronouns (some-/any-/no-/every-)</t>
        </is>
      </c>
      <c r="E434" s="9" t="inlineStr">
        <is>
          <t>Indefinite pronouns: any в утверждении = «любой, неважно кто/что»</t>
        </is>
      </c>
      <c r="F434" s="9" t="inlineStr">
        <is>
          <t>10+</t>
        </is>
      </c>
      <c r="G434" s="9" t="inlineStr"/>
      <c r="H434" s="9" t="inlineStr"/>
      <c r="I434" s="9" t="inlineStr"/>
      <c r="J434" s="9" t="inlineStr"/>
      <c r="K434" s="9" t="inlineStr"/>
      <c r="L434" s="9" t="inlineStr"/>
      <c r="M434" s="15" t="inlineStr">
        <is>
          <t>М8 (8d) · новое</t>
        </is>
      </c>
      <c r="N434" s="12" t="inlineStr">
        <is>
          <t>М5 (5c) · повт.</t>
        </is>
      </c>
      <c r="O434" s="12" t="inlineStr">
        <is>
          <t>М8 (8c) · повт.</t>
        </is>
      </c>
      <c r="P434" s="16" t="inlineStr">
        <is>
          <t>—</t>
        </is>
      </c>
      <c r="Q434" s="17" t="inlineStr"/>
      <c r="R434" s="13" t="inlineStr">
        <is>
          <t>нет</t>
        </is>
      </c>
      <c r="S434" s="9" t="inlineStr"/>
      <c r="T434" s="9" t="inlineStr"/>
    </row>
    <row r="435">
      <c r="A435" s="9" t="n">
        <v>434</v>
      </c>
      <c r="B435" s="9" t="inlineStr">
        <is>
          <t>Грамматика</t>
        </is>
      </c>
      <c r="C435" s="9" t="inlineStr">
        <is>
          <t>Местоимения</t>
        </is>
      </c>
      <c r="D435" s="10" t="inlineStr">
        <is>
          <t>Indefinite pronouns (some-/any-/no-/every-)</t>
        </is>
      </c>
      <c r="E435" s="9" t="inlineStr">
        <is>
          <t>Indefinite pronouns: no- вместо not any (глагол утвердительный)</t>
        </is>
      </c>
      <c r="F435" s="9" t="inlineStr">
        <is>
          <t>10+</t>
        </is>
      </c>
      <c r="G435" s="9" t="inlineStr"/>
      <c r="H435" s="9" t="inlineStr"/>
      <c r="I435" s="9" t="inlineStr"/>
      <c r="J435" s="9" t="inlineStr"/>
      <c r="K435" s="9" t="inlineStr"/>
      <c r="L435" s="9" t="inlineStr"/>
      <c r="M435" s="15" t="inlineStr">
        <is>
          <t>М8 (8d) · новое</t>
        </is>
      </c>
      <c r="N435" s="14" t="inlineStr">
        <is>
          <t>М5 (5c) · расш.</t>
        </is>
      </c>
      <c r="O435" s="12" t="inlineStr">
        <is>
          <t>М8 (8c) · повт.</t>
        </is>
      </c>
      <c r="P435" s="16" t="inlineStr">
        <is>
          <t>—</t>
        </is>
      </c>
      <c r="Q435" s="17" t="inlineStr"/>
      <c r="R435" s="13" t="inlineStr">
        <is>
          <t>нет</t>
        </is>
      </c>
      <c r="S435" s="9" t="inlineStr"/>
      <c r="T435" s="9" t="inlineStr"/>
    </row>
    <row r="436">
      <c r="A436" s="9" t="n">
        <v>435</v>
      </c>
      <c r="B436" s="9" t="inlineStr">
        <is>
          <t>Грамматика</t>
        </is>
      </c>
      <c r="C436" s="9" t="inlineStr">
        <is>
          <t>Местоимения</t>
        </is>
      </c>
      <c r="D436" s="10" t="inlineStr">
        <is>
          <t>Indefinite pronouns (some-/any-/no-/every-)</t>
        </is>
      </c>
      <c r="E436" s="9" t="inlineStr">
        <is>
          <t>Indefinite pronouns: hardly any</t>
        </is>
      </c>
      <c r="F436" s="9" t="inlineStr">
        <is>
          <t>10+</t>
        </is>
      </c>
      <c r="G436" s="9" t="inlineStr"/>
      <c r="H436" s="9" t="inlineStr"/>
      <c r="I436" s="9" t="inlineStr"/>
      <c r="J436" s="9" t="inlineStr"/>
      <c r="K436" s="9" t="inlineStr"/>
      <c r="L436" s="9" t="inlineStr"/>
      <c r="M436" s="15" t="inlineStr">
        <is>
          <t>М8 (8d) · новое</t>
        </is>
      </c>
      <c r="N436" s="9" t="inlineStr"/>
      <c r="O436" s="12" t="inlineStr">
        <is>
          <t>М8 (8c) · повт.</t>
        </is>
      </c>
      <c r="P436" s="16" t="inlineStr">
        <is>
          <t>—</t>
        </is>
      </c>
      <c r="Q436" s="17" t="inlineStr"/>
      <c r="R436" s="13" t="inlineStr">
        <is>
          <t>нет</t>
        </is>
      </c>
      <c r="S436" s="9" t="inlineStr"/>
      <c r="T436" s="9" t="inlineStr"/>
    </row>
    <row r="437">
      <c r="A437" s="9" t="n">
        <v>436</v>
      </c>
      <c r="B437" s="9" t="inlineStr">
        <is>
          <t>Грамматика</t>
        </is>
      </c>
      <c r="C437" s="9" t="inlineStr">
        <is>
          <t>Местоимения</t>
        </is>
      </c>
      <c r="D437" s="10" t="inlineStr">
        <is>
          <t>Indefinite pronouns (some-/any-/no-/every-)</t>
        </is>
      </c>
      <c r="E437" s="9" t="inlineStr">
        <is>
          <t>Indefinite pronouns: every + ед. ч.; everybody, everything, everywhere</t>
        </is>
      </c>
      <c r="F437" s="9" t="inlineStr">
        <is>
          <t>10+</t>
        </is>
      </c>
      <c r="G437" s="9" t="inlineStr"/>
      <c r="H437" s="9" t="inlineStr"/>
      <c r="I437" s="9" t="inlineStr"/>
      <c r="J437" s="9" t="inlineStr"/>
      <c r="K437" s="9" t="inlineStr"/>
      <c r="L437" s="9" t="inlineStr"/>
      <c r="M437" s="15" t="inlineStr">
        <is>
          <t>М8 (8d) · новое</t>
        </is>
      </c>
      <c r="N437" s="9" t="inlineStr"/>
      <c r="O437" s="12" t="inlineStr">
        <is>
          <t>М8 (8c) · повт.</t>
        </is>
      </c>
      <c r="P437" s="16" t="inlineStr">
        <is>
          <t>—</t>
        </is>
      </c>
      <c r="Q437" s="17" t="inlineStr"/>
      <c r="R437" s="13" t="inlineStr">
        <is>
          <t>нет</t>
        </is>
      </c>
      <c r="S437" s="9" t="inlineStr"/>
      <c r="T437" s="9" t="inlineStr"/>
    </row>
    <row r="438">
      <c r="A438" s="9" t="n">
        <v>437</v>
      </c>
      <c r="B438" s="9" t="inlineStr">
        <is>
          <t>Грамматика</t>
        </is>
      </c>
      <c r="C438" s="9" t="inlineStr">
        <is>
          <t>Местоимения</t>
        </is>
      </c>
      <c r="D438" s="10" t="inlineStr">
        <is>
          <t>Indefinite pronouns (some-/any-/no-/every-)</t>
        </is>
      </c>
      <c r="E438" s="9" t="inlineStr">
        <is>
          <t>Indefinite pronouns: глагол после производных — в ед. ч.</t>
        </is>
      </c>
      <c r="F438" s="9" t="inlineStr">
        <is>
          <t>10+</t>
        </is>
      </c>
      <c r="G438" s="9" t="inlineStr"/>
      <c r="H438" s="9" t="inlineStr"/>
      <c r="I438" s="9" t="inlineStr"/>
      <c r="J438" s="9" t="inlineStr"/>
      <c r="K438" s="9" t="inlineStr"/>
      <c r="L438" s="9" t="inlineStr"/>
      <c r="M438" s="15" t="inlineStr">
        <is>
          <t>М8 (8d) · новое</t>
        </is>
      </c>
      <c r="N438" s="12" t="inlineStr">
        <is>
          <t>М5 (5c) · повт.</t>
        </is>
      </c>
      <c r="O438" s="12" t="inlineStr">
        <is>
          <t>М8 (8c) · повт.</t>
        </is>
      </c>
      <c r="P438" s="16" t="inlineStr">
        <is>
          <t>—</t>
        </is>
      </c>
      <c r="Q438" s="17" t="inlineStr"/>
      <c r="R438" s="13" t="inlineStr">
        <is>
          <t>нет</t>
        </is>
      </c>
      <c r="S438" s="9" t="inlineStr"/>
      <c r="T438" s="9" t="inlineStr"/>
    </row>
    <row r="439">
      <c r="A439" s="4" t="n">
        <v>438</v>
      </c>
      <c r="B439" s="4" t="inlineStr">
        <is>
          <t>Грамматика</t>
        </is>
      </c>
      <c r="C439" s="4" t="inlineStr">
        <is>
          <t>Местоимения</t>
        </is>
      </c>
      <c r="D439" s="5" t="inlineStr">
        <is>
          <t>Determiners (both/either/neither/all/none)</t>
        </is>
      </c>
      <c r="E439" s="4" t="inlineStr">
        <is>
          <t>Determiners: both — о двух, глагол во мн. ч.</t>
        </is>
      </c>
      <c r="F439" s="4" t="inlineStr">
        <is>
          <t>10+</t>
        </is>
      </c>
      <c r="G439" s="4" t="inlineStr"/>
      <c r="H439" s="4" t="inlineStr"/>
      <c r="I439" s="4" t="inlineStr"/>
      <c r="J439" s="4" t="inlineStr"/>
      <c r="K439" s="4" t="inlineStr"/>
      <c r="L439" s="4" t="inlineStr"/>
      <c r="M439" s="4" t="inlineStr"/>
      <c r="N439" s="4" t="inlineStr"/>
      <c r="O439" s="18" t="inlineStr">
        <is>
          <t>М8 (8c) · новое</t>
        </is>
      </c>
      <c r="P439" s="19" t="inlineStr">
        <is>
          <t>—</t>
        </is>
      </c>
      <c r="Q439" s="20" t="inlineStr"/>
      <c r="R439" s="8" t="inlineStr">
        <is>
          <t>нет</t>
        </is>
      </c>
      <c r="S439" s="4" t="inlineStr"/>
      <c r="T439" s="4" t="inlineStr"/>
    </row>
    <row r="440">
      <c r="A440" s="9" t="n">
        <v>439</v>
      </c>
      <c r="B440" s="9" t="inlineStr">
        <is>
          <t>Грамматика</t>
        </is>
      </c>
      <c r="C440" s="9" t="inlineStr">
        <is>
          <t>Местоимения</t>
        </is>
      </c>
      <c r="D440" s="10" t="inlineStr">
        <is>
          <t>Determiners (both/either/neither/all/none)</t>
        </is>
      </c>
      <c r="E440" s="9" t="inlineStr">
        <is>
          <t>Determiners: either / neither (+ of)</t>
        </is>
      </c>
      <c r="F440" s="9" t="inlineStr">
        <is>
          <t>10+</t>
        </is>
      </c>
      <c r="G440" s="9" t="inlineStr"/>
      <c r="H440" s="9" t="inlineStr"/>
      <c r="I440" s="9" t="inlineStr"/>
      <c r="J440" s="9" t="inlineStr"/>
      <c r="K440" s="9" t="inlineStr"/>
      <c r="L440" s="9" t="inlineStr"/>
      <c r="M440" s="9" t="inlineStr"/>
      <c r="N440" s="9" t="inlineStr"/>
      <c r="O440" s="15" t="inlineStr">
        <is>
          <t>М8 (8c) · новое</t>
        </is>
      </c>
      <c r="P440" s="16" t="inlineStr">
        <is>
          <t>—</t>
        </is>
      </c>
      <c r="Q440" s="17" t="inlineStr"/>
      <c r="R440" s="13" t="inlineStr">
        <is>
          <t>нет</t>
        </is>
      </c>
      <c r="S440" s="9" t="inlineStr"/>
      <c r="T440" s="9" t="inlineStr"/>
    </row>
    <row r="441">
      <c r="A441" s="9" t="n">
        <v>440</v>
      </c>
      <c r="B441" s="9" t="inlineStr">
        <is>
          <t>Грамматика</t>
        </is>
      </c>
      <c r="C441" s="9" t="inlineStr">
        <is>
          <t>Местоимения</t>
        </is>
      </c>
      <c r="D441" s="10" t="inlineStr">
        <is>
          <t>Determiners (both/either/neither/all/none)</t>
        </is>
      </c>
      <c r="E441" s="9" t="inlineStr">
        <is>
          <t>Determiners: all — о более чем двух; all + that-clause</t>
        </is>
      </c>
      <c r="F441" s="9" t="inlineStr">
        <is>
          <t>10+</t>
        </is>
      </c>
      <c r="G441" s="9" t="inlineStr"/>
      <c r="H441" s="9" t="inlineStr"/>
      <c r="I441" s="9" t="inlineStr"/>
      <c r="J441" s="9" t="inlineStr"/>
      <c r="K441" s="9" t="inlineStr"/>
      <c r="L441" s="9" t="inlineStr"/>
      <c r="M441" s="9" t="inlineStr"/>
      <c r="N441" s="9" t="inlineStr"/>
      <c r="O441" s="15" t="inlineStr">
        <is>
          <t>М8 (8c) · новое</t>
        </is>
      </c>
      <c r="P441" s="16" t="inlineStr">
        <is>
          <t>—</t>
        </is>
      </c>
      <c r="Q441" s="17" t="inlineStr"/>
      <c r="R441" s="13" t="inlineStr">
        <is>
          <t>нет</t>
        </is>
      </c>
      <c r="S441" s="9" t="inlineStr"/>
      <c r="T441" s="9" t="inlineStr"/>
    </row>
    <row r="442">
      <c r="A442" s="9" t="n">
        <v>441</v>
      </c>
      <c r="B442" s="9" t="inlineStr">
        <is>
          <t>Грамматика</t>
        </is>
      </c>
      <c r="C442" s="9" t="inlineStr">
        <is>
          <t>Местоимения</t>
        </is>
      </c>
      <c r="D442" s="10" t="inlineStr">
        <is>
          <t>Determiners (both/either/neither/all/none)</t>
        </is>
      </c>
      <c r="E442" s="9" t="inlineStr">
        <is>
          <t>Determiners: none / none of</t>
        </is>
      </c>
      <c r="F442" s="9" t="inlineStr">
        <is>
          <t>10+</t>
        </is>
      </c>
      <c r="G442" s="9" t="inlineStr"/>
      <c r="H442" s="9" t="inlineStr"/>
      <c r="I442" s="9" t="inlineStr"/>
      <c r="J442" s="9" t="inlineStr"/>
      <c r="K442" s="9" t="inlineStr"/>
      <c r="L442" s="9" t="inlineStr"/>
      <c r="M442" s="9" t="inlineStr"/>
      <c r="N442" s="9" t="inlineStr"/>
      <c r="O442" s="15" t="inlineStr">
        <is>
          <t>М8 (8c) · новое</t>
        </is>
      </c>
      <c r="P442" s="16" t="inlineStr">
        <is>
          <t>—</t>
        </is>
      </c>
      <c r="Q442" s="17" t="inlineStr"/>
      <c r="R442" s="13" t="inlineStr">
        <is>
          <t>нет</t>
        </is>
      </c>
      <c r="S442" s="9" t="inlineStr"/>
      <c r="T442" s="9" t="inlineStr"/>
    </row>
    <row r="443">
      <c r="A443" s="9" t="n">
        <v>442</v>
      </c>
      <c r="B443" s="9" t="inlineStr">
        <is>
          <t>Грамматика</t>
        </is>
      </c>
      <c r="C443" s="9" t="inlineStr">
        <is>
          <t>Местоимения</t>
        </is>
      </c>
      <c r="D443" s="10" t="inlineStr">
        <is>
          <t>Determiners (both/either/neither/all/none)</t>
        </is>
      </c>
      <c r="E443" s="9" t="inlineStr">
        <is>
          <t>Determiners: whole vs all (the whole morning = all morning)</t>
        </is>
      </c>
      <c r="F443" s="9" t="inlineStr">
        <is>
          <t>10+</t>
        </is>
      </c>
      <c r="G443" s="9" t="inlineStr"/>
      <c r="H443" s="9" t="inlineStr"/>
      <c r="I443" s="9" t="inlineStr"/>
      <c r="J443" s="9" t="inlineStr"/>
      <c r="K443" s="9" t="inlineStr"/>
      <c r="L443" s="9" t="inlineStr"/>
      <c r="M443" s="9" t="inlineStr"/>
      <c r="N443" s="9" t="inlineStr"/>
      <c r="O443" s="15" t="inlineStr">
        <is>
          <t>М8 (8c) · новое</t>
        </is>
      </c>
      <c r="P443" s="16" t="inlineStr">
        <is>
          <t>—</t>
        </is>
      </c>
      <c r="Q443" s="17" t="inlineStr"/>
      <c r="R443" s="13" t="inlineStr">
        <is>
          <t>нет</t>
        </is>
      </c>
      <c r="S443" s="9" t="inlineStr"/>
      <c r="T443" s="9" t="inlineStr"/>
    </row>
    <row r="444">
      <c r="A444" s="9" t="n">
        <v>443</v>
      </c>
      <c r="B444" s="9" t="inlineStr">
        <is>
          <t>Грамматика</t>
        </is>
      </c>
      <c r="C444" s="9" t="inlineStr">
        <is>
          <t>Местоимения</t>
        </is>
      </c>
      <c r="D444" s="10" t="inlineStr">
        <is>
          <t>Determiners (both/either/neither/all/none)</t>
        </is>
      </c>
      <c r="E444" s="9" t="inlineStr">
        <is>
          <t>Determiners: both/neither vs all/none — о двух vs о многих</t>
        </is>
      </c>
      <c r="F444" s="9" t="inlineStr">
        <is>
          <t>10+</t>
        </is>
      </c>
      <c r="G444" s="9" t="inlineStr"/>
      <c r="H444" s="9" t="inlineStr"/>
      <c r="I444" s="9" t="inlineStr"/>
      <c r="J444" s="9" t="inlineStr"/>
      <c r="K444" s="9" t="inlineStr"/>
      <c r="L444" s="9" t="inlineStr"/>
      <c r="M444" s="9" t="inlineStr"/>
      <c r="N444" s="9" t="inlineStr"/>
      <c r="O444" s="15" t="inlineStr">
        <is>
          <t>М8 (8c) · новое</t>
        </is>
      </c>
      <c r="P444" s="16" t="inlineStr">
        <is>
          <t>—</t>
        </is>
      </c>
      <c r="Q444" s="17" t="inlineStr"/>
      <c r="R444" s="13" t="inlineStr">
        <is>
          <t>нет</t>
        </is>
      </c>
      <c r="S444" s="9" t="inlineStr"/>
      <c r="T444" s="9" t="inlineStr"/>
    </row>
    <row r="445">
      <c r="A445" s="4" t="n">
        <v>444</v>
      </c>
      <c r="B445" s="4" t="inlineStr">
        <is>
          <t>Грамматика</t>
        </is>
      </c>
      <c r="C445" s="4" t="inlineStr">
        <is>
          <t>Прилагательные и наречия</t>
        </is>
      </c>
      <c r="D445" s="5" t="inlineStr">
        <is>
          <t>Adverbs of frequency</t>
        </is>
      </c>
      <c r="E445" s="4" t="inlineStr">
        <is>
          <t>Adverbs of frequency: значение — never, sometimes, usually, often, always</t>
        </is>
      </c>
      <c r="F445" s="4" t="inlineStr">
        <is>
          <t>10+</t>
        </is>
      </c>
      <c r="G445" s="4" t="inlineStr"/>
      <c r="H445" s="18" t="inlineStr">
        <is>
          <t>М2 · новое</t>
        </is>
      </c>
      <c r="I445" s="7" t="inlineStr">
        <is>
          <t>М6 (6a) · повт.</t>
        </is>
      </c>
      <c r="J445" s="7" t="inlineStr">
        <is>
          <t>М4 (4a) · повт.</t>
        </is>
      </c>
      <c r="K445" s="4" t="inlineStr"/>
      <c r="L445" s="4" t="inlineStr"/>
      <c r="M445" s="4" t="inlineStr"/>
      <c r="N445" s="4" t="inlineStr"/>
      <c r="O445" s="4" t="inlineStr"/>
      <c r="P445" s="19" t="inlineStr">
        <is>
          <t>—</t>
        </is>
      </c>
      <c r="Q445" s="20" t="inlineStr"/>
      <c r="R445" s="8" t="inlineStr">
        <is>
          <t>нет</t>
        </is>
      </c>
      <c r="S445" s="4" t="inlineStr"/>
      <c r="T445" s="4" t="inlineStr"/>
    </row>
    <row r="446">
      <c r="A446" s="9" t="n">
        <v>445</v>
      </c>
      <c r="B446" s="9" t="inlineStr">
        <is>
          <t>Грамматика</t>
        </is>
      </c>
      <c r="C446" s="9" t="inlineStr">
        <is>
          <t>Прилагательные и наречия</t>
        </is>
      </c>
      <c r="D446" s="10" t="inlineStr">
        <is>
          <t>Adverbs of frequency</t>
        </is>
      </c>
      <c r="E446" s="9" t="inlineStr">
        <is>
          <t>Adverbs of frequency: место — перед смысловым глаголом, после be</t>
        </is>
      </c>
      <c r="F446" s="9" t="inlineStr">
        <is>
          <t>10+</t>
        </is>
      </c>
      <c r="G446" s="9" t="inlineStr"/>
      <c r="H446" s="15" t="inlineStr">
        <is>
          <t>М2 · новое</t>
        </is>
      </c>
      <c r="I446" s="14" t="inlineStr">
        <is>
          <t>М6 (6a) · расш.</t>
        </is>
      </c>
      <c r="J446" s="12" t="inlineStr">
        <is>
          <t>М4 (4a) · повт.</t>
        </is>
      </c>
      <c r="K446" s="9" t="inlineStr"/>
      <c r="L446" s="12" t="inlineStr">
        <is>
          <t>М1 (1c) · повт.</t>
        </is>
      </c>
      <c r="M446" s="12" t="inlineStr">
        <is>
          <t>М1 (1c) · повт.</t>
        </is>
      </c>
      <c r="N446" s="12" t="inlineStr">
        <is>
          <t>М1 (1c) · повт.</t>
        </is>
      </c>
      <c r="O446" s="12" t="inlineStr">
        <is>
          <t>М1 (1c) · повт.</t>
        </is>
      </c>
      <c r="P446" s="16" t="inlineStr">
        <is>
          <t>—</t>
        </is>
      </c>
      <c r="Q446" s="17" t="inlineStr"/>
      <c r="R446" s="13" t="inlineStr">
        <is>
          <t>нет</t>
        </is>
      </c>
      <c r="S446" s="9" t="inlineStr"/>
      <c r="T446" s="9" t="inlineStr"/>
    </row>
    <row r="447">
      <c r="A447" s="9" t="n">
        <v>446</v>
      </c>
      <c r="B447" s="9" t="inlineStr">
        <is>
          <t>Грамматика</t>
        </is>
      </c>
      <c r="C447" s="9" t="inlineStr">
        <is>
          <t>Прилагательные и наречия</t>
        </is>
      </c>
      <c r="D447" s="10" t="inlineStr">
        <is>
          <t>Adverbs of frequency</t>
        </is>
      </c>
      <c r="E447" s="9" t="inlineStr">
        <is>
          <t>Adverbs of frequency: место — после вспомогательных и модальных глаголов</t>
        </is>
      </c>
      <c r="F447" s="9" t="inlineStr">
        <is>
          <t>10+</t>
        </is>
      </c>
      <c r="G447" s="9" t="inlineStr"/>
      <c r="H447" s="9" t="inlineStr"/>
      <c r="I447" s="15" t="inlineStr">
        <is>
          <t>М6 (6a) · новое</t>
        </is>
      </c>
      <c r="J447" s="12" t="inlineStr">
        <is>
          <t>М4 (4a) · повт.</t>
        </is>
      </c>
      <c r="K447" s="9" t="inlineStr"/>
      <c r="L447" s="12" t="inlineStr">
        <is>
          <t>М1 (1c) · повт.</t>
        </is>
      </c>
      <c r="M447" s="12" t="inlineStr">
        <is>
          <t>М1 (1c) · повт.</t>
        </is>
      </c>
      <c r="N447" s="12" t="inlineStr">
        <is>
          <t>М1 (1c) · повт.</t>
        </is>
      </c>
      <c r="O447" s="12" t="inlineStr">
        <is>
          <t>М1 (1c) · повт.</t>
        </is>
      </c>
      <c r="P447" s="16" t="inlineStr">
        <is>
          <t>—</t>
        </is>
      </c>
      <c r="Q447" s="17" t="inlineStr"/>
      <c r="R447" s="13" t="inlineStr">
        <is>
          <t>нет</t>
        </is>
      </c>
      <c r="S447" s="9" t="inlineStr"/>
      <c r="T447" s="9" t="inlineStr"/>
    </row>
    <row r="448">
      <c r="A448" s="9" t="n">
        <v>447</v>
      </c>
      <c r="B448" s="9" t="inlineStr">
        <is>
          <t>Грамматика</t>
        </is>
      </c>
      <c r="C448" s="9" t="inlineStr">
        <is>
          <t>Прилагательные и наречия</t>
        </is>
      </c>
      <c r="D448" s="10" t="inlineStr">
        <is>
          <t>Adverbs of frequency</t>
        </is>
      </c>
      <c r="E448" s="9" t="inlineStr">
        <is>
          <t>Adverbs of frequency: seldom / rarely</t>
        </is>
      </c>
      <c r="F448" s="9" t="inlineStr">
        <is>
          <t>10+</t>
        </is>
      </c>
      <c r="G448" s="9" t="inlineStr"/>
      <c r="H448" s="9" t="inlineStr"/>
      <c r="I448" s="9" t="inlineStr"/>
      <c r="J448" s="15" t="inlineStr">
        <is>
          <t>М4 (4a) · новое</t>
        </is>
      </c>
      <c r="K448" s="9" t="inlineStr"/>
      <c r="L448" s="9" t="inlineStr"/>
      <c r="M448" s="9" t="inlineStr"/>
      <c r="N448" s="9" t="inlineStr"/>
      <c r="O448" s="9" t="inlineStr"/>
      <c r="P448" s="16" t="inlineStr">
        <is>
          <t>—</t>
        </is>
      </c>
      <c r="Q448" s="17" t="inlineStr"/>
      <c r="R448" s="13" t="inlineStr">
        <is>
          <t>нет</t>
        </is>
      </c>
      <c r="S448" s="9" t="inlineStr"/>
      <c r="T448" s="9" t="inlineStr"/>
    </row>
    <row r="449">
      <c r="A449" s="9" t="n">
        <v>448</v>
      </c>
      <c r="B449" s="9" t="inlineStr">
        <is>
          <t>Грамматика</t>
        </is>
      </c>
      <c r="C449" s="9" t="inlineStr">
        <is>
          <t>Прилагательные и наречия</t>
        </is>
      </c>
      <c r="D449" s="10" t="inlineStr">
        <is>
          <t>Adverbs of frequency</t>
        </is>
      </c>
      <c r="E449" s="9" t="inlineStr">
        <is>
          <t>Adverbs of frequency: шкала частотности в % (always 100% … never 0%)</t>
        </is>
      </c>
      <c r="F449" s="9" t="inlineStr">
        <is>
          <t>10+</t>
        </is>
      </c>
      <c r="G449" s="9" t="inlineStr"/>
      <c r="H449" s="9" t="inlineStr"/>
      <c r="I449" s="9" t="inlineStr"/>
      <c r="J449" s="9" t="inlineStr"/>
      <c r="K449" s="9" t="inlineStr"/>
      <c r="L449" s="15" t="inlineStr">
        <is>
          <t>М1 (1c) · новое</t>
        </is>
      </c>
      <c r="M449" s="12" t="inlineStr">
        <is>
          <t>М1 (1c) · повт.</t>
        </is>
      </c>
      <c r="N449" s="12" t="inlineStr">
        <is>
          <t>М1 (1c) · повт.</t>
        </is>
      </c>
      <c r="O449" s="12" t="inlineStr">
        <is>
          <t>М1 (1c) · повт.</t>
        </is>
      </c>
      <c r="P449" s="16" t="inlineStr">
        <is>
          <t>—</t>
        </is>
      </c>
      <c r="Q449" s="17" t="inlineStr"/>
      <c r="R449" s="13" t="inlineStr">
        <is>
          <t>нет</t>
        </is>
      </c>
      <c r="S449" s="9" t="inlineStr"/>
      <c r="T449" s="9" t="inlineStr"/>
    </row>
    <row r="450">
      <c r="A450" s="4" t="n">
        <v>449</v>
      </c>
      <c r="B450" s="4" t="inlineStr">
        <is>
          <t>Грамматика</t>
        </is>
      </c>
      <c r="C450" s="4" t="inlineStr">
        <is>
          <t>Прилагательные и наречия</t>
        </is>
      </c>
      <c r="D450" s="5" t="inlineStr">
        <is>
          <t>Comparatives &amp; Superlatives</t>
        </is>
      </c>
      <c r="E450" s="4" t="inlineStr">
        <is>
          <t>Comparatives &amp; Superlatives: сравнительная степень — -er + than</t>
        </is>
      </c>
      <c r="F450" s="4" t="inlineStr">
        <is>
          <t>10+</t>
        </is>
      </c>
      <c r="G450" s="4" t="inlineStr"/>
      <c r="H450" s="18" t="inlineStr">
        <is>
          <t>М4 · новое</t>
        </is>
      </c>
      <c r="I450" s="7" t="inlineStr">
        <is>
          <t>М7 · повт.</t>
        </is>
      </c>
      <c r="J450" s="7" t="inlineStr">
        <is>
          <t>М8 (8b) · повт.</t>
        </is>
      </c>
      <c r="K450" s="7" t="inlineStr">
        <is>
          <t>М7 · повт.</t>
        </is>
      </c>
      <c r="L450" s="7" t="inlineStr">
        <is>
          <t>М1 (1d) · повт.</t>
        </is>
      </c>
      <c r="M450" s="7" t="inlineStr">
        <is>
          <t>М5 (5c) · повт.</t>
        </is>
      </c>
      <c r="N450" s="7" t="inlineStr">
        <is>
          <t>М3 (3c) · повт.</t>
        </is>
      </c>
      <c r="O450" s="4" t="inlineStr"/>
      <c r="P450" s="19" t="inlineStr">
        <is>
          <t>—</t>
        </is>
      </c>
      <c r="Q450" s="20" t="inlineStr"/>
      <c r="R450" s="8" t="inlineStr">
        <is>
          <t>нет</t>
        </is>
      </c>
      <c r="S450" s="4" t="inlineStr"/>
      <c r="T450" s="4" t="inlineStr"/>
    </row>
    <row r="451">
      <c r="A451" s="9" t="n">
        <v>450</v>
      </c>
      <c r="B451" s="9" t="inlineStr">
        <is>
          <t>Грамматика</t>
        </is>
      </c>
      <c r="C451" s="9" t="inlineStr">
        <is>
          <t>Прилагательные и наречия</t>
        </is>
      </c>
      <c r="D451" s="10" t="inlineStr">
        <is>
          <t>Comparatives &amp; Superlatives</t>
        </is>
      </c>
      <c r="E451" s="9" t="inlineStr">
        <is>
          <t>Comparatives &amp; Superlatives: сравнительная степень — more (многосложные)</t>
        </is>
      </c>
      <c r="F451" s="9" t="inlineStr">
        <is>
          <t>10+</t>
        </is>
      </c>
      <c r="G451" s="9" t="inlineStr"/>
      <c r="H451" s="15" t="inlineStr">
        <is>
          <t>М4 · новое</t>
        </is>
      </c>
      <c r="I451" s="12" t="inlineStr">
        <is>
          <t>М7 · повт.</t>
        </is>
      </c>
      <c r="J451" s="12" t="inlineStr">
        <is>
          <t>М8 (8b) · повт.</t>
        </is>
      </c>
      <c r="K451" s="12" t="inlineStr">
        <is>
          <t>М7 · повт.</t>
        </is>
      </c>
      <c r="L451" s="12" t="inlineStr">
        <is>
          <t>М1 (1d) · повт.</t>
        </is>
      </c>
      <c r="M451" s="12" t="inlineStr">
        <is>
          <t>М5 (5c) · повт.</t>
        </is>
      </c>
      <c r="N451" s="12" t="inlineStr">
        <is>
          <t>М3 (3c) · повт.</t>
        </is>
      </c>
      <c r="O451" s="9" t="inlineStr"/>
      <c r="P451" s="16" t="inlineStr">
        <is>
          <t>—</t>
        </is>
      </c>
      <c r="Q451" s="17" t="inlineStr"/>
      <c r="R451" s="13" t="inlineStr">
        <is>
          <t>нет</t>
        </is>
      </c>
      <c r="S451" s="9" t="inlineStr"/>
      <c r="T451" s="9" t="inlineStr"/>
    </row>
    <row r="452">
      <c r="A452" s="9" t="n">
        <v>451</v>
      </c>
      <c r="B452" s="9" t="inlineStr">
        <is>
          <t>Грамматика</t>
        </is>
      </c>
      <c r="C452" s="9" t="inlineStr">
        <is>
          <t>Прилагательные и наречия</t>
        </is>
      </c>
      <c r="D452" s="10" t="inlineStr">
        <is>
          <t>Comparatives &amp; Superlatives</t>
        </is>
      </c>
      <c r="E452" s="9" t="inlineStr">
        <is>
          <t>Comparatives &amp; Superlatives: орфография -er/-est (удвоение, -e, y → i)</t>
        </is>
      </c>
      <c r="F452" s="9" t="inlineStr">
        <is>
          <t>10+</t>
        </is>
      </c>
      <c r="G452" s="9" t="inlineStr"/>
      <c r="H452" s="15" t="inlineStr">
        <is>
          <t>М4 · новое
М7 · расш.</t>
        </is>
      </c>
      <c r="I452" s="12" t="inlineStr">
        <is>
          <t>М7 · повт.</t>
        </is>
      </c>
      <c r="J452" s="12" t="inlineStr">
        <is>
          <t>М8 (8b) · повт.</t>
        </is>
      </c>
      <c r="K452" s="12" t="inlineStr">
        <is>
          <t>М7 · повт.</t>
        </is>
      </c>
      <c r="L452" s="12" t="inlineStr">
        <is>
          <t>М1 (1d) · повт.</t>
        </is>
      </c>
      <c r="M452" s="12" t="inlineStr">
        <is>
          <t>М5 (5c) · повт.</t>
        </is>
      </c>
      <c r="N452" s="12" t="inlineStr">
        <is>
          <t>М3 (3c) · повт.</t>
        </is>
      </c>
      <c r="O452" s="9" t="inlineStr"/>
      <c r="P452" s="16" t="inlineStr">
        <is>
          <t>—</t>
        </is>
      </c>
      <c r="Q452" s="17" t="inlineStr"/>
      <c r="R452" s="13" t="inlineStr">
        <is>
          <t>нет</t>
        </is>
      </c>
      <c r="S452" s="9" t="inlineStr"/>
      <c r="T452" s="9" t="inlineStr"/>
    </row>
    <row r="453">
      <c r="A453" s="9" t="n">
        <v>452</v>
      </c>
      <c r="B453" s="9" t="inlineStr">
        <is>
          <t>Грамматика</t>
        </is>
      </c>
      <c r="C453" s="9" t="inlineStr">
        <is>
          <t>Прилагательные и наречия</t>
        </is>
      </c>
      <c r="D453" s="10" t="inlineStr">
        <is>
          <t>Comparatives &amp; Superlatives</t>
        </is>
      </c>
      <c r="E453" s="9" t="inlineStr">
        <is>
          <t>Comparatives &amp; Superlatives: превосходная степень — the -est + of/in</t>
        </is>
      </c>
      <c r="F453" s="9" t="inlineStr">
        <is>
          <t>10+</t>
        </is>
      </c>
      <c r="G453" s="9" t="inlineStr"/>
      <c r="H453" s="15" t="inlineStr">
        <is>
          <t>М7 · новое</t>
        </is>
      </c>
      <c r="I453" s="12" t="inlineStr">
        <is>
          <t>М7 · повт.</t>
        </is>
      </c>
      <c r="J453" s="12" t="inlineStr">
        <is>
          <t>М8 (8b) · повт.</t>
        </is>
      </c>
      <c r="K453" s="12" t="inlineStr">
        <is>
          <t>М7 · повт.</t>
        </is>
      </c>
      <c r="L453" s="12" t="inlineStr">
        <is>
          <t>М1 (1d) · повт.</t>
        </is>
      </c>
      <c r="M453" s="12" t="inlineStr">
        <is>
          <t>М5 (5c) · повт.</t>
        </is>
      </c>
      <c r="N453" s="12" t="inlineStr">
        <is>
          <t>М3 (3c) · повт.</t>
        </is>
      </c>
      <c r="O453" s="9" t="inlineStr"/>
      <c r="P453" s="16" t="inlineStr">
        <is>
          <t>—</t>
        </is>
      </c>
      <c r="Q453" s="17" t="inlineStr"/>
      <c r="R453" s="13" t="inlineStr">
        <is>
          <t>нет</t>
        </is>
      </c>
      <c r="S453" s="9" t="inlineStr"/>
      <c r="T453" s="9" t="inlineStr"/>
    </row>
    <row r="454">
      <c r="A454" s="9" t="n">
        <v>453</v>
      </c>
      <c r="B454" s="9" t="inlineStr">
        <is>
          <t>Грамматика</t>
        </is>
      </c>
      <c r="C454" s="9" t="inlineStr">
        <is>
          <t>Прилагательные и наречия</t>
        </is>
      </c>
      <c r="D454" s="10" t="inlineStr">
        <is>
          <t>Comparatives &amp; Superlatives</t>
        </is>
      </c>
      <c r="E454" s="9" t="inlineStr">
        <is>
          <t>Comparatives &amp; Superlatives: превосходная степень — the most</t>
        </is>
      </c>
      <c r="F454" s="9" t="inlineStr">
        <is>
          <t>10+</t>
        </is>
      </c>
      <c r="G454" s="9" t="inlineStr"/>
      <c r="H454" s="15" t="inlineStr">
        <is>
          <t>М7 · новое</t>
        </is>
      </c>
      <c r="I454" s="12" t="inlineStr">
        <is>
          <t>М7 · повт.</t>
        </is>
      </c>
      <c r="J454" s="12" t="inlineStr">
        <is>
          <t>М8 (8b) · повт.</t>
        </is>
      </c>
      <c r="K454" s="12" t="inlineStr">
        <is>
          <t>М7 · повт.</t>
        </is>
      </c>
      <c r="L454" s="12" t="inlineStr">
        <is>
          <t>М1 (1d) · повт.</t>
        </is>
      </c>
      <c r="M454" s="12" t="inlineStr">
        <is>
          <t>М5 (5c) · повт.</t>
        </is>
      </c>
      <c r="N454" s="12" t="inlineStr">
        <is>
          <t>М3 (3c) · повт.</t>
        </is>
      </c>
      <c r="O454" s="9" t="inlineStr"/>
      <c r="P454" s="16" t="inlineStr">
        <is>
          <t>—</t>
        </is>
      </c>
      <c r="Q454" s="17" t="inlineStr"/>
      <c r="R454" s="13" t="inlineStr">
        <is>
          <t>нет</t>
        </is>
      </c>
      <c r="S454" s="9" t="inlineStr"/>
      <c r="T454" s="9" t="inlineStr"/>
    </row>
    <row r="455">
      <c r="A455" s="9" t="n">
        <v>454</v>
      </c>
      <c r="B455" s="9" t="inlineStr">
        <is>
          <t>Грамматика</t>
        </is>
      </c>
      <c r="C455" s="9" t="inlineStr">
        <is>
          <t>Прилагательные и наречия</t>
        </is>
      </c>
      <c r="D455" s="10" t="inlineStr">
        <is>
          <t>Comparatives &amp; Superlatives</t>
        </is>
      </c>
      <c r="E455" s="9" t="inlineStr">
        <is>
          <t>Comparatives &amp; Superlatives: неправильные прилагательные (good, bad, many/much, little)</t>
        </is>
      </c>
      <c r="F455" s="9" t="inlineStr">
        <is>
          <t>10+</t>
        </is>
      </c>
      <c r="G455" s="9" t="inlineStr"/>
      <c r="H455" s="15" t="inlineStr">
        <is>
          <t>М7 · новое</t>
        </is>
      </c>
      <c r="I455" s="14" t="inlineStr">
        <is>
          <t>М6 · расш.
М7 · повт.</t>
        </is>
      </c>
      <c r="J455" s="12" t="inlineStr">
        <is>
          <t>М8 (8b) · повт.</t>
        </is>
      </c>
      <c r="K455" s="12" t="inlineStr">
        <is>
          <t>М7 · повт.</t>
        </is>
      </c>
      <c r="L455" s="12" t="inlineStr">
        <is>
          <t>М1 (1d) · повт.</t>
        </is>
      </c>
      <c r="M455" s="12" t="inlineStr">
        <is>
          <t>М5 (5c) · повт.</t>
        </is>
      </c>
      <c r="N455" s="12" t="inlineStr">
        <is>
          <t>М3 (3c) · повт.</t>
        </is>
      </c>
      <c r="O455" s="9" t="inlineStr"/>
      <c r="P455" s="16" t="inlineStr">
        <is>
          <t>—</t>
        </is>
      </c>
      <c r="Q455" s="17" t="inlineStr"/>
      <c r="R455" s="13" t="inlineStr">
        <is>
          <t>нет</t>
        </is>
      </c>
      <c r="S455" s="9" t="inlineStr"/>
      <c r="T455" s="9" t="inlineStr"/>
    </row>
    <row r="456">
      <c r="A456" s="9" t="n">
        <v>455</v>
      </c>
      <c r="B456" s="9" t="inlineStr">
        <is>
          <t>Грамматика</t>
        </is>
      </c>
      <c r="C456" s="9" t="inlineStr">
        <is>
          <t>Прилагательные и наречия</t>
        </is>
      </c>
      <c r="D456" s="10" t="inlineStr">
        <is>
          <t>Comparatives &amp; Superlatives</t>
        </is>
      </c>
      <c r="E456" s="9" t="inlineStr">
        <is>
          <t>Comparatives &amp; Superlatives: двусложные на -y/-er/-ow — -er/-est</t>
        </is>
      </c>
      <c r="F456" s="9" t="inlineStr">
        <is>
          <t>10+</t>
        </is>
      </c>
      <c r="G456" s="9" t="inlineStr"/>
      <c r="H456" s="15" t="inlineStr">
        <is>
          <t>М4 · новое
М7 · повт.</t>
        </is>
      </c>
      <c r="I456" s="9" t="inlineStr"/>
      <c r="J456" s="14" t="inlineStr">
        <is>
          <t>М8 (8b) · расш.</t>
        </is>
      </c>
      <c r="K456" s="14" t="inlineStr">
        <is>
          <t>М7 · расш.</t>
        </is>
      </c>
      <c r="L456" s="9" t="inlineStr"/>
      <c r="M456" s="12" t="inlineStr">
        <is>
          <t>М5 (5c) · повт.</t>
        </is>
      </c>
      <c r="N456" s="12" t="inlineStr">
        <is>
          <t>М3 (3c) · повт.</t>
        </is>
      </c>
      <c r="O456" s="9" t="inlineStr"/>
      <c r="P456" s="16" t="inlineStr">
        <is>
          <t>—</t>
        </is>
      </c>
      <c r="Q456" s="17" t="inlineStr"/>
      <c r="R456" s="13" t="inlineStr">
        <is>
          <t>нет</t>
        </is>
      </c>
      <c r="S456" s="9" t="inlineStr"/>
      <c r="T456" s="9" t="inlineStr"/>
    </row>
    <row r="457">
      <c r="A457" s="9" t="n">
        <v>456</v>
      </c>
      <c r="B457" s="9" t="inlineStr">
        <is>
          <t>Грамматика</t>
        </is>
      </c>
      <c r="C457" s="9" t="inlineStr">
        <is>
          <t>Прилагательные и наречия</t>
        </is>
      </c>
      <c r="D457" s="10" t="inlineStr">
        <is>
          <t>Comparatives &amp; Superlatives</t>
        </is>
      </c>
      <c r="E457" s="9" t="inlineStr">
        <is>
          <t>Comparatives &amp; Superlatives: прилагательные с двумя способами (clever, quiet, friendly…)</t>
        </is>
      </c>
      <c r="F457" s="9" t="inlineStr">
        <is>
          <t>10+</t>
        </is>
      </c>
      <c r="G457" s="9" t="inlineStr"/>
      <c r="H457" s="9" t="inlineStr"/>
      <c r="I457" s="9" t="inlineStr"/>
      <c r="J457" s="9" t="inlineStr"/>
      <c r="K457" s="15" t="inlineStr">
        <is>
          <t>М7 · новое</t>
        </is>
      </c>
      <c r="L457" s="12" t="inlineStr">
        <is>
          <t>М1 (1d) · повт.</t>
        </is>
      </c>
      <c r="M457" s="12" t="inlineStr">
        <is>
          <t>М5 (5c) · повт.</t>
        </is>
      </c>
      <c r="N457" s="12" t="inlineStr">
        <is>
          <t>М3 (3c) · повт.</t>
        </is>
      </c>
      <c r="O457" s="9" t="inlineStr"/>
      <c r="P457" s="16" t="inlineStr">
        <is>
          <t>—</t>
        </is>
      </c>
      <c r="Q457" s="17" t="inlineStr"/>
      <c r="R457" s="13" t="inlineStr">
        <is>
          <t>нет</t>
        </is>
      </c>
      <c r="S457" s="9" t="inlineStr"/>
      <c r="T457" s="9" t="inlineStr"/>
    </row>
    <row r="458">
      <c r="A458" s="9" t="n">
        <v>457</v>
      </c>
      <c r="B458" s="9" t="inlineStr">
        <is>
          <t>Грамматика</t>
        </is>
      </c>
      <c r="C458" s="9" t="inlineStr">
        <is>
          <t>Прилагательные и наречия</t>
        </is>
      </c>
      <c r="D458" s="10" t="inlineStr">
        <is>
          <t>Comparatives &amp; Superlatives</t>
        </is>
      </c>
      <c r="E458" s="9" t="inlineStr">
        <is>
          <t>Comparatives &amp; Superlatives: far — farther/further, old — elder/eldest</t>
        </is>
      </c>
      <c r="F458" s="9" t="inlineStr">
        <is>
          <t>10+</t>
        </is>
      </c>
      <c r="G458" s="9" t="inlineStr"/>
      <c r="H458" s="9" t="inlineStr"/>
      <c r="I458" s="9" t="inlineStr"/>
      <c r="J458" s="9" t="inlineStr"/>
      <c r="K458" s="15" t="inlineStr">
        <is>
          <t>М7 · новое</t>
        </is>
      </c>
      <c r="L458" s="14" t="inlineStr">
        <is>
          <t>М1 (1d) · расш.</t>
        </is>
      </c>
      <c r="M458" s="12" t="inlineStr">
        <is>
          <t>М5 (5c) · повт.</t>
        </is>
      </c>
      <c r="N458" s="12" t="inlineStr">
        <is>
          <t>М3 (3c) · повт.</t>
        </is>
      </c>
      <c r="O458" s="9" t="inlineStr"/>
      <c r="P458" s="16" t="inlineStr">
        <is>
          <t>—</t>
        </is>
      </c>
      <c r="Q458" s="17" t="inlineStr"/>
      <c r="R458" s="13" t="inlineStr">
        <is>
          <t>нет</t>
        </is>
      </c>
      <c r="S458" s="9" t="inlineStr"/>
      <c r="T458" s="9" t="inlineStr"/>
    </row>
    <row r="459">
      <c r="A459" s="9" t="n">
        <v>458</v>
      </c>
      <c r="B459" s="9" t="inlineStr">
        <is>
          <t>Грамматика</t>
        </is>
      </c>
      <c r="C459" s="9" t="inlineStr">
        <is>
          <t>Прилагательные и наречия</t>
        </is>
      </c>
      <c r="D459" s="10" t="inlineStr">
        <is>
          <t>Comparatives &amp; Superlatives</t>
        </is>
      </c>
      <c r="E459" s="9" t="inlineStr">
        <is>
          <t>Comparatives &amp; Superlatives: наречия — -er/-est (hard, fast, early)</t>
        </is>
      </c>
      <c r="F459" s="9" t="inlineStr">
        <is>
          <t>10+</t>
        </is>
      </c>
      <c r="G459" s="9" t="inlineStr"/>
      <c r="H459" s="9" t="inlineStr"/>
      <c r="I459" s="15" t="inlineStr">
        <is>
          <t>М6 · новое</t>
        </is>
      </c>
      <c r="J459" s="9" t="inlineStr"/>
      <c r="K459" s="14" t="inlineStr">
        <is>
          <t>М7 · расш.</t>
        </is>
      </c>
      <c r="L459" s="12" t="inlineStr">
        <is>
          <t>М1 (1d) · повт.</t>
        </is>
      </c>
      <c r="M459" s="12" t="inlineStr">
        <is>
          <t>М5 (5c) · повт.</t>
        </is>
      </c>
      <c r="N459" s="12" t="inlineStr">
        <is>
          <t>М3 (3c) · повт.</t>
        </is>
      </c>
      <c r="O459" s="9" t="inlineStr"/>
      <c r="P459" s="16" t="inlineStr">
        <is>
          <t>—</t>
        </is>
      </c>
      <c r="Q459" s="17" t="inlineStr"/>
      <c r="R459" s="13" t="inlineStr">
        <is>
          <t>нет</t>
        </is>
      </c>
      <c r="S459" s="9" t="inlineStr"/>
      <c r="T459" s="9" t="inlineStr"/>
    </row>
    <row r="460">
      <c r="A460" s="9" t="n">
        <v>459</v>
      </c>
      <c r="B460" s="9" t="inlineStr">
        <is>
          <t>Грамматика</t>
        </is>
      </c>
      <c r="C460" s="9" t="inlineStr">
        <is>
          <t>Прилагательные и наречия</t>
        </is>
      </c>
      <c r="D460" s="10" t="inlineStr">
        <is>
          <t>Comparatives &amp; Superlatives</t>
        </is>
      </c>
      <c r="E460" s="9" t="inlineStr">
        <is>
          <t>Comparatives &amp; Superlatives: наречия — more/most (slowly)</t>
        </is>
      </c>
      <c r="F460" s="9" t="inlineStr">
        <is>
          <t>10+</t>
        </is>
      </c>
      <c r="G460" s="9" t="inlineStr"/>
      <c r="H460" s="9" t="inlineStr"/>
      <c r="I460" s="15" t="inlineStr">
        <is>
          <t>М6 · новое</t>
        </is>
      </c>
      <c r="J460" s="9" t="inlineStr"/>
      <c r="K460" s="12" t="inlineStr">
        <is>
          <t>М7 · повт.</t>
        </is>
      </c>
      <c r="L460" s="12" t="inlineStr">
        <is>
          <t>М1 (1d) · повт.</t>
        </is>
      </c>
      <c r="M460" s="12" t="inlineStr">
        <is>
          <t>М5 (5c) · повт.</t>
        </is>
      </c>
      <c r="N460" s="12" t="inlineStr">
        <is>
          <t>М3 (3c) · повт.</t>
        </is>
      </c>
      <c r="O460" s="9" t="inlineStr"/>
      <c r="P460" s="16" t="inlineStr">
        <is>
          <t>—</t>
        </is>
      </c>
      <c r="Q460" s="17" t="inlineStr"/>
      <c r="R460" s="13" t="inlineStr">
        <is>
          <t>нет</t>
        </is>
      </c>
      <c r="S460" s="9" t="inlineStr"/>
      <c r="T460" s="9" t="inlineStr"/>
    </row>
    <row r="461">
      <c r="A461" s="9" t="n">
        <v>460</v>
      </c>
      <c r="B461" s="9" t="inlineStr">
        <is>
          <t>Грамматика</t>
        </is>
      </c>
      <c r="C461" s="9" t="inlineStr">
        <is>
          <t>Прилагательные и наречия</t>
        </is>
      </c>
      <c r="D461" s="10" t="inlineStr">
        <is>
          <t>Comparatives &amp; Superlatives</t>
        </is>
      </c>
      <c r="E461" s="9" t="inlineStr">
        <is>
          <t>Comparatives &amp; Superlatives: неправильные наречия (well, badly)</t>
        </is>
      </c>
      <c r="F461" s="9" t="inlineStr">
        <is>
          <t>10+</t>
        </is>
      </c>
      <c r="G461" s="9" t="inlineStr"/>
      <c r="H461" s="9" t="inlineStr"/>
      <c r="I461" s="15" t="inlineStr">
        <is>
          <t>М6 · новое</t>
        </is>
      </c>
      <c r="J461" s="9" t="inlineStr"/>
      <c r="K461" s="12" t="inlineStr">
        <is>
          <t>М7 · повт.</t>
        </is>
      </c>
      <c r="L461" s="12" t="inlineStr">
        <is>
          <t>М1 (1d) · повт.</t>
        </is>
      </c>
      <c r="M461" s="12" t="inlineStr">
        <is>
          <t>М5 (5c) · повт.</t>
        </is>
      </c>
      <c r="N461" s="12" t="inlineStr">
        <is>
          <t>М3 (3c) · повт.</t>
        </is>
      </c>
      <c r="O461" s="9" t="inlineStr"/>
      <c r="P461" s="16" t="inlineStr">
        <is>
          <t>—</t>
        </is>
      </c>
      <c r="Q461" s="17" t="inlineStr"/>
      <c r="R461" s="13" t="inlineStr">
        <is>
          <t>нет</t>
        </is>
      </c>
      <c r="S461" s="9" t="inlineStr"/>
      <c r="T461" s="9" t="inlineStr"/>
    </row>
    <row r="462">
      <c r="A462" s="4" t="n">
        <v>461</v>
      </c>
      <c r="B462" s="4" t="inlineStr">
        <is>
          <t>Грамматика</t>
        </is>
      </c>
      <c r="C462" s="4" t="inlineStr">
        <is>
          <t>Прилагательные и наречия</t>
        </is>
      </c>
      <c r="D462" s="5" t="inlineStr">
        <is>
          <t>Adjectives (general)</t>
        </is>
      </c>
      <c r="E462" s="4" t="inlineStr">
        <is>
          <t>Adjectives: не изменяются по числам</t>
        </is>
      </c>
      <c r="F462" s="4" t="inlineStr">
        <is>
          <t>10+</t>
        </is>
      </c>
      <c r="G462" s="4" t="inlineStr"/>
      <c r="H462" s="4" t="inlineStr"/>
      <c r="I462" s="4" t="inlineStr"/>
      <c r="J462" s="4" t="inlineStr"/>
      <c r="K462" s="18" t="inlineStr">
        <is>
          <t>М3 · новое</t>
        </is>
      </c>
      <c r="L462" s="4" t="inlineStr"/>
      <c r="M462" s="4" t="inlineStr"/>
      <c r="N462" s="4" t="inlineStr"/>
      <c r="O462" s="4" t="inlineStr"/>
      <c r="P462" s="19" t="inlineStr">
        <is>
          <t>—</t>
        </is>
      </c>
      <c r="Q462" s="20" t="inlineStr"/>
      <c r="R462" s="8" t="inlineStr">
        <is>
          <t>нет</t>
        </is>
      </c>
      <c r="S462" s="4" t="inlineStr"/>
      <c r="T462" s="4" t="inlineStr"/>
    </row>
    <row r="463">
      <c r="A463" s="9" t="n">
        <v>462</v>
      </c>
      <c r="B463" s="9" t="inlineStr">
        <is>
          <t>Грамматика</t>
        </is>
      </c>
      <c r="C463" s="9" t="inlineStr">
        <is>
          <t>Прилагательные и наречия</t>
        </is>
      </c>
      <c r="D463" s="10" t="inlineStr">
        <is>
          <t>Adjectives (general)</t>
        </is>
      </c>
      <c r="E463" s="9" t="inlineStr">
        <is>
          <t>Adjectives: место — перед существительным, после be / look, smell, sound, feel, taste</t>
        </is>
      </c>
      <c r="F463" s="9" t="inlineStr">
        <is>
          <t>10+</t>
        </is>
      </c>
      <c r="G463" s="9" t="inlineStr"/>
      <c r="H463" s="9" t="inlineStr"/>
      <c r="I463" s="9" t="inlineStr"/>
      <c r="J463" s="9" t="inlineStr"/>
      <c r="K463" s="15" t="inlineStr">
        <is>
          <t>М3 · новое</t>
        </is>
      </c>
      <c r="L463" s="9" t="inlineStr"/>
      <c r="M463" s="9" t="inlineStr"/>
      <c r="N463" s="9" t="inlineStr"/>
      <c r="O463" s="9" t="inlineStr"/>
      <c r="P463" s="16" t="inlineStr">
        <is>
          <t>—</t>
        </is>
      </c>
      <c r="Q463" s="17" t="inlineStr"/>
      <c r="R463" s="13" t="inlineStr">
        <is>
          <t>нет</t>
        </is>
      </c>
      <c r="S463" s="9" t="inlineStr"/>
      <c r="T463" s="9" t="inlineStr"/>
    </row>
    <row r="464">
      <c r="A464" s="9" t="n">
        <v>463</v>
      </c>
      <c r="B464" s="9" t="inlineStr">
        <is>
          <t>Грамматика</t>
        </is>
      </c>
      <c r="C464" s="9" t="inlineStr">
        <is>
          <t>Прилагательные и наречия</t>
        </is>
      </c>
      <c r="D464" s="10" t="inlineStr">
        <is>
          <t>Adjectives (general)</t>
        </is>
      </c>
      <c r="E464" s="9" t="inlineStr">
        <is>
          <t>Adjectives: мнение vs объективные характеристики</t>
        </is>
      </c>
      <c r="F464" s="9" t="inlineStr">
        <is>
          <t>10+</t>
        </is>
      </c>
      <c r="G464" s="9" t="inlineStr"/>
      <c r="H464" s="9" t="inlineStr"/>
      <c r="I464" s="9" t="inlineStr"/>
      <c r="J464" s="9" t="inlineStr"/>
      <c r="K464" s="15" t="inlineStr">
        <is>
          <t>М3 · новое</t>
        </is>
      </c>
      <c r="L464" s="9" t="inlineStr"/>
      <c r="M464" s="9" t="inlineStr"/>
      <c r="N464" s="9" t="inlineStr"/>
      <c r="O464" s="9" t="inlineStr"/>
      <c r="P464" s="16" t="inlineStr">
        <is>
          <t>—</t>
        </is>
      </c>
      <c r="Q464" s="17" t="inlineStr"/>
      <c r="R464" s="13" t="inlineStr">
        <is>
          <t>нет</t>
        </is>
      </c>
      <c r="S464" s="9" t="inlineStr"/>
      <c r="T464" s="9" t="inlineStr"/>
    </row>
    <row r="465">
      <c r="A465" s="4" t="n">
        <v>464</v>
      </c>
      <c r="B465" s="4" t="inlineStr">
        <is>
          <t>Грамматика</t>
        </is>
      </c>
      <c r="C465" s="4" t="inlineStr">
        <is>
          <t>Прилагательные и наречия</t>
        </is>
      </c>
      <c r="D465" s="5" t="inlineStr">
        <is>
          <t>Adjectives (order)</t>
        </is>
      </c>
      <c r="E465" s="4" t="inlineStr">
        <is>
          <t>Adjectives (order): мнение перед объективными характеристиками</t>
        </is>
      </c>
      <c r="F465" s="4" t="inlineStr">
        <is>
          <t>10+</t>
        </is>
      </c>
      <c r="G465" s="4" t="inlineStr"/>
      <c r="H465" s="4" t="inlineStr"/>
      <c r="I465" s="4" t="inlineStr"/>
      <c r="J465" s="4" t="inlineStr"/>
      <c r="K465" s="18" t="inlineStr">
        <is>
          <t>М3 · новое</t>
        </is>
      </c>
      <c r="L465" s="7" t="inlineStr">
        <is>
          <t>М2 (2e) · повт.</t>
        </is>
      </c>
      <c r="M465" s="4" t="inlineStr"/>
      <c r="N465" s="4" t="inlineStr"/>
      <c r="O465" s="4" t="inlineStr"/>
      <c r="P465" s="19" t="inlineStr">
        <is>
          <t>—</t>
        </is>
      </c>
      <c r="Q465" s="20" t="inlineStr"/>
      <c r="R465" s="8" t="inlineStr">
        <is>
          <t>нет</t>
        </is>
      </c>
      <c r="S465" s="4" t="inlineStr"/>
      <c r="T465" s="4" t="inlineStr"/>
    </row>
    <row r="466">
      <c r="A466" s="9" t="n">
        <v>465</v>
      </c>
      <c r="B466" s="9" t="inlineStr">
        <is>
          <t>Грамматика</t>
        </is>
      </c>
      <c r="C466" s="9" t="inlineStr">
        <is>
          <t>Прилагательные и наречия</t>
        </is>
      </c>
      <c r="D466" s="10" t="inlineStr">
        <is>
          <t>Adjectives (order)</t>
        </is>
      </c>
      <c r="E466" s="9" t="inlineStr">
        <is>
          <t>Adjectives (order): размер – возраст – форма – цвет – происхождение – материал</t>
        </is>
      </c>
      <c r="F466" s="9" t="inlineStr">
        <is>
          <t>10+</t>
        </is>
      </c>
      <c r="G466" s="9" t="inlineStr"/>
      <c r="H466" s="9" t="inlineStr"/>
      <c r="I466" s="9" t="inlineStr"/>
      <c r="J466" s="9" t="inlineStr"/>
      <c r="K466" s="15" t="inlineStr">
        <is>
          <t>М3 · новое</t>
        </is>
      </c>
      <c r="L466" s="12" t="inlineStr">
        <is>
          <t>М2 (2e) · повт.</t>
        </is>
      </c>
      <c r="M466" s="9" t="inlineStr"/>
      <c r="N466" s="9" t="inlineStr"/>
      <c r="O466" s="9" t="inlineStr"/>
      <c r="P466" s="16" t="inlineStr">
        <is>
          <t>—</t>
        </is>
      </c>
      <c r="Q466" s="17" t="inlineStr"/>
      <c r="R466" s="13" t="inlineStr">
        <is>
          <t>нет</t>
        </is>
      </c>
      <c r="S466" s="9" t="inlineStr"/>
      <c r="T466" s="9" t="inlineStr"/>
    </row>
    <row r="467">
      <c r="A467" s="9" t="n">
        <v>466</v>
      </c>
      <c r="B467" s="9" t="inlineStr">
        <is>
          <t>Грамматика</t>
        </is>
      </c>
      <c r="C467" s="9" t="inlineStr">
        <is>
          <t>Прилагательные и наречия</t>
        </is>
      </c>
      <c r="D467" s="10" t="inlineStr">
        <is>
          <t>Adjectives (order)</t>
        </is>
      </c>
      <c r="E467" s="9" t="inlineStr">
        <is>
          <t>Adjectives (order): узор (pattern) в порядке прилагательных</t>
        </is>
      </c>
      <c r="F467" s="9" t="inlineStr">
        <is>
          <t>10+</t>
        </is>
      </c>
      <c r="G467" s="9" t="inlineStr"/>
      <c r="H467" s="9" t="inlineStr"/>
      <c r="I467" s="9" t="inlineStr"/>
      <c r="J467" s="9" t="inlineStr"/>
      <c r="K467" s="9" t="inlineStr"/>
      <c r="L467" s="15" t="inlineStr">
        <is>
          <t>М2 (2e) · новое</t>
        </is>
      </c>
      <c r="M467" s="9" t="inlineStr"/>
      <c r="N467" s="9" t="inlineStr"/>
      <c r="O467" s="9" t="inlineStr"/>
      <c r="P467" s="16" t="inlineStr">
        <is>
          <t>—</t>
        </is>
      </c>
      <c r="Q467" s="17" t="inlineStr"/>
      <c r="R467" s="13" t="inlineStr">
        <is>
          <t>нет</t>
        </is>
      </c>
      <c r="S467" s="9" t="inlineStr"/>
      <c r="T467" s="9" t="inlineStr"/>
    </row>
    <row r="468">
      <c r="A468" s="4" t="n">
        <v>467</v>
      </c>
      <c r="B468" s="4" t="inlineStr">
        <is>
          <t>Грамматика</t>
        </is>
      </c>
      <c r="C468" s="4" t="inlineStr">
        <is>
          <t>Прилагательные и наречия</t>
        </is>
      </c>
      <c r="D468" s="5" t="inlineStr">
        <is>
          <t>Adjectives -ed/-ing</t>
        </is>
      </c>
      <c r="E468" s="4" t="inlineStr">
        <is>
          <t>Adjectives -ed/-ing: -ing — каков предмет/явление (amazing)</t>
        </is>
      </c>
      <c r="F468" s="4" t="inlineStr">
        <is>
          <t>10+</t>
        </is>
      </c>
      <c r="G468" s="4" t="inlineStr"/>
      <c r="H468" s="4" t="inlineStr"/>
      <c r="I468" s="4" t="inlineStr"/>
      <c r="J468" s="4" t="inlineStr"/>
      <c r="K468" s="18" t="inlineStr">
        <is>
          <t>М3 · новое</t>
        </is>
      </c>
      <c r="L468" s="4" t="inlineStr"/>
      <c r="M468" s="4" t="inlineStr"/>
      <c r="N468" s="7" t="inlineStr">
        <is>
          <t>М5 (5e) · повт.</t>
        </is>
      </c>
      <c r="O468" s="4" t="inlineStr"/>
      <c r="P468" s="19" t="inlineStr">
        <is>
          <t>—</t>
        </is>
      </c>
      <c r="Q468" s="20" t="inlineStr"/>
      <c r="R468" s="8" t="inlineStr">
        <is>
          <t>нет</t>
        </is>
      </c>
      <c r="S468" s="4" t="inlineStr"/>
      <c r="T468" s="4" t="inlineStr"/>
    </row>
    <row r="469">
      <c r="A469" s="9" t="n">
        <v>468</v>
      </c>
      <c r="B469" s="9" t="inlineStr">
        <is>
          <t>Грамматика</t>
        </is>
      </c>
      <c r="C469" s="9" t="inlineStr">
        <is>
          <t>Прилагательные и наречия</t>
        </is>
      </c>
      <c r="D469" s="10" t="inlineStr">
        <is>
          <t>Adjectives -ed/-ing</t>
        </is>
      </c>
      <c r="E469" s="9" t="inlineStr">
        <is>
          <t>Adjectives -ed/-ing: -ed — что чувствует человек (amazed)</t>
        </is>
      </c>
      <c r="F469" s="9" t="inlineStr">
        <is>
          <t>10+</t>
        </is>
      </c>
      <c r="G469" s="9" t="inlineStr"/>
      <c r="H469" s="9" t="inlineStr"/>
      <c r="I469" s="9" t="inlineStr"/>
      <c r="J469" s="9" t="inlineStr"/>
      <c r="K469" s="15" t="inlineStr">
        <is>
          <t>М3 · новое</t>
        </is>
      </c>
      <c r="L469" s="9" t="inlineStr"/>
      <c r="M469" s="9" t="inlineStr"/>
      <c r="N469" s="12" t="inlineStr">
        <is>
          <t>М5 (5e) · повт.</t>
        </is>
      </c>
      <c r="O469" s="9" t="inlineStr"/>
      <c r="P469" s="16" t="inlineStr">
        <is>
          <t>—</t>
        </is>
      </c>
      <c r="Q469" s="17" t="inlineStr"/>
      <c r="R469" s="13" t="inlineStr">
        <is>
          <t>нет</t>
        </is>
      </c>
      <c r="S469" s="9" t="inlineStr"/>
      <c r="T469" s="9" t="inlineStr"/>
    </row>
    <row r="470">
      <c r="A470" s="4" t="n">
        <v>469</v>
      </c>
      <c r="B470" s="4" t="inlineStr">
        <is>
          <t>Грамматика</t>
        </is>
      </c>
      <c r="C470" s="4" t="inlineStr">
        <is>
          <t>Прилагательные и наречия</t>
        </is>
      </c>
      <c r="D470" s="5" t="inlineStr">
        <is>
          <t>Comparative structures</t>
        </is>
      </c>
      <c r="E470" s="4" t="inlineStr">
        <is>
          <t>Comparative structures: as … as / not as (so) … as</t>
        </is>
      </c>
      <c r="F470" s="4" t="inlineStr">
        <is>
          <t>10+</t>
        </is>
      </c>
      <c r="G470" s="4" t="inlineStr"/>
      <c r="H470" s="4" t="inlineStr"/>
      <c r="I470" s="4" t="inlineStr"/>
      <c r="J470" s="4" t="inlineStr"/>
      <c r="K470" s="18" t="inlineStr">
        <is>
          <t>М7 · новое</t>
        </is>
      </c>
      <c r="L470" s="4" t="inlineStr"/>
      <c r="M470" s="7" t="inlineStr">
        <is>
          <t>М5 (5c) · повт.</t>
        </is>
      </c>
      <c r="N470" s="7" t="inlineStr">
        <is>
          <t>М3 (3c) · повт.</t>
        </is>
      </c>
      <c r="O470" s="4" t="inlineStr"/>
      <c r="P470" s="19" t="inlineStr">
        <is>
          <t>—</t>
        </is>
      </c>
      <c r="Q470" s="20" t="inlineStr"/>
      <c r="R470" s="8" t="inlineStr">
        <is>
          <t>нет</t>
        </is>
      </c>
      <c r="S470" s="4" t="inlineStr"/>
      <c r="T470" s="4" t="inlineStr"/>
    </row>
    <row r="471">
      <c r="A471" s="9" t="n">
        <v>470</v>
      </c>
      <c r="B471" s="9" t="inlineStr">
        <is>
          <t>Грамматика</t>
        </is>
      </c>
      <c r="C471" s="9" t="inlineStr">
        <is>
          <t>Прилагательные и наречия</t>
        </is>
      </c>
      <c r="D471" s="10" t="inlineStr">
        <is>
          <t>Comparative structures</t>
        </is>
      </c>
      <c r="E471" s="9" t="inlineStr">
        <is>
          <t>Comparative structures: less … than / the least … of/in</t>
        </is>
      </c>
      <c r="F471" s="9" t="inlineStr">
        <is>
          <t>10+</t>
        </is>
      </c>
      <c r="G471" s="9" t="inlineStr"/>
      <c r="H471" s="9" t="inlineStr"/>
      <c r="I471" s="9" t="inlineStr"/>
      <c r="J471" s="9" t="inlineStr"/>
      <c r="K471" s="15" t="inlineStr">
        <is>
          <t>М7 · новое</t>
        </is>
      </c>
      <c r="L471" s="9" t="inlineStr"/>
      <c r="M471" s="12" t="inlineStr">
        <is>
          <t>М5 (5c) · повт.</t>
        </is>
      </c>
      <c r="N471" s="12" t="inlineStr">
        <is>
          <t>М3 (3c) · повт.</t>
        </is>
      </c>
      <c r="O471" s="9" t="inlineStr"/>
      <c r="P471" s="16" t="inlineStr">
        <is>
          <t>—</t>
        </is>
      </c>
      <c r="Q471" s="17" t="inlineStr"/>
      <c r="R471" s="13" t="inlineStr">
        <is>
          <t>нет</t>
        </is>
      </c>
      <c r="S471" s="9" t="inlineStr"/>
      <c r="T471" s="9" t="inlineStr"/>
    </row>
    <row r="472">
      <c r="A472" s="9" t="n">
        <v>471</v>
      </c>
      <c r="B472" s="9" t="inlineStr">
        <is>
          <t>Грамматика</t>
        </is>
      </c>
      <c r="C472" s="9" t="inlineStr">
        <is>
          <t>Прилагательные и наречия</t>
        </is>
      </c>
      <c r="D472" s="10" t="inlineStr">
        <is>
          <t>Comparative structures</t>
        </is>
      </c>
      <c r="E472" s="9" t="inlineStr">
        <is>
          <t>Comparative structures: much/a lot/far/a bit/slightly + comparative</t>
        </is>
      </c>
      <c r="F472" s="9" t="inlineStr">
        <is>
          <t>10+</t>
        </is>
      </c>
      <c r="G472" s="9" t="inlineStr"/>
      <c r="H472" s="9" t="inlineStr"/>
      <c r="I472" s="9" t="inlineStr"/>
      <c r="J472" s="9" t="inlineStr"/>
      <c r="K472" s="15" t="inlineStr">
        <is>
          <t>М7 · новое</t>
        </is>
      </c>
      <c r="L472" s="9" t="inlineStr"/>
      <c r="M472" s="12" t="inlineStr">
        <is>
          <t>М5 (5c) · повт.</t>
        </is>
      </c>
      <c r="N472" s="12" t="inlineStr">
        <is>
          <t>М3 (3c) · повт.</t>
        </is>
      </c>
      <c r="O472" s="9" t="inlineStr"/>
      <c r="P472" s="16" t="inlineStr">
        <is>
          <t>—</t>
        </is>
      </c>
      <c r="Q472" s="17" t="inlineStr"/>
      <c r="R472" s="13" t="inlineStr">
        <is>
          <t>нет</t>
        </is>
      </c>
      <c r="S472" s="9" t="inlineStr"/>
      <c r="T472" s="9" t="inlineStr"/>
    </row>
    <row r="473">
      <c r="A473" s="9" t="n">
        <v>472</v>
      </c>
      <c r="B473" s="9" t="inlineStr">
        <is>
          <t>Грамматика</t>
        </is>
      </c>
      <c r="C473" s="9" t="inlineStr">
        <is>
          <t>Прилагательные и наречия</t>
        </is>
      </c>
      <c r="D473" s="10" t="inlineStr">
        <is>
          <t>Comparative structures</t>
        </is>
      </c>
      <c r="E473" s="9" t="inlineStr">
        <is>
          <t>Comparative structures: the + comparative …, the + comparative</t>
        </is>
      </c>
      <c r="F473" s="9" t="inlineStr">
        <is>
          <t>10+</t>
        </is>
      </c>
      <c r="G473" s="9" t="inlineStr"/>
      <c r="H473" s="9" t="inlineStr"/>
      <c r="I473" s="9" t="inlineStr"/>
      <c r="J473" s="9" t="inlineStr"/>
      <c r="K473" s="15" t="inlineStr">
        <is>
          <t>М7 · новое</t>
        </is>
      </c>
      <c r="L473" s="9" t="inlineStr"/>
      <c r="M473" s="12" t="inlineStr">
        <is>
          <t>М5 (5c) · повт.</t>
        </is>
      </c>
      <c r="N473" s="12" t="inlineStr">
        <is>
          <t>М3 (3c) · повт.</t>
        </is>
      </c>
      <c r="O473" s="9" t="inlineStr"/>
      <c r="P473" s="16" t="inlineStr">
        <is>
          <t>—</t>
        </is>
      </c>
      <c r="Q473" s="17" t="inlineStr"/>
      <c r="R473" s="13" t="inlineStr">
        <is>
          <t>нет</t>
        </is>
      </c>
      <c r="S473" s="9" t="inlineStr"/>
      <c r="T473" s="9" t="inlineStr"/>
    </row>
    <row r="474">
      <c r="A474" s="9" t="n">
        <v>473</v>
      </c>
      <c r="B474" s="9" t="inlineStr">
        <is>
          <t>Грамматика</t>
        </is>
      </c>
      <c r="C474" s="9" t="inlineStr">
        <is>
          <t>Прилагательные и наречия</t>
        </is>
      </c>
      <c r="D474" s="10" t="inlineStr">
        <is>
          <t>Comparative structures</t>
        </is>
      </c>
      <c r="E474" s="9" t="inlineStr">
        <is>
          <t>Comparative structures: comparative and comparative (shorter and shorter)</t>
        </is>
      </c>
      <c r="F474" s="9" t="inlineStr">
        <is>
          <t>10+</t>
        </is>
      </c>
      <c r="G474" s="9" t="inlineStr"/>
      <c r="H474" s="9" t="inlineStr"/>
      <c r="I474" s="9" t="inlineStr"/>
      <c r="J474" s="9" t="inlineStr"/>
      <c r="K474" s="15" t="inlineStr">
        <is>
          <t>М7 · новое</t>
        </is>
      </c>
      <c r="L474" s="9" t="inlineStr"/>
      <c r="M474" s="12" t="inlineStr">
        <is>
          <t>М5 (5c) · повт.</t>
        </is>
      </c>
      <c r="N474" s="12" t="inlineStr">
        <is>
          <t>М3 (3c) · повт.</t>
        </is>
      </c>
      <c r="O474" s="9" t="inlineStr"/>
      <c r="P474" s="16" t="inlineStr">
        <is>
          <t>—</t>
        </is>
      </c>
      <c r="Q474" s="17" t="inlineStr"/>
      <c r="R474" s="13" t="inlineStr">
        <is>
          <t>нет</t>
        </is>
      </c>
      <c r="S474" s="9" t="inlineStr"/>
      <c r="T474" s="9" t="inlineStr"/>
    </row>
    <row r="475">
      <c r="A475" s="9" t="n">
        <v>474</v>
      </c>
      <c r="B475" s="9" t="inlineStr">
        <is>
          <t>Грамматика</t>
        </is>
      </c>
      <c r="C475" s="9" t="inlineStr">
        <is>
          <t>Прилагательные и наречия</t>
        </is>
      </c>
      <c r="D475" s="10" t="inlineStr">
        <is>
          <t>Comparative structures</t>
        </is>
      </c>
      <c r="E475" s="9" t="inlineStr">
        <is>
          <t>Comparative structures: by far + the superlative</t>
        </is>
      </c>
      <c r="F475" s="9" t="inlineStr">
        <is>
          <t>10+</t>
        </is>
      </c>
      <c r="G475" s="9" t="inlineStr"/>
      <c r="H475" s="9" t="inlineStr"/>
      <c r="I475" s="9" t="inlineStr"/>
      <c r="J475" s="9" t="inlineStr"/>
      <c r="K475" s="15" t="inlineStr">
        <is>
          <t>М7 · новое</t>
        </is>
      </c>
      <c r="L475" s="9" t="inlineStr"/>
      <c r="M475" s="12" t="inlineStr">
        <is>
          <t>М5 (5c) · повт.</t>
        </is>
      </c>
      <c r="N475" s="12" t="inlineStr">
        <is>
          <t>М3 (3c) · повт.</t>
        </is>
      </c>
      <c r="O475" s="9" t="inlineStr"/>
      <c r="P475" s="16" t="inlineStr">
        <is>
          <t>—</t>
        </is>
      </c>
      <c r="Q475" s="17" t="inlineStr"/>
      <c r="R475" s="13" t="inlineStr">
        <is>
          <t>нет</t>
        </is>
      </c>
      <c r="S475" s="9" t="inlineStr"/>
      <c r="T475" s="9" t="inlineStr"/>
    </row>
    <row r="476">
      <c r="A476" s="9" t="n">
        <v>475</v>
      </c>
      <c r="B476" s="9" t="inlineStr">
        <is>
          <t>Грамматика</t>
        </is>
      </c>
      <c r="C476" s="9" t="inlineStr">
        <is>
          <t>Прилагательные и наречия</t>
        </is>
      </c>
      <c r="D476" s="10" t="inlineStr">
        <is>
          <t>Comparative structures</t>
        </is>
      </c>
      <c r="E476" s="9" t="inlineStr">
        <is>
          <t>Comparative structures: twice / three times / half as … as</t>
        </is>
      </c>
      <c r="F476" s="9" t="inlineStr">
        <is>
          <t>10+</t>
        </is>
      </c>
      <c r="G476" s="9" t="inlineStr"/>
      <c r="H476" s="9" t="inlineStr"/>
      <c r="I476" s="9" t="inlineStr"/>
      <c r="J476" s="9" t="inlineStr"/>
      <c r="K476" s="9" t="inlineStr"/>
      <c r="L476" s="9" t="inlineStr"/>
      <c r="M476" s="9" t="inlineStr"/>
      <c r="N476" s="15" t="inlineStr">
        <is>
          <t>М3 (3c) · новое</t>
        </is>
      </c>
      <c r="O476" s="9" t="inlineStr"/>
      <c r="P476" s="16" t="inlineStr">
        <is>
          <t>—</t>
        </is>
      </c>
      <c r="Q476" s="17" t="inlineStr"/>
      <c r="R476" s="13" t="inlineStr">
        <is>
          <t>нет</t>
        </is>
      </c>
      <c r="S476" s="9" t="inlineStr"/>
      <c r="T476" s="9" t="inlineStr"/>
    </row>
    <row r="477">
      <c r="A477" s="9" t="n">
        <v>476</v>
      </c>
      <c r="B477" s="9" t="inlineStr">
        <is>
          <t>Грамматика</t>
        </is>
      </c>
      <c r="C477" s="9" t="inlineStr">
        <is>
          <t>Прилагательные и наречия</t>
        </is>
      </c>
      <c r="D477" s="10" t="inlineStr">
        <is>
          <t>Comparative structures</t>
        </is>
      </c>
      <c r="E477" s="9" t="inlineStr">
        <is>
          <t>Comparative structures: the same … as</t>
        </is>
      </c>
      <c r="F477" s="9" t="inlineStr">
        <is>
          <t>10+</t>
        </is>
      </c>
      <c r="G477" s="9" t="inlineStr"/>
      <c r="H477" s="9" t="inlineStr"/>
      <c r="I477" s="9" t="inlineStr"/>
      <c r="J477" s="9" t="inlineStr"/>
      <c r="K477" s="9" t="inlineStr"/>
      <c r="L477" s="9" t="inlineStr"/>
      <c r="M477" s="9" t="inlineStr"/>
      <c r="N477" s="15" t="inlineStr">
        <is>
          <t>М3 (3c) · новое</t>
        </is>
      </c>
      <c r="O477" s="9" t="inlineStr"/>
      <c r="P477" s="16" t="inlineStr">
        <is>
          <t>—</t>
        </is>
      </c>
      <c r="Q477" s="17" t="inlineStr"/>
      <c r="R477" s="13" t="inlineStr">
        <is>
          <t>нет</t>
        </is>
      </c>
      <c r="S477" s="9" t="inlineStr"/>
      <c r="T477" s="9" t="inlineStr"/>
    </row>
    <row r="478">
      <c r="A478" s="9" t="n">
        <v>477</v>
      </c>
      <c r="B478" s="9" t="inlineStr">
        <is>
          <t>Грамматика</t>
        </is>
      </c>
      <c r="C478" s="9" t="inlineStr">
        <is>
          <t>Прилагательные и наречия</t>
        </is>
      </c>
      <c r="D478" s="10" t="inlineStr">
        <is>
          <t>Comparative structures</t>
        </is>
      </c>
      <c r="E478" s="9" t="inlineStr">
        <is>
          <t>Comparative structures: look/sound/smell/taste + like</t>
        </is>
      </c>
      <c r="F478" s="9" t="inlineStr">
        <is>
          <t>10+</t>
        </is>
      </c>
      <c r="G478" s="9" t="inlineStr"/>
      <c r="H478" s="9" t="inlineStr"/>
      <c r="I478" s="9" t="inlineStr"/>
      <c r="J478" s="9" t="inlineStr"/>
      <c r="K478" s="9" t="inlineStr"/>
      <c r="L478" s="9" t="inlineStr"/>
      <c r="M478" s="9" t="inlineStr"/>
      <c r="N478" s="15" t="inlineStr">
        <is>
          <t>М3 (3c) · новое</t>
        </is>
      </c>
      <c r="O478" s="9" t="inlineStr"/>
      <c r="P478" s="16" t="inlineStr">
        <is>
          <t>—</t>
        </is>
      </c>
      <c r="Q478" s="17" t="inlineStr"/>
      <c r="R478" s="13" t="inlineStr">
        <is>
          <t>нет</t>
        </is>
      </c>
      <c r="S478" s="9" t="inlineStr"/>
      <c r="T478" s="9" t="inlineStr"/>
    </row>
    <row r="479">
      <c r="A479" s="4" t="n">
        <v>478</v>
      </c>
      <c r="B479" s="4" t="inlineStr">
        <is>
          <t>Грамматика</t>
        </is>
      </c>
      <c r="C479" s="4" t="inlineStr">
        <is>
          <t>Прилагательные и наречия</t>
        </is>
      </c>
      <c r="D479" s="5" t="inlineStr">
        <is>
          <t>Adverbs of degree</t>
        </is>
      </c>
      <c r="E479" s="4" t="inlineStr">
        <is>
          <t>Adverbs of degree: сильная степень — really, very, extremely</t>
        </is>
      </c>
      <c r="F479" s="4" t="inlineStr">
        <is>
          <t>10+</t>
        </is>
      </c>
      <c r="G479" s="4" t="inlineStr"/>
      <c r="H479" s="4" t="inlineStr"/>
      <c r="I479" s="4" t="inlineStr"/>
      <c r="J479" s="4" t="inlineStr"/>
      <c r="K479" s="4" t="inlineStr"/>
      <c r="L479" s="18" t="inlineStr">
        <is>
          <t>М1 (1d) · новое</t>
        </is>
      </c>
      <c r="M479" s="4" t="inlineStr"/>
      <c r="N479" s="4" t="inlineStr"/>
      <c r="O479" s="4" t="inlineStr"/>
      <c r="P479" s="19" t="inlineStr">
        <is>
          <t>—</t>
        </is>
      </c>
      <c r="Q479" s="20" t="inlineStr"/>
      <c r="R479" s="8" t="inlineStr">
        <is>
          <t>нет</t>
        </is>
      </c>
      <c r="S479" s="4" t="inlineStr"/>
      <c r="T479" s="4" t="inlineStr"/>
    </row>
    <row r="480">
      <c r="A480" s="9" t="n">
        <v>479</v>
      </c>
      <c r="B480" s="9" t="inlineStr">
        <is>
          <t>Грамматика</t>
        </is>
      </c>
      <c r="C480" s="9" t="inlineStr">
        <is>
          <t>Прилагательные и наречия</t>
        </is>
      </c>
      <c r="D480" s="10" t="inlineStr">
        <is>
          <t>Adverbs of degree</t>
        </is>
      </c>
      <c r="E480" s="9" t="inlineStr">
        <is>
          <t>Adverbs of degree: средняя степень — pretty, quite, rather</t>
        </is>
      </c>
      <c r="F480" s="9" t="inlineStr">
        <is>
          <t>10+</t>
        </is>
      </c>
      <c r="G480" s="9" t="inlineStr"/>
      <c r="H480" s="9" t="inlineStr"/>
      <c r="I480" s="9" t="inlineStr"/>
      <c r="J480" s="9" t="inlineStr"/>
      <c r="K480" s="9" t="inlineStr"/>
      <c r="L480" s="15" t="inlineStr">
        <is>
          <t>М1 (1d) · новое</t>
        </is>
      </c>
      <c r="M480" s="9" t="inlineStr"/>
      <c r="N480" s="9" t="inlineStr"/>
      <c r="O480" s="9" t="inlineStr"/>
      <c r="P480" s="16" t="inlineStr">
        <is>
          <t>—</t>
        </is>
      </c>
      <c r="Q480" s="17" t="inlineStr"/>
      <c r="R480" s="13" t="inlineStr">
        <is>
          <t>нет</t>
        </is>
      </c>
      <c r="S480" s="9" t="inlineStr"/>
      <c r="T480" s="9" t="inlineStr"/>
    </row>
    <row r="481">
      <c r="A481" s="9" t="n">
        <v>480</v>
      </c>
      <c r="B481" s="9" t="inlineStr">
        <is>
          <t>Грамматика</t>
        </is>
      </c>
      <c r="C481" s="9" t="inlineStr">
        <is>
          <t>Прилагательные и наречия</t>
        </is>
      </c>
      <c r="D481" s="10" t="inlineStr">
        <is>
          <t>Adverbs of degree</t>
        </is>
      </c>
      <c r="E481" s="9" t="inlineStr">
        <is>
          <t>Adverbs of degree: слабая степень — a little, a bit</t>
        </is>
      </c>
      <c r="F481" s="9" t="inlineStr">
        <is>
          <t>10+</t>
        </is>
      </c>
      <c r="G481" s="9" t="inlineStr"/>
      <c r="H481" s="9" t="inlineStr"/>
      <c r="I481" s="9" t="inlineStr"/>
      <c r="J481" s="9" t="inlineStr"/>
      <c r="K481" s="9" t="inlineStr"/>
      <c r="L481" s="15" t="inlineStr">
        <is>
          <t>М1 (1d) · новое</t>
        </is>
      </c>
      <c r="M481" s="9" t="inlineStr"/>
      <c r="N481" s="9" t="inlineStr"/>
      <c r="O481" s="9" t="inlineStr"/>
      <c r="P481" s="16" t="inlineStr">
        <is>
          <t>—</t>
        </is>
      </c>
      <c r="Q481" s="17" t="inlineStr"/>
      <c r="R481" s="13" t="inlineStr">
        <is>
          <t>нет</t>
        </is>
      </c>
      <c r="S481" s="9" t="inlineStr"/>
      <c r="T481" s="9" t="inlineStr"/>
    </row>
    <row r="482">
      <c r="A482" s="4" t="n">
        <v>481</v>
      </c>
      <c r="B482" s="4" t="inlineStr">
        <is>
          <t>Грамматика</t>
        </is>
      </c>
      <c r="C482" s="4" t="inlineStr">
        <is>
          <t>Прилагательные и наречия</t>
        </is>
      </c>
      <c r="D482" s="5" t="inlineStr">
        <is>
          <t>too / enough</t>
        </is>
      </c>
      <c r="E482" s="4" t="inlineStr">
        <is>
          <t>too / enough: too + прил./нареч. — чрезмерность</t>
        </is>
      </c>
      <c r="F482" s="4" t="inlineStr">
        <is>
          <t>10+</t>
        </is>
      </c>
      <c r="G482" s="4" t="inlineStr"/>
      <c r="H482" s="4" t="inlineStr"/>
      <c r="I482" s="4" t="inlineStr"/>
      <c r="J482" s="4" t="inlineStr"/>
      <c r="K482" s="4" t="inlineStr"/>
      <c r="L482" s="18" t="inlineStr">
        <is>
          <t>М4 (4b) · новое</t>
        </is>
      </c>
      <c r="M482" s="7" t="inlineStr">
        <is>
          <t>М2 (2c) · повт.</t>
        </is>
      </c>
      <c r="N482" s="4" t="inlineStr"/>
      <c r="O482" s="4" t="inlineStr"/>
      <c r="P482" s="19" t="inlineStr">
        <is>
          <t>—</t>
        </is>
      </c>
      <c r="Q482" s="20" t="inlineStr"/>
      <c r="R482" s="8" t="inlineStr">
        <is>
          <t>нет</t>
        </is>
      </c>
      <c r="S482" s="4" t="inlineStr"/>
      <c r="T482" s="4" t="inlineStr"/>
    </row>
    <row r="483">
      <c r="A483" s="9" t="n">
        <v>482</v>
      </c>
      <c r="B483" s="9" t="inlineStr">
        <is>
          <t>Грамматика</t>
        </is>
      </c>
      <c r="C483" s="9" t="inlineStr">
        <is>
          <t>Прилагательные и наречия</t>
        </is>
      </c>
      <c r="D483" s="10" t="inlineStr">
        <is>
          <t>too / enough</t>
        </is>
      </c>
      <c r="E483" s="9" t="inlineStr">
        <is>
          <t>too / enough: прил./нареч. + enough — достаточность</t>
        </is>
      </c>
      <c r="F483" s="9" t="inlineStr">
        <is>
          <t>10+</t>
        </is>
      </c>
      <c r="G483" s="9" t="inlineStr"/>
      <c r="H483" s="9" t="inlineStr"/>
      <c r="I483" s="9" t="inlineStr"/>
      <c r="J483" s="9" t="inlineStr"/>
      <c r="K483" s="9" t="inlineStr"/>
      <c r="L483" s="15" t="inlineStr">
        <is>
          <t>М4 (4b) · новое</t>
        </is>
      </c>
      <c r="M483" s="12" t="inlineStr">
        <is>
          <t>М2 (2c) · повт.</t>
        </is>
      </c>
      <c r="N483" s="9" t="inlineStr"/>
      <c r="O483" s="9" t="inlineStr"/>
      <c r="P483" s="16" t="inlineStr">
        <is>
          <t>—</t>
        </is>
      </c>
      <c r="Q483" s="17" t="inlineStr"/>
      <c r="R483" s="13" t="inlineStr">
        <is>
          <t>нет</t>
        </is>
      </c>
      <c r="S483" s="9" t="inlineStr"/>
      <c r="T483" s="9" t="inlineStr"/>
    </row>
    <row r="484">
      <c r="A484" s="9" t="n">
        <v>483</v>
      </c>
      <c r="B484" s="9" t="inlineStr">
        <is>
          <t>Грамматика</t>
        </is>
      </c>
      <c r="C484" s="9" t="inlineStr">
        <is>
          <t>Прилагательные и наречия</t>
        </is>
      </c>
      <c r="D484" s="10" t="inlineStr">
        <is>
          <t>too / enough</t>
        </is>
      </c>
      <c r="E484" s="9" t="inlineStr">
        <is>
          <t>too / enough: enough / not enough + существительное</t>
        </is>
      </c>
      <c r="F484" s="9" t="inlineStr">
        <is>
          <t>10+</t>
        </is>
      </c>
      <c r="G484" s="9" t="inlineStr"/>
      <c r="H484" s="9" t="inlineStr"/>
      <c r="I484" s="9" t="inlineStr"/>
      <c r="J484" s="9" t="inlineStr"/>
      <c r="K484" s="9" t="inlineStr"/>
      <c r="L484" s="15" t="inlineStr">
        <is>
          <t>М4 (4b) · новое</t>
        </is>
      </c>
      <c r="M484" s="12" t="inlineStr">
        <is>
          <t>М2 (2c) · повт.</t>
        </is>
      </c>
      <c r="N484" s="9" t="inlineStr"/>
      <c r="O484" s="9" t="inlineStr"/>
      <c r="P484" s="16" t="inlineStr">
        <is>
          <t>—</t>
        </is>
      </c>
      <c r="Q484" s="17" t="inlineStr"/>
      <c r="R484" s="13" t="inlineStr">
        <is>
          <t>нет</t>
        </is>
      </c>
      <c r="S484" s="9" t="inlineStr"/>
      <c r="T484" s="9" t="inlineStr"/>
    </row>
    <row r="485">
      <c r="A485" s="9" t="n">
        <v>484</v>
      </c>
      <c r="B485" s="9" t="inlineStr">
        <is>
          <t>Грамматика</t>
        </is>
      </c>
      <c r="C485" s="9" t="inlineStr">
        <is>
          <t>Прилагательные и наречия</t>
        </is>
      </c>
      <c r="D485" s="10" t="inlineStr">
        <is>
          <t>too / enough</t>
        </is>
      </c>
      <c r="E485" s="9" t="inlineStr">
        <is>
          <t>too / enough: too … / … enough + to-infinitive</t>
        </is>
      </c>
      <c r="F485" s="9" t="inlineStr">
        <is>
          <t>10+</t>
        </is>
      </c>
      <c r="G485" s="9" t="inlineStr"/>
      <c r="H485" s="9" t="inlineStr"/>
      <c r="I485" s="9" t="inlineStr"/>
      <c r="J485" s="9" t="inlineStr"/>
      <c r="K485" s="9" t="inlineStr"/>
      <c r="L485" s="15" t="inlineStr">
        <is>
          <t>М4 (4b) · новое</t>
        </is>
      </c>
      <c r="M485" s="14" t="inlineStr">
        <is>
          <t>М2 (2c) · расш.</t>
        </is>
      </c>
      <c r="N485" s="9" t="inlineStr"/>
      <c r="O485" s="9" t="inlineStr"/>
      <c r="P485" s="16" t="inlineStr">
        <is>
          <t>—</t>
        </is>
      </c>
      <c r="Q485" s="17" t="inlineStr"/>
      <c r="R485" s="13" t="inlineStr">
        <is>
          <t>нет</t>
        </is>
      </c>
      <c r="S485" s="9" t="inlineStr"/>
      <c r="T485" s="9" t="inlineStr"/>
    </row>
    <row r="486">
      <c r="A486" s="4" t="n">
        <v>485</v>
      </c>
      <c r="B486" s="4" t="inlineStr">
        <is>
          <t>Грамматика</t>
        </is>
      </c>
      <c r="C486" s="4" t="inlineStr">
        <is>
          <t>Прилагательные и наречия</t>
        </is>
      </c>
      <c r="D486" s="5" t="inlineStr">
        <is>
          <t>so / such</t>
        </is>
      </c>
      <c r="E486" s="4" t="inlineStr">
        <is>
          <t>so / such: so + прил./нареч.; so + many/much/few/little + сущ.</t>
        </is>
      </c>
      <c r="F486" s="4" t="inlineStr">
        <is>
          <t>10+</t>
        </is>
      </c>
      <c r="G486" s="4" t="inlineStr"/>
      <c r="H486" s="4" t="inlineStr"/>
      <c r="I486" s="4" t="inlineStr"/>
      <c r="J486" s="4" t="inlineStr"/>
      <c r="K486" s="4" t="inlineStr"/>
      <c r="L486" s="4" t="inlineStr"/>
      <c r="M486" s="18" t="inlineStr">
        <is>
          <t>М4 (4c) · новое</t>
        </is>
      </c>
      <c r="N486" s="4" t="inlineStr"/>
      <c r="O486" s="7" t="inlineStr">
        <is>
          <t>М2 (2c) · повт.</t>
        </is>
      </c>
      <c r="P486" s="19" t="inlineStr">
        <is>
          <t>—</t>
        </is>
      </c>
      <c r="Q486" s="20" t="inlineStr"/>
      <c r="R486" s="8" t="inlineStr">
        <is>
          <t>нет</t>
        </is>
      </c>
      <c r="S486" s="4" t="inlineStr"/>
      <c r="T486" s="4" t="inlineStr"/>
    </row>
    <row r="487">
      <c r="A487" s="9" t="n">
        <v>486</v>
      </c>
      <c r="B487" s="9" t="inlineStr">
        <is>
          <t>Грамматика</t>
        </is>
      </c>
      <c r="C487" s="9" t="inlineStr">
        <is>
          <t>Прилагательные и наречия</t>
        </is>
      </c>
      <c r="D487" s="10" t="inlineStr">
        <is>
          <t>so / such</t>
        </is>
      </c>
      <c r="E487" s="9" t="inlineStr">
        <is>
          <t>so / such: such (a/an) + (прил.) + сущ.; such a lot of</t>
        </is>
      </c>
      <c r="F487" s="9" t="inlineStr">
        <is>
          <t>10+</t>
        </is>
      </c>
      <c r="G487" s="9" t="inlineStr"/>
      <c r="H487" s="9" t="inlineStr"/>
      <c r="I487" s="9" t="inlineStr"/>
      <c r="J487" s="9" t="inlineStr"/>
      <c r="K487" s="9" t="inlineStr"/>
      <c r="L487" s="9" t="inlineStr"/>
      <c r="M487" s="15" t="inlineStr">
        <is>
          <t>М4 (4c) · новое</t>
        </is>
      </c>
      <c r="N487" s="9" t="inlineStr"/>
      <c r="O487" s="12" t="inlineStr">
        <is>
          <t>М2 (2c) · повт.</t>
        </is>
      </c>
      <c r="P487" s="16" t="inlineStr">
        <is>
          <t>—</t>
        </is>
      </c>
      <c r="Q487" s="17" t="inlineStr"/>
      <c r="R487" s="13" t="inlineStr">
        <is>
          <t>нет</t>
        </is>
      </c>
      <c r="S487" s="9" t="inlineStr"/>
      <c r="T487" s="9" t="inlineStr"/>
    </row>
    <row r="488">
      <c r="A488" s="9" t="n">
        <v>487</v>
      </c>
      <c r="B488" s="9" t="inlineStr">
        <is>
          <t>Грамматика</t>
        </is>
      </c>
      <c r="C488" s="9" t="inlineStr">
        <is>
          <t>Прилагательные и наречия</t>
        </is>
      </c>
      <c r="D488" s="10" t="inlineStr">
        <is>
          <t>so / such</t>
        </is>
      </c>
      <c r="E488" s="9" t="inlineStr">
        <is>
          <t>so / such: so + прил. + a(n) + сущ.</t>
        </is>
      </c>
      <c r="F488" s="9" t="inlineStr">
        <is>
          <t>10+</t>
        </is>
      </c>
      <c r="G488" s="9" t="inlineStr"/>
      <c r="H488" s="9" t="inlineStr"/>
      <c r="I488" s="9" t="inlineStr"/>
      <c r="J488" s="9" t="inlineStr"/>
      <c r="K488" s="9" t="inlineStr"/>
      <c r="L488" s="9" t="inlineStr"/>
      <c r="M488" s="15" t="inlineStr">
        <is>
          <t>М4 (4c) · новое</t>
        </is>
      </c>
      <c r="N488" s="9" t="inlineStr"/>
      <c r="O488" s="12" t="inlineStr">
        <is>
          <t>М2 (2c) · повт.</t>
        </is>
      </c>
      <c r="P488" s="16" t="inlineStr">
        <is>
          <t>—</t>
        </is>
      </c>
      <c r="Q488" s="17" t="inlineStr"/>
      <c r="R488" s="13" t="inlineStr">
        <is>
          <t>нет</t>
        </is>
      </c>
      <c r="S488" s="9" t="inlineStr"/>
      <c r="T488" s="9" t="inlineStr"/>
    </row>
    <row r="489">
      <c r="A489" s="4" t="n">
        <v>488</v>
      </c>
      <c r="B489" s="4" t="inlineStr">
        <is>
          <t>Грамматика</t>
        </is>
      </c>
      <c r="C489" s="4" t="inlineStr">
        <is>
          <t>Числительные</t>
        </is>
      </c>
      <c r="D489" s="5" t="inlineStr">
        <is>
          <t>Ordinal numbers</t>
        </is>
      </c>
      <c r="E489" s="4" t="inlineStr">
        <is>
          <t>Ordinal numbers: first, second, third и составные (21st, 22nd)</t>
        </is>
      </c>
      <c r="F489" s="4" t="inlineStr">
        <is>
          <t>10+</t>
        </is>
      </c>
      <c r="G489" s="4" t="inlineStr"/>
      <c r="H489" s="18" t="inlineStr">
        <is>
          <t>М5 · новое</t>
        </is>
      </c>
      <c r="I489" s="4" t="inlineStr"/>
      <c r="J489" s="21" t="inlineStr">
        <is>
          <t>М2 (2a) · расш.</t>
        </is>
      </c>
      <c r="K489" s="4" t="inlineStr"/>
      <c r="L489" s="4" t="inlineStr"/>
      <c r="M489" s="4" t="inlineStr"/>
      <c r="N489" s="4" t="inlineStr"/>
      <c r="O489" s="4" t="inlineStr"/>
      <c r="P489" s="19" t="inlineStr">
        <is>
          <t>—</t>
        </is>
      </c>
      <c r="Q489" s="20" t="inlineStr"/>
      <c r="R489" s="8" t="inlineStr">
        <is>
          <t>нет</t>
        </is>
      </c>
      <c r="S489" s="4" t="inlineStr"/>
      <c r="T489" s="4" t="inlineStr"/>
    </row>
    <row r="490">
      <c r="A490" s="9" t="n">
        <v>489</v>
      </c>
      <c r="B490" s="9" t="inlineStr">
        <is>
          <t>Грамматика</t>
        </is>
      </c>
      <c r="C490" s="9" t="inlineStr">
        <is>
          <t>Числительные</t>
        </is>
      </c>
      <c r="D490" s="10" t="inlineStr">
        <is>
          <t>Ordinal numbers</t>
        </is>
      </c>
      <c r="E490" s="9" t="inlineStr">
        <is>
          <t>Ordinal numbers: образование с -th и орфография (fifth, ninth, twelfth, twentieth)</t>
        </is>
      </c>
      <c r="F490" s="9" t="inlineStr">
        <is>
          <t>10+</t>
        </is>
      </c>
      <c r="G490" s="9" t="inlineStr"/>
      <c r="H490" s="15" t="inlineStr">
        <is>
          <t>М5 · новое</t>
        </is>
      </c>
      <c r="I490" s="9" t="inlineStr"/>
      <c r="J490" s="14" t="inlineStr">
        <is>
          <t>М2 (2a) · расш.</t>
        </is>
      </c>
      <c r="K490" s="9" t="inlineStr"/>
      <c r="L490" s="9" t="inlineStr"/>
      <c r="M490" s="9" t="inlineStr"/>
      <c r="N490" s="9" t="inlineStr"/>
      <c r="O490" s="9" t="inlineStr"/>
      <c r="P490" s="16" t="inlineStr">
        <is>
          <t>—</t>
        </is>
      </c>
      <c r="Q490" s="17" t="inlineStr"/>
      <c r="R490" s="13" t="inlineStr">
        <is>
          <t>нет</t>
        </is>
      </c>
      <c r="S490" s="9" t="inlineStr"/>
      <c r="T490" s="9" t="inlineStr"/>
    </row>
    <row r="491">
      <c r="A491" s="9" t="n">
        <v>490</v>
      </c>
      <c r="B491" s="9" t="inlineStr">
        <is>
          <t>Грамматика</t>
        </is>
      </c>
      <c r="C491" s="9" t="inlineStr">
        <is>
          <t>Числительные</t>
        </is>
      </c>
      <c r="D491" s="10" t="inlineStr">
        <is>
          <t>Ordinal numbers</t>
        </is>
      </c>
      <c r="E491" s="9" t="inlineStr">
        <is>
          <t>Ordinal numbers: с артиклем the и даты</t>
        </is>
      </c>
      <c r="F491" s="9" t="inlineStr">
        <is>
          <t>10+</t>
        </is>
      </c>
      <c r="G491" s="9" t="inlineStr"/>
      <c r="H491" s="15" t="inlineStr">
        <is>
          <t>М5 · новое</t>
        </is>
      </c>
      <c r="I491" s="9" t="inlineStr"/>
      <c r="J491" s="14" t="inlineStr">
        <is>
          <t>М2 (2a) · расш.</t>
        </is>
      </c>
      <c r="K491" s="9" t="inlineStr"/>
      <c r="L491" s="9" t="inlineStr"/>
      <c r="M491" s="9" t="inlineStr"/>
      <c r="N491" s="9" t="inlineStr"/>
      <c r="O491" s="9" t="inlineStr"/>
      <c r="P491" s="16" t="inlineStr">
        <is>
          <t>—</t>
        </is>
      </c>
      <c r="Q491" s="17" t="inlineStr"/>
      <c r="R491" s="13" t="inlineStr">
        <is>
          <t>нет</t>
        </is>
      </c>
      <c r="S491" s="9" t="inlineStr"/>
      <c r="T491" s="9" t="inlineStr"/>
    </row>
    <row r="492">
      <c r="A492" s="4" t="n">
        <v>491</v>
      </c>
      <c r="B492" s="4" t="inlineStr">
        <is>
          <t>Грамматика</t>
        </is>
      </c>
      <c r="C492" s="4" t="inlineStr">
        <is>
          <t>Предлоги</t>
        </is>
      </c>
      <c r="D492" s="5" t="inlineStr">
        <is>
          <t>Prepositions of place</t>
        </is>
      </c>
      <c r="E492" s="4" t="inlineStr">
        <is>
          <t>Prepositions of place: in, on, under</t>
        </is>
      </c>
      <c r="F492" s="4" t="inlineStr">
        <is>
          <t>обе</t>
        </is>
      </c>
      <c r="G492" s="6" t="inlineStr">
        <is>
          <t>М6 · новое</t>
        </is>
      </c>
      <c r="H492" s="7" t="inlineStr">
        <is>
          <t>М1 · повт.</t>
        </is>
      </c>
      <c r="I492" s="7" t="inlineStr">
        <is>
          <t>М3 (3c) · повт.</t>
        </is>
      </c>
      <c r="J492" s="7" t="inlineStr">
        <is>
          <t>М2 (2b) · повт.</t>
        </is>
      </c>
      <c r="K492" s="4" t="inlineStr"/>
      <c r="L492" s="4" t="inlineStr"/>
      <c r="M492" s="4" t="inlineStr"/>
      <c r="N492" s="4" t="inlineStr"/>
      <c r="O492" s="4" t="inlineStr"/>
      <c r="P492" s="8" t="inlineStr">
        <is>
          <t>нет</t>
        </is>
      </c>
      <c r="Q492" s="4" t="inlineStr"/>
      <c r="R492" s="8" t="inlineStr">
        <is>
          <t>нет</t>
        </is>
      </c>
      <c r="S492" s="4" t="inlineStr"/>
      <c r="T492" s="4" t="inlineStr"/>
    </row>
    <row r="493">
      <c r="A493" s="9" t="n">
        <v>492</v>
      </c>
      <c r="B493" s="9" t="inlineStr">
        <is>
          <t>Грамматика</t>
        </is>
      </c>
      <c r="C493" s="9" t="inlineStr">
        <is>
          <t>Предлоги</t>
        </is>
      </c>
      <c r="D493" s="10" t="inlineStr">
        <is>
          <t>Prepositions of place</t>
        </is>
      </c>
      <c r="E493" s="9" t="inlineStr">
        <is>
          <t>Prepositions of place: next to, in front of, behind</t>
        </is>
      </c>
      <c r="F493" s="9" t="inlineStr">
        <is>
          <t>обе</t>
        </is>
      </c>
      <c r="G493" s="11" t="inlineStr">
        <is>
          <t>М6 · новое</t>
        </is>
      </c>
      <c r="H493" s="12" t="inlineStr">
        <is>
          <t>М1 · повт.</t>
        </is>
      </c>
      <c r="I493" s="12" t="inlineStr">
        <is>
          <t>М3 (3c) · повт.</t>
        </is>
      </c>
      <c r="J493" s="12" t="inlineStr">
        <is>
          <t>М2 (2b) · повт.</t>
        </is>
      </c>
      <c r="K493" s="9" t="inlineStr"/>
      <c r="L493" s="9" t="inlineStr"/>
      <c r="M493" s="9" t="inlineStr"/>
      <c r="N493" s="9" t="inlineStr"/>
      <c r="O493" s="9" t="inlineStr"/>
      <c r="P493" s="13" t="inlineStr">
        <is>
          <t>нет</t>
        </is>
      </c>
      <c r="Q493" s="9" t="inlineStr"/>
      <c r="R493" s="13" t="inlineStr">
        <is>
          <t>нет</t>
        </is>
      </c>
      <c r="S493" s="9" t="inlineStr"/>
      <c r="T493" s="9" t="inlineStr"/>
    </row>
    <row r="494">
      <c r="A494" s="9" t="n">
        <v>493</v>
      </c>
      <c r="B494" s="9" t="inlineStr">
        <is>
          <t>Грамматика</t>
        </is>
      </c>
      <c r="C494" s="9" t="inlineStr">
        <is>
          <t>Предлоги</t>
        </is>
      </c>
      <c r="D494" s="10" t="inlineStr">
        <is>
          <t>Prepositions of place</t>
        </is>
      </c>
      <c r="E494" s="9" t="inlineStr">
        <is>
          <t>Prepositions of place: opposite, between</t>
        </is>
      </c>
      <c r="F494" s="9" t="inlineStr">
        <is>
          <t>10+</t>
        </is>
      </c>
      <c r="G494" s="9" t="inlineStr"/>
      <c r="H494" s="15" t="inlineStr">
        <is>
          <t>М1 · новое</t>
        </is>
      </c>
      <c r="I494" s="9" t="inlineStr"/>
      <c r="J494" s="12" t="inlineStr">
        <is>
          <t>М2 (2b) · повт.</t>
        </is>
      </c>
      <c r="K494" s="9" t="inlineStr"/>
      <c r="L494" s="9" t="inlineStr"/>
      <c r="M494" s="9" t="inlineStr"/>
      <c r="N494" s="9" t="inlineStr"/>
      <c r="O494" s="9" t="inlineStr"/>
      <c r="P494" s="16" t="inlineStr">
        <is>
          <t>—</t>
        </is>
      </c>
      <c r="Q494" s="17" t="inlineStr"/>
      <c r="R494" s="13" t="inlineStr">
        <is>
          <t>нет</t>
        </is>
      </c>
      <c r="S494" s="9" t="inlineStr"/>
      <c r="T494" s="9" t="inlineStr"/>
    </row>
    <row r="495">
      <c r="A495" s="9" t="n">
        <v>494</v>
      </c>
      <c r="B495" s="9" t="inlineStr">
        <is>
          <t>Грамматика</t>
        </is>
      </c>
      <c r="C495" s="9" t="inlineStr">
        <is>
          <t>Предлоги</t>
        </is>
      </c>
      <c r="D495" s="10" t="inlineStr">
        <is>
          <t>Prepositions of place</t>
        </is>
      </c>
      <c r="E495" s="9" t="inlineStr">
        <is>
          <t>Prepositions of place: near, beside</t>
        </is>
      </c>
      <c r="F495" s="9" t="inlineStr">
        <is>
          <t>10+</t>
        </is>
      </c>
      <c r="G495" s="9" t="inlineStr"/>
      <c r="H495" s="9" t="inlineStr"/>
      <c r="I495" s="9" t="inlineStr"/>
      <c r="J495" s="15" t="inlineStr">
        <is>
          <t>М2 (2b) · новое</t>
        </is>
      </c>
      <c r="K495" s="9" t="inlineStr"/>
      <c r="L495" s="9" t="inlineStr"/>
      <c r="M495" s="9" t="inlineStr"/>
      <c r="N495" s="9" t="inlineStr"/>
      <c r="O495" s="9" t="inlineStr"/>
      <c r="P495" s="16" t="inlineStr">
        <is>
          <t>—</t>
        </is>
      </c>
      <c r="Q495" s="17" t="inlineStr"/>
      <c r="R495" s="13" t="inlineStr">
        <is>
          <t>нет</t>
        </is>
      </c>
      <c r="S495" s="9" t="inlineStr"/>
      <c r="T495" s="9" t="inlineStr"/>
    </row>
    <row r="496">
      <c r="A496" s="9" t="n">
        <v>495</v>
      </c>
      <c r="B496" s="9" t="inlineStr">
        <is>
          <t>Грамматика</t>
        </is>
      </c>
      <c r="C496" s="9" t="inlineStr">
        <is>
          <t>Предлоги</t>
        </is>
      </c>
      <c r="D496" s="10" t="inlineStr">
        <is>
          <t>Prepositions of place</t>
        </is>
      </c>
      <c r="E496" s="9" t="inlineStr">
        <is>
          <t>Prepositions of place: at — at school/work/home, в адресах</t>
        </is>
      </c>
      <c r="F496" s="9" t="inlineStr">
        <is>
          <t>10+</t>
        </is>
      </c>
      <c r="G496" s="9" t="inlineStr"/>
      <c r="H496" s="9" t="inlineStr"/>
      <c r="I496" s="15" t="inlineStr">
        <is>
          <t>М3 (3c) · новое</t>
        </is>
      </c>
      <c r="J496" s="12" t="inlineStr">
        <is>
          <t>М2 (2b) · повт.</t>
        </is>
      </c>
      <c r="K496" s="9" t="inlineStr"/>
      <c r="L496" s="9" t="inlineStr"/>
      <c r="M496" s="9" t="inlineStr"/>
      <c r="N496" s="9" t="inlineStr"/>
      <c r="O496" s="9" t="inlineStr"/>
      <c r="P496" s="16" t="inlineStr">
        <is>
          <t>—</t>
        </is>
      </c>
      <c r="Q496" s="17" t="inlineStr"/>
      <c r="R496" s="13" t="inlineStr">
        <is>
          <t>нет</t>
        </is>
      </c>
      <c r="S496" s="9" t="inlineStr"/>
      <c r="T496" s="9" t="inlineStr"/>
    </row>
    <row r="497">
      <c r="A497" s="9" t="n">
        <v>496</v>
      </c>
      <c r="B497" s="9" t="inlineStr">
        <is>
          <t>Грамматика</t>
        </is>
      </c>
      <c r="C497" s="9" t="inlineStr">
        <is>
          <t>Предлоги</t>
        </is>
      </c>
      <c r="D497" s="10" t="inlineStr">
        <is>
          <t>Prepositions of place</t>
        </is>
      </c>
      <c r="E497" s="9" t="inlineStr">
        <is>
          <t>Prepositions of place: in — устойчивые выражения (in bed, in hospital, in the sky, in a picture)</t>
        </is>
      </c>
      <c r="F497" s="9" t="inlineStr">
        <is>
          <t>10+</t>
        </is>
      </c>
      <c r="G497" s="9" t="inlineStr"/>
      <c r="H497" s="9" t="inlineStr"/>
      <c r="I497" s="15" t="inlineStr">
        <is>
          <t>М3 (3c) · новое</t>
        </is>
      </c>
      <c r="J497" s="12" t="inlineStr">
        <is>
          <t>М2 (2b) · повт.</t>
        </is>
      </c>
      <c r="K497" s="9" t="inlineStr"/>
      <c r="L497" s="9" t="inlineStr"/>
      <c r="M497" s="9" t="inlineStr"/>
      <c r="N497" s="9" t="inlineStr"/>
      <c r="O497" s="9" t="inlineStr"/>
      <c r="P497" s="16" t="inlineStr">
        <is>
          <t>—</t>
        </is>
      </c>
      <c r="Q497" s="17" t="inlineStr"/>
      <c r="R497" s="13" t="inlineStr">
        <is>
          <t>нет</t>
        </is>
      </c>
      <c r="S497" s="9" t="inlineStr"/>
      <c r="T497" s="9" t="inlineStr"/>
    </row>
    <row r="498">
      <c r="A498" s="9" t="n">
        <v>497</v>
      </c>
      <c r="B498" s="9" t="inlineStr">
        <is>
          <t>Грамматика</t>
        </is>
      </c>
      <c r="C498" s="9" t="inlineStr">
        <is>
          <t>Предлоги</t>
        </is>
      </c>
      <c r="D498" s="10" t="inlineStr">
        <is>
          <t>Prepositions of place</t>
        </is>
      </c>
      <c r="E498" s="9" t="inlineStr">
        <is>
          <t>Prepositions of place: in — города, страны, континенты</t>
        </is>
      </c>
      <c r="F498" s="9" t="inlineStr">
        <is>
          <t>10+</t>
        </is>
      </c>
      <c r="G498" s="9" t="inlineStr"/>
      <c r="H498" s="9" t="inlineStr"/>
      <c r="I498" s="15" t="inlineStr">
        <is>
          <t>М3 (3c) · новое</t>
        </is>
      </c>
      <c r="J498" s="12" t="inlineStr">
        <is>
          <t>М2 (2b) · повт.</t>
        </is>
      </c>
      <c r="K498" s="9" t="inlineStr"/>
      <c r="L498" s="9" t="inlineStr"/>
      <c r="M498" s="9" t="inlineStr"/>
      <c r="N498" s="9" t="inlineStr"/>
      <c r="O498" s="9" t="inlineStr"/>
      <c r="P498" s="16" t="inlineStr">
        <is>
          <t>—</t>
        </is>
      </c>
      <c r="Q498" s="17" t="inlineStr"/>
      <c r="R498" s="13" t="inlineStr">
        <is>
          <t>нет</t>
        </is>
      </c>
      <c r="S498" s="9" t="inlineStr"/>
      <c r="T498" s="9" t="inlineStr"/>
    </row>
    <row r="499">
      <c r="A499" s="9" t="n">
        <v>498</v>
      </c>
      <c r="B499" s="9" t="inlineStr">
        <is>
          <t>Грамматика</t>
        </is>
      </c>
      <c r="C499" s="9" t="inlineStr">
        <is>
          <t>Предлоги</t>
        </is>
      </c>
      <c r="D499" s="10" t="inlineStr">
        <is>
          <t>Prepositions of place</t>
        </is>
      </c>
      <c r="E499" s="9" t="inlineStr">
        <is>
          <t>Prepositions of place: on — on the left/right, on the first floor</t>
        </is>
      </c>
      <c r="F499" s="9" t="inlineStr">
        <is>
          <t>10+</t>
        </is>
      </c>
      <c r="G499" s="9" t="inlineStr"/>
      <c r="H499" s="9" t="inlineStr"/>
      <c r="I499" s="15" t="inlineStr">
        <is>
          <t>М3 (3c) · новое</t>
        </is>
      </c>
      <c r="J499" s="12" t="inlineStr">
        <is>
          <t>М2 (2b) · повт.</t>
        </is>
      </c>
      <c r="K499" s="9" t="inlineStr"/>
      <c r="L499" s="9" t="inlineStr"/>
      <c r="M499" s="9" t="inlineStr"/>
      <c r="N499" s="9" t="inlineStr"/>
      <c r="O499" s="9" t="inlineStr"/>
      <c r="P499" s="16" t="inlineStr">
        <is>
          <t>—</t>
        </is>
      </c>
      <c r="Q499" s="17" t="inlineStr"/>
      <c r="R499" s="13" t="inlineStr">
        <is>
          <t>нет</t>
        </is>
      </c>
      <c r="S499" s="9" t="inlineStr"/>
      <c r="T499" s="9" t="inlineStr"/>
    </row>
    <row r="500">
      <c r="A500" s="4" t="n">
        <v>499</v>
      </c>
      <c r="B500" s="4" t="inlineStr">
        <is>
          <t>Грамматика</t>
        </is>
      </c>
      <c r="C500" s="4" t="inlineStr">
        <is>
          <t>Предлоги</t>
        </is>
      </c>
      <c r="D500" s="5" t="inlineStr">
        <is>
          <t>Prepositions of time</t>
        </is>
      </c>
      <c r="E500" s="4" t="inlineStr">
        <is>
          <t>Prepositions of time: at — время, праздники, at night/at noon/at the weekend</t>
        </is>
      </c>
      <c r="F500" s="4" t="inlineStr">
        <is>
          <t>обе</t>
        </is>
      </c>
      <c r="G500" s="6" t="inlineStr">
        <is>
          <t>М8 · новое</t>
        </is>
      </c>
      <c r="H500" s="4" t="inlineStr"/>
      <c r="I500" s="21" t="inlineStr">
        <is>
          <t>М6 (6a) · расш.</t>
        </is>
      </c>
      <c r="J500" s="7" t="inlineStr">
        <is>
          <t>М2 (2a) · повт.</t>
        </is>
      </c>
      <c r="K500" s="4" t="inlineStr"/>
      <c r="L500" s="4" t="inlineStr"/>
      <c r="M500" s="4" t="inlineStr"/>
      <c r="N500" s="4" t="inlineStr"/>
      <c r="O500" s="4" t="inlineStr"/>
      <c r="P500" s="8" t="inlineStr">
        <is>
          <t>нет</t>
        </is>
      </c>
      <c r="Q500" s="4" t="inlineStr"/>
      <c r="R500" s="8" t="inlineStr">
        <is>
          <t>нет</t>
        </is>
      </c>
      <c r="S500" s="4" t="inlineStr"/>
      <c r="T500" s="4" t="inlineStr"/>
    </row>
    <row r="501">
      <c r="A501" s="9" t="n">
        <v>500</v>
      </c>
      <c r="B501" s="9" t="inlineStr">
        <is>
          <t>Грамматика</t>
        </is>
      </c>
      <c r="C501" s="9" t="inlineStr">
        <is>
          <t>Предлоги</t>
        </is>
      </c>
      <c r="D501" s="10" t="inlineStr">
        <is>
          <t>Prepositions of time</t>
        </is>
      </c>
      <c r="E501" s="9" t="inlineStr">
        <is>
          <t>Prepositions of time: on — дни недели и праздничные дни</t>
        </is>
      </c>
      <c r="F501" s="9" t="inlineStr">
        <is>
          <t>обе</t>
        </is>
      </c>
      <c r="G501" s="11" t="inlineStr">
        <is>
          <t>М8 · новое</t>
        </is>
      </c>
      <c r="H501" s="9" t="inlineStr"/>
      <c r="I501" s="12" t="inlineStr">
        <is>
          <t>М6 (6a) · повт.</t>
        </is>
      </c>
      <c r="J501" s="12" t="inlineStr">
        <is>
          <t>М2 (2a) · повт.</t>
        </is>
      </c>
      <c r="K501" s="9" t="inlineStr"/>
      <c r="L501" s="9" t="inlineStr"/>
      <c r="M501" s="9" t="inlineStr"/>
      <c r="N501" s="9" t="inlineStr"/>
      <c r="O501" s="9" t="inlineStr"/>
      <c r="P501" s="13" t="inlineStr">
        <is>
          <t>нет</t>
        </is>
      </c>
      <c r="Q501" s="9" t="inlineStr"/>
      <c r="R501" s="13" t="inlineStr">
        <is>
          <t>нет</t>
        </is>
      </c>
      <c r="S501" s="9" t="inlineStr"/>
      <c r="T501" s="9" t="inlineStr"/>
    </row>
    <row r="502">
      <c r="A502" s="9" t="n">
        <v>501</v>
      </c>
      <c r="B502" s="9" t="inlineStr">
        <is>
          <t>Грамматика</t>
        </is>
      </c>
      <c r="C502" s="9" t="inlineStr">
        <is>
          <t>Предлоги</t>
        </is>
      </c>
      <c r="D502" s="10" t="inlineStr">
        <is>
          <t>Prepositions of time</t>
        </is>
      </c>
      <c r="E502" s="9" t="inlineStr">
        <is>
          <t>Prepositions of time: on — даты, день недели + часть дня, on a hot day</t>
        </is>
      </c>
      <c r="F502" s="9" t="inlineStr">
        <is>
          <t>10+</t>
        </is>
      </c>
      <c r="G502" s="9" t="inlineStr"/>
      <c r="H502" s="9" t="inlineStr"/>
      <c r="I502" s="15" t="inlineStr">
        <is>
          <t>М6 (6a) · новое</t>
        </is>
      </c>
      <c r="J502" s="12" t="inlineStr">
        <is>
          <t>М2 (2a) · повт.</t>
        </is>
      </c>
      <c r="K502" s="9" t="inlineStr"/>
      <c r="L502" s="9" t="inlineStr"/>
      <c r="M502" s="9" t="inlineStr"/>
      <c r="N502" s="9" t="inlineStr"/>
      <c r="O502" s="9" t="inlineStr"/>
      <c r="P502" s="16" t="inlineStr">
        <is>
          <t>—</t>
        </is>
      </c>
      <c r="Q502" s="17" t="inlineStr"/>
      <c r="R502" s="13" t="inlineStr">
        <is>
          <t>нет</t>
        </is>
      </c>
      <c r="S502" s="9" t="inlineStr"/>
      <c r="T502" s="9" t="inlineStr"/>
    </row>
    <row r="503">
      <c r="A503" s="9" t="n">
        <v>502</v>
      </c>
      <c r="B503" s="9" t="inlineStr">
        <is>
          <t>Грамматика</t>
        </is>
      </c>
      <c r="C503" s="9" t="inlineStr">
        <is>
          <t>Предлоги</t>
        </is>
      </c>
      <c r="D503" s="10" t="inlineStr">
        <is>
          <t>Prepositions of time</t>
        </is>
      </c>
      <c r="E503" s="9" t="inlineStr">
        <is>
          <t>Prepositions of time: in — части суток (in the morning/afternoon/evening)</t>
        </is>
      </c>
      <c r="F503" s="9" t="inlineStr">
        <is>
          <t>обе</t>
        </is>
      </c>
      <c r="G503" s="11" t="inlineStr">
        <is>
          <t>М8 · новое</t>
        </is>
      </c>
      <c r="H503" s="9" t="inlineStr"/>
      <c r="I503" s="12" t="inlineStr">
        <is>
          <t>М6 (6a) · повт.</t>
        </is>
      </c>
      <c r="J503" s="12" t="inlineStr">
        <is>
          <t>М2 (2a) · повт.</t>
        </is>
      </c>
      <c r="K503" s="9" t="inlineStr"/>
      <c r="L503" s="9" t="inlineStr"/>
      <c r="M503" s="9" t="inlineStr"/>
      <c r="N503" s="9" t="inlineStr"/>
      <c r="O503" s="9" t="inlineStr"/>
      <c r="P503" s="13" t="inlineStr">
        <is>
          <t>нет</t>
        </is>
      </c>
      <c r="Q503" s="9" t="inlineStr"/>
      <c r="R503" s="13" t="inlineStr">
        <is>
          <t>нет</t>
        </is>
      </c>
      <c r="S503" s="9" t="inlineStr"/>
      <c r="T503" s="9" t="inlineStr"/>
    </row>
    <row r="504">
      <c r="A504" s="9" t="n">
        <v>503</v>
      </c>
      <c r="B504" s="9" t="inlineStr">
        <is>
          <t>Грамматика</t>
        </is>
      </c>
      <c r="C504" s="9" t="inlineStr">
        <is>
          <t>Предлоги</t>
        </is>
      </c>
      <c r="D504" s="10" t="inlineStr">
        <is>
          <t>Prepositions of time</t>
        </is>
      </c>
      <c r="E504" s="9" t="inlineStr">
        <is>
          <t>Prepositions of time: in — месяцы, времена года, годы, века</t>
        </is>
      </c>
      <c r="F504" s="9" t="inlineStr">
        <is>
          <t>10+</t>
        </is>
      </c>
      <c r="G504" s="9" t="inlineStr"/>
      <c r="H504" s="9" t="inlineStr"/>
      <c r="I504" s="15" t="inlineStr">
        <is>
          <t>М6 (6a) · новое</t>
        </is>
      </c>
      <c r="J504" s="12" t="inlineStr">
        <is>
          <t>М2 (2a) · повт.</t>
        </is>
      </c>
      <c r="K504" s="9" t="inlineStr"/>
      <c r="L504" s="9" t="inlineStr"/>
      <c r="M504" s="9" t="inlineStr"/>
      <c r="N504" s="9" t="inlineStr"/>
      <c r="O504" s="9" t="inlineStr"/>
      <c r="P504" s="16" t="inlineStr">
        <is>
          <t>—</t>
        </is>
      </c>
      <c r="Q504" s="17" t="inlineStr"/>
      <c r="R504" s="13" t="inlineStr">
        <is>
          <t>нет</t>
        </is>
      </c>
      <c r="S504" s="9" t="inlineStr"/>
      <c r="T504" s="9" t="inlineStr"/>
    </row>
    <row r="505">
      <c r="A505" s="9" t="n">
        <v>504</v>
      </c>
      <c r="B505" s="9" t="inlineStr">
        <is>
          <t>Грамматика</t>
        </is>
      </c>
      <c r="C505" s="9" t="inlineStr">
        <is>
          <t>Предлоги</t>
        </is>
      </c>
      <c r="D505" s="10" t="inlineStr">
        <is>
          <t>Prepositions of time</t>
        </is>
      </c>
      <c r="E505" s="9" t="inlineStr">
        <is>
          <t>Prepositions of time: in = «через» (in an hour, in a week)</t>
        </is>
      </c>
      <c r="F505" s="9" t="inlineStr">
        <is>
          <t>10+</t>
        </is>
      </c>
      <c r="G505" s="9" t="inlineStr"/>
      <c r="H505" s="9" t="inlineStr"/>
      <c r="I505" s="15" t="inlineStr">
        <is>
          <t>М6 (6a) · новое</t>
        </is>
      </c>
      <c r="J505" s="12" t="inlineStr">
        <is>
          <t>М2 (2a) · повт.</t>
        </is>
      </c>
      <c r="K505" s="9" t="inlineStr"/>
      <c r="L505" s="9" t="inlineStr"/>
      <c r="M505" s="9" t="inlineStr"/>
      <c r="N505" s="9" t="inlineStr"/>
      <c r="O505" s="9" t="inlineStr"/>
      <c r="P505" s="16" t="inlineStr">
        <is>
          <t>—</t>
        </is>
      </c>
      <c r="Q505" s="17" t="inlineStr"/>
      <c r="R505" s="13" t="inlineStr">
        <is>
          <t>нет</t>
        </is>
      </c>
      <c r="S505" s="9" t="inlineStr"/>
      <c r="T505" s="9" t="inlineStr"/>
    </row>
    <row r="506">
      <c r="A506" s="4" t="n">
        <v>505</v>
      </c>
      <c r="B506" s="4" t="inlineStr">
        <is>
          <t>Грамматика</t>
        </is>
      </c>
      <c r="C506" s="4" t="inlineStr">
        <is>
          <t>Предлоги</t>
        </is>
      </c>
      <c r="D506" s="5" t="inlineStr">
        <is>
          <t>Like / As</t>
        </is>
      </c>
      <c r="E506" s="4" t="inlineStr">
        <is>
          <t>Like / As: like — сходство; после feel, look, smell, taste, sound</t>
        </is>
      </c>
      <c r="F506" s="4" t="inlineStr">
        <is>
          <t>10+</t>
        </is>
      </c>
      <c r="G506" s="4" t="inlineStr"/>
      <c r="H506" s="4" t="inlineStr"/>
      <c r="I506" s="4" t="inlineStr"/>
      <c r="J506" s="4" t="inlineStr"/>
      <c r="K506" s="4" t="inlineStr"/>
      <c r="L506" s="4" t="inlineStr"/>
      <c r="M506" s="4" t="inlineStr"/>
      <c r="N506" s="18" t="inlineStr">
        <is>
          <t>М3 (3c) · новое</t>
        </is>
      </c>
      <c r="O506" s="4" t="inlineStr"/>
      <c r="P506" s="19" t="inlineStr">
        <is>
          <t>—</t>
        </is>
      </c>
      <c r="Q506" s="20" t="inlineStr"/>
      <c r="R506" s="8" t="inlineStr">
        <is>
          <t>нет</t>
        </is>
      </c>
      <c r="S506" s="4" t="inlineStr"/>
      <c r="T506" s="4" t="inlineStr"/>
    </row>
    <row r="507">
      <c r="A507" s="9" t="n">
        <v>506</v>
      </c>
      <c r="B507" s="9" t="inlineStr">
        <is>
          <t>Грамматика</t>
        </is>
      </c>
      <c r="C507" s="9" t="inlineStr">
        <is>
          <t>Предлоги</t>
        </is>
      </c>
      <c r="D507" s="10" t="inlineStr">
        <is>
          <t>Like / As</t>
        </is>
      </c>
      <c r="E507" s="9" t="inlineStr">
        <is>
          <t>Like / As: as — роль, профессия; после regard, describe, be known; as usual, such as, the same as</t>
        </is>
      </c>
      <c r="F507" s="9" t="inlineStr">
        <is>
          <t>10+</t>
        </is>
      </c>
      <c r="G507" s="9" t="inlineStr"/>
      <c r="H507" s="9" t="inlineStr"/>
      <c r="I507" s="9" t="inlineStr"/>
      <c r="J507" s="9" t="inlineStr"/>
      <c r="K507" s="9" t="inlineStr"/>
      <c r="L507" s="9" t="inlineStr"/>
      <c r="M507" s="9" t="inlineStr"/>
      <c r="N507" s="15" t="inlineStr">
        <is>
          <t>М3 (3c) · новое</t>
        </is>
      </c>
      <c r="O507" s="9" t="inlineStr"/>
      <c r="P507" s="16" t="inlineStr">
        <is>
          <t>—</t>
        </is>
      </c>
      <c r="Q507" s="17" t="inlineStr"/>
      <c r="R507" s="13" t="inlineStr">
        <is>
          <t>нет</t>
        </is>
      </c>
      <c r="S507" s="9" t="inlineStr"/>
      <c r="T507" s="9" t="inlineStr"/>
    </row>
    <row r="508">
      <c r="A508" s="9" t="n">
        <v>507</v>
      </c>
      <c r="B508" s="9" t="inlineStr">
        <is>
          <t>Грамматика</t>
        </is>
      </c>
      <c r="C508" s="9" t="inlineStr">
        <is>
          <t>Предлоги</t>
        </is>
      </c>
      <c r="D508" s="10" t="inlineStr">
        <is>
          <t>Like / As</t>
        </is>
      </c>
      <c r="E508" s="9" t="inlineStr">
        <is>
          <t>Like / As: like vs as — сходство vs реальная роль</t>
        </is>
      </c>
      <c r="F508" s="9" t="inlineStr">
        <is>
          <t>10+</t>
        </is>
      </c>
      <c r="G508" s="9" t="inlineStr"/>
      <c r="H508" s="9" t="inlineStr"/>
      <c r="I508" s="9" t="inlineStr"/>
      <c r="J508" s="9" t="inlineStr"/>
      <c r="K508" s="9" t="inlineStr"/>
      <c r="L508" s="9" t="inlineStr"/>
      <c r="M508" s="9" t="inlineStr"/>
      <c r="N508" s="15" t="inlineStr">
        <is>
          <t>М3 (3c) · новое</t>
        </is>
      </c>
      <c r="O508" s="9" t="inlineStr"/>
      <c r="P508" s="16" t="inlineStr">
        <is>
          <t>—</t>
        </is>
      </c>
      <c r="Q508" s="17" t="inlineStr"/>
      <c r="R508" s="13" t="inlineStr">
        <is>
          <t>нет</t>
        </is>
      </c>
      <c r="S508" s="9" t="inlineStr"/>
      <c r="T508" s="9" t="inlineStr"/>
    </row>
    <row r="509">
      <c r="A509" s="4" t="n">
        <v>508</v>
      </c>
      <c r="B509" s="4" t="inlineStr">
        <is>
          <t>Грамматика</t>
        </is>
      </c>
      <c r="C509" s="4" t="inlineStr">
        <is>
          <t>Предложение и вопросы</t>
        </is>
      </c>
      <c r="D509" s="5" t="inlineStr">
        <is>
          <t>Question words</t>
        </is>
      </c>
      <c r="E509" s="4" t="inlineStr">
        <is>
          <t>Question words: Whose? — чья вещь</t>
        </is>
      </c>
      <c r="F509" s="4" t="inlineStr">
        <is>
          <t>7–9</t>
        </is>
      </c>
      <c r="G509" s="6" t="inlineStr">
        <is>
          <t>М4 · новое</t>
        </is>
      </c>
      <c r="H509" s="4" t="inlineStr"/>
      <c r="I509" s="4" t="inlineStr"/>
      <c r="J509" s="4" t="inlineStr"/>
      <c r="K509" s="4" t="inlineStr"/>
      <c r="L509" s="4" t="inlineStr"/>
      <c r="M509" s="4" t="inlineStr"/>
      <c r="N509" s="4" t="inlineStr"/>
      <c r="O509" s="4" t="inlineStr"/>
      <c r="P509" s="8" t="inlineStr">
        <is>
          <t>нет</t>
        </is>
      </c>
      <c r="Q509" s="4" t="inlineStr"/>
      <c r="R509" s="19" t="inlineStr">
        <is>
          <t>—</t>
        </is>
      </c>
      <c r="S509" s="20" t="inlineStr"/>
      <c r="T509" s="4" t="inlineStr"/>
    </row>
    <row r="510">
      <c r="A510" s="9" t="n">
        <v>509</v>
      </c>
      <c r="B510" s="9" t="inlineStr">
        <is>
          <t>Грамматика</t>
        </is>
      </c>
      <c r="C510" s="9" t="inlineStr">
        <is>
          <t>Предложение и вопросы</t>
        </is>
      </c>
      <c r="D510" s="10" t="inlineStr">
        <is>
          <t>Question words</t>
        </is>
      </c>
      <c r="E510" s="9" t="inlineStr">
        <is>
          <t>Question words: How much? / How many?</t>
        </is>
      </c>
      <c r="F510" s="9" t="inlineStr">
        <is>
          <t>10+</t>
        </is>
      </c>
      <c r="G510" s="9" t="inlineStr"/>
      <c r="H510" s="15" t="inlineStr">
        <is>
          <t>М3 · новое</t>
        </is>
      </c>
      <c r="I510" s="9" t="inlineStr"/>
      <c r="J510" s="9" t="inlineStr"/>
      <c r="K510" s="9" t="inlineStr"/>
      <c r="L510" s="9" t="inlineStr"/>
      <c r="M510" s="9" t="inlineStr"/>
      <c r="N510" s="9" t="inlineStr"/>
      <c r="O510" s="9" t="inlineStr"/>
      <c r="P510" s="16" t="inlineStr">
        <is>
          <t>—</t>
        </is>
      </c>
      <c r="Q510" s="17" t="inlineStr"/>
      <c r="R510" s="13" t="inlineStr">
        <is>
          <t>нет</t>
        </is>
      </c>
      <c r="S510" s="9" t="inlineStr"/>
      <c r="T510" s="9" t="inlineStr"/>
    </row>
    <row r="511">
      <c r="A511" s="9" t="n">
        <v>510</v>
      </c>
      <c r="B511" s="9" t="inlineStr">
        <is>
          <t>Грамматика</t>
        </is>
      </c>
      <c r="C511" s="9" t="inlineStr">
        <is>
          <t>Предложение и вопросы</t>
        </is>
      </c>
      <c r="D511" s="10" t="inlineStr">
        <is>
          <t>Question words</t>
        </is>
      </c>
      <c r="E511" s="9" t="inlineStr">
        <is>
          <t>Question words: who / what / where / when / why / how</t>
        </is>
      </c>
      <c r="F511" s="9" t="inlineStr">
        <is>
          <t>10+</t>
        </is>
      </c>
      <c r="G511" s="9" t="inlineStr"/>
      <c r="H511" s="15" t="inlineStr">
        <is>
          <t>М8 · новое</t>
        </is>
      </c>
      <c r="I511" s="9" t="inlineStr"/>
      <c r="J511" s="9" t="inlineStr"/>
      <c r="K511" s="9" t="inlineStr"/>
      <c r="L511" s="9" t="inlineStr"/>
      <c r="M511" s="9" t="inlineStr"/>
      <c r="N511" s="9" t="inlineStr"/>
      <c r="O511" s="9" t="inlineStr"/>
      <c r="P511" s="16" t="inlineStr">
        <is>
          <t>—</t>
        </is>
      </c>
      <c r="Q511" s="17" t="inlineStr"/>
      <c r="R511" s="13" t="inlineStr">
        <is>
          <t>нет</t>
        </is>
      </c>
      <c r="S511" s="9" t="inlineStr"/>
      <c r="T511" s="9" t="inlineStr"/>
    </row>
    <row r="512">
      <c r="A512" s="4" t="n">
        <v>511</v>
      </c>
      <c r="B512" s="4" t="inlineStr">
        <is>
          <t>Грамматика</t>
        </is>
      </c>
      <c r="C512" s="4" t="inlineStr">
        <is>
          <t>Предложение и вопросы</t>
        </is>
      </c>
      <c r="D512" s="5" t="inlineStr">
        <is>
          <t>There is / There are</t>
        </is>
      </c>
      <c r="E512" s="4" t="inlineStr">
        <is>
          <t>There is / There are: there is — утверждение (ед. ч.)</t>
        </is>
      </c>
      <c r="F512" s="4" t="inlineStr">
        <is>
          <t>обе</t>
        </is>
      </c>
      <c r="G512" s="6" t="inlineStr">
        <is>
          <t>М6 · новое</t>
        </is>
      </c>
      <c r="H512" s="4" t="inlineStr"/>
      <c r="I512" s="7" t="inlineStr">
        <is>
          <t>М3 (3b) · повт.</t>
        </is>
      </c>
      <c r="J512" s="4" t="inlineStr"/>
      <c r="K512" s="4" t="inlineStr"/>
      <c r="L512" s="4" t="inlineStr"/>
      <c r="M512" s="4" t="inlineStr"/>
      <c r="N512" s="4" t="inlineStr"/>
      <c r="O512" s="4" t="inlineStr"/>
      <c r="P512" s="8" t="inlineStr">
        <is>
          <t>нет</t>
        </is>
      </c>
      <c r="Q512" s="4" t="inlineStr"/>
      <c r="R512" s="8" t="inlineStr">
        <is>
          <t>нет</t>
        </is>
      </c>
      <c r="S512" s="4" t="inlineStr"/>
      <c r="T512" s="4" t="inlineStr"/>
    </row>
    <row r="513">
      <c r="A513" s="9" t="n">
        <v>512</v>
      </c>
      <c r="B513" s="9" t="inlineStr">
        <is>
          <t>Грамматика</t>
        </is>
      </c>
      <c r="C513" s="9" t="inlineStr">
        <is>
          <t>Предложение и вопросы</t>
        </is>
      </c>
      <c r="D513" s="10" t="inlineStr">
        <is>
          <t>There is / There are</t>
        </is>
      </c>
      <c r="E513" s="9" t="inlineStr">
        <is>
          <t>There is / There are: there are — утверждение (мн. ч.)</t>
        </is>
      </c>
      <c r="F513" s="9" t="inlineStr">
        <is>
          <t>обе</t>
        </is>
      </c>
      <c r="G513" s="11" t="inlineStr">
        <is>
          <t>М6 · новое</t>
        </is>
      </c>
      <c r="H513" s="9" t="inlineStr"/>
      <c r="I513" s="12" t="inlineStr">
        <is>
          <t>М3 (3b) · повт.</t>
        </is>
      </c>
      <c r="J513" s="9" t="inlineStr"/>
      <c r="K513" s="9" t="inlineStr"/>
      <c r="L513" s="9" t="inlineStr"/>
      <c r="M513" s="9" t="inlineStr"/>
      <c r="N513" s="9" t="inlineStr"/>
      <c r="O513" s="9" t="inlineStr"/>
      <c r="P513" s="13" t="inlineStr">
        <is>
          <t>нет</t>
        </is>
      </c>
      <c r="Q513" s="9" t="inlineStr"/>
      <c r="R513" s="13" t="inlineStr">
        <is>
          <t>нет</t>
        </is>
      </c>
      <c r="S513" s="9" t="inlineStr"/>
      <c r="T513" s="9" t="inlineStr"/>
    </row>
    <row r="514">
      <c r="A514" s="9" t="n">
        <v>513</v>
      </c>
      <c r="B514" s="9" t="inlineStr">
        <is>
          <t>Грамматика</t>
        </is>
      </c>
      <c r="C514" s="9" t="inlineStr">
        <is>
          <t>Предложение и вопросы</t>
        </is>
      </c>
      <c r="D514" s="10" t="inlineStr">
        <is>
          <t>There is / There are</t>
        </is>
      </c>
      <c r="E514" s="9" t="inlineStr">
        <is>
          <t>There is / There are: отрицание — there isn't / there aren't</t>
        </is>
      </c>
      <c r="F514" s="9" t="inlineStr">
        <is>
          <t>обе</t>
        </is>
      </c>
      <c r="G514" s="11" t="inlineStr">
        <is>
          <t>М6 · новое</t>
        </is>
      </c>
      <c r="H514" s="9" t="inlineStr"/>
      <c r="I514" s="12" t="inlineStr">
        <is>
          <t>М3 (3b) · повт.</t>
        </is>
      </c>
      <c r="J514" s="9" t="inlineStr"/>
      <c r="K514" s="9" t="inlineStr"/>
      <c r="L514" s="9" t="inlineStr"/>
      <c r="M514" s="9" t="inlineStr"/>
      <c r="N514" s="9" t="inlineStr"/>
      <c r="O514" s="9" t="inlineStr"/>
      <c r="P514" s="13" t="inlineStr">
        <is>
          <t>нет</t>
        </is>
      </c>
      <c r="Q514" s="9" t="inlineStr"/>
      <c r="R514" s="13" t="inlineStr">
        <is>
          <t>нет</t>
        </is>
      </c>
      <c r="S514" s="9" t="inlineStr"/>
      <c r="T514" s="9" t="inlineStr"/>
    </row>
    <row r="515">
      <c r="A515" s="9" t="n">
        <v>514</v>
      </c>
      <c r="B515" s="9" t="inlineStr">
        <is>
          <t>Грамматика</t>
        </is>
      </c>
      <c r="C515" s="9" t="inlineStr">
        <is>
          <t>Предложение и вопросы</t>
        </is>
      </c>
      <c r="D515" s="10" t="inlineStr">
        <is>
          <t>There is / There are</t>
        </is>
      </c>
      <c r="E515" s="9" t="inlineStr">
        <is>
          <t>There is / There are: вопросы — Is there…? / Are there…?</t>
        </is>
      </c>
      <c r="F515" s="9" t="inlineStr">
        <is>
          <t>обе</t>
        </is>
      </c>
      <c r="G515" s="11" t="inlineStr">
        <is>
          <t>М6 · новое</t>
        </is>
      </c>
      <c r="H515" s="9" t="inlineStr"/>
      <c r="I515" s="12" t="inlineStr">
        <is>
          <t>М3 (3b) · повт.</t>
        </is>
      </c>
      <c r="J515" s="9" t="inlineStr"/>
      <c r="K515" s="9" t="inlineStr"/>
      <c r="L515" s="9" t="inlineStr"/>
      <c r="M515" s="9" t="inlineStr"/>
      <c r="N515" s="9" t="inlineStr"/>
      <c r="O515" s="9" t="inlineStr"/>
      <c r="P515" s="13" t="inlineStr">
        <is>
          <t>нет</t>
        </is>
      </c>
      <c r="Q515" s="9" t="inlineStr"/>
      <c r="R515" s="13" t="inlineStr">
        <is>
          <t>нет</t>
        </is>
      </c>
      <c r="S515" s="9" t="inlineStr"/>
      <c r="T515" s="9" t="inlineStr"/>
    </row>
    <row r="516">
      <c r="A516" s="9" t="n">
        <v>515</v>
      </c>
      <c r="B516" s="9" t="inlineStr">
        <is>
          <t>Грамматика</t>
        </is>
      </c>
      <c r="C516" s="9" t="inlineStr">
        <is>
          <t>Предложение и вопросы</t>
        </is>
      </c>
      <c r="D516" s="10" t="inlineStr">
        <is>
          <t>There is / There are</t>
        </is>
      </c>
      <c r="E516" s="9" t="inlineStr">
        <is>
          <t>There is / There are: some / any в конструкции</t>
        </is>
      </c>
      <c r="F516" s="9" t="inlineStr">
        <is>
          <t>10+</t>
        </is>
      </c>
      <c r="G516" s="9" t="inlineStr"/>
      <c r="H516" s="9" t="inlineStr"/>
      <c r="I516" s="15" t="inlineStr">
        <is>
          <t>М3 (3b) · новое</t>
        </is>
      </c>
      <c r="J516" s="9" t="inlineStr"/>
      <c r="K516" s="9" t="inlineStr"/>
      <c r="L516" s="9" t="inlineStr"/>
      <c r="M516" s="9" t="inlineStr"/>
      <c r="N516" s="9" t="inlineStr"/>
      <c r="O516" s="9" t="inlineStr"/>
      <c r="P516" s="16" t="inlineStr">
        <is>
          <t>—</t>
        </is>
      </c>
      <c r="Q516" s="17" t="inlineStr"/>
      <c r="R516" s="13" t="inlineStr">
        <is>
          <t>нет</t>
        </is>
      </c>
      <c r="S516" s="9" t="inlineStr"/>
      <c r="T516" s="9" t="inlineStr"/>
    </row>
    <row r="517">
      <c r="A517" s="4" t="n">
        <v>516</v>
      </c>
      <c r="B517" s="4" t="inlineStr">
        <is>
          <t>Грамматика</t>
        </is>
      </c>
      <c r="C517" s="4" t="inlineStr">
        <is>
          <t>Предложение и вопросы</t>
        </is>
      </c>
      <c r="D517" s="5" t="inlineStr">
        <is>
          <t>Alternative questions</t>
        </is>
      </c>
      <c r="E517" s="4" t="inlineStr">
        <is>
          <t>Alternative questions: образование (общий вопрос + or) — be, have got</t>
        </is>
      </c>
      <c r="F517" s="4" t="inlineStr">
        <is>
          <t>10+</t>
        </is>
      </c>
      <c r="G517" s="4" t="inlineStr"/>
      <c r="H517" s="4" t="inlineStr"/>
      <c r="I517" s="18" t="inlineStr">
        <is>
          <t>М1 (1b) · новое</t>
        </is>
      </c>
      <c r="J517" s="4" t="inlineStr"/>
      <c r="K517" s="4" t="inlineStr"/>
      <c r="L517" s="4" t="inlineStr"/>
      <c r="M517" s="4" t="inlineStr"/>
      <c r="N517" s="4" t="inlineStr"/>
      <c r="O517" s="4" t="inlineStr"/>
      <c r="P517" s="19" t="inlineStr">
        <is>
          <t>—</t>
        </is>
      </c>
      <c r="Q517" s="20" t="inlineStr"/>
      <c r="R517" s="8" t="inlineStr">
        <is>
          <t>нет</t>
        </is>
      </c>
      <c r="S517" s="4" t="inlineStr"/>
      <c r="T517" s="4" t="inlineStr"/>
    </row>
    <row r="518">
      <c r="A518" s="9" t="n">
        <v>517</v>
      </c>
      <c r="B518" s="9" t="inlineStr">
        <is>
          <t>Грамматика</t>
        </is>
      </c>
      <c r="C518" s="9" t="inlineStr">
        <is>
          <t>Предложение и вопросы</t>
        </is>
      </c>
      <c r="D518" s="10" t="inlineStr">
        <is>
          <t>Alternative questions</t>
        </is>
      </c>
      <c r="E518" s="9" t="inlineStr">
        <is>
          <t>Alternative questions: в Present Simple (do/does … or …)</t>
        </is>
      </c>
      <c r="F518" s="9" t="inlineStr">
        <is>
          <t>10+</t>
        </is>
      </c>
      <c r="G518" s="9" t="inlineStr"/>
      <c r="H518" s="9" t="inlineStr"/>
      <c r="I518" s="15" t="inlineStr">
        <is>
          <t>М1 (1b) · новое
М5 (5b) · повт.</t>
        </is>
      </c>
      <c r="J518" s="9" t="inlineStr"/>
      <c r="K518" s="9" t="inlineStr"/>
      <c r="L518" s="9" t="inlineStr"/>
      <c r="M518" s="9" t="inlineStr"/>
      <c r="N518" s="9" t="inlineStr"/>
      <c r="O518" s="9" t="inlineStr"/>
      <c r="P518" s="16" t="inlineStr">
        <is>
          <t>—</t>
        </is>
      </c>
      <c r="Q518" s="17" t="inlineStr"/>
      <c r="R518" s="13" t="inlineStr">
        <is>
          <t>нет</t>
        </is>
      </c>
      <c r="S518" s="9" t="inlineStr"/>
      <c r="T518" s="9" t="inlineStr"/>
    </row>
    <row r="519">
      <c r="A519" s="4" t="n">
        <v>518</v>
      </c>
      <c r="B519" s="4" t="inlineStr">
        <is>
          <t>Грамматика</t>
        </is>
      </c>
      <c r="C519" s="4" t="inlineStr">
        <is>
          <t>Предложение и вопросы</t>
        </is>
      </c>
      <c r="D519" s="5" t="inlineStr">
        <is>
          <t>Imperative</t>
        </is>
      </c>
      <c r="E519" s="4" t="inlineStr">
        <is>
          <t>Imperative: утверждение — инфинитив без to</t>
        </is>
      </c>
      <c r="F519" s="4" t="inlineStr">
        <is>
          <t>10+</t>
        </is>
      </c>
      <c r="G519" s="4" t="inlineStr"/>
      <c r="H519" s="4" t="inlineStr"/>
      <c r="I519" s="18" t="inlineStr">
        <is>
          <t>М1 (1a) · новое
М4 (4b) · расш.</t>
        </is>
      </c>
      <c r="J519" s="7" t="inlineStr">
        <is>
          <t>М3 (3a) · повт.</t>
        </is>
      </c>
      <c r="K519" s="4" t="inlineStr"/>
      <c r="L519" s="4" t="inlineStr"/>
      <c r="M519" s="4" t="inlineStr"/>
      <c r="N519" s="4" t="inlineStr"/>
      <c r="O519" s="4" t="inlineStr"/>
      <c r="P519" s="19" t="inlineStr">
        <is>
          <t>—</t>
        </is>
      </c>
      <c r="Q519" s="20" t="inlineStr"/>
      <c r="R519" s="8" t="inlineStr">
        <is>
          <t>нет</t>
        </is>
      </c>
      <c r="S519" s="4" t="inlineStr"/>
      <c r="T519" s="4" t="inlineStr"/>
    </row>
    <row r="520">
      <c r="A520" s="9" t="n">
        <v>519</v>
      </c>
      <c r="B520" s="9" t="inlineStr">
        <is>
          <t>Грамматика</t>
        </is>
      </c>
      <c r="C520" s="9" t="inlineStr">
        <is>
          <t>Предложение и вопросы</t>
        </is>
      </c>
      <c r="D520" s="10" t="inlineStr">
        <is>
          <t>Imperative</t>
        </is>
      </c>
      <c r="E520" s="9" t="inlineStr">
        <is>
          <t>Imperative: отрицание — Don't + инфинитив</t>
        </is>
      </c>
      <c r="F520" s="9" t="inlineStr">
        <is>
          <t>10+</t>
        </is>
      </c>
      <c r="G520" s="9" t="inlineStr"/>
      <c r="H520" s="9" t="inlineStr"/>
      <c r="I520" s="15" t="inlineStr">
        <is>
          <t>М1 (1a) · новое
М4 (4b) · повт.</t>
        </is>
      </c>
      <c r="J520" s="12" t="inlineStr">
        <is>
          <t>М3 (3a) · повт.</t>
        </is>
      </c>
      <c r="K520" s="9" t="inlineStr"/>
      <c r="L520" s="9" t="inlineStr"/>
      <c r="M520" s="9" t="inlineStr"/>
      <c r="N520" s="9" t="inlineStr"/>
      <c r="O520" s="9" t="inlineStr"/>
      <c r="P520" s="16" t="inlineStr">
        <is>
          <t>—</t>
        </is>
      </c>
      <c r="Q520" s="17" t="inlineStr"/>
      <c r="R520" s="13" t="inlineStr">
        <is>
          <t>нет</t>
        </is>
      </c>
      <c r="S520" s="9" t="inlineStr"/>
      <c r="T520" s="9" t="inlineStr"/>
    </row>
    <row r="521">
      <c r="A521" s="9" t="n">
        <v>520</v>
      </c>
      <c r="B521" s="9" t="inlineStr">
        <is>
          <t>Грамматика</t>
        </is>
      </c>
      <c r="C521" s="9" t="inlineStr">
        <is>
          <t>Предложение и вопросы</t>
        </is>
      </c>
      <c r="D521" s="10" t="inlineStr">
        <is>
          <t>Imperative</t>
        </is>
      </c>
      <c r="E521" s="9" t="inlineStr">
        <is>
          <t>Imperative: значение — приказание</t>
        </is>
      </c>
      <c r="F521" s="9" t="inlineStr">
        <is>
          <t>10+</t>
        </is>
      </c>
      <c r="G521" s="9" t="inlineStr"/>
      <c r="H521" s="9" t="inlineStr"/>
      <c r="I521" s="15" t="inlineStr">
        <is>
          <t>М4 (4b) · новое</t>
        </is>
      </c>
      <c r="J521" s="12" t="inlineStr">
        <is>
          <t>М3 (3a) · повт.</t>
        </is>
      </c>
      <c r="K521" s="9" t="inlineStr"/>
      <c r="L521" s="9" t="inlineStr"/>
      <c r="M521" s="9" t="inlineStr"/>
      <c r="N521" s="9" t="inlineStr"/>
      <c r="O521" s="9" t="inlineStr"/>
      <c r="P521" s="16" t="inlineStr">
        <is>
          <t>—</t>
        </is>
      </c>
      <c r="Q521" s="17" t="inlineStr"/>
      <c r="R521" s="13" t="inlineStr">
        <is>
          <t>нет</t>
        </is>
      </c>
      <c r="S521" s="9" t="inlineStr"/>
      <c r="T521" s="9" t="inlineStr"/>
    </row>
    <row r="522">
      <c r="A522" s="9" t="n">
        <v>521</v>
      </c>
      <c r="B522" s="9" t="inlineStr">
        <is>
          <t>Грамматика</t>
        </is>
      </c>
      <c r="C522" s="9" t="inlineStr">
        <is>
          <t>Предложение и вопросы</t>
        </is>
      </c>
      <c r="D522" s="10" t="inlineStr">
        <is>
          <t>Imperative</t>
        </is>
      </c>
      <c r="E522" s="9" t="inlineStr">
        <is>
          <t>Imperative: значение — инструкция, указание</t>
        </is>
      </c>
      <c r="F522" s="9" t="inlineStr">
        <is>
          <t>10+</t>
        </is>
      </c>
      <c r="G522" s="9" t="inlineStr"/>
      <c r="H522" s="9" t="inlineStr"/>
      <c r="I522" s="15" t="inlineStr">
        <is>
          <t>М4 (4b) · новое</t>
        </is>
      </c>
      <c r="J522" s="12" t="inlineStr">
        <is>
          <t>М3 (3a) · повт.</t>
        </is>
      </c>
      <c r="K522" s="9" t="inlineStr"/>
      <c r="L522" s="9" t="inlineStr"/>
      <c r="M522" s="9" t="inlineStr"/>
      <c r="N522" s="9" t="inlineStr"/>
      <c r="O522" s="9" t="inlineStr"/>
      <c r="P522" s="16" t="inlineStr">
        <is>
          <t>—</t>
        </is>
      </c>
      <c r="Q522" s="17" t="inlineStr"/>
      <c r="R522" s="13" t="inlineStr">
        <is>
          <t>нет</t>
        </is>
      </c>
      <c r="S522" s="9" t="inlineStr"/>
      <c r="T522" s="9" t="inlineStr"/>
    </row>
    <row r="523">
      <c r="A523" s="9" t="n">
        <v>522</v>
      </c>
      <c r="B523" s="9" t="inlineStr">
        <is>
          <t>Грамматика</t>
        </is>
      </c>
      <c r="C523" s="9" t="inlineStr">
        <is>
          <t>Предложение и вопросы</t>
        </is>
      </c>
      <c r="D523" s="10" t="inlineStr">
        <is>
          <t>Imperative</t>
        </is>
      </c>
      <c r="E523" s="9" t="inlineStr">
        <is>
          <t>Imperative: значение — предложение (Have some cake)</t>
        </is>
      </c>
      <c r="F523" s="9" t="inlineStr">
        <is>
          <t>10+</t>
        </is>
      </c>
      <c r="G523" s="9" t="inlineStr"/>
      <c r="H523" s="9" t="inlineStr"/>
      <c r="I523" s="15" t="inlineStr">
        <is>
          <t>М4 (4b) · новое</t>
        </is>
      </c>
      <c r="J523" s="12" t="inlineStr">
        <is>
          <t>М3 (3a) · повт.</t>
        </is>
      </c>
      <c r="K523" s="9" t="inlineStr"/>
      <c r="L523" s="9" t="inlineStr"/>
      <c r="M523" s="9" t="inlineStr"/>
      <c r="N523" s="9" t="inlineStr"/>
      <c r="O523" s="9" t="inlineStr"/>
      <c r="P523" s="16" t="inlineStr">
        <is>
          <t>—</t>
        </is>
      </c>
      <c r="Q523" s="17" t="inlineStr"/>
      <c r="R523" s="13" t="inlineStr">
        <is>
          <t>нет</t>
        </is>
      </c>
      <c r="S523" s="9" t="inlineStr"/>
      <c r="T523" s="9" t="inlineStr"/>
    </row>
    <row r="524">
      <c r="A524" s="9" t="n">
        <v>523</v>
      </c>
      <c r="B524" s="9" t="inlineStr">
        <is>
          <t>Грамматика</t>
        </is>
      </c>
      <c r="C524" s="9" t="inlineStr">
        <is>
          <t>Предложение и вопросы</t>
        </is>
      </c>
      <c r="D524" s="10" t="inlineStr">
        <is>
          <t>Imperative</t>
        </is>
      </c>
      <c r="E524" s="9" t="inlineStr">
        <is>
          <t>Imperative: значение — просьба, вежливость с please</t>
        </is>
      </c>
      <c r="F524" s="9" t="inlineStr">
        <is>
          <t>10+</t>
        </is>
      </c>
      <c r="G524" s="9" t="inlineStr"/>
      <c r="H524" s="9" t="inlineStr"/>
      <c r="I524" s="15" t="inlineStr">
        <is>
          <t>М4 (4b) · новое</t>
        </is>
      </c>
      <c r="J524" s="12" t="inlineStr">
        <is>
          <t>М3 (3a) · повт.</t>
        </is>
      </c>
      <c r="K524" s="9" t="inlineStr"/>
      <c r="L524" s="9" t="inlineStr"/>
      <c r="M524" s="9" t="inlineStr"/>
      <c r="N524" s="9" t="inlineStr"/>
      <c r="O524" s="9" t="inlineStr"/>
      <c r="P524" s="16" t="inlineStr">
        <is>
          <t>—</t>
        </is>
      </c>
      <c r="Q524" s="17" t="inlineStr"/>
      <c r="R524" s="13" t="inlineStr">
        <is>
          <t>нет</t>
        </is>
      </c>
      <c r="S524" s="9" t="inlineStr"/>
      <c r="T524" s="9" t="inlineStr"/>
    </row>
    <row r="525">
      <c r="A525" s="4" t="n">
        <v>524</v>
      </c>
      <c r="B525" s="4" t="inlineStr">
        <is>
          <t>Грамматика</t>
        </is>
      </c>
      <c r="C525" s="4" t="inlineStr">
        <is>
          <t>Предложение и вопросы</t>
        </is>
      </c>
      <c r="D525" s="5" t="inlineStr">
        <is>
          <t>Impersonal it</t>
        </is>
      </c>
      <c r="E525" s="4" t="inlineStr">
        <is>
          <t>Impersonal it: время и расстояние</t>
        </is>
      </c>
      <c r="F525" s="4" t="inlineStr">
        <is>
          <t>10+</t>
        </is>
      </c>
      <c r="G525" s="4" t="inlineStr"/>
      <c r="H525" s="4" t="inlineStr"/>
      <c r="I525" s="18" t="inlineStr">
        <is>
          <t>М7 (7a) · новое</t>
        </is>
      </c>
      <c r="J525" s="4" t="inlineStr"/>
      <c r="K525" s="4" t="inlineStr"/>
      <c r="L525" s="4" t="inlineStr"/>
      <c r="M525" s="4" t="inlineStr"/>
      <c r="N525" s="4" t="inlineStr"/>
      <c r="O525" s="4" t="inlineStr"/>
      <c r="P525" s="19" t="inlineStr">
        <is>
          <t>—</t>
        </is>
      </c>
      <c r="Q525" s="20" t="inlineStr"/>
      <c r="R525" s="8" t="inlineStr">
        <is>
          <t>нет</t>
        </is>
      </c>
      <c r="S525" s="4" t="inlineStr"/>
      <c r="T525" s="4" t="inlineStr"/>
    </row>
    <row r="526">
      <c r="A526" s="9" t="n">
        <v>525</v>
      </c>
      <c r="B526" s="9" t="inlineStr">
        <is>
          <t>Грамматика</t>
        </is>
      </c>
      <c r="C526" s="9" t="inlineStr">
        <is>
          <t>Предложение и вопросы</t>
        </is>
      </c>
      <c r="D526" s="10" t="inlineStr">
        <is>
          <t>Impersonal it</t>
        </is>
      </c>
      <c r="E526" s="9" t="inlineStr">
        <is>
          <t>Impersonal it: погода и явления природы</t>
        </is>
      </c>
      <c r="F526" s="9" t="inlineStr">
        <is>
          <t>10+</t>
        </is>
      </c>
      <c r="G526" s="9" t="inlineStr"/>
      <c r="H526" s="9" t="inlineStr"/>
      <c r="I526" s="15" t="inlineStr">
        <is>
          <t>М7 (7a) · новое</t>
        </is>
      </c>
      <c r="J526" s="9" t="inlineStr"/>
      <c r="K526" s="9" t="inlineStr"/>
      <c r="L526" s="9" t="inlineStr"/>
      <c r="M526" s="9" t="inlineStr"/>
      <c r="N526" s="9" t="inlineStr"/>
      <c r="O526" s="9" t="inlineStr"/>
      <c r="P526" s="16" t="inlineStr">
        <is>
          <t>—</t>
        </is>
      </c>
      <c r="Q526" s="17" t="inlineStr"/>
      <c r="R526" s="13" t="inlineStr">
        <is>
          <t>нет</t>
        </is>
      </c>
      <c r="S526" s="9" t="inlineStr"/>
      <c r="T526" s="9" t="inlineStr"/>
    </row>
    <row r="527">
      <c r="A527" s="4" t="n">
        <v>526</v>
      </c>
      <c r="B527" s="4" t="inlineStr">
        <is>
          <t>Грамматика</t>
        </is>
      </c>
      <c r="C527" s="4" t="inlineStr">
        <is>
          <t>Предложение и вопросы</t>
        </is>
      </c>
      <c r="D527" s="5" t="inlineStr">
        <is>
          <t>Question tags</t>
        </is>
      </c>
      <c r="E527" s="4" t="inlineStr">
        <is>
          <t>Question tags: образование — вспомогательный глагол + местоимение (do/does)</t>
        </is>
      </c>
      <c r="F527" s="4" t="inlineStr">
        <is>
          <t>10+</t>
        </is>
      </c>
      <c r="G527" s="4" t="inlineStr"/>
      <c r="H527" s="4" t="inlineStr"/>
      <c r="I527" s="18" t="inlineStr">
        <is>
          <t>М5 (5c) · новое
М7 (7a) · повт.</t>
        </is>
      </c>
      <c r="J527" s="4" t="inlineStr"/>
      <c r="K527" s="7" t="inlineStr">
        <is>
          <t>М8 · повт.</t>
        </is>
      </c>
      <c r="L527" s="4" t="inlineStr"/>
      <c r="M527" s="21" t="inlineStr">
        <is>
          <t>М8 (8d) · расш.</t>
        </is>
      </c>
      <c r="N527" s="4" t="inlineStr"/>
      <c r="O527" s="4" t="inlineStr"/>
      <c r="P527" s="19" t="inlineStr">
        <is>
          <t>—</t>
        </is>
      </c>
      <c r="Q527" s="20" t="inlineStr"/>
      <c r="R527" s="8" t="inlineStr">
        <is>
          <t>нет</t>
        </is>
      </c>
      <c r="S527" s="4" t="inlineStr"/>
      <c r="T527" s="4" t="inlineStr"/>
    </row>
    <row r="528">
      <c r="A528" s="9" t="n">
        <v>527</v>
      </c>
      <c r="B528" s="9" t="inlineStr">
        <is>
          <t>Грамматика</t>
        </is>
      </c>
      <c r="C528" s="9" t="inlineStr">
        <is>
          <t>Предложение и вопросы</t>
        </is>
      </c>
      <c r="D528" s="10" t="inlineStr">
        <is>
          <t>Question tags</t>
        </is>
      </c>
      <c r="E528" s="9" t="inlineStr">
        <is>
          <t>Question tags: с be и модальными глаголами (isn't she, can't she)</t>
        </is>
      </c>
      <c r="F528" s="9" t="inlineStr">
        <is>
          <t>10+</t>
        </is>
      </c>
      <c r="G528" s="9" t="inlineStr"/>
      <c r="H528" s="9" t="inlineStr"/>
      <c r="I528" s="15" t="inlineStr">
        <is>
          <t>М5 (5c) · новое
М7 (7a) · повт.</t>
        </is>
      </c>
      <c r="J528" s="9" t="inlineStr"/>
      <c r="K528" s="12" t="inlineStr">
        <is>
          <t>М8 · повт.</t>
        </is>
      </c>
      <c r="L528" s="9" t="inlineStr"/>
      <c r="M528" s="12" t="inlineStr">
        <is>
          <t>М8 (8d) · повт.</t>
        </is>
      </c>
      <c r="N528" s="9" t="inlineStr"/>
      <c r="O528" s="9" t="inlineStr"/>
      <c r="P528" s="16" t="inlineStr">
        <is>
          <t>—</t>
        </is>
      </c>
      <c r="Q528" s="17" t="inlineStr"/>
      <c r="R528" s="13" t="inlineStr">
        <is>
          <t>нет</t>
        </is>
      </c>
      <c r="S528" s="9" t="inlineStr"/>
      <c r="T528" s="9" t="inlineStr"/>
    </row>
    <row r="529">
      <c r="A529" s="9" t="n">
        <v>528</v>
      </c>
      <c r="B529" s="9" t="inlineStr">
        <is>
          <t>Грамматика</t>
        </is>
      </c>
      <c r="C529" s="9" t="inlineStr">
        <is>
          <t>Предложение и вопросы</t>
        </is>
      </c>
      <c r="D529" s="10" t="inlineStr">
        <is>
          <t>Question tags</t>
        </is>
      </c>
      <c r="E529" s="9" t="inlineStr">
        <is>
          <t>Question tags: утверждение → отрицательный хвост, отрицание → утвердительный</t>
        </is>
      </c>
      <c r="F529" s="9" t="inlineStr">
        <is>
          <t>10+</t>
        </is>
      </c>
      <c r="G529" s="9" t="inlineStr"/>
      <c r="H529" s="9" t="inlineStr"/>
      <c r="I529" s="15" t="inlineStr">
        <is>
          <t>М5 (5c) · новое
М7 (7a) · повт.</t>
        </is>
      </c>
      <c r="J529" s="9" t="inlineStr"/>
      <c r="K529" s="12" t="inlineStr">
        <is>
          <t>М8 · повт.</t>
        </is>
      </c>
      <c r="L529" s="9" t="inlineStr"/>
      <c r="M529" s="12" t="inlineStr">
        <is>
          <t>М8 (8d) · повт.</t>
        </is>
      </c>
      <c r="N529" s="9" t="inlineStr"/>
      <c r="O529" s="9" t="inlineStr"/>
      <c r="P529" s="16" t="inlineStr">
        <is>
          <t>—</t>
        </is>
      </c>
      <c r="Q529" s="17" t="inlineStr"/>
      <c r="R529" s="13" t="inlineStr">
        <is>
          <t>нет</t>
        </is>
      </c>
      <c r="S529" s="9" t="inlineStr"/>
      <c r="T529" s="9" t="inlineStr"/>
    </row>
    <row r="530">
      <c r="A530" s="9" t="n">
        <v>529</v>
      </c>
      <c r="B530" s="9" t="inlineStr">
        <is>
          <t>Грамматика</t>
        </is>
      </c>
      <c r="C530" s="9" t="inlineStr">
        <is>
          <t>Предложение и вопросы</t>
        </is>
      </c>
      <c r="D530" s="10" t="inlineStr">
        <is>
          <t>Question tags</t>
        </is>
      </c>
      <c r="E530" s="9" t="inlineStr">
        <is>
          <t>Question tags: there is → is there?</t>
        </is>
      </c>
      <c r="F530" s="9" t="inlineStr">
        <is>
          <t>10+</t>
        </is>
      </c>
      <c r="G530" s="9" t="inlineStr"/>
      <c r="H530" s="9" t="inlineStr"/>
      <c r="I530" s="15" t="inlineStr">
        <is>
          <t>М5 (5c) · новое</t>
        </is>
      </c>
      <c r="J530" s="9" t="inlineStr"/>
      <c r="K530" s="9" t="inlineStr"/>
      <c r="L530" s="9" t="inlineStr"/>
      <c r="M530" s="9" t="inlineStr"/>
      <c r="N530" s="9" t="inlineStr"/>
      <c r="O530" s="9" t="inlineStr"/>
      <c r="P530" s="16" t="inlineStr">
        <is>
          <t>—</t>
        </is>
      </c>
      <c r="Q530" s="17" t="inlineStr"/>
      <c r="R530" s="13" t="inlineStr">
        <is>
          <t>нет</t>
        </is>
      </c>
      <c r="S530" s="9" t="inlineStr"/>
      <c r="T530" s="9" t="inlineStr"/>
    </row>
    <row r="531">
      <c r="A531" s="9" t="n">
        <v>530</v>
      </c>
      <c r="B531" s="9" t="inlineStr">
        <is>
          <t>Грамматика</t>
        </is>
      </c>
      <c r="C531" s="9" t="inlineStr">
        <is>
          <t>Предложение и вопросы</t>
        </is>
      </c>
      <c r="D531" s="10" t="inlineStr">
        <is>
          <t>Question tags</t>
        </is>
      </c>
      <c r="E531" s="9" t="inlineStr">
        <is>
          <t>Question tags: never/hardly/seldom/rarely → утвердительный хвост</t>
        </is>
      </c>
      <c r="F531" s="9" t="inlineStr">
        <is>
          <t>10+</t>
        </is>
      </c>
      <c r="G531" s="9" t="inlineStr"/>
      <c r="H531" s="9" t="inlineStr"/>
      <c r="I531" s="9" t="inlineStr"/>
      <c r="J531" s="9" t="inlineStr"/>
      <c r="K531" s="15" t="inlineStr">
        <is>
          <t>М8 · новое</t>
        </is>
      </c>
      <c r="L531" s="9" t="inlineStr"/>
      <c r="M531" s="9" t="inlineStr"/>
      <c r="N531" s="9" t="inlineStr"/>
      <c r="O531" s="9" t="inlineStr"/>
      <c r="P531" s="16" t="inlineStr">
        <is>
          <t>—</t>
        </is>
      </c>
      <c r="Q531" s="17" t="inlineStr"/>
      <c r="R531" s="13" t="inlineStr">
        <is>
          <t>нет</t>
        </is>
      </c>
      <c r="S531" s="9" t="inlineStr"/>
      <c r="T531" s="9" t="inlineStr"/>
    </row>
    <row r="532">
      <c r="A532" s="9" t="n">
        <v>531</v>
      </c>
      <c r="B532" s="9" t="inlineStr">
        <is>
          <t>Грамматика</t>
        </is>
      </c>
      <c r="C532" s="9" t="inlineStr">
        <is>
          <t>Предложение и вопросы</t>
        </is>
      </c>
      <c r="D532" s="10" t="inlineStr">
        <is>
          <t>Question tags</t>
        </is>
      </c>
      <c r="E532" s="9" t="inlineStr">
        <is>
          <t>Question tags: I am → aren't I?</t>
        </is>
      </c>
      <c r="F532" s="9" t="inlineStr">
        <is>
          <t>10+</t>
        </is>
      </c>
      <c r="G532" s="9" t="inlineStr"/>
      <c r="H532" s="9" t="inlineStr"/>
      <c r="I532" s="9" t="inlineStr"/>
      <c r="J532" s="9" t="inlineStr"/>
      <c r="K532" s="9" t="inlineStr"/>
      <c r="L532" s="9" t="inlineStr"/>
      <c r="M532" s="15" t="inlineStr">
        <is>
          <t>М8 (8d) · новое</t>
        </is>
      </c>
      <c r="N532" s="9" t="inlineStr"/>
      <c r="O532" s="9" t="inlineStr"/>
      <c r="P532" s="16" t="inlineStr">
        <is>
          <t>—</t>
        </is>
      </c>
      <c r="Q532" s="17" t="inlineStr"/>
      <c r="R532" s="13" t="inlineStr">
        <is>
          <t>нет</t>
        </is>
      </c>
      <c r="S532" s="9" t="inlineStr"/>
      <c r="T532" s="9" t="inlineStr"/>
    </row>
    <row r="533">
      <c r="A533" s="9" t="n">
        <v>532</v>
      </c>
      <c r="B533" s="9" t="inlineStr">
        <is>
          <t>Грамматика</t>
        </is>
      </c>
      <c r="C533" s="9" t="inlineStr">
        <is>
          <t>Предложение и вопросы</t>
        </is>
      </c>
      <c r="D533" s="10" t="inlineStr">
        <is>
          <t>Question tags</t>
        </is>
      </c>
      <c r="E533" s="9" t="inlineStr">
        <is>
          <t>Question tags: Let's → shall we? / Let me → will you?</t>
        </is>
      </c>
      <c r="F533" s="9" t="inlineStr">
        <is>
          <t>10+</t>
        </is>
      </c>
      <c r="G533" s="9" t="inlineStr"/>
      <c r="H533" s="9" t="inlineStr"/>
      <c r="I533" s="9" t="inlineStr"/>
      <c r="J533" s="9" t="inlineStr"/>
      <c r="K533" s="9" t="inlineStr"/>
      <c r="L533" s="9" t="inlineStr"/>
      <c r="M533" s="15" t="inlineStr">
        <is>
          <t>М8 (8d) · новое</t>
        </is>
      </c>
      <c r="N533" s="9" t="inlineStr"/>
      <c r="O533" s="9" t="inlineStr"/>
      <c r="P533" s="16" t="inlineStr">
        <is>
          <t>—</t>
        </is>
      </c>
      <c r="Q533" s="17" t="inlineStr"/>
      <c r="R533" s="13" t="inlineStr">
        <is>
          <t>нет</t>
        </is>
      </c>
      <c r="S533" s="9" t="inlineStr"/>
      <c r="T533" s="9" t="inlineStr"/>
    </row>
    <row r="534">
      <c r="A534" s="9" t="n">
        <v>533</v>
      </c>
      <c r="B534" s="9" t="inlineStr">
        <is>
          <t>Грамматика</t>
        </is>
      </c>
      <c r="C534" s="9" t="inlineStr">
        <is>
          <t>Предложение и вопросы</t>
        </is>
      </c>
      <c r="D534" s="10" t="inlineStr">
        <is>
          <t>Question tags</t>
        </is>
      </c>
      <c r="E534" s="9" t="inlineStr">
        <is>
          <t>Question tags: повелительное наклонение → will you?</t>
        </is>
      </c>
      <c r="F534" s="9" t="inlineStr">
        <is>
          <t>10+</t>
        </is>
      </c>
      <c r="G534" s="9" t="inlineStr"/>
      <c r="H534" s="9" t="inlineStr"/>
      <c r="I534" s="9" t="inlineStr"/>
      <c r="J534" s="9" t="inlineStr"/>
      <c r="K534" s="9" t="inlineStr"/>
      <c r="L534" s="9" t="inlineStr"/>
      <c r="M534" s="15" t="inlineStr">
        <is>
          <t>М8 (8d) · новое</t>
        </is>
      </c>
      <c r="N534" s="9" t="inlineStr"/>
      <c r="O534" s="9" t="inlineStr"/>
      <c r="P534" s="16" t="inlineStr">
        <is>
          <t>—</t>
        </is>
      </c>
      <c r="Q534" s="17" t="inlineStr"/>
      <c r="R534" s="13" t="inlineStr">
        <is>
          <t>нет</t>
        </is>
      </c>
      <c r="S534" s="9" t="inlineStr"/>
      <c r="T534" s="9" t="inlineStr"/>
    </row>
    <row r="535">
      <c r="A535" s="9" t="n">
        <v>534</v>
      </c>
      <c r="B535" s="9" t="inlineStr">
        <is>
          <t>Грамматика</t>
        </is>
      </c>
      <c r="C535" s="9" t="inlineStr">
        <is>
          <t>Предложение и вопросы</t>
        </is>
      </c>
      <c r="D535" s="10" t="inlineStr">
        <is>
          <t>Question tags</t>
        </is>
      </c>
      <c r="E535" s="9" t="inlineStr">
        <is>
          <t>Question tags: have (владеть) → haven't I? vs have в идиоме → don't I?</t>
        </is>
      </c>
      <c r="F535" s="9" t="inlineStr">
        <is>
          <t>10+</t>
        </is>
      </c>
      <c r="G535" s="9" t="inlineStr"/>
      <c r="H535" s="9" t="inlineStr"/>
      <c r="I535" s="9" t="inlineStr"/>
      <c r="J535" s="9" t="inlineStr"/>
      <c r="K535" s="9" t="inlineStr"/>
      <c r="L535" s="9" t="inlineStr"/>
      <c r="M535" s="15" t="inlineStr">
        <is>
          <t>М8 (8d) · новое</t>
        </is>
      </c>
      <c r="N535" s="9" t="inlineStr"/>
      <c r="O535" s="9" t="inlineStr"/>
      <c r="P535" s="16" t="inlineStr">
        <is>
          <t>—</t>
        </is>
      </c>
      <c r="Q535" s="17" t="inlineStr"/>
      <c r="R535" s="13" t="inlineStr">
        <is>
          <t>нет</t>
        </is>
      </c>
      <c r="S535" s="9" t="inlineStr"/>
      <c r="T535" s="9" t="inlineStr"/>
    </row>
    <row r="536">
      <c r="A536" s="9" t="n">
        <v>535</v>
      </c>
      <c r="B536" s="9" t="inlineStr">
        <is>
          <t>Грамматика</t>
        </is>
      </c>
      <c r="C536" s="9" t="inlineStr">
        <is>
          <t>Предложение и вопросы</t>
        </is>
      </c>
      <c r="D536" s="10" t="inlineStr">
        <is>
          <t>Question tags</t>
        </is>
      </c>
      <c r="E536" s="9" t="inlineStr">
        <is>
          <t>Question tags: This/That is → isn't it?</t>
        </is>
      </c>
      <c r="F536" s="9" t="inlineStr">
        <is>
          <t>10+</t>
        </is>
      </c>
      <c r="G536" s="9" t="inlineStr"/>
      <c r="H536" s="9" t="inlineStr"/>
      <c r="I536" s="9" t="inlineStr"/>
      <c r="J536" s="9" t="inlineStr"/>
      <c r="K536" s="9" t="inlineStr"/>
      <c r="L536" s="9" t="inlineStr"/>
      <c r="M536" s="15" t="inlineStr">
        <is>
          <t>М8 (8d) · новое</t>
        </is>
      </c>
      <c r="N536" s="9" t="inlineStr"/>
      <c r="O536" s="9" t="inlineStr"/>
      <c r="P536" s="16" t="inlineStr">
        <is>
          <t>—</t>
        </is>
      </c>
      <c r="Q536" s="17" t="inlineStr"/>
      <c r="R536" s="13" t="inlineStr">
        <is>
          <t>нет</t>
        </is>
      </c>
      <c r="S536" s="9" t="inlineStr"/>
      <c r="T536" s="9" t="inlineStr"/>
    </row>
    <row r="537">
      <c r="A537" s="4" t="n">
        <v>536</v>
      </c>
      <c r="B537" s="4" t="inlineStr">
        <is>
          <t>Грамматика</t>
        </is>
      </c>
      <c r="C537" s="4" t="inlineStr">
        <is>
          <t>Предложение и вопросы</t>
        </is>
      </c>
      <c r="D537" s="5" t="inlineStr">
        <is>
          <t>Linkers</t>
        </is>
      </c>
      <c r="E537" s="4" t="inlineStr">
        <is>
          <t>Linkers: слова-связки времени (and, then, after that, when, before, later)</t>
        </is>
      </c>
      <c r="F537" s="4" t="inlineStr">
        <is>
          <t>10+</t>
        </is>
      </c>
      <c r="G537" s="4" t="inlineStr"/>
      <c r="H537" s="4" t="inlineStr"/>
      <c r="I537" s="4" t="inlineStr"/>
      <c r="J537" s="18" t="inlineStr">
        <is>
          <t>М4 (4c) · новое</t>
        </is>
      </c>
      <c r="K537" s="4" t="inlineStr"/>
      <c r="L537" s="4" t="inlineStr"/>
      <c r="M537" s="4" t="inlineStr"/>
      <c r="N537" s="4" t="inlineStr"/>
      <c r="O537" s="4" t="inlineStr"/>
      <c r="P537" s="19" t="inlineStr">
        <is>
          <t>—</t>
        </is>
      </c>
      <c r="Q537" s="20" t="inlineStr"/>
      <c r="R537" s="8" t="inlineStr">
        <is>
          <t>нет</t>
        </is>
      </c>
      <c r="S537" s="4" t="inlineStr"/>
      <c r="T537" s="4" t="inlineStr"/>
    </row>
    <row r="538">
      <c r="A538" s="4" t="n">
        <v>537</v>
      </c>
      <c r="B538" s="4" t="inlineStr">
        <is>
          <t>Грамматика</t>
        </is>
      </c>
      <c r="C538" s="4" t="inlineStr">
        <is>
          <t>Предложение и вопросы</t>
        </is>
      </c>
      <c r="D538" s="5" t="inlineStr">
        <is>
          <t>Relative pronouns / Relative clauses</t>
        </is>
      </c>
      <c r="E538" s="4" t="inlineStr">
        <is>
          <t>Relative clauses: who(m) / which / that — люди и предметы</t>
        </is>
      </c>
      <c r="F538" s="4" t="inlineStr">
        <is>
          <t>10+</t>
        </is>
      </c>
      <c r="G538" s="4" t="inlineStr"/>
      <c r="H538" s="4" t="inlineStr"/>
      <c r="I538" s="4" t="inlineStr"/>
      <c r="J538" s="4" t="inlineStr"/>
      <c r="K538" s="18" t="inlineStr">
        <is>
          <t>М3 · новое</t>
        </is>
      </c>
      <c r="L538" s="4" t="inlineStr"/>
      <c r="M538" s="7" t="inlineStr">
        <is>
          <t>М1 (1d) · повт.</t>
        </is>
      </c>
      <c r="N538" s="7" t="inlineStr">
        <is>
          <t>М8 (8c) · повт.</t>
        </is>
      </c>
      <c r="O538" s="7" t="inlineStr">
        <is>
          <t>М2 (2c) · повт.</t>
        </is>
      </c>
      <c r="P538" s="19" t="inlineStr">
        <is>
          <t>—</t>
        </is>
      </c>
      <c r="Q538" s="20" t="inlineStr"/>
      <c r="R538" s="8" t="inlineStr">
        <is>
          <t>нет</t>
        </is>
      </c>
      <c r="S538" s="4" t="inlineStr"/>
      <c r="T538" s="4" t="inlineStr"/>
    </row>
    <row r="539">
      <c r="A539" s="9" t="n">
        <v>538</v>
      </c>
      <c r="B539" s="9" t="inlineStr">
        <is>
          <t>Грамматика</t>
        </is>
      </c>
      <c r="C539" s="9" t="inlineStr">
        <is>
          <t>Предложение и вопросы</t>
        </is>
      </c>
      <c r="D539" s="10" t="inlineStr">
        <is>
          <t>Relative pronouns / Relative clauses</t>
        </is>
      </c>
      <c r="E539" s="9" t="inlineStr">
        <is>
          <t>Relative clauses: whose — принадлежность</t>
        </is>
      </c>
      <c r="F539" s="9" t="inlineStr">
        <is>
          <t>10+</t>
        </is>
      </c>
      <c r="G539" s="9" t="inlineStr"/>
      <c r="H539" s="9" t="inlineStr"/>
      <c r="I539" s="9" t="inlineStr"/>
      <c r="J539" s="9" t="inlineStr"/>
      <c r="K539" s="15" t="inlineStr">
        <is>
          <t>М3 · новое</t>
        </is>
      </c>
      <c r="L539" s="9" t="inlineStr"/>
      <c r="M539" s="12" t="inlineStr">
        <is>
          <t>М1 (1d) · повт.</t>
        </is>
      </c>
      <c r="N539" s="12" t="inlineStr">
        <is>
          <t>М8 (8c) · повт.</t>
        </is>
      </c>
      <c r="O539" s="12" t="inlineStr">
        <is>
          <t>М2 (2c) · повт.</t>
        </is>
      </c>
      <c r="P539" s="16" t="inlineStr">
        <is>
          <t>—</t>
        </is>
      </c>
      <c r="Q539" s="17" t="inlineStr"/>
      <c r="R539" s="13" t="inlineStr">
        <is>
          <t>нет</t>
        </is>
      </c>
      <c r="S539" s="9" t="inlineStr"/>
      <c r="T539" s="9" t="inlineStr"/>
    </row>
    <row r="540">
      <c r="A540" s="9" t="n">
        <v>539</v>
      </c>
      <c r="B540" s="9" t="inlineStr">
        <is>
          <t>Грамматика</t>
        </is>
      </c>
      <c r="C540" s="9" t="inlineStr">
        <is>
          <t>Предложение и вопросы</t>
        </is>
      </c>
      <c r="D540" s="10" t="inlineStr">
        <is>
          <t>Relative pronouns / Relative clauses</t>
        </is>
      </c>
      <c r="E540" s="9" t="inlineStr">
        <is>
          <t>Relative clauses: опущение who/which/that (дополнение vs подлежащее)</t>
        </is>
      </c>
      <c r="F540" s="9" t="inlineStr">
        <is>
          <t>10+</t>
        </is>
      </c>
      <c r="G540" s="9" t="inlineStr"/>
      <c r="H540" s="9" t="inlineStr"/>
      <c r="I540" s="9" t="inlineStr"/>
      <c r="J540" s="9" t="inlineStr"/>
      <c r="K540" s="15" t="inlineStr">
        <is>
          <t>М3 · новое</t>
        </is>
      </c>
      <c r="L540" s="9" t="inlineStr"/>
      <c r="M540" s="12" t="inlineStr">
        <is>
          <t>М1 (1d) · повт.</t>
        </is>
      </c>
      <c r="N540" s="12" t="inlineStr">
        <is>
          <t>М8 (8c) · повт.</t>
        </is>
      </c>
      <c r="O540" s="12" t="inlineStr">
        <is>
          <t>М2 (2c) · повт.</t>
        </is>
      </c>
      <c r="P540" s="16" t="inlineStr">
        <is>
          <t>—</t>
        </is>
      </c>
      <c r="Q540" s="17" t="inlineStr"/>
      <c r="R540" s="13" t="inlineStr">
        <is>
          <t>нет</t>
        </is>
      </c>
      <c r="S540" s="9" t="inlineStr"/>
      <c r="T540" s="9" t="inlineStr"/>
    </row>
    <row r="541">
      <c r="A541" s="9" t="n">
        <v>540</v>
      </c>
      <c r="B541" s="9" t="inlineStr">
        <is>
          <t>Грамматика</t>
        </is>
      </c>
      <c r="C541" s="9" t="inlineStr">
        <is>
          <t>Предложение и вопросы</t>
        </is>
      </c>
      <c r="D541" s="10" t="inlineStr">
        <is>
          <t>Relative pronouns / Relative clauses</t>
        </is>
      </c>
      <c r="E541" s="9" t="inlineStr">
        <is>
          <t>Relative clauses: относительные наречия when / where / why</t>
        </is>
      </c>
      <c r="F541" s="9" t="inlineStr">
        <is>
          <t>10+</t>
        </is>
      </c>
      <c r="G541" s="9" t="inlineStr"/>
      <c r="H541" s="9" t="inlineStr"/>
      <c r="I541" s="9" t="inlineStr"/>
      <c r="J541" s="9" t="inlineStr"/>
      <c r="K541" s="15" t="inlineStr">
        <is>
          <t>М3 · новое</t>
        </is>
      </c>
      <c r="L541" s="9" t="inlineStr"/>
      <c r="M541" s="12" t="inlineStr">
        <is>
          <t>М1 (1d) · повт.</t>
        </is>
      </c>
      <c r="N541" s="12" t="inlineStr">
        <is>
          <t>М8 (8c) · повт.</t>
        </is>
      </c>
      <c r="O541" s="9" t="inlineStr"/>
      <c r="P541" s="16" t="inlineStr">
        <is>
          <t>—</t>
        </is>
      </c>
      <c r="Q541" s="17" t="inlineStr"/>
      <c r="R541" s="13" t="inlineStr">
        <is>
          <t>нет</t>
        </is>
      </c>
      <c r="S541" s="9" t="inlineStr"/>
      <c r="T541" s="9" t="inlineStr"/>
    </row>
    <row r="542">
      <c r="A542" s="9" t="n">
        <v>541</v>
      </c>
      <c r="B542" s="9" t="inlineStr">
        <is>
          <t>Грамматика</t>
        </is>
      </c>
      <c r="C542" s="9" t="inlineStr">
        <is>
          <t>Предложение и вопросы</t>
        </is>
      </c>
      <c r="D542" s="10" t="inlineStr">
        <is>
          <t>Relative pronouns / Relative clauses</t>
        </is>
      </c>
      <c r="E542" s="9" t="inlineStr">
        <is>
          <t>Relative clauses: defining vs non-defining (запятые, без that)</t>
        </is>
      </c>
      <c r="F542" s="9" t="inlineStr">
        <is>
          <t>10+</t>
        </is>
      </c>
      <c r="G542" s="9" t="inlineStr"/>
      <c r="H542" s="9" t="inlineStr"/>
      <c r="I542" s="9" t="inlineStr"/>
      <c r="J542" s="9" t="inlineStr"/>
      <c r="K542" s="9" t="inlineStr"/>
      <c r="L542" s="9" t="inlineStr"/>
      <c r="M542" s="15" t="inlineStr">
        <is>
          <t>М1 (1d) · новое</t>
        </is>
      </c>
      <c r="N542" s="12" t="inlineStr">
        <is>
          <t>М8 (8c) · повт.</t>
        </is>
      </c>
      <c r="O542" s="12" t="inlineStr">
        <is>
          <t>М2 (2c) · повт.</t>
        </is>
      </c>
      <c r="P542" s="16" t="inlineStr">
        <is>
          <t>—</t>
        </is>
      </c>
      <c r="Q542" s="17" t="inlineStr"/>
      <c r="R542" s="13" t="inlineStr">
        <is>
          <t>нет</t>
        </is>
      </c>
      <c r="S542" s="9" t="inlineStr"/>
      <c r="T542" s="9" t="inlineStr"/>
    </row>
    <row r="543">
      <c r="A543" s="9" t="n">
        <v>542</v>
      </c>
      <c r="B543" s="9" t="inlineStr">
        <is>
          <t>Грамматика</t>
        </is>
      </c>
      <c r="C543" s="9" t="inlineStr">
        <is>
          <t>Предложение и вопросы</t>
        </is>
      </c>
      <c r="D543" s="10" t="inlineStr">
        <is>
          <t>Relative pronouns / Relative clauses</t>
        </is>
      </c>
      <c r="E543" s="9" t="inlineStr">
        <is>
          <t>Relative clauses: which, относящееся ко всему предложению</t>
        </is>
      </c>
      <c r="F543" s="9" t="inlineStr">
        <is>
          <t>10+</t>
        </is>
      </c>
      <c r="G543" s="9" t="inlineStr"/>
      <c r="H543" s="9" t="inlineStr"/>
      <c r="I543" s="9" t="inlineStr"/>
      <c r="J543" s="9" t="inlineStr"/>
      <c r="K543" s="9" t="inlineStr"/>
      <c r="L543" s="9" t="inlineStr"/>
      <c r="M543" s="15" t="inlineStr">
        <is>
          <t>М1 (1d) · новое</t>
        </is>
      </c>
      <c r="N543" s="12" t="inlineStr">
        <is>
          <t>М8 (8c) · повт.</t>
        </is>
      </c>
      <c r="O543" s="12" t="inlineStr">
        <is>
          <t>М2 (2c) · повт.</t>
        </is>
      </c>
      <c r="P543" s="16" t="inlineStr">
        <is>
          <t>—</t>
        </is>
      </c>
      <c r="Q543" s="17" t="inlineStr"/>
      <c r="R543" s="13" t="inlineStr">
        <is>
          <t>нет</t>
        </is>
      </c>
      <c r="S543" s="9" t="inlineStr"/>
      <c r="T543" s="9" t="inlineStr"/>
    </row>
    <row r="544">
      <c r="A544" s="9" t="n">
        <v>543</v>
      </c>
      <c r="B544" s="9" t="inlineStr">
        <is>
          <t>Грамматика</t>
        </is>
      </c>
      <c r="C544" s="9" t="inlineStr">
        <is>
          <t>Предложение и вопросы</t>
        </is>
      </c>
      <c r="D544" s="10" t="inlineStr">
        <is>
          <t>Relative pronouns / Relative clauses</t>
        </is>
      </c>
      <c r="E544" s="9" t="inlineStr">
        <is>
          <t>Relative clauses: of which / whose для предметов</t>
        </is>
      </c>
      <c r="F544" s="9" t="inlineStr">
        <is>
          <t>10+</t>
        </is>
      </c>
      <c r="G544" s="9" t="inlineStr"/>
      <c r="H544" s="9" t="inlineStr"/>
      <c r="I544" s="9" t="inlineStr"/>
      <c r="J544" s="9" t="inlineStr"/>
      <c r="K544" s="9" t="inlineStr"/>
      <c r="L544" s="9" t="inlineStr"/>
      <c r="M544" s="15" t="inlineStr">
        <is>
          <t>М1 (1d) · новое</t>
        </is>
      </c>
      <c r="N544" s="12" t="inlineStr">
        <is>
          <t>М8 (8c) · повт.</t>
        </is>
      </c>
      <c r="O544" s="12" t="inlineStr">
        <is>
          <t>М2 (2c) · повт.</t>
        </is>
      </c>
      <c r="P544" s="16" t="inlineStr">
        <is>
          <t>—</t>
        </is>
      </c>
      <c r="Q544" s="17" t="inlineStr"/>
      <c r="R544" s="13" t="inlineStr">
        <is>
          <t>нет</t>
        </is>
      </c>
      <c r="S544" s="9" t="inlineStr"/>
      <c r="T544" s="9" t="inlineStr"/>
    </row>
    <row r="545">
      <c r="A545" s="9" t="n">
        <v>544</v>
      </c>
      <c r="B545" s="9" t="inlineStr">
        <is>
          <t>Грамматика</t>
        </is>
      </c>
      <c r="C545" s="9" t="inlineStr">
        <is>
          <t>Предложение и вопросы</t>
        </is>
      </c>
      <c r="D545" s="10" t="inlineStr">
        <is>
          <t>Relative pronouns / Relative clauses</t>
        </is>
      </c>
      <c r="E545" s="9" t="inlineStr">
        <is>
          <t>Relative clauses: some of / most of + whom/which/whose</t>
        </is>
      </c>
      <c r="F545" s="9" t="inlineStr">
        <is>
          <t>10+</t>
        </is>
      </c>
      <c r="G545" s="9" t="inlineStr"/>
      <c r="H545" s="9" t="inlineStr"/>
      <c r="I545" s="9" t="inlineStr"/>
      <c r="J545" s="9" t="inlineStr"/>
      <c r="K545" s="9" t="inlineStr"/>
      <c r="L545" s="9" t="inlineStr"/>
      <c r="M545" s="15" t="inlineStr">
        <is>
          <t>М1 (1d) · новое</t>
        </is>
      </c>
      <c r="N545" s="12" t="inlineStr">
        <is>
          <t>М8 (8c) · повт.</t>
        </is>
      </c>
      <c r="O545" s="12" t="inlineStr">
        <is>
          <t>М2 (2c) · повт.</t>
        </is>
      </c>
      <c r="P545" s="16" t="inlineStr">
        <is>
          <t>—</t>
        </is>
      </c>
      <c r="Q545" s="17" t="inlineStr"/>
      <c r="R545" s="13" t="inlineStr">
        <is>
          <t>нет</t>
        </is>
      </c>
      <c r="S545" s="9" t="inlineStr"/>
      <c r="T545" s="9" t="inlineStr"/>
    </row>
    <row r="546">
      <c r="A546" s="9" t="n">
        <v>545</v>
      </c>
      <c r="B546" s="9" t="inlineStr">
        <is>
          <t>Грамматика</t>
        </is>
      </c>
      <c r="C546" s="9" t="inlineStr">
        <is>
          <t>Предложение и вопросы</t>
        </is>
      </c>
      <c r="D546" s="10" t="inlineStr">
        <is>
          <t>Relative pronouns / Relative clauses</t>
        </is>
      </c>
      <c r="E546" s="9" t="inlineStr">
        <is>
          <t>Relative clauses: that не после запятой и не после предлога</t>
        </is>
      </c>
      <c r="F546" s="9" t="inlineStr">
        <is>
          <t>10+</t>
        </is>
      </c>
      <c r="G546" s="9" t="inlineStr"/>
      <c r="H546" s="9" t="inlineStr"/>
      <c r="I546" s="9" t="inlineStr"/>
      <c r="J546" s="9" t="inlineStr"/>
      <c r="K546" s="9" t="inlineStr"/>
      <c r="L546" s="9" t="inlineStr"/>
      <c r="M546" s="15" t="inlineStr">
        <is>
          <t>М1 (1d) · новое</t>
        </is>
      </c>
      <c r="N546" s="12" t="inlineStr">
        <is>
          <t>М8 (8c) · повт.</t>
        </is>
      </c>
      <c r="O546" s="12" t="inlineStr">
        <is>
          <t>М2 (2c) · повт.</t>
        </is>
      </c>
      <c r="P546" s="16" t="inlineStr">
        <is>
          <t>—</t>
        </is>
      </c>
      <c r="Q546" s="17" t="inlineStr"/>
      <c r="R546" s="13" t="inlineStr">
        <is>
          <t>нет</t>
        </is>
      </c>
      <c r="S546" s="9" t="inlineStr"/>
      <c r="T546" s="9" t="inlineStr"/>
    </row>
    <row r="547">
      <c r="A547" s="4" t="n">
        <v>546</v>
      </c>
      <c r="B547" s="4" t="inlineStr">
        <is>
          <t>Грамматика</t>
        </is>
      </c>
      <c r="C547" s="4" t="inlineStr">
        <is>
          <t>Предложение и вопросы</t>
        </is>
      </c>
      <c r="D547" s="5" t="inlineStr">
        <is>
          <t>Time clauses</t>
        </is>
      </c>
      <c r="E547" s="4" t="inlineStr">
        <is>
          <t>Time clauses: Present Simple вместо будущего после when/before/after/until/as soon as…</t>
        </is>
      </c>
      <c r="F547" s="4" t="inlineStr">
        <is>
          <t>10+</t>
        </is>
      </c>
      <c r="G547" s="4" t="inlineStr"/>
      <c r="H547" s="4" t="inlineStr"/>
      <c r="I547" s="4" t="inlineStr"/>
      <c r="J547" s="4" t="inlineStr"/>
      <c r="K547" s="18" t="inlineStr">
        <is>
          <t>М5 · новое</t>
        </is>
      </c>
      <c r="L547" s="4" t="inlineStr"/>
      <c r="M547" s="7" t="inlineStr">
        <is>
          <t>М4 (4c) · повт.</t>
        </is>
      </c>
      <c r="N547" s="7" t="inlineStr">
        <is>
          <t>М3 (3c) · повт.</t>
        </is>
      </c>
      <c r="O547" s="4" t="inlineStr"/>
      <c r="P547" s="19" t="inlineStr">
        <is>
          <t>—</t>
        </is>
      </c>
      <c r="Q547" s="20" t="inlineStr"/>
      <c r="R547" s="8" t="inlineStr">
        <is>
          <t>нет</t>
        </is>
      </c>
      <c r="S547" s="4" t="inlineStr"/>
      <c r="T547" s="4" t="inlineStr"/>
    </row>
    <row r="548">
      <c r="A548" s="9" t="n">
        <v>547</v>
      </c>
      <c r="B548" s="9" t="inlineStr">
        <is>
          <t>Грамматика</t>
        </is>
      </c>
      <c r="C548" s="9" t="inlineStr">
        <is>
          <t>Предложение и вопросы</t>
        </is>
      </c>
      <c r="D548" s="10" t="inlineStr">
        <is>
          <t>Time clauses</t>
        </is>
      </c>
      <c r="E548" s="9" t="inlineStr">
        <is>
          <t>Time clauses: Present Perfect в придаточном времени</t>
        </is>
      </c>
      <c r="F548" s="9" t="inlineStr">
        <is>
          <t>10+</t>
        </is>
      </c>
      <c r="G548" s="9" t="inlineStr"/>
      <c r="H548" s="9" t="inlineStr"/>
      <c r="I548" s="9" t="inlineStr"/>
      <c r="J548" s="9" t="inlineStr"/>
      <c r="K548" s="15" t="inlineStr">
        <is>
          <t>М5 · новое</t>
        </is>
      </c>
      <c r="L548" s="9" t="inlineStr"/>
      <c r="M548" s="12" t="inlineStr">
        <is>
          <t>М4 (4c) · повт.</t>
        </is>
      </c>
      <c r="N548" s="12" t="inlineStr">
        <is>
          <t>М3 (3c) · повт.</t>
        </is>
      </c>
      <c r="O548" s="9" t="inlineStr"/>
      <c r="P548" s="16" t="inlineStr">
        <is>
          <t>—</t>
        </is>
      </c>
      <c r="Q548" s="17" t="inlineStr"/>
      <c r="R548" s="13" t="inlineStr">
        <is>
          <t>нет</t>
        </is>
      </c>
      <c r="S548" s="9" t="inlineStr"/>
      <c r="T548" s="9" t="inlineStr"/>
    </row>
    <row r="549">
      <c r="A549" s="9" t="n">
        <v>548</v>
      </c>
      <c r="B549" s="9" t="inlineStr">
        <is>
          <t>Грамматика</t>
        </is>
      </c>
      <c r="C549" s="9" t="inlineStr">
        <is>
          <t>Предложение и вопросы</t>
        </is>
      </c>
      <c r="D549" s="10" t="inlineStr">
        <is>
          <t>Time clauses</t>
        </is>
      </c>
      <c r="E549" s="9" t="inlineStr">
        <is>
          <t>Time clauses: то же после if, unless, in case, supposing</t>
        </is>
      </c>
      <c r="F549" s="9" t="inlineStr">
        <is>
          <t>10+</t>
        </is>
      </c>
      <c r="G549" s="9" t="inlineStr"/>
      <c r="H549" s="9" t="inlineStr"/>
      <c r="I549" s="9" t="inlineStr"/>
      <c r="J549" s="9" t="inlineStr"/>
      <c r="K549" s="9" t="inlineStr"/>
      <c r="L549" s="9" t="inlineStr"/>
      <c r="M549" s="15" t="inlineStr">
        <is>
          <t>М4 (4c) · новое</t>
        </is>
      </c>
      <c r="N549" s="12" t="inlineStr">
        <is>
          <t>М3 (3c) · повт.</t>
        </is>
      </c>
      <c r="O549" s="9" t="inlineStr"/>
      <c r="P549" s="16" t="inlineStr">
        <is>
          <t>—</t>
        </is>
      </c>
      <c r="Q549" s="17" t="inlineStr"/>
      <c r="R549" s="13" t="inlineStr">
        <is>
          <t>нет</t>
        </is>
      </c>
      <c r="S549" s="9" t="inlineStr"/>
      <c r="T549" s="9" t="inlineStr"/>
    </row>
    <row r="550">
      <c r="A550" s="9" t="n">
        <v>549</v>
      </c>
      <c r="B550" s="9" t="inlineStr">
        <is>
          <t>Грамматика</t>
        </is>
      </c>
      <c r="C550" s="9" t="inlineStr">
        <is>
          <t>Предложение и вопросы</t>
        </is>
      </c>
      <c r="D550" s="10" t="inlineStr">
        <is>
          <t>Time clauses</t>
        </is>
      </c>
      <c r="E550" s="9" t="inlineStr">
        <is>
          <t>Time clauses: when/if как вопросительное слово или после I don't know/wonder — с will</t>
        </is>
      </c>
      <c r="F550" s="9" t="inlineStr">
        <is>
          <t>10+</t>
        </is>
      </c>
      <c r="G550" s="9" t="inlineStr"/>
      <c r="H550" s="9" t="inlineStr"/>
      <c r="I550" s="9" t="inlineStr"/>
      <c r="J550" s="9" t="inlineStr"/>
      <c r="K550" s="9" t="inlineStr"/>
      <c r="L550" s="9" t="inlineStr"/>
      <c r="M550" s="15" t="inlineStr">
        <is>
          <t>М4 (4c) · новое</t>
        </is>
      </c>
      <c r="N550" s="12" t="inlineStr">
        <is>
          <t>М3 (3c) · повт.</t>
        </is>
      </c>
      <c r="O550" s="9" t="inlineStr"/>
      <c r="P550" s="16" t="inlineStr">
        <is>
          <t>—</t>
        </is>
      </c>
      <c r="Q550" s="17" t="inlineStr"/>
      <c r="R550" s="13" t="inlineStr">
        <is>
          <t>нет</t>
        </is>
      </c>
      <c r="S550" s="9" t="inlineStr"/>
      <c r="T550" s="9" t="inlineStr"/>
    </row>
    <row r="551">
      <c r="A551" s="4" t="n">
        <v>550</v>
      </c>
      <c r="B551" s="4" t="inlineStr">
        <is>
          <t>Грамматика</t>
        </is>
      </c>
      <c r="C551" s="4" t="inlineStr">
        <is>
          <t>Предложение и вопросы</t>
        </is>
      </c>
      <c r="D551" s="5" t="inlineStr">
        <is>
          <t>Indirect questions</t>
        </is>
      </c>
      <c r="E551" s="4" t="inlineStr">
        <is>
          <t>Indirect questions: Could you tell me…? / Do you know…? — прямой порядок слов</t>
        </is>
      </c>
      <c r="F551" s="4" t="inlineStr">
        <is>
          <t>10+</t>
        </is>
      </c>
      <c r="G551" s="4" t="inlineStr"/>
      <c r="H551" s="4" t="inlineStr"/>
      <c r="I551" s="4" t="inlineStr"/>
      <c r="J551" s="4" t="inlineStr"/>
      <c r="K551" s="4" t="inlineStr"/>
      <c r="L551" s="18" t="inlineStr">
        <is>
          <t>М6 (6c) · новое</t>
        </is>
      </c>
      <c r="M551" s="7" t="inlineStr">
        <is>
          <t>М2 (2d) · повт.</t>
        </is>
      </c>
      <c r="N551" s="7" t="inlineStr">
        <is>
          <t>М8 (8c) · повт.</t>
        </is>
      </c>
      <c r="O551" s="7" t="inlineStr">
        <is>
          <t>М6 (6c) · повт.</t>
        </is>
      </c>
      <c r="P551" s="19" t="inlineStr">
        <is>
          <t>—</t>
        </is>
      </c>
      <c r="Q551" s="20" t="inlineStr"/>
      <c r="R551" s="8" t="inlineStr">
        <is>
          <t>нет</t>
        </is>
      </c>
      <c r="S551" s="4" t="inlineStr"/>
      <c r="T551" s="4" t="inlineStr"/>
    </row>
    <row r="552">
      <c r="A552" s="9" t="n">
        <v>551</v>
      </c>
      <c r="B552" s="9" t="inlineStr">
        <is>
          <t>Грамматика</t>
        </is>
      </c>
      <c r="C552" s="9" t="inlineStr">
        <is>
          <t>Предложение и вопросы</t>
        </is>
      </c>
      <c r="D552" s="10" t="inlineStr">
        <is>
          <t>Indirect questions</t>
        </is>
      </c>
      <c r="E552" s="9" t="inlineStr">
        <is>
          <t>Indirect questions: I wonder / I want to know / I doubt — без вопросительного знака</t>
        </is>
      </c>
      <c r="F552" s="9" t="inlineStr">
        <is>
          <t>10+</t>
        </is>
      </c>
      <c r="G552" s="9" t="inlineStr"/>
      <c r="H552" s="9" t="inlineStr"/>
      <c r="I552" s="9" t="inlineStr"/>
      <c r="J552" s="9" t="inlineStr"/>
      <c r="K552" s="9" t="inlineStr"/>
      <c r="L552" s="15" t="inlineStr">
        <is>
          <t>М6 (6c) · новое</t>
        </is>
      </c>
      <c r="M552" s="12" t="inlineStr">
        <is>
          <t>М2 (2d) · повт.</t>
        </is>
      </c>
      <c r="N552" s="12" t="inlineStr">
        <is>
          <t>М8 (8c) · повт.</t>
        </is>
      </c>
      <c r="O552" s="12" t="inlineStr">
        <is>
          <t>М6 (6c) · повт.</t>
        </is>
      </c>
      <c r="P552" s="16" t="inlineStr">
        <is>
          <t>—</t>
        </is>
      </c>
      <c r="Q552" s="17" t="inlineStr"/>
      <c r="R552" s="13" t="inlineStr">
        <is>
          <t>нет</t>
        </is>
      </c>
      <c r="S552" s="9" t="inlineStr"/>
      <c r="T552" s="9" t="inlineStr"/>
    </row>
    <row r="553">
      <c r="A553" s="9" t="n">
        <v>552</v>
      </c>
      <c r="B553" s="9" t="inlineStr">
        <is>
          <t>Грамматика</t>
        </is>
      </c>
      <c r="C553" s="9" t="inlineStr">
        <is>
          <t>Предложение и вопросы</t>
        </is>
      </c>
      <c r="D553" s="10" t="inlineStr">
        <is>
          <t>Indirect questions</t>
        </is>
      </c>
      <c r="E553" s="9" t="inlineStr">
        <is>
          <t>Indirect questions: общий вопрос → if/whether</t>
        </is>
      </c>
      <c r="F553" s="9" t="inlineStr">
        <is>
          <t>10+</t>
        </is>
      </c>
      <c r="G553" s="9" t="inlineStr"/>
      <c r="H553" s="9" t="inlineStr"/>
      <c r="I553" s="9" t="inlineStr"/>
      <c r="J553" s="9" t="inlineStr"/>
      <c r="K553" s="9" t="inlineStr"/>
      <c r="L553" s="9" t="inlineStr"/>
      <c r="M553" s="15" t="inlineStr">
        <is>
          <t>М2 (2d) · новое</t>
        </is>
      </c>
      <c r="N553" s="9" t="inlineStr"/>
      <c r="O553" s="9" t="inlineStr"/>
      <c r="P553" s="16" t="inlineStr">
        <is>
          <t>—</t>
        </is>
      </c>
      <c r="Q553" s="17" t="inlineStr"/>
      <c r="R553" s="13" t="inlineStr">
        <is>
          <t>нет</t>
        </is>
      </c>
      <c r="S553" s="9" t="inlineStr"/>
      <c r="T553" s="9" t="inlineStr"/>
    </row>
    <row r="554">
      <c r="A554" s="4" t="n">
        <v>553</v>
      </c>
      <c r="B554" s="4" t="inlineStr">
        <is>
          <t>Грамматика</t>
        </is>
      </c>
      <c r="C554" s="4" t="inlineStr">
        <is>
          <t>Предложение и вопросы</t>
        </is>
      </c>
      <c r="D554" s="5" t="inlineStr">
        <is>
          <t>Reported questions</t>
        </is>
      </c>
      <c r="E554" s="4" t="inlineStr">
        <is>
          <t>Reported questions: вводящие глаголы ask, inquire, wonder, want to know</t>
        </is>
      </c>
      <c r="F554" s="4" t="inlineStr">
        <is>
          <t>10+</t>
        </is>
      </c>
      <c r="G554" s="4" t="inlineStr"/>
      <c r="H554" s="4" t="inlineStr"/>
      <c r="I554" s="4" t="inlineStr"/>
      <c r="J554" s="4" t="inlineStr"/>
      <c r="K554" s="4" t="inlineStr"/>
      <c r="L554" s="18" t="inlineStr">
        <is>
          <t>М6 (6c) · новое</t>
        </is>
      </c>
      <c r="M554" s="4" t="inlineStr"/>
      <c r="N554" s="7" t="inlineStr">
        <is>
          <t>М8 (8c) · повт.</t>
        </is>
      </c>
      <c r="O554" s="7" t="inlineStr">
        <is>
          <t>М6 (6c) · повт.</t>
        </is>
      </c>
      <c r="P554" s="19" t="inlineStr">
        <is>
          <t>—</t>
        </is>
      </c>
      <c r="Q554" s="20" t="inlineStr"/>
      <c r="R554" s="8" t="inlineStr">
        <is>
          <t>нет</t>
        </is>
      </c>
      <c r="S554" s="4" t="inlineStr"/>
      <c r="T554" s="4" t="inlineStr"/>
    </row>
    <row r="555">
      <c r="A555" s="9" t="n">
        <v>554</v>
      </c>
      <c r="B555" s="9" t="inlineStr">
        <is>
          <t>Грамматика</t>
        </is>
      </c>
      <c r="C555" s="9" t="inlineStr">
        <is>
          <t>Предложение и вопросы</t>
        </is>
      </c>
      <c r="D555" s="10" t="inlineStr">
        <is>
          <t>Reported questions</t>
        </is>
      </c>
      <c r="E555" s="9" t="inlineStr">
        <is>
          <t>Reported questions: специальные вопросы — то же вопросительное слово</t>
        </is>
      </c>
      <c r="F555" s="9" t="inlineStr">
        <is>
          <t>10+</t>
        </is>
      </c>
      <c r="G555" s="9" t="inlineStr"/>
      <c r="H555" s="9" t="inlineStr"/>
      <c r="I555" s="9" t="inlineStr"/>
      <c r="J555" s="9" t="inlineStr"/>
      <c r="K555" s="9" t="inlineStr"/>
      <c r="L555" s="15" t="inlineStr">
        <is>
          <t>М6 (6c) · новое</t>
        </is>
      </c>
      <c r="M555" s="12" t="inlineStr">
        <is>
          <t>М8 (8c) · повт.</t>
        </is>
      </c>
      <c r="N555" s="12" t="inlineStr">
        <is>
          <t>М8 (8c) · повт.</t>
        </is>
      </c>
      <c r="O555" s="12" t="inlineStr">
        <is>
          <t>М6 (6c) · повт.</t>
        </is>
      </c>
      <c r="P555" s="16" t="inlineStr">
        <is>
          <t>—</t>
        </is>
      </c>
      <c r="Q555" s="17" t="inlineStr"/>
      <c r="R555" s="13" t="inlineStr">
        <is>
          <t>нет</t>
        </is>
      </c>
      <c r="S555" s="9" t="inlineStr"/>
      <c r="T555" s="9" t="inlineStr"/>
    </row>
    <row r="556">
      <c r="A556" s="9" t="n">
        <v>555</v>
      </c>
      <c r="B556" s="9" t="inlineStr">
        <is>
          <t>Грамматика</t>
        </is>
      </c>
      <c r="C556" s="9" t="inlineStr">
        <is>
          <t>Предложение и вопросы</t>
        </is>
      </c>
      <c r="D556" s="10" t="inlineStr">
        <is>
          <t>Reported questions</t>
        </is>
      </c>
      <c r="E556" s="9" t="inlineStr">
        <is>
          <t>Reported questions: общие вопросы — if/whether</t>
        </is>
      </c>
      <c r="F556" s="9" t="inlineStr">
        <is>
          <t>10+</t>
        </is>
      </c>
      <c r="G556" s="9" t="inlineStr"/>
      <c r="H556" s="9" t="inlineStr"/>
      <c r="I556" s="9" t="inlineStr"/>
      <c r="J556" s="9" t="inlineStr"/>
      <c r="K556" s="9" t="inlineStr"/>
      <c r="L556" s="15" t="inlineStr">
        <is>
          <t>М6 (6c) · новое</t>
        </is>
      </c>
      <c r="M556" s="12" t="inlineStr">
        <is>
          <t>М8 (8c) · повт.</t>
        </is>
      </c>
      <c r="N556" s="12" t="inlineStr">
        <is>
          <t>М8 (8c) · повт.</t>
        </is>
      </c>
      <c r="O556" s="12" t="inlineStr">
        <is>
          <t>М6 (6c) · повт.</t>
        </is>
      </c>
      <c r="P556" s="16" t="inlineStr">
        <is>
          <t>—</t>
        </is>
      </c>
      <c r="Q556" s="17" t="inlineStr"/>
      <c r="R556" s="13" t="inlineStr">
        <is>
          <t>нет</t>
        </is>
      </c>
      <c r="S556" s="9" t="inlineStr"/>
      <c r="T556" s="9" t="inlineStr"/>
    </row>
    <row r="557">
      <c r="A557" s="9" t="n">
        <v>556</v>
      </c>
      <c r="B557" s="9" t="inlineStr">
        <is>
          <t>Грамматика</t>
        </is>
      </c>
      <c r="C557" s="9" t="inlineStr">
        <is>
          <t>Предложение и вопросы</t>
        </is>
      </c>
      <c r="D557" s="10" t="inlineStr">
        <is>
          <t>Reported questions</t>
        </is>
      </c>
      <c r="E557" s="9" t="inlineStr">
        <is>
          <t>Reported questions: прямой порядок слов, без «?», без please/well/oh</t>
        </is>
      </c>
      <c r="F557" s="9" t="inlineStr">
        <is>
          <t>10+</t>
        </is>
      </c>
      <c r="G557" s="9" t="inlineStr"/>
      <c r="H557" s="9" t="inlineStr"/>
      <c r="I557" s="9" t="inlineStr"/>
      <c r="J557" s="9" t="inlineStr"/>
      <c r="K557" s="9" t="inlineStr"/>
      <c r="L557" s="15" t="inlineStr">
        <is>
          <t>М6 (6c) · новое</t>
        </is>
      </c>
      <c r="M557" s="12" t="inlineStr">
        <is>
          <t>М8 (8c) · повт.</t>
        </is>
      </c>
      <c r="N557" s="12" t="inlineStr">
        <is>
          <t>М8 (8c) · повт.</t>
        </is>
      </c>
      <c r="O557" s="12" t="inlineStr">
        <is>
          <t>М6 (6c) · повт.</t>
        </is>
      </c>
      <c r="P557" s="16" t="inlineStr">
        <is>
          <t>—</t>
        </is>
      </c>
      <c r="Q557" s="17" t="inlineStr"/>
      <c r="R557" s="13" t="inlineStr">
        <is>
          <t>нет</t>
        </is>
      </c>
      <c r="S557" s="9" t="inlineStr"/>
      <c r="T557" s="9" t="inlineStr"/>
    </row>
    <row r="558">
      <c r="A558" s="9" t="n">
        <v>557</v>
      </c>
      <c r="B558" s="9" t="inlineStr">
        <is>
          <t>Грамматика</t>
        </is>
      </c>
      <c r="C558" s="9" t="inlineStr">
        <is>
          <t>Предложение и вопросы</t>
        </is>
      </c>
      <c r="D558" s="10" t="inlineStr">
        <is>
          <t>Reported questions</t>
        </is>
      </c>
      <c r="E558" s="9" t="inlineStr">
        <is>
          <t>Reported questions: сдвиг времён, местоимений и слов времени</t>
        </is>
      </c>
      <c r="F558" s="9" t="inlineStr">
        <is>
          <t>10+</t>
        </is>
      </c>
      <c r="G558" s="9" t="inlineStr"/>
      <c r="H558" s="9" t="inlineStr"/>
      <c r="I558" s="9" t="inlineStr"/>
      <c r="J558" s="9" t="inlineStr"/>
      <c r="K558" s="9" t="inlineStr"/>
      <c r="L558" s="15" t="inlineStr">
        <is>
          <t>М6 (6c) · новое</t>
        </is>
      </c>
      <c r="M558" s="9" t="inlineStr"/>
      <c r="N558" s="12" t="inlineStr">
        <is>
          <t>М8 (8c) · повт.</t>
        </is>
      </c>
      <c r="O558" s="12" t="inlineStr">
        <is>
          <t>М6 (6c) · повт.</t>
        </is>
      </c>
      <c r="P558" s="16" t="inlineStr">
        <is>
          <t>—</t>
        </is>
      </c>
      <c r="Q558" s="17" t="inlineStr"/>
      <c r="R558" s="13" t="inlineStr">
        <is>
          <t>нет</t>
        </is>
      </c>
      <c r="S558" s="9" t="inlineStr"/>
      <c r="T558" s="9" t="inlineStr"/>
    </row>
    <row r="559">
      <c r="A559" s="4" t="n">
        <v>558</v>
      </c>
      <c r="B559" s="4" t="inlineStr">
        <is>
          <t>Грамматика</t>
        </is>
      </c>
      <c r="C559" s="4" t="inlineStr">
        <is>
          <t>Предложение и вопросы</t>
        </is>
      </c>
      <c r="D559" s="5" t="inlineStr">
        <is>
          <t>Clauses of purpose</t>
        </is>
      </c>
      <c r="E559" s="4" t="inlineStr">
        <is>
          <t>Clauses of purpose: to / in order to / so as to + infinitive</t>
        </is>
      </c>
      <c r="F559" s="4" t="inlineStr">
        <is>
          <t>10+</t>
        </is>
      </c>
      <c r="G559" s="4" t="inlineStr"/>
      <c r="H559" s="4" t="inlineStr"/>
      <c r="I559" s="4" t="inlineStr"/>
      <c r="J559" s="4" t="inlineStr"/>
      <c r="K559" s="4" t="inlineStr"/>
      <c r="L559" s="4" t="inlineStr"/>
      <c r="M559" s="18" t="inlineStr">
        <is>
          <t>М4 (4c) · новое</t>
        </is>
      </c>
      <c r="N559" s="4" t="inlineStr"/>
      <c r="O559" s="7" t="inlineStr">
        <is>
          <t>М2 (2c) · повт.</t>
        </is>
      </c>
      <c r="P559" s="19" t="inlineStr">
        <is>
          <t>—</t>
        </is>
      </c>
      <c r="Q559" s="20" t="inlineStr"/>
      <c r="R559" s="8" t="inlineStr">
        <is>
          <t>нет</t>
        </is>
      </c>
      <c r="S559" s="4" t="inlineStr"/>
      <c r="T559" s="4" t="inlineStr"/>
    </row>
    <row r="560">
      <c r="A560" s="9" t="n">
        <v>559</v>
      </c>
      <c r="B560" s="9" t="inlineStr">
        <is>
          <t>Грамматика</t>
        </is>
      </c>
      <c r="C560" s="9" t="inlineStr">
        <is>
          <t>Предложение и вопросы</t>
        </is>
      </c>
      <c r="D560" s="10" t="inlineStr">
        <is>
          <t>Clauses of purpose</t>
        </is>
      </c>
      <c r="E560" s="9" t="inlineStr">
        <is>
          <t>Clauses of purpose: so that + can/will, could/would</t>
        </is>
      </c>
      <c r="F560" s="9" t="inlineStr">
        <is>
          <t>10+</t>
        </is>
      </c>
      <c r="G560" s="9" t="inlineStr"/>
      <c r="H560" s="9" t="inlineStr"/>
      <c r="I560" s="9" t="inlineStr"/>
      <c r="J560" s="9" t="inlineStr"/>
      <c r="K560" s="9" t="inlineStr"/>
      <c r="L560" s="9" t="inlineStr"/>
      <c r="M560" s="15" t="inlineStr">
        <is>
          <t>М4 (4c) · новое</t>
        </is>
      </c>
      <c r="N560" s="9" t="inlineStr"/>
      <c r="O560" s="12" t="inlineStr">
        <is>
          <t>М2 (2c) · повт.</t>
        </is>
      </c>
      <c r="P560" s="16" t="inlineStr">
        <is>
          <t>—</t>
        </is>
      </c>
      <c r="Q560" s="17" t="inlineStr"/>
      <c r="R560" s="13" t="inlineStr">
        <is>
          <t>нет</t>
        </is>
      </c>
      <c r="S560" s="9" t="inlineStr"/>
      <c r="T560" s="9" t="inlineStr"/>
    </row>
    <row r="561">
      <c r="A561" s="9" t="n">
        <v>560</v>
      </c>
      <c r="B561" s="9" t="inlineStr">
        <is>
          <t>Грамматика</t>
        </is>
      </c>
      <c r="C561" s="9" t="inlineStr">
        <is>
          <t>Предложение и вопросы</t>
        </is>
      </c>
      <c r="D561" s="10" t="inlineStr">
        <is>
          <t>Clauses of purpose</t>
        </is>
      </c>
      <c r="E561" s="9" t="inlineStr">
        <is>
          <t>Clauses of purpose: with the view to / with the aim of + -ing</t>
        </is>
      </c>
      <c r="F561" s="9" t="inlineStr">
        <is>
          <t>10+</t>
        </is>
      </c>
      <c r="G561" s="9" t="inlineStr"/>
      <c r="H561" s="9" t="inlineStr"/>
      <c r="I561" s="9" t="inlineStr"/>
      <c r="J561" s="9" t="inlineStr"/>
      <c r="K561" s="9" t="inlineStr"/>
      <c r="L561" s="9" t="inlineStr"/>
      <c r="M561" s="15" t="inlineStr">
        <is>
          <t>М4 (4c) · новое</t>
        </is>
      </c>
      <c r="N561" s="9" t="inlineStr"/>
      <c r="O561" s="12" t="inlineStr">
        <is>
          <t>М2 (2c) · повт.</t>
        </is>
      </c>
      <c r="P561" s="16" t="inlineStr">
        <is>
          <t>—</t>
        </is>
      </c>
      <c r="Q561" s="17" t="inlineStr"/>
      <c r="R561" s="13" t="inlineStr">
        <is>
          <t>нет</t>
        </is>
      </c>
      <c r="S561" s="9" t="inlineStr"/>
      <c r="T561" s="9" t="inlineStr"/>
    </row>
    <row r="562">
      <c r="A562" s="9" t="n">
        <v>561</v>
      </c>
      <c r="B562" s="9" t="inlineStr">
        <is>
          <t>Грамматика</t>
        </is>
      </c>
      <c r="C562" s="9" t="inlineStr">
        <is>
          <t>Предложение и вопросы</t>
        </is>
      </c>
      <c r="D562" s="10" t="inlineStr">
        <is>
          <t>Clauses of purpose</t>
        </is>
      </c>
      <c r="E562" s="9" t="inlineStr">
        <is>
          <t>Clauses of purpose: for + noun/-ing (назначение предмета)</t>
        </is>
      </c>
      <c r="F562" s="9" t="inlineStr">
        <is>
          <t>10+</t>
        </is>
      </c>
      <c r="G562" s="9" t="inlineStr"/>
      <c r="H562" s="9" t="inlineStr"/>
      <c r="I562" s="9" t="inlineStr"/>
      <c r="J562" s="9" t="inlineStr"/>
      <c r="K562" s="9" t="inlineStr"/>
      <c r="L562" s="9" t="inlineStr"/>
      <c r="M562" s="9" t="inlineStr"/>
      <c r="N562" s="9" t="inlineStr"/>
      <c r="O562" s="15" t="inlineStr">
        <is>
          <t>М2 (2c) · новое</t>
        </is>
      </c>
      <c r="P562" s="16" t="inlineStr">
        <is>
          <t>—</t>
        </is>
      </c>
      <c r="Q562" s="17" t="inlineStr"/>
      <c r="R562" s="13" t="inlineStr">
        <is>
          <t>нет</t>
        </is>
      </c>
      <c r="S562" s="9" t="inlineStr"/>
      <c r="T562" s="9" t="inlineStr"/>
    </row>
    <row r="563">
      <c r="A563" s="9" t="n">
        <v>562</v>
      </c>
      <c r="B563" s="9" t="inlineStr">
        <is>
          <t>Грамматика</t>
        </is>
      </c>
      <c r="C563" s="9" t="inlineStr">
        <is>
          <t>Предложение и вопросы</t>
        </is>
      </c>
      <c r="D563" s="10" t="inlineStr">
        <is>
          <t>Clauses of purpose</t>
        </is>
      </c>
      <c r="E563" s="9" t="inlineStr">
        <is>
          <t>Clauses of purpose: in case + Present / Past</t>
        </is>
      </c>
      <c r="F563" s="9" t="inlineStr">
        <is>
          <t>10+</t>
        </is>
      </c>
      <c r="G563" s="9" t="inlineStr"/>
      <c r="H563" s="9" t="inlineStr"/>
      <c r="I563" s="9" t="inlineStr"/>
      <c r="J563" s="9" t="inlineStr"/>
      <c r="K563" s="9" t="inlineStr"/>
      <c r="L563" s="9" t="inlineStr"/>
      <c r="M563" s="9" t="inlineStr"/>
      <c r="N563" s="9" t="inlineStr"/>
      <c r="O563" s="15" t="inlineStr">
        <is>
          <t>М2 (2c) · новое</t>
        </is>
      </c>
      <c r="P563" s="16" t="inlineStr">
        <is>
          <t>—</t>
        </is>
      </c>
      <c r="Q563" s="17" t="inlineStr"/>
      <c r="R563" s="13" t="inlineStr">
        <is>
          <t>нет</t>
        </is>
      </c>
      <c r="S563" s="9" t="inlineStr"/>
      <c r="T563" s="9" t="inlineStr"/>
    </row>
    <row r="564">
      <c r="A564" s="9" t="n">
        <v>563</v>
      </c>
      <c r="B564" s="9" t="inlineStr">
        <is>
          <t>Грамматика</t>
        </is>
      </c>
      <c r="C564" s="9" t="inlineStr">
        <is>
          <t>Предложение и вопросы</t>
        </is>
      </c>
      <c r="D564" s="10" t="inlineStr">
        <is>
          <t>Clauses of purpose</t>
        </is>
      </c>
      <c r="E564" s="9" t="inlineStr">
        <is>
          <t>Clauses of purpose: отрицательная цель — so as not / in order not to</t>
        </is>
      </c>
      <c r="F564" s="9" t="inlineStr">
        <is>
          <t>10+</t>
        </is>
      </c>
      <c r="G564" s="9" t="inlineStr"/>
      <c r="H564" s="9" t="inlineStr"/>
      <c r="I564" s="9" t="inlineStr"/>
      <c r="J564" s="9" t="inlineStr"/>
      <c r="K564" s="9" t="inlineStr"/>
      <c r="L564" s="9" t="inlineStr"/>
      <c r="M564" s="9" t="inlineStr"/>
      <c r="N564" s="9" t="inlineStr"/>
      <c r="O564" s="15" t="inlineStr">
        <is>
          <t>М2 (2c) · новое</t>
        </is>
      </c>
      <c r="P564" s="16" t="inlineStr">
        <is>
          <t>—</t>
        </is>
      </c>
      <c r="Q564" s="17" t="inlineStr"/>
      <c r="R564" s="13" t="inlineStr">
        <is>
          <t>нет</t>
        </is>
      </c>
      <c r="S564" s="9" t="inlineStr"/>
      <c r="T564" s="9" t="inlineStr"/>
    </row>
    <row r="565">
      <c r="A565" s="9" t="n">
        <v>564</v>
      </c>
      <c r="B565" s="9" t="inlineStr">
        <is>
          <t>Грамматика</t>
        </is>
      </c>
      <c r="C565" s="9" t="inlineStr">
        <is>
          <t>Предложение и вопросы</t>
        </is>
      </c>
      <c r="D565" s="10" t="inlineStr">
        <is>
          <t>Clauses of purpose</t>
        </is>
      </c>
      <c r="E565" s="9" t="inlineStr">
        <is>
          <t>Clauses of purpose: отрицательная цель — so that + can't/won't, couldn't/wouldn't</t>
        </is>
      </c>
      <c r="F565" s="9" t="inlineStr">
        <is>
          <t>10+</t>
        </is>
      </c>
      <c r="G565" s="9" t="inlineStr"/>
      <c r="H565" s="9" t="inlineStr"/>
      <c r="I565" s="9" t="inlineStr"/>
      <c r="J565" s="9" t="inlineStr"/>
      <c r="K565" s="9" t="inlineStr"/>
      <c r="L565" s="9" t="inlineStr"/>
      <c r="M565" s="9" t="inlineStr"/>
      <c r="N565" s="9" t="inlineStr"/>
      <c r="O565" s="15" t="inlineStr">
        <is>
          <t>М2 (2c) · новое</t>
        </is>
      </c>
      <c r="P565" s="16" t="inlineStr">
        <is>
          <t>—</t>
        </is>
      </c>
      <c r="Q565" s="17" t="inlineStr"/>
      <c r="R565" s="13" t="inlineStr">
        <is>
          <t>нет</t>
        </is>
      </c>
      <c r="S565" s="9" t="inlineStr"/>
      <c r="T565" s="9" t="inlineStr"/>
    </row>
    <row r="566">
      <c r="A566" s="9" t="n">
        <v>565</v>
      </c>
      <c r="B566" s="9" t="inlineStr">
        <is>
          <t>Грамматика</t>
        </is>
      </c>
      <c r="C566" s="9" t="inlineStr">
        <is>
          <t>Предложение и вопросы</t>
        </is>
      </c>
      <c r="D566" s="10" t="inlineStr">
        <is>
          <t>Clauses of purpose</t>
        </is>
      </c>
      <c r="E566" s="9" t="inlineStr">
        <is>
          <t>Clauses of purpose: for fear / lest; for fear of</t>
        </is>
      </c>
      <c r="F566" s="9" t="inlineStr">
        <is>
          <t>10+</t>
        </is>
      </c>
      <c r="G566" s="9" t="inlineStr"/>
      <c r="H566" s="9" t="inlineStr"/>
      <c r="I566" s="9" t="inlineStr"/>
      <c r="J566" s="9" t="inlineStr"/>
      <c r="K566" s="9" t="inlineStr"/>
      <c r="L566" s="9" t="inlineStr"/>
      <c r="M566" s="9" t="inlineStr"/>
      <c r="N566" s="9" t="inlineStr"/>
      <c r="O566" s="15" t="inlineStr">
        <is>
          <t>М2 (2c) · новое</t>
        </is>
      </c>
      <c r="P566" s="16" t="inlineStr">
        <is>
          <t>—</t>
        </is>
      </c>
      <c r="Q566" s="17" t="inlineStr"/>
      <c r="R566" s="13" t="inlineStr">
        <is>
          <t>нет</t>
        </is>
      </c>
      <c r="S566" s="9" t="inlineStr"/>
      <c r="T566" s="9" t="inlineStr"/>
    </row>
    <row r="567">
      <c r="A567" s="9" t="n">
        <v>566</v>
      </c>
      <c r="B567" s="9" t="inlineStr">
        <is>
          <t>Грамматика</t>
        </is>
      </c>
      <c r="C567" s="9" t="inlineStr">
        <is>
          <t>Предложение и вопросы</t>
        </is>
      </c>
      <c r="D567" s="10" t="inlineStr">
        <is>
          <t>Clauses of purpose</t>
        </is>
      </c>
      <c r="E567" s="9" t="inlineStr">
        <is>
          <t>Clauses of purpose: prevent … (from) + -ing / avoid + -ing</t>
        </is>
      </c>
      <c r="F567" s="9" t="inlineStr">
        <is>
          <t>10+</t>
        </is>
      </c>
      <c r="G567" s="9" t="inlineStr"/>
      <c r="H567" s="9" t="inlineStr"/>
      <c r="I567" s="9" t="inlineStr"/>
      <c r="J567" s="9" t="inlineStr"/>
      <c r="K567" s="9" t="inlineStr"/>
      <c r="L567" s="9" t="inlineStr"/>
      <c r="M567" s="9" t="inlineStr"/>
      <c r="N567" s="9" t="inlineStr"/>
      <c r="O567" s="15" t="inlineStr">
        <is>
          <t>М2 (2c) · новое</t>
        </is>
      </c>
      <c r="P567" s="16" t="inlineStr">
        <is>
          <t>—</t>
        </is>
      </c>
      <c r="Q567" s="17" t="inlineStr"/>
      <c r="R567" s="13" t="inlineStr">
        <is>
          <t>нет</t>
        </is>
      </c>
      <c r="S567" s="9" t="inlineStr"/>
      <c r="T567" s="9" t="inlineStr"/>
    </row>
    <row r="568">
      <c r="A568" s="4" t="n">
        <v>567</v>
      </c>
      <c r="B568" s="4" t="inlineStr">
        <is>
          <t>Грамматика</t>
        </is>
      </c>
      <c r="C568" s="4" t="inlineStr">
        <is>
          <t>Предложение и вопросы</t>
        </is>
      </c>
      <c r="D568" s="5" t="inlineStr">
        <is>
          <t>Clauses of result</t>
        </is>
      </c>
      <c r="E568" s="4" t="inlineStr">
        <is>
          <t>Clauses of result: such … that</t>
        </is>
      </c>
      <c r="F568" s="4" t="inlineStr">
        <is>
          <t>10+</t>
        </is>
      </c>
      <c r="G568" s="4" t="inlineStr"/>
      <c r="H568" s="4" t="inlineStr"/>
      <c r="I568" s="4" t="inlineStr"/>
      <c r="J568" s="4" t="inlineStr"/>
      <c r="K568" s="4" t="inlineStr"/>
      <c r="L568" s="4" t="inlineStr"/>
      <c r="M568" s="18" t="inlineStr">
        <is>
          <t>М4 (4c) · новое</t>
        </is>
      </c>
      <c r="N568" s="4" t="inlineStr"/>
      <c r="O568" s="7" t="inlineStr">
        <is>
          <t>М2 (2c) · повт.</t>
        </is>
      </c>
      <c r="P568" s="19" t="inlineStr">
        <is>
          <t>—</t>
        </is>
      </c>
      <c r="Q568" s="20" t="inlineStr"/>
      <c r="R568" s="8" t="inlineStr">
        <is>
          <t>нет</t>
        </is>
      </c>
      <c r="S568" s="4" t="inlineStr"/>
      <c r="T568" s="4" t="inlineStr"/>
    </row>
    <row r="569">
      <c r="A569" s="9" t="n">
        <v>568</v>
      </c>
      <c r="B569" s="9" t="inlineStr">
        <is>
          <t>Грамматика</t>
        </is>
      </c>
      <c r="C569" s="9" t="inlineStr">
        <is>
          <t>Предложение и вопросы</t>
        </is>
      </c>
      <c r="D569" s="10" t="inlineStr">
        <is>
          <t>Clauses of result</t>
        </is>
      </c>
      <c r="E569" s="9" t="inlineStr">
        <is>
          <t>Clauses of result: so … that</t>
        </is>
      </c>
      <c r="F569" s="9" t="inlineStr">
        <is>
          <t>10+</t>
        </is>
      </c>
      <c r="G569" s="9" t="inlineStr"/>
      <c r="H569" s="9" t="inlineStr"/>
      <c r="I569" s="9" t="inlineStr"/>
      <c r="J569" s="9" t="inlineStr"/>
      <c r="K569" s="9" t="inlineStr"/>
      <c r="L569" s="9" t="inlineStr"/>
      <c r="M569" s="15" t="inlineStr">
        <is>
          <t>М4 (4c) · новое</t>
        </is>
      </c>
      <c r="N569" s="9" t="inlineStr"/>
      <c r="O569" s="12" t="inlineStr">
        <is>
          <t>М2 (2c) · повт.</t>
        </is>
      </c>
      <c r="P569" s="16" t="inlineStr">
        <is>
          <t>—</t>
        </is>
      </c>
      <c r="Q569" s="17" t="inlineStr"/>
      <c r="R569" s="13" t="inlineStr">
        <is>
          <t>нет</t>
        </is>
      </c>
      <c r="S569" s="9" t="inlineStr"/>
      <c r="T569" s="9" t="inlineStr"/>
    </row>
    <row r="570">
      <c r="A570" s="9" t="n">
        <v>569</v>
      </c>
      <c r="B570" s="9" t="inlineStr">
        <is>
          <t>Грамматика</t>
        </is>
      </c>
      <c r="C570" s="9" t="inlineStr">
        <is>
          <t>Предложение и вопросы</t>
        </is>
      </c>
      <c r="D570" s="10" t="inlineStr">
        <is>
          <t>Clauses of result</t>
        </is>
      </c>
      <c r="E570" s="9" t="inlineStr">
        <is>
          <t>Clauses of result: as a result / as a consequence / consequently / therefore / so</t>
        </is>
      </c>
      <c r="F570" s="9" t="inlineStr">
        <is>
          <t>10+</t>
        </is>
      </c>
      <c r="G570" s="9" t="inlineStr"/>
      <c r="H570" s="9" t="inlineStr"/>
      <c r="I570" s="9" t="inlineStr"/>
      <c r="J570" s="9" t="inlineStr"/>
      <c r="K570" s="9" t="inlineStr"/>
      <c r="L570" s="9" t="inlineStr"/>
      <c r="M570" s="15" t="inlineStr">
        <is>
          <t>М4 (4c) · новое</t>
        </is>
      </c>
      <c r="N570" s="9" t="inlineStr"/>
      <c r="O570" s="12" t="inlineStr">
        <is>
          <t>М2 (2c) · повт.</t>
        </is>
      </c>
      <c r="P570" s="16" t="inlineStr">
        <is>
          <t>—</t>
        </is>
      </c>
      <c r="Q570" s="17" t="inlineStr"/>
      <c r="R570" s="13" t="inlineStr">
        <is>
          <t>нет</t>
        </is>
      </c>
      <c r="S570" s="9" t="inlineStr"/>
      <c r="T570" s="9" t="inlineStr"/>
    </row>
    <row r="571">
      <c r="A571" s="4" t="n">
        <v>570</v>
      </c>
      <c r="B571" s="4" t="inlineStr">
        <is>
          <t>Грамматика</t>
        </is>
      </c>
      <c r="C571" s="4" t="inlineStr">
        <is>
          <t>Предложение и вопросы</t>
        </is>
      </c>
      <c r="D571" s="5" t="inlineStr">
        <is>
          <t>Conditional linkers (unless, provided…)</t>
        </is>
      </c>
      <c r="E571" s="4" t="inlineStr">
        <is>
          <t>Conditional linkers: unless, provided/providing (that), as long as, on condition (that)</t>
        </is>
      </c>
      <c r="F571" s="4" t="inlineStr">
        <is>
          <t>10+</t>
        </is>
      </c>
      <c r="G571" s="4" t="inlineStr"/>
      <c r="H571" s="4" t="inlineStr"/>
      <c r="I571" s="4" t="inlineStr"/>
      <c r="J571" s="4" t="inlineStr"/>
      <c r="K571" s="4" t="inlineStr"/>
      <c r="L571" s="4" t="inlineStr"/>
      <c r="M571" s="18" t="inlineStr">
        <is>
          <t>М7 (7c) · новое</t>
        </is>
      </c>
      <c r="N571" s="7" t="inlineStr">
        <is>
          <t>М6 (6c) · повт.</t>
        </is>
      </c>
      <c r="O571" s="7" t="inlineStr">
        <is>
          <t>М7 (7c) · повт.</t>
        </is>
      </c>
      <c r="P571" s="19" t="inlineStr">
        <is>
          <t>—</t>
        </is>
      </c>
      <c r="Q571" s="20" t="inlineStr"/>
      <c r="R571" s="8" t="inlineStr">
        <is>
          <t>нет</t>
        </is>
      </c>
      <c r="S571" s="4" t="inlineStr"/>
      <c r="T571" s="4" t="inlineStr"/>
    </row>
    <row r="572">
      <c r="A572" s="9" t="n">
        <v>571</v>
      </c>
      <c r="B572" s="9" t="inlineStr">
        <is>
          <t>Грамматика</t>
        </is>
      </c>
      <c r="C572" s="9" t="inlineStr">
        <is>
          <t>Предложение и вопросы</t>
        </is>
      </c>
      <c r="D572" s="10" t="inlineStr">
        <is>
          <t>Conditional linkers (unless, provided…)</t>
        </is>
      </c>
      <c r="E572" s="9" t="inlineStr">
        <is>
          <t>Conditional linkers: but for, otherwise, or else</t>
        </is>
      </c>
      <c r="F572" s="9" t="inlineStr">
        <is>
          <t>10+</t>
        </is>
      </c>
      <c r="G572" s="9" t="inlineStr"/>
      <c r="H572" s="9" t="inlineStr"/>
      <c r="I572" s="9" t="inlineStr"/>
      <c r="J572" s="9" t="inlineStr"/>
      <c r="K572" s="9" t="inlineStr"/>
      <c r="L572" s="9" t="inlineStr"/>
      <c r="M572" s="15" t="inlineStr">
        <is>
          <t>М7 (7c) · новое</t>
        </is>
      </c>
      <c r="N572" s="12" t="inlineStr">
        <is>
          <t>М6 (6c) · повт.</t>
        </is>
      </c>
      <c r="O572" s="12" t="inlineStr">
        <is>
          <t>М7 (7c) · повт.</t>
        </is>
      </c>
      <c r="P572" s="16" t="inlineStr">
        <is>
          <t>—</t>
        </is>
      </c>
      <c r="Q572" s="17" t="inlineStr"/>
      <c r="R572" s="13" t="inlineStr">
        <is>
          <t>нет</t>
        </is>
      </c>
      <c r="S572" s="9" t="inlineStr"/>
      <c r="T572" s="9" t="inlineStr"/>
    </row>
    <row r="573">
      <c r="A573" s="9" t="n">
        <v>572</v>
      </c>
      <c r="B573" s="9" t="inlineStr">
        <is>
          <t>Грамматика</t>
        </is>
      </c>
      <c r="C573" s="9" t="inlineStr">
        <is>
          <t>Предложение и вопросы</t>
        </is>
      </c>
      <c r="D573" s="10" t="inlineStr">
        <is>
          <t>Conditional linkers (unless, provided…)</t>
        </is>
      </c>
      <c r="E573" s="9" t="inlineStr">
        <is>
          <t>Conditional linkers: what if, supposing, even if</t>
        </is>
      </c>
      <c r="F573" s="9" t="inlineStr">
        <is>
          <t>10+</t>
        </is>
      </c>
      <c r="G573" s="9" t="inlineStr"/>
      <c r="H573" s="9" t="inlineStr"/>
      <c r="I573" s="9" t="inlineStr"/>
      <c r="J573" s="9" t="inlineStr"/>
      <c r="K573" s="9" t="inlineStr"/>
      <c r="L573" s="9" t="inlineStr"/>
      <c r="M573" s="15" t="inlineStr">
        <is>
          <t>М7 (7c) · новое</t>
        </is>
      </c>
      <c r="N573" s="12" t="inlineStr">
        <is>
          <t>М6 (6c) · повт.</t>
        </is>
      </c>
      <c r="O573" s="12" t="inlineStr">
        <is>
          <t>М7 (7c) · повт.</t>
        </is>
      </c>
      <c r="P573" s="16" t="inlineStr">
        <is>
          <t>—</t>
        </is>
      </c>
      <c r="Q573" s="17" t="inlineStr"/>
      <c r="R573" s="13" t="inlineStr">
        <is>
          <t>нет</t>
        </is>
      </c>
      <c r="S573" s="9" t="inlineStr"/>
      <c r="T573" s="9" t="inlineStr"/>
    </row>
    <row r="574">
      <c r="A574" s="9" t="n">
        <v>573</v>
      </c>
      <c r="B574" s="9" t="inlineStr">
        <is>
          <t>Грамматика</t>
        </is>
      </c>
      <c r="C574" s="9" t="inlineStr">
        <is>
          <t>Предложение и вопросы</t>
        </is>
      </c>
      <c r="D574" s="10" t="inlineStr">
        <is>
          <t>Conditional linkers (unless, provided…)</t>
        </is>
      </c>
      <c r="E574" s="9" t="inlineStr">
        <is>
          <t>Conditional linkers: only if (+ инверсия в главном предложении)</t>
        </is>
      </c>
      <c r="F574" s="9" t="inlineStr">
        <is>
          <t>10+</t>
        </is>
      </c>
      <c r="G574" s="9" t="inlineStr"/>
      <c r="H574" s="9" t="inlineStr"/>
      <c r="I574" s="9" t="inlineStr"/>
      <c r="J574" s="9" t="inlineStr"/>
      <c r="K574" s="9" t="inlineStr"/>
      <c r="L574" s="9" t="inlineStr"/>
      <c r="M574" s="15" t="inlineStr">
        <is>
          <t>М7 (7c) · новое</t>
        </is>
      </c>
      <c r="N574" s="12" t="inlineStr">
        <is>
          <t>М6 (6c) · повт.</t>
        </is>
      </c>
      <c r="O574" s="12" t="inlineStr">
        <is>
          <t>М7 (7c) · повт.</t>
        </is>
      </c>
      <c r="P574" s="16" t="inlineStr">
        <is>
          <t>—</t>
        </is>
      </c>
      <c r="Q574" s="17" t="inlineStr"/>
      <c r="R574" s="13" t="inlineStr">
        <is>
          <t>нет</t>
        </is>
      </c>
      <c r="S574" s="9" t="inlineStr"/>
      <c r="T574" s="9" t="inlineStr"/>
    </row>
    <row r="575">
      <c r="A575" s="9" t="n">
        <v>574</v>
      </c>
      <c r="B575" s="9" t="inlineStr">
        <is>
          <t>Грамматика</t>
        </is>
      </c>
      <c r="C575" s="9" t="inlineStr">
        <is>
          <t>Предложение и вопросы</t>
        </is>
      </c>
      <c r="D575" s="10" t="inlineStr">
        <is>
          <t>Conditional linkers (unless, provided…)</t>
        </is>
      </c>
      <c r="E575" s="9" t="inlineStr">
        <is>
          <t>Conditional linkers: will/would/should в if-части (просьба, раздражение, сомнение)</t>
        </is>
      </c>
      <c r="F575" s="9" t="inlineStr">
        <is>
          <t>10+</t>
        </is>
      </c>
      <c r="G575" s="9" t="inlineStr"/>
      <c r="H575" s="9" t="inlineStr"/>
      <c r="I575" s="9" t="inlineStr"/>
      <c r="J575" s="9" t="inlineStr"/>
      <c r="K575" s="9" t="inlineStr"/>
      <c r="L575" s="9" t="inlineStr"/>
      <c r="M575" s="15" t="inlineStr">
        <is>
          <t>М7 (7c) · новое</t>
        </is>
      </c>
      <c r="N575" s="12" t="inlineStr">
        <is>
          <t>М6 (6c) · повт.</t>
        </is>
      </c>
      <c r="O575" s="14" t="inlineStr">
        <is>
          <t>М7 (7c) · расш.</t>
        </is>
      </c>
      <c r="P575" s="16" t="inlineStr">
        <is>
          <t>—</t>
        </is>
      </c>
      <c r="Q575" s="17" t="inlineStr"/>
      <c r="R575" s="13" t="inlineStr">
        <is>
          <t>нет</t>
        </is>
      </c>
      <c r="S575" s="9" t="inlineStr"/>
      <c r="T575" s="9" t="inlineStr"/>
    </row>
    <row r="576">
      <c r="A576" s="4" t="n">
        <v>575</v>
      </c>
      <c r="B576" s="4" t="inlineStr">
        <is>
          <t>Грамматика</t>
        </is>
      </c>
      <c r="C576" s="4" t="inlineStr">
        <is>
          <t>Предложение и вопросы</t>
        </is>
      </c>
      <c r="D576" s="5" t="inlineStr">
        <is>
          <t>Exclamations</t>
        </is>
      </c>
      <c r="E576" s="4" t="inlineStr">
        <is>
          <t>Exclamations: How + прил./нареч.!</t>
        </is>
      </c>
      <c r="F576" s="4" t="inlineStr">
        <is>
          <t>10+</t>
        </is>
      </c>
      <c r="G576" s="4" t="inlineStr"/>
      <c r="H576" s="4" t="inlineStr"/>
      <c r="I576" s="4" t="inlineStr"/>
      <c r="J576" s="4" t="inlineStr"/>
      <c r="K576" s="4" t="inlineStr"/>
      <c r="L576" s="4" t="inlineStr"/>
      <c r="M576" s="18" t="inlineStr">
        <is>
          <t>М1 (1c) · новое</t>
        </is>
      </c>
      <c r="N576" s="4" t="inlineStr"/>
      <c r="O576" s="4" t="inlineStr"/>
      <c r="P576" s="19" t="inlineStr">
        <is>
          <t>—</t>
        </is>
      </c>
      <c r="Q576" s="20" t="inlineStr"/>
      <c r="R576" s="8" t="inlineStr">
        <is>
          <t>нет</t>
        </is>
      </c>
      <c r="S576" s="4" t="inlineStr"/>
      <c r="T576" s="4" t="inlineStr"/>
    </row>
    <row r="577">
      <c r="A577" s="9" t="n">
        <v>576</v>
      </c>
      <c r="B577" s="9" t="inlineStr">
        <is>
          <t>Грамматика</t>
        </is>
      </c>
      <c r="C577" s="9" t="inlineStr">
        <is>
          <t>Предложение и вопросы</t>
        </is>
      </c>
      <c r="D577" s="10" t="inlineStr">
        <is>
          <t>Exclamations</t>
        </is>
      </c>
      <c r="E577" s="9" t="inlineStr">
        <is>
          <t>Exclamations: What a/an (+ прил.) + исчисл. сущ. ед. ч.!</t>
        </is>
      </c>
      <c r="F577" s="9" t="inlineStr">
        <is>
          <t>10+</t>
        </is>
      </c>
      <c r="G577" s="9" t="inlineStr"/>
      <c r="H577" s="9" t="inlineStr"/>
      <c r="I577" s="9" t="inlineStr"/>
      <c r="J577" s="9" t="inlineStr"/>
      <c r="K577" s="9" t="inlineStr"/>
      <c r="L577" s="9" t="inlineStr"/>
      <c r="M577" s="15" t="inlineStr">
        <is>
          <t>М1 (1c) · новое</t>
        </is>
      </c>
      <c r="N577" s="9" t="inlineStr"/>
      <c r="O577" s="9" t="inlineStr"/>
      <c r="P577" s="16" t="inlineStr">
        <is>
          <t>—</t>
        </is>
      </c>
      <c r="Q577" s="17" t="inlineStr"/>
      <c r="R577" s="13" t="inlineStr">
        <is>
          <t>нет</t>
        </is>
      </c>
      <c r="S577" s="9" t="inlineStr"/>
      <c r="T577" s="9" t="inlineStr"/>
    </row>
    <row r="578">
      <c r="A578" s="9" t="n">
        <v>577</v>
      </c>
      <c r="B578" s="9" t="inlineStr">
        <is>
          <t>Грамматика</t>
        </is>
      </c>
      <c r="C578" s="9" t="inlineStr">
        <is>
          <t>Предложение и вопросы</t>
        </is>
      </c>
      <c r="D578" s="10" t="inlineStr">
        <is>
          <t>Exclamations</t>
        </is>
      </c>
      <c r="E578" s="9" t="inlineStr">
        <is>
          <t>Exclamations: What (+ прил.) + неисчисл. / мн. ч.!</t>
        </is>
      </c>
      <c r="F578" s="9" t="inlineStr">
        <is>
          <t>10+</t>
        </is>
      </c>
      <c r="G578" s="9" t="inlineStr"/>
      <c r="H578" s="9" t="inlineStr"/>
      <c r="I578" s="9" t="inlineStr"/>
      <c r="J578" s="9" t="inlineStr"/>
      <c r="K578" s="9" t="inlineStr"/>
      <c r="L578" s="9" t="inlineStr"/>
      <c r="M578" s="15" t="inlineStr">
        <is>
          <t>М1 (1c) · новое</t>
        </is>
      </c>
      <c r="N578" s="9" t="inlineStr"/>
      <c r="O578" s="9" t="inlineStr"/>
      <c r="P578" s="16" t="inlineStr">
        <is>
          <t>—</t>
        </is>
      </c>
      <c r="Q578" s="17" t="inlineStr"/>
      <c r="R578" s="13" t="inlineStr">
        <is>
          <t>нет</t>
        </is>
      </c>
      <c r="S578" s="9" t="inlineStr"/>
      <c r="T578" s="9" t="inlineStr"/>
    </row>
    <row r="579">
      <c r="A579" s="9" t="n">
        <v>578</v>
      </c>
      <c r="B579" s="9" t="inlineStr">
        <is>
          <t>Грамматика</t>
        </is>
      </c>
      <c r="C579" s="9" t="inlineStr">
        <is>
          <t>Предложение и вопросы</t>
        </is>
      </c>
      <c r="D579" s="10" t="inlineStr">
        <is>
          <t>Exclamations</t>
        </is>
      </c>
      <c r="E579" s="9" t="inlineStr">
        <is>
          <t>Exclamations: отрицательный вопрос (Isn't it great…!)</t>
        </is>
      </c>
      <c r="F579" s="9" t="inlineStr">
        <is>
          <t>10+</t>
        </is>
      </c>
      <c r="G579" s="9" t="inlineStr"/>
      <c r="H579" s="9" t="inlineStr"/>
      <c r="I579" s="9" t="inlineStr"/>
      <c r="J579" s="9" t="inlineStr"/>
      <c r="K579" s="9" t="inlineStr"/>
      <c r="L579" s="9" t="inlineStr"/>
      <c r="M579" s="15" t="inlineStr">
        <is>
          <t>М1 (1c) · новое</t>
        </is>
      </c>
      <c r="N579" s="9" t="inlineStr"/>
      <c r="O579" s="9" t="inlineStr"/>
      <c r="P579" s="16" t="inlineStr">
        <is>
          <t>—</t>
        </is>
      </c>
      <c r="Q579" s="17" t="inlineStr"/>
      <c r="R579" s="13" t="inlineStr">
        <is>
          <t>нет</t>
        </is>
      </c>
      <c r="S579" s="9" t="inlineStr"/>
      <c r="T579" s="9" t="inlineStr"/>
    </row>
    <row r="580">
      <c r="A580" s="4" t="n">
        <v>579</v>
      </c>
      <c r="B580" s="4" t="inlineStr">
        <is>
          <t>Грамматика</t>
        </is>
      </c>
      <c r="C580" s="4" t="inlineStr">
        <is>
          <t>Предложение и вопросы</t>
        </is>
      </c>
      <c r="D580" s="5" t="inlineStr">
        <is>
          <t>Inversion</t>
        </is>
      </c>
      <c r="E580" s="4" t="inlineStr">
        <is>
          <t>Inversion: условные без if — Should/Were/Had + подлежащее</t>
        </is>
      </c>
      <c r="F580" s="4" t="inlineStr">
        <is>
          <t>10+</t>
        </is>
      </c>
      <c r="G580" s="4" t="inlineStr"/>
      <c r="H580" s="4" t="inlineStr"/>
      <c r="I580" s="4" t="inlineStr"/>
      <c r="J580" s="4" t="inlineStr"/>
      <c r="K580" s="4" t="inlineStr"/>
      <c r="L580" s="4" t="inlineStr"/>
      <c r="M580" s="18" t="inlineStr">
        <is>
          <t>М7 (7c) · новое</t>
        </is>
      </c>
      <c r="N580" s="7" t="inlineStr">
        <is>
          <t>М6 (6c) · повт.</t>
        </is>
      </c>
      <c r="O580" s="7" t="inlineStr">
        <is>
          <t>М7 (7c) · повт.
М8 (8c) · повт.</t>
        </is>
      </c>
      <c r="P580" s="19" t="inlineStr">
        <is>
          <t>—</t>
        </is>
      </c>
      <c r="Q580" s="20" t="inlineStr"/>
      <c r="R580" s="8" t="inlineStr">
        <is>
          <t>нет</t>
        </is>
      </c>
      <c r="S580" s="4" t="inlineStr"/>
      <c r="T580" s="4" t="inlineStr"/>
    </row>
    <row r="581">
      <c r="A581" s="9" t="n">
        <v>580</v>
      </c>
      <c r="B581" s="9" t="inlineStr">
        <is>
          <t>Грамматика</t>
        </is>
      </c>
      <c r="C581" s="9" t="inlineStr">
        <is>
          <t>Предложение и вопросы</t>
        </is>
      </c>
      <c r="D581" s="10" t="inlineStr">
        <is>
          <t>Inversion</t>
        </is>
      </c>
      <c r="E581" s="9" t="inlineStr">
        <is>
          <t>Inversion: эмфатическая — форма (вспомогательный / do, does, did + подлежащее)</t>
        </is>
      </c>
      <c r="F581" s="9" t="inlineStr">
        <is>
          <t>10+</t>
        </is>
      </c>
      <c r="G581" s="9" t="inlineStr"/>
      <c r="H581" s="9" t="inlineStr"/>
      <c r="I581" s="9" t="inlineStr"/>
      <c r="J581" s="9" t="inlineStr"/>
      <c r="K581" s="9" t="inlineStr"/>
      <c r="L581" s="9" t="inlineStr"/>
      <c r="M581" s="9" t="inlineStr"/>
      <c r="N581" s="9" t="inlineStr"/>
      <c r="O581" s="15" t="inlineStr">
        <is>
          <t>М8 (8c) · новое</t>
        </is>
      </c>
      <c r="P581" s="16" t="inlineStr">
        <is>
          <t>—</t>
        </is>
      </c>
      <c r="Q581" s="17" t="inlineStr"/>
      <c r="R581" s="13" t="inlineStr">
        <is>
          <t>нет</t>
        </is>
      </c>
      <c r="S581" s="9" t="inlineStr"/>
      <c r="T581" s="9" t="inlineStr"/>
    </row>
    <row r="582">
      <c r="A582" s="9" t="n">
        <v>581</v>
      </c>
      <c r="B582" s="9" t="inlineStr">
        <is>
          <t>Грамматика</t>
        </is>
      </c>
      <c r="C582" s="9" t="inlineStr">
        <is>
          <t>Предложение и вопросы</t>
        </is>
      </c>
      <c r="D582" s="10" t="inlineStr">
        <is>
          <t>Inversion</t>
        </is>
      </c>
      <c r="E582" s="9" t="inlineStr">
        <is>
          <t>Inversion: после отрицательных наречий в начале (Never, Rarely, Seldom, Little, Hardly… when, No sooner… than, Not only… but also)</t>
        </is>
      </c>
      <c r="F582" s="9" t="inlineStr">
        <is>
          <t>10+</t>
        </is>
      </c>
      <c r="G582" s="9" t="inlineStr"/>
      <c r="H582" s="9" t="inlineStr"/>
      <c r="I582" s="9" t="inlineStr"/>
      <c r="J582" s="9" t="inlineStr"/>
      <c r="K582" s="9" t="inlineStr"/>
      <c r="L582" s="9" t="inlineStr"/>
      <c r="M582" s="9" t="inlineStr"/>
      <c r="N582" s="9" t="inlineStr"/>
      <c r="O582" s="15" t="inlineStr">
        <is>
          <t>М8 (8c) · новое</t>
        </is>
      </c>
      <c r="P582" s="16" t="inlineStr">
        <is>
          <t>—</t>
        </is>
      </c>
      <c r="Q582" s="17" t="inlineStr"/>
      <c r="R582" s="13" t="inlineStr">
        <is>
          <t>нет</t>
        </is>
      </c>
      <c r="S582" s="9" t="inlineStr"/>
      <c r="T582" s="9" t="inlineStr"/>
    </row>
    <row r="583">
      <c r="A583" s="9" t="n">
        <v>582</v>
      </c>
      <c r="B583" s="9" t="inlineStr">
        <is>
          <t>Грамматика</t>
        </is>
      </c>
      <c r="C583" s="9" t="inlineStr">
        <is>
          <t>Предложение и вопросы</t>
        </is>
      </c>
      <c r="D583" s="10" t="inlineStr">
        <is>
          <t>Inversion</t>
        </is>
      </c>
      <c r="E583" s="9" t="inlineStr">
        <is>
          <t>Inversion: после Only after/by/when/then, Not till/until, Not since — в главном предложении</t>
        </is>
      </c>
      <c r="F583" s="9" t="inlineStr">
        <is>
          <t>10+</t>
        </is>
      </c>
      <c r="G583" s="9" t="inlineStr"/>
      <c r="H583" s="9" t="inlineStr"/>
      <c r="I583" s="9" t="inlineStr"/>
      <c r="J583" s="9" t="inlineStr"/>
      <c r="K583" s="9" t="inlineStr"/>
      <c r="L583" s="9" t="inlineStr"/>
      <c r="M583" s="9" t="inlineStr"/>
      <c r="N583" s="9" t="inlineStr"/>
      <c r="O583" s="15" t="inlineStr">
        <is>
          <t>М8 (8c) · новое</t>
        </is>
      </c>
      <c r="P583" s="16" t="inlineStr">
        <is>
          <t>—</t>
        </is>
      </c>
      <c r="Q583" s="17" t="inlineStr"/>
      <c r="R583" s="13" t="inlineStr">
        <is>
          <t>нет</t>
        </is>
      </c>
      <c r="S583" s="9" t="inlineStr"/>
      <c r="T583" s="9" t="inlineStr"/>
    </row>
    <row r="584">
      <c r="A584" s="9" t="n">
        <v>583</v>
      </c>
      <c r="B584" s="9" t="inlineStr">
        <is>
          <t>Грамматика</t>
        </is>
      </c>
      <c r="C584" s="9" t="inlineStr">
        <is>
          <t>Предложение и вопросы</t>
        </is>
      </c>
      <c r="D584" s="10" t="inlineStr">
        <is>
          <t>Inversion</t>
        </is>
      </c>
      <c r="E584" s="9" t="inlineStr">
        <is>
          <t>Inversion: после So/Such в начале (результат)</t>
        </is>
      </c>
      <c r="F584" s="9" t="inlineStr">
        <is>
          <t>10+</t>
        </is>
      </c>
      <c r="G584" s="9" t="inlineStr"/>
      <c r="H584" s="9" t="inlineStr"/>
      <c r="I584" s="9" t="inlineStr"/>
      <c r="J584" s="9" t="inlineStr"/>
      <c r="K584" s="9" t="inlineStr"/>
      <c r="L584" s="9" t="inlineStr"/>
      <c r="M584" s="9" t="inlineStr"/>
      <c r="N584" s="9" t="inlineStr"/>
      <c r="O584" s="15" t="inlineStr">
        <is>
          <t>М8 (8c) · новое</t>
        </is>
      </c>
      <c r="P584" s="16" t="inlineStr">
        <is>
          <t>—</t>
        </is>
      </c>
      <c r="Q584" s="17" t="inlineStr"/>
      <c r="R584" s="13" t="inlineStr">
        <is>
          <t>нет</t>
        </is>
      </c>
      <c r="S584" s="9" t="inlineStr"/>
      <c r="T584" s="9" t="inlineStr"/>
    </row>
    <row r="585">
      <c r="A585" s="9" t="n">
        <v>584</v>
      </c>
      <c r="B585" s="9" t="inlineStr">
        <is>
          <t>Грамматика</t>
        </is>
      </c>
      <c r="C585" s="9" t="inlineStr">
        <is>
          <t>Предложение и вопросы</t>
        </is>
      </c>
      <c r="D585" s="10" t="inlineStr">
        <is>
          <t>Inversion</t>
        </is>
      </c>
      <c r="E585" s="9" t="inlineStr">
        <is>
          <t>Inversion: согласие после as, so, neither/nor</t>
        </is>
      </c>
      <c r="F585" s="9" t="inlineStr">
        <is>
          <t>10+</t>
        </is>
      </c>
      <c r="G585" s="9" t="inlineStr"/>
      <c r="H585" s="9" t="inlineStr"/>
      <c r="I585" s="9" t="inlineStr"/>
      <c r="J585" s="9" t="inlineStr"/>
      <c r="K585" s="9" t="inlineStr"/>
      <c r="L585" s="9" t="inlineStr"/>
      <c r="M585" s="9" t="inlineStr"/>
      <c r="N585" s="9" t="inlineStr"/>
      <c r="O585" s="15" t="inlineStr">
        <is>
          <t>М8 (8c) · новое</t>
        </is>
      </c>
      <c r="P585" s="16" t="inlineStr">
        <is>
          <t>—</t>
        </is>
      </c>
      <c r="Q585" s="17" t="inlineStr"/>
      <c r="R585" s="13" t="inlineStr">
        <is>
          <t>нет</t>
        </is>
      </c>
      <c r="S585" s="9" t="inlineStr"/>
      <c r="T585" s="9" t="inlineStr"/>
    </row>
    <row r="586">
      <c r="A586" s="9" t="n">
        <v>585</v>
      </c>
      <c r="B586" s="9" t="inlineStr">
        <is>
          <t>Грамматика</t>
        </is>
      </c>
      <c r="C586" s="9" t="inlineStr">
        <is>
          <t>Предложение и вопросы</t>
        </is>
      </c>
      <c r="D586" s="10" t="inlineStr">
        <is>
          <t>Inversion</t>
        </is>
      </c>
      <c r="E586" s="9" t="inlineStr">
        <is>
          <t>Inversion: смысловой глагол после Here/There (There goes the bus — НО There it goes)</t>
        </is>
      </c>
      <c r="F586" s="9" t="inlineStr">
        <is>
          <t>10+</t>
        </is>
      </c>
      <c r="G586" s="9" t="inlineStr"/>
      <c r="H586" s="9" t="inlineStr"/>
      <c r="I586" s="9" t="inlineStr"/>
      <c r="J586" s="9" t="inlineStr"/>
      <c r="K586" s="9" t="inlineStr"/>
      <c r="L586" s="9" t="inlineStr"/>
      <c r="M586" s="9" t="inlineStr"/>
      <c r="N586" s="9" t="inlineStr"/>
      <c r="O586" s="15" t="inlineStr">
        <is>
          <t>М8 (8c) · новое</t>
        </is>
      </c>
      <c r="P586" s="16" t="inlineStr">
        <is>
          <t>—</t>
        </is>
      </c>
      <c r="Q586" s="17" t="inlineStr"/>
      <c r="R586" s="13" t="inlineStr">
        <is>
          <t>нет</t>
        </is>
      </c>
      <c r="S586" s="9" t="inlineStr"/>
      <c r="T586" s="9" t="inlineStr"/>
    </row>
    <row r="587">
      <c r="A587" s="9" t="n">
        <v>586</v>
      </c>
      <c r="B587" s="9" t="inlineStr">
        <is>
          <t>Грамматика</t>
        </is>
      </c>
      <c r="C587" s="9" t="inlineStr">
        <is>
          <t>Предложение и вопросы</t>
        </is>
      </c>
      <c r="D587" s="10" t="inlineStr">
        <is>
          <t>Inversion</t>
        </is>
      </c>
      <c r="E587" s="9" t="inlineStr">
        <is>
          <t>Inversion: в прямой речи после цитаты (said Bill — НО he said)</t>
        </is>
      </c>
      <c r="F587" s="9" t="inlineStr">
        <is>
          <t>10+</t>
        </is>
      </c>
      <c r="G587" s="9" t="inlineStr"/>
      <c r="H587" s="9" t="inlineStr"/>
      <c r="I587" s="9" t="inlineStr"/>
      <c r="J587" s="9" t="inlineStr"/>
      <c r="K587" s="9" t="inlineStr"/>
      <c r="L587" s="9" t="inlineStr"/>
      <c r="M587" s="9" t="inlineStr"/>
      <c r="N587" s="9" t="inlineStr"/>
      <c r="O587" s="15" t="inlineStr">
        <is>
          <t>М8 (8c) · новое</t>
        </is>
      </c>
      <c r="P587" s="16" t="inlineStr">
        <is>
          <t>—</t>
        </is>
      </c>
      <c r="Q587" s="17" t="inlineStr"/>
      <c r="R587" s="13" t="inlineStr">
        <is>
          <t>нет</t>
        </is>
      </c>
      <c r="S587" s="9" t="inlineStr"/>
      <c r="T587" s="9" t="inlineStr"/>
    </row>
    <row r="588">
      <c r="A588" s="4" t="n">
        <v>587</v>
      </c>
      <c r="B588" s="4" t="inlineStr">
        <is>
          <t>Грамматика</t>
        </is>
      </c>
      <c r="C588" s="4" t="inlineStr">
        <is>
          <t>Предложение и вопросы</t>
        </is>
      </c>
      <c r="D588" s="5" t="inlineStr">
        <is>
          <t>Clauses of reason</t>
        </is>
      </c>
      <c r="E588" s="4" t="inlineStr">
        <is>
          <t>Clauses of reason: as / because / for / on the grounds that</t>
        </is>
      </c>
      <c r="F588" s="4" t="inlineStr">
        <is>
          <t>10+</t>
        </is>
      </c>
      <c r="G588" s="4" t="inlineStr"/>
      <c r="H588" s="4" t="inlineStr"/>
      <c r="I588" s="4" t="inlineStr"/>
      <c r="J588" s="4" t="inlineStr"/>
      <c r="K588" s="4" t="inlineStr"/>
      <c r="L588" s="4" t="inlineStr"/>
      <c r="M588" s="4" t="inlineStr"/>
      <c r="N588" s="4" t="inlineStr"/>
      <c r="O588" s="18" t="inlineStr">
        <is>
          <t>М2 (2c) · новое</t>
        </is>
      </c>
      <c r="P588" s="19" t="inlineStr">
        <is>
          <t>—</t>
        </is>
      </c>
      <c r="Q588" s="20" t="inlineStr"/>
      <c r="R588" s="8" t="inlineStr">
        <is>
          <t>нет</t>
        </is>
      </c>
      <c r="S588" s="4" t="inlineStr"/>
      <c r="T588" s="4" t="inlineStr"/>
    </row>
    <row r="589">
      <c r="A589" s="9" t="n">
        <v>588</v>
      </c>
      <c r="B589" s="9" t="inlineStr">
        <is>
          <t>Грамматика</t>
        </is>
      </c>
      <c r="C589" s="9" t="inlineStr">
        <is>
          <t>Предложение и вопросы</t>
        </is>
      </c>
      <c r="D589" s="10" t="inlineStr">
        <is>
          <t>Clauses of reason</t>
        </is>
      </c>
      <c r="E589" s="9" t="inlineStr">
        <is>
          <t>Clauses of reason: the reason for / the reason (why)</t>
        </is>
      </c>
      <c r="F589" s="9" t="inlineStr">
        <is>
          <t>10+</t>
        </is>
      </c>
      <c r="G589" s="9" t="inlineStr"/>
      <c r="H589" s="9" t="inlineStr"/>
      <c r="I589" s="9" t="inlineStr"/>
      <c r="J589" s="9" t="inlineStr"/>
      <c r="K589" s="9" t="inlineStr"/>
      <c r="L589" s="9" t="inlineStr"/>
      <c r="M589" s="9" t="inlineStr"/>
      <c r="N589" s="9" t="inlineStr"/>
      <c r="O589" s="15" t="inlineStr">
        <is>
          <t>М2 (2c) · новое</t>
        </is>
      </c>
      <c r="P589" s="16" t="inlineStr">
        <is>
          <t>—</t>
        </is>
      </c>
      <c r="Q589" s="17" t="inlineStr"/>
      <c r="R589" s="13" t="inlineStr">
        <is>
          <t>нет</t>
        </is>
      </c>
      <c r="S589" s="9" t="inlineStr"/>
      <c r="T589" s="9" t="inlineStr"/>
    </row>
    <row r="590">
      <c r="A590" s="9" t="n">
        <v>589</v>
      </c>
      <c r="B590" s="9" t="inlineStr">
        <is>
          <t>Грамматика</t>
        </is>
      </c>
      <c r="C590" s="9" t="inlineStr">
        <is>
          <t>Предложение и вопросы</t>
        </is>
      </c>
      <c r="D590" s="10" t="inlineStr">
        <is>
          <t>Clauses of reason</t>
        </is>
      </c>
      <c r="E590" s="9" t="inlineStr">
        <is>
          <t>Clauses of reason: because of / due to (+ the fact that)</t>
        </is>
      </c>
      <c r="F590" s="9" t="inlineStr">
        <is>
          <t>10+</t>
        </is>
      </c>
      <c r="G590" s="9" t="inlineStr"/>
      <c r="H590" s="9" t="inlineStr"/>
      <c r="I590" s="9" t="inlineStr"/>
      <c r="J590" s="9" t="inlineStr"/>
      <c r="K590" s="9" t="inlineStr"/>
      <c r="L590" s="9" t="inlineStr"/>
      <c r="M590" s="9" t="inlineStr"/>
      <c r="N590" s="9" t="inlineStr"/>
      <c r="O590" s="15" t="inlineStr">
        <is>
          <t>М2 (2c) · новое</t>
        </is>
      </c>
      <c r="P590" s="16" t="inlineStr">
        <is>
          <t>—</t>
        </is>
      </c>
      <c r="Q590" s="17" t="inlineStr"/>
      <c r="R590" s="13" t="inlineStr">
        <is>
          <t>нет</t>
        </is>
      </c>
      <c r="S590" s="9" t="inlineStr"/>
      <c r="T590" s="9" t="inlineStr"/>
    </row>
    <row r="591">
      <c r="A591" s="4" t="n">
        <v>590</v>
      </c>
      <c r="B591" s="4" t="inlineStr">
        <is>
          <t>Грамматика</t>
        </is>
      </c>
      <c r="C591" s="4" t="inlineStr">
        <is>
          <t>Предложение и вопросы</t>
        </is>
      </c>
      <c r="D591" s="5" t="inlineStr">
        <is>
          <t>Prepositions in relative clauses</t>
        </is>
      </c>
      <c r="E591" s="4" t="inlineStr">
        <is>
          <t>Prepositions in relative clauses: предлог + whom/which (that невозможен)</t>
        </is>
      </c>
      <c r="F591" s="4" t="inlineStr">
        <is>
          <t>10+</t>
        </is>
      </c>
      <c r="G591" s="4" t="inlineStr"/>
      <c r="H591" s="4" t="inlineStr"/>
      <c r="I591" s="4" t="inlineStr"/>
      <c r="J591" s="4" t="inlineStr"/>
      <c r="K591" s="4" t="inlineStr"/>
      <c r="L591" s="4" t="inlineStr"/>
      <c r="M591" s="4" t="inlineStr"/>
      <c r="N591" s="4" t="inlineStr"/>
      <c r="O591" s="7" t="inlineStr">
        <is>
          <t>М2 (2c) · повт.</t>
        </is>
      </c>
      <c r="P591" s="19" t="inlineStr">
        <is>
          <t>—</t>
        </is>
      </c>
      <c r="Q591" s="20" t="inlineStr"/>
      <c r="R591" s="8" t="inlineStr">
        <is>
          <t>нет</t>
        </is>
      </c>
      <c r="S591" s="4" t="inlineStr"/>
      <c r="T591" s="4" t="inlineStr"/>
    </row>
    <row r="592">
      <c r="A592" s="4" t="n">
        <v>591</v>
      </c>
      <c r="B592" s="4" t="inlineStr">
        <is>
          <t>Грамматика</t>
        </is>
      </c>
      <c r="C592" s="4" t="inlineStr">
        <is>
          <t>Предложение и вопросы</t>
        </is>
      </c>
      <c r="D592" s="5" t="inlineStr">
        <is>
          <t>Relative adverbs</t>
        </is>
      </c>
      <c r="E592" s="4" t="inlineStr">
        <is>
          <t>Relative adverbs: when/that — время</t>
        </is>
      </c>
      <c r="F592" s="4" t="inlineStr">
        <is>
          <t>10+</t>
        </is>
      </c>
      <c r="G592" s="4" t="inlineStr"/>
      <c r="H592" s="4" t="inlineStr"/>
      <c r="I592" s="4" t="inlineStr"/>
      <c r="J592" s="4" t="inlineStr"/>
      <c r="K592" s="4" t="inlineStr"/>
      <c r="L592" s="4" t="inlineStr"/>
      <c r="M592" s="4" t="inlineStr"/>
      <c r="N592" s="4" t="inlineStr"/>
      <c r="O592" s="7" t="inlineStr">
        <is>
          <t>М2 (2c) · повт.</t>
        </is>
      </c>
      <c r="P592" s="19" t="inlineStr">
        <is>
          <t>—</t>
        </is>
      </c>
      <c r="Q592" s="20" t="inlineStr"/>
      <c r="R592" s="8" t="inlineStr">
        <is>
          <t>нет</t>
        </is>
      </c>
      <c r="S592" s="4" t="inlineStr"/>
      <c r="T592" s="4" t="inlineStr"/>
    </row>
    <row r="593">
      <c r="A593" s="9" t="n">
        <v>592</v>
      </c>
      <c r="B593" s="9" t="inlineStr">
        <is>
          <t>Грамматика</t>
        </is>
      </c>
      <c r="C593" s="9" t="inlineStr">
        <is>
          <t>Предложение и вопросы</t>
        </is>
      </c>
      <c r="D593" s="10" t="inlineStr">
        <is>
          <t>Relative adverbs</t>
        </is>
      </c>
      <c r="E593" s="9" t="inlineStr">
        <is>
          <t>Relative adverbs: where — место</t>
        </is>
      </c>
      <c r="F593" s="9" t="inlineStr">
        <is>
          <t>10+</t>
        </is>
      </c>
      <c r="G593" s="9" t="inlineStr"/>
      <c r="H593" s="9" t="inlineStr"/>
      <c r="I593" s="9" t="inlineStr"/>
      <c r="J593" s="9" t="inlineStr"/>
      <c r="K593" s="9" t="inlineStr"/>
      <c r="L593" s="9" t="inlineStr"/>
      <c r="M593" s="9" t="inlineStr"/>
      <c r="N593" s="9" t="inlineStr"/>
      <c r="O593" s="12" t="inlineStr">
        <is>
          <t>М2 (2c) · повт.</t>
        </is>
      </c>
      <c r="P593" s="16" t="inlineStr">
        <is>
          <t>—</t>
        </is>
      </c>
      <c r="Q593" s="17" t="inlineStr"/>
      <c r="R593" s="13" t="inlineStr">
        <is>
          <t>нет</t>
        </is>
      </c>
      <c r="S593" s="9" t="inlineStr"/>
      <c r="T593" s="9" t="inlineStr"/>
    </row>
    <row r="594">
      <c r="A594" s="9" t="n">
        <v>593</v>
      </c>
      <c r="B594" s="9" t="inlineStr">
        <is>
          <t>Грамматика</t>
        </is>
      </c>
      <c r="C594" s="9" t="inlineStr">
        <is>
          <t>Предложение и вопросы</t>
        </is>
      </c>
      <c r="D594" s="10" t="inlineStr">
        <is>
          <t>Relative adverbs</t>
        </is>
      </c>
      <c r="E594" s="9" t="inlineStr">
        <is>
          <t>Relative adverbs: why — причина (the reason why)</t>
        </is>
      </c>
      <c r="F594" s="9" t="inlineStr">
        <is>
          <t>10+</t>
        </is>
      </c>
      <c r="G594" s="9" t="inlineStr"/>
      <c r="H594" s="9" t="inlineStr"/>
      <c r="I594" s="9" t="inlineStr"/>
      <c r="J594" s="9" t="inlineStr"/>
      <c r="K594" s="9" t="inlineStr"/>
      <c r="L594" s="9" t="inlineStr"/>
      <c r="M594" s="9" t="inlineStr"/>
      <c r="N594" s="9" t="inlineStr"/>
      <c r="O594" s="12" t="inlineStr">
        <is>
          <t>М2 (2c) · повт.</t>
        </is>
      </c>
      <c r="P594" s="16" t="inlineStr">
        <is>
          <t>—</t>
        </is>
      </c>
      <c r="Q594" s="17" t="inlineStr"/>
      <c r="R594" s="13" t="inlineStr">
        <is>
          <t>нет</t>
        </is>
      </c>
      <c r="S594" s="9" t="inlineStr"/>
      <c r="T594" s="9" t="inlineStr"/>
    </row>
    <row r="595">
      <c r="A595" s="4" t="n">
        <v>594</v>
      </c>
      <c r="B595" s="4" t="inlineStr">
        <is>
          <t>Грамматика</t>
        </is>
      </c>
      <c r="C595" s="4" t="inlineStr">
        <is>
          <t>Предложение и вопросы</t>
        </is>
      </c>
      <c r="D595" s="5" t="inlineStr">
        <is>
          <t>So / Neither / Nor (agreement)</t>
        </is>
      </c>
      <c r="E595" s="4" t="inlineStr">
        <is>
          <t>So / Neither / Nor: So + aux + подлежащее — к утверждению</t>
        </is>
      </c>
      <c r="F595" s="4" t="inlineStr">
        <is>
          <t>10+</t>
        </is>
      </c>
      <c r="G595" s="4" t="inlineStr"/>
      <c r="H595" s="4" t="inlineStr"/>
      <c r="I595" s="4" t="inlineStr"/>
      <c r="J595" s="4" t="inlineStr"/>
      <c r="K595" s="4" t="inlineStr"/>
      <c r="L595" s="4" t="inlineStr"/>
      <c r="M595" s="4" t="inlineStr"/>
      <c r="N595" s="4" t="inlineStr"/>
      <c r="O595" s="18" t="inlineStr">
        <is>
          <t>М8 (8c) · новое</t>
        </is>
      </c>
      <c r="P595" s="19" t="inlineStr">
        <is>
          <t>—</t>
        </is>
      </c>
      <c r="Q595" s="20" t="inlineStr"/>
      <c r="R595" s="8" t="inlineStr">
        <is>
          <t>нет</t>
        </is>
      </c>
      <c r="S595" s="4" t="inlineStr"/>
      <c r="T595" s="4" t="inlineStr"/>
    </row>
    <row r="596">
      <c r="A596" s="9" t="n">
        <v>595</v>
      </c>
      <c r="B596" s="9" t="inlineStr">
        <is>
          <t>Грамматика</t>
        </is>
      </c>
      <c r="C596" s="9" t="inlineStr">
        <is>
          <t>Предложение и вопросы</t>
        </is>
      </c>
      <c r="D596" s="10" t="inlineStr">
        <is>
          <t>So / Neither / Nor (agreement)</t>
        </is>
      </c>
      <c r="E596" s="9" t="inlineStr">
        <is>
          <t>So / Neither / Nor: Neither/Nor + aux + подлежащее — к отрицанию</t>
        </is>
      </c>
      <c r="F596" s="9" t="inlineStr">
        <is>
          <t>10+</t>
        </is>
      </c>
      <c r="G596" s="9" t="inlineStr"/>
      <c r="H596" s="9" t="inlineStr"/>
      <c r="I596" s="9" t="inlineStr"/>
      <c r="J596" s="9" t="inlineStr"/>
      <c r="K596" s="9" t="inlineStr"/>
      <c r="L596" s="9" t="inlineStr"/>
      <c r="M596" s="9" t="inlineStr"/>
      <c r="N596" s="9" t="inlineStr"/>
      <c r="O596" s="15" t="inlineStr">
        <is>
          <t>М8 (8c) · новое</t>
        </is>
      </c>
      <c r="P596" s="16" t="inlineStr">
        <is>
          <t>—</t>
        </is>
      </c>
      <c r="Q596" s="17" t="inlineStr"/>
      <c r="R596" s="13" t="inlineStr">
        <is>
          <t>нет</t>
        </is>
      </c>
      <c r="S596" s="9" t="inlineStr"/>
      <c r="T596" s="9" t="inlineStr"/>
    </row>
    <row r="597">
      <c r="A597" s="4" t="n">
        <v>596</v>
      </c>
      <c r="B597" s="4" t="inlineStr">
        <is>
          <t>Use of English</t>
        </is>
      </c>
      <c r="C597" s="4" t="inlineStr">
        <is>
          <t>Фразовые глаголы</t>
        </is>
      </c>
      <c r="D597" s="5" t="inlineStr">
        <is>
          <t>Phrasal verbs</t>
        </is>
      </c>
      <c r="E597" s="4" t="inlineStr">
        <is>
          <t>Phrasal verbs: bring</t>
        </is>
      </c>
      <c r="F597" s="4" t="inlineStr">
        <is>
          <t>10+</t>
        </is>
      </c>
      <c r="G597" s="4" t="inlineStr"/>
      <c r="H597" s="4" t="inlineStr"/>
      <c r="I597" s="4" t="inlineStr"/>
      <c r="J597" s="4" t="inlineStr"/>
      <c r="K597" s="4" t="inlineStr"/>
      <c r="L597" s="18" t="inlineStr">
        <is>
          <t>М3 (3f) · новое</t>
        </is>
      </c>
      <c r="M597" s="4" t="inlineStr"/>
      <c r="N597" s="7" t="inlineStr">
        <is>
          <t>М8 (8c) · повт.</t>
        </is>
      </c>
      <c r="O597" s="4" t="inlineStr"/>
      <c r="P597" s="19" t="inlineStr">
        <is>
          <t>—</t>
        </is>
      </c>
      <c r="Q597" s="20" t="inlineStr"/>
      <c r="R597" s="8" t="inlineStr">
        <is>
          <t>нет</t>
        </is>
      </c>
      <c r="S597" s="4" t="inlineStr"/>
      <c r="T597" s="4" t="inlineStr"/>
    </row>
    <row r="598">
      <c r="A598" s="9" t="n">
        <v>597</v>
      </c>
      <c r="B598" s="9" t="inlineStr">
        <is>
          <t>Use of English</t>
        </is>
      </c>
      <c r="C598" s="9" t="inlineStr">
        <is>
          <t>Фразовые глаголы</t>
        </is>
      </c>
      <c r="D598" s="10" t="inlineStr">
        <is>
          <t>Phrasal verbs</t>
        </is>
      </c>
      <c r="E598" s="9" t="inlineStr">
        <is>
          <t>Phrasal verbs: call</t>
        </is>
      </c>
      <c r="F598" s="9" t="inlineStr">
        <is>
          <t>10+</t>
        </is>
      </c>
      <c r="G598" s="9" t="inlineStr"/>
      <c r="H598" s="9" t="inlineStr"/>
      <c r="I598" s="9" t="inlineStr"/>
      <c r="J598" s="9" t="inlineStr"/>
      <c r="K598" s="9" t="inlineStr"/>
      <c r="L598" s="15" t="inlineStr">
        <is>
          <t>М5 (5f) · новое</t>
        </is>
      </c>
      <c r="M598" s="9" t="inlineStr"/>
      <c r="N598" s="9" t="inlineStr"/>
      <c r="O598" s="9" t="inlineStr"/>
      <c r="P598" s="16" t="inlineStr">
        <is>
          <t>—</t>
        </is>
      </c>
      <c r="Q598" s="17" t="inlineStr"/>
      <c r="R598" s="13" t="inlineStr">
        <is>
          <t>нет</t>
        </is>
      </c>
      <c r="S598" s="9" t="inlineStr"/>
      <c r="T598" s="9" t="inlineStr"/>
    </row>
    <row r="599">
      <c r="A599" s="9" t="n">
        <v>598</v>
      </c>
      <c r="B599" s="9" t="inlineStr">
        <is>
          <t>Use of English</t>
        </is>
      </c>
      <c r="C599" s="9" t="inlineStr">
        <is>
          <t>Фразовые глаголы</t>
        </is>
      </c>
      <c r="D599" s="10" t="inlineStr">
        <is>
          <t>Phrasal verbs</t>
        </is>
      </c>
      <c r="E599" s="9" t="inlineStr">
        <is>
          <t>Phrasal verbs: get</t>
        </is>
      </c>
      <c r="F599" s="9" t="inlineStr">
        <is>
          <t>10+</t>
        </is>
      </c>
      <c r="G599" s="9" t="inlineStr"/>
      <c r="H599" s="9" t="inlineStr"/>
      <c r="I599" s="9" t="inlineStr"/>
      <c r="J599" s="9" t="inlineStr"/>
      <c r="K599" s="9" t="inlineStr"/>
      <c r="L599" s="15" t="inlineStr">
        <is>
          <t>М1 (1f) · новое</t>
        </is>
      </c>
      <c r="M599" s="9" t="inlineStr"/>
      <c r="N599" s="12" t="inlineStr">
        <is>
          <t>М5 (5c) · повт.</t>
        </is>
      </c>
      <c r="O599" s="9" t="inlineStr"/>
      <c r="P599" s="16" t="inlineStr">
        <is>
          <t>—</t>
        </is>
      </c>
      <c r="Q599" s="17" t="inlineStr"/>
      <c r="R599" s="13" t="inlineStr">
        <is>
          <t>нет</t>
        </is>
      </c>
      <c r="S599" s="9" t="inlineStr"/>
      <c r="T599" s="9" t="inlineStr"/>
    </row>
    <row r="600">
      <c r="A600" s="9" t="n">
        <v>599</v>
      </c>
      <c r="B600" s="9" t="inlineStr">
        <is>
          <t>Use of English</t>
        </is>
      </c>
      <c r="C600" s="9" t="inlineStr">
        <is>
          <t>Фразовые глаголы</t>
        </is>
      </c>
      <c r="D600" s="10" t="inlineStr">
        <is>
          <t>Phrasal verbs</t>
        </is>
      </c>
      <c r="E600" s="9" t="inlineStr">
        <is>
          <t>Phrasal verbs: give</t>
        </is>
      </c>
      <c r="F600" s="9" t="inlineStr">
        <is>
          <t>10+</t>
        </is>
      </c>
      <c r="G600" s="9" t="inlineStr"/>
      <c r="H600" s="9" t="inlineStr"/>
      <c r="I600" s="9" t="inlineStr"/>
      <c r="J600" s="9" t="inlineStr"/>
      <c r="K600" s="9" t="inlineStr"/>
      <c r="L600" s="15" t="inlineStr">
        <is>
          <t>М7 (7f) · новое</t>
        </is>
      </c>
      <c r="M600" s="9" t="inlineStr"/>
      <c r="N600" s="12" t="inlineStr">
        <is>
          <t>М6 (6c) · повт.</t>
        </is>
      </c>
      <c r="O600" s="9" t="inlineStr"/>
      <c r="P600" s="16" t="inlineStr">
        <is>
          <t>—</t>
        </is>
      </c>
      <c r="Q600" s="17" t="inlineStr"/>
      <c r="R600" s="13" t="inlineStr">
        <is>
          <t>нет</t>
        </is>
      </c>
      <c r="S600" s="9" t="inlineStr"/>
      <c r="T600" s="9" t="inlineStr"/>
    </row>
    <row r="601">
      <c r="A601" s="9" t="n">
        <v>600</v>
      </c>
      <c r="B601" s="9" t="inlineStr">
        <is>
          <t>Use of English</t>
        </is>
      </c>
      <c r="C601" s="9" t="inlineStr">
        <is>
          <t>Фразовые глаголы</t>
        </is>
      </c>
      <c r="D601" s="10" t="inlineStr">
        <is>
          <t>Phrasal verbs</t>
        </is>
      </c>
      <c r="E601" s="9" t="inlineStr">
        <is>
          <t>Phrasal verbs: go</t>
        </is>
      </c>
      <c r="F601" s="9" t="inlineStr">
        <is>
          <t>10+</t>
        </is>
      </c>
      <c r="G601" s="9" t="inlineStr"/>
      <c r="H601" s="9" t="inlineStr"/>
      <c r="I601" s="9" t="inlineStr"/>
      <c r="J601" s="9" t="inlineStr"/>
      <c r="K601" s="9" t="inlineStr"/>
      <c r="L601" s="15" t="inlineStr">
        <is>
          <t>М2 (2f) · новое</t>
        </is>
      </c>
      <c r="M601" s="9" t="inlineStr"/>
      <c r="N601" s="9" t="inlineStr"/>
      <c r="O601" s="12" t="inlineStr">
        <is>
          <t>М4 (4c) · повт.</t>
        </is>
      </c>
      <c r="P601" s="16" t="inlineStr">
        <is>
          <t>—</t>
        </is>
      </c>
      <c r="Q601" s="17" t="inlineStr"/>
      <c r="R601" s="13" t="inlineStr">
        <is>
          <t>нет</t>
        </is>
      </c>
      <c r="S601" s="9" t="inlineStr"/>
      <c r="T601" s="9" t="inlineStr"/>
    </row>
    <row r="602">
      <c r="A602" s="9" t="n">
        <v>601</v>
      </c>
      <c r="B602" s="9" t="inlineStr">
        <is>
          <t>Use of English</t>
        </is>
      </c>
      <c r="C602" s="9" t="inlineStr">
        <is>
          <t>Фразовые глаголы</t>
        </is>
      </c>
      <c r="D602" s="10" t="inlineStr">
        <is>
          <t>Phrasal verbs</t>
        </is>
      </c>
      <c r="E602" s="9" t="inlineStr">
        <is>
          <t>Phrasal verbs: put</t>
        </is>
      </c>
      <c r="F602" s="9" t="inlineStr">
        <is>
          <t>10+</t>
        </is>
      </c>
      <c r="G602" s="9" t="inlineStr"/>
      <c r="H602" s="9" t="inlineStr"/>
      <c r="I602" s="9" t="inlineStr"/>
      <c r="J602" s="9" t="inlineStr"/>
      <c r="K602" s="9" t="inlineStr"/>
      <c r="L602" s="15" t="inlineStr">
        <is>
          <t>М4 (4f) · новое</t>
        </is>
      </c>
      <c r="M602" s="9" t="inlineStr"/>
      <c r="N602" s="9" t="inlineStr"/>
      <c r="O602" s="12" t="inlineStr">
        <is>
          <t>М2 (2c) · повт.</t>
        </is>
      </c>
      <c r="P602" s="16" t="inlineStr">
        <is>
          <t>—</t>
        </is>
      </c>
      <c r="Q602" s="17" t="inlineStr"/>
      <c r="R602" s="13" t="inlineStr">
        <is>
          <t>нет</t>
        </is>
      </c>
      <c r="S602" s="9" t="inlineStr"/>
      <c r="T602" s="9" t="inlineStr"/>
    </row>
    <row r="603">
      <c r="A603" s="9" t="n">
        <v>602</v>
      </c>
      <c r="B603" s="9" t="inlineStr">
        <is>
          <t>Use of English</t>
        </is>
      </c>
      <c r="C603" s="9" t="inlineStr">
        <is>
          <t>Фразовые глаголы</t>
        </is>
      </c>
      <c r="D603" s="10" t="inlineStr">
        <is>
          <t>Phrasal verbs</t>
        </is>
      </c>
      <c r="E603" s="9" t="inlineStr">
        <is>
          <t>Phrasal verbs: set</t>
        </is>
      </c>
      <c r="F603" s="9" t="inlineStr">
        <is>
          <t>10+</t>
        </is>
      </c>
      <c r="G603" s="9" t="inlineStr"/>
      <c r="H603" s="9" t="inlineStr"/>
      <c r="I603" s="9" t="inlineStr"/>
      <c r="J603" s="9" t="inlineStr"/>
      <c r="K603" s="9" t="inlineStr"/>
      <c r="L603" s="15" t="inlineStr">
        <is>
          <t>М6 (6f) · новое</t>
        </is>
      </c>
      <c r="M603" s="9" t="inlineStr"/>
      <c r="N603" s="9" t="inlineStr"/>
      <c r="O603" s="9" t="inlineStr"/>
      <c r="P603" s="16" t="inlineStr">
        <is>
          <t>—</t>
        </is>
      </c>
      <c r="Q603" s="17" t="inlineStr"/>
      <c r="R603" s="13" t="inlineStr">
        <is>
          <t>нет</t>
        </is>
      </c>
      <c r="S603" s="9" t="inlineStr"/>
      <c r="T603" s="9" t="inlineStr"/>
    </row>
    <row r="604">
      <c r="A604" s="9" t="n">
        <v>603</v>
      </c>
      <c r="B604" s="9" t="inlineStr">
        <is>
          <t>Use of English</t>
        </is>
      </c>
      <c r="C604" s="9" t="inlineStr">
        <is>
          <t>Фразовые глаголы</t>
        </is>
      </c>
      <c r="D604" s="10" t="inlineStr">
        <is>
          <t>Phrasal verbs</t>
        </is>
      </c>
      <c r="E604" s="9" t="inlineStr">
        <is>
          <t>Phrasal verbs: take</t>
        </is>
      </c>
      <c r="F604" s="9" t="inlineStr">
        <is>
          <t>10+</t>
        </is>
      </c>
      <c r="G604" s="9" t="inlineStr"/>
      <c r="H604" s="9" t="inlineStr"/>
      <c r="I604" s="9" t="inlineStr"/>
      <c r="J604" s="9" t="inlineStr"/>
      <c r="K604" s="9" t="inlineStr"/>
      <c r="L604" s="15" t="inlineStr">
        <is>
          <t>М8 (8f) · новое</t>
        </is>
      </c>
      <c r="M604" s="9" t="inlineStr"/>
      <c r="N604" s="12" t="inlineStr">
        <is>
          <t>М2 (2c) · повт.</t>
        </is>
      </c>
      <c r="O604" s="9" t="inlineStr"/>
      <c r="P604" s="16" t="inlineStr">
        <is>
          <t>—</t>
        </is>
      </c>
      <c r="Q604" s="17" t="inlineStr"/>
      <c r="R604" s="13" t="inlineStr">
        <is>
          <t>нет</t>
        </is>
      </c>
      <c r="S604" s="9" t="inlineStr"/>
      <c r="T604" s="9" t="inlineStr"/>
    </row>
    <row r="605">
      <c r="A605" s="9" t="n">
        <v>604</v>
      </c>
      <c r="B605" s="9" t="inlineStr">
        <is>
          <t>Use of English</t>
        </is>
      </c>
      <c r="C605" s="9" t="inlineStr">
        <is>
          <t>Фразовые глаголы</t>
        </is>
      </c>
      <c r="D605" s="10" t="inlineStr">
        <is>
          <t>Phrasal verbs</t>
        </is>
      </c>
      <c r="E605" s="9" t="inlineStr">
        <is>
          <t>Phrasal verbs: break</t>
        </is>
      </c>
      <c r="F605" s="9" t="inlineStr">
        <is>
          <t>10+</t>
        </is>
      </c>
      <c r="G605" s="9" t="inlineStr"/>
      <c r="H605" s="9" t="inlineStr"/>
      <c r="I605" s="9" t="inlineStr"/>
      <c r="J605" s="9" t="inlineStr"/>
      <c r="K605" s="9" t="inlineStr"/>
      <c r="L605" s="9" t="inlineStr"/>
      <c r="M605" s="15" t="inlineStr">
        <is>
          <t>М4 (4f) · новое</t>
        </is>
      </c>
      <c r="N605" s="9" t="inlineStr"/>
      <c r="O605" s="9" t="inlineStr"/>
      <c r="P605" s="16" t="inlineStr">
        <is>
          <t>—</t>
        </is>
      </c>
      <c r="Q605" s="17" t="inlineStr"/>
      <c r="R605" s="13" t="inlineStr">
        <is>
          <t>нет</t>
        </is>
      </c>
      <c r="S605" s="9" t="inlineStr"/>
      <c r="T605" s="9" t="inlineStr"/>
    </row>
    <row r="606">
      <c r="A606" s="9" t="n">
        <v>605</v>
      </c>
      <c r="B606" s="9" t="inlineStr">
        <is>
          <t>Use of English</t>
        </is>
      </c>
      <c r="C606" s="9" t="inlineStr">
        <is>
          <t>Фразовые глаголы</t>
        </is>
      </c>
      <c r="D606" s="10" t="inlineStr">
        <is>
          <t>Phrasal verbs</t>
        </is>
      </c>
      <c r="E606" s="9" t="inlineStr">
        <is>
          <t>Phrasal verbs: carry</t>
        </is>
      </c>
      <c r="F606" s="9" t="inlineStr">
        <is>
          <t>10+</t>
        </is>
      </c>
      <c r="G606" s="9" t="inlineStr"/>
      <c r="H606" s="9" t="inlineStr"/>
      <c r="I606" s="9" t="inlineStr"/>
      <c r="J606" s="9" t="inlineStr"/>
      <c r="K606" s="9" t="inlineStr"/>
      <c r="L606" s="9" t="inlineStr"/>
      <c r="M606" s="15" t="inlineStr">
        <is>
          <t>М8 (8f) · новое</t>
        </is>
      </c>
      <c r="N606" s="9" t="inlineStr"/>
      <c r="O606" s="12" t="inlineStr">
        <is>
          <t>М7 (7c) · повт.</t>
        </is>
      </c>
      <c r="P606" s="16" t="inlineStr">
        <is>
          <t>—</t>
        </is>
      </c>
      <c r="Q606" s="17" t="inlineStr"/>
      <c r="R606" s="13" t="inlineStr">
        <is>
          <t>нет</t>
        </is>
      </c>
      <c r="S606" s="9" t="inlineStr"/>
      <c r="T606" s="9" t="inlineStr"/>
    </row>
    <row r="607">
      <c r="A607" s="9" t="n">
        <v>606</v>
      </c>
      <c r="B607" s="9" t="inlineStr">
        <is>
          <t>Use of English</t>
        </is>
      </c>
      <c r="C607" s="9" t="inlineStr">
        <is>
          <t>Фразовые глаголы</t>
        </is>
      </c>
      <c r="D607" s="10" t="inlineStr">
        <is>
          <t>Phrasal verbs</t>
        </is>
      </c>
      <c r="E607" s="9" t="inlineStr">
        <is>
          <t>Phrasal verbs: check</t>
        </is>
      </c>
      <c r="F607" s="9" t="inlineStr">
        <is>
          <t>10+</t>
        </is>
      </c>
      <c r="G607" s="9" t="inlineStr"/>
      <c r="H607" s="9" t="inlineStr"/>
      <c r="I607" s="9" t="inlineStr"/>
      <c r="J607" s="9" t="inlineStr"/>
      <c r="K607" s="9" t="inlineStr"/>
      <c r="L607" s="9" t="inlineStr"/>
      <c r="M607" s="15" t="inlineStr">
        <is>
          <t>М6 (6f) · новое</t>
        </is>
      </c>
      <c r="N607" s="9" t="inlineStr"/>
      <c r="O607" s="12" t="inlineStr">
        <is>
          <t>М8 (8c) · повт.</t>
        </is>
      </c>
      <c r="P607" s="16" t="inlineStr">
        <is>
          <t>—</t>
        </is>
      </c>
      <c r="Q607" s="17" t="inlineStr"/>
      <c r="R607" s="13" t="inlineStr">
        <is>
          <t>нет</t>
        </is>
      </c>
      <c r="S607" s="9" t="inlineStr"/>
      <c r="T607" s="9" t="inlineStr"/>
    </row>
    <row r="608">
      <c r="A608" s="9" t="n">
        <v>607</v>
      </c>
      <c r="B608" s="9" t="inlineStr">
        <is>
          <t>Use of English</t>
        </is>
      </c>
      <c r="C608" s="9" t="inlineStr">
        <is>
          <t>Фразовые глаголы</t>
        </is>
      </c>
      <c r="D608" s="10" t="inlineStr">
        <is>
          <t>Phrasal verbs</t>
        </is>
      </c>
      <c r="E608" s="9" t="inlineStr">
        <is>
          <t>Phrasal verbs: come</t>
        </is>
      </c>
      <c r="F608" s="9" t="inlineStr">
        <is>
          <t>10+</t>
        </is>
      </c>
      <c r="G608" s="9" t="inlineStr"/>
      <c r="H608" s="9" t="inlineStr"/>
      <c r="I608" s="9" t="inlineStr"/>
      <c r="J608" s="9" t="inlineStr"/>
      <c r="K608" s="9" t="inlineStr"/>
      <c r="L608" s="9" t="inlineStr"/>
      <c r="M608" s="15" t="inlineStr">
        <is>
          <t>М3 (3f) · новое</t>
        </is>
      </c>
      <c r="N608" s="9" t="inlineStr"/>
      <c r="O608" s="12" t="inlineStr">
        <is>
          <t>М1 (1c) · повт.</t>
        </is>
      </c>
      <c r="P608" s="16" t="inlineStr">
        <is>
          <t>—</t>
        </is>
      </c>
      <c r="Q608" s="17" t="inlineStr"/>
      <c r="R608" s="13" t="inlineStr">
        <is>
          <t>нет</t>
        </is>
      </c>
      <c r="S608" s="9" t="inlineStr"/>
      <c r="T608" s="9" t="inlineStr"/>
    </row>
    <row r="609">
      <c r="A609" s="9" t="n">
        <v>608</v>
      </c>
      <c r="B609" s="9" t="inlineStr">
        <is>
          <t>Use of English</t>
        </is>
      </c>
      <c r="C609" s="9" t="inlineStr">
        <is>
          <t>Фразовые глаголы</t>
        </is>
      </c>
      <c r="D609" s="10" t="inlineStr">
        <is>
          <t>Phrasal verbs</t>
        </is>
      </c>
      <c r="E609" s="9" t="inlineStr">
        <is>
          <t>Phrasal verbs: keep</t>
        </is>
      </c>
      <c r="F609" s="9" t="inlineStr">
        <is>
          <t>10+</t>
        </is>
      </c>
      <c r="G609" s="9" t="inlineStr"/>
      <c r="H609" s="9" t="inlineStr"/>
      <c r="I609" s="9" t="inlineStr"/>
      <c r="J609" s="9" t="inlineStr"/>
      <c r="K609" s="9" t="inlineStr"/>
      <c r="L609" s="9" t="inlineStr"/>
      <c r="M609" s="15" t="inlineStr">
        <is>
          <t>М7 (7f) · новое</t>
        </is>
      </c>
      <c r="N609" s="9" t="inlineStr"/>
      <c r="O609" s="12" t="inlineStr">
        <is>
          <t>М3 (3c) · повт.</t>
        </is>
      </c>
      <c r="P609" s="16" t="inlineStr">
        <is>
          <t>—</t>
        </is>
      </c>
      <c r="Q609" s="17" t="inlineStr"/>
      <c r="R609" s="13" t="inlineStr">
        <is>
          <t>нет</t>
        </is>
      </c>
      <c r="S609" s="9" t="inlineStr"/>
      <c r="T609" s="9" t="inlineStr"/>
    </row>
    <row r="610">
      <c r="A610" s="9" t="n">
        <v>609</v>
      </c>
      <c r="B610" s="9" t="inlineStr">
        <is>
          <t>Use of English</t>
        </is>
      </c>
      <c r="C610" s="9" t="inlineStr">
        <is>
          <t>Фразовые глаголы</t>
        </is>
      </c>
      <c r="D610" s="10" t="inlineStr">
        <is>
          <t>Phrasal verbs</t>
        </is>
      </c>
      <c r="E610" s="9" t="inlineStr">
        <is>
          <t>Phrasal verbs: make</t>
        </is>
      </c>
      <c r="F610" s="9" t="inlineStr">
        <is>
          <t>10+</t>
        </is>
      </c>
      <c r="G610" s="9" t="inlineStr"/>
      <c r="H610" s="9" t="inlineStr"/>
      <c r="I610" s="9" t="inlineStr"/>
      <c r="J610" s="9" t="inlineStr"/>
      <c r="K610" s="9" t="inlineStr"/>
      <c r="L610" s="9" t="inlineStr"/>
      <c r="M610" s="15" t="inlineStr">
        <is>
          <t>М2 (2f) · новое</t>
        </is>
      </c>
      <c r="N610" s="9" t="inlineStr"/>
      <c r="O610" s="9" t="inlineStr"/>
      <c r="P610" s="16" t="inlineStr">
        <is>
          <t>—</t>
        </is>
      </c>
      <c r="Q610" s="17" t="inlineStr"/>
      <c r="R610" s="13" t="inlineStr">
        <is>
          <t>нет</t>
        </is>
      </c>
      <c r="S610" s="9" t="inlineStr"/>
      <c r="T610" s="9" t="inlineStr"/>
    </row>
    <row r="611">
      <c r="A611" s="9" t="n">
        <v>610</v>
      </c>
      <c r="B611" s="9" t="inlineStr">
        <is>
          <t>Use of English</t>
        </is>
      </c>
      <c r="C611" s="9" t="inlineStr">
        <is>
          <t>Фразовые глаголы</t>
        </is>
      </c>
      <c r="D611" s="10" t="inlineStr">
        <is>
          <t>Phrasal verbs</t>
        </is>
      </c>
      <c r="E611" s="9" t="inlineStr">
        <is>
          <t>Phrasal verbs: run</t>
        </is>
      </c>
      <c r="F611" s="9" t="inlineStr">
        <is>
          <t>10+</t>
        </is>
      </c>
      <c r="G611" s="9" t="inlineStr"/>
      <c r="H611" s="9" t="inlineStr"/>
      <c r="I611" s="9" t="inlineStr"/>
      <c r="J611" s="9" t="inlineStr"/>
      <c r="K611" s="9" t="inlineStr"/>
      <c r="L611" s="9" t="inlineStr"/>
      <c r="M611" s="15" t="inlineStr">
        <is>
          <t>М5 (5f) · новое</t>
        </is>
      </c>
      <c r="N611" s="12" t="inlineStr">
        <is>
          <t>М4 (4c) · повт.</t>
        </is>
      </c>
      <c r="O611" s="9" t="inlineStr"/>
      <c r="P611" s="16" t="inlineStr">
        <is>
          <t>—</t>
        </is>
      </c>
      <c r="Q611" s="17" t="inlineStr"/>
      <c r="R611" s="13" t="inlineStr">
        <is>
          <t>нет</t>
        </is>
      </c>
      <c r="S611" s="9" t="inlineStr"/>
      <c r="T611" s="9" t="inlineStr"/>
    </row>
    <row r="612">
      <c r="A612" s="9" t="n">
        <v>611</v>
      </c>
      <c r="B612" s="9" t="inlineStr">
        <is>
          <t>Use of English</t>
        </is>
      </c>
      <c r="C612" s="9" t="inlineStr">
        <is>
          <t>Фразовые глаголы</t>
        </is>
      </c>
      <c r="D612" s="10" t="inlineStr">
        <is>
          <t>Phrasal verbs</t>
        </is>
      </c>
      <c r="E612" s="9" t="inlineStr">
        <is>
          <t>Phrasal verbs: turn</t>
        </is>
      </c>
      <c r="F612" s="9" t="inlineStr">
        <is>
          <t>10+</t>
        </is>
      </c>
      <c r="G612" s="9" t="inlineStr"/>
      <c r="H612" s="9" t="inlineStr"/>
      <c r="I612" s="9" t="inlineStr"/>
      <c r="J612" s="9" t="inlineStr"/>
      <c r="K612" s="9" t="inlineStr"/>
      <c r="L612" s="9" t="inlineStr"/>
      <c r="M612" s="15" t="inlineStr">
        <is>
          <t>М1 (1f) · новое</t>
        </is>
      </c>
      <c r="N612" s="12" t="inlineStr">
        <is>
          <t>М7 (7c) · повт.</t>
        </is>
      </c>
      <c r="O612" s="9" t="inlineStr"/>
      <c r="P612" s="16" t="inlineStr">
        <is>
          <t>—</t>
        </is>
      </c>
      <c r="Q612" s="17" t="inlineStr"/>
      <c r="R612" s="13" t="inlineStr">
        <is>
          <t>нет</t>
        </is>
      </c>
      <c r="S612" s="9" t="inlineStr"/>
      <c r="T612" s="9" t="inlineStr"/>
    </row>
    <row r="613">
      <c r="A613" s="9" t="n">
        <v>612</v>
      </c>
      <c r="B613" s="9" t="inlineStr">
        <is>
          <t>Use of English</t>
        </is>
      </c>
      <c r="C613" s="9" t="inlineStr">
        <is>
          <t>Фразовые глаголы</t>
        </is>
      </c>
      <c r="D613" s="10" t="inlineStr">
        <is>
          <t>Phrasal verbs</t>
        </is>
      </c>
      <c r="E613" s="9" t="inlineStr">
        <is>
          <t>Phrasal verbs: look</t>
        </is>
      </c>
      <c r="F613" s="9" t="inlineStr">
        <is>
          <t>10+</t>
        </is>
      </c>
      <c r="G613" s="9" t="inlineStr"/>
      <c r="H613" s="9" t="inlineStr"/>
      <c r="I613" s="9" t="inlineStr"/>
      <c r="J613" s="9" t="inlineStr"/>
      <c r="K613" s="9" t="inlineStr"/>
      <c r="L613" s="9" t="inlineStr"/>
      <c r="M613" s="9" t="inlineStr"/>
      <c r="N613" s="15" t="inlineStr">
        <is>
          <t>М1 (1c) · новое</t>
        </is>
      </c>
      <c r="O613" s="9" t="inlineStr"/>
      <c r="P613" s="16" t="inlineStr">
        <is>
          <t>—</t>
        </is>
      </c>
      <c r="Q613" s="17" t="inlineStr"/>
      <c r="R613" s="13" t="inlineStr">
        <is>
          <t>нет</t>
        </is>
      </c>
      <c r="S613" s="9" t="inlineStr"/>
      <c r="T613" s="9" t="inlineStr"/>
    </row>
    <row r="614">
      <c r="A614" s="9" t="n">
        <v>613</v>
      </c>
      <c r="B614" s="9" t="inlineStr">
        <is>
          <t>Use of English</t>
        </is>
      </c>
      <c r="C614" s="9" t="inlineStr">
        <is>
          <t>Фразовые глаголы</t>
        </is>
      </c>
      <c r="D614" s="10" t="inlineStr">
        <is>
          <t>Phrasal verbs</t>
        </is>
      </c>
      <c r="E614" s="9" t="inlineStr">
        <is>
          <t>Phrasal verbs: pick</t>
        </is>
      </c>
      <c r="F614" s="9" t="inlineStr">
        <is>
          <t>10+</t>
        </is>
      </c>
      <c r="G614" s="9" t="inlineStr"/>
      <c r="H614" s="9" t="inlineStr"/>
      <c r="I614" s="9" t="inlineStr"/>
      <c r="J614" s="9" t="inlineStr"/>
      <c r="K614" s="9" t="inlineStr"/>
      <c r="L614" s="9" t="inlineStr"/>
      <c r="M614" s="9" t="inlineStr"/>
      <c r="N614" s="15" t="inlineStr">
        <is>
          <t>М3 (3c) · новое</t>
        </is>
      </c>
      <c r="O614" s="9" t="inlineStr"/>
      <c r="P614" s="16" t="inlineStr">
        <is>
          <t>—</t>
        </is>
      </c>
      <c r="Q614" s="17" t="inlineStr"/>
      <c r="R614" s="13" t="inlineStr">
        <is>
          <t>нет</t>
        </is>
      </c>
      <c r="S614" s="9" t="inlineStr"/>
      <c r="T614" s="9" t="inlineStr"/>
    </row>
    <row r="615">
      <c r="A615" s="9" t="n">
        <v>614</v>
      </c>
      <c r="B615" s="9" t="inlineStr">
        <is>
          <t>Use of English</t>
        </is>
      </c>
      <c r="C615" s="9" t="inlineStr">
        <is>
          <t>Фразовые глаголы</t>
        </is>
      </c>
      <c r="D615" s="10" t="inlineStr">
        <is>
          <t>Phrasal verbs</t>
        </is>
      </c>
      <c r="E615" s="9" t="inlineStr">
        <is>
          <t>Phrasal verbs: do</t>
        </is>
      </c>
      <c r="F615" s="9" t="inlineStr">
        <is>
          <t>10+</t>
        </is>
      </c>
      <c r="G615" s="9" t="inlineStr"/>
      <c r="H615" s="9" t="inlineStr"/>
      <c r="I615" s="9" t="inlineStr"/>
      <c r="J615" s="9" t="inlineStr"/>
      <c r="K615" s="9" t="inlineStr"/>
      <c r="L615" s="9" t="inlineStr"/>
      <c r="M615" s="9" t="inlineStr"/>
      <c r="N615" s="9" t="inlineStr"/>
      <c r="O615" s="15" t="inlineStr">
        <is>
          <t>М5 (5c) · новое</t>
        </is>
      </c>
      <c r="P615" s="16" t="inlineStr">
        <is>
          <t>—</t>
        </is>
      </c>
      <c r="Q615" s="17" t="inlineStr"/>
      <c r="R615" s="13" t="inlineStr">
        <is>
          <t>нет</t>
        </is>
      </c>
      <c r="S615" s="9" t="inlineStr"/>
      <c r="T615" s="9" t="inlineStr"/>
    </row>
    <row r="616">
      <c r="A616" s="9" t="n">
        <v>615</v>
      </c>
      <c r="B616" s="9" t="inlineStr">
        <is>
          <t>Use of English</t>
        </is>
      </c>
      <c r="C616" s="9" t="inlineStr">
        <is>
          <t>Фразовые глаголы</t>
        </is>
      </c>
      <c r="D616" s="10" t="inlineStr">
        <is>
          <t>Phrasal verbs</t>
        </is>
      </c>
      <c r="E616" s="9" t="inlineStr">
        <is>
          <t>Phrasal verbs: talk</t>
        </is>
      </c>
      <c r="F616" s="9" t="inlineStr">
        <is>
          <t>10+</t>
        </is>
      </c>
      <c r="G616" s="9" t="inlineStr"/>
      <c r="H616" s="9" t="inlineStr"/>
      <c r="I616" s="9" t="inlineStr"/>
      <c r="J616" s="9" t="inlineStr"/>
      <c r="K616" s="9" t="inlineStr"/>
      <c r="L616" s="9" t="inlineStr"/>
      <c r="M616" s="9" t="inlineStr"/>
      <c r="N616" s="9" t="inlineStr"/>
      <c r="O616" s="15" t="inlineStr">
        <is>
          <t>М6 (6c) · новое</t>
        </is>
      </c>
      <c r="P616" s="16" t="inlineStr">
        <is>
          <t>—</t>
        </is>
      </c>
      <c r="Q616" s="17" t="inlineStr"/>
      <c r="R616" s="13" t="inlineStr">
        <is>
          <t>нет</t>
        </is>
      </c>
      <c r="S616" s="9" t="inlineStr"/>
      <c r="T616" s="9" t="inlineStr"/>
    </row>
    <row r="617">
      <c r="A617" s="4" t="n">
        <v>616</v>
      </c>
      <c r="B617" s="4" t="inlineStr">
        <is>
          <t>Use of English</t>
        </is>
      </c>
      <c r="C617" s="4" t="inlineStr">
        <is>
          <t>Словообразование</t>
        </is>
      </c>
      <c r="D617" s="5" t="inlineStr">
        <is>
          <t>Word formation</t>
        </is>
      </c>
      <c r="E617" s="4" t="inlineStr">
        <is>
          <t>Word formation: -able, -ous, -ing</t>
        </is>
      </c>
      <c r="F617" s="4" t="inlineStr">
        <is>
          <t>10+</t>
        </is>
      </c>
      <c r="G617" s="4" t="inlineStr"/>
      <c r="H617" s="4" t="inlineStr"/>
      <c r="I617" s="18" t="inlineStr">
        <is>
          <t>М10 (10b) · новое</t>
        </is>
      </c>
      <c r="J617" s="4" t="inlineStr"/>
      <c r="K617" s="4" t="inlineStr"/>
      <c r="L617" s="4" t="inlineStr"/>
      <c r="M617" s="4" t="inlineStr"/>
      <c r="N617" s="4" t="inlineStr"/>
      <c r="O617" s="4" t="inlineStr"/>
      <c r="P617" s="19" t="inlineStr">
        <is>
          <t>—</t>
        </is>
      </c>
      <c r="Q617" s="20" t="inlineStr"/>
      <c r="R617" s="8" t="inlineStr">
        <is>
          <t>нет</t>
        </is>
      </c>
      <c r="S617" s="4" t="inlineStr"/>
      <c r="T617" s="4" t="inlineStr"/>
    </row>
    <row r="618">
      <c r="A618" s="9" t="n">
        <v>617</v>
      </c>
      <c r="B618" s="9" t="inlineStr">
        <is>
          <t>Use of English</t>
        </is>
      </c>
      <c r="C618" s="9" t="inlineStr">
        <is>
          <t>Словообразование</t>
        </is>
      </c>
      <c r="D618" s="10" t="inlineStr">
        <is>
          <t>Word formation</t>
        </is>
      </c>
      <c r="E618" s="9" t="inlineStr">
        <is>
          <t>Word formation: -al</t>
        </is>
      </c>
      <c r="F618" s="9" t="inlineStr">
        <is>
          <t>10+</t>
        </is>
      </c>
      <c r="G618" s="9" t="inlineStr"/>
      <c r="H618" s="9" t="inlineStr"/>
      <c r="I618" s="15" t="inlineStr">
        <is>
          <t>М5 (5a) · новое</t>
        </is>
      </c>
      <c r="J618" s="9" t="inlineStr"/>
      <c r="K618" s="9" t="inlineStr"/>
      <c r="L618" s="9" t="inlineStr"/>
      <c r="M618" s="9" t="inlineStr"/>
      <c r="N618" s="9" t="inlineStr"/>
      <c r="O618" s="9" t="inlineStr"/>
      <c r="P618" s="16" t="inlineStr">
        <is>
          <t>—</t>
        </is>
      </c>
      <c r="Q618" s="17" t="inlineStr"/>
      <c r="R618" s="13" t="inlineStr">
        <is>
          <t>нет</t>
        </is>
      </c>
      <c r="S618" s="9" t="inlineStr"/>
      <c r="T618" s="9" t="inlineStr"/>
    </row>
    <row r="619">
      <c r="A619" s="9" t="n">
        <v>618</v>
      </c>
      <c r="B619" s="9" t="inlineStr">
        <is>
          <t>Use of English</t>
        </is>
      </c>
      <c r="C619" s="9" t="inlineStr">
        <is>
          <t>Словообразование</t>
        </is>
      </c>
      <c r="D619" s="10" t="inlineStr">
        <is>
          <t>Word formation</t>
        </is>
      </c>
      <c r="E619" s="9" t="inlineStr">
        <is>
          <t>Word formation: -er, -or, -man, -ist, -ic</t>
        </is>
      </c>
      <c r="F619" s="9" t="inlineStr">
        <is>
          <t>10+</t>
        </is>
      </c>
      <c r="G619" s="9" t="inlineStr"/>
      <c r="H619" s="9" t="inlineStr"/>
      <c r="I619" s="15" t="inlineStr">
        <is>
          <t>М6 (6b) · новое</t>
        </is>
      </c>
      <c r="J619" s="9" t="inlineStr"/>
      <c r="K619" s="9" t="inlineStr"/>
      <c r="L619" s="9" t="inlineStr"/>
      <c r="M619" s="9" t="inlineStr"/>
      <c r="N619" s="9" t="inlineStr"/>
      <c r="O619" s="9" t="inlineStr"/>
      <c r="P619" s="16" t="inlineStr">
        <is>
          <t>—</t>
        </is>
      </c>
      <c r="Q619" s="17" t="inlineStr"/>
      <c r="R619" s="13" t="inlineStr">
        <is>
          <t>нет</t>
        </is>
      </c>
      <c r="S619" s="9" t="inlineStr"/>
      <c r="T619" s="9" t="inlineStr"/>
    </row>
    <row r="620">
      <c r="A620" s="9" t="n">
        <v>619</v>
      </c>
      <c r="B620" s="9" t="inlineStr">
        <is>
          <t>Use of English</t>
        </is>
      </c>
      <c r="C620" s="9" t="inlineStr">
        <is>
          <t>Словообразование</t>
        </is>
      </c>
      <c r="D620" s="10" t="inlineStr">
        <is>
          <t>Word formation</t>
        </is>
      </c>
      <c r="E620" s="9" t="inlineStr">
        <is>
          <t>Word formation: -ful</t>
        </is>
      </c>
      <c r="F620" s="9" t="inlineStr">
        <is>
          <t>10+</t>
        </is>
      </c>
      <c r="G620" s="9" t="inlineStr"/>
      <c r="H620" s="9" t="inlineStr"/>
      <c r="I620" s="15" t="inlineStr">
        <is>
          <t>М4 · новое</t>
        </is>
      </c>
      <c r="J620" s="9" t="inlineStr"/>
      <c r="K620" s="9" t="inlineStr"/>
      <c r="L620" s="9" t="inlineStr"/>
      <c r="M620" s="9" t="inlineStr"/>
      <c r="N620" s="9" t="inlineStr"/>
      <c r="O620" s="9" t="inlineStr"/>
      <c r="P620" s="16" t="inlineStr">
        <is>
          <t>—</t>
        </is>
      </c>
      <c r="Q620" s="17" t="inlineStr"/>
      <c r="R620" s="13" t="inlineStr">
        <is>
          <t>нет</t>
        </is>
      </c>
      <c r="S620" s="9" t="inlineStr"/>
      <c r="T620" s="9" t="inlineStr"/>
    </row>
    <row r="621">
      <c r="A621" s="9" t="n">
        <v>620</v>
      </c>
      <c r="B621" s="9" t="inlineStr">
        <is>
          <t>Use of English</t>
        </is>
      </c>
      <c r="C621" s="9" t="inlineStr">
        <is>
          <t>Словообразование</t>
        </is>
      </c>
      <c r="D621" s="10" t="inlineStr">
        <is>
          <t>Word formation</t>
        </is>
      </c>
      <c r="E621" s="9" t="inlineStr">
        <is>
          <t>Word formation: -ly</t>
        </is>
      </c>
      <c r="F621" s="9" t="inlineStr">
        <is>
          <t>10+</t>
        </is>
      </c>
      <c r="G621" s="9" t="inlineStr"/>
      <c r="H621" s="9" t="inlineStr"/>
      <c r="I621" s="15" t="inlineStr">
        <is>
          <t>М6 (6a) · новое</t>
        </is>
      </c>
      <c r="J621" s="9" t="inlineStr"/>
      <c r="K621" s="9" t="inlineStr"/>
      <c r="L621" s="9" t="inlineStr"/>
      <c r="M621" s="9" t="inlineStr"/>
      <c r="N621" s="9" t="inlineStr"/>
      <c r="O621" s="9" t="inlineStr"/>
      <c r="P621" s="16" t="inlineStr">
        <is>
          <t>—</t>
        </is>
      </c>
      <c r="Q621" s="17" t="inlineStr"/>
      <c r="R621" s="13" t="inlineStr">
        <is>
          <t>нет</t>
        </is>
      </c>
      <c r="S621" s="9" t="inlineStr"/>
      <c r="T621" s="9" t="inlineStr"/>
    </row>
    <row r="622">
      <c r="A622" s="9" t="n">
        <v>621</v>
      </c>
      <c r="B622" s="9" t="inlineStr">
        <is>
          <t>Use of English</t>
        </is>
      </c>
      <c r="C622" s="9" t="inlineStr">
        <is>
          <t>Словообразование</t>
        </is>
      </c>
      <c r="D622" s="10" t="inlineStr">
        <is>
          <t>Word formation</t>
        </is>
      </c>
      <c r="E622" s="9" t="inlineStr">
        <is>
          <t>Word formation: -tion, -sion</t>
        </is>
      </c>
      <c r="F622" s="9" t="inlineStr">
        <is>
          <t>10+</t>
        </is>
      </c>
      <c r="G622" s="9" t="inlineStr"/>
      <c r="H622" s="9" t="inlineStr"/>
      <c r="I622" s="15" t="inlineStr">
        <is>
          <t>М10 (10c) · новое</t>
        </is>
      </c>
      <c r="J622" s="9" t="inlineStr"/>
      <c r="K622" s="9" t="inlineStr"/>
      <c r="L622" s="9" t="inlineStr"/>
      <c r="M622" s="9" t="inlineStr"/>
      <c r="N622" s="9" t="inlineStr"/>
      <c r="O622" s="9" t="inlineStr"/>
      <c r="P622" s="16" t="inlineStr">
        <is>
          <t>—</t>
        </is>
      </c>
      <c r="Q622" s="17" t="inlineStr"/>
      <c r="R622" s="13" t="inlineStr">
        <is>
          <t>нет</t>
        </is>
      </c>
      <c r="S622" s="9" t="inlineStr"/>
      <c r="T622" s="9" t="inlineStr"/>
    </row>
    <row r="623">
      <c r="A623" s="9" t="n">
        <v>622</v>
      </c>
      <c r="B623" s="9" t="inlineStr">
        <is>
          <t>Use of English</t>
        </is>
      </c>
      <c r="C623" s="9" t="inlineStr">
        <is>
          <t>Словообразование</t>
        </is>
      </c>
      <c r="D623" s="10" t="inlineStr">
        <is>
          <t>Word formation</t>
        </is>
      </c>
      <c r="E623" s="9" t="inlineStr">
        <is>
          <t>Word formation: compound nouns</t>
        </is>
      </c>
      <c r="F623" s="9" t="inlineStr">
        <is>
          <t>10+</t>
        </is>
      </c>
      <c r="G623" s="9" t="inlineStr"/>
      <c r="H623" s="9" t="inlineStr"/>
      <c r="I623" s="15" t="inlineStr">
        <is>
          <t>М3 (3b) · новое</t>
        </is>
      </c>
      <c r="J623" s="12" t="inlineStr">
        <is>
          <t>М6 (6a) · повт.</t>
        </is>
      </c>
      <c r="K623" s="9" t="inlineStr"/>
      <c r="L623" s="12" t="inlineStr">
        <is>
          <t>М7 (7f) · повт.</t>
        </is>
      </c>
      <c r="M623" s="9" t="inlineStr"/>
      <c r="N623" s="12" t="inlineStr">
        <is>
          <t>М5 (5c) · повт.</t>
        </is>
      </c>
      <c r="O623" s="9" t="inlineStr"/>
      <c r="P623" s="16" t="inlineStr">
        <is>
          <t>—</t>
        </is>
      </c>
      <c r="Q623" s="17" t="inlineStr"/>
      <c r="R623" s="13" t="inlineStr">
        <is>
          <t>нет</t>
        </is>
      </c>
      <c r="S623" s="9" t="inlineStr"/>
      <c r="T623" s="9" t="inlineStr"/>
    </row>
    <row r="624">
      <c r="A624" s="9" t="n">
        <v>623</v>
      </c>
      <c r="B624" s="9" t="inlineStr">
        <is>
          <t>Use of English</t>
        </is>
      </c>
      <c r="C624" s="9" t="inlineStr">
        <is>
          <t>Словообразование</t>
        </is>
      </c>
      <c r="D624" s="10" t="inlineStr">
        <is>
          <t>Word formation</t>
        </is>
      </c>
      <c r="E624" s="9" t="inlineStr">
        <is>
          <t>Word formation: conversion (a dress – to dress)</t>
        </is>
      </c>
      <c r="F624" s="9" t="inlineStr">
        <is>
          <t>10+</t>
        </is>
      </c>
      <c r="G624" s="9" t="inlineStr"/>
      <c r="H624" s="9" t="inlineStr"/>
      <c r="I624" s="15" t="inlineStr">
        <is>
          <t>М8 (8a) · новое</t>
        </is>
      </c>
      <c r="J624" s="9" t="inlineStr"/>
      <c r="K624" s="9" t="inlineStr"/>
      <c r="L624" s="9" t="inlineStr"/>
      <c r="M624" s="9" t="inlineStr"/>
      <c r="N624" s="9" t="inlineStr"/>
      <c r="O624" s="9" t="inlineStr"/>
      <c r="P624" s="16" t="inlineStr">
        <is>
          <t>—</t>
        </is>
      </c>
      <c r="Q624" s="17" t="inlineStr"/>
      <c r="R624" s="13" t="inlineStr">
        <is>
          <t>нет</t>
        </is>
      </c>
      <c r="S624" s="9" t="inlineStr"/>
      <c r="T624" s="9" t="inlineStr"/>
    </row>
    <row r="625">
      <c r="A625" s="9" t="n">
        <v>624</v>
      </c>
      <c r="B625" s="9" t="inlineStr">
        <is>
          <t>Use of English</t>
        </is>
      </c>
      <c r="C625" s="9" t="inlineStr">
        <is>
          <t>Словообразование</t>
        </is>
      </c>
      <c r="D625" s="10" t="inlineStr">
        <is>
          <t>Word formation</t>
        </is>
      </c>
      <c r="E625" s="9" t="inlineStr">
        <is>
          <t>Word formation: nationalities -an/-ish/-ian/-ese</t>
        </is>
      </c>
      <c r="F625" s="9" t="inlineStr">
        <is>
          <t>10+</t>
        </is>
      </c>
      <c r="G625" s="9" t="inlineStr"/>
      <c r="H625" s="9" t="inlineStr"/>
      <c r="I625" s="15" t="inlineStr">
        <is>
          <t>М2 (2a) · новое</t>
        </is>
      </c>
      <c r="J625" s="9" t="inlineStr"/>
      <c r="K625" s="9" t="inlineStr"/>
      <c r="L625" s="9" t="inlineStr"/>
      <c r="M625" s="9" t="inlineStr"/>
      <c r="N625" s="9" t="inlineStr"/>
      <c r="O625" s="9" t="inlineStr"/>
      <c r="P625" s="16" t="inlineStr">
        <is>
          <t>—</t>
        </is>
      </c>
      <c r="Q625" s="17" t="inlineStr"/>
      <c r="R625" s="13" t="inlineStr">
        <is>
          <t>нет</t>
        </is>
      </c>
      <c r="S625" s="9" t="inlineStr"/>
      <c r="T625" s="9" t="inlineStr"/>
    </row>
    <row r="626">
      <c r="A626" s="9" t="n">
        <v>625</v>
      </c>
      <c r="B626" s="9" t="inlineStr">
        <is>
          <t>Use of English</t>
        </is>
      </c>
      <c r="C626" s="9" t="inlineStr">
        <is>
          <t>Словообразование</t>
        </is>
      </c>
      <c r="D626" s="10" t="inlineStr">
        <is>
          <t>Word formation</t>
        </is>
      </c>
      <c r="E626" s="9" t="inlineStr">
        <is>
          <t>Word formation: un-</t>
        </is>
      </c>
      <c r="F626" s="9" t="inlineStr">
        <is>
          <t>10+</t>
        </is>
      </c>
      <c r="G626" s="9" t="inlineStr"/>
      <c r="H626" s="9" t="inlineStr"/>
      <c r="I626" s="15" t="inlineStr">
        <is>
          <t>М8 (8c) · новое</t>
        </is>
      </c>
      <c r="J626" s="9" t="inlineStr"/>
      <c r="K626" s="9" t="inlineStr"/>
      <c r="L626" s="9" t="inlineStr"/>
      <c r="M626" s="9" t="inlineStr"/>
      <c r="N626" s="9" t="inlineStr"/>
      <c r="O626" s="9" t="inlineStr"/>
      <c r="P626" s="16" t="inlineStr">
        <is>
          <t>—</t>
        </is>
      </c>
      <c r="Q626" s="17" t="inlineStr"/>
      <c r="R626" s="13" t="inlineStr">
        <is>
          <t>нет</t>
        </is>
      </c>
      <c r="S626" s="9" t="inlineStr"/>
      <c r="T626" s="9" t="inlineStr"/>
    </row>
    <row r="627">
      <c r="A627" s="9" t="n">
        <v>626</v>
      </c>
      <c r="B627" s="9" t="inlineStr">
        <is>
          <t>Use of English</t>
        </is>
      </c>
      <c r="C627" s="9" t="inlineStr">
        <is>
          <t>Словообразование</t>
        </is>
      </c>
      <c r="D627" s="10" t="inlineStr">
        <is>
          <t>Word formation</t>
        </is>
      </c>
      <c r="E627" s="9" t="inlineStr">
        <is>
          <t>Word formation: -ful, -able</t>
        </is>
      </c>
      <c r="F627" s="9" t="inlineStr">
        <is>
          <t>10+</t>
        </is>
      </c>
      <c r="G627" s="9" t="inlineStr"/>
      <c r="H627" s="9" t="inlineStr"/>
      <c r="I627" s="9" t="inlineStr"/>
      <c r="J627" s="9" t="inlineStr"/>
      <c r="K627" s="9" t="inlineStr"/>
      <c r="L627" s="15" t="inlineStr">
        <is>
          <t>М1 (1f) · новое</t>
        </is>
      </c>
      <c r="M627" s="9" t="inlineStr"/>
      <c r="N627" s="9" t="inlineStr"/>
      <c r="O627" s="9" t="inlineStr"/>
      <c r="P627" s="16" t="inlineStr">
        <is>
          <t>—</t>
        </is>
      </c>
      <c r="Q627" s="17" t="inlineStr"/>
      <c r="R627" s="13" t="inlineStr">
        <is>
          <t>нет</t>
        </is>
      </c>
      <c r="S627" s="9" t="inlineStr"/>
      <c r="T627" s="9" t="inlineStr"/>
    </row>
    <row r="628">
      <c r="A628" s="9" t="n">
        <v>627</v>
      </c>
      <c r="B628" s="9" t="inlineStr">
        <is>
          <t>Use of English</t>
        </is>
      </c>
      <c r="C628" s="9" t="inlineStr">
        <is>
          <t>Словообразование</t>
        </is>
      </c>
      <c r="D628" s="10" t="inlineStr">
        <is>
          <t>Word formation</t>
        </is>
      </c>
      <c r="E628" s="9" t="inlineStr">
        <is>
          <t>Word formation: -ion, -tion, -ance</t>
        </is>
      </c>
      <c r="F628" s="9" t="inlineStr">
        <is>
          <t>10+</t>
        </is>
      </c>
      <c r="G628" s="9" t="inlineStr"/>
      <c r="H628" s="9" t="inlineStr"/>
      <c r="I628" s="9" t="inlineStr"/>
      <c r="J628" s="9" t="inlineStr"/>
      <c r="K628" s="9" t="inlineStr"/>
      <c r="L628" s="15" t="inlineStr">
        <is>
          <t>М5 (5f) · новое</t>
        </is>
      </c>
      <c r="M628" s="9" t="inlineStr"/>
      <c r="N628" s="9" t="inlineStr"/>
      <c r="O628" s="9" t="inlineStr"/>
      <c r="P628" s="16" t="inlineStr">
        <is>
          <t>—</t>
        </is>
      </c>
      <c r="Q628" s="17" t="inlineStr"/>
      <c r="R628" s="13" t="inlineStr">
        <is>
          <t>нет</t>
        </is>
      </c>
      <c r="S628" s="9" t="inlineStr"/>
      <c r="T628" s="9" t="inlineStr"/>
    </row>
    <row r="629">
      <c r="A629" s="9" t="n">
        <v>628</v>
      </c>
      <c r="B629" s="9" t="inlineStr">
        <is>
          <t>Use of English</t>
        </is>
      </c>
      <c r="C629" s="9" t="inlineStr">
        <is>
          <t>Словообразование</t>
        </is>
      </c>
      <c r="D629" s="10" t="inlineStr">
        <is>
          <t>Word formation</t>
        </is>
      </c>
      <c r="E629" s="9" t="inlineStr">
        <is>
          <t>Word formation: -ise, -ize</t>
        </is>
      </c>
      <c r="F629" s="9" t="inlineStr">
        <is>
          <t>10+</t>
        </is>
      </c>
      <c r="G629" s="9" t="inlineStr"/>
      <c r="H629" s="9" t="inlineStr"/>
      <c r="I629" s="9" t="inlineStr"/>
      <c r="J629" s="9" t="inlineStr"/>
      <c r="K629" s="9" t="inlineStr"/>
      <c r="L629" s="15" t="inlineStr">
        <is>
          <t>М3 (3f) · новое</t>
        </is>
      </c>
      <c r="M629" s="9" t="inlineStr"/>
      <c r="N629" s="9" t="inlineStr"/>
      <c r="O629" s="9" t="inlineStr"/>
      <c r="P629" s="16" t="inlineStr">
        <is>
          <t>—</t>
        </is>
      </c>
      <c r="Q629" s="17" t="inlineStr"/>
      <c r="R629" s="13" t="inlineStr">
        <is>
          <t>нет</t>
        </is>
      </c>
      <c r="S629" s="9" t="inlineStr"/>
      <c r="T629" s="9" t="inlineStr"/>
    </row>
    <row r="630">
      <c r="A630" s="9" t="n">
        <v>629</v>
      </c>
      <c r="B630" s="9" t="inlineStr">
        <is>
          <t>Use of English</t>
        </is>
      </c>
      <c r="C630" s="9" t="inlineStr">
        <is>
          <t>Словообразование</t>
        </is>
      </c>
      <c r="D630" s="10" t="inlineStr">
        <is>
          <t>Word formation</t>
        </is>
      </c>
      <c r="E630" s="9" t="inlineStr">
        <is>
          <t>Word formation: -ness, -ment</t>
        </is>
      </c>
      <c r="F630" s="9" t="inlineStr">
        <is>
          <t>10+</t>
        </is>
      </c>
      <c r="G630" s="9" t="inlineStr"/>
      <c r="H630" s="9" t="inlineStr"/>
      <c r="I630" s="9" t="inlineStr"/>
      <c r="J630" s="9" t="inlineStr"/>
      <c r="K630" s="9" t="inlineStr"/>
      <c r="L630" s="15" t="inlineStr">
        <is>
          <t>М6 (6f) · новое</t>
        </is>
      </c>
      <c r="M630" s="9" t="inlineStr"/>
      <c r="N630" s="9" t="inlineStr"/>
      <c r="O630" s="9" t="inlineStr"/>
      <c r="P630" s="16" t="inlineStr">
        <is>
          <t>—</t>
        </is>
      </c>
      <c r="Q630" s="17" t="inlineStr"/>
      <c r="R630" s="13" t="inlineStr">
        <is>
          <t>нет</t>
        </is>
      </c>
      <c r="S630" s="9" t="inlineStr"/>
      <c r="T630" s="9" t="inlineStr"/>
    </row>
    <row r="631">
      <c r="A631" s="9" t="n">
        <v>630</v>
      </c>
      <c r="B631" s="9" t="inlineStr">
        <is>
          <t>Use of English</t>
        </is>
      </c>
      <c r="C631" s="9" t="inlineStr">
        <is>
          <t>Словообразование</t>
        </is>
      </c>
      <c r="D631" s="10" t="inlineStr">
        <is>
          <t>Word formation</t>
        </is>
      </c>
      <c r="E631" s="9" t="inlineStr">
        <is>
          <t>Word formation: compound adjectives</t>
        </is>
      </c>
      <c r="F631" s="9" t="inlineStr">
        <is>
          <t>10+</t>
        </is>
      </c>
      <c r="G631" s="9" t="inlineStr"/>
      <c r="H631" s="9" t="inlineStr"/>
      <c r="I631" s="9" t="inlineStr"/>
      <c r="J631" s="9" t="inlineStr"/>
      <c r="K631" s="9" t="inlineStr"/>
      <c r="L631" s="15" t="inlineStr">
        <is>
          <t>М8 (8f) · новое</t>
        </is>
      </c>
      <c r="M631" s="12" t="inlineStr">
        <is>
          <t>М3 (3f) · повт.</t>
        </is>
      </c>
      <c r="N631" s="12" t="inlineStr">
        <is>
          <t>М7 (7c) · повт.</t>
        </is>
      </c>
      <c r="O631" s="9" t="inlineStr"/>
      <c r="P631" s="16" t="inlineStr">
        <is>
          <t>—</t>
        </is>
      </c>
      <c r="Q631" s="17" t="inlineStr"/>
      <c r="R631" s="13" t="inlineStr">
        <is>
          <t>нет</t>
        </is>
      </c>
      <c r="S631" s="9" t="inlineStr"/>
      <c r="T631" s="9" t="inlineStr"/>
    </row>
    <row r="632">
      <c r="A632" s="9" t="n">
        <v>631</v>
      </c>
      <c r="B632" s="9" t="inlineStr">
        <is>
          <t>Use of English</t>
        </is>
      </c>
      <c r="C632" s="9" t="inlineStr">
        <is>
          <t>Словообразование</t>
        </is>
      </c>
      <c r="D632" s="10" t="inlineStr">
        <is>
          <t>Word formation</t>
        </is>
      </c>
      <c r="E632" s="9" t="inlineStr">
        <is>
          <t>Word formation: il-, im-, in-, ir-</t>
        </is>
      </c>
      <c r="F632" s="9" t="inlineStr">
        <is>
          <t>10+</t>
        </is>
      </c>
      <c r="G632" s="9" t="inlineStr"/>
      <c r="H632" s="9" t="inlineStr"/>
      <c r="I632" s="9" t="inlineStr"/>
      <c r="J632" s="9" t="inlineStr"/>
      <c r="K632" s="9" t="inlineStr"/>
      <c r="L632" s="15" t="inlineStr">
        <is>
          <t>М4 (4f) · новое</t>
        </is>
      </c>
      <c r="M632" s="9" t="inlineStr"/>
      <c r="N632" s="9" t="inlineStr"/>
      <c r="O632" s="9" t="inlineStr"/>
      <c r="P632" s="16" t="inlineStr">
        <is>
          <t>—</t>
        </is>
      </c>
      <c r="Q632" s="17" t="inlineStr"/>
      <c r="R632" s="13" t="inlineStr">
        <is>
          <t>нет</t>
        </is>
      </c>
      <c r="S632" s="9" t="inlineStr"/>
      <c r="T632" s="9" t="inlineStr"/>
    </row>
    <row r="633">
      <c r="A633" s="9" t="n">
        <v>632</v>
      </c>
      <c r="B633" s="9" t="inlineStr">
        <is>
          <t>Use of English</t>
        </is>
      </c>
      <c r="C633" s="9" t="inlineStr">
        <is>
          <t>Словообразование</t>
        </is>
      </c>
      <c r="D633" s="10" t="inlineStr">
        <is>
          <t>Word formation</t>
        </is>
      </c>
      <c r="E633" s="9" t="inlineStr">
        <is>
          <t>Word formation: negative adjectives</t>
        </is>
      </c>
      <c r="F633" s="9" t="inlineStr">
        <is>
          <t>10+</t>
        </is>
      </c>
      <c r="G633" s="9" t="inlineStr"/>
      <c r="H633" s="9" t="inlineStr"/>
      <c r="I633" s="9" t="inlineStr"/>
      <c r="J633" s="9" t="inlineStr"/>
      <c r="K633" s="9" t="inlineStr"/>
      <c r="L633" s="15" t="inlineStr">
        <is>
          <t>М2 (2f) · новое</t>
        </is>
      </c>
      <c r="M633" s="9" t="inlineStr"/>
      <c r="N633" s="12" t="inlineStr">
        <is>
          <t>М4 (4c) · повт.</t>
        </is>
      </c>
      <c r="O633" s="9" t="inlineStr"/>
      <c r="P633" s="16" t="inlineStr">
        <is>
          <t>—</t>
        </is>
      </c>
      <c r="Q633" s="17" t="inlineStr"/>
      <c r="R633" s="13" t="inlineStr">
        <is>
          <t>нет</t>
        </is>
      </c>
      <c r="S633" s="9" t="inlineStr"/>
      <c r="T633" s="9" t="inlineStr"/>
    </row>
    <row r="634">
      <c r="A634" s="9" t="n">
        <v>633</v>
      </c>
      <c r="B634" s="9" t="inlineStr">
        <is>
          <t>Use of English</t>
        </is>
      </c>
      <c r="C634" s="9" t="inlineStr">
        <is>
          <t>Словообразование</t>
        </is>
      </c>
      <c r="D634" s="10" t="inlineStr">
        <is>
          <t>Word formation</t>
        </is>
      </c>
      <c r="E634" s="9" t="inlineStr">
        <is>
          <t>Word formation: abstract nouns</t>
        </is>
      </c>
      <c r="F634" s="9" t="inlineStr">
        <is>
          <t>10+</t>
        </is>
      </c>
      <c r="G634" s="9" t="inlineStr"/>
      <c r="H634" s="9" t="inlineStr"/>
      <c r="I634" s="9" t="inlineStr"/>
      <c r="J634" s="9" t="inlineStr"/>
      <c r="K634" s="9" t="inlineStr"/>
      <c r="L634" s="9" t="inlineStr"/>
      <c r="M634" s="15" t="inlineStr">
        <is>
          <t>М6 (6f) · новое</t>
        </is>
      </c>
      <c r="N634" s="12" t="inlineStr">
        <is>
          <t>М2 (2c) · повт.</t>
        </is>
      </c>
      <c r="O634" s="9" t="inlineStr"/>
      <c r="P634" s="16" t="inlineStr">
        <is>
          <t>—</t>
        </is>
      </c>
      <c r="Q634" s="17" t="inlineStr"/>
      <c r="R634" s="13" t="inlineStr">
        <is>
          <t>нет</t>
        </is>
      </c>
      <c r="S634" s="9" t="inlineStr"/>
      <c r="T634" s="9" t="inlineStr"/>
    </row>
    <row r="635">
      <c r="A635" s="9" t="n">
        <v>634</v>
      </c>
      <c r="B635" s="9" t="inlineStr">
        <is>
          <t>Use of English</t>
        </is>
      </c>
      <c r="C635" s="9" t="inlineStr">
        <is>
          <t>Словообразование</t>
        </is>
      </c>
      <c r="D635" s="10" t="inlineStr">
        <is>
          <t>Word formation</t>
        </is>
      </c>
      <c r="E635" s="9" t="inlineStr">
        <is>
          <t>Word formation: nouns from adjectives</t>
        </is>
      </c>
      <c r="F635" s="9" t="inlineStr">
        <is>
          <t>10+</t>
        </is>
      </c>
      <c r="G635" s="9" t="inlineStr"/>
      <c r="H635" s="9" t="inlineStr"/>
      <c r="I635" s="9" t="inlineStr"/>
      <c r="J635" s="9" t="inlineStr"/>
      <c r="K635" s="9" t="inlineStr"/>
      <c r="L635" s="9" t="inlineStr"/>
      <c r="M635" s="15" t="inlineStr">
        <is>
          <t>М2 (2f) · новое</t>
        </is>
      </c>
      <c r="N635" s="9" t="inlineStr"/>
      <c r="O635" s="9" t="inlineStr"/>
      <c r="P635" s="16" t="inlineStr">
        <is>
          <t>—</t>
        </is>
      </c>
      <c r="Q635" s="17" t="inlineStr"/>
      <c r="R635" s="13" t="inlineStr">
        <is>
          <t>нет</t>
        </is>
      </c>
      <c r="S635" s="9" t="inlineStr"/>
      <c r="T635" s="9" t="inlineStr"/>
    </row>
    <row r="636">
      <c r="A636" s="9" t="n">
        <v>635</v>
      </c>
      <c r="B636" s="9" t="inlineStr">
        <is>
          <t>Use of English</t>
        </is>
      </c>
      <c r="C636" s="9" t="inlineStr">
        <is>
          <t>Словообразование</t>
        </is>
      </c>
      <c r="D636" s="10" t="inlineStr">
        <is>
          <t>Word formation</t>
        </is>
      </c>
      <c r="E636" s="9" t="inlineStr">
        <is>
          <t>Word formation: nouns from verbs</t>
        </is>
      </c>
      <c r="F636" s="9" t="inlineStr">
        <is>
          <t>10+</t>
        </is>
      </c>
      <c r="G636" s="9" t="inlineStr"/>
      <c r="H636" s="9" t="inlineStr"/>
      <c r="I636" s="9" t="inlineStr"/>
      <c r="J636" s="9" t="inlineStr"/>
      <c r="K636" s="9" t="inlineStr"/>
      <c r="L636" s="9" t="inlineStr"/>
      <c r="M636" s="15" t="inlineStr">
        <is>
          <t>М4 (4f) · новое</t>
        </is>
      </c>
      <c r="N636" s="9" t="inlineStr"/>
      <c r="O636" s="9" t="inlineStr"/>
      <c r="P636" s="16" t="inlineStr">
        <is>
          <t>—</t>
        </is>
      </c>
      <c r="Q636" s="17" t="inlineStr"/>
      <c r="R636" s="13" t="inlineStr">
        <is>
          <t>нет</t>
        </is>
      </c>
      <c r="S636" s="9" t="inlineStr"/>
      <c r="T636" s="9" t="inlineStr"/>
    </row>
    <row r="637">
      <c r="A637" s="9" t="n">
        <v>636</v>
      </c>
      <c r="B637" s="9" t="inlineStr">
        <is>
          <t>Use of English</t>
        </is>
      </c>
      <c r="C637" s="9" t="inlineStr">
        <is>
          <t>Словообразование</t>
        </is>
      </c>
      <c r="D637" s="10" t="inlineStr">
        <is>
          <t>Word formation</t>
        </is>
      </c>
      <c r="E637" s="9" t="inlineStr">
        <is>
          <t>Word formation: participle adjectives -ed/-ing</t>
        </is>
      </c>
      <c r="F637" s="9" t="inlineStr">
        <is>
          <t>10+</t>
        </is>
      </c>
      <c r="G637" s="9" t="inlineStr"/>
      <c r="H637" s="9" t="inlineStr"/>
      <c r="I637" s="9" t="inlineStr"/>
      <c r="J637" s="9" t="inlineStr"/>
      <c r="K637" s="9" t="inlineStr"/>
      <c r="L637" s="9" t="inlineStr"/>
      <c r="M637" s="15" t="inlineStr">
        <is>
          <t>М1 (1f) · новое</t>
        </is>
      </c>
      <c r="N637" s="9" t="inlineStr"/>
      <c r="O637" s="9" t="inlineStr"/>
      <c r="P637" s="16" t="inlineStr">
        <is>
          <t>—</t>
        </is>
      </c>
      <c r="Q637" s="17" t="inlineStr"/>
      <c r="R637" s="13" t="inlineStr">
        <is>
          <t>нет</t>
        </is>
      </c>
      <c r="S637" s="9" t="inlineStr"/>
      <c r="T637" s="9" t="inlineStr"/>
    </row>
    <row r="638">
      <c r="A638" s="9" t="n">
        <v>637</v>
      </c>
      <c r="B638" s="9" t="inlineStr">
        <is>
          <t>Use of English</t>
        </is>
      </c>
      <c r="C638" s="9" t="inlineStr">
        <is>
          <t>Словообразование</t>
        </is>
      </c>
      <c r="D638" s="10" t="inlineStr">
        <is>
          <t>Word formation</t>
        </is>
      </c>
      <c r="E638" s="9" t="inlineStr">
        <is>
          <t>Word formation: revision</t>
        </is>
      </c>
      <c r="F638" s="9" t="inlineStr">
        <is>
          <t>10+</t>
        </is>
      </c>
      <c r="G638" s="9" t="inlineStr"/>
      <c r="H638" s="9" t="inlineStr"/>
      <c r="I638" s="9" t="inlineStr"/>
      <c r="J638" s="9" t="inlineStr"/>
      <c r="K638" s="9" t="inlineStr"/>
      <c r="L638" s="9" t="inlineStr"/>
      <c r="M638" s="15" t="inlineStr">
        <is>
          <t>М8 (8f) · новое</t>
        </is>
      </c>
      <c r="N638" s="9" t="inlineStr"/>
      <c r="O638" s="9" t="inlineStr"/>
      <c r="P638" s="16" t="inlineStr">
        <is>
          <t>—</t>
        </is>
      </c>
      <c r="Q638" s="17" t="inlineStr"/>
      <c r="R638" s="13" t="inlineStr">
        <is>
          <t>нет</t>
        </is>
      </c>
      <c r="S638" s="9" t="inlineStr"/>
      <c r="T638" s="9" t="inlineStr"/>
    </row>
    <row r="639">
      <c r="A639" s="9" t="n">
        <v>638</v>
      </c>
      <c r="B639" s="9" t="inlineStr">
        <is>
          <t>Use of English</t>
        </is>
      </c>
      <c r="C639" s="9" t="inlineStr">
        <is>
          <t>Словообразование</t>
        </is>
      </c>
      <c r="D639" s="10" t="inlineStr">
        <is>
          <t>Word formation</t>
        </is>
      </c>
      <c r="E639" s="9" t="inlineStr">
        <is>
          <t>Word formation: verbs from nouns/adjectives</t>
        </is>
      </c>
      <c r="F639" s="9" t="inlineStr">
        <is>
          <t>10+</t>
        </is>
      </c>
      <c r="G639" s="9" t="inlineStr"/>
      <c r="H639" s="9" t="inlineStr"/>
      <c r="I639" s="9" t="inlineStr"/>
      <c r="J639" s="9" t="inlineStr"/>
      <c r="K639" s="9" t="inlineStr"/>
      <c r="L639" s="9" t="inlineStr"/>
      <c r="M639" s="15" t="inlineStr">
        <is>
          <t>М7 (7f) · новое</t>
        </is>
      </c>
      <c r="N639" s="9" t="inlineStr"/>
      <c r="O639" s="9" t="inlineStr"/>
      <c r="P639" s="16" t="inlineStr">
        <is>
          <t>—</t>
        </is>
      </c>
      <c r="Q639" s="17" t="inlineStr"/>
      <c r="R639" s="13" t="inlineStr">
        <is>
          <t>нет</t>
        </is>
      </c>
      <c r="S639" s="9" t="inlineStr"/>
      <c r="T639" s="9" t="inlineStr"/>
    </row>
    <row r="640">
      <c r="A640" s="9" t="n">
        <v>639</v>
      </c>
      <c r="B640" s="9" t="inlineStr">
        <is>
          <t>Use of English</t>
        </is>
      </c>
      <c r="C640" s="9" t="inlineStr">
        <is>
          <t>Словообразование</t>
        </is>
      </c>
      <c r="D640" s="10" t="inlineStr">
        <is>
          <t>Word formation</t>
        </is>
      </c>
      <c r="E640" s="9" t="inlineStr">
        <is>
          <t>Word formation: verbs with prefixes</t>
        </is>
      </c>
      <c r="F640" s="9" t="inlineStr">
        <is>
          <t>10+</t>
        </is>
      </c>
      <c r="G640" s="9" t="inlineStr"/>
      <c r="H640" s="9" t="inlineStr"/>
      <c r="I640" s="9" t="inlineStr"/>
      <c r="J640" s="9" t="inlineStr"/>
      <c r="K640" s="9" t="inlineStr"/>
      <c r="L640" s="9" t="inlineStr"/>
      <c r="M640" s="15" t="inlineStr">
        <is>
          <t>М5 (5f) · новое</t>
        </is>
      </c>
      <c r="N640" s="9" t="inlineStr"/>
      <c r="O640" s="9" t="inlineStr"/>
      <c r="P640" s="16" t="inlineStr">
        <is>
          <t>—</t>
        </is>
      </c>
      <c r="Q640" s="17" t="inlineStr"/>
      <c r="R640" s="13" t="inlineStr">
        <is>
          <t>нет</t>
        </is>
      </c>
      <c r="S640" s="9" t="inlineStr"/>
      <c r="T640" s="9" t="inlineStr"/>
    </row>
    <row r="641">
      <c r="A641" s="9" t="n">
        <v>640</v>
      </c>
      <c r="B641" s="9" t="inlineStr">
        <is>
          <t>Use of English</t>
        </is>
      </c>
      <c r="C641" s="9" t="inlineStr">
        <is>
          <t>Словообразование</t>
        </is>
      </c>
      <c r="D641" s="10" t="inlineStr">
        <is>
          <t>Word formation</t>
        </is>
      </c>
      <c r="E641" s="9" t="inlineStr">
        <is>
          <t>Word formation: forming adjectives</t>
        </is>
      </c>
      <c r="F641" s="9" t="inlineStr">
        <is>
          <t>10+</t>
        </is>
      </c>
      <c r="G641" s="9" t="inlineStr"/>
      <c r="H641" s="9" t="inlineStr"/>
      <c r="I641" s="9" t="inlineStr"/>
      <c r="J641" s="9" t="inlineStr"/>
      <c r="K641" s="9" t="inlineStr"/>
      <c r="L641" s="9" t="inlineStr"/>
      <c r="M641" s="9" t="inlineStr"/>
      <c r="N641" s="15" t="inlineStr">
        <is>
          <t>М1 (1c) · новое</t>
        </is>
      </c>
      <c r="O641" s="9" t="inlineStr"/>
      <c r="P641" s="16" t="inlineStr">
        <is>
          <t>—</t>
        </is>
      </c>
      <c r="Q641" s="17" t="inlineStr"/>
      <c r="R641" s="13" t="inlineStr">
        <is>
          <t>нет</t>
        </is>
      </c>
      <c r="S641" s="9" t="inlineStr"/>
      <c r="T641" s="9" t="inlineStr"/>
    </row>
    <row r="642">
      <c r="A642" s="9" t="n">
        <v>641</v>
      </c>
      <c r="B642" s="9" t="inlineStr">
        <is>
          <t>Use of English</t>
        </is>
      </c>
      <c r="C642" s="9" t="inlineStr">
        <is>
          <t>Словообразование</t>
        </is>
      </c>
      <c r="D642" s="10" t="inlineStr">
        <is>
          <t>Word formation</t>
        </is>
      </c>
      <c r="E642" s="9" t="inlineStr">
        <is>
          <t>Word formation: forming verbs</t>
        </is>
      </c>
      <c r="F642" s="9" t="inlineStr">
        <is>
          <t>10+</t>
        </is>
      </c>
      <c r="G642" s="9" t="inlineStr"/>
      <c r="H642" s="9" t="inlineStr"/>
      <c r="I642" s="9" t="inlineStr"/>
      <c r="J642" s="9" t="inlineStr"/>
      <c r="K642" s="9" t="inlineStr"/>
      <c r="L642" s="9" t="inlineStr"/>
      <c r="M642" s="9" t="inlineStr"/>
      <c r="N642" s="15" t="inlineStr">
        <is>
          <t>М8 (8c) · новое</t>
        </is>
      </c>
      <c r="O642" s="9" t="inlineStr"/>
      <c r="P642" s="16" t="inlineStr">
        <is>
          <t>—</t>
        </is>
      </c>
      <c r="Q642" s="17" t="inlineStr"/>
      <c r="R642" s="13" t="inlineStr">
        <is>
          <t>нет</t>
        </is>
      </c>
      <c r="S642" s="9" t="inlineStr"/>
      <c r="T642" s="9" t="inlineStr"/>
    </row>
    <row r="643">
      <c r="A643" s="9" t="n">
        <v>642</v>
      </c>
      <c r="B643" s="9" t="inlineStr">
        <is>
          <t>Use of English</t>
        </is>
      </c>
      <c r="C643" s="9" t="inlineStr">
        <is>
          <t>Словообразование</t>
        </is>
      </c>
      <c r="D643" s="10" t="inlineStr">
        <is>
          <t>Word formation</t>
        </is>
      </c>
      <c r="E643" s="9" t="inlineStr">
        <is>
          <t>Word formation: personal nouns</t>
        </is>
      </c>
      <c r="F643" s="9" t="inlineStr">
        <is>
          <t>10+</t>
        </is>
      </c>
      <c r="G643" s="9" t="inlineStr"/>
      <c r="H643" s="9" t="inlineStr"/>
      <c r="I643" s="9" t="inlineStr"/>
      <c r="J643" s="9" t="inlineStr"/>
      <c r="K643" s="9" t="inlineStr"/>
      <c r="L643" s="9" t="inlineStr"/>
      <c r="M643" s="9" t="inlineStr"/>
      <c r="N643" s="15" t="inlineStr">
        <is>
          <t>М3 (3c) · новое</t>
        </is>
      </c>
      <c r="O643" s="9" t="inlineStr"/>
      <c r="P643" s="16" t="inlineStr">
        <is>
          <t>—</t>
        </is>
      </c>
      <c r="Q643" s="17" t="inlineStr"/>
      <c r="R643" s="13" t="inlineStr">
        <is>
          <t>нет</t>
        </is>
      </c>
      <c r="S643" s="9" t="inlineStr"/>
      <c r="T643" s="9" t="inlineStr"/>
    </row>
    <row r="644">
      <c r="A644" s="9" t="n">
        <v>643</v>
      </c>
      <c r="B644" s="9" t="inlineStr">
        <is>
          <t>Use of English</t>
        </is>
      </c>
      <c r="C644" s="9" t="inlineStr">
        <is>
          <t>Словообразование</t>
        </is>
      </c>
      <c r="D644" s="10" t="inlineStr">
        <is>
          <t>Word formation</t>
        </is>
      </c>
      <c r="E644" s="9" t="inlineStr">
        <is>
          <t>Word formation: prefixes</t>
        </is>
      </c>
      <c r="F644" s="9" t="inlineStr">
        <is>
          <t>10+</t>
        </is>
      </c>
      <c r="G644" s="9" t="inlineStr"/>
      <c r="H644" s="9" t="inlineStr"/>
      <c r="I644" s="9" t="inlineStr"/>
      <c r="J644" s="9" t="inlineStr"/>
      <c r="K644" s="9" t="inlineStr"/>
      <c r="L644" s="9" t="inlineStr"/>
      <c r="M644" s="9" t="inlineStr"/>
      <c r="N644" s="15" t="inlineStr">
        <is>
          <t>М6 (6c) · новое</t>
        </is>
      </c>
      <c r="O644" s="9" t="inlineStr"/>
      <c r="P644" s="16" t="inlineStr">
        <is>
          <t>—</t>
        </is>
      </c>
      <c r="Q644" s="17" t="inlineStr"/>
      <c r="R644" s="13" t="inlineStr">
        <is>
          <t>нет</t>
        </is>
      </c>
      <c r="S644" s="9" t="inlineStr"/>
      <c r="T644" s="9" t="inlineStr"/>
    </row>
    <row r="645">
      <c r="A645" s="4" t="n">
        <v>644</v>
      </c>
      <c r="B645" s="4" t="inlineStr">
        <is>
          <t>Use of English</t>
        </is>
      </c>
      <c r="C645" s="4" t="inlineStr">
        <is>
          <t>Предлоги и сочетания</t>
        </is>
      </c>
      <c r="D645" s="5" t="inlineStr">
        <is>
          <t>Dependent prepositions</t>
        </is>
      </c>
      <c r="E645" s="4" t="inlineStr">
        <is>
          <t>Dependent prepositions</t>
        </is>
      </c>
      <c r="F645" s="4" t="inlineStr">
        <is>
          <t>10+</t>
        </is>
      </c>
      <c r="G645" s="4" t="inlineStr"/>
      <c r="H645" s="4" t="inlineStr"/>
      <c r="I645" s="4" t="inlineStr"/>
      <c r="J645" s="4" t="inlineStr"/>
      <c r="K645" s="4" t="inlineStr"/>
      <c r="L645" s="18" t="inlineStr">
        <is>
          <t>М1 (1f) · новое
М2 (2f) · повт.
Appendix 2 · повт.
М3 (3f) · повт.
М4 (4f) · повт.
М6 (6f) · повт.
М8 (8f) · повт.</t>
        </is>
      </c>
      <c r="M645" s="7" t="inlineStr">
        <is>
          <t>М1 (1f) · повт.
М2 (2f) · повт.
Appendix 2 · повт.
М3 (3f) · повт.
М4 (4f) · повт.
М5 (5f) · повт.
М6 (6f) · повт.
М7 (7f) · повт.</t>
        </is>
      </c>
      <c r="N645" s="7" t="inlineStr">
        <is>
          <t>М1 (1c) · повт.
Appendix 1 · повт.</t>
        </is>
      </c>
      <c r="O645" s="7" t="inlineStr">
        <is>
          <t>М1 (1c) · повт.
М2 (2c) · повт.
М3 (3c) · повт.
М4 (4c) · повт.
М5 (5c) · повт.
М6 (6c) · повт.
М7 (7c) · повт.
М8 (8c) · повт.</t>
        </is>
      </c>
      <c r="P645" s="19" t="inlineStr">
        <is>
          <t>—</t>
        </is>
      </c>
      <c r="Q645" s="20" t="inlineStr"/>
      <c r="R645" s="8" t="inlineStr">
        <is>
          <t>нет</t>
        </is>
      </c>
      <c r="S645" s="4" t="inlineStr"/>
      <c r="T645" s="4" t="inlineStr"/>
    </row>
    <row r="646">
      <c r="A646" s="4" t="n">
        <v>645</v>
      </c>
      <c r="B646" s="4" t="inlineStr">
        <is>
          <t>Use of English</t>
        </is>
      </c>
      <c r="C646" s="4" t="inlineStr">
        <is>
          <t>Предлоги и сочетания</t>
        </is>
      </c>
      <c r="D646" s="5" t="inlineStr">
        <is>
          <t>Idioms &amp; collocations</t>
        </is>
      </c>
      <c r="E646" s="4" t="inlineStr">
        <is>
          <t>Idioms &amp; collocations</t>
        </is>
      </c>
      <c r="F646" s="4" t="inlineStr">
        <is>
          <t>10+</t>
        </is>
      </c>
      <c r="G646" s="4" t="inlineStr"/>
      <c r="H646" s="4" t="inlineStr"/>
      <c r="I646" s="4" t="inlineStr"/>
      <c r="J646" s="4" t="inlineStr"/>
      <c r="K646" s="4" t="inlineStr"/>
      <c r="L646" s="18" t="inlineStr">
        <is>
          <t>Appendix 3 · новое</t>
        </is>
      </c>
      <c r="M646" s="4" t="inlineStr"/>
      <c r="N646" s="7" t="inlineStr">
        <is>
          <t>М5 (5c) · повт.</t>
        </is>
      </c>
      <c r="O646" s="7" t="inlineStr">
        <is>
          <t>М1 (1b) · повт.
М2 (2b) · повт.
М4 (4b) · повт.
М5 (5b) · повт.
М6 (6b) · повт.
М7 (7a) · повт.
М8 (8b) · повт.</t>
        </is>
      </c>
      <c r="P646" s="19" t="inlineStr">
        <is>
          <t>—</t>
        </is>
      </c>
      <c r="Q646" s="20" t="inlineStr"/>
      <c r="R646" s="8" t="inlineStr">
        <is>
          <t>нет</t>
        </is>
      </c>
      <c r="S646" s="4" t="inlineStr"/>
      <c r="T646" s="4" t="inlineStr"/>
    </row>
    <row r="647">
      <c r="A647" s="4" t="n">
        <v>646</v>
      </c>
      <c r="B647" s="4" t="inlineStr">
        <is>
          <t>Use of English</t>
        </is>
      </c>
      <c r="C647" s="4" t="inlineStr">
        <is>
          <t>Предлоги и сочетания</t>
        </is>
      </c>
      <c r="D647" s="5" t="inlineStr">
        <is>
          <t>Words often confused</t>
        </is>
      </c>
      <c r="E647" s="4" t="inlineStr">
        <is>
          <t>Words often confused</t>
        </is>
      </c>
      <c r="F647" s="4" t="inlineStr">
        <is>
          <t>10+</t>
        </is>
      </c>
      <c r="G647" s="4" t="inlineStr"/>
      <c r="H647" s="4" t="inlineStr"/>
      <c r="I647" s="4" t="inlineStr"/>
      <c r="J647" s="4" t="inlineStr"/>
      <c r="K647" s="4" t="inlineStr"/>
      <c r="L647" s="18" t="inlineStr">
        <is>
          <t>М3 (3f) · новое
М4 (4f) · повт.
М5 (5f) · повт.
М6 (6f) · повт.
М7 (7f) · повт.</t>
        </is>
      </c>
      <c r="M647" s="7" t="inlineStr">
        <is>
          <t>М8 (8f) · повт.</t>
        </is>
      </c>
      <c r="N647" s="4" t="inlineStr"/>
      <c r="O647" s="7" t="inlineStr">
        <is>
          <t>М3 (3a) · повт.</t>
        </is>
      </c>
      <c r="P647" s="19" t="inlineStr">
        <is>
          <t>—</t>
        </is>
      </c>
      <c r="Q647" s="20" t="inlineStr"/>
      <c r="R647" s="8" t="inlineStr">
        <is>
          <t>нет</t>
        </is>
      </c>
      <c r="S647" s="4" t="inlineStr"/>
      <c r="T647" s="4" t="inlineStr"/>
    </row>
  </sheetData>
  <autoFilter ref="A1:T647"/>
  <conditionalFormatting sqref="P2:P647">
    <cfRule type="cellIs" priority="1" operator="equal" dxfId="0">
      <formula>"есть"</formula>
    </cfRule>
    <cfRule type="cellIs" priority="2" operator="equal" dxfId="1">
      <formula>"нет"</formula>
    </cfRule>
  </conditionalFormatting>
  <conditionalFormatting sqref="R2:R647">
    <cfRule type="cellIs" priority="3" operator="equal" dxfId="0">
      <formula>"есть"</formula>
    </cfRule>
    <cfRule type="cellIs" priority="4" operator="equal" dxfId="1">
      <formula>"нет"</formula>
    </cfRule>
  </conditionalFormatting>
  <dataValidations count="1">
    <dataValidation sqref="P2 P3 P4 P5 P6 P7 P8 P9 P10 P12 P17 P18 P19 P20 P22 P28 P29 P30 P31 P32 P33 P34 P125 P126 P127 P128 P129 P130 P131 P132 P134 P135 P136 P137 P138 P139 P140 P141 P330 P343 P344 P346 P347 P348 P349 P352 P353 P359 P360 P361 P362 P363 P364 P402 P403 P404 P405 P406 P492 P493 P500 P501 P503 P509 P512 P513 P514 P515 R2 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5 R136 R137 R138 R139 R140 R141 R142 R143 R144 R145 R146 R147 R148 R149 R150 R151 R152 R153 R154 R155 R156 R157 R158 R159 R160 R161 R162 R163 R164 R165 R166 R167 R168 R169 R170 R171 R172 R173 R174 R175 R176 R177 R178 R179 R180 R181 R182 R183 R184 R185 R186 R187 R188 R189 R190 R191 R192 R193 R194 R195 R196 R197 R198 R199 R200 R201 R202 R203 R204 R205 R206 R207 R208 R209 R210 R211 R212 R213 R214 R215 R216 R217 R218 R219 R220 R221 R222 R223 R224 R225 R226 R227 R228 R229 R230 R231 R232 R233 R234 R235 R236 R237 R238 R239 R240 R241 R242 R243 R244 R245 R246 R247 R248 R249 R250 R251 R252 R253 R254 R255 R256 R257 R258 R259 R260 R261 R262 R263 R264 R265 R266 R267 R268 R269 R270 R271 R272 R273 R274 R275 R276 R277 R278 R279 R280 R281 R282 R283 R284 R285 R286 R287 R288 R289 R290 R291 R292 R293 R294 R295 R296 R297 R298 R299 R300 R301 R302 R303 R304 R305 R306 R307 R308 R309 R310 R311 R312 R313 R314 R315 R316 R317 R318 R319 R320 R321 R322 R323 R324 R325 R326 R327 R328 R329 R330 R331 R332 R333 R334 R335 R336 R337 R338 R339 R340 R341 R342 R343 R345 R346 R347 R348 R349 R350 R351 R352 R353 R354 R355 R356 R357 R358 R359 R360 R361 R362 R363 R364 R365 R366 R367 R368 R369 R370 R371 R372 R373 R374 R375 R376 R377 R378 R379 R380 R381 R382 R383 R384 R385 R386 R387 R388 R389 R390 R391 R392 R393 R394 R395 R396 R397 R398 R399 R400 R401 R402 R403 R405 R406 R407 R408 R409 R410 R411 R412 R413 R414 R415 R416 R417 R418 R419 R420 R421 R422 R423 R424 R425 R426 R427 R428 R429 R430 R431 R432 R433 R434 R435 R436 R437 R438 R439 R440 R441 R442 R443 R444 R445 R446 R447 R448 R449 R450 R451 R452 R453 R454 R455 R456 R457 R458 R459 R460 R461 R462 R463 R464 R465 R466 R467 R468 R469 R470 R471 R472 R473 R474 R475 R476 R477 R478 R479 R480 R481 R482 R483 R484 R485 R486 R487 R488 R489 R490 R491 R492 R493 R494 R495 R496 R497 R498 R499 R500 R501 R502 R503 R504 R505 R506 R507 R508 R510 R511 R512 R513 R514 R515 R516 R517 R518 R519 R520 R521 R522 R523 R524 R525 R526 R527 R528 R529 R530 R531 R532 R533 R534 R535 R536 R537 R538 R539 R540 R541 R542 R543 R544 R545 R546 R547 R548 R549 R550 R551 R552 R553 R554 R555 R556 R557 R558 R559 R560 R561 R562 R563 R564 R565 R566 R567 R568 R569 R570 R571 R572 R573 R574 R575 R576 R577 R578 R579 R580 R581 R582 R583 R584 R585 R586 R587 R588 R589 R590 R591 R592 R593 R594 R595 R596 R597 R598 R599 R600 R601 R602 R603 R604 R605 R606 R607 R608 R609 R610 R611 R612 R613 R614 R615 R616 R617 R618 R619 R620 R621 R622 R623 R624 R625 R626 R627 R628 R629 R630 R631 R632 R633 R634 R635 R636 R637 R638 R639 R640 R641 R642 R643 R644 R645 R646 R647" showDropDown="0" showInputMessage="0" showErrorMessage="0" allowBlank="1" type="list">
      <formula1>"есть,нет"</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1929"/>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7" customWidth="1" min="1" max="1"/>
    <col width="26" customWidth="1" min="2" max="2"/>
    <col width="9" customWidth="1" min="3" max="3"/>
    <col width="22" customWidth="1" min="4" max="4"/>
    <col width="44" customWidth="1" min="5" max="5"/>
    <col width="11" customWidth="1" min="6" max="6"/>
    <col width="50" customWidth="1" min="7" max="7"/>
    <col width="8" customWidth="1" min="8" max="8"/>
    <col width="9" customWidth="1" min="9" max="9"/>
    <col width="26" customWidth="1" min="10" max="10"/>
    <col width="18" customWidth="1" min="11" max="11"/>
    <col width="60" customWidth="1" min="12" max="12"/>
  </cols>
  <sheetData>
    <row r="1">
      <c r="A1" s="3" t="inlineStr">
        <is>
          <t>Класс</t>
        </is>
      </c>
      <c r="B1" s="3" t="inlineStr">
        <is>
          <t>Модуль</t>
        </is>
      </c>
      <c r="C1" s="3" t="inlineStr">
        <is>
          <t>Урок учебника</t>
        </is>
      </c>
      <c r="D1" s="3" t="inlineStr">
        <is>
          <t>Тема (папка)</t>
        </is>
      </c>
      <c r="E1" s="3" t="inlineStr">
        <is>
          <t>Подтема (урок)</t>
        </is>
      </c>
      <c r="F1" s="3" t="inlineStr">
        <is>
          <t>В учебнике</t>
        </is>
      </c>
      <c r="G1" s="3" t="inlineStr">
        <is>
          <t>Что именно</t>
        </is>
      </c>
      <c r="H1" s="3" t="inlineStr">
        <is>
          <t>Группа</t>
        </is>
      </c>
      <c r="I1" s="3" t="inlineStr">
        <is>
          <t>Видео</t>
        </is>
      </c>
      <c r="J1" s="3" t="inlineStr">
        <is>
          <t>Вебинар</t>
        </is>
      </c>
      <c r="K1" s="3" t="inlineStr">
        <is>
          <t>Готовность</t>
        </is>
      </c>
      <c r="L1" s="3" t="inlineStr">
        <is>
          <t>Путь</t>
        </is>
      </c>
    </row>
    <row r="2">
      <c r="A2" s="22" t="n">
        <v>3</v>
      </c>
      <c r="B2" s="9" t="inlineStr">
        <is>
          <t>Module 1 · School days</t>
        </is>
      </c>
      <c r="C2" s="9" t="inlineStr"/>
      <c r="D2" s="9" t="inlineStr">
        <is>
          <t>to be (Present)</t>
        </is>
      </c>
      <c r="E2" s="23" t="inlineStr">
        <is>
          <t>to be (Present): утверждение — am/is/are, полные и краткие формы</t>
        </is>
      </c>
      <c r="F2" s="24" t="inlineStr">
        <is>
          <t>новое</t>
        </is>
      </c>
      <c r="G2" s="9" t="inlineStr">
        <is>
          <t>все лица; I am/I'm, he is/he's, we are/we're…</t>
        </is>
      </c>
      <c r="H2" s="22" t="inlineStr">
        <is>
          <t>7–9</t>
        </is>
      </c>
      <c r="I2" s="9">
        <f>IFERROR(INDEX('Темы × классы'!$P:$P,MATCH(E2,'Темы × классы'!$E:$E,0)),"")</f>
        <v/>
      </c>
      <c r="J2" s="9">
        <f>IFERROR(INDEX('Темы × классы'!$Q:$Q,MATCH(E2,'Темы × классы'!$E:$E,0))&amp;"","")</f>
        <v/>
      </c>
      <c r="K2" s="9" t="inlineStr">
        <is>
          <t>не начат</t>
        </is>
      </c>
      <c r="L2" s="9" t="inlineStr">
        <is>
          <t>Spotlight / 3 класс / Module 1 · School days / to be (Present) / to be (Present): утверждение — am/is/are, полные и краткие формы</t>
        </is>
      </c>
    </row>
    <row r="3">
      <c r="A3" s="22" t="n">
        <v>3</v>
      </c>
      <c r="B3" s="9" t="inlineStr">
        <is>
          <t>Module 1 · School days</t>
        </is>
      </c>
      <c r="C3" s="9" t="inlineStr"/>
      <c r="D3" s="9" t="inlineStr">
        <is>
          <t>to be (Present)</t>
        </is>
      </c>
      <c r="E3" s="23" t="inlineStr">
        <is>
          <t>to be (Present): отрицание — am not / isn't / aren't</t>
        </is>
      </c>
      <c r="F3" s="24" t="inlineStr">
        <is>
          <t>новое</t>
        </is>
      </c>
      <c r="G3" s="9" t="inlineStr">
        <is>
          <t>полные и краткие: I'm not, isn't, aren't</t>
        </is>
      </c>
      <c r="H3" s="22" t="inlineStr">
        <is>
          <t>7–9</t>
        </is>
      </c>
      <c r="I3" s="9">
        <f>IFERROR(INDEX('Темы × классы'!$P:$P,MATCH(E3,'Темы × классы'!$E:$E,0)),"")</f>
        <v/>
      </c>
      <c r="J3" s="9">
        <f>IFERROR(INDEX('Темы × классы'!$Q:$Q,MATCH(E3,'Темы × классы'!$E:$E,0))&amp;"","")</f>
        <v/>
      </c>
      <c r="K3" s="9" t="inlineStr">
        <is>
          <t>не начат</t>
        </is>
      </c>
      <c r="L3" s="9" t="inlineStr">
        <is>
          <t>Spotlight / 3 класс / Module 1 · School days / to be (Present) / to be (Present): отрицание — am not / isn't / aren't</t>
        </is>
      </c>
    </row>
    <row r="4">
      <c r="A4" s="22" t="n">
        <v>3</v>
      </c>
      <c r="B4" s="9" t="inlineStr">
        <is>
          <t>Module 1 · School days</t>
        </is>
      </c>
      <c r="C4" s="9" t="inlineStr"/>
      <c r="D4" s="9" t="inlineStr">
        <is>
          <t>to be (Present)</t>
        </is>
      </c>
      <c r="E4" s="23" t="inlineStr">
        <is>
          <t>to be (Present): вопросы и краткие ответы</t>
        </is>
      </c>
      <c r="F4" s="24" t="inlineStr">
        <is>
          <t>новое</t>
        </is>
      </c>
      <c r="G4" s="9" t="inlineStr">
        <is>
          <t>Am I? Is he? Are you?; Yes, I am / No, I'm not</t>
        </is>
      </c>
      <c r="H4" s="22" t="inlineStr">
        <is>
          <t>7–9</t>
        </is>
      </c>
      <c r="I4" s="9">
        <f>IFERROR(INDEX('Темы × классы'!$P:$P,MATCH(E4,'Темы × классы'!$E:$E,0)),"")</f>
        <v/>
      </c>
      <c r="J4" s="9">
        <f>IFERROR(INDEX('Темы × классы'!$Q:$Q,MATCH(E4,'Темы × классы'!$E:$E,0))&amp;"","")</f>
        <v/>
      </c>
      <c r="K4" s="9" t="inlineStr">
        <is>
          <t>не начат</t>
        </is>
      </c>
      <c r="L4" s="9" t="inlineStr">
        <is>
          <t>Spotlight / 3 класс / Module 1 · School days / to be (Present) / to be (Present): вопросы и краткие ответы</t>
        </is>
      </c>
    </row>
    <row r="5">
      <c r="A5" s="22" t="n">
        <v>3</v>
      </c>
      <c r="B5" s="9" t="inlineStr">
        <is>
          <t>Module 2 · Family moments</t>
        </is>
      </c>
      <c r="C5" s="9" t="inlineStr"/>
      <c r="D5" s="9" t="inlineStr">
        <is>
          <t>to be (Past: was/were)</t>
        </is>
      </c>
      <c r="E5" s="23" t="inlineStr">
        <is>
          <t>to be (Past): утверждение — was / were</t>
        </is>
      </c>
      <c r="F5" s="24" t="inlineStr">
        <is>
          <t>новое</t>
        </is>
      </c>
      <c r="G5" s="9" t="inlineStr">
        <is>
          <t>I/he/she/it was; you/we/they were</t>
        </is>
      </c>
      <c r="H5" s="22" t="inlineStr">
        <is>
          <t>7–9</t>
        </is>
      </c>
      <c r="I5" s="9">
        <f>IFERROR(INDEX('Темы × классы'!$P:$P,MATCH(E5,'Темы × классы'!$E:$E,0)),"")</f>
        <v/>
      </c>
      <c r="J5" s="9">
        <f>IFERROR(INDEX('Темы × классы'!$Q:$Q,MATCH(E5,'Темы × классы'!$E:$E,0))&amp;"","")</f>
        <v/>
      </c>
      <c r="K5" s="9" t="inlineStr">
        <is>
          <t>не начат</t>
        </is>
      </c>
      <c r="L5" s="9" t="inlineStr">
        <is>
          <t>Spotlight / 3 класс / Module 2 · Family moments / to be (Past: was/were) / to be (Past): утверждение — was / were</t>
        </is>
      </c>
    </row>
    <row r="6">
      <c r="A6" s="22" t="n">
        <v>3</v>
      </c>
      <c r="B6" s="9" t="inlineStr">
        <is>
          <t>Module 2 · Family moments</t>
        </is>
      </c>
      <c r="C6" s="9" t="inlineStr"/>
      <c r="D6" s="9" t="inlineStr">
        <is>
          <t>to be (Past: was/were)</t>
        </is>
      </c>
      <c r="E6" s="23" t="inlineStr">
        <is>
          <t>to be (Past): отрицание — wasn't / weren't</t>
        </is>
      </c>
      <c r="F6" s="24" t="inlineStr">
        <is>
          <t>новое</t>
        </is>
      </c>
      <c r="G6" s="9" t="inlineStr">
        <is>
          <t>полные и краткие: was not/wasn't, were not/weren't</t>
        </is>
      </c>
      <c r="H6" s="22" t="inlineStr">
        <is>
          <t>7–9</t>
        </is>
      </c>
      <c r="I6" s="9">
        <f>IFERROR(INDEX('Темы × классы'!$P:$P,MATCH(E6,'Темы × классы'!$E:$E,0)),"")</f>
        <v/>
      </c>
      <c r="J6" s="9">
        <f>IFERROR(INDEX('Темы × классы'!$Q:$Q,MATCH(E6,'Темы × классы'!$E:$E,0))&amp;"","")</f>
        <v/>
      </c>
      <c r="K6" s="9" t="inlineStr">
        <is>
          <t>не начат</t>
        </is>
      </c>
      <c r="L6" s="9" t="inlineStr">
        <is>
          <t>Spotlight / 3 класс / Module 2 · Family moments / to be (Past: was/were) / to be (Past): отрицание — wasn't / weren't</t>
        </is>
      </c>
    </row>
    <row r="7">
      <c r="A7" s="22" t="n">
        <v>3</v>
      </c>
      <c r="B7" s="9" t="inlineStr">
        <is>
          <t>Module 2 · Family moments</t>
        </is>
      </c>
      <c r="C7" s="9" t="inlineStr"/>
      <c r="D7" s="9" t="inlineStr">
        <is>
          <t>to be (Past: was/were)</t>
        </is>
      </c>
      <c r="E7" s="23" t="inlineStr">
        <is>
          <t>to be (Past): вопросы и краткие ответы</t>
        </is>
      </c>
      <c r="F7" s="24" t="inlineStr">
        <is>
          <t>новое</t>
        </is>
      </c>
      <c r="G7" s="9" t="inlineStr">
        <is>
          <t>was/were перед подлежащим; Yes, I was / No, they weren't</t>
        </is>
      </c>
      <c r="H7" s="22" t="inlineStr">
        <is>
          <t>7–9</t>
        </is>
      </c>
      <c r="I7" s="9">
        <f>IFERROR(INDEX('Темы × классы'!$P:$P,MATCH(E7,'Темы × классы'!$E:$E,0)),"")</f>
        <v/>
      </c>
      <c r="J7" s="9">
        <f>IFERROR(INDEX('Темы × классы'!$Q:$Q,MATCH(E7,'Темы × классы'!$E:$E,0))&amp;"","")</f>
        <v/>
      </c>
      <c r="K7" s="9" t="inlineStr">
        <is>
          <t>не начат</t>
        </is>
      </c>
      <c r="L7" s="9" t="inlineStr">
        <is>
          <t>Spotlight / 3 класс / Module 2 · Family moments / to be (Past: was/were) / to be (Past): вопросы и краткие ответы</t>
        </is>
      </c>
    </row>
    <row r="8">
      <c r="A8" s="22" t="n">
        <v>3</v>
      </c>
      <c r="B8" s="9" t="inlineStr">
        <is>
          <t>Module 2 · Family moments</t>
        </is>
      </c>
      <c r="C8" s="9" t="inlineStr"/>
      <c r="D8" s="9" t="inlineStr">
        <is>
          <t>to be (Past: was/were)</t>
        </is>
      </c>
      <c r="E8" s="23" t="inlineStr">
        <is>
          <t>to be (Past): слова-указатели прошедшего времени</t>
        </is>
      </c>
      <c r="F8" s="24" t="inlineStr">
        <is>
          <t>новое</t>
        </is>
      </c>
      <c r="G8" s="9" t="inlineStr">
        <is>
          <t>yesterday, last week/month/year, two days ago, in 1975</t>
        </is>
      </c>
      <c r="H8" s="22" t="inlineStr">
        <is>
          <t>7–9</t>
        </is>
      </c>
      <c r="I8" s="9">
        <f>IFERROR(INDEX('Темы × классы'!$P:$P,MATCH(E8,'Темы × классы'!$E:$E,0)),"")</f>
        <v/>
      </c>
      <c r="J8" s="9">
        <f>IFERROR(INDEX('Темы × классы'!$Q:$Q,MATCH(E8,'Темы × классы'!$E:$E,0))&amp;"","")</f>
        <v/>
      </c>
      <c r="K8" s="9" t="inlineStr">
        <is>
          <t>не начат</t>
        </is>
      </c>
      <c r="L8" s="9" t="inlineStr">
        <is>
          <t>Spotlight / 3 класс / Module 2 · Family moments / to be (Past: was/were) / to be (Past): слова-указатели прошедшего времени</t>
        </is>
      </c>
    </row>
    <row r="9">
      <c r="A9" s="22" t="n">
        <v>3</v>
      </c>
      <c r="B9" s="9" t="inlineStr">
        <is>
          <t>Module 2 · Family moments</t>
        </is>
      </c>
      <c r="C9" s="9" t="inlineStr"/>
      <c r="D9" s="9" t="inlineStr">
        <is>
          <t>Plurals (regular)</t>
        </is>
      </c>
      <c r="E9" s="23" t="inlineStr">
        <is>
          <t>Plurals (regular): основное правило — + -s</t>
        </is>
      </c>
      <c r="F9" s="24" t="inlineStr">
        <is>
          <t>новое</t>
        </is>
      </c>
      <c r="G9" s="9" t="inlineStr">
        <is>
          <t>только это правило: pen — pens, book — books</t>
        </is>
      </c>
      <c r="H9" s="22" t="inlineStr">
        <is>
          <t>7–9</t>
        </is>
      </c>
      <c r="I9" s="9">
        <f>IFERROR(INDEX('Темы × классы'!$P:$P,MATCH(E9,'Темы × классы'!$E:$E,0)),"")</f>
        <v/>
      </c>
      <c r="J9" s="9">
        <f>IFERROR(INDEX('Темы × классы'!$Q:$Q,MATCH(E9,'Темы × классы'!$E:$E,0))&amp;"","")</f>
        <v/>
      </c>
      <c r="K9" s="9" t="inlineStr">
        <is>
          <t>не начат</t>
        </is>
      </c>
      <c r="L9" s="9" t="inlineStr">
        <is>
          <t>Spotlight / 3 класс / Module 2 · Family moments / Plurals (regular) / Plurals (regular): основное правило — + -s</t>
        </is>
      </c>
    </row>
    <row r="10">
      <c r="A10" s="22" t="n">
        <v>3</v>
      </c>
      <c r="B10" s="9" t="inlineStr">
        <is>
          <t>Module 2 · Family moments</t>
        </is>
      </c>
      <c r="C10" s="9" t="inlineStr"/>
      <c r="D10" s="9" t="inlineStr">
        <is>
          <t>Possessive adjectives</t>
        </is>
      </c>
      <c r="E10" s="23" t="inlineStr">
        <is>
          <t>Possessive adjectives: формы my, your, his, her, its, our, their</t>
        </is>
      </c>
      <c r="F10" s="24" t="inlineStr">
        <is>
          <t>новое</t>
        </is>
      </c>
      <c r="G10" s="9" t="inlineStr">
        <is>
          <t>полная таблица I — my … they — their</t>
        </is>
      </c>
      <c r="H10" s="22" t="inlineStr">
        <is>
          <t>7–9</t>
        </is>
      </c>
      <c r="I10" s="9">
        <f>IFERROR(INDEX('Темы × классы'!$P:$P,MATCH(E10,'Темы × классы'!$E:$E,0)),"")</f>
        <v/>
      </c>
      <c r="J10" s="9">
        <f>IFERROR(INDEX('Темы × классы'!$Q:$Q,MATCH(E10,'Темы × классы'!$E:$E,0))&amp;"","")</f>
        <v/>
      </c>
      <c r="K10" s="9" t="inlineStr">
        <is>
          <t>не начат</t>
        </is>
      </c>
      <c r="L10" s="9" t="inlineStr">
        <is>
          <t>Spotlight / 3 класс / Module 2 · Family moments / Possessive adjectives / Possessive adjectives: формы my, your, his, her, its, our, their</t>
        </is>
      </c>
    </row>
    <row r="11">
      <c r="A11" s="22" t="n">
        <v>3</v>
      </c>
      <c r="B11" s="9" t="inlineStr">
        <is>
          <t>Module 2 · Family moments</t>
        </is>
      </c>
      <c r="C11" s="9" t="inlineStr"/>
      <c r="D11" s="9" t="inlineStr">
        <is>
          <t>Possessive adjectives</t>
        </is>
      </c>
      <c r="E11" s="23" t="inlineStr">
        <is>
          <t>Possessive adjectives: значение — принадлежность и отношения между людьми</t>
        </is>
      </c>
      <c r="F11" s="24" t="inlineStr">
        <is>
          <t>новое</t>
        </is>
      </c>
      <c r="G11" s="9" t="inlineStr">
        <is>
          <t>перед существительным: This is my mother</t>
        </is>
      </c>
      <c r="H11" s="22" t="inlineStr">
        <is>
          <t>7–9</t>
        </is>
      </c>
      <c r="I11" s="9">
        <f>IFERROR(INDEX('Темы × классы'!$P:$P,MATCH(E11,'Темы × классы'!$E:$E,0)),"")</f>
        <v/>
      </c>
      <c r="J11" s="9">
        <f>IFERROR(INDEX('Темы × классы'!$Q:$Q,MATCH(E11,'Темы × классы'!$E:$E,0))&amp;"","")</f>
        <v/>
      </c>
      <c r="K11" s="9" t="inlineStr">
        <is>
          <t>не начат</t>
        </is>
      </c>
      <c r="L11" s="9" t="inlineStr">
        <is>
          <t>Spotlight / 3 класс / Module 2 · Family moments / Possessive adjectives / Possessive adjectives: значение — принадлежность и отношения между людьми</t>
        </is>
      </c>
    </row>
    <row r="12">
      <c r="A12" s="22" t="n">
        <v>3</v>
      </c>
      <c r="B12" s="9" t="inlineStr">
        <is>
          <t>Module 3 · All the things I like!</t>
        </is>
      </c>
      <c r="C12" s="9" t="inlineStr"/>
      <c r="D12" s="9" t="inlineStr">
        <is>
          <t>Present Simple</t>
        </is>
      </c>
      <c r="E12" s="23" t="inlineStr">
        <is>
          <t>Present Simple: утверждение (I/you/we/they V, he/she/it V-s)</t>
        </is>
      </c>
      <c r="F12" s="24" t="inlineStr">
        <is>
          <t>новое</t>
        </is>
      </c>
      <c r="G12" s="9" t="inlineStr">
        <is>
          <t>все лица: I like, he/she/it likes</t>
        </is>
      </c>
      <c r="H12" s="22" t="inlineStr">
        <is>
          <t>7–9</t>
        </is>
      </c>
      <c r="I12" s="9">
        <f>IFERROR(INDEX('Темы × классы'!$P:$P,MATCH(E12,'Темы × классы'!$E:$E,0)),"")</f>
        <v/>
      </c>
      <c r="J12" s="9">
        <f>IFERROR(INDEX('Темы × классы'!$Q:$Q,MATCH(E12,'Темы × классы'!$E:$E,0))&amp;"","")</f>
        <v/>
      </c>
      <c r="K12" s="9" t="inlineStr">
        <is>
          <t>не начат</t>
        </is>
      </c>
      <c r="L12" s="9" t="inlineStr">
        <is>
          <t>Spotlight / 3 класс / Module 3 · All the things I like! / Present Simple / Present Simple: утверждение (I/you/we/they V, he/she/it V-s)</t>
        </is>
      </c>
    </row>
    <row r="13">
      <c r="A13" s="22" t="n">
        <v>3</v>
      </c>
      <c r="B13" s="9" t="inlineStr">
        <is>
          <t>Module 3 · All the things I like!</t>
        </is>
      </c>
      <c r="C13" s="9" t="inlineStr"/>
      <c r="D13" s="9" t="inlineStr">
        <is>
          <t>Present Simple</t>
        </is>
      </c>
      <c r="E13" s="23" t="inlineStr">
        <is>
          <t>Present Simple: отрицание (don't/doesn't)</t>
        </is>
      </c>
      <c r="F13" s="24" t="inlineStr">
        <is>
          <t>новое</t>
        </is>
      </c>
      <c r="G13" s="9" t="inlineStr">
        <is>
          <t>do not/don't, does not/doesn't</t>
        </is>
      </c>
      <c r="H13" s="22" t="inlineStr">
        <is>
          <t>7–9</t>
        </is>
      </c>
      <c r="I13" s="9">
        <f>IFERROR(INDEX('Темы × классы'!$P:$P,MATCH(E13,'Темы × классы'!$E:$E,0)),"")</f>
        <v/>
      </c>
      <c r="J13" s="9">
        <f>IFERROR(INDEX('Темы × классы'!$Q:$Q,MATCH(E13,'Темы × классы'!$E:$E,0))&amp;"","")</f>
        <v/>
      </c>
      <c r="K13" s="9" t="inlineStr">
        <is>
          <t>не начат</t>
        </is>
      </c>
      <c r="L13" s="9" t="inlineStr">
        <is>
          <t>Spotlight / 3 класс / Module 3 · All the things I like! / Present Simple / Present Simple: отрицание (don't/doesn't)</t>
        </is>
      </c>
    </row>
    <row r="14">
      <c r="A14" s="22" t="n">
        <v>3</v>
      </c>
      <c r="B14" s="9" t="inlineStr">
        <is>
          <t>Module 3 · All the things I like!</t>
        </is>
      </c>
      <c r="C14" s="9" t="inlineStr"/>
      <c r="D14" s="9" t="inlineStr">
        <is>
          <t>Present Simple</t>
        </is>
      </c>
      <c r="E14" s="23" t="inlineStr">
        <is>
          <t>Present Simple: общие вопросы (Do/Does …?)</t>
        </is>
      </c>
      <c r="F14" s="24" t="inlineStr">
        <is>
          <t>новое</t>
        </is>
      </c>
      <c r="G14" s="9" t="inlineStr">
        <is>
          <t>Do I/you/we/they …? Does he/she/it …?</t>
        </is>
      </c>
      <c r="H14" s="22" t="inlineStr">
        <is>
          <t>7–9</t>
        </is>
      </c>
      <c r="I14" s="9">
        <f>IFERROR(INDEX('Темы × классы'!$P:$P,MATCH(E14,'Темы × классы'!$E:$E,0)),"")</f>
        <v/>
      </c>
      <c r="J14" s="9">
        <f>IFERROR(INDEX('Темы × классы'!$Q:$Q,MATCH(E14,'Темы × классы'!$E:$E,0))&amp;"","")</f>
        <v/>
      </c>
      <c r="K14" s="9" t="inlineStr">
        <is>
          <t>не начат</t>
        </is>
      </c>
      <c r="L14" s="9" t="inlineStr">
        <is>
          <t>Spotlight / 3 класс / Module 3 · All the things I like! / Present Simple / Present Simple: общие вопросы (Do/Does …?)</t>
        </is>
      </c>
    </row>
    <row r="15">
      <c r="A15" s="22" t="n">
        <v>3</v>
      </c>
      <c r="B15" s="9" t="inlineStr">
        <is>
          <t>Module 3 · All the things I like!</t>
        </is>
      </c>
      <c r="C15" s="9" t="inlineStr"/>
      <c r="D15" s="9" t="inlineStr">
        <is>
          <t>Present Simple</t>
        </is>
      </c>
      <c r="E15" s="23" t="inlineStr">
        <is>
          <t>Present Simple: краткие ответы (Yes, I do / No, he doesn't)</t>
        </is>
      </c>
      <c r="F15" s="24" t="inlineStr">
        <is>
          <t>новое</t>
        </is>
      </c>
      <c r="G15" s="9" t="inlineStr">
        <is>
          <t>все лица</t>
        </is>
      </c>
      <c r="H15" s="22" t="inlineStr">
        <is>
          <t>7–9</t>
        </is>
      </c>
      <c r="I15" s="9">
        <f>IFERROR(INDEX('Темы × классы'!$P:$P,MATCH(E15,'Темы × классы'!$E:$E,0)),"")</f>
        <v/>
      </c>
      <c r="J15" s="9">
        <f>IFERROR(INDEX('Темы × классы'!$Q:$Q,MATCH(E15,'Темы × классы'!$E:$E,0))&amp;"","")</f>
        <v/>
      </c>
      <c r="K15" s="9" t="inlineStr">
        <is>
          <t>не начат</t>
        </is>
      </c>
      <c r="L15" s="9" t="inlineStr">
        <is>
          <t>Spotlight / 3 класс / Module 3 · All the things I like! / Present Simple / Present Simple: краткие ответы (Yes, I do / No, he doesn't)</t>
        </is>
      </c>
    </row>
    <row r="16">
      <c r="A16" s="22" t="n">
        <v>3</v>
      </c>
      <c r="B16" s="9" t="inlineStr">
        <is>
          <t>Module 3 · All the things I like!</t>
        </is>
      </c>
      <c r="C16" s="9" t="inlineStr"/>
      <c r="D16" s="9" t="inlineStr">
        <is>
          <t>Present Simple</t>
        </is>
      </c>
      <c r="E16" s="23" t="inlineStr">
        <is>
          <t>Present Simple: значение — регулярные действия, распорядок дня, привычки</t>
        </is>
      </c>
      <c r="F16" s="24" t="inlineStr">
        <is>
          <t>новое</t>
        </is>
      </c>
      <c r="G16" s="9" t="inlineStr">
        <is>
          <t>повседневные действия и привычки; сигнальных слов нет</t>
        </is>
      </c>
      <c r="H16" s="22" t="inlineStr">
        <is>
          <t>7–9</t>
        </is>
      </c>
      <c r="I16" s="9">
        <f>IFERROR(INDEX('Темы × классы'!$P:$P,MATCH(E16,'Темы × классы'!$E:$E,0)),"")</f>
        <v/>
      </c>
      <c r="J16" s="9">
        <f>IFERROR(INDEX('Темы × классы'!$Q:$Q,MATCH(E16,'Темы × классы'!$E:$E,0))&amp;"","")</f>
        <v/>
      </c>
      <c r="K16" s="9" t="inlineStr">
        <is>
          <t>не начат</t>
        </is>
      </c>
      <c r="L16" s="9" t="inlineStr">
        <is>
          <t>Spotlight / 3 класс / Module 3 · All the things I like! / Present Simple / Present Simple: значение — регулярные действия, распорядок дня, привычки</t>
        </is>
      </c>
    </row>
    <row r="17">
      <c r="A17" s="22" t="n">
        <v>3</v>
      </c>
      <c r="B17" s="9" t="inlineStr">
        <is>
          <t>Module 3 · All the things I like!</t>
        </is>
      </c>
      <c r="C17" s="9" t="inlineStr"/>
      <c r="D17" s="9" t="inlineStr">
        <is>
          <t>Countable / Uncountable nouns</t>
        </is>
      </c>
      <c r="E17" s="23" t="inlineStr">
        <is>
          <t>Countable / Uncountable: различие исчисляемых и неисчисляемых</t>
        </is>
      </c>
      <c r="F17" s="24" t="inlineStr">
        <is>
          <t>новое</t>
        </is>
      </c>
      <c r="G17" s="9" t="inlineStr">
        <is>
          <t>только в рамках some/any, отдельного раздела нет</t>
        </is>
      </c>
      <c r="H17" s="22" t="inlineStr">
        <is>
          <t>7–9</t>
        </is>
      </c>
      <c r="I17" s="9">
        <f>IFERROR(INDEX('Темы × классы'!$P:$P,MATCH(E17,'Темы × классы'!$E:$E,0)),"")</f>
        <v/>
      </c>
      <c r="J17" s="9">
        <f>IFERROR(INDEX('Темы × классы'!$Q:$Q,MATCH(E17,'Темы × классы'!$E:$E,0))&amp;"","")</f>
        <v/>
      </c>
      <c r="K17" s="9" t="inlineStr">
        <is>
          <t>не начат</t>
        </is>
      </c>
      <c r="L17" s="9" t="inlineStr">
        <is>
          <t>Spotlight / 3 класс / Module 3 · All the things I like! / Countable / Uncountable nouns / Countable / Uncountable: различие исчисляемых и неисчисляемых</t>
        </is>
      </c>
    </row>
    <row r="18">
      <c r="A18" s="22" t="n">
        <v>3</v>
      </c>
      <c r="B18" s="9" t="inlineStr">
        <is>
          <t>Module 3 · All the things I like!</t>
        </is>
      </c>
      <c r="C18" s="9" t="inlineStr"/>
      <c r="D18" s="9" t="inlineStr">
        <is>
          <t>a/an/some/any</t>
        </is>
      </c>
      <c r="E18" s="23" t="inlineStr">
        <is>
          <t>a/an/some/any: some — в утверждениях (неисчисляемые и мн. ч.)</t>
        </is>
      </c>
      <c r="F18" s="24" t="inlineStr">
        <is>
          <t>новое</t>
        </is>
      </c>
      <c r="G18" s="9" t="inlineStr">
        <is>
          <t>There is some cheese / There are some apples</t>
        </is>
      </c>
      <c r="H18" s="22" t="inlineStr">
        <is>
          <t>7–9</t>
        </is>
      </c>
      <c r="I18" s="9">
        <f>IFERROR(INDEX('Темы × классы'!$P:$P,MATCH(E18,'Темы × классы'!$E:$E,0)),"")</f>
        <v/>
      </c>
      <c r="J18" s="9">
        <f>IFERROR(INDEX('Темы × классы'!$Q:$Q,MATCH(E18,'Темы × классы'!$E:$E,0))&amp;"","")</f>
        <v/>
      </c>
      <c r="K18" s="9" t="inlineStr">
        <is>
          <t>не начат</t>
        </is>
      </c>
      <c r="L18" s="9" t="inlineStr">
        <is>
          <t>Spotlight / 3 класс / Module 3 · All the things I like! / a/an/some/any / a/an/some/any: some — в утверждениях (неисчисляемые и мн. ч.)</t>
        </is>
      </c>
    </row>
    <row r="19">
      <c r="A19" s="22" t="n">
        <v>3</v>
      </c>
      <c r="B19" s="9" t="inlineStr">
        <is>
          <t>Module 3 · All the things I like!</t>
        </is>
      </c>
      <c r="C19" s="9" t="inlineStr"/>
      <c r="D19" s="9" t="inlineStr">
        <is>
          <t>a/an/some/any</t>
        </is>
      </c>
      <c r="E19" s="23" t="inlineStr">
        <is>
          <t>a/an/some/any: any — в отрицаниях</t>
        </is>
      </c>
      <c r="F19" s="24" t="inlineStr">
        <is>
          <t>новое</t>
        </is>
      </c>
      <c r="G19" s="9" t="inlineStr">
        <is>
          <t>There aren't any eggs / isn't any water</t>
        </is>
      </c>
      <c r="H19" s="22" t="inlineStr">
        <is>
          <t>7–9</t>
        </is>
      </c>
      <c r="I19" s="9">
        <f>IFERROR(INDEX('Темы × классы'!$P:$P,MATCH(E19,'Темы × классы'!$E:$E,0)),"")</f>
        <v/>
      </c>
      <c r="J19" s="9">
        <f>IFERROR(INDEX('Темы × классы'!$Q:$Q,MATCH(E19,'Темы × классы'!$E:$E,0))&amp;"","")</f>
        <v/>
      </c>
      <c r="K19" s="9" t="inlineStr">
        <is>
          <t>не начат</t>
        </is>
      </c>
      <c r="L19" s="9" t="inlineStr">
        <is>
          <t>Spotlight / 3 класс / Module 3 · All the things I like! / a/an/some/any / a/an/some/any: any — в отрицаниях</t>
        </is>
      </c>
    </row>
    <row r="20">
      <c r="A20" s="22" t="n">
        <v>3</v>
      </c>
      <c r="B20" s="9" t="inlineStr">
        <is>
          <t>Module 3 · All the things I like!</t>
        </is>
      </c>
      <c r="C20" s="9" t="inlineStr"/>
      <c r="D20" s="9" t="inlineStr">
        <is>
          <t>a/an/some/any</t>
        </is>
      </c>
      <c r="E20" s="23" t="inlineStr">
        <is>
          <t>a/an/some/any: any — в вопросах</t>
        </is>
      </c>
      <c r="F20" s="24" t="inlineStr">
        <is>
          <t>новое</t>
        </is>
      </c>
      <c r="G20" s="9" t="inlineStr">
        <is>
          <t>Are there any biscuits? Is there any chocolate?</t>
        </is>
      </c>
      <c r="H20" s="22" t="inlineStr">
        <is>
          <t>7–9</t>
        </is>
      </c>
      <c r="I20" s="9">
        <f>IFERROR(INDEX('Темы × классы'!$P:$P,MATCH(E20,'Темы × классы'!$E:$E,0)),"")</f>
        <v/>
      </c>
      <c r="J20" s="9">
        <f>IFERROR(INDEX('Темы × классы'!$Q:$Q,MATCH(E20,'Темы × классы'!$E:$E,0))&amp;"","")</f>
        <v/>
      </c>
      <c r="K20" s="9" t="inlineStr">
        <is>
          <t>не начат</t>
        </is>
      </c>
      <c r="L20" s="9" t="inlineStr">
        <is>
          <t>Spotlight / 3 класс / Module 3 · All the things I like! / a/an/some/any / a/an/some/any: any — в вопросах</t>
        </is>
      </c>
    </row>
    <row r="21">
      <c r="A21" s="22" t="n">
        <v>3</v>
      </c>
      <c r="B21" s="9" t="inlineStr">
        <is>
          <t>Module 3 · All the things I like!</t>
        </is>
      </c>
      <c r="C21" s="9" t="inlineStr"/>
      <c r="D21" s="9" t="inlineStr">
        <is>
          <t>a/an/some/any</t>
        </is>
      </c>
      <c r="E21" s="23" t="inlineStr">
        <is>
          <t>a/an/some/any: some в вопросах — просьба и предложение</t>
        </is>
      </c>
      <c r="F21" s="24" t="inlineStr">
        <is>
          <t>новое</t>
        </is>
      </c>
      <c r="G21" s="9" t="inlineStr">
        <is>
          <t>только просьба: Can I have some milk, please?</t>
        </is>
      </c>
      <c r="H21" s="22" t="inlineStr">
        <is>
          <t>7–9</t>
        </is>
      </c>
      <c r="I21" s="9">
        <f>IFERROR(INDEX('Темы × классы'!$P:$P,MATCH(E21,'Темы × классы'!$E:$E,0)),"")</f>
        <v/>
      </c>
      <c r="J21" s="9">
        <f>IFERROR(INDEX('Темы × классы'!$Q:$Q,MATCH(E21,'Темы × классы'!$E:$E,0))&amp;"","")</f>
        <v/>
      </c>
      <c r="K21" s="9" t="inlineStr">
        <is>
          <t>не начат</t>
        </is>
      </c>
      <c r="L21" s="9" t="inlineStr">
        <is>
          <t>Spotlight / 3 класс / Module 3 · All the things I like! / a/an/some/any / a/an/some/any: some в вопросах — просьба и предложение</t>
        </is>
      </c>
    </row>
    <row r="22">
      <c r="A22" s="22" t="n">
        <v>3</v>
      </c>
      <c r="B22" s="9" t="inlineStr">
        <is>
          <t>Module 4 · Come in and play!</t>
        </is>
      </c>
      <c r="C22" s="9" t="inlineStr"/>
      <c r="D22" s="9" t="inlineStr">
        <is>
          <t>Past Simple</t>
        </is>
      </c>
      <c r="E22" s="23" t="inlineStr">
        <is>
          <t>Past Simple: правильные глаголы — утверждение (-ed)</t>
        </is>
      </c>
      <c r="F22" s="24" t="inlineStr">
        <is>
          <t>новое</t>
        </is>
      </c>
      <c r="G22" s="9" t="inlineStr">
        <is>
          <t>все лица: worked</t>
        </is>
      </c>
      <c r="H22" s="22" t="inlineStr">
        <is>
          <t>7–9</t>
        </is>
      </c>
      <c r="I22" s="9">
        <f>IFERROR(INDEX('Темы × классы'!$P:$P,MATCH(E22,'Темы × классы'!$E:$E,0)),"")</f>
        <v/>
      </c>
      <c r="J22" s="9">
        <f>IFERROR(INDEX('Темы × классы'!$Q:$Q,MATCH(E22,'Темы × классы'!$E:$E,0))&amp;"","")</f>
        <v/>
      </c>
      <c r="K22" s="9" t="inlineStr">
        <is>
          <t>не начат</t>
        </is>
      </c>
      <c r="L22" s="9" t="inlineStr">
        <is>
          <t>Spotlight / 3 класс / Module 4 · Come in and play! / Past Simple / Past Simple: правильные глаголы — утверждение (-ed)</t>
        </is>
      </c>
    </row>
    <row r="23">
      <c r="A23" s="22" t="n">
        <v>3</v>
      </c>
      <c r="B23" s="9" t="inlineStr">
        <is>
          <t>Module 4 · Come in and play!</t>
        </is>
      </c>
      <c r="C23" s="9" t="inlineStr"/>
      <c r="D23" s="9" t="inlineStr">
        <is>
          <t>Past Simple</t>
        </is>
      </c>
      <c r="E23" s="23" t="inlineStr">
        <is>
          <t>Past Simple: правильные глаголы — отрицание (didn't + V)</t>
        </is>
      </c>
      <c r="F23" s="24" t="inlineStr">
        <is>
          <t>новое</t>
        </is>
      </c>
      <c r="G23" s="9" t="inlineStr">
        <is>
          <t>did not/didn't + V</t>
        </is>
      </c>
      <c r="H23" s="22" t="inlineStr">
        <is>
          <t>7–9</t>
        </is>
      </c>
      <c r="I23" s="9">
        <f>IFERROR(INDEX('Темы × классы'!$P:$P,MATCH(E23,'Темы × классы'!$E:$E,0)),"")</f>
        <v/>
      </c>
      <c r="J23" s="9">
        <f>IFERROR(INDEX('Темы × классы'!$Q:$Q,MATCH(E23,'Темы × классы'!$E:$E,0))&amp;"","")</f>
        <v/>
      </c>
      <c r="K23" s="9" t="inlineStr">
        <is>
          <t>не начат</t>
        </is>
      </c>
      <c r="L23" s="9" t="inlineStr">
        <is>
          <t>Spotlight / 3 класс / Module 4 · Come in and play! / Past Simple / Past Simple: правильные глаголы — отрицание (didn't + V)</t>
        </is>
      </c>
    </row>
    <row r="24">
      <c r="A24" s="22" t="n">
        <v>3</v>
      </c>
      <c r="B24" s="9" t="inlineStr">
        <is>
          <t>Module 4 · Come in and play!</t>
        </is>
      </c>
      <c r="C24" s="9" t="inlineStr"/>
      <c r="D24" s="9" t="inlineStr">
        <is>
          <t>Past Simple</t>
        </is>
      </c>
      <c r="E24" s="23" t="inlineStr">
        <is>
          <t>Past Simple: правильные глаголы — вопросы (Did …?)</t>
        </is>
      </c>
      <c r="F24" s="24" t="inlineStr">
        <is>
          <t>новое</t>
        </is>
      </c>
      <c r="G24" s="9" t="inlineStr">
        <is>
          <t>Did … work?</t>
        </is>
      </c>
      <c r="H24" s="22" t="inlineStr">
        <is>
          <t>7–9</t>
        </is>
      </c>
      <c r="I24" s="9">
        <f>IFERROR(INDEX('Темы × классы'!$P:$P,MATCH(E24,'Темы × классы'!$E:$E,0)),"")</f>
        <v/>
      </c>
      <c r="J24" s="9">
        <f>IFERROR(INDEX('Темы × классы'!$Q:$Q,MATCH(E24,'Темы × классы'!$E:$E,0))&amp;"","")</f>
        <v/>
      </c>
      <c r="K24" s="9" t="inlineStr">
        <is>
          <t>не начат</t>
        </is>
      </c>
      <c r="L24" s="9" t="inlineStr">
        <is>
          <t>Spotlight / 3 класс / Module 4 · Come in and play! / Past Simple / Past Simple: правильные глаголы — вопросы (Did …?)</t>
        </is>
      </c>
    </row>
    <row r="25">
      <c r="A25" s="22" t="n">
        <v>3</v>
      </c>
      <c r="B25" s="9" t="inlineStr">
        <is>
          <t>Module 4 · Come in and play!</t>
        </is>
      </c>
      <c r="C25" s="9" t="inlineStr"/>
      <c r="D25" s="9" t="inlineStr">
        <is>
          <t>Past Simple</t>
        </is>
      </c>
      <c r="E25" s="23" t="inlineStr">
        <is>
          <t>Past Simple: краткие ответы (Yes, I did / No, I didn't)</t>
        </is>
      </c>
      <c r="F25" s="24" t="inlineStr">
        <is>
          <t>новое</t>
        </is>
      </c>
      <c r="G25" s="9" t="inlineStr"/>
      <c r="H25" s="22" t="inlineStr">
        <is>
          <t>7–9</t>
        </is>
      </c>
      <c r="I25" s="9">
        <f>IFERROR(INDEX('Темы × классы'!$P:$P,MATCH(E25,'Темы × классы'!$E:$E,0)),"")</f>
        <v/>
      </c>
      <c r="J25" s="9">
        <f>IFERROR(INDEX('Темы × классы'!$Q:$Q,MATCH(E25,'Темы × классы'!$E:$E,0))&amp;"","")</f>
        <v/>
      </c>
      <c r="K25" s="9" t="inlineStr">
        <is>
          <t>не начат</t>
        </is>
      </c>
      <c r="L25" s="9" t="inlineStr">
        <is>
          <t>Spotlight / 3 класс / Module 4 · Come in and play! / Past Simple / Past Simple: краткие ответы (Yes, I did / No, I didn't)</t>
        </is>
      </c>
    </row>
    <row r="26">
      <c r="A26" s="22" t="n">
        <v>3</v>
      </c>
      <c r="B26" s="9" t="inlineStr">
        <is>
          <t>Module 4 · Come in and play!</t>
        </is>
      </c>
      <c r="C26" s="9" t="inlineStr"/>
      <c r="D26" s="9" t="inlineStr">
        <is>
          <t>Past Simple</t>
        </is>
      </c>
      <c r="E26" s="23" t="inlineStr">
        <is>
          <t>Past Simple: орфография -ed</t>
        </is>
      </c>
      <c r="F26" s="24" t="inlineStr">
        <is>
          <t>новое</t>
        </is>
      </c>
      <c r="G26" s="9" t="inlineStr">
        <is>
          <t>danced, studied, travelled, planned</t>
        </is>
      </c>
      <c r="H26" s="22" t="inlineStr">
        <is>
          <t>7–9</t>
        </is>
      </c>
      <c r="I26" s="9">
        <f>IFERROR(INDEX('Темы × классы'!$P:$P,MATCH(E26,'Темы × классы'!$E:$E,0)),"")</f>
        <v/>
      </c>
      <c r="J26" s="9">
        <f>IFERROR(INDEX('Темы × классы'!$Q:$Q,MATCH(E26,'Темы × классы'!$E:$E,0))&amp;"","")</f>
        <v/>
      </c>
      <c r="K26" s="9" t="inlineStr">
        <is>
          <t>не начат</t>
        </is>
      </c>
      <c r="L26" s="9" t="inlineStr">
        <is>
          <t>Spotlight / 3 класс / Module 4 · Come in and play! / Past Simple / Past Simple: орфография -ed</t>
        </is>
      </c>
    </row>
    <row r="27">
      <c r="A27" s="22" t="n">
        <v>3</v>
      </c>
      <c r="B27" s="9" t="inlineStr">
        <is>
          <t>Module 4 · Come in and play!</t>
        </is>
      </c>
      <c r="C27" s="9" t="inlineStr"/>
      <c r="D27" s="9" t="inlineStr">
        <is>
          <t>Past Simple</t>
        </is>
      </c>
      <c r="E27" s="23" t="inlineStr">
        <is>
          <t>Past Simple: произношение -ed (/t/, /d/, /ɪd/)</t>
        </is>
      </c>
      <c r="F27" s="24" t="inlineStr">
        <is>
          <t>новое</t>
        </is>
      </c>
      <c r="G27" s="9" t="inlineStr">
        <is>
          <t>washed /t/, played /d/, wanted /ɪd/</t>
        </is>
      </c>
      <c r="H27" s="22" t="inlineStr">
        <is>
          <t>7–9</t>
        </is>
      </c>
      <c r="I27" s="9">
        <f>IFERROR(INDEX('Темы × классы'!$P:$P,MATCH(E27,'Темы × классы'!$E:$E,0)),"")</f>
        <v/>
      </c>
      <c r="J27" s="9">
        <f>IFERROR(INDEX('Темы × классы'!$Q:$Q,MATCH(E27,'Темы × классы'!$E:$E,0))&amp;"","")</f>
        <v/>
      </c>
      <c r="K27" s="9" t="inlineStr">
        <is>
          <t>не начат</t>
        </is>
      </c>
      <c r="L27" s="9" t="inlineStr">
        <is>
          <t>Spotlight / 3 класс / Module 4 · Come in and play! / Past Simple / Past Simple: произношение -ed (/t/, /d/, /ɪd/)</t>
        </is>
      </c>
    </row>
    <row r="28">
      <c r="A28" s="22" t="n">
        <v>3</v>
      </c>
      <c r="B28" s="9" t="inlineStr">
        <is>
          <t>Module 4 · Come in and play!</t>
        </is>
      </c>
      <c r="C28" s="9" t="inlineStr"/>
      <c r="D28" s="9" t="inlineStr">
        <is>
          <t>Past Simple</t>
        </is>
      </c>
      <c r="E28" s="23" t="inlineStr">
        <is>
          <t>Past Simple: значение — действие в прошлом (yesterday, ago)</t>
        </is>
      </c>
      <c r="F28" s="24" t="inlineStr">
        <is>
          <t>новое</t>
        </is>
      </c>
      <c r="G28" s="9" t="inlineStr">
        <is>
          <t>yesterday, last week/month/year, two days ago, in 1975</t>
        </is>
      </c>
      <c r="H28" s="22" t="inlineStr">
        <is>
          <t>7–9</t>
        </is>
      </c>
      <c r="I28" s="9">
        <f>IFERROR(INDEX('Темы × классы'!$P:$P,MATCH(E28,'Темы × классы'!$E:$E,0)),"")</f>
        <v/>
      </c>
      <c r="J28" s="9">
        <f>IFERROR(INDEX('Темы × классы'!$Q:$Q,MATCH(E28,'Темы × классы'!$E:$E,0))&amp;"","")</f>
        <v/>
      </c>
      <c r="K28" s="9" t="inlineStr">
        <is>
          <t>не начат</t>
        </is>
      </c>
      <c r="L28" s="9" t="inlineStr">
        <is>
          <t>Spotlight / 3 класс / Module 4 · Come in and play! / Past Simple / Past Simple: значение — действие в прошлом (yesterday, ago)</t>
        </is>
      </c>
    </row>
    <row r="29">
      <c r="A29" s="22" t="n">
        <v>3</v>
      </c>
      <c r="B29" s="9" t="inlineStr">
        <is>
          <t>Module 4 · Come in and play!</t>
        </is>
      </c>
      <c r="C29" s="9" t="inlineStr"/>
      <c r="D29" s="9" t="inlineStr">
        <is>
          <t>Possessive case ('s)</t>
        </is>
      </c>
      <c r="E29" s="23" t="inlineStr">
        <is>
          <t>Possessive case ('s): 's в ед. ч. — принадлежность</t>
        </is>
      </c>
      <c r="F29" s="24" t="inlineStr">
        <is>
          <t>новое</t>
        </is>
      </c>
      <c r="G29" s="9" t="inlineStr">
        <is>
          <t>Lulu's rocking horse, the dog's house; только ед. ч.</t>
        </is>
      </c>
      <c r="H29" s="22" t="inlineStr">
        <is>
          <t>7–9</t>
        </is>
      </c>
      <c r="I29" s="9">
        <f>IFERROR(INDEX('Темы × классы'!$P:$P,MATCH(E29,'Темы × классы'!$E:$E,0)),"")</f>
        <v/>
      </c>
      <c r="J29" s="9">
        <f>IFERROR(INDEX('Темы × классы'!$Q:$Q,MATCH(E29,'Темы × классы'!$E:$E,0))&amp;"","")</f>
        <v/>
      </c>
      <c r="K29" s="9" t="inlineStr">
        <is>
          <t>не начат</t>
        </is>
      </c>
      <c r="L29" s="9" t="inlineStr">
        <is>
          <t>Spotlight / 3 класс / Module 4 · Come in and play! / Possessive case ('s) / Possessive case ('s): 's в ед. ч. — принадлежность</t>
        </is>
      </c>
    </row>
    <row r="30">
      <c r="A30" s="22" t="n">
        <v>3</v>
      </c>
      <c r="B30" s="9" t="inlineStr">
        <is>
          <t>Module 4 · Come in and play!</t>
        </is>
      </c>
      <c r="C30" s="9" t="inlineStr"/>
      <c r="D30" s="9" t="inlineStr">
        <is>
          <t>Possessive case ('s)</t>
        </is>
      </c>
      <c r="E30" s="23" t="inlineStr">
        <is>
          <t>Possessive case ('s): вопрос Whose?</t>
        </is>
      </c>
      <c r="F30" s="24" t="inlineStr">
        <is>
          <t>новое</t>
        </is>
      </c>
      <c r="G30" s="9" t="inlineStr">
        <is>
          <t>кому принадлежит</t>
        </is>
      </c>
      <c r="H30" s="22" t="inlineStr">
        <is>
          <t>7–9</t>
        </is>
      </c>
      <c r="I30" s="9">
        <f>IFERROR(INDEX('Темы × классы'!$P:$P,MATCH(E30,'Темы × классы'!$E:$E,0)),"")</f>
        <v/>
      </c>
      <c r="J30" s="9">
        <f>IFERROR(INDEX('Темы × классы'!$Q:$Q,MATCH(E30,'Темы × классы'!$E:$E,0))&amp;"","")</f>
        <v/>
      </c>
      <c r="K30" s="9" t="inlineStr">
        <is>
          <t>не начат</t>
        </is>
      </c>
      <c r="L30" s="9" t="inlineStr">
        <is>
          <t>Spotlight / 3 класс / Module 4 · Come in and play! / Possessive case ('s) / Possessive case ('s): вопрос Whose?</t>
        </is>
      </c>
    </row>
    <row r="31">
      <c r="A31" s="22" t="n">
        <v>3</v>
      </c>
      <c r="B31" s="9" t="inlineStr">
        <is>
          <t>Module 4 · Come in and play!</t>
        </is>
      </c>
      <c r="C31" s="9" t="inlineStr"/>
      <c r="D31" s="9" t="inlineStr">
        <is>
          <t>a/an</t>
        </is>
      </c>
      <c r="E31" s="23" t="inlineStr">
        <is>
          <t>a/an: неопределённый артикль — только с исчисляемыми в ед. ч.</t>
        </is>
      </c>
      <c r="F31" s="24" t="inlineStr">
        <is>
          <t>новое</t>
        </is>
      </c>
      <c r="G31" s="9" t="inlineStr">
        <is>
          <t>the не дан</t>
        </is>
      </c>
      <c r="H31" s="22" t="inlineStr">
        <is>
          <t>7–9</t>
        </is>
      </c>
      <c r="I31" s="9">
        <f>IFERROR(INDEX('Темы × классы'!$P:$P,MATCH(E31,'Темы × классы'!$E:$E,0)),"")</f>
        <v/>
      </c>
      <c r="J31" s="9">
        <f>IFERROR(INDEX('Темы × классы'!$Q:$Q,MATCH(E31,'Темы × классы'!$E:$E,0))&amp;"","")</f>
        <v/>
      </c>
      <c r="K31" s="9" t="inlineStr">
        <is>
          <t>не начат</t>
        </is>
      </c>
      <c r="L31" s="9" t="inlineStr">
        <is>
          <t>Spotlight / 3 класс / Module 4 · Come in and play! / a/an / a/an: неопределённый артикль — только с исчисляемыми в ед. ч.</t>
        </is>
      </c>
    </row>
    <row r="32">
      <c r="A32" s="22" t="n">
        <v>3</v>
      </c>
      <c r="B32" s="9" t="inlineStr">
        <is>
          <t>Module 4 · Come in and play!</t>
        </is>
      </c>
      <c r="C32" s="9" t="inlineStr"/>
      <c r="D32" s="9" t="inlineStr">
        <is>
          <t>a/an</t>
        </is>
      </c>
      <c r="E32" s="23" t="inlineStr">
        <is>
          <t>a/an: a перед согласной, an перед гласной</t>
        </is>
      </c>
      <c r="F32" s="24" t="inlineStr">
        <is>
          <t>новое</t>
        </is>
      </c>
      <c r="G32" s="9" t="inlineStr">
        <is>
          <t>a ball, an elephant</t>
        </is>
      </c>
      <c r="H32" s="22" t="inlineStr">
        <is>
          <t>7–9</t>
        </is>
      </c>
      <c r="I32" s="9">
        <f>IFERROR(INDEX('Темы × классы'!$P:$P,MATCH(E32,'Темы × классы'!$E:$E,0)),"")</f>
        <v/>
      </c>
      <c r="J32" s="9">
        <f>IFERROR(INDEX('Темы × классы'!$Q:$Q,MATCH(E32,'Темы × классы'!$E:$E,0))&amp;"","")</f>
        <v/>
      </c>
      <c r="K32" s="9" t="inlineStr">
        <is>
          <t>не начат</t>
        </is>
      </c>
      <c r="L32" s="9" t="inlineStr">
        <is>
          <t>Spotlight / 3 класс / Module 4 · Come in and play! / a/an / a/an: a перед согласной, an перед гласной</t>
        </is>
      </c>
    </row>
    <row r="33">
      <c r="A33" s="22" t="n">
        <v>3</v>
      </c>
      <c r="B33" s="9" t="inlineStr">
        <is>
          <t>Module 4 · Come in and play!</t>
        </is>
      </c>
      <c r="C33" s="9" t="inlineStr"/>
      <c r="D33" s="9" t="inlineStr">
        <is>
          <t>Demonstratives (this/that/these/those)</t>
        </is>
      </c>
      <c r="E33" s="23" t="inlineStr">
        <is>
          <t>Demonstratives: this — these (ед. и мн. ч.)</t>
        </is>
      </c>
      <c r="F33" s="24" t="inlineStr">
        <is>
          <t>новое</t>
        </is>
      </c>
      <c r="G33" s="9" t="inlineStr"/>
      <c r="H33" s="22" t="inlineStr">
        <is>
          <t>7–9</t>
        </is>
      </c>
      <c r="I33" s="9">
        <f>IFERROR(INDEX('Темы × классы'!$P:$P,MATCH(E33,'Темы × классы'!$E:$E,0)),"")</f>
        <v/>
      </c>
      <c r="J33" s="9">
        <f>IFERROR(INDEX('Темы × классы'!$Q:$Q,MATCH(E33,'Темы × классы'!$E:$E,0))&amp;"","")</f>
        <v/>
      </c>
      <c r="K33" s="9" t="inlineStr">
        <is>
          <t>не начат</t>
        </is>
      </c>
      <c r="L33" s="9" t="inlineStr">
        <is>
          <t>Spotlight / 3 класс / Module 4 · Come in and play! / Demonstratives (this/that/these/those) / Demonstratives: this — these (ед. и мн. ч.)</t>
        </is>
      </c>
    </row>
    <row r="34">
      <c r="A34" s="22" t="n">
        <v>3</v>
      </c>
      <c r="B34" s="9" t="inlineStr">
        <is>
          <t>Module 4 · Come in and play!</t>
        </is>
      </c>
      <c r="C34" s="9" t="inlineStr"/>
      <c r="D34" s="9" t="inlineStr">
        <is>
          <t>Demonstratives (this/that/these/those)</t>
        </is>
      </c>
      <c r="E34" s="23" t="inlineStr">
        <is>
          <t>Demonstratives: that — those (ед. и мн. ч.)</t>
        </is>
      </c>
      <c r="F34" s="24" t="inlineStr">
        <is>
          <t>новое</t>
        </is>
      </c>
      <c r="G34" s="9" t="inlineStr"/>
      <c r="H34" s="22" t="inlineStr">
        <is>
          <t>7–9</t>
        </is>
      </c>
      <c r="I34" s="9">
        <f>IFERROR(INDEX('Темы × классы'!$P:$P,MATCH(E34,'Темы × классы'!$E:$E,0)),"")</f>
        <v/>
      </c>
      <c r="J34" s="9">
        <f>IFERROR(INDEX('Темы × классы'!$Q:$Q,MATCH(E34,'Темы × классы'!$E:$E,0))&amp;"","")</f>
        <v/>
      </c>
      <c r="K34" s="9" t="inlineStr">
        <is>
          <t>не начат</t>
        </is>
      </c>
      <c r="L34" s="9" t="inlineStr">
        <is>
          <t>Spotlight / 3 класс / Module 4 · Come in and play! / Demonstratives (this/that/these/those) / Demonstratives: that — those (ед. и мн. ч.)</t>
        </is>
      </c>
    </row>
    <row r="35">
      <c r="A35" s="22" t="n">
        <v>3</v>
      </c>
      <c r="B35" s="9" t="inlineStr">
        <is>
          <t>Module 4 · Come in and play!</t>
        </is>
      </c>
      <c r="C35" s="9" t="inlineStr"/>
      <c r="D35" s="9" t="inlineStr">
        <is>
          <t>Demonstratives (this/that/these/those)</t>
        </is>
      </c>
      <c r="E35" s="23" t="inlineStr">
        <is>
          <t>Demonstratives: this/these vs that/those — близко vs далеко</t>
        </is>
      </c>
      <c r="F35" s="24" t="inlineStr">
        <is>
          <t>новое</t>
        </is>
      </c>
      <c r="G35" s="9" t="inlineStr">
        <is>
          <t>о людях, животных, предметах рядом / далеко</t>
        </is>
      </c>
      <c r="H35" s="22" t="inlineStr">
        <is>
          <t>7–9</t>
        </is>
      </c>
      <c r="I35" s="9">
        <f>IFERROR(INDEX('Темы × классы'!$P:$P,MATCH(E35,'Темы × классы'!$E:$E,0)),"")</f>
        <v/>
      </c>
      <c r="J35" s="9">
        <f>IFERROR(INDEX('Темы × классы'!$Q:$Q,MATCH(E35,'Темы × классы'!$E:$E,0))&amp;"","")</f>
        <v/>
      </c>
      <c r="K35" s="9" t="inlineStr">
        <is>
          <t>не начат</t>
        </is>
      </c>
      <c r="L35" s="9" t="inlineStr">
        <is>
          <t>Spotlight / 3 класс / Module 4 · Come in and play! / Demonstratives (this/that/these/those) / Demonstratives: this/these vs that/those — близко vs далеко</t>
        </is>
      </c>
    </row>
    <row r="36">
      <c r="A36" s="22" t="n">
        <v>3</v>
      </c>
      <c r="B36" s="9" t="inlineStr">
        <is>
          <t>Module 4 · Come in and play!</t>
        </is>
      </c>
      <c r="C36" s="9" t="inlineStr"/>
      <c r="D36" s="9" t="inlineStr">
        <is>
          <t>Question words</t>
        </is>
      </c>
      <c r="E36" s="23" t="inlineStr">
        <is>
          <t>Question words: Whose? — чья вещь</t>
        </is>
      </c>
      <c r="F36" s="24" t="inlineStr">
        <is>
          <t>новое</t>
        </is>
      </c>
      <c r="G36" s="9" t="inlineStr">
        <is>
          <t>только whose (Whose is this doll?), в разделе Possessive case</t>
        </is>
      </c>
      <c r="H36" s="22" t="inlineStr">
        <is>
          <t>7–9</t>
        </is>
      </c>
      <c r="I36" s="9">
        <f>IFERROR(INDEX('Темы × классы'!$P:$P,MATCH(E36,'Темы × классы'!$E:$E,0)),"")</f>
        <v/>
      </c>
      <c r="J36" s="9">
        <f>IFERROR(INDEX('Темы × классы'!$Q:$Q,MATCH(E36,'Темы × классы'!$E:$E,0))&amp;"","")</f>
        <v/>
      </c>
      <c r="K36" s="9" t="inlineStr">
        <is>
          <t>не начат</t>
        </is>
      </c>
      <c r="L36" s="9" t="inlineStr">
        <is>
          <t>Spotlight / 3 класс / Module 4 · Come in and play! / Question words / Question words: Whose? — чья вещь</t>
        </is>
      </c>
    </row>
    <row r="37">
      <c r="A37" s="22" t="n">
        <v>3</v>
      </c>
      <c r="B37" s="9" t="inlineStr">
        <is>
          <t>Module 5 · Furry friends!</t>
        </is>
      </c>
      <c r="C37" s="9" t="inlineStr"/>
      <c r="D37" s="9" t="inlineStr">
        <is>
          <t>Past Simple</t>
        </is>
      </c>
      <c r="E37" s="23" t="inlineStr">
        <is>
          <t>Past Simple: неправильные глаголы — утверждение</t>
        </is>
      </c>
      <c r="F37" s="24" t="inlineStr">
        <is>
          <t>новое</t>
        </is>
      </c>
      <c r="G37" s="9" t="inlineStr">
        <is>
          <t>8 глаголов: say–said, tell–told, go–went, come–came, see–saw, find–found, get–got, have–had (+ make–made)</t>
        </is>
      </c>
      <c r="H37" s="22" t="inlineStr">
        <is>
          <t>7–9</t>
        </is>
      </c>
      <c r="I37" s="9">
        <f>IFERROR(INDEX('Темы × классы'!$P:$P,MATCH(E37,'Темы × классы'!$E:$E,0)),"")</f>
        <v/>
      </c>
      <c r="J37" s="9">
        <f>IFERROR(INDEX('Темы × классы'!$Q:$Q,MATCH(E37,'Темы × классы'!$E:$E,0))&amp;"","")</f>
        <v/>
      </c>
      <c r="K37" s="9" t="inlineStr">
        <is>
          <t>не начат</t>
        </is>
      </c>
      <c r="L37" s="9" t="inlineStr">
        <is>
          <t>Spotlight / 3 класс / Module 5 · Furry friends! / Past Simple / Past Simple: неправильные глаголы — утверждение</t>
        </is>
      </c>
    </row>
    <row r="38">
      <c r="A38" s="22" t="n">
        <v>3</v>
      </c>
      <c r="B38" s="9" t="inlineStr">
        <is>
          <t>Module 5 · Furry friends!</t>
        </is>
      </c>
      <c r="C38" s="9" t="inlineStr"/>
      <c r="D38" s="9" t="inlineStr">
        <is>
          <t>Past Simple</t>
        </is>
      </c>
      <c r="E38" s="23" t="inlineStr">
        <is>
          <t>Past Simple: неправильные глаголы — отрицание (didn't go)</t>
        </is>
      </c>
      <c r="F38" s="24" t="inlineStr">
        <is>
          <t>новое</t>
        </is>
      </c>
      <c r="G38" s="9" t="inlineStr">
        <is>
          <t>didn't see</t>
        </is>
      </c>
      <c r="H38" s="22" t="inlineStr">
        <is>
          <t>7–9</t>
        </is>
      </c>
      <c r="I38" s="9">
        <f>IFERROR(INDEX('Темы × классы'!$P:$P,MATCH(E38,'Темы × классы'!$E:$E,0)),"")</f>
        <v/>
      </c>
      <c r="J38" s="9">
        <f>IFERROR(INDEX('Темы × классы'!$Q:$Q,MATCH(E38,'Темы × классы'!$E:$E,0))&amp;"","")</f>
        <v/>
      </c>
      <c r="K38" s="9" t="inlineStr">
        <is>
          <t>не начат</t>
        </is>
      </c>
      <c r="L38" s="9" t="inlineStr">
        <is>
          <t>Spotlight / 3 класс / Module 5 · Furry friends! / Past Simple / Past Simple: неправильные глаголы — отрицание (didn't go)</t>
        </is>
      </c>
    </row>
    <row r="39">
      <c r="A39" s="22" t="n">
        <v>3</v>
      </c>
      <c r="B39" s="9" t="inlineStr">
        <is>
          <t>Module 5 · Furry friends!</t>
        </is>
      </c>
      <c r="C39" s="9" t="inlineStr"/>
      <c r="D39" s="9" t="inlineStr">
        <is>
          <t>Past Simple</t>
        </is>
      </c>
      <c r="E39" s="23" t="inlineStr">
        <is>
          <t>Past Simple: неправильные глаголы — вопросы (Did … go?)</t>
        </is>
      </c>
      <c r="F39" s="24" t="inlineStr">
        <is>
          <t>новое</t>
        </is>
      </c>
      <c r="G39" s="9" t="inlineStr">
        <is>
          <t>Did he go …?</t>
        </is>
      </c>
      <c r="H39" s="22" t="inlineStr">
        <is>
          <t>7–9</t>
        </is>
      </c>
      <c r="I39" s="9">
        <f>IFERROR(INDEX('Темы × классы'!$P:$P,MATCH(E39,'Темы × классы'!$E:$E,0)),"")</f>
        <v/>
      </c>
      <c r="J39" s="9">
        <f>IFERROR(INDEX('Темы × классы'!$Q:$Q,MATCH(E39,'Темы × классы'!$E:$E,0))&amp;"","")</f>
        <v/>
      </c>
      <c r="K39" s="9" t="inlineStr">
        <is>
          <t>не начат</t>
        </is>
      </c>
      <c r="L39" s="9" t="inlineStr">
        <is>
          <t>Spotlight / 3 класс / Module 5 · Furry friends! / Past Simple / Past Simple: неправильные глаголы — вопросы (Did … go?)</t>
        </is>
      </c>
    </row>
    <row r="40">
      <c r="A40" s="22" t="n">
        <v>3</v>
      </c>
      <c r="B40" s="9" t="inlineStr">
        <is>
          <t>Module 5 · Furry friends!</t>
        </is>
      </c>
      <c r="C40" s="9" t="inlineStr"/>
      <c r="D40" s="9" t="inlineStr">
        <is>
          <t>Past Simple</t>
        </is>
      </c>
      <c r="E40" s="23" t="inlineStr">
        <is>
          <t>Past Simple: значение — действие в прошлом (yesterday, ago)</t>
        </is>
      </c>
      <c r="F40" s="22" t="inlineStr">
        <is>
          <t>повторение</t>
        </is>
      </c>
      <c r="G40" s="9" t="inlineStr"/>
      <c r="H40" s="22" t="inlineStr">
        <is>
          <t>7–9</t>
        </is>
      </c>
      <c r="I40" s="9">
        <f>IFERROR(INDEX('Темы × классы'!$P:$P,MATCH(E40,'Темы × классы'!$E:$E,0)),"")</f>
        <v/>
      </c>
      <c r="J40" s="9">
        <f>IFERROR(INDEX('Темы × классы'!$Q:$Q,MATCH(E40,'Темы × классы'!$E:$E,0))&amp;"","")</f>
        <v/>
      </c>
      <c r="K40" s="9" t="inlineStr">
        <is>
          <t>не начат</t>
        </is>
      </c>
      <c r="L40" s="9" t="inlineStr">
        <is>
          <t>Spotlight / 3 класс / Module 5 · Furry friends! / Past Simple / Past Simple: значение — действие в прошлом (yesterday, ago)</t>
        </is>
      </c>
    </row>
    <row r="41">
      <c r="A41" s="22" t="n">
        <v>3</v>
      </c>
      <c r="B41" s="9" t="inlineStr">
        <is>
          <t>Module 5 · Furry friends!</t>
        </is>
      </c>
      <c r="C41" s="9" t="inlineStr"/>
      <c r="D41" s="9" t="inlineStr">
        <is>
          <t>can (ability)</t>
        </is>
      </c>
      <c r="E41" s="23" t="inlineStr">
        <is>
          <t>can (ability): значение — умение; утверждение can + глагол без to</t>
        </is>
      </c>
      <c r="F41" s="24" t="inlineStr">
        <is>
          <t>новое</t>
        </is>
      </c>
      <c r="G41" s="9" t="inlineStr">
        <is>
          <t>все лица; способность, умение</t>
        </is>
      </c>
      <c r="H41" s="22" t="inlineStr">
        <is>
          <t>7–9</t>
        </is>
      </c>
      <c r="I41" s="9">
        <f>IFERROR(INDEX('Темы × классы'!$P:$P,MATCH(E41,'Темы × классы'!$E:$E,0)),"")</f>
        <v/>
      </c>
      <c r="J41" s="9">
        <f>IFERROR(INDEX('Темы × классы'!$Q:$Q,MATCH(E41,'Темы × классы'!$E:$E,0))&amp;"","")</f>
        <v/>
      </c>
      <c r="K41" s="9" t="inlineStr">
        <is>
          <t>не начат</t>
        </is>
      </c>
      <c r="L41" s="9" t="inlineStr">
        <is>
          <t>Spotlight / 3 класс / Module 5 · Furry friends! / can (ability) / can (ability): значение — умение; утверждение can + глагол без to</t>
        </is>
      </c>
    </row>
    <row r="42">
      <c r="A42" s="22" t="n">
        <v>3</v>
      </c>
      <c r="B42" s="9" t="inlineStr">
        <is>
          <t>Module 5 · Furry friends!</t>
        </is>
      </c>
      <c r="C42" s="9" t="inlineStr"/>
      <c r="D42" s="9" t="inlineStr">
        <is>
          <t>can (ability)</t>
        </is>
      </c>
      <c r="E42" s="23" t="inlineStr">
        <is>
          <t>can (ability): отрицание — cannot / can't</t>
        </is>
      </c>
      <c r="F42" s="24" t="inlineStr">
        <is>
          <t>новое</t>
        </is>
      </c>
      <c r="G42" s="9" t="inlineStr">
        <is>
          <t>cannot (полное), can't (краткое)</t>
        </is>
      </c>
      <c r="H42" s="22" t="inlineStr">
        <is>
          <t>7–9</t>
        </is>
      </c>
      <c r="I42" s="9">
        <f>IFERROR(INDEX('Темы × классы'!$P:$P,MATCH(E42,'Темы × классы'!$E:$E,0)),"")</f>
        <v/>
      </c>
      <c r="J42" s="9">
        <f>IFERROR(INDEX('Темы × классы'!$Q:$Q,MATCH(E42,'Темы × классы'!$E:$E,0))&amp;"","")</f>
        <v/>
      </c>
      <c r="K42" s="9" t="inlineStr">
        <is>
          <t>не начат</t>
        </is>
      </c>
      <c r="L42" s="9" t="inlineStr">
        <is>
          <t>Spotlight / 3 класс / Module 5 · Furry friends! / can (ability) / can (ability): отрицание — cannot / can't</t>
        </is>
      </c>
    </row>
    <row r="43">
      <c r="A43" s="22" t="n">
        <v>3</v>
      </c>
      <c r="B43" s="9" t="inlineStr">
        <is>
          <t>Module 5 · Furry friends!</t>
        </is>
      </c>
      <c r="C43" s="9" t="inlineStr"/>
      <c r="D43" s="9" t="inlineStr">
        <is>
          <t>can (ability)</t>
        </is>
      </c>
      <c r="E43" s="23" t="inlineStr">
        <is>
          <t>can (ability): вопросы и краткие ответы</t>
        </is>
      </c>
      <c r="F43" s="24" t="inlineStr">
        <is>
          <t>новое</t>
        </is>
      </c>
      <c r="G43" s="9" t="inlineStr">
        <is>
          <t>Yes, I can / No, he can't</t>
        </is>
      </c>
      <c r="H43" s="22" t="inlineStr">
        <is>
          <t>7–9</t>
        </is>
      </c>
      <c r="I43" s="9">
        <f>IFERROR(INDEX('Темы × классы'!$P:$P,MATCH(E43,'Темы × классы'!$E:$E,0)),"")</f>
        <v/>
      </c>
      <c r="J43" s="9">
        <f>IFERROR(INDEX('Темы × классы'!$Q:$Q,MATCH(E43,'Темы × классы'!$E:$E,0))&amp;"","")</f>
        <v/>
      </c>
      <c r="K43" s="9" t="inlineStr">
        <is>
          <t>не начат</t>
        </is>
      </c>
      <c r="L43" s="9" t="inlineStr">
        <is>
          <t>Spotlight / 3 класс / Module 5 · Furry friends! / can (ability) / can (ability): вопросы и краткие ответы</t>
        </is>
      </c>
    </row>
    <row r="44">
      <c r="A44" s="22" t="n">
        <v>3</v>
      </c>
      <c r="B44" s="9" t="inlineStr">
        <is>
          <t>Module 5 · Furry friends!</t>
        </is>
      </c>
      <c r="C44" s="9" t="inlineStr"/>
      <c r="D44" s="9" t="inlineStr">
        <is>
          <t>have got</t>
        </is>
      </c>
      <c r="E44" s="23" t="inlineStr">
        <is>
          <t>have got: утверждение — have got / has got (полные и краткие формы)</t>
        </is>
      </c>
      <c r="F44" s="24" t="inlineStr">
        <is>
          <t>новое</t>
        </is>
      </c>
      <c r="G44" s="9" t="inlineStr">
        <is>
          <t>все лица, полные и краткие (I've got, he's got)</t>
        </is>
      </c>
      <c r="H44" s="22" t="inlineStr">
        <is>
          <t>7–9</t>
        </is>
      </c>
      <c r="I44" s="9">
        <f>IFERROR(INDEX('Темы × классы'!$P:$P,MATCH(E44,'Темы × классы'!$E:$E,0)),"")</f>
        <v/>
      </c>
      <c r="J44" s="9">
        <f>IFERROR(INDEX('Темы × классы'!$Q:$Q,MATCH(E44,'Темы × классы'!$E:$E,0))&amp;"","")</f>
        <v/>
      </c>
      <c r="K44" s="9" t="inlineStr">
        <is>
          <t>не начат</t>
        </is>
      </c>
      <c r="L44" s="9" t="inlineStr">
        <is>
          <t>Spotlight / 3 класс / Module 5 · Furry friends! / have got / have got: утверждение — have got / has got (полные и краткие формы)</t>
        </is>
      </c>
    </row>
    <row r="45">
      <c r="A45" s="22" t="n">
        <v>3</v>
      </c>
      <c r="B45" s="9" t="inlineStr">
        <is>
          <t>Module 5 · Furry friends!</t>
        </is>
      </c>
      <c r="C45" s="9" t="inlineStr"/>
      <c r="D45" s="9" t="inlineStr">
        <is>
          <t>have got</t>
        </is>
      </c>
      <c r="E45" s="23" t="inlineStr">
        <is>
          <t>have got: отрицание — haven't got / hasn't got</t>
        </is>
      </c>
      <c r="F45" s="24" t="inlineStr">
        <is>
          <t>новое</t>
        </is>
      </c>
      <c r="G45" s="9" t="inlineStr">
        <is>
          <t>полные и краткие</t>
        </is>
      </c>
      <c r="H45" s="22" t="inlineStr">
        <is>
          <t>7–9</t>
        </is>
      </c>
      <c r="I45" s="9">
        <f>IFERROR(INDEX('Темы × классы'!$P:$P,MATCH(E45,'Темы × классы'!$E:$E,0)),"")</f>
        <v/>
      </c>
      <c r="J45" s="9">
        <f>IFERROR(INDEX('Темы × классы'!$Q:$Q,MATCH(E45,'Темы × классы'!$E:$E,0))&amp;"","")</f>
        <v/>
      </c>
      <c r="K45" s="9" t="inlineStr">
        <is>
          <t>не начат</t>
        </is>
      </c>
      <c r="L45" s="9" t="inlineStr">
        <is>
          <t>Spotlight / 3 класс / Module 5 · Furry friends! / have got / have got: отрицание — haven't got / hasn't got</t>
        </is>
      </c>
    </row>
    <row r="46">
      <c r="A46" s="22" t="n">
        <v>3</v>
      </c>
      <c r="B46" s="9" t="inlineStr">
        <is>
          <t>Module 5 · Furry friends!</t>
        </is>
      </c>
      <c r="C46" s="9" t="inlineStr"/>
      <c r="D46" s="9" t="inlineStr">
        <is>
          <t>have got</t>
        </is>
      </c>
      <c r="E46" s="23" t="inlineStr">
        <is>
          <t>have got: вопросы и краткие ответы</t>
        </is>
      </c>
      <c r="F46" s="24" t="inlineStr">
        <is>
          <t>новое</t>
        </is>
      </c>
      <c r="G46" s="9" t="inlineStr">
        <is>
          <t>Have you got…? Has he got…?; got в ответе опускается</t>
        </is>
      </c>
      <c r="H46" s="22" t="inlineStr">
        <is>
          <t>7–9</t>
        </is>
      </c>
      <c r="I46" s="9">
        <f>IFERROR(INDEX('Темы × классы'!$P:$P,MATCH(E46,'Темы × классы'!$E:$E,0)),"")</f>
        <v/>
      </c>
      <c r="J46" s="9">
        <f>IFERROR(INDEX('Темы × классы'!$Q:$Q,MATCH(E46,'Темы × классы'!$E:$E,0))&amp;"","")</f>
        <v/>
      </c>
      <c r="K46" s="9" t="inlineStr">
        <is>
          <t>не начат</t>
        </is>
      </c>
      <c r="L46" s="9" t="inlineStr">
        <is>
          <t>Spotlight / 3 класс / Module 5 · Furry friends! / have got / have got: вопросы и краткие ответы</t>
        </is>
      </c>
    </row>
    <row r="47">
      <c r="A47" s="22" t="n">
        <v>3</v>
      </c>
      <c r="B47" s="9" t="inlineStr">
        <is>
          <t>Module 5 · Furry friends!</t>
        </is>
      </c>
      <c r="C47" s="9" t="inlineStr"/>
      <c r="D47" s="9" t="inlineStr">
        <is>
          <t>have got</t>
        </is>
      </c>
      <c r="E47" s="23" t="inlineStr">
        <is>
          <t>have got: значение — принадлежность (иметь)</t>
        </is>
      </c>
      <c r="F47" s="24" t="inlineStr">
        <is>
          <t>новое</t>
        </is>
      </c>
      <c r="G47" s="9" t="inlineStr">
        <is>
          <t>She has got a rabbit</t>
        </is>
      </c>
      <c r="H47" s="22" t="inlineStr">
        <is>
          <t>7–9</t>
        </is>
      </c>
      <c r="I47" s="9">
        <f>IFERROR(INDEX('Темы × классы'!$P:$P,MATCH(E47,'Темы × классы'!$E:$E,0)),"")</f>
        <v/>
      </c>
      <c r="J47" s="9">
        <f>IFERROR(INDEX('Темы × классы'!$Q:$Q,MATCH(E47,'Темы × классы'!$E:$E,0))&amp;"","")</f>
        <v/>
      </c>
      <c r="K47" s="9" t="inlineStr">
        <is>
          <t>не начат</t>
        </is>
      </c>
      <c r="L47" s="9" t="inlineStr">
        <is>
          <t>Spotlight / 3 класс / Module 5 · Furry friends! / have got / have got: значение — принадлежность (иметь)</t>
        </is>
      </c>
    </row>
    <row r="48">
      <c r="A48" s="22" t="n">
        <v>3</v>
      </c>
      <c r="B48" s="9" t="inlineStr">
        <is>
          <t>Module 5 · Furry friends!</t>
        </is>
      </c>
      <c r="C48" s="9" t="inlineStr"/>
      <c r="D48" s="9" t="inlineStr">
        <is>
          <t>have got</t>
        </is>
      </c>
      <c r="E48" s="23" t="inlineStr">
        <is>
          <t>have got: значение — описание внешности людей, животных, предметов</t>
        </is>
      </c>
      <c r="F48" s="24" t="inlineStr">
        <is>
          <t>новое</t>
        </is>
      </c>
      <c r="G48" s="9" t="inlineStr">
        <is>
          <t>It's got a big mouth</t>
        </is>
      </c>
      <c r="H48" s="22" t="inlineStr">
        <is>
          <t>7–9</t>
        </is>
      </c>
      <c r="I48" s="9">
        <f>IFERROR(INDEX('Темы × классы'!$P:$P,MATCH(E48,'Темы × классы'!$E:$E,0)),"")</f>
        <v/>
      </c>
      <c r="J48" s="9">
        <f>IFERROR(INDEX('Темы × классы'!$Q:$Q,MATCH(E48,'Темы × классы'!$E:$E,0))&amp;"","")</f>
        <v/>
      </c>
      <c r="K48" s="9" t="inlineStr">
        <is>
          <t>не начат</t>
        </is>
      </c>
      <c r="L48" s="9" t="inlineStr">
        <is>
          <t>Spotlight / 3 класс / Module 5 · Furry friends! / have got / have got: значение — описание внешности людей, животных, предметов</t>
        </is>
      </c>
    </row>
    <row r="49">
      <c r="A49" s="22" t="n">
        <v>3</v>
      </c>
      <c r="B49" s="9" t="inlineStr">
        <is>
          <t>Module 5 · Furry friends!</t>
        </is>
      </c>
      <c r="C49" s="9" t="inlineStr"/>
      <c r="D49" s="9" t="inlineStr">
        <is>
          <t>have got</t>
        </is>
      </c>
      <c r="E49" s="23" t="inlineStr">
        <is>
          <t>have got: It's got (= It has got) vs It's (= It is)</t>
        </is>
      </c>
      <c r="F49" s="24" t="inlineStr">
        <is>
          <t>новое</t>
        </is>
      </c>
      <c r="G49" s="9" t="inlineStr">
        <is>
          <t>It's got = It has got; It's = It is</t>
        </is>
      </c>
      <c r="H49" s="22" t="inlineStr">
        <is>
          <t>7–9</t>
        </is>
      </c>
      <c r="I49" s="9">
        <f>IFERROR(INDEX('Темы × классы'!$P:$P,MATCH(E49,'Темы × классы'!$E:$E,0)),"")</f>
        <v/>
      </c>
      <c r="J49" s="9">
        <f>IFERROR(INDEX('Темы × классы'!$Q:$Q,MATCH(E49,'Темы × классы'!$E:$E,0))&amp;"","")</f>
        <v/>
      </c>
      <c r="K49" s="9" t="inlineStr">
        <is>
          <t>не начат</t>
        </is>
      </c>
      <c r="L49" s="9" t="inlineStr">
        <is>
          <t>Spotlight / 3 класс / Module 5 · Furry friends! / have got / have got: It's got (= It has got) vs It's (= It is)</t>
        </is>
      </c>
    </row>
    <row r="50">
      <c r="A50" s="22" t="n">
        <v>3</v>
      </c>
      <c r="B50" s="9" t="inlineStr">
        <is>
          <t>Module 5 · Furry friends!</t>
        </is>
      </c>
      <c r="C50" s="9" t="inlineStr"/>
      <c r="D50" s="9" t="inlineStr">
        <is>
          <t>Plurals (irregular)</t>
        </is>
      </c>
      <c r="E50" s="23" t="inlineStr">
        <is>
          <t>Plurals (irregular): man — men, child — children, tooth — teeth, foot — feet, mouse — mice</t>
        </is>
      </c>
      <c r="F50" s="24" t="inlineStr">
        <is>
          <t>новое</t>
        </is>
      </c>
      <c r="G50" s="9" t="inlineStr">
        <is>
          <t>+ woman — women</t>
        </is>
      </c>
      <c r="H50" s="22" t="inlineStr">
        <is>
          <t>7–9</t>
        </is>
      </c>
      <c r="I50" s="9">
        <f>IFERROR(INDEX('Темы × классы'!$P:$P,MATCH(E50,'Темы × классы'!$E:$E,0)),"")</f>
        <v/>
      </c>
      <c r="J50" s="9">
        <f>IFERROR(INDEX('Темы × классы'!$Q:$Q,MATCH(E50,'Темы × классы'!$E:$E,0))&amp;"","")</f>
        <v/>
      </c>
      <c r="K50" s="9" t="inlineStr">
        <is>
          <t>не начат</t>
        </is>
      </c>
      <c r="L50" s="9" t="inlineStr">
        <is>
          <t>Spotlight / 3 класс / Module 5 · Furry friends! / Plurals (irregular) / Plurals (irregular): man — men, child — children, tooth — teeth, foot — feet, mouse — mice</t>
        </is>
      </c>
    </row>
    <row r="51">
      <c r="A51" s="22" t="n">
        <v>3</v>
      </c>
      <c r="B51" s="9" t="inlineStr">
        <is>
          <t>Module 5 · Furry friends!</t>
        </is>
      </c>
      <c r="C51" s="9" t="inlineStr"/>
      <c r="D51" s="9" t="inlineStr">
        <is>
          <t>Plurals (irregular)</t>
        </is>
      </c>
      <c r="E51" s="23" t="inlineStr">
        <is>
          <t>Plurals (irregular): одинаковая форма ед. и мн. ч. (fish, sheep)</t>
        </is>
      </c>
      <c r="F51" s="24" t="inlineStr">
        <is>
          <t>новое</t>
        </is>
      </c>
      <c r="G51" s="9" t="inlineStr">
        <is>
          <t>fish — fish, sheep — sheep</t>
        </is>
      </c>
      <c r="H51" s="22" t="inlineStr">
        <is>
          <t>7–9</t>
        </is>
      </c>
      <c r="I51" s="9">
        <f>IFERROR(INDEX('Темы × классы'!$P:$P,MATCH(E51,'Темы × классы'!$E:$E,0)),"")</f>
        <v/>
      </c>
      <c r="J51" s="9">
        <f>IFERROR(INDEX('Темы × классы'!$Q:$Q,MATCH(E51,'Темы × классы'!$E:$E,0))&amp;"","")</f>
        <v/>
      </c>
      <c r="K51" s="9" t="inlineStr">
        <is>
          <t>не начат</t>
        </is>
      </c>
      <c r="L51" s="9" t="inlineStr">
        <is>
          <t>Spotlight / 3 класс / Module 5 · Furry friends! / Plurals (irregular) / Plurals (irregular): одинаковая форма ед. и мн. ч. (fish, sheep)</t>
        </is>
      </c>
    </row>
    <row r="52">
      <c r="A52" s="22" t="n">
        <v>3</v>
      </c>
      <c r="B52" s="9" t="inlineStr">
        <is>
          <t>Module 6 · Home, sweet home!</t>
        </is>
      </c>
      <c r="C52" s="9" t="inlineStr"/>
      <c r="D52" s="9" t="inlineStr">
        <is>
          <t>Plurals (regular)</t>
        </is>
      </c>
      <c r="E52" s="23" t="inlineStr">
        <is>
          <t>Plurals (regular): основное правило — + -s</t>
        </is>
      </c>
      <c r="F52" s="22" t="inlineStr">
        <is>
          <t>повторение</t>
        </is>
      </c>
      <c r="G52" s="9" t="inlineStr">
        <is>
          <t>chair — chairs</t>
        </is>
      </c>
      <c r="H52" s="22" t="inlineStr">
        <is>
          <t>7–9</t>
        </is>
      </c>
      <c r="I52" s="9">
        <f>IFERROR(INDEX('Темы × классы'!$P:$P,MATCH(E52,'Темы × классы'!$E:$E,0)),"")</f>
        <v/>
      </c>
      <c r="J52" s="9">
        <f>IFERROR(INDEX('Темы × классы'!$Q:$Q,MATCH(E52,'Темы × классы'!$E:$E,0))&amp;"","")</f>
        <v/>
      </c>
      <c r="K52" s="9" t="inlineStr">
        <is>
          <t>не начат</t>
        </is>
      </c>
      <c r="L52" s="9" t="inlineStr">
        <is>
          <t>Spotlight / 3 класс / Module 6 · Home, sweet home! / Plurals (regular) / Plurals (regular): основное правило — + -s</t>
        </is>
      </c>
    </row>
    <row r="53">
      <c r="A53" s="22" t="n">
        <v>3</v>
      </c>
      <c r="B53" s="9" t="inlineStr">
        <is>
          <t>Module 6 · Home, sweet home!</t>
        </is>
      </c>
      <c r="C53" s="9" t="inlineStr"/>
      <c r="D53" s="9" t="inlineStr">
        <is>
          <t>Plurals (regular)</t>
        </is>
      </c>
      <c r="E53" s="23" t="inlineStr">
        <is>
          <t>Plurals (regular): орфография — + -es после -s, -ss, -sh, -ch, -x, -o</t>
        </is>
      </c>
      <c r="F53" s="24" t="inlineStr">
        <is>
          <t>новое</t>
        </is>
      </c>
      <c r="G53" s="9" t="inlineStr">
        <is>
          <t>-s, -ss, -o, -x: buses, glasses, potatoes, boxes</t>
        </is>
      </c>
      <c r="H53" s="22" t="inlineStr">
        <is>
          <t>7–9</t>
        </is>
      </c>
      <c r="I53" s="9">
        <f>IFERROR(INDEX('Темы × классы'!$P:$P,MATCH(E53,'Темы × классы'!$E:$E,0)),"")</f>
        <v/>
      </c>
      <c r="J53" s="9">
        <f>IFERROR(INDEX('Темы × классы'!$Q:$Q,MATCH(E53,'Темы × классы'!$E:$E,0))&amp;"","")</f>
        <v/>
      </c>
      <c r="K53" s="9" t="inlineStr">
        <is>
          <t>не начат</t>
        </is>
      </c>
      <c r="L53" s="9" t="inlineStr">
        <is>
          <t>Spotlight / 3 класс / Module 6 · Home, sweet home! / Plurals (regular) / Plurals (regular): орфография — + -es после -s, -ss, -sh, -ch, -x, -o</t>
        </is>
      </c>
    </row>
    <row r="54">
      <c r="A54" s="22" t="n">
        <v>3</v>
      </c>
      <c r="B54" s="9" t="inlineStr">
        <is>
          <t>Module 6 · Home, sweet home!</t>
        </is>
      </c>
      <c r="C54" s="9" t="inlineStr"/>
      <c r="D54" s="9" t="inlineStr">
        <is>
          <t>Plurals (regular)</t>
        </is>
      </c>
      <c r="E54" s="23" t="inlineStr">
        <is>
          <t>Plurals (regular): орфография — -y → -ies (но гласная + y → -s)</t>
        </is>
      </c>
      <c r="F54" s="24" t="inlineStr">
        <is>
          <t>новое</t>
        </is>
      </c>
      <c r="G54" s="9" t="inlineStr">
        <is>
          <t>baby — babies, boy — boys</t>
        </is>
      </c>
      <c r="H54" s="22" t="inlineStr">
        <is>
          <t>7–9</t>
        </is>
      </c>
      <c r="I54" s="9">
        <f>IFERROR(INDEX('Темы × классы'!$P:$P,MATCH(E54,'Темы × классы'!$E:$E,0)),"")</f>
        <v/>
      </c>
      <c r="J54" s="9">
        <f>IFERROR(INDEX('Темы × классы'!$Q:$Q,MATCH(E54,'Темы × классы'!$E:$E,0))&amp;"","")</f>
        <v/>
      </c>
      <c r="K54" s="9" t="inlineStr">
        <is>
          <t>не начат</t>
        </is>
      </c>
      <c r="L54" s="9" t="inlineStr">
        <is>
          <t>Spotlight / 3 класс / Module 6 · Home, sweet home! / Plurals (regular) / Plurals (regular): орфография — -y → -ies (но гласная + y → -s)</t>
        </is>
      </c>
    </row>
    <row r="55">
      <c r="A55" s="22" t="n">
        <v>3</v>
      </c>
      <c r="B55" s="9" t="inlineStr">
        <is>
          <t>Module 6 · Home, sweet home!</t>
        </is>
      </c>
      <c r="C55" s="9" t="inlineStr"/>
      <c r="D55" s="9" t="inlineStr">
        <is>
          <t>Plurals (regular)</t>
        </is>
      </c>
      <c r="E55" s="23" t="inlineStr">
        <is>
          <t>Plurals (regular): орфография — -f/-fe → -ves</t>
        </is>
      </c>
      <c r="F55" s="24" t="inlineStr">
        <is>
          <t>новое</t>
        </is>
      </c>
      <c r="G55" s="9" t="inlineStr">
        <is>
          <t>shelf — shelves</t>
        </is>
      </c>
      <c r="H55" s="22" t="inlineStr">
        <is>
          <t>7–9</t>
        </is>
      </c>
      <c r="I55" s="9">
        <f>IFERROR(INDEX('Темы × классы'!$P:$P,MATCH(E55,'Темы × классы'!$E:$E,0)),"")</f>
        <v/>
      </c>
      <c r="J55" s="9">
        <f>IFERROR(INDEX('Темы × классы'!$Q:$Q,MATCH(E55,'Темы × классы'!$E:$E,0))&amp;"","")</f>
        <v/>
      </c>
      <c r="K55" s="9" t="inlineStr">
        <is>
          <t>не начат</t>
        </is>
      </c>
      <c r="L55" s="9" t="inlineStr">
        <is>
          <t>Spotlight / 3 класс / Module 6 · Home, sweet home! / Plurals (regular) / Plurals (regular): орфография — -f/-fe → -ves</t>
        </is>
      </c>
    </row>
    <row r="56">
      <c r="A56" s="22" t="n">
        <v>3</v>
      </c>
      <c r="B56" s="9" t="inlineStr">
        <is>
          <t>Module 6 · Home, sweet home!</t>
        </is>
      </c>
      <c r="C56" s="9" t="inlineStr"/>
      <c r="D56" s="9" t="inlineStr">
        <is>
          <t>Prepositions of place</t>
        </is>
      </c>
      <c r="E56" s="23" t="inlineStr">
        <is>
          <t>Prepositions of place: in, on, under</t>
        </is>
      </c>
      <c r="F56" s="24" t="inlineStr">
        <is>
          <t>новое</t>
        </is>
      </c>
      <c r="G56" s="9" t="inlineStr">
        <is>
          <t>схемами</t>
        </is>
      </c>
      <c r="H56" s="22" t="inlineStr">
        <is>
          <t>7–9</t>
        </is>
      </c>
      <c r="I56" s="9">
        <f>IFERROR(INDEX('Темы × классы'!$P:$P,MATCH(E56,'Темы × классы'!$E:$E,0)),"")</f>
        <v/>
      </c>
      <c r="J56" s="9">
        <f>IFERROR(INDEX('Темы × классы'!$Q:$Q,MATCH(E56,'Темы × классы'!$E:$E,0))&amp;"","")</f>
        <v/>
      </c>
      <c r="K56" s="9" t="inlineStr">
        <is>
          <t>не начат</t>
        </is>
      </c>
      <c r="L56" s="9" t="inlineStr">
        <is>
          <t>Spotlight / 3 класс / Module 6 · Home, sweet home! / Prepositions of place / Prepositions of place: in, on, under</t>
        </is>
      </c>
    </row>
    <row r="57">
      <c r="A57" s="22" t="n">
        <v>3</v>
      </c>
      <c r="B57" s="9" t="inlineStr">
        <is>
          <t>Module 6 · Home, sweet home!</t>
        </is>
      </c>
      <c r="C57" s="9" t="inlineStr"/>
      <c r="D57" s="9" t="inlineStr">
        <is>
          <t>Prepositions of place</t>
        </is>
      </c>
      <c r="E57" s="23" t="inlineStr">
        <is>
          <t>Prepositions of place: next to, in front of, behind</t>
        </is>
      </c>
      <c r="F57" s="24" t="inlineStr">
        <is>
          <t>новое</t>
        </is>
      </c>
      <c r="G57" s="9" t="inlineStr"/>
      <c r="H57" s="22" t="inlineStr">
        <is>
          <t>7–9</t>
        </is>
      </c>
      <c r="I57" s="9">
        <f>IFERROR(INDEX('Темы × классы'!$P:$P,MATCH(E57,'Темы × классы'!$E:$E,0)),"")</f>
        <v/>
      </c>
      <c r="J57" s="9">
        <f>IFERROR(INDEX('Темы × классы'!$Q:$Q,MATCH(E57,'Темы × классы'!$E:$E,0))&amp;"","")</f>
        <v/>
      </c>
      <c r="K57" s="9" t="inlineStr">
        <is>
          <t>не начат</t>
        </is>
      </c>
      <c r="L57" s="9" t="inlineStr">
        <is>
          <t>Spotlight / 3 класс / Module 6 · Home, sweet home! / Prepositions of place / Prepositions of place: next to, in front of, behind</t>
        </is>
      </c>
    </row>
    <row r="58">
      <c r="A58" s="22" t="n">
        <v>3</v>
      </c>
      <c r="B58" s="9" t="inlineStr">
        <is>
          <t>Module 6 · Home, sweet home!</t>
        </is>
      </c>
      <c r="C58" s="9" t="inlineStr"/>
      <c r="D58" s="9" t="inlineStr">
        <is>
          <t>There is / There are</t>
        </is>
      </c>
      <c r="E58" s="23" t="inlineStr">
        <is>
          <t>There is / There are: there is — утверждение (ед. ч.)</t>
        </is>
      </c>
      <c r="F58" s="24" t="inlineStr">
        <is>
          <t>новое</t>
        </is>
      </c>
      <c r="G58" s="9" t="inlineStr">
        <is>
          <t>there's — краткая форма</t>
        </is>
      </c>
      <c r="H58" s="22" t="inlineStr">
        <is>
          <t>7–9</t>
        </is>
      </c>
      <c r="I58" s="9">
        <f>IFERROR(INDEX('Темы × классы'!$P:$P,MATCH(E58,'Темы × классы'!$E:$E,0)),"")</f>
        <v/>
      </c>
      <c r="J58" s="9">
        <f>IFERROR(INDEX('Темы × классы'!$Q:$Q,MATCH(E58,'Темы × классы'!$E:$E,0))&amp;"","")</f>
        <v/>
      </c>
      <c r="K58" s="9" t="inlineStr">
        <is>
          <t>не начат</t>
        </is>
      </c>
      <c r="L58" s="9" t="inlineStr">
        <is>
          <t>Spotlight / 3 класс / Module 6 · Home, sweet home! / There is / There are / There is / There are: there is — утверждение (ед. ч.)</t>
        </is>
      </c>
    </row>
    <row r="59">
      <c r="A59" s="22" t="n">
        <v>3</v>
      </c>
      <c r="B59" s="9" t="inlineStr">
        <is>
          <t>Module 6 · Home, sweet home!</t>
        </is>
      </c>
      <c r="C59" s="9" t="inlineStr"/>
      <c r="D59" s="9" t="inlineStr">
        <is>
          <t>There is / There are</t>
        </is>
      </c>
      <c r="E59" s="23" t="inlineStr">
        <is>
          <t>There is / There are: there are — утверждение (мн. ч.)</t>
        </is>
      </c>
      <c r="F59" s="24" t="inlineStr">
        <is>
          <t>новое</t>
        </is>
      </c>
      <c r="G59" s="9" t="inlineStr">
        <is>
          <t>There are two beds…</t>
        </is>
      </c>
      <c r="H59" s="22" t="inlineStr">
        <is>
          <t>7–9</t>
        </is>
      </c>
      <c r="I59" s="9">
        <f>IFERROR(INDEX('Темы × классы'!$P:$P,MATCH(E59,'Темы × классы'!$E:$E,0)),"")</f>
        <v/>
      </c>
      <c r="J59" s="9">
        <f>IFERROR(INDEX('Темы × классы'!$Q:$Q,MATCH(E59,'Темы × классы'!$E:$E,0))&amp;"","")</f>
        <v/>
      </c>
      <c r="K59" s="9" t="inlineStr">
        <is>
          <t>не начат</t>
        </is>
      </c>
      <c r="L59" s="9" t="inlineStr">
        <is>
          <t>Spotlight / 3 класс / Module 6 · Home, sweet home! / There is / There are / There is / There are: there are — утверждение (мн. ч.)</t>
        </is>
      </c>
    </row>
    <row r="60">
      <c r="A60" s="22" t="n">
        <v>3</v>
      </c>
      <c r="B60" s="9" t="inlineStr">
        <is>
          <t>Module 6 · Home, sweet home!</t>
        </is>
      </c>
      <c r="C60" s="9" t="inlineStr"/>
      <c r="D60" s="9" t="inlineStr">
        <is>
          <t>There is / There are</t>
        </is>
      </c>
      <c r="E60" s="23" t="inlineStr">
        <is>
          <t>There is / There are: отрицание — there isn't / there aren't</t>
        </is>
      </c>
      <c r="F60" s="24" t="inlineStr">
        <is>
          <t>новое</t>
        </is>
      </c>
      <c r="G60" s="9" t="inlineStr">
        <is>
          <t>There isn't / There aren't</t>
        </is>
      </c>
      <c r="H60" s="22" t="inlineStr">
        <is>
          <t>7–9</t>
        </is>
      </c>
      <c r="I60" s="9">
        <f>IFERROR(INDEX('Темы × классы'!$P:$P,MATCH(E60,'Темы × классы'!$E:$E,0)),"")</f>
        <v/>
      </c>
      <c r="J60" s="9">
        <f>IFERROR(INDEX('Темы × классы'!$Q:$Q,MATCH(E60,'Темы × классы'!$E:$E,0))&amp;"","")</f>
        <v/>
      </c>
      <c r="K60" s="9" t="inlineStr">
        <is>
          <t>не начат</t>
        </is>
      </c>
      <c r="L60" s="9" t="inlineStr">
        <is>
          <t>Spotlight / 3 класс / Module 6 · Home, sweet home! / There is / There are / There is / There are: отрицание — there isn't / there aren't</t>
        </is>
      </c>
    </row>
    <row r="61">
      <c r="A61" s="22" t="n">
        <v>3</v>
      </c>
      <c r="B61" s="9" t="inlineStr">
        <is>
          <t>Module 6 · Home, sweet home!</t>
        </is>
      </c>
      <c r="C61" s="9" t="inlineStr"/>
      <c r="D61" s="9" t="inlineStr">
        <is>
          <t>There is / There are</t>
        </is>
      </c>
      <c r="E61" s="23" t="inlineStr">
        <is>
          <t>There is / There are: вопросы — Is there…? / Are there…?</t>
        </is>
      </c>
      <c r="F61" s="24" t="inlineStr">
        <is>
          <t>новое</t>
        </is>
      </c>
      <c r="G61" s="9" t="inlineStr">
        <is>
          <t>Is there…? / Are there…? (кратких ответов нет)</t>
        </is>
      </c>
      <c r="H61" s="22" t="inlineStr">
        <is>
          <t>7–9</t>
        </is>
      </c>
      <c r="I61" s="9">
        <f>IFERROR(INDEX('Темы × классы'!$P:$P,MATCH(E61,'Темы × классы'!$E:$E,0)),"")</f>
        <v/>
      </c>
      <c r="J61" s="9">
        <f>IFERROR(INDEX('Темы × классы'!$Q:$Q,MATCH(E61,'Темы × классы'!$E:$E,0))&amp;"","")</f>
        <v/>
      </c>
      <c r="K61" s="9" t="inlineStr">
        <is>
          <t>не начат</t>
        </is>
      </c>
      <c r="L61" s="9" t="inlineStr">
        <is>
          <t>Spotlight / 3 класс / Module 6 · Home, sweet home! / There is / There are / There is / There are: вопросы — Is there…? / Are there…?</t>
        </is>
      </c>
    </row>
    <row r="62">
      <c r="A62" s="22" t="n">
        <v>3</v>
      </c>
      <c r="B62" s="9" t="inlineStr">
        <is>
          <t>Module 7 · A day off!</t>
        </is>
      </c>
      <c r="C62" s="9" t="inlineStr"/>
      <c r="D62" s="9" t="inlineStr">
        <is>
          <t>Present Continuous</t>
        </is>
      </c>
      <c r="E62" s="23" t="inlineStr">
        <is>
          <t>Present Continuous: утверждение (am/is/are + V-ing)</t>
        </is>
      </c>
      <c r="F62" s="24" t="inlineStr">
        <is>
          <t>новое</t>
        </is>
      </c>
      <c r="G62" s="9" t="inlineStr">
        <is>
          <t>полная и краткая: I am/I'm playing</t>
        </is>
      </c>
      <c r="H62" s="22" t="inlineStr">
        <is>
          <t>7–9</t>
        </is>
      </c>
      <c r="I62" s="9">
        <f>IFERROR(INDEX('Темы × классы'!$P:$P,MATCH(E62,'Темы × классы'!$E:$E,0)),"")</f>
        <v/>
      </c>
      <c r="J62" s="9">
        <f>IFERROR(INDEX('Темы × классы'!$Q:$Q,MATCH(E62,'Темы × классы'!$E:$E,0))&amp;"","")</f>
        <v/>
      </c>
      <c r="K62" s="9" t="inlineStr">
        <is>
          <t>не начат</t>
        </is>
      </c>
      <c r="L62" s="9" t="inlineStr">
        <is>
          <t>Spotlight / 3 класс / Module 7 · A day off! / Present Continuous / Present Continuous: утверждение (am/is/are + V-ing)</t>
        </is>
      </c>
    </row>
    <row r="63">
      <c r="A63" s="22" t="n">
        <v>3</v>
      </c>
      <c r="B63" s="9" t="inlineStr">
        <is>
          <t>Module 7 · A day off!</t>
        </is>
      </c>
      <c r="C63" s="9" t="inlineStr"/>
      <c r="D63" s="9" t="inlineStr">
        <is>
          <t>Present Continuous</t>
        </is>
      </c>
      <c r="E63" s="23" t="inlineStr">
        <is>
          <t>Present Continuous: отрицание (I'm not / isn't / aren't)</t>
        </is>
      </c>
      <c r="F63" s="24" t="inlineStr">
        <is>
          <t>новое</t>
        </is>
      </c>
      <c r="G63" s="9" t="inlineStr">
        <is>
          <t>am not, isn't, aren't</t>
        </is>
      </c>
      <c r="H63" s="22" t="inlineStr">
        <is>
          <t>7–9</t>
        </is>
      </c>
      <c r="I63" s="9">
        <f>IFERROR(INDEX('Темы × классы'!$P:$P,MATCH(E63,'Темы × классы'!$E:$E,0)),"")</f>
        <v/>
      </c>
      <c r="J63" s="9">
        <f>IFERROR(INDEX('Темы × классы'!$Q:$Q,MATCH(E63,'Темы × классы'!$E:$E,0))&amp;"","")</f>
        <v/>
      </c>
      <c r="K63" s="9" t="inlineStr">
        <is>
          <t>не начат</t>
        </is>
      </c>
      <c r="L63" s="9" t="inlineStr">
        <is>
          <t>Spotlight / 3 класс / Module 7 · A day off! / Present Continuous / Present Continuous: отрицание (I'm not / isn't / aren't)</t>
        </is>
      </c>
    </row>
    <row r="64">
      <c r="A64" s="22" t="n">
        <v>3</v>
      </c>
      <c r="B64" s="9" t="inlineStr">
        <is>
          <t>Module 7 · A day off!</t>
        </is>
      </c>
      <c r="C64" s="9" t="inlineStr"/>
      <c r="D64" s="9" t="inlineStr">
        <is>
          <t>Present Continuous</t>
        </is>
      </c>
      <c r="E64" s="23" t="inlineStr">
        <is>
          <t>Present Continuous: общие вопросы (Am/Is/Are …?)</t>
        </is>
      </c>
      <c r="F64" s="24" t="inlineStr">
        <is>
          <t>новое</t>
        </is>
      </c>
      <c r="G64" s="9" t="inlineStr">
        <is>
          <t>Am I / Is he / Are you …?</t>
        </is>
      </c>
      <c r="H64" s="22" t="inlineStr">
        <is>
          <t>7–9</t>
        </is>
      </c>
      <c r="I64" s="9">
        <f>IFERROR(INDEX('Темы × классы'!$P:$P,MATCH(E64,'Темы × классы'!$E:$E,0)),"")</f>
        <v/>
      </c>
      <c r="J64" s="9">
        <f>IFERROR(INDEX('Темы × классы'!$Q:$Q,MATCH(E64,'Темы × классы'!$E:$E,0))&amp;"","")</f>
        <v/>
      </c>
      <c r="K64" s="9" t="inlineStr">
        <is>
          <t>не начат</t>
        </is>
      </c>
      <c r="L64" s="9" t="inlineStr">
        <is>
          <t>Spotlight / 3 класс / Module 7 · A day off! / Present Continuous / Present Continuous: общие вопросы (Am/Is/Are …?)</t>
        </is>
      </c>
    </row>
    <row r="65">
      <c r="A65" s="22" t="n">
        <v>3</v>
      </c>
      <c r="B65" s="9" t="inlineStr">
        <is>
          <t>Module 7 · A day off!</t>
        </is>
      </c>
      <c r="C65" s="9" t="inlineStr"/>
      <c r="D65" s="9" t="inlineStr">
        <is>
          <t>Present Continuous</t>
        </is>
      </c>
      <c r="E65" s="23" t="inlineStr">
        <is>
          <t>Present Continuous: краткие ответы (Yes, I am / No, he isn't)</t>
        </is>
      </c>
      <c r="F65" s="24" t="inlineStr">
        <is>
          <t>новое</t>
        </is>
      </c>
      <c r="G65" s="9" t="inlineStr">
        <is>
          <t>все лица; -ing-глагол опускается</t>
        </is>
      </c>
      <c r="H65" s="22" t="inlineStr">
        <is>
          <t>7–9</t>
        </is>
      </c>
      <c r="I65" s="9">
        <f>IFERROR(INDEX('Темы × классы'!$P:$P,MATCH(E65,'Темы × классы'!$E:$E,0)),"")</f>
        <v/>
      </c>
      <c r="J65" s="9">
        <f>IFERROR(INDEX('Темы × классы'!$Q:$Q,MATCH(E65,'Темы × классы'!$E:$E,0))&amp;"","")</f>
        <v/>
      </c>
      <c r="K65" s="9" t="inlineStr">
        <is>
          <t>не начат</t>
        </is>
      </c>
      <c r="L65" s="9" t="inlineStr">
        <is>
          <t>Spotlight / 3 класс / Module 7 · A day off! / Present Continuous / Present Continuous: краткие ответы (Yes, I am / No, he isn't)</t>
        </is>
      </c>
    </row>
    <row r="66">
      <c r="A66" s="22" t="n">
        <v>3</v>
      </c>
      <c r="B66" s="9" t="inlineStr">
        <is>
          <t>Module 7 · A day off!</t>
        </is>
      </c>
      <c r="C66" s="9" t="inlineStr"/>
      <c r="D66" s="9" t="inlineStr">
        <is>
          <t>Present Continuous</t>
        </is>
      </c>
      <c r="E66" s="23" t="inlineStr">
        <is>
          <t>Present Continuous: значение — действие сейчас (now)</t>
        </is>
      </c>
      <c r="F66" s="24" t="inlineStr">
        <is>
          <t>новое</t>
        </is>
      </c>
      <c r="G66" s="9" t="inlineStr">
        <is>
          <t>now, at the moment</t>
        </is>
      </c>
      <c r="H66" s="22" t="inlineStr">
        <is>
          <t>7–9</t>
        </is>
      </c>
      <c r="I66" s="9">
        <f>IFERROR(INDEX('Темы × классы'!$P:$P,MATCH(E66,'Темы × классы'!$E:$E,0)),"")</f>
        <v/>
      </c>
      <c r="J66" s="9">
        <f>IFERROR(INDEX('Темы × классы'!$Q:$Q,MATCH(E66,'Темы × классы'!$E:$E,0))&amp;"","")</f>
        <v/>
      </c>
      <c r="K66" s="9" t="inlineStr">
        <is>
          <t>не начат</t>
        </is>
      </c>
      <c r="L66" s="9" t="inlineStr">
        <is>
          <t>Spotlight / 3 класс / Module 7 · A day off! / Present Continuous / Present Continuous: значение — действие сейчас (now)</t>
        </is>
      </c>
    </row>
    <row r="67">
      <c r="A67" s="22" t="n">
        <v>3</v>
      </c>
      <c r="B67" s="9" t="inlineStr">
        <is>
          <t>Module 8 · Day by day</t>
        </is>
      </c>
      <c r="C67" s="9" t="inlineStr"/>
      <c r="D67" s="9" t="inlineStr">
        <is>
          <t>Present Simple</t>
        </is>
      </c>
      <c r="E67" s="23" t="inlineStr">
        <is>
          <t>Present Simple: орфография окончания -s/-es (3 л. ед. ч.)</t>
        </is>
      </c>
      <c r="F67" s="24" t="inlineStr">
        <is>
          <t>новое</t>
        </is>
      </c>
      <c r="G67" s="9" t="inlineStr">
        <is>
          <t>+s; -ss/-sh/-ch/-x/-o +es; согласная+y → -ies; play – plays</t>
        </is>
      </c>
      <c r="H67" s="22" t="inlineStr">
        <is>
          <t>7–9</t>
        </is>
      </c>
      <c r="I67" s="9">
        <f>IFERROR(INDEX('Темы × классы'!$P:$P,MATCH(E67,'Темы × классы'!$E:$E,0)),"")</f>
        <v/>
      </c>
      <c r="J67" s="9">
        <f>IFERROR(INDEX('Темы × классы'!$Q:$Q,MATCH(E67,'Темы × классы'!$E:$E,0))&amp;"","")</f>
        <v/>
      </c>
      <c r="K67" s="9" t="inlineStr">
        <is>
          <t>не начат</t>
        </is>
      </c>
      <c r="L67" s="9" t="inlineStr">
        <is>
          <t>Spotlight / 3 класс / Module 8 · Day by day / Present Simple / Present Simple: орфография окончания -s/-es (3 л. ед. ч.)</t>
        </is>
      </c>
    </row>
    <row r="68">
      <c r="A68" s="22" t="n">
        <v>3</v>
      </c>
      <c r="B68" s="9" t="inlineStr">
        <is>
          <t>Module 8 · Day by day</t>
        </is>
      </c>
      <c r="C68" s="9" t="inlineStr"/>
      <c r="D68" s="9" t="inlineStr">
        <is>
          <t>Present Simple</t>
        </is>
      </c>
      <c r="E68" s="23" t="inlineStr">
        <is>
          <t>Present Simple: произношение окончания -s/-es (/s/, /z/, /ɪz/)</t>
        </is>
      </c>
      <c r="F68" s="24" t="inlineStr">
        <is>
          <t>новое</t>
        </is>
      </c>
      <c r="G68" s="9" t="inlineStr">
        <is>
          <t>/s/ eats, /ɪz/ watches, /z/ swims</t>
        </is>
      </c>
      <c r="H68" s="22" t="inlineStr">
        <is>
          <t>7–9</t>
        </is>
      </c>
      <c r="I68" s="9">
        <f>IFERROR(INDEX('Темы × классы'!$P:$P,MATCH(E68,'Темы × классы'!$E:$E,0)),"")</f>
        <v/>
      </c>
      <c r="J68" s="9">
        <f>IFERROR(INDEX('Темы × классы'!$Q:$Q,MATCH(E68,'Темы × классы'!$E:$E,0))&amp;"","")</f>
        <v/>
      </c>
      <c r="K68" s="9" t="inlineStr">
        <is>
          <t>не начат</t>
        </is>
      </c>
      <c r="L68" s="9" t="inlineStr">
        <is>
          <t>Spotlight / 3 класс / Module 8 · Day by day / Present Simple / Present Simple: произношение окончания -s/-es (/s/, /z/, /ɪz/)</t>
        </is>
      </c>
    </row>
    <row r="69">
      <c r="A69" s="22" t="n">
        <v>3</v>
      </c>
      <c r="B69" s="9" t="inlineStr">
        <is>
          <t>Module 8 · Day by day</t>
        </is>
      </c>
      <c r="C69" s="9" t="inlineStr"/>
      <c r="D69" s="9" t="inlineStr">
        <is>
          <t>Present Simple</t>
        </is>
      </c>
      <c r="E69" s="23" t="inlineStr">
        <is>
          <t>Present Simple: значение — регулярные действия, распорядок дня, привычки</t>
        </is>
      </c>
      <c r="F69" s="22" t="inlineStr">
        <is>
          <t>повторение</t>
        </is>
      </c>
      <c r="G69" s="9" t="inlineStr">
        <is>
          <t>I get up at 8 every day</t>
        </is>
      </c>
      <c r="H69" s="22" t="inlineStr">
        <is>
          <t>7–9</t>
        </is>
      </c>
      <c r="I69" s="9">
        <f>IFERROR(INDEX('Темы × классы'!$P:$P,MATCH(E69,'Темы × классы'!$E:$E,0)),"")</f>
        <v/>
      </c>
      <c r="J69" s="9">
        <f>IFERROR(INDEX('Темы × классы'!$Q:$Q,MATCH(E69,'Темы × классы'!$E:$E,0))&amp;"","")</f>
        <v/>
      </c>
      <c r="K69" s="9" t="inlineStr">
        <is>
          <t>не начат</t>
        </is>
      </c>
      <c r="L69" s="9" t="inlineStr">
        <is>
          <t>Spotlight / 3 класс / Module 8 · Day by day / Present Simple / Present Simple: значение — регулярные действия, распорядок дня, привычки</t>
        </is>
      </c>
    </row>
    <row r="70">
      <c r="A70" s="22" t="n">
        <v>3</v>
      </c>
      <c r="B70" s="9" t="inlineStr">
        <is>
          <t>Module 8 · Day by day</t>
        </is>
      </c>
      <c r="C70" s="9" t="inlineStr"/>
      <c r="D70" s="9" t="inlineStr">
        <is>
          <t>Prepositions of time</t>
        </is>
      </c>
      <c r="E70" s="23" t="inlineStr">
        <is>
          <t>Prepositions of time: at — время, праздники, at night/at noon/at the weekend</t>
        </is>
      </c>
      <c r="F70" s="24" t="inlineStr">
        <is>
          <t>новое</t>
        </is>
      </c>
      <c r="G70" s="9" t="inlineStr">
        <is>
          <t>at 4 o'clock, at Christmas, at noon, at night, at the weekend</t>
        </is>
      </c>
      <c r="H70" s="22" t="inlineStr">
        <is>
          <t>7–9</t>
        </is>
      </c>
      <c r="I70" s="9">
        <f>IFERROR(INDEX('Темы × классы'!$P:$P,MATCH(E70,'Темы × классы'!$E:$E,0)),"")</f>
        <v/>
      </c>
      <c r="J70" s="9">
        <f>IFERROR(INDEX('Темы × классы'!$Q:$Q,MATCH(E70,'Темы × классы'!$E:$E,0))&amp;"","")</f>
        <v/>
      </c>
      <c r="K70" s="9" t="inlineStr">
        <is>
          <t>не начат</t>
        </is>
      </c>
      <c r="L70" s="9" t="inlineStr">
        <is>
          <t>Spotlight / 3 класс / Module 8 · Day by day / Prepositions of time / Prepositions of time: at — время, праздники, at night/at noon/at the weekend</t>
        </is>
      </c>
    </row>
    <row r="71">
      <c r="A71" s="22" t="n">
        <v>3</v>
      </c>
      <c r="B71" s="9" t="inlineStr">
        <is>
          <t>Module 8 · Day by day</t>
        </is>
      </c>
      <c r="C71" s="9" t="inlineStr"/>
      <c r="D71" s="9" t="inlineStr">
        <is>
          <t>Prepositions of time</t>
        </is>
      </c>
      <c r="E71" s="23" t="inlineStr">
        <is>
          <t>Prepositions of time: on — дни недели и праздничные дни</t>
        </is>
      </c>
      <c r="F71" s="24" t="inlineStr">
        <is>
          <t>новое</t>
        </is>
      </c>
      <c r="G71" s="9" t="inlineStr">
        <is>
          <t>on Monday</t>
        </is>
      </c>
      <c r="H71" s="22" t="inlineStr">
        <is>
          <t>7–9</t>
        </is>
      </c>
      <c r="I71" s="9">
        <f>IFERROR(INDEX('Темы × классы'!$P:$P,MATCH(E71,'Темы × классы'!$E:$E,0)),"")</f>
        <v/>
      </c>
      <c r="J71" s="9">
        <f>IFERROR(INDEX('Темы × классы'!$Q:$Q,MATCH(E71,'Темы × классы'!$E:$E,0))&amp;"","")</f>
        <v/>
      </c>
      <c r="K71" s="9" t="inlineStr">
        <is>
          <t>не начат</t>
        </is>
      </c>
      <c r="L71" s="9" t="inlineStr">
        <is>
          <t>Spotlight / 3 класс / Module 8 · Day by day / Prepositions of time / Prepositions of time: on — дни недели и праздничные дни</t>
        </is>
      </c>
    </row>
    <row r="72">
      <c r="A72" s="22" t="n">
        <v>3</v>
      </c>
      <c r="B72" s="9" t="inlineStr">
        <is>
          <t>Module 8 · Day by day</t>
        </is>
      </c>
      <c r="C72" s="9" t="inlineStr"/>
      <c r="D72" s="9" t="inlineStr">
        <is>
          <t>Prepositions of time</t>
        </is>
      </c>
      <c r="E72" s="23" t="inlineStr">
        <is>
          <t>Prepositions of time: in — части суток (in the morning/afternoon/evening)</t>
        </is>
      </c>
      <c r="F72" s="24" t="inlineStr">
        <is>
          <t>новое</t>
        </is>
      </c>
      <c r="G72" s="9" t="inlineStr"/>
      <c r="H72" s="22" t="inlineStr">
        <is>
          <t>7–9</t>
        </is>
      </c>
      <c r="I72" s="9">
        <f>IFERROR(INDEX('Темы × классы'!$P:$P,MATCH(E72,'Темы × классы'!$E:$E,0)),"")</f>
        <v/>
      </c>
      <c r="J72" s="9">
        <f>IFERROR(INDEX('Темы × классы'!$Q:$Q,MATCH(E72,'Темы × классы'!$E:$E,0))&amp;"","")</f>
        <v/>
      </c>
      <c r="K72" s="9" t="inlineStr">
        <is>
          <t>не начат</t>
        </is>
      </c>
      <c r="L72" s="9" t="inlineStr">
        <is>
          <t>Spotlight / 3 класс / Module 8 · Day by day / Prepositions of time / Prepositions of time: in — части суток (in the morning/afternoon/evening)</t>
        </is>
      </c>
    </row>
    <row r="73">
      <c r="A73" s="25" t="n">
        <v>4</v>
      </c>
      <c r="B73" s="9" t="inlineStr">
        <is>
          <t>Module 1 · Family and friends</t>
        </is>
      </c>
      <c r="C73" s="9" t="inlineStr"/>
      <c r="D73" s="9" t="inlineStr">
        <is>
          <t>Present Continuous</t>
        </is>
      </c>
      <c r="E73" s="23" t="inlineStr">
        <is>
          <t>Present Continuous: утверждение (am/is/are + V-ing)</t>
        </is>
      </c>
      <c r="F73" s="25" t="inlineStr">
        <is>
          <t>повторение</t>
        </is>
      </c>
      <c r="G73" s="9" t="inlineStr"/>
      <c r="H73" s="25" t="inlineStr">
        <is>
          <t>10+</t>
        </is>
      </c>
      <c r="I73" s="9">
        <f>IFERROR(INDEX('Темы × классы'!$R:$R,MATCH(E73,'Темы × классы'!$E:$E,0)),"")</f>
        <v/>
      </c>
      <c r="J73" s="9">
        <f>IFERROR(INDEX('Темы × классы'!$S:$S,MATCH(E73,'Темы × классы'!$E:$E,0))&amp;"","")</f>
        <v/>
      </c>
      <c r="K73" s="9" t="inlineStr">
        <is>
          <t>не начат</t>
        </is>
      </c>
      <c r="L73" s="9" t="inlineStr">
        <is>
          <t>Spotlight / 4 класс / Module 1 · Family and friends / Present Continuous / Present Continuous: утверждение (am/is/are + V-ing)</t>
        </is>
      </c>
    </row>
    <row r="74">
      <c r="A74" s="25" t="n">
        <v>4</v>
      </c>
      <c r="B74" s="9" t="inlineStr">
        <is>
          <t>Module 1 · Family and friends</t>
        </is>
      </c>
      <c r="C74" s="9" t="inlineStr"/>
      <c r="D74" s="9" t="inlineStr">
        <is>
          <t>Present Continuous</t>
        </is>
      </c>
      <c r="E74" s="23" t="inlineStr">
        <is>
          <t>Present Continuous: отрицание (I'm not / isn't / aren't)</t>
        </is>
      </c>
      <c r="F74" s="25" t="inlineStr">
        <is>
          <t>повторение</t>
        </is>
      </c>
      <c r="G74" s="9" t="inlineStr"/>
      <c r="H74" s="25" t="inlineStr">
        <is>
          <t>10+</t>
        </is>
      </c>
      <c r="I74" s="9">
        <f>IFERROR(INDEX('Темы × классы'!$R:$R,MATCH(E74,'Темы × классы'!$E:$E,0)),"")</f>
        <v/>
      </c>
      <c r="J74" s="9">
        <f>IFERROR(INDEX('Темы × классы'!$S:$S,MATCH(E74,'Темы × классы'!$E:$E,0))&amp;"","")</f>
        <v/>
      </c>
      <c r="K74" s="9" t="inlineStr">
        <is>
          <t>не начат</t>
        </is>
      </c>
      <c r="L74" s="9" t="inlineStr">
        <is>
          <t>Spotlight / 4 класс / Module 1 · Family and friends / Present Continuous / Present Continuous: отрицание (I'm not / isn't / aren't)</t>
        </is>
      </c>
    </row>
    <row r="75">
      <c r="A75" s="25" t="n">
        <v>4</v>
      </c>
      <c r="B75" s="9" t="inlineStr">
        <is>
          <t>Module 1 · Family and friends</t>
        </is>
      </c>
      <c r="C75" s="9" t="inlineStr"/>
      <c r="D75" s="9" t="inlineStr">
        <is>
          <t>Present Continuous</t>
        </is>
      </c>
      <c r="E75" s="23" t="inlineStr">
        <is>
          <t>Present Continuous: общие вопросы (Am/Is/Are …?)</t>
        </is>
      </c>
      <c r="F75" s="25" t="inlineStr">
        <is>
          <t>повторение</t>
        </is>
      </c>
      <c r="G75" s="9" t="inlineStr"/>
      <c r="H75" s="25" t="inlineStr">
        <is>
          <t>10+</t>
        </is>
      </c>
      <c r="I75" s="9">
        <f>IFERROR(INDEX('Темы × классы'!$R:$R,MATCH(E75,'Темы × классы'!$E:$E,0)),"")</f>
        <v/>
      </c>
      <c r="J75" s="9">
        <f>IFERROR(INDEX('Темы × классы'!$S:$S,MATCH(E75,'Темы × классы'!$E:$E,0))&amp;"","")</f>
        <v/>
      </c>
      <c r="K75" s="9" t="inlineStr">
        <is>
          <t>не начат</t>
        </is>
      </c>
      <c r="L75" s="9" t="inlineStr">
        <is>
          <t>Spotlight / 4 класс / Module 1 · Family and friends / Present Continuous / Present Continuous: общие вопросы (Am/Is/Are …?)</t>
        </is>
      </c>
    </row>
    <row r="76">
      <c r="A76" s="25" t="n">
        <v>4</v>
      </c>
      <c r="B76" s="9" t="inlineStr">
        <is>
          <t>Module 1 · Family and friends</t>
        </is>
      </c>
      <c r="C76" s="9" t="inlineStr"/>
      <c r="D76" s="9" t="inlineStr">
        <is>
          <t>Present Continuous</t>
        </is>
      </c>
      <c r="E76" s="23" t="inlineStr">
        <is>
          <t>Present Continuous: краткие ответы (Yes, I am / No, he isn't)</t>
        </is>
      </c>
      <c r="F76" s="25" t="inlineStr">
        <is>
          <t>повторение</t>
        </is>
      </c>
      <c r="G76" s="9" t="inlineStr"/>
      <c r="H76" s="25" t="inlineStr">
        <is>
          <t>10+</t>
        </is>
      </c>
      <c r="I76" s="9">
        <f>IFERROR(INDEX('Темы × классы'!$R:$R,MATCH(E76,'Темы × классы'!$E:$E,0)),"")</f>
        <v/>
      </c>
      <c r="J76" s="9">
        <f>IFERROR(INDEX('Темы × классы'!$S:$S,MATCH(E76,'Темы × классы'!$E:$E,0))&amp;"","")</f>
        <v/>
      </c>
      <c r="K76" s="9" t="inlineStr">
        <is>
          <t>не начат</t>
        </is>
      </c>
      <c r="L76" s="9" t="inlineStr">
        <is>
          <t>Spotlight / 4 класс / Module 1 · Family and friends / Present Continuous / Present Continuous: краткие ответы (Yes, I am / No, he isn't)</t>
        </is>
      </c>
    </row>
    <row r="77">
      <c r="A77" s="25" t="n">
        <v>4</v>
      </c>
      <c r="B77" s="9" t="inlineStr">
        <is>
          <t>Module 1 · Family and friends</t>
        </is>
      </c>
      <c r="C77" s="9" t="inlineStr"/>
      <c r="D77" s="9" t="inlineStr">
        <is>
          <t>Present Continuous</t>
        </is>
      </c>
      <c r="E77" s="23" t="inlineStr">
        <is>
          <t>Present Continuous: значение — действие сейчас (now)</t>
        </is>
      </c>
      <c r="F77" s="25" t="inlineStr">
        <is>
          <t>повторение</t>
        </is>
      </c>
      <c r="G77" s="9" t="inlineStr">
        <is>
          <t>now, at the moment</t>
        </is>
      </c>
      <c r="H77" s="25" t="inlineStr">
        <is>
          <t>10+</t>
        </is>
      </c>
      <c r="I77" s="9">
        <f>IFERROR(INDEX('Темы × классы'!$R:$R,MATCH(E77,'Темы × классы'!$E:$E,0)),"")</f>
        <v/>
      </c>
      <c r="J77" s="9">
        <f>IFERROR(INDEX('Темы × классы'!$S:$S,MATCH(E77,'Темы × классы'!$E:$E,0))&amp;"","")</f>
        <v/>
      </c>
      <c r="K77" s="9" t="inlineStr">
        <is>
          <t>не начат</t>
        </is>
      </c>
      <c r="L77" s="9" t="inlineStr">
        <is>
          <t>Spotlight / 4 класс / Module 1 · Family and friends / Present Continuous / Present Continuous: значение — действие сейчас (now)</t>
        </is>
      </c>
    </row>
    <row r="78">
      <c r="A78" s="25" t="n">
        <v>4</v>
      </c>
      <c r="B78" s="9" t="inlineStr">
        <is>
          <t>Module 1 · Family and friends</t>
        </is>
      </c>
      <c r="C78" s="9" t="inlineStr"/>
      <c r="D78" s="9" t="inlineStr">
        <is>
          <t>Prepositions of place</t>
        </is>
      </c>
      <c r="E78" s="23" t="inlineStr">
        <is>
          <t>Prepositions of place: in, on, under</t>
        </is>
      </c>
      <c r="F78" s="25" t="inlineStr">
        <is>
          <t>повторение</t>
        </is>
      </c>
      <c r="G78" s="9" t="inlineStr"/>
      <c r="H78" s="25" t="inlineStr">
        <is>
          <t>10+</t>
        </is>
      </c>
      <c r="I78" s="9">
        <f>IFERROR(INDEX('Темы × классы'!$R:$R,MATCH(E78,'Темы × классы'!$E:$E,0)),"")</f>
        <v/>
      </c>
      <c r="J78" s="9">
        <f>IFERROR(INDEX('Темы × классы'!$S:$S,MATCH(E78,'Темы × классы'!$E:$E,0))&amp;"","")</f>
        <v/>
      </c>
      <c r="K78" s="9" t="inlineStr">
        <is>
          <t>не начат</t>
        </is>
      </c>
      <c r="L78" s="9" t="inlineStr">
        <is>
          <t>Spotlight / 4 класс / Module 1 · Family and friends / Prepositions of place / Prepositions of place: in, on, under</t>
        </is>
      </c>
    </row>
    <row r="79">
      <c r="A79" s="25" t="n">
        <v>4</v>
      </c>
      <c r="B79" s="9" t="inlineStr">
        <is>
          <t>Module 1 · Family and friends</t>
        </is>
      </c>
      <c r="C79" s="9" t="inlineStr"/>
      <c r="D79" s="9" t="inlineStr">
        <is>
          <t>Prepositions of place</t>
        </is>
      </c>
      <c r="E79" s="23" t="inlineStr">
        <is>
          <t>Prepositions of place: next to, in front of, behind</t>
        </is>
      </c>
      <c r="F79" s="25" t="inlineStr">
        <is>
          <t>повторение</t>
        </is>
      </c>
      <c r="G79" s="9" t="inlineStr"/>
      <c r="H79" s="25" t="inlineStr">
        <is>
          <t>10+</t>
        </is>
      </c>
      <c r="I79" s="9">
        <f>IFERROR(INDEX('Темы × классы'!$R:$R,MATCH(E79,'Темы × классы'!$E:$E,0)),"")</f>
        <v/>
      </c>
      <c r="J79" s="9">
        <f>IFERROR(INDEX('Темы × классы'!$S:$S,MATCH(E79,'Темы × классы'!$E:$E,0))&amp;"","")</f>
        <v/>
      </c>
      <c r="K79" s="9" t="inlineStr">
        <is>
          <t>не начат</t>
        </is>
      </c>
      <c r="L79" s="9" t="inlineStr">
        <is>
          <t>Spotlight / 4 класс / Module 1 · Family and friends / Prepositions of place / Prepositions of place: next to, in front of, behind</t>
        </is>
      </c>
    </row>
    <row r="80">
      <c r="A80" s="25" t="n">
        <v>4</v>
      </c>
      <c r="B80" s="9" t="inlineStr">
        <is>
          <t>Module 1 · Family and friends</t>
        </is>
      </c>
      <c r="C80" s="9" t="inlineStr"/>
      <c r="D80" s="9" t="inlineStr">
        <is>
          <t>Prepositions of place</t>
        </is>
      </c>
      <c r="E80" s="23" t="inlineStr">
        <is>
          <t>Prepositions of place: opposite, between</t>
        </is>
      </c>
      <c r="F80" s="26" t="inlineStr">
        <is>
          <t>новое</t>
        </is>
      </c>
      <c r="G80" s="9" t="inlineStr">
        <is>
          <t>новые в 4 кл.</t>
        </is>
      </c>
      <c r="H80" s="25" t="inlineStr">
        <is>
          <t>10+</t>
        </is>
      </c>
      <c r="I80" s="9">
        <f>IFERROR(INDEX('Темы × классы'!$R:$R,MATCH(E80,'Темы × классы'!$E:$E,0)),"")</f>
        <v/>
      </c>
      <c r="J80" s="9">
        <f>IFERROR(INDEX('Темы × классы'!$S:$S,MATCH(E80,'Темы × классы'!$E:$E,0))&amp;"","")</f>
        <v/>
      </c>
      <c r="K80" s="9" t="inlineStr">
        <is>
          <t>не начат</t>
        </is>
      </c>
      <c r="L80" s="9" t="inlineStr">
        <is>
          <t>Spotlight / 4 класс / Module 1 · Family and friends / Prepositions of place / Prepositions of place: opposite, between</t>
        </is>
      </c>
    </row>
    <row r="81">
      <c r="A81" s="25" t="n">
        <v>4</v>
      </c>
      <c r="B81" s="9" t="inlineStr">
        <is>
          <t>Module 2 · A working day</t>
        </is>
      </c>
      <c r="C81" s="9" t="inlineStr"/>
      <c r="D81" s="9" t="inlineStr">
        <is>
          <t>Present Simple</t>
        </is>
      </c>
      <c r="E81" s="23" t="inlineStr">
        <is>
          <t>Present Simple: утверждение (I/you/we/they V, he/she/it V-s)</t>
        </is>
      </c>
      <c r="F81" s="25" t="inlineStr">
        <is>
          <t>повторение</t>
        </is>
      </c>
      <c r="G81" s="9" t="inlineStr">
        <is>
          <t>все лица</t>
        </is>
      </c>
      <c r="H81" s="25" t="inlineStr">
        <is>
          <t>10+</t>
        </is>
      </c>
      <c r="I81" s="9">
        <f>IFERROR(INDEX('Темы × классы'!$R:$R,MATCH(E81,'Темы × классы'!$E:$E,0)),"")</f>
        <v/>
      </c>
      <c r="J81" s="9">
        <f>IFERROR(INDEX('Темы × классы'!$S:$S,MATCH(E81,'Темы × классы'!$E:$E,0))&amp;"","")</f>
        <v/>
      </c>
      <c r="K81" s="9" t="inlineStr">
        <is>
          <t>не начат</t>
        </is>
      </c>
      <c r="L81" s="9" t="inlineStr">
        <is>
          <t>Spotlight / 4 класс / Module 2 · A working day / Present Simple / Present Simple: утверждение (I/you/we/they V, he/she/it V-s)</t>
        </is>
      </c>
    </row>
    <row r="82">
      <c r="A82" s="25" t="n">
        <v>4</v>
      </c>
      <c r="B82" s="9" t="inlineStr">
        <is>
          <t>Module 2 · A working day</t>
        </is>
      </c>
      <c r="C82" s="9" t="inlineStr"/>
      <c r="D82" s="9" t="inlineStr">
        <is>
          <t>Present Simple</t>
        </is>
      </c>
      <c r="E82" s="23" t="inlineStr">
        <is>
          <t>Present Simple: отрицание (don't/doesn't)</t>
        </is>
      </c>
      <c r="F82" s="25" t="inlineStr">
        <is>
          <t>повторение</t>
        </is>
      </c>
      <c r="G82" s="9" t="inlineStr">
        <is>
          <t>все лица</t>
        </is>
      </c>
      <c r="H82" s="25" t="inlineStr">
        <is>
          <t>10+</t>
        </is>
      </c>
      <c r="I82" s="9">
        <f>IFERROR(INDEX('Темы × классы'!$R:$R,MATCH(E82,'Темы × классы'!$E:$E,0)),"")</f>
        <v/>
      </c>
      <c r="J82" s="9">
        <f>IFERROR(INDEX('Темы × классы'!$S:$S,MATCH(E82,'Темы × классы'!$E:$E,0))&amp;"","")</f>
        <v/>
      </c>
      <c r="K82" s="9" t="inlineStr">
        <is>
          <t>не начат</t>
        </is>
      </c>
      <c r="L82" s="9" t="inlineStr">
        <is>
          <t>Spotlight / 4 класс / Module 2 · A working day / Present Simple / Present Simple: отрицание (don't/doesn't)</t>
        </is>
      </c>
    </row>
    <row r="83">
      <c r="A83" s="25" t="n">
        <v>4</v>
      </c>
      <c r="B83" s="9" t="inlineStr">
        <is>
          <t>Module 2 · A working day</t>
        </is>
      </c>
      <c r="C83" s="9" t="inlineStr"/>
      <c r="D83" s="9" t="inlineStr">
        <is>
          <t>Present Simple</t>
        </is>
      </c>
      <c r="E83" s="23" t="inlineStr">
        <is>
          <t>Present Simple: общие вопросы (Do/Does …?)</t>
        </is>
      </c>
      <c r="F83" s="25" t="inlineStr">
        <is>
          <t>повторение</t>
        </is>
      </c>
      <c r="G83" s="9" t="inlineStr">
        <is>
          <t>все лица</t>
        </is>
      </c>
      <c r="H83" s="25" t="inlineStr">
        <is>
          <t>10+</t>
        </is>
      </c>
      <c r="I83" s="9">
        <f>IFERROR(INDEX('Темы × классы'!$R:$R,MATCH(E83,'Темы × классы'!$E:$E,0)),"")</f>
        <v/>
      </c>
      <c r="J83" s="9">
        <f>IFERROR(INDEX('Темы × классы'!$S:$S,MATCH(E83,'Темы × классы'!$E:$E,0))&amp;"","")</f>
        <v/>
      </c>
      <c r="K83" s="9" t="inlineStr">
        <is>
          <t>не начат</t>
        </is>
      </c>
      <c r="L83" s="9" t="inlineStr">
        <is>
          <t>Spotlight / 4 класс / Module 2 · A working day / Present Simple / Present Simple: общие вопросы (Do/Does …?)</t>
        </is>
      </c>
    </row>
    <row r="84">
      <c r="A84" s="25" t="n">
        <v>4</v>
      </c>
      <c r="B84" s="9" t="inlineStr">
        <is>
          <t>Module 2 · A working day</t>
        </is>
      </c>
      <c r="C84" s="9" t="inlineStr"/>
      <c r="D84" s="9" t="inlineStr">
        <is>
          <t>Present Simple</t>
        </is>
      </c>
      <c r="E84" s="23" t="inlineStr">
        <is>
          <t>Present Simple: краткие ответы (Yes, I do / No, he doesn't)</t>
        </is>
      </c>
      <c r="F84" s="25" t="inlineStr">
        <is>
          <t>повторение</t>
        </is>
      </c>
      <c r="G84" s="9" t="inlineStr">
        <is>
          <t>все лица</t>
        </is>
      </c>
      <c r="H84" s="25" t="inlineStr">
        <is>
          <t>10+</t>
        </is>
      </c>
      <c r="I84" s="9">
        <f>IFERROR(INDEX('Темы × классы'!$R:$R,MATCH(E84,'Темы × классы'!$E:$E,0)),"")</f>
        <v/>
      </c>
      <c r="J84" s="9">
        <f>IFERROR(INDEX('Темы × классы'!$S:$S,MATCH(E84,'Темы × классы'!$E:$E,0))&amp;"","")</f>
        <v/>
      </c>
      <c r="K84" s="9" t="inlineStr">
        <is>
          <t>не начат</t>
        </is>
      </c>
      <c r="L84" s="9" t="inlineStr">
        <is>
          <t>Spotlight / 4 класс / Module 2 · A working day / Present Simple / Present Simple: краткие ответы (Yes, I do / No, he doesn't)</t>
        </is>
      </c>
    </row>
    <row r="85">
      <c r="A85" s="25" t="n">
        <v>4</v>
      </c>
      <c r="B85" s="9" t="inlineStr">
        <is>
          <t>Module 2 · A working day</t>
        </is>
      </c>
      <c r="C85" s="9" t="inlineStr"/>
      <c r="D85" s="9" t="inlineStr">
        <is>
          <t>Present Simple</t>
        </is>
      </c>
      <c r="E85" s="23" t="inlineStr">
        <is>
          <t>Present Simple: орфография окончания -s/-es (3 л. ед. ч.)</t>
        </is>
      </c>
      <c r="F85" s="25" t="inlineStr">
        <is>
          <t>повторение</t>
        </is>
      </c>
      <c r="G85" s="9" t="inlineStr"/>
      <c r="H85" s="25" t="inlineStr">
        <is>
          <t>10+</t>
        </is>
      </c>
      <c r="I85" s="9">
        <f>IFERROR(INDEX('Темы × классы'!$R:$R,MATCH(E85,'Темы × классы'!$E:$E,0)),"")</f>
        <v/>
      </c>
      <c r="J85" s="9">
        <f>IFERROR(INDEX('Темы × классы'!$S:$S,MATCH(E85,'Темы × классы'!$E:$E,0))&amp;"","")</f>
        <v/>
      </c>
      <c r="K85" s="9" t="inlineStr">
        <is>
          <t>не начат</t>
        </is>
      </c>
      <c r="L85" s="9" t="inlineStr">
        <is>
          <t>Spotlight / 4 класс / Module 2 · A working day / Present Simple / Present Simple: орфография окончания -s/-es (3 л. ед. ч.)</t>
        </is>
      </c>
    </row>
    <row r="86">
      <c r="A86" s="25" t="n">
        <v>4</v>
      </c>
      <c r="B86" s="9" t="inlineStr">
        <is>
          <t>Module 2 · A working day</t>
        </is>
      </c>
      <c r="C86" s="9" t="inlineStr"/>
      <c r="D86" s="9" t="inlineStr">
        <is>
          <t>Present Simple</t>
        </is>
      </c>
      <c r="E86" s="23" t="inlineStr">
        <is>
          <t>Present Simple: произношение окончания -s/-es (/s/, /z/, /ɪz/)</t>
        </is>
      </c>
      <c r="F86" s="25" t="inlineStr">
        <is>
          <t>повторение</t>
        </is>
      </c>
      <c r="G86" s="9" t="inlineStr"/>
      <c r="H86" s="25" t="inlineStr">
        <is>
          <t>10+</t>
        </is>
      </c>
      <c r="I86" s="9">
        <f>IFERROR(INDEX('Темы × классы'!$R:$R,MATCH(E86,'Темы × классы'!$E:$E,0)),"")</f>
        <v/>
      </c>
      <c r="J86" s="9">
        <f>IFERROR(INDEX('Темы × классы'!$S:$S,MATCH(E86,'Темы × классы'!$E:$E,0))&amp;"","")</f>
        <v/>
      </c>
      <c r="K86" s="9" t="inlineStr">
        <is>
          <t>не начат</t>
        </is>
      </c>
      <c r="L86" s="9" t="inlineStr">
        <is>
          <t>Spotlight / 4 класс / Module 2 · A working day / Present Simple / Present Simple: произношение окончания -s/-es (/s/, /z/, /ɪz/)</t>
        </is>
      </c>
    </row>
    <row r="87">
      <c r="A87" s="25" t="n">
        <v>4</v>
      </c>
      <c r="B87" s="9" t="inlineStr">
        <is>
          <t>Module 2 · A working day</t>
        </is>
      </c>
      <c r="C87" s="9" t="inlineStr"/>
      <c r="D87" s="9" t="inlineStr">
        <is>
          <t>Present Simple</t>
        </is>
      </c>
      <c r="E87" s="23" t="inlineStr">
        <is>
          <t>Present Simple: значение — регулярные действия, распорядок дня, привычки</t>
        </is>
      </c>
      <c r="F87" s="27" t="inlineStr">
        <is>
          <t>расширение</t>
        </is>
      </c>
      <c r="G87" s="9" t="inlineStr">
        <is>
          <t>сигнальные слова: every day/week…, in the morning, on Monday, once/twice a week</t>
        </is>
      </c>
      <c r="H87" s="25" t="inlineStr">
        <is>
          <t>10+</t>
        </is>
      </c>
      <c r="I87" s="9">
        <f>IFERROR(INDEX('Темы × классы'!$R:$R,MATCH(E87,'Темы × классы'!$E:$E,0)),"")</f>
        <v/>
      </c>
      <c r="J87" s="9">
        <f>IFERROR(INDEX('Темы × классы'!$S:$S,MATCH(E87,'Темы × классы'!$E:$E,0))&amp;"","")</f>
        <v/>
      </c>
      <c r="K87" s="9" t="inlineStr">
        <is>
          <t>не начат</t>
        </is>
      </c>
      <c r="L87" s="9" t="inlineStr">
        <is>
          <t>Spotlight / 4 класс / Module 2 · A working day / Present Simple / Present Simple: значение — регулярные действия, распорядок дня, привычки</t>
        </is>
      </c>
    </row>
    <row r="88">
      <c r="A88" s="25" t="n">
        <v>4</v>
      </c>
      <c r="B88" s="9" t="inlineStr">
        <is>
          <t>Module 2 · A working day</t>
        </is>
      </c>
      <c r="C88" s="9" t="inlineStr"/>
      <c r="D88" s="9" t="inlineStr">
        <is>
          <t>have to</t>
        </is>
      </c>
      <c r="E88" s="23" t="inlineStr">
        <is>
          <t>have to: значение — необходимость из-за обстоятельств (утверждение)</t>
        </is>
      </c>
      <c r="F88" s="26" t="inlineStr">
        <is>
          <t>новое</t>
        </is>
      </c>
      <c r="G88" s="9" t="inlineStr">
        <is>
          <t>I have to be at school at 9</t>
        </is>
      </c>
      <c r="H88" s="25" t="inlineStr">
        <is>
          <t>10+</t>
        </is>
      </c>
      <c r="I88" s="9">
        <f>IFERROR(INDEX('Темы × классы'!$R:$R,MATCH(E88,'Темы × классы'!$E:$E,0)),"")</f>
        <v/>
      </c>
      <c r="J88" s="9">
        <f>IFERROR(INDEX('Темы × классы'!$S:$S,MATCH(E88,'Темы × классы'!$E:$E,0))&amp;"","")</f>
        <v/>
      </c>
      <c r="K88" s="9" t="inlineStr">
        <is>
          <t>не начат</t>
        </is>
      </c>
      <c r="L88" s="9" t="inlineStr">
        <is>
          <t>Spotlight / 4 класс / Module 2 · A working day / have to / have to: значение — необходимость из-за обстоятельств (утверждение)</t>
        </is>
      </c>
    </row>
    <row r="89">
      <c r="A89" s="25" t="n">
        <v>4</v>
      </c>
      <c r="B89" s="9" t="inlineStr">
        <is>
          <t>Module 2 · A working day</t>
        </is>
      </c>
      <c r="C89" s="9" t="inlineStr"/>
      <c r="D89" s="9" t="inlineStr">
        <is>
          <t>have to</t>
        </is>
      </c>
      <c r="E89" s="23" t="inlineStr">
        <is>
          <t>have to: don't / doesn't have to — отсутствие необходимости</t>
        </is>
      </c>
      <c r="F89" s="26" t="inlineStr">
        <is>
          <t>новое</t>
        </is>
      </c>
      <c r="G89" s="9" t="inlineStr">
        <is>
          <t>don't / doesn't have to</t>
        </is>
      </c>
      <c r="H89" s="25" t="inlineStr">
        <is>
          <t>10+</t>
        </is>
      </c>
      <c r="I89" s="9">
        <f>IFERROR(INDEX('Темы × классы'!$R:$R,MATCH(E89,'Темы × классы'!$E:$E,0)),"")</f>
        <v/>
      </c>
      <c r="J89" s="9">
        <f>IFERROR(INDEX('Темы × классы'!$S:$S,MATCH(E89,'Темы × классы'!$E:$E,0))&amp;"","")</f>
        <v/>
      </c>
      <c r="K89" s="9" t="inlineStr">
        <is>
          <t>не начат</t>
        </is>
      </c>
      <c r="L89" s="9" t="inlineStr">
        <is>
          <t>Spotlight / 4 класс / Module 2 · A working day / have to / have to: don't / doesn't have to — отсутствие необходимости</t>
        </is>
      </c>
    </row>
    <row r="90">
      <c r="A90" s="25" t="n">
        <v>4</v>
      </c>
      <c r="B90" s="9" t="inlineStr">
        <is>
          <t>Module 2 · A working day</t>
        </is>
      </c>
      <c r="C90" s="9" t="inlineStr"/>
      <c r="D90" s="9" t="inlineStr">
        <is>
          <t>have to</t>
        </is>
      </c>
      <c r="E90" s="23" t="inlineStr">
        <is>
          <t>have to: вопросы и краткие ответы — Do you have to…?</t>
        </is>
      </c>
      <c r="F90" s="26" t="inlineStr">
        <is>
          <t>новое</t>
        </is>
      </c>
      <c r="G90" s="9" t="inlineStr">
        <is>
          <t>Do you have to…? — Yes, I do</t>
        </is>
      </c>
      <c r="H90" s="25" t="inlineStr">
        <is>
          <t>10+</t>
        </is>
      </c>
      <c r="I90" s="9">
        <f>IFERROR(INDEX('Темы × классы'!$R:$R,MATCH(E90,'Темы × классы'!$E:$E,0)),"")</f>
        <v/>
      </c>
      <c r="J90" s="9">
        <f>IFERROR(INDEX('Темы × классы'!$S:$S,MATCH(E90,'Темы × классы'!$E:$E,0))&amp;"","")</f>
        <v/>
      </c>
      <c r="K90" s="9" t="inlineStr">
        <is>
          <t>не начат</t>
        </is>
      </c>
      <c r="L90" s="9" t="inlineStr">
        <is>
          <t>Spotlight / 4 класс / Module 2 · A working day / have to / have to: вопросы и краткие ответы — Do you have to…?</t>
        </is>
      </c>
    </row>
    <row r="91">
      <c r="A91" s="25" t="n">
        <v>4</v>
      </c>
      <c r="B91" s="9" t="inlineStr">
        <is>
          <t>Module 2 · A working day</t>
        </is>
      </c>
      <c r="C91" s="9" t="inlineStr"/>
      <c r="D91" s="9" t="inlineStr">
        <is>
          <t>Adverbs of frequency</t>
        </is>
      </c>
      <c r="E91" s="23" t="inlineStr">
        <is>
          <t>Adverbs of frequency: значение — never, sometimes, usually, often, always</t>
        </is>
      </c>
      <c r="F91" s="26" t="inlineStr">
        <is>
          <t>новое</t>
        </is>
      </c>
      <c r="G91" s="9" t="inlineStr">
        <is>
          <t>never, sometimes, usually, often, always; с Present Simple</t>
        </is>
      </c>
      <c r="H91" s="25" t="inlineStr">
        <is>
          <t>10+</t>
        </is>
      </c>
      <c r="I91" s="9">
        <f>IFERROR(INDEX('Темы × классы'!$R:$R,MATCH(E91,'Темы × классы'!$E:$E,0)),"")</f>
        <v/>
      </c>
      <c r="J91" s="9">
        <f>IFERROR(INDEX('Темы × классы'!$S:$S,MATCH(E91,'Темы × классы'!$E:$E,0))&amp;"","")</f>
        <v/>
      </c>
      <c r="K91" s="9" t="inlineStr">
        <is>
          <t>не начат</t>
        </is>
      </c>
      <c r="L91" s="9" t="inlineStr">
        <is>
          <t>Spotlight / 4 класс / Module 2 · A working day / Adverbs of frequency / Adverbs of frequency: значение — never, sometimes, usually, often, always</t>
        </is>
      </c>
    </row>
    <row r="92">
      <c r="A92" s="25" t="n">
        <v>4</v>
      </c>
      <c r="B92" s="9" t="inlineStr">
        <is>
          <t>Module 2 · A working day</t>
        </is>
      </c>
      <c r="C92" s="9" t="inlineStr"/>
      <c r="D92" s="9" t="inlineStr">
        <is>
          <t>Adverbs of frequency</t>
        </is>
      </c>
      <c r="E92" s="23" t="inlineStr">
        <is>
          <t>Adverbs of frequency: место — перед смысловым глаголом, после be</t>
        </is>
      </c>
      <c r="F92" s="26" t="inlineStr">
        <is>
          <t>новое</t>
        </is>
      </c>
      <c r="G92" s="9" t="inlineStr">
        <is>
          <t>только примерами: перед смысловым глаголом и после is; правило не сформулировано</t>
        </is>
      </c>
      <c r="H92" s="25" t="inlineStr">
        <is>
          <t>10+</t>
        </is>
      </c>
      <c r="I92" s="9">
        <f>IFERROR(INDEX('Темы × классы'!$R:$R,MATCH(E92,'Темы × классы'!$E:$E,0)),"")</f>
        <v/>
      </c>
      <c r="J92" s="9">
        <f>IFERROR(INDEX('Темы × классы'!$S:$S,MATCH(E92,'Темы × классы'!$E:$E,0))&amp;"","")</f>
        <v/>
      </c>
      <c r="K92" s="9" t="inlineStr">
        <is>
          <t>не начат</t>
        </is>
      </c>
      <c r="L92" s="9" t="inlineStr">
        <is>
          <t>Spotlight / 4 класс / Module 2 · A working day / Adverbs of frequency / Adverbs of frequency: место — перед смысловым глаголом, после be</t>
        </is>
      </c>
    </row>
    <row r="93">
      <c r="A93" s="25" t="n">
        <v>4</v>
      </c>
      <c r="B93" s="9" t="inlineStr">
        <is>
          <t>Module 3 · Tasty treats</t>
        </is>
      </c>
      <c r="C93" s="9" t="inlineStr"/>
      <c r="D93" s="9" t="inlineStr">
        <is>
          <t>may/might</t>
        </is>
      </c>
      <c r="E93" s="23" t="inlineStr">
        <is>
          <t>may/might: may — спросить разрешения (May I…?) и ответы</t>
        </is>
      </c>
      <c r="F93" s="26" t="inlineStr">
        <is>
          <t>новое</t>
        </is>
      </c>
      <c r="G93" s="9" t="inlineStr">
        <is>
          <t>официально; Certainly./Of course you may. / No, you may not.</t>
        </is>
      </c>
      <c r="H93" s="25" t="inlineStr">
        <is>
          <t>10+</t>
        </is>
      </c>
      <c r="I93" s="9">
        <f>IFERROR(INDEX('Темы × классы'!$R:$R,MATCH(E93,'Темы × классы'!$E:$E,0)),"")</f>
        <v/>
      </c>
      <c r="J93" s="9">
        <f>IFERROR(INDEX('Темы × классы'!$S:$S,MATCH(E93,'Темы × классы'!$E:$E,0))&amp;"","")</f>
        <v/>
      </c>
      <c r="K93" s="9" t="inlineStr">
        <is>
          <t>не начат</t>
        </is>
      </c>
      <c r="L93" s="9" t="inlineStr">
        <is>
          <t>Spotlight / 4 класс / Module 3 · Tasty treats / may/might / may/might: may — спросить разрешения (May I…?) и ответы</t>
        </is>
      </c>
    </row>
    <row r="94">
      <c r="A94" s="25" t="n">
        <v>4</v>
      </c>
      <c r="B94" s="9" t="inlineStr">
        <is>
          <t>Module 3 · Tasty treats</t>
        </is>
      </c>
      <c r="C94" s="9" t="inlineStr"/>
      <c r="D94" s="9" t="inlineStr">
        <is>
          <t>Countable / Uncountable nouns</t>
        </is>
      </c>
      <c r="E94" s="23" t="inlineStr">
        <is>
          <t>Countable / Uncountable: различие исчисляемых и неисчисляемых</t>
        </is>
      </c>
      <c r="F94" s="25" t="inlineStr">
        <is>
          <t>повторение</t>
        </is>
      </c>
      <c r="G94" s="9" t="inlineStr">
        <is>
          <t>только в рамках much/many и how much/how many</t>
        </is>
      </c>
      <c r="H94" s="25" t="inlineStr">
        <is>
          <t>10+</t>
        </is>
      </c>
      <c r="I94" s="9">
        <f>IFERROR(INDEX('Темы × классы'!$R:$R,MATCH(E94,'Темы × классы'!$E:$E,0)),"")</f>
        <v/>
      </c>
      <c r="J94" s="9">
        <f>IFERROR(INDEX('Темы × классы'!$S:$S,MATCH(E94,'Темы × классы'!$E:$E,0))&amp;"","")</f>
        <v/>
      </c>
      <c r="K94" s="9" t="inlineStr">
        <is>
          <t>не начат</t>
        </is>
      </c>
      <c r="L94" s="9" t="inlineStr">
        <is>
          <t>Spotlight / 4 класс / Module 3 · Tasty treats / Countable / Uncountable nouns / Countable / Uncountable: различие исчисляемых и неисчисляемых</t>
        </is>
      </c>
    </row>
    <row r="95">
      <c r="A95" s="25" t="n">
        <v>4</v>
      </c>
      <c r="B95" s="9" t="inlineStr">
        <is>
          <t>Module 3 · Tasty treats</t>
        </is>
      </c>
      <c r="C95" s="9" t="inlineStr"/>
      <c r="D95" s="9" t="inlineStr">
        <is>
          <t>much/many/a lot of</t>
        </is>
      </c>
      <c r="E95" s="23" t="inlineStr">
        <is>
          <t>much/many/a lot of: a lot of / lots of — в утверждениях (исчисляемые и неисчисляемые)</t>
        </is>
      </c>
      <c r="F95" s="26" t="inlineStr">
        <is>
          <t>новое</t>
        </is>
      </c>
      <c r="G95" s="9" t="inlineStr">
        <is>
          <t>She's got a lot of friends. There is a lot of cheese</t>
        </is>
      </c>
      <c r="H95" s="25" t="inlineStr">
        <is>
          <t>10+</t>
        </is>
      </c>
      <c r="I95" s="9">
        <f>IFERROR(INDEX('Темы × классы'!$R:$R,MATCH(E95,'Темы × классы'!$E:$E,0)),"")</f>
        <v/>
      </c>
      <c r="J95" s="9">
        <f>IFERROR(INDEX('Темы × классы'!$S:$S,MATCH(E95,'Темы × классы'!$E:$E,0))&amp;"","")</f>
        <v/>
      </c>
      <c r="K95" s="9" t="inlineStr">
        <is>
          <t>не начат</t>
        </is>
      </c>
      <c r="L95" s="9" t="inlineStr">
        <is>
          <t>Spotlight / 4 класс / Module 3 · Tasty treats / much/many/a lot of / much/many/a lot of: a lot of / lots of — в утверждениях (исчисляемые и неисчисляемые)</t>
        </is>
      </c>
    </row>
    <row r="96">
      <c r="A96" s="25" t="n">
        <v>4</v>
      </c>
      <c r="B96" s="9" t="inlineStr">
        <is>
          <t>Module 3 · Tasty treats</t>
        </is>
      </c>
      <c r="C96" s="9" t="inlineStr"/>
      <c r="D96" s="9" t="inlineStr">
        <is>
          <t>much/many/a lot of</t>
        </is>
      </c>
      <c r="E96" s="23" t="inlineStr">
        <is>
          <t>much/many/a lot of: much/many — отрицание</t>
        </is>
      </c>
      <c r="F96" s="26" t="inlineStr">
        <is>
          <t>новое</t>
        </is>
      </c>
      <c r="G96" s="9" t="inlineStr">
        <is>
          <t>There isn't much butter / aren't many apples</t>
        </is>
      </c>
      <c r="H96" s="25" t="inlineStr">
        <is>
          <t>10+</t>
        </is>
      </c>
      <c r="I96" s="9">
        <f>IFERROR(INDEX('Темы × классы'!$R:$R,MATCH(E96,'Темы × классы'!$E:$E,0)),"")</f>
        <v/>
      </c>
      <c r="J96" s="9">
        <f>IFERROR(INDEX('Темы × классы'!$S:$S,MATCH(E96,'Темы × классы'!$E:$E,0))&amp;"","")</f>
        <v/>
      </c>
      <c r="K96" s="9" t="inlineStr">
        <is>
          <t>не начат</t>
        </is>
      </c>
      <c r="L96" s="9" t="inlineStr">
        <is>
          <t>Spotlight / 4 класс / Module 3 · Tasty treats / much/many/a lot of / much/many/a lot of: much/many — отрицание</t>
        </is>
      </c>
    </row>
    <row r="97">
      <c r="A97" s="25" t="n">
        <v>4</v>
      </c>
      <c r="B97" s="9" t="inlineStr">
        <is>
          <t>Module 3 · Tasty treats</t>
        </is>
      </c>
      <c r="C97" s="9" t="inlineStr"/>
      <c r="D97" s="9" t="inlineStr">
        <is>
          <t>much/many/a lot of</t>
        </is>
      </c>
      <c r="E97" s="23" t="inlineStr">
        <is>
          <t>much/many/a lot of: much/many — вопросы</t>
        </is>
      </c>
      <c r="F97" s="26" t="inlineStr">
        <is>
          <t>новое</t>
        </is>
      </c>
      <c r="G97" s="9" t="inlineStr">
        <is>
          <t>Is there much sugar? Are there many girls?</t>
        </is>
      </c>
      <c r="H97" s="25" t="inlineStr">
        <is>
          <t>10+</t>
        </is>
      </c>
      <c r="I97" s="9">
        <f>IFERROR(INDEX('Темы × классы'!$R:$R,MATCH(E97,'Темы × классы'!$E:$E,0)),"")</f>
        <v/>
      </c>
      <c r="J97" s="9">
        <f>IFERROR(INDEX('Темы × классы'!$S:$S,MATCH(E97,'Темы × классы'!$E:$E,0))&amp;"","")</f>
        <v/>
      </c>
      <c r="K97" s="9" t="inlineStr">
        <is>
          <t>не начат</t>
        </is>
      </c>
      <c r="L97" s="9" t="inlineStr">
        <is>
          <t>Spotlight / 4 класс / Module 3 · Tasty treats / much/many/a lot of / much/many/a lot of: much/many — вопросы</t>
        </is>
      </c>
    </row>
    <row r="98">
      <c r="A98" s="25" t="n">
        <v>4</v>
      </c>
      <c r="B98" s="9" t="inlineStr">
        <is>
          <t>Module 3 · Tasty treats</t>
        </is>
      </c>
      <c r="C98" s="9" t="inlineStr"/>
      <c r="D98" s="9" t="inlineStr">
        <is>
          <t>much/many/a lot of</t>
        </is>
      </c>
      <c r="E98" s="23" t="inlineStr">
        <is>
          <t>much/many/a lot of: How much? / How many?</t>
        </is>
      </c>
      <c r="F98" s="26" t="inlineStr">
        <is>
          <t>новое</t>
        </is>
      </c>
      <c r="G98" s="9" t="inlineStr"/>
      <c r="H98" s="25" t="inlineStr">
        <is>
          <t>10+</t>
        </is>
      </c>
      <c r="I98" s="9">
        <f>IFERROR(INDEX('Темы × классы'!$R:$R,MATCH(E98,'Темы × классы'!$E:$E,0)),"")</f>
        <v/>
      </c>
      <c r="J98" s="9">
        <f>IFERROR(INDEX('Темы × классы'!$S:$S,MATCH(E98,'Темы × классы'!$E:$E,0))&amp;"","")</f>
        <v/>
      </c>
      <c r="K98" s="9" t="inlineStr">
        <is>
          <t>не начат</t>
        </is>
      </c>
      <c r="L98" s="9" t="inlineStr">
        <is>
          <t>Spotlight / 4 класс / Module 3 · Tasty treats / much/many/a lot of / much/many/a lot of: How much? / How many?</t>
        </is>
      </c>
    </row>
    <row r="99">
      <c r="A99" s="25" t="n">
        <v>4</v>
      </c>
      <c r="B99" s="9" t="inlineStr">
        <is>
          <t>Module 3 · Tasty treats</t>
        </is>
      </c>
      <c r="C99" s="9" t="inlineStr"/>
      <c r="D99" s="9" t="inlineStr">
        <is>
          <t>much/many/a lot of</t>
        </is>
      </c>
      <c r="E99" s="23" t="inlineStr">
        <is>
          <t>much/many/a lot of: краткие ответы и a lot / lots без существительного</t>
        </is>
      </c>
      <c r="F99" s="26" t="inlineStr">
        <is>
          <t>новое</t>
        </is>
      </c>
      <c r="G99" s="9" t="inlineStr">
        <is>
          <t>Not much. / Not many. / A lot.</t>
        </is>
      </c>
      <c r="H99" s="25" t="inlineStr">
        <is>
          <t>10+</t>
        </is>
      </c>
      <c r="I99" s="9">
        <f>IFERROR(INDEX('Темы × классы'!$R:$R,MATCH(E99,'Темы × классы'!$E:$E,0)),"")</f>
        <v/>
      </c>
      <c r="J99" s="9">
        <f>IFERROR(INDEX('Темы × классы'!$S:$S,MATCH(E99,'Темы × классы'!$E:$E,0))&amp;"","")</f>
        <v/>
      </c>
      <c r="K99" s="9" t="inlineStr">
        <is>
          <t>не начат</t>
        </is>
      </c>
      <c r="L99" s="9" t="inlineStr">
        <is>
          <t>Spotlight / 4 класс / Module 3 · Tasty treats / much/many/a lot of / much/many/a lot of: краткие ответы и a lot / lots без существительного</t>
        </is>
      </c>
    </row>
    <row r="100">
      <c r="A100" s="25" t="n">
        <v>4</v>
      </c>
      <c r="B100" s="9" t="inlineStr">
        <is>
          <t>Module 3 · Tasty treats</t>
        </is>
      </c>
      <c r="C100" s="9" t="inlineStr"/>
      <c r="D100" s="9" t="inlineStr">
        <is>
          <t>Question words</t>
        </is>
      </c>
      <c r="E100" s="23" t="inlineStr">
        <is>
          <t>Question words: How much? / How many?</t>
        </is>
      </c>
      <c r="F100" s="26" t="inlineStr">
        <is>
          <t>новое</t>
        </is>
      </c>
      <c r="G100" s="9" t="inlineStr">
        <is>
          <t>How much — неисчисляемые, How many — исчисляемые; в разделе Much/Many/A lot of</t>
        </is>
      </c>
      <c r="H100" s="25" t="inlineStr">
        <is>
          <t>10+</t>
        </is>
      </c>
      <c r="I100" s="9">
        <f>IFERROR(INDEX('Темы × классы'!$R:$R,MATCH(E100,'Темы × классы'!$E:$E,0)),"")</f>
        <v/>
      </c>
      <c r="J100" s="9">
        <f>IFERROR(INDEX('Темы × классы'!$S:$S,MATCH(E100,'Темы × классы'!$E:$E,0))&amp;"","")</f>
        <v/>
      </c>
      <c r="K100" s="9" t="inlineStr">
        <is>
          <t>не начат</t>
        </is>
      </c>
      <c r="L100" s="9" t="inlineStr">
        <is>
          <t>Spotlight / 4 класс / Module 3 · Tasty treats / Question words / Question words: How much? / How many?</t>
        </is>
      </c>
    </row>
    <row r="101">
      <c r="A101" s="25" t="n">
        <v>4</v>
      </c>
      <c r="B101" s="9" t="inlineStr">
        <is>
          <t>Module 4 · At the zoo!</t>
        </is>
      </c>
      <c r="C101" s="9" t="inlineStr"/>
      <c r="D101" s="9" t="inlineStr">
        <is>
          <t>Present Simple vs Present Continuous</t>
        </is>
      </c>
      <c r="E101" s="23" t="inlineStr">
        <is>
          <t>Present Simple vs Present Continuous: привычка vs сейчас</t>
        </is>
      </c>
      <c r="F101" s="26" t="inlineStr">
        <is>
          <t>новое</t>
        </is>
      </c>
      <c r="G101" s="9" t="inlineStr">
        <is>
          <t>регулярные действия vs момент речи</t>
        </is>
      </c>
      <c r="H101" s="25" t="inlineStr">
        <is>
          <t>10+</t>
        </is>
      </c>
      <c r="I101" s="9">
        <f>IFERROR(INDEX('Темы × классы'!$R:$R,MATCH(E101,'Темы × классы'!$E:$E,0)),"")</f>
        <v/>
      </c>
      <c r="J101" s="9">
        <f>IFERROR(INDEX('Темы × классы'!$S:$S,MATCH(E101,'Темы × классы'!$E:$E,0))&amp;"","")</f>
        <v/>
      </c>
      <c r="K101" s="9" t="inlineStr">
        <is>
          <t>не начат</t>
        </is>
      </c>
      <c r="L101" s="9" t="inlineStr">
        <is>
          <t>Spotlight / 4 класс / Module 4 · At the zoo! / Present Simple vs Present Continuous / Present Simple vs Present Continuous: привычка vs сейчас</t>
        </is>
      </c>
    </row>
    <row r="102">
      <c r="A102" s="25" t="n">
        <v>4</v>
      </c>
      <c r="B102" s="9" t="inlineStr">
        <is>
          <t>Module 4 · At the zoo!</t>
        </is>
      </c>
      <c r="C102" s="9" t="inlineStr"/>
      <c r="D102" s="9" t="inlineStr">
        <is>
          <t>must/mustn't</t>
        </is>
      </c>
      <c r="E102" s="23" t="inlineStr">
        <is>
          <t>must/mustn't: must — обязанность, необходимость</t>
        </is>
      </c>
      <c r="F102" s="26" t="inlineStr">
        <is>
          <t>новое</t>
        </is>
      </c>
      <c r="G102" s="9" t="inlineStr">
        <is>
          <t>I must put my rubbish in the bin</t>
        </is>
      </c>
      <c r="H102" s="25" t="inlineStr">
        <is>
          <t>10+</t>
        </is>
      </c>
      <c r="I102" s="9">
        <f>IFERROR(INDEX('Темы × классы'!$R:$R,MATCH(E102,'Темы × классы'!$E:$E,0)),"")</f>
        <v/>
      </c>
      <c r="J102" s="9">
        <f>IFERROR(INDEX('Темы × классы'!$S:$S,MATCH(E102,'Темы × классы'!$E:$E,0))&amp;"","")</f>
        <v/>
      </c>
      <c r="K102" s="9" t="inlineStr">
        <is>
          <t>не начат</t>
        </is>
      </c>
      <c r="L102" s="9" t="inlineStr">
        <is>
          <t>Spotlight / 4 класс / Module 4 · At the zoo! / must/mustn't / must/mustn't: must — обязанность, необходимость</t>
        </is>
      </c>
    </row>
    <row r="103">
      <c r="A103" s="25" t="n">
        <v>4</v>
      </c>
      <c r="B103" s="9" t="inlineStr">
        <is>
          <t>Module 4 · At the zoo!</t>
        </is>
      </c>
      <c r="C103" s="9" t="inlineStr"/>
      <c r="D103" s="9" t="inlineStr">
        <is>
          <t>must/mustn't</t>
        </is>
      </c>
      <c r="E103" s="23" t="inlineStr">
        <is>
          <t>must/mustn't: mustn't — запрет</t>
        </is>
      </c>
      <c r="F103" s="26" t="inlineStr">
        <is>
          <t>новое</t>
        </is>
      </c>
      <c r="G103" s="9" t="inlineStr">
        <is>
          <t>must not (mustn't — только в заголовке); вопросов нет</t>
        </is>
      </c>
      <c r="H103" s="25" t="inlineStr">
        <is>
          <t>10+</t>
        </is>
      </c>
      <c r="I103" s="9">
        <f>IFERROR(INDEX('Темы × классы'!$R:$R,MATCH(E103,'Темы × классы'!$E:$E,0)),"")</f>
        <v/>
      </c>
      <c r="J103" s="9">
        <f>IFERROR(INDEX('Темы × классы'!$S:$S,MATCH(E103,'Темы × классы'!$E:$E,0))&amp;"","")</f>
        <v/>
      </c>
      <c r="K103" s="9" t="inlineStr">
        <is>
          <t>не начат</t>
        </is>
      </c>
      <c r="L103" s="9" t="inlineStr">
        <is>
          <t>Spotlight / 4 класс / Module 4 · At the zoo! / must/mustn't / must/mustn't: mustn't — запрет</t>
        </is>
      </c>
    </row>
    <row r="104">
      <c r="A104" s="25" t="n">
        <v>4</v>
      </c>
      <c r="B104" s="9" t="inlineStr">
        <is>
          <t>Module 4 · At the zoo!</t>
        </is>
      </c>
      <c r="C104" s="9" t="inlineStr"/>
      <c r="D104" s="9" t="inlineStr">
        <is>
          <t>Comparatives &amp; Superlatives</t>
        </is>
      </c>
      <c r="E104" s="23" t="inlineStr">
        <is>
          <t>Comparatives &amp; Superlatives: сравнительная степень — -er + than</t>
        </is>
      </c>
      <c r="F104" s="26" t="inlineStr">
        <is>
          <t>новое</t>
        </is>
      </c>
      <c r="G104" s="9" t="inlineStr">
        <is>
          <t>small — smaller; + than при сравнении</t>
        </is>
      </c>
      <c r="H104" s="25" t="inlineStr">
        <is>
          <t>10+</t>
        </is>
      </c>
      <c r="I104" s="9">
        <f>IFERROR(INDEX('Темы × классы'!$R:$R,MATCH(E104,'Темы × классы'!$E:$E,0)),"")</f>
        <v/>
      </c>
      <c r="J104" s="9">
        <f>IFERROR(INDEX('Темы × классы'!$S:$S,MATCH(E104,'Темы × классы'!$E:$E,0))&amp;"","")</f>
        <v/>
      </c>
      <c r="K104" s="9" t="inlineStr">
        <is>
          <t>не начат</t>
        </is>
      </c>
      <c r="L104" s="9" t="inlineStr">
        <is>
          <t>Spotlight / 4 класс / Module 4 · At the zoo! / Comparatives &amp; Superlatives / Comparatives &amp; Superlatives: сравнительная степень — -er + than</t>
        </is>
      </c>
    </row>
    <row r="105">
      <c r="A105" s="25" t="n">
        <v>4</v>
      </c>
      <c r="B105" s="9" t="inlineStr">
        <is>
          <t>Module 4 · At the zoo!</t>
        </is>
      </c>
      <c r="C105" s="9" t="inlineStr"/>
      <c r="D105" s="9" t="inlineStr">
        <is>
          <t>Comparatives &amp; Superlatives</t>
        </is>
      </c>
      <c r="E105" s="23" t="inlineStr">
        <is>
          <t>Comparatives &amp; Superlatives: сравнительная степень — more (многосложные)</t>
        </is>
      </c>
      <c r="F105" s="26" t="inlineStr">
        <is>
          <t>новое</t>
        </is>
      </c>
      <c r="G105" s="9" t="inlineStr">
        <is>
          <t>beautiful — more beautiful</t>
        </is>
      </c>
      <c r="H105" s="25" t="inlineStr">
        <is>
          <t>10+</t>
        </is>
      </c>
      <c r="I105" s="9">
        <f>IFERROR(INDEX('Темы × классы'!$R:$R,MATCH(E105,'Темы × классы'!$E:$E,0)),"")</f>
        <v/>
      </c>
      <c r="J105" s="9">
        <f>IFERROR(INDEX('Темы × классы'!$S:$S,MATCH(E105,'Темы × классы'!$E:$E,0))&amp;"","")</f>
        <v/>
      </c>
      <c r="K105" s="9" t="inlineStr">
        <is>
          <t>не начат</t>
        </is>
      </c>
      <c r="L105" s="9" t="inlineStr">
        <is>
          <t>Spotlight / 4 класс / Module 4 · At the zoo! / Comparatives &amp; Superlatives / Comparatives &amp; Superlatives: сравнительная степень — more (многосложные)</t>
        </is>
      </c>
    </row>
    <row r="106">
      <c r="A106" s="25" t="n">
        <v>4</v>
      </c>
      <c r="B106" s="9" t="inlineStr">
        <is>
          <t>Module 4 · At the zoo!</t>
        </is>
      </c>
      <c r="C106" s="9" t="inlineStr"/>
      <c r="D106" s="9" t="inlineStr">
        <is>
          <t>Comparatives &amp; Superlatives</t>
        </is>
      </c>
      <c r="E106" s="23" t="inlineStr">
        <is>
          <t>Comparatives &amp; Superlatives: орфография -er/-est (удвоение, -e, y → i)</t>
        </is>
      </c>
      <c r="F106" s="26" t="inlineStr">
        <is>
          <t>новое</t>
        </is>
      </c>
      <c r="G106" s="9" t="inlineStr">
        <is>
          <t>nice — nicer, thin — thinner, funny — funnier; только для -er</t>
        </is>
      </c>
      <c r="H106" s="25" t="inlineStr">
        <is>
          <t>10+</t>
        </is>
      </c>
      <c r="I106" s="9">
        <f>IFERROR(INDEX('Темы × классы'!$R:$R,MATCH(E106,'Темы × классы'!$E:$E,0)),"")</f>
        <v/>
      </c>
      <c r="J106" s="9">
        <f>IFERROR(INDEX('Темы × классы'!$S:$S,MATCH(E106,'Темы × классы'!$E:$E,0))&amp;"","")</f>
        <v/>
      </c>
      <c r="K106" s="9" t="inlineStr">
        <is>
          <t>не начат</t>
        </is>
      </c>
      <c r="L106" s="9" t="inlineStr">
        <is>
          <t>Spotlight / 4 класс / Module 4 · At the zoo! / Comparatives &amp; Superlatives / Comparatives &amp; Superlatives: орфография -er/-est (удвоение, -e, y → i)</t>
        </is>
      </c>
    </row>
    <row r="107">
      <c r="A107" s="25" t="n">
        <v>4</v>
      </c>
      <c r="B107" s="9" t="inlineStr">
        <is>
          <t>Module 4 · At the zoo!</t>
        </is>
      </c>
      <c r="C107" s="9" t="inlineStr"/>
      <c r="D107" s="9" t="inlineStr">
        <is>
          <t>Comparatives &amp; Superlatives</t>
        </is>
      </c>
      <c r="E107" s="23" t="inlineStr">
        <is>
          <t>Comparatives &amp; Superlatives: двусложные на -y/-er/-ow — -er/-est</t>
        </is>
      </c>
      <c r="F107" s="26" t="inlineStr">
        <is>
          <t>новое</t>
        </is>
      </c>
      <c r="G107" s="9" t="inlineStr">
        <is>
          <t>только на -y: busy — busier</t>
        </is>
      </c>
      <c r="H107" s="25" t="inlineStr">
        <is>
          <t>10+</t>
        </is>
      </c>
      <c r="I107" s="9">
        <f>IFERROR(INDEX('Темы × классы'!$R:$R,MATCH(E107,'Темы × классы'!$E:$E,0)),"")</f>
        <v/>
      </c>
      <c r="J107" s="9">
        <f>IFERROR(INDEX('Темы × классы'!$S:$S,MATCH(E107,'Темы × классы'!$E:$E,0))&amp;"","")</f>
        <v/>
      </c>
      <c r="K107" s="9" t="inlineStr">
        <is>
          <t>не начат</t>
        </is>
      </c>
      <c r="L107" s="9" t="inlineStr">
        <is>
          <t>Spotlight / 4 класс / Module 4 · At the zoo! / Comparatives &amp; Superlatives / Comparatives &amp; Superlatives: двусложные на -y/-er/-ow — -er/-est</t>
        </is>
      </c>
    </row>
    <row r="108">
      <c r="A108" s="25" t="n">
        <v>4</v>
      </c>
      <c r="B108" s="9" t="inlineStr">
        <is>
          <t>Module 5 · Where were you yesterday?</t>
        </is>
      </c>
      <c r="C108" s="9" t="inlineStr"/>
      <c r="D108" s="9" t="inlineStr">
        <is>
          <t>to be (Past: was/were)</t>
        </is>
      </c>
      <c r="E108" s="23" t="inlineStr">
        <is>
          <t>to be (Past): утверждение — was / were</t>
        </is>
      </c>
      <c r="F108" s="25" t="inlineStr">
        <is>
          <t>повторение</t>
        </is>
      </c>
      <c r="G108" s="9" t="inlineStr"/>
      <c r="H108" s="25" t="inlineStr">
        <is>
          <t>10+</t>
        </is>
      </c>
      <c r="I108" s="9">
        <f>IFERROR(INDEX('Темы × классы'!$R:$R,MATCH(E108,'Темы × классы'!$E:$E,0)),"")</f>
        <v/>
      </c>
      <c r="J108" s="9">
        <f>IFERROR(INDEX('Темы × классы'!$S:$S,MATCH(E108,'Темы × классы'!$E:$E,0))&amp;"","")</f>
        <v/>
      </c>
      <c r="K108" s="9" t="inlineStr">
        <is>
          <t>не начат</t>
        </is>
      </c>
      <c r="L108" s="9" t="inlineStr">
        <is>
          <t>Spotlight / 4 класс / Module 5 · Where were you yesterday? / to be (Past: was/were) / to be (Past): утверждение — was / were</t>
        </is>
      </c>
    </row>
    <row r="109">
      <c r="A109" s="25" t="n">
        <v>4</v>
      </c>
      <c r="B109" s="9" t="inlineStr">
        <is>
          <t>Module 5 · Where were you yesterday?</t>
        </is>
      </c>
      <c r="C109" s="9" t="inlineStr"/>
      <c r="D109" s="9" t="inlineStr">
        <is>
          <t>to be (Past: was/were)</t>
        </is>
      </c>
      <c r="E109" s="23" t="inlineStr">
        <is>
          <t>to be (Past): отрицание — wasn't / weren't</t>
        </is>
      </c>
      <c r="F109" s="25" t="inlineStr">
        <is>
          <t>повторение</t>
        </is>
      </c>
      <c r="G109" s="9" t="inlineStr"/>
      <c r="H109" s="25" t="inlineStr">
        <is>
          <t>10+</t>
        </is>
      </c>
      <c r="I109" s="9">
        <f>IFERROR(INDEX('Темы × классы'!$R:$R,MATCH(E109,'Темы × классы'!$E:$E,0)),"")</f>
        <v/>
      </c>
      <c r="J109" s="9">
        <f>IFERROR(INDEX('Темы × классы'!$S:$S,MATCH(E109,'Темы × классы'!$E:$E,0))&amp;"","")</f>
        <v/>
      </c>
      <c r="K109" s="9" t="inlineStr">
        <is>
          <t>не начат</t>
        </is>
      </c>
      <c r="L109" s="9" t="inlineStr">
        <is>
          <t>Spotlight / 4 класс / Module 5 · Where were you yesterday? / to be (Past: was/were) / to be (Past): отрицание — wasn't / weren't</t>
        </is>
      </c>
    </row>
    <row r="110">
      <c r="A110" s="25" t="n">
        <v>4</v>
      </c>
      <c r="B110" s="9" t="inlineStr">
        <is>
          <t>Module 5 · Where were you yesterday?</t>
        </is>
      </c>
      <c r="C110" s="9" t="inlineStr"/>
      <c r="D110" s="9" t="inlineStr">
        <is>
          <t>to be (Past: was/were)</t>
        </is>
      </c>
      <c r="E110" s="23" t="inlineStr">
        <is>
          <t>to be (Past): вопросы и краткие ответы</t>
        </is>
      </c>
      <c r="F110" s="25" t="inlineStr">
        <is>
          <t>повторение</t>
        </is>
      </c>
      <c r="G110" s="9" t="inlineStr"/>
      <c r="H110" s="25" t="inlineStr">
        <is>
          <t>10+</t>
        </is>
      </c>
      <c r="I110" s="9">
        <f>IFERROR(INDEX('Темы × классы'!$R:$R,MATCH(E110,'Темы × классы'!$E:$E,0)),"")</f>
        <v/>
      </c>
      <c r="J110" s="9">
        <f>IFERROR(INDEX('Темы × классы'!$S:$S,MATCH(E110,'Темы × классы'!$E:$E,0))&amp;"","")</f>
        <v/>
      </c>
      <c r="K110" s="9" t="inlineStr">
        <is>
          <t>не начат</t>
        </is>
      </c>
      <c r="L110" s="9" t="inlineStr">
        <is>
          <t>Spotlight / 4 класс / Module 5 · Where were you yesterday? / to be (Past: was/were) / to be (Past): вопросы и краткие ответы</t>
        </is>
      </c>
    </row>
    <row r="111">
      <c r="A111" s="25" t="n">
        <v>4</v>
      </c>
      <c r="B111" s="9" t="inlineStr">
        <is>
          <t>Module 5 · Where were you yesterday?</t>
        </is>
      </c>
      <c r="C111" s="9" t="inlineStr"/>
      <c r="D111" s="9" t="inlineStr">
        <is>
          <t>to be (Past: was/were)</t>
        </is>
      </c>
      <c r="E111" s="23" t="inlineStr">
        <is>
          <t>to be (Past): слова-указатели прошедшего времени</t>
        </is>
      </c>
      <c r="F111" s="25" t="inlineStr">
        <is>
          <t>повторение</t>
        </is>
      </c>
      <c r="G111" s="9" t="inlineStr">
        <is>
          <t>yesterday, last…, …ago, in 1975</t>
        </is>
      </c>
      <c r="H111" s="25" t="inlineStr">
        <is>
          <t>10+</t>
        </is>
      </c>
      <c r="I111" s="9">
        <f>IFERROR(INDEX('Темы × классы'!$R:$R,MATCH(E111,'Темы × классы'!$E:$E,0)),"")</f>
        <v/>
      </c>
      <c r="J111" s="9">
        <f>IFERROR(INDEX('Темы × классы'!$S:$S,MATCH(E111,'Темы × классы'!$E:$E,0))&amp;"","")</f>
        <v/>
      </c>
      <c r="K111" s="9" t="inlineStr">
        <is>
          <t>не начат</t>
        </is>
      </c>
      <c r="L111" s="9" t="inlineStr">
        <is>
          <t>Spotlight / 4 класс / Module 5 · Where were you yesterday? / to be (Past: was/were) / to be (Past): слова-указатели прошедшего времени</t>
        </is>
      </c>
    </row>
    <row r="112">
      <c r="A112" s="25" t="n">
        <v>4</v>
      </c>
      <c r="B112" s="9" t="inlineStr">
        <is>
          <t>Module 5 · Where were you yesterday?</t>
        </is>
      </c>
      <c r="C112" s="9" t="inlineStr"/>
      <c r="D112" s="9" t="inlineStr">
        <is>
          <t>Ordinal numbers</t>
        </is>
      </c>
      <c r="E112" s="23" t="inlineStr">
        <is>
          <t>Ordinal numbers: first, second, third и составные (21st, 22nd)</t>
        </is>
      </c>
      <c r="F112" s="26" t="inlineStr">
        <is>
          <t>новое</t>
        </is>
      </c>
      <c r="G112" s="9" t="inlineStr">
        <is>
          <t>1–31 с сокращениями 1st, 2nd, 3rd</t>
        </is>
      </c>
      <c r="H112" s="25" t="inlineStr">
        <is>
          <t>10+</t>
        </is>
      </c>
      <c r="I112" s="9">
        <f>IFERROR(INDEX('Темы × классы'!$R:$R,MATCH(E112,'Темы × классы'!$E:$E,0)),"")</f>
        <v/>
      </c>
      <c r="J112" s="9">
        <f>IFERROR(INDEX('Темы × классы'!$S:$S,MATCH(E112,'Темы × классы'!$E:$E,0))&amp;"","")</f>
        <v/>
      </c>
      <c r="K112" s="9" t="inlineStr">
        <is>
          <t>не начат</t>
        </is>
      </c>
      <c r="L112" s="9" t="inlineStr">
        <is>
          <t>Spotlight / 4 класс / Module 5 · Where were you yesterday? / Ordinal numbers / Ordinal numbers: first, second, third и составные (21st, 22nd)</t>
        </is>
      </c>
    </row>
    <row r="113">
      <c r="A113" s="25" t="n">
        <v>4</v>
      </c>
      <c r="B113" s="9" t="inlineStr">
        <is>
          <t>Module 5 · Where were you yesterday?</t>
        </is>
      </c>
      <c r="C113" s="9" t="inlineStr"/>
      <c r="D113" s="9" t="inlineStr">
        <is>
          <t>Ordinal numbers</t>
        </is>
      </c>
      <c r="E113" s="23" t="inlineStr">
        <is>
          <t>Ordinal numbers: образование с -th и орфография (fifth, ninth, twelfth, twentieth)</t>
        </is>
      </c>
      <c r="F113" s="26" t="inlineStr">
        <is>
          <t>новое</t>
        </is>
      </c>
      <c r="G113" s="9" t="inlineStr">
        <is>
          <t>список до thirty-first</t>
        </is>
      </c>
      <c r="H113" s="25" t="inlineStr">
        <is>
          <t>10+</t>
        </is>
      </c>
      <c r="I113" s="9">
        <f>IFERROR(INDEX('Темы × классы'!$R:$R,MATCH(E113,'Темы × классы'!$E:$E,0)),"")</f>
        <v/>
      </c>
      <c r="J113" s="9">
        <f>IFERROR(INDEX('Темы × классы'!$S:$S,MATCH(E113,'Темы × классы'!$E:$E,0))&amp;"","")</f>
        <v/>
      </c>
      <c r="K113" s="9" t="inlineStr">
        <is>
          <t>не начат</t>
        </is>
      </c>
      <c r="L113" s="9" t="inlineStr">
        <is>
          <t>Spotlight / 4 класс / Module 5 · Where were you yesterday? / Ordinal numbers / Ordinal numbers: образование с -th и орфография (fifth, ninth, twelfth, twentieth)</t>
        </is>
      </c>
    </row>
    <row r="114">
      <c r="A114" s="25" t="n">
        <v>4</v>
      </c>
      <c r="B114" s="9" t="inlineStr">
        <is>
          <t>Module 5 · Where were you yesterday?</t>
        </is>
      </c>
      <c r="C114" s="9" t="inlineStr"/>
      <c r="D114" s="9" t="inlineStr">
        <is>
          <t>Ordinal numbers</t>
        </is>
      </c>
      <c r="E114" s="23" t="inlineStr">
        <is>
          <t>Ordinal numbers: с артиклем the и даты</t>
        </is>
      </c>
      <c r="F114" s="26" t="inlineStr">
        <is>
          <t>новое</t>
        </is>
      </c>
      <c r="G114" s="9" t="inlineStr">
        <is>
          <t>fifteen — the fifteenth; даты</t>
        </is>
      </c>
      <c r="H114" s="25" t="inlineStr">
        <is>
          <t>10+</t>
        </is>
      </c>
      <c r="I114" s="9">
        <f>IFERROR(INDEX('Темы × классы'!$R:$R,MATCH(E114,'Темы × классы'!$E:$E,0)),"")</f>
        <v/>
      </c>
      <c r="J114" s="9">
        <f>IFERROR(INDEX('Темы × классы'!$S:$S,MATCH(E114,'Темы × классы'!$E:$E,0))&amp;"","")</f>
        <v/>
      </c>
      <c r="K114" s="9" t="inlineStr">
        <is>
          <t>не начат</t>
        </is>
      </c>
      <c r="L114" s="9" t="inlineStr">
        <is>
          <t>Spotlight / 4 класс / Module 5 · Where were you yesterday? / Ordinal numbers / Ordinal numbers: с артиклем the и даты</t>
        </is>
      </c>
    </row>
    <row r="115">
      <c r="A115" s="25" t="n">
        <v>4</v>
      </c>
      <c r="B115" s="9" t="inlineStr">
        <is>
          <t>Module 6 · Tell the tale!</t>
        </is>
      </c>
      <c r="C115" s="9" t="inlineStr"/>
      <c r="D115" s="9" t="inlineStr">
        <is>
          <t>Past Simple</t>
        </is>
      </c>
      <c r="E115" s="23" t="inlineStr">
        <is>
          <t>Past Simple: правильные глаголы — утверждение (-ed)</t>
        </is>
      </c>
      <c r="F115" s="25" t="inlineStr">
        <is>
          <t>повторение</t>
        </is>
      </c>
      <c r="G115" s="9" t="inlineStr"/>
      <c r="H115" s="25" t="inlineStr">
        <is>
          <t>10+</t>
        </is>
      </c>
      <c r="I115" s="9">
        <f>IFERROR(INDEX('Темы × классы'!$R:$R,MATCH(E115,'Темы × классы'!$E:$E,0)),"")</f>
        <v/>
      </c>
      <c r="J115" s="9">
        <f>IFERROR(INDEX('Темы × классы'!$S:$S,MATCH(E115,'Темы × классы'!$E:$E,0))&amp;"","")</f>
        <v/>
      </c>
      <c r="K115" s="9" t="inlineStr">
        <is>
          <t>не начат</t>
        </is>
      </c>
      <c r="L115" s="9" t="inlineStr">
        <is>
          <t>Spotlight / 4 класс / Module 6 · Tell the tale! / Past Simple / Past Simple: правильные глаголы — утверждение (-ed)</t>
        </is>
      </c>
    </row>
    <row r="116">
      <c r="A116" s="25" t="n">
        <v>4</v>
      </c>
      <c r="B116" s="9" t="inlineStr">
        <is>
          <t>Module 6 · Tell the tale!</t>
        </is>
      </c>
      <c r="C116" s="9" t="inlineStr"/>
      <c r="D116" s="9" t="inlineStr">
        <is>
          <t>Past Simple</t>
        </is>
      </c>
      <c r="E116" s="23" t="inlineStr">
        <is>
          <t>Past Simple: правильные глаголы — отрицание (didn't + V)</t>
        </is>
      </c>
      <c r="F116" s="25" t="inlineStr">
        <is>
          <t>повторение</t>
        </is>
      </c>
      <c r="G116" s="9" t="inlineStr"/>
      <c r="H116" s="25" t="inlineStr">
        <is>
          <t>10+</t>
        </is>
      </c>
      <c r="I116" s="9">
        <f>IFERROR(INDEX('Темы × классы'!$R:$R,MATCH(E116,'Темы × классы'!$E:$E,0)),"")</f>
        <v/>
      </c>
      <c r="J116" s="9">
        <f>IFERROR(INDEX('Темы × классы'!$S:$S,MATCH(E116,'Темы × классы'!$E:$E,0))&amp;"","")</f>
        <v/>
      </c>
      <c r="K116" s="9" t="inlineStr">
        <is>
          <t>не начат</t>
        </is>
      </c>
      <c r="L116" s="9" t="inlineStr">
        <is>
          <t>Spotlight / 4 класс / Module 6 · Tell the tale! / Past Simple / Past Simple: правильные глаголы — отрицание (didn't + V)</t>
        </is>
      </c>
    </row>
    <row r="117">
      <c r="A117" s="25" t="n">
        <v>4</v>
      </c>
      <c r="B117" s="9" t="inlineStr">
        <is>
          <t>Module 6 · Tell the tale!</t>
        </is>
      </c>
      <c r="C117" s="9" t="inlineStr"/>
      <c r="D117" s="9" t="inlineStr">
        <is>
          <t>Past Simple</t>
        </is>
      </c>
      <c r="E117" s="23" t="inlineStr">
        <is>
          <t>Past Simple: правильные глаголы — вопросы (Did …?)</t>
        </is>
      </c>
      <c r="F117" s="25" t="inlineStr">
        <is>
          <t>повторение</t>
        </is>
      </c>
      <c r="G117" s="9" t="inlineStr"/>
      <c r="H117" s="25" t="inlineStr">
        <is>
          <t>10+</t>
        </is>
      </c>
      <c r="I117" s="9">
        <f>IFERROR(INDEX('Темы × классы'!$R:$R,MATCH(E117,'Темы × классы'!$E:$E,0)),"")</f>
        <v/>
      </c>
      <c r="J117" s="9">
        <f>IFERROR(INDEX('Темы × классы'!$S:$S,MATCH(E117,'Темы × классы'!$E:$E,0))&amp;"","")</f>
        <v/>
      </c>
      <c r="K117" s="9" t="inlineStr">
        <is>
          <t>не начат</t>
        </is>
      </c>
      <c r="L117" s="9" t="inlineStr">
        <is>
          <t>Spotlight / 4 класс / Module 6 · Tell the tale! / Past Simple / Past Simple: правильные глаголы — вопросы (Did …?)</t>
        </is>
      </c>
    </row>
    <row r="118">
      <c r="A118" s="25" t="n">
        <v>4</v>
      </c>
      <c r="B118" s="9" t="inlineStr">
        <is>
          <t>Module 6 · Tell the tale!</t>
        </is>
      </c>
      <c r="C118" s="9" t="inlineStr"/>
      <c r="D118" s="9" t="inlineStr">
        <is>
          <t>Past Simple</t>
        </is>
      </c>
      <c r="E118" s="23" t="inlineStr">
        <is>
          <t>Past Simple: краткие ответы (Yes, I did / No, I didn't)</t>
        </is>
      </c>
      <c r="F118" s="25" t="inlineStr">
        <is>
          <t>повторение</t>
        </is>
      </c>
      <c r="G118" s="9" t="inlineStr"/>
      <c r="H118" s="25" t="inlineStr">
        <is>
          <t>10+</t>
        </is>
      </c>
      <c r="I118" s="9">
        <f>IFERROR(INDEX('Темы × классы'!$R:$R,MATCH(E118,'Темы × классы'!$E:$E,0)),"")</f>
        <v/>
      </c>
      <c r="J118" s="9">
        <f>IFERROR(INDEX('Темы × классы'!$S:$S,MATCH(E118,'Темы × классы'!$E:$E,0))&amp;"","")</f>
        <v/>
      </c>
      <c r="K118" s="9" t="inlineStr">
        <is>
          <t>не начат</t>
        </is>
      </c>
      <c r="L118" s="9" t="inlineStr">
        <is>
          <t>Spotlight / 4 класс / Module 6 · Tell the tale! / Past Simple / Past Simple: краткие ответы (Yes, I did / No, I didn't)</t>
        </is>
      </c>
    </row>
    <row r="119">
      <c r="A119" s="25" t="n">
        <v>4</v>
      </c>
      <c r="B119" s="9" t="inlineStr">
        <is>
          <t>Module 6 · Tell the tale!</t>
        </is>
      </c>
      <c r="C119" s="9" t="inlineStr"/>
      <c r="D119" s="9" t="inlineStr">
        <is>
          <t>Past Simple</t>
        </is>
      </c>
      <c r="E119" s="23" t="inlineStr">
        <is>
          <t>Past Simple: орфография -ed</t>
        </is>
      </c>
      <c r="F119" s="25" t="inlineStr">
        <is>
          <t>повторение</t>
        </is>
      </c>
      <c r="G119" s="9" t="inlineStr"/>
      <c r="H119" s="25" t="inlineStr">
        <is>
          <t>10+</t>
        </is>
      </c>
      <c r="I119" s="9">
        <f>IFERROR(INDEX('Темы × классы'!$R:$R,MATCH(E119,'Темы × классы'!$E:$E,0)),"")</f>
        <v/>
      </c>
      <c r="J119" s="9">
        <f>IFERROR(INDEX('Темы × классы'!$S:$S,MATCH(E119,'Темы × классы'!$E:$E,0))&amp;"","")</f>
        <v/>
      </c>
      <c r="K119" s="9" t="inlineStr">
        <is>
          <t>не начат</t>
        </is>
      </c>
      <c r="L119" s="9" t="inlineStr">
        <is>
          <t>Spotlight / 4 класс / Module 6 · Tell the tale! / Past Simple / Past Simple: орфография -ed</t>
        </is>
      </c>
    </row>
    <row r="120">
      <c r="A120" s="25" t="n">
        <v>4</v>
      </c>
      <c r="B120" s="9" t="inlineStr">
        <is>
          <t>Module 6 · Tell the tale!</t>
        </is>
      </c>
      <c r="C120" s="9" t="inlineStr"/>
      <c r="D120" s="9" t="inlineStr">
        <is>
          <t>Past Simple</t>
        </is>
      </c>
      <c r="E120" s="23" t="inlineStr">
        <is>
          <t>Past Simple: произношение -ed (/t/, /d/, /ɪd/)</t>
        </is>
      </c>
      <c r="F120" s="25" t="inlineStr">
        <is>
          <t>повторение</t>
        </is>
      </c>
      <c r="G120" s="9" t="inlineStr"/>
      <c r="H120" s="25" t="inlineStr">
        <is>
          <t>10+</t>
        </is>
      </c>
      <c r="I120" s="9">
        <f>IFERROR(INDEX('Темы × классы'!$R:$R,MATCH(E120,'Темы × классы'!$E:$E,0)),"")</f>
        <v/>
      </c>
      <c r="J120" s="9">
        <f>IFERROR(INDEX('Темы × классы'!$S:$S,MATCH(E120,'Темы × классы'!$E:$E,0))&amp;"","")</f>
        <v/>
      </c>
      <c r="K120" s="9" t="inlineStr">
        <is>
          <t>не начат</t>
        </is>
      </c>
      <c r="L120" s="9" t="inlineStr">
        <is>
          <t>Spotlight / 4 класс / Module 6 · Tell the tale! / Past Simple / Past Simple: произношение -ed (/t/, /d/, /ɪd/)</t>
        </is>
      </c>
    </row>
    <row r="121">
      <c r="A121" s="25" t="n">
        <v>4</v>
      </c>
      <c r="B121" s="9" t="inlineStr">
        <is>
          <t>Module 6 · Tell the tale!</t>
        </is>
      </c>
      <c r="C121" s="9" t="inlineStr"/>
      <c r="D121" s="9" t="inlineStr">
        <is>
          <t>Past Simple</t>
        </is>
      </c>
      <c r="E121" s="23" t="inlineStr">
        <is>
          <t>Past Simple: значение — действие в прошлом (yesterday, ago)</t>
        </is>
      </c>
      <c r="F121" s="25" t="inlineStr">
        <is>
          <t>повторение</t>
        </is>
      </c>
      <c r="G121" s="9" t="inlineStr"/>
      <c r="H121" s="25" t="inlineStr">
        <is>
          <t>10+</t>
        </is>
      </c>
      <c r="I121" s="9">
        <f>IFERROR(INDEX('Темы × классы'!$R:$R,MATCH(E121,'Темы × классы'!$E:$E,0)),"")</f>
        <v/>
      </c>
      <c r="J121" s="9">
        <f>IFERROR(INDEX('Темы × классы'!$S:$S,MATCH(E121,'Темы × классы'!$E:$E,0))&amp;"","")</f>
        <v/>
      </c>
      <c r="K121" s="9" t="inlineStr">
        <is>
          <t>не начат</t>
        </is>
      </c>
      <c r="L121" s="9" t="inlineStr">
        <is>
          <t>Spotlight / 4 класс / Module 6 · Tell the tale! / Past Simple / Past Simple: значение — действие в прошлом (yesterday, ago)</t>
        </is>
      </c>
    </row>
    <row r="122">
      <c r="A122" s="25" t="n">
        <v>4</v>
      </c>
      <c r="B122" s="9" t="inlineStr">
        <is>
          <t>Module 7 · Days to remember</t>
        </is>
      </c>
      <c r="C122" s="9" t="inlineStr"/>
      <c r="D122" s="9" t="inlineStr">
        <is>
          <t>Past Simple</t>
        </is>
      </c>
      <c r="E122" s="23" t="inlineStr">
        <is>
          <t>Past Simple: неправильные глаголы — утверждение</t>
        </is>
      </c>
      <c r="F122" s="25" t="inlineStr">
        <is>
          <t>повторение</t>
        </is>
      </c>
      <c r="G122" s="9" t="inlineStr">
        <is>
          <t>4 примера: go, see, make, have</t>
        </is>
      </c>
      <c r="H122" s="25" t="inlineStr">
        <is>
          <t>10+</t>
        </is>
      </c>
      <c r="I122" s="9">
        <f>IFERROR(INDEX('Темы × классы'!$R:$R,MATCH(E122,'Темы × классы'!$E:$E,0)),"")</f>
        <v/>
      </c>
      <c r="J122" s="9">
        <f>IFERROR(INDEX('Темы × классы'!$S:$S,MATCH(E122,'Темы × классы'!$E:$E,0))&amp;"","")</f>
        <v/>
      </c>
      <c r="K122" s="9" t="inlineStr">
        <is>
          <t>не начат</t>
        </is>
      </c>
      <c r="L122" s="9" t="inlineStr">
        <is>
          <t>Spotlight / 4 класс / Module 7 · Days to remember / Past Simple / Past Simple: неправильные глаголы — утверждение</t>
        </is>
      </c>
    </row>
    <row r="123">
      <c r="A123" s="25" t="n">
        <v>4</v>
      </c>
      <c r="B123" s="9" t="inlineStr">
        <is>
          <t>Module 7 · Days to remember</t>
        </is>
      </c>
      <c r="C123" s="9" t="inlineStr"/>
      <c r="D123" s="9" t="inlineStr">
        <is>
          <t>Past Simple</t>
        </is>
      </c>
      <c r="E123" s="23" t="inlineStr">
        <is>
          <t>Past Simple: неправильные глаголы — отрицание (didn't go)</t>
        </is>
      </c>
      <c r="F123" s="25" t="inlineStr">
        <is>
          <t>повторение</t>
        </is>
      </c>
      <c r="G123" s="9" t="inlineStr"/>
      <c r="H123" s="25" t="inlineStr">
        <is>
          <t>10+</t>
        </is>
      </c>
      <c r="I123" s="9">
        <f>IFERROR(INDEX('Темы × классы'!$R:$R,MATCH(E123,'Темы × классы'!$E:$E,0)),"")</f>
        <v/>
      </c>
      <c r="J123" s="9">
        <f>IFERROR(INDEX('Темы × классы'!$S:$S,MATCH(E123,'Темы × классы'!$E:$E,0))&amp;"","")</f>
        <v/>
      </c>
      <c r="K123" s="9" t="inlineStr">
        <is>
          <t>не начат</t>
        </is>
      </c>
      <c r="L123" s="9" t="inlineStr">
        <is>
          <t>Spotlight / 4 класс / Module 7 · Days to remember / Past Simple / Past Simple: неправильные глаголы — отрицание (didn't go)</t>
        </is>
      </c>
    </row>
    <row r="124">
      <c r="A124" s="25" t="n">
        <v>4</v>
      </c>
      <c r="B124" s="9" t="inlineStr">
        <is>
          <t>Module 7 · Days to remember</t>
        </is>
      </c>
      <c r="C124" s="9" t="inlineStr"/>
      <c r="D124" s="9" t="inlineStr">
        <is>
          <t>Past Simple</t>
        </is>
      </c>
      <c r="E124" s="23" t="inlineStr">
        <is>
          <t>Past Simple: неправильные глаголы — вопросы (Did … go?)</t>
        </is>
      </c>
      <c r="F124" s="25" t="inlineStr">
        <is>
          <t>повторение</t>
        </is>
      </c>
      <c r="G124" s="9" t="inlineStr"/>
      <c r="H124" s="25" t="inlineStr">
        <is>
          <t>10+</t>
        </is>
      </c>
      <c r="I124" s="9">
        <f>IFERROR(INDEX('Темы × классы'!$R:$R,MATCH(E124,'Темы × классы'!$E:$E,0)),"")</f>
        <v/>
      </c>
      <c r="J124" s="9">
        <f>IFERROR(INDEX('Темы × классы'!$S:$S,MATCH(E124,'Темы × классы'!$E:$E,0))&amp;"","")</f>
        <v/>
      </c>
      <c r="K124" s="9" t="inlineStr">
        <is>
          <t>не начат</t>
        </is>
      </c>
      <c r="L124" s="9" t="inlineStr">
        <is>
          <t>Spotlight / 4 класс / Module 7 · Days to remember / Past Simple / Past Simple: неправильные глаголы — вопросы (Did … go?)</t>
        </is>
      </c>
    </row>
    <row r="125">
      <c r="A125" s="25" t="n">
        <v>4</v>
      </c>
      <c r="B125" s="9" t="inlineStr">
        <is>
          <t>Module 7 · Days to remember</t>
        </is>
      </c>
      <c r="C125" s="9" t="inlineStr"/>
      <c r="D125" s="9" t="inlineStr">
        <is>
          <t>Comparatives &amp; Superlatives</t>
        </is>
      </c>
      <c r="E125" s="23" t="inlineStr">
        <is>
          <t>Comparatives &amp; Superlatives: орфография -er/-est (удвоение, -e, y → i)</t>
        </is>
      </c>
      <c r="F125" s="27" t="inlineStr">
        <is>
          <t>расширение</t>
        </is>
      </c>
      <c r="G125" s="9" t="inlineStr">
        <is>
          <t>добавлено -est: nicest, happiest, biggest</t>
        </is>
      </c>
      <c r="H125" s="25" t="inlineStr">
        <is>
          <t>10+</t>
        </is>
      </c>
      <c r="I125" s="9">
        <f>IFERROR(INDEX('Темы × классы'!$R:$R,MATCH(E125,'Темы × классы'!$E:$E,0)),"")</f>
        <v/>
      </c>
      <c r="J125" s="9">
        <f>IFERROR(INDEX('Темы × классы'!$S:$S,MATCH(E125,'Темы × классы'!$E:$E,0))&amp;"","")</f>
        <v/>
      </c>
      <c r="K125" s="9" t="inlineStr">
        <is>
          <t>не начат</t>
        </is>
      </c>
      <c r="L125" s="9" t="inlineStr">
        <is>
          <t>Spotlight / 4 класс / Module 7 · Days to remember / Comparatives &amp; Superlatives / Comparatives &amp; Superlatives: орфография -er/-est (удвоение, -e, y → i)</t>
        </is>
      </c>
    </row>
    <row r="126">
      <c r="A126" s="25" t="n">
        <v>4</v>
      </c>
      <c r="B126" s="9" t="inlineStr">
        <is>
          <t>Module 7 · Days to remember</t>
        </is>
      </c>
      <c r="C126" s="9" t="inlineStr"/>
      <c r="D126" s="9" t="inlineStr">
        <is>
          <t>Comparatives &amp; Superlatives</t>
        </is>
      </c>
      <c r="E126" s="23" t="inlineStr">
        <is>
          <t>Comparatives &amp; Superlatives: превосходная степень — the -est + of/in</t>
        </is>
      </c>
      <c r="F126" s="26" t="inlineStr">
        <is>
          <t>новое</t>
        </is>
      </c>
      <c r="G126" s="9" t="inlineStr">
        <is>
          <t>tall — tallest; the + … + of/in, сравнение 3+</t>
        </is>
      </c>
      <c r="H126" s="25" t="inlineStr">
        <is>
          <t>10+</t>
        </is>
      </c>
      <c r="I126" s="9">
        <f>IFERROR(INDEX('Темы × классы'!$R:$R,MATCH(E126,'Темы × классы'!$E:$E,0)),"")</f>
        <v/>
      </c>
      <c r="J126" s="9">
        <f>IFERROR(INDEX('Темы × классы'!$S:$S,MATCH(E126,'Темы × классы'!$E:$E,0))&amp;"","")</f>
        <v/>
      </c>
      <c r="K126" s="9" t="inlineStr">
        <is>
          <t>не начат</t>
        </is>
      </c>
      <c r="L126" s="9" t="inlineStr">
        <is>
          <t>Spotlight / 4 класс / Module 7 · Days to remember / Comparatives &amp; Superlatives / Comparatives &amp; Superlatives: превосходная степень — the -est + of/in</t>
        </is>
      </c>
    </row>
    <row r="127">
      <c r="A127" s="25" t="n">
        <v>4</v>
      </c>
      <c r="B127" s="9" t="inlineStr">
        <is>
          <t>Module 7 · Days to remember</t>
        </is>
      </c>
      <c r="C127" s="9" t="inlineStr"/>
      <c r="D127" s="9" t="inlineStr">
        <is>
          <t>Comparatives &amp; Superlatives</t>
        </is>
      </c>
      <c r="E127" s="23" t="inlineStr">
        <is>
          <t>Comparatives &amp; Superlatives: превосходная степень — the most</t>
        </is>
      </c>
      <c r="F127" s="26" t="inlineStr">
        <is>
          <t>новое</t>
        </is>
      </c>
      <c r="G127" s="9" t="inlineStr">
        <is>
          <t>interesting — most interesting</t>
        </is>
      </c>
      <c r="H127" s="25" t="inlineStr">
        <is>
          <t>10+</t>
        </is>
      </c>
      <c r="I127" s="9">
        <f>IFERROR(INDEX('Темы × классы'!$R:$R,MATCH(E127,'Темы × классы'!$E:$E,0)),"")</f>
        <v/>
      </c>
      <c r="J127" s="9">
        <f>IFERROR(INDEX('Темы × классы'!$S:$S,MATCH(E127,'Темы × классы'!$E:$E,0))&amp;"","")</f>
        <v/>
      </c>
      <c r="K127" s="9" t="inlineStr">
        <is>
          <t>не начат</t>
        </is>
      </c>
      <c r="L127" s="9" t="inlineStr">
        <is>
          <t>Spotlight / 4 класс / Module 7 · Days to remember / Comparatives &amp; Superlatives / Comparatives &amp; Superlatives: превосходная степень — the most</t>
        </is>
      </c>
    </row>
    <row r="128">
      <c r="A128" s="25" t="n">
        <v>4</v>
      </c>
      <c r="B128" s="9" t="inlineStr">
        <is>
          <t>Module 7 · Days to remember</t>
        </is>
      </c>
      <c r="C128" s="9" t="inlineStr"/>
      <c r="D128" s="9" t="inlineStr">
        <is>
          <t>Comparatives &amp; Superlatives</t>
        </is>
      </c>
      <c r="E128" s="23" t="inlineStr">
        <is>
          <t>Comparatives &amp; Superlatives: неправильные прилагательные (good, bad, many/much, little)</t>
        </is>
      </c>
      <c r="F128" s="26" t="inlineStr">
        <is>
          <t>новое</t>
        </is>
      </c>
      <c r="G128" s="9" t="inlineStr">
        <is>
          <t>только good — better — best, bad — worse — worst</t>
        </is>
      </c>
      <c r="H128" s="25" t="inlineStr">
        <is>
          <t>10+</t>
        </is>
      </c>
      <c r="I128" s="9">
        <f>IFERROR(INDEX('Темы × классы'!$R:$R,MATCH(E128,'Темы × классы'!$E:$E,0)),"")</f>
        <v/>
      </c>
      <c r="J128" s="9">
        <f>IFERROR(INDEX('Темы × классы'!$S:$S,MATCH(E128,'Темы × классы'!$E:$E,0))&amp;"","")</f>
        <v/>
      </c>
      <c r="K128" s="9" t="inlineStr">
        <is>
          <t>не начат</t>
        </is>
      </c>
      <c r="L128" s="9" t="inlineStr">
        <is>
          <t>Spotlight / 4 класс / Module 7 · Days to remember / Comparatives &amp; Superlatives / Comparatives &amp; Superlatives: неправильные прилагательные (good, bad, many/much, little)</t>
        </is>
      </c>
    </row>
    <row r="129">
      <c r="A129" s="25" t="n">
        <v>4</v>
      </c>
      <c r="B129" s="9" t="inlineStr">
        <is>
          <t>Module 7 · Days to remember</t>
        </is>
      </c>
      <c r="C129" s="9" t="inlineStr"/>
      <c r="D129" s="9" t="inlineStr">
        <is>
          <t>Comparatives &amp; Superlatives</t>
        </is>
      </c>
      <c r="E129" s="23" t="inlineStr">
        <is>
          <t>Comparatives &amp; Superlatives: двусложные на -y/-er/-ow — -er/-est</t>
        </is>
      </c>
      <c r="F129" s="25" t="inlineStr">
        <is>
          <t>повторение</t>
        </is>
      </c>
      <c r="G129" s="9" t="inlineStr">
        <is>
          <t>tasty — tastiest</t>
        </is>
      </c>
      <c r="H129" s="25" t="inlineStr">
        <is>
          <t>10+</t>
        </is>
      </c>
      <c r="I129" s="9">
        <f>IFERROR(INDEX('Темы × классы'!$R:$R,MATCH(E129,'Темы × классы'!$E:$E,0)),"")</f>
        <v/>
      </c>
      <c r="J129" s="9">
        <f>IFERROR(INDEX('Темы × классы'!$S:$S,MATCH(E129,'Темы × классы'!$E:$E,0))&amp;"","")</f>
        <v/>
      </c>
      <c r="K129" s="9" t="inlineStr">
        <is>
          <t>не начат</t>
        </is>
      </c>
      <c r="L129" s="9" t="inlineStr">
        <is>
          <t>Spotlight / 4 класс / Module 7 · Days to remember / Comparatives &amp; Superlatives / Comparatives &amp; Superlatives: двусложные на -y/-er/-ow — -er/-est</t>
        </is>
      </c>
    </row>
    <row r="130">
      <c r="A130" s="25" t="n">
        <v>4</v>
      </c>
      <c r="B130" s="9" t="inlineStr">
        <is>
          <t>Module 8 · Places to go</t>
        </is>
      </c>
      <c r="C130" s="9" t="inlineStr"/>
      <c r="D130" s="9" t="inlineStr">
        <is>
          <t>Future Simple (will)</t>
        </is>
      </c>
      <c r="E130" s="23" t="inlineStr">
        <is>
          <t>Future Simple (will): утверждение (will/'ll + V)</t>
        </is>
      </c>
      <c r="F130" s="26" t="inlineStr">
        <is>
          <t>новое</t>
        </is>
      </c>
      <c r="G130" s="9" t="inlineStr">
        <is>
          <t>все лица, полная и краткая (I'll)</t>
        </is>
      </c>
      <c r="H130" s="25" t="inlineStr">
        <is>
          <t>10+</t>
        </is>
      </c>
      <c r="I130" s="9">
        <f>IFERROR(INDEX('Темы × классы'!$R:$R,MATCH(E130,'Темы × классы'!$E:$E,0)),"")</f>
        <v/>
      </c>
      <c r="J130" s="9">
        <f>IFERROR(INDEX('Темы × классы'!$S:$S,MATCH(E130,'Темы × классы'!$E:$E,0))&amp;"","")</f>
        <v/>
      </c>
      <c r="K130" s="9" t="inlineStr">
        <is>
          <t>не начат</t>
        </is>
      </c>
      <c r="L130" s="9" t="inlineStr">
        <is>
          <t>Spotlight / 4 класс / Module 8 · Places to go / Future Simple (will) / Future Simple (will): утверждение (will/'ll + V)</t>
        </is>
      </c>
    </row>
    <row r="131">
      <c r="A131" s="25" t="n">
        <v>4</v>
      </c>
      <c r="B131" s="9" t="inlineStr">
        <is>
          <t>Module 8 · Places to go</t>
        </is>
      </c>
      <c r="C131" s="9" t="inlineStr"/>
      <c r="D131" s="9" t="inlineStr">
        <is>
          <t>Future Simple (will)</t>
        </is>
      </c>
      <c r="E131" s="23" t="inlineStr">
        <is>
          <t>Future Simple (will): отрицание (will not/won't)</t>
        </is>
      </c>
      <c r="F131" s="26" t="inlineStr">
        <is>
          <t>новое</t>
        </is>
      </c>
      <c r="G131" s="9" t="inlineStr">
        <is>
          <t>will not / won't</t>
        </is>
      </c>
      <c r="H131" s="25" t="inlineStr">
        <is>
          <t>10+</t>
        </is>
      </c>
      <c r="I131" s="9">
        <f>IFERROR(INDEX('Темы × классы'!$R:$R,MATCH(E131,'Темы × классы'!$E:$E,0)),"")</f>
        <v/>
      </c>
      <c r="J131" s="9">
        <f>IFERROR(INDEX('Темы × классы'!$S:$S,MATCH(E131,'Темы × классы'!$E:$E,0))&amp;"","")</f>
        <v/>
      </c>
      <c r="K131" s="9" t="inlineStr">
        <is>
          <t>не начат</t>
        </is>
      </c>
      <c r="L131" s="9" t="inlineStr">
        <is>
          <t>Spotlight / 4 класс / Module 8 · Places to go / Future Simple (will) / Future Simple (will): отрицание (will not/won't)</t>
        </is>
      </c>
    </row>
    <row r="132">
      <c r="A132" s="25" t="n">
        <v>4</v>
      </c>
      <c r="B132" s="9" t="inlineStr">
        <is>
          <t>Module 8 · Places to go</t>
        </is>
      </c>
      <c r="C132" s="9" t="inlineStr"/>
      <c r="D132" s="9" t="inlineStr">
        <is>
          <t>Future Simple (will)</t>
        </is>
      </c>
      <c r="E132" s="23" t="inlineStr">
        <is>
          <t>Future Simple (will): вопросы и краткие ответы</t>
        </is>
      </c>
      <c r="F132" s="26" t="inlineStr">
        <is>
          <t>новое</t>
        </is>
      </c>
      <c r="G132" s="9" t="inlineStr">
        <is>
          <t>Will I/you…? + Yes, I will / No, I won't</t>
        </is>
      </c>
      <c r="H132" s="25" t="inlineStr">
        <is>
          <t>10+</t>
        </is>
      </c>
      <c r="I132" s="9">
        <f>IFERROR(INDEX('Темы × классы'!$R:$R,MATCH(E132,'Темы × классы'!$E:$E,0)),"")</f>
        <v/>
      </c>
      <c r="J132" s="9">
        <f>IFERROR(INDEX('Темы × классы'!$S:$S,MATCH(E132,'Темы × классы'!$E:$E,0))&amp;"","")</f>
        <v/>
      </c>
      <c r="K132" s="9" t="inlineStr">
        <is>
          <t>не начат</t>
        </is>
      </c>
      <c r="L132" s="9" t="inlineStr">
        <is>
          <t>Spotlight / 4 класс / Module 8 · Places to go / Future Simple (will) / Future Simple (will): вопросы и краткие ответы</t>
        </is>
      </c>
    </row>
    <row r="133">
      <c r="A133" s="25" t="n">
        <v>4</v>
      </c>
      <c r="B133" s="9" t="inlineStr">
        <is>
          <t>Module 8 · Places to go</t>
        </is>
      </c>
      <c r="C133" s="9" t="inlineStr"/>
      <c r="D133" s="9" t="inlineStr">
        <is>
          <t>Future Simple (will)</t>
        </is>
      </c>
      <c r="E133" s="23" t="inlineStr">
        <is>
          <t>Future Simple (will): значение — предсказание/предположение</t>
        </is>
      </c>
      <c r="F133" s="26" t="inlineStr">
        <is>
          <t>новое</t>
        </is>
      </c>
      <c r="G133" s="9" t="inlineStr">
        <is>
          <t>tomorrow, next week/month/year, soon</t>
        </is>
      </c>
      <c r="H133" s="25" t="inlineStr">
        <is>
          <t>10+</t>
        </is>
      </c>
      <c r="I133" s="9">
        <f>IFERROR(INDEX('Темы × классы'!$R:$R,MATCH(E133,'Темы × классы'!$E:$E,0)),"")</f>
        <v/>
      </c>
      <c r="J133" s="9">
        <f>IFERROR(INDEX('Темы × классы'!$S:$S,MATCH(E133,'Темы × классы'!$E:$E,0))&amp;"","")</f>
        <v/>
      </c>
      <c r="K133" s="9" t="inlineStr">
        <is>
          <t>не начат</t>
        </is>
      </c>
      <c r="L133" s="9" t="inlineStr">
        <is>
          <t>Spotlight / 4 класс / Module 8 · Places to go / Future Simple (will) / Future Simple (will): значение — предсказание/предположение</t>
        </is>
      </c>
    </row>
    <row r="134">
      <c r="A134" s="25" t="n">
        <v>4</v>
      </c>
      <c r="B134" s="9" t="inlineStr">
        <is>
          <t>Module 8 · Places to go</t>
        </is>
      </c>
      <c r="C134" s="9" t="inlineStr"/>
      <c r="D134" s="9" t="inlineStr">
        <is>
          <t>Future Simple (will)</t>
        </is>
      </c>
      <c r="E134" s="23" t="inlineStr">
        <is>
          <t>Future Simple (will): значение — решение в момент речи</t>
        </is>
      </c>
      <c r="F134" s="26" t="inlineStr">
        <is>
          <t>новое</t>
        </is>
      </c>
      <c r="G134" s="9" t="inlineStr"/>
      <c r="H134" s="25" t="inlineStr">
        <is>
          <t>10+</t>
        </is>
      </c>
      <c r="I134" s="9">
        <f>IFERROR(INDEX('Темы × классы'!$R:$R,MATCH(E134,'Темы × классы'!$E:$E,0)),"")</f>
        <v/>
      </c>
      <c r="J134" s="9">
        <f>IFERROR(INDEX('Темы × классы'!$S:$S,MATCH(E134,'Темы × классы'!$E:$E,0))&amp;"","")</f>
        <v/>
      </c>
      <c r="K134" s="9" t="inlineStr">
        <is>
          <t>не начат</t>
        </is>
      </c>
      <c r="L134" s="9" t="inlineStr">
        <is>
          <t>Spotlight / 4 класс / Module 8 · Places to go / Future Simple (will) / Future Simple (will): значение — решение в момент речи</t>
        </is>
      </c>
    </row>
    <row r="135">
      <c r="A135" s="25" t="n">
        <v>4</v>
      </c>
      <c r="B135" s="9" t="inlineStr">
        <is>
          <t>Module 8 · Places to go</t>
        </is>
      </c>
      <c r="C135" s="9" t="inlineStr"/>
      <c r="D135" s="9" t="inlineStr">
        <is>
          <t>Future Simple (will)</t>
        </is>
      </c>
      <c r="E135" s="23" t="inlineStr">
        <is>
          <t>Future Simple (will): значение — обещания</t>
        </is>
      </c>
      <c r="F135" s="26" t="inlineStr">
        <is>
          <t>новое</t>
        </is>
      </c>
      <c r="G135" s="9" t="inlineStr"/>
      <c r="H135" s="25" t="inlineStr">
        <is>
          <t>10+</t>
        </is>
      </c>
      <c r="I135" s="9">
        <f>IFERROR(INDEX('Темы × классы'!$R:$R,MATCH(E135,'Темы × классы'!$E:$E,0)),"")</f>
        <v/>
      </c>
      <c r="J135" s="9">
        <f>IFERROR(INDEX('Темы × классы'!$S:$S,MATCH(E135,'Темы × классы'!$E:$E,0))&amp;"","")</f>
        <v/>
      </c>
      <c r="K135" s="9" t="inlineStr">
        <is>
          <t>не начат</t>
        </is>
      </c>
      <c r="L135" s="9" t="inlineStr">
        <is>
          <t>Spotlight / 4 класс / Module 8 · Places to go / Future Simple (will) / Future Simple (will): значение — обещания</t>
        </is>
      </c>
    </row>
    <row r="136">
      <c r="A136" s="25" t="n">
        <v>4</v>
      </c>
      <c r="B136" s="9" t="inlineStr">
        <is>
          <t>Module 8 · Places to go</t>
        </is>
      </c>
      <c r="C136" s="9" t="inlineStr"/>
      <c r="D136" s="9" t="inlineStr">
        <is>
          <t>be going to</t>
        </is>
      </c>
      <c r="E136" s="23" t="inlineStr">
        <is>
          <t>be going to: утверждение (am/is/are going to + V)</t>
        </is>
      </c>
      <c r="F136" s="26" t="inlineStr">
        <is>
          <t>новое</t>
        </is>
      </c>
      <c r="G136" s="9" t="inlineStr">
        <is>
          <t>все лица (swim); am/is/are going to</t>
        </is>
      </c>
      <c r="H136" s="25" t="inlineStr">
        <is>
          <t>10+</t>
        </is>
      </c>
      <c r="I136" s="9">
        <f>IFERROR(INDEX('Темы × классы'!$R:$R,MATCH(E136,'Темы × классы'!$E:$E,0)),"")</f>
        <v/>
      </c>
      <c r="J136" s="9">
        <f>IFERROR(INDEX('Темы × классы'!$S:$S,MATCH(E136,'Темы × классы'!$E:$E,0))&amp;"","")</f>
        <v/>
      </c>
      <c r="K136" s="9" t="inlineStr">
        <is>
          <t>не начат</t>
        </is>
      </c>
      <c r="L136" s="9" t="inlineStr">
        <is>
          <t>Spotlight / 4 класс / Module 8 · Places to go / be going to / be going to: утверждение (am/is/are going to + V)</t>
        </is>
      </c>
    </row>
    <row r="137">
      <c r="A137" s="25" t="n">
        <v>4</v>
      </c>
      <c r="B137" s="9" t="inlineStr">
        <is>
          <t>Module 8 · Places to go</t>
        </is>
      </c>
      <c r="C137" s="9" t="inlineStr"/>
      <c r="D137" s="9" t="inlineStr">
        <is>
          <t>be going to</t>
        </is>
      </c>
      <c r="E137" s="23" t="inlineStr">
        <is>
          <t>be going to: отрицание</t>
        </is>
      </c>
      <c r="F137" s="26" t="inlineStr">
        <is>
          <t>новое</t>
        </is>
      </c>
      <c r="G137" s="9" t="inlineStr">
        <is>
          <t>полная и краткая форма (isn't, aren't)</t>
        </is>
      </c>
      <c r="H137" s="25" t="inlineStr">
        <is>
          <t>10+</t>
        </is>
      </c>
      <c r="I137" s="9">
        <f>IFERROR(INDEX('Темы × классы'!$R:$R,MATCH(E137,'Темы × классы'!$E:$E,0)),"")</f>
        <v/>
      </c>
      <c r="J137" s="9">
        <f>IFERROR(INDEX('Темы × классы'!$S:$S,MATCH(E137,'Темы × классы'!$E:$E,0))&amp;"","")</f>
        <v/>
      </c>
      <c r="K137" s="9" t="inlineStr">
        <is>
          <t>не начат</t>
        </is>
      </c>
      <c r="L137" s="9" t="inlineStr">
        <is>
          <t>Spotlight / 4 класс / Module 8 · Places to go / be going to / be going to: отрицание</t>
        </is>
      </c>
    </row>
    <row r="138">
      <c r="A138" s="25" t="n">
        <v>4</v>
      </c>
      <c r="B138" s="9" t="inlineStr">
        <is>
          <t>Module 8 · Places to go</t>
        </is>
      </c>
      <c r="C138" s="9" t="inlineStr"/>
      <c r="D138" s="9" t="inlineStr">
        <is>
          <t>be going to</t>
        </is>
      </c>
      <c r="E138" s="23" t="inlineStr">
        <is>
          <t>be going to: вопросы и краткие ответы</t>
        </is>
      </c>
      <c r="F138" s="26" t="inlineStr">
        <is>
          <t>новое</t>
        </is>
      </c>
      <c r="G138" s="9" t="inlineStr">
        <is>
          <t>Am I/Are you/Is he…; кратких ответов нет</t>
        </is>
      </c>
      <c r="H138" s="25" t="inlineStr">
        <is>
          <t>10+</t>
        </is>
      </c>
      <c r="I138" s="9">
        <f>IFERROR(INDEX('Темы × классы'!$R:$R,MATCH(E138,'Темы × классы'!$E:$E,0)),"")</f>
        <v/>
      </c>
      <c r="J138" s="9">
        <f>IFERROR(INDEX('Темы × классы'!$S:$S,MATCH(E138,'Темы × классы'!$E:$E,0))&amp;"","")</f>
        <v/>
      </c>
      <c r="K138" s="9" t="inlineStr">
        <is>
          <t>не начат</t>
        </is>
      </c>
      <c r="L138" s="9" t="inlineStr">
        <is>
          <t>Spotlight / 4 класс / Module 8 · Places to go / be going to / be going to: вопросы и краткие ответы</t>
        </is>
      </c>
    </row>
    <row r="139">
      <c r="A139" s="25" t="n">
        <v>4</v>
      </c>
      <c r="B139" s="9" t="inlineStr">
        <is>
          <t>Module 8 · Places to go</t>
        </is>
      </c>
      <c r="C139" s="9" t="inlineStr"/>
      <c r="D139" s="9" t="inlineStr">
        <is>
          <t>be going to</t>
        </is>
      </c>
      <c r="E139" s="23" t="inlineStr">
        <is>
          <t>be going to: значение — планы и намерения</t>
        </is>
      </c>
      <c r="F139" s="26" t="inlineStr">
        <is>
          <t>новое</t>
        </is>
      </c>
      <c r="G139" s="9" t="inlineStr">
        <is>
          <t>ближайшее будущее</t>
        </is>
      </c>
      <c r="H139" s="25" t="inlineStr">
        <is>
          <t>10+</t>
        </is>
      </c>
      <c r="I139" s="9">
        <f>IFERROR(INDEX('Темы × классы'!$R:$R,MATCH(E139,'Темы × классы'!$E:$E,0)),"")</f>
        <v/>
      </c>
      <c r="J139" s="9">
        <f>IFERROR(INDEX('Темы × классы'!$S:$S,MATCH(E139,'Темы × классы'!$E:$E,0))&amp;"","")</f>
        <v/>
      </c>
      <c r="K139" s="9" t="inlineStr">
        <is>
          <t>не начат</t>
        </is>
      </c>
      <c r="L139" s="9" t="inlineStr">
        <is>
          <t>Spotlight / 4 класс / Module 8 · Places to go / be going to / be going to: значение — планы и намерения</t>
        </is>
      </c>
    </row>
    <row r="140">
      <c r="A140" s="25" t="n">
        <v>4</v>
      </c>
      <c r="B140" s="9" t="inlineStr">
        <is>
          <t>Module 8 · Places to go</t>
        </is>
      </c>
      <c r="C140" s="9" t="inlineStr"/>
      <c r="D140" s="9" t="inlineStr">
        <is>
          <t>Question words</t>
        </is>
      </c>
      <c r="E140" s="23" t="inlineStr">
        <is>
          <t>Question words: who / what / where / when / why / how</t>
        </is>
      </c>
      <c r="F140" s="26" t="inlineStr">
        <is>
          <t>новое</t>
        </is>
      </c>
      <c r="G140" s="9" t="inlineStr">
        <is>
          <t>who, what, where, when, why, how — впервые как раздел</t>
        </is>
      </c>
      <c r="H140" s="25" t="inlineStr">
        <is>
          <t>10+</t>
        </is>
      </c>
      <c r="I140" s="9">
        <f>IFERROR(INDEX('Темы × классы'!$R:$R,MATCH(E140,'Темы × классы'!$E:$E,0)),"")</f>
        <v/>
      </c>
      <c r="J140" s="9">
        <f>IFERROR(INDEX('Темы × классы'!$S:$S,MATCH(E140,'Темы × классы'!$E:$E,0))&amp;"","")</f>
        <v/>
      </c>
      <c r="K140" s="9" t="inlineStr">
        <is>
          <t>не начат</t>
        </is>
      </c>
      <c r="L140" s="9" t="inlineStr">
        <is>
          <t>Spotlight / 4 класс / Module 8 · Places to go / Question words / Question words: who / what / where / when / why / how</t>
        </is>
      </c>
    </row>
    <row r="141">
      <c r="A141" s="25" t="n">
        <v>5</v>
      </c>
      <c r="B141" s="9" t="inlineStr">
        <is>
          <t>Module 1 · School days</t>
        </is>
      </c>
      <c r="C141" s="9" t="inlineStr">
        <is>
          <t>1b</t>
        </is>
      </c>
      <c r="D141" s="9" t="inlineStr">
        <is>
          <t>to be (Present)</t>
        </is>
      </c>
      <c r="E141" s="23" t="inlineStr">
        <is>
          <t>to be (Present): утверждение — am/is/are, полные и краткие формы</t>
        </is>
      </c>
      <c r="F141" s="25" t="inlineStr">
        <is>
          <t>повторение</t>
        </is>
      </c>
      <c r="G141" s="9" t="inlineStr">
        <is>
          <t>все лица, полные и краткие; значения быть/находиться/являться</t>
        </is>
      </c>
      <c r="H141" s="25" t="inlineStr">
        <is>
          <t>10+</t>
        </is>
      </c>
      <c r="I141" s="9">
        <f>IFERROR(INDEX('Темы × классы'!$R:$R,MATCH(E141,'Темы × классы'!$E:$E,0)),"")</f>
        <v/>
      </c>
      <c r="J141" s="9">
        <f>IFERROR(INDEX('Темы × классы'!$S:$S,MATCH(E141,'Темы × классы'!$E:$E,0))&amp;"","")</f>
        <v/>
      </c>
      <c r="K141" s="9" t="inlineStr">
        <is>
          <t>не начат</t>
        </is>
      </c>
      <c r="L141" s="9" t="inlineStr">
        <is>
          <t>Spotlight / 5 класс / Module 1 · School days / to be (Present) / to be (Present): утверждение — am/is/are, полные и краткие формы</t>
        </is>
      </c>
    </row>
    <row r="142">
      <c r="A142" s="25" t="n">
        <v>5</v>
      </c>
      <c r="B142" s="9" t="inlineStr">
        <is>
          <t>Module 1 · School days</t>
        </is>
      </c>
      <c r="C142" s="9" t="inlineStr">
        <is>
          <t>1b</t>
        </is>
      </c>
      <c r="D142" s="9" t="inlineStr">
        <is>
          <t>to be (Present)</t>
        </is>
      </c>
      <c r="E142" s="23" t="inlineStr">
        <is>
          <t>to be (Present): отрицание — am not / isn't / aren't</t>
        </is>
      </c>
      <c r="F142" s="25" t="inlineStr">
        <is>
          <t>повторение</t>
        </is>
      </c>
      <c r="G142" s="9" t="inlineStr">
        <is>
          <t>I'm not, aren't, isn't</t>
        </is>
      </c>
      <c r="H142" s="25" t="inlineStr">
        <is>
          <t>10+</t>
        </is>
      </c>
      <c r="I142" s="9">
        <f>IFERROR(INDEX('Темы × классы'!$R:$R,MATCH(E142,'Темы × классы'!$E:$E,0)),"")</f>
        <v/>
      </c>
      <c r="J142" s="9">
        <f>IFERROR(INDEX('Темы × классы'!$S:$S,MATCH(E142,'Темы × классы'!$E:$E,0))&amp;"","")</f>
        <v/>
      </c>
      <c r="K142" s="9" t="inlineStr">
        <is>
          <t>не начат</t>
        </is>
      </c>
      <c r="L142" s="9" t="inlineStr">
        <is>
          <t>Spotlight / 5 класс / Module 1 · School days / to be (Present) / to be (Present): отрицание — am not / isn't / aren't</t>
        </is>
      </c>
    </row>
    <row r="143">
      <c r="A143" s="25" t="n">
        <v>5</v>
      </c>
      <c r="B143" s="9" t="inlineStr">
        <is>
          <t>Module 1 · School days</t>
        </is>
      </c>
      <c r="C143" s="9" t="inlineStr">
        <is>
          <t>1b</t>
        </is>
      </c>
      <c r="D143" s="9" t="inlineStr">
        <is>
          <t>to be (Present)</t>
        </is>
      </c>
      <c r="E143" s="23" t="inlineStr">
        <is>
          <t>to be (Present): вопросы и краткие ответы</t>
        </is>
      </c>
      <c r="F143" s="25" t="inlineStr">
        <is>
          <t>повторение</t>
        </is>
      </c>
      <c r="G143" s="9" t="inlineStr">
        <is>
          <t>Yes, I am / No, I'm not; Yes, he is…</t>
        </is>
      </c>
      <c r="H143" s="25" t="inlineStr">
        <is>
          <t>10+</t>
        </is>
      </c>
      <c r="I143" s="9">
        <f>IFERROR(INDEX('Темы × классы'!$R:$R,MATCH(E143,'Темы × классы'!$E:$E,0)),"")</f>
        <v/>
      </c>
      <c r="J143" s="9">
        <f>IFERROR(INDEX('Темы × классы'!$S:$S,MATCH(E143,'Темы × классы'!$E:$E,0))&amp;"","")</f>
        <v/>
      </c>
      <c r="K143" s="9" t="inlineStr">
        <is>
          <t>не начат</t>
        </is>
      </c>
      <c r="L143" s="9" t="inlineStr">
        <is>
          <t>Spotlight / 5 класс / Module 1 · School days / to be (Present) / to be (Present): вопросы и краткие ответы</t>
        </is>
      </c>
    </row>
    <row r="144">
      <c r="A144" s="25" t="n">
        <v>5</v>
      </c>
      <c r="B144" s="9" t="inlineStr">
        <is>
          <t>Module 1 · School days</t>
        </is>
      </c>
      <c r="C144" s="9" t="inlineStr">
        <is>
          <t>1a</t>
        </is>
      </c>
      <c r="D144" s="9" t="inlineStr">
        <is>
          <t>a/an</t>
        </is>
      </c>
      <c r="E144" s="23" t="inlineStr">
        <is>
          <t>a/an: неопределённый артикль — только с исчисляемыми в ед. ч.</t>
        </is>
      </c>
      <c r="F144" s="25" t="inlineStr">
        <is>
          <t>повторение</t>
        </is>
      </c>
      <c r="G144" s="9" t="inlineStr"/>
      <c r="H144" s="25" t="inlineStr">
        <is>
          <t>10+</t>
        </is>
      </c>
      <c r="I144" s="9">
        <f>IFERROR(INDEX('Темы × классы'!$R:$R,MATCH(E144,'Темы × классы'!$E:$E,0)),"")</f>
        <v/>
      </c>
      <c r="J144" s="9">
        <f>IFERROR(INDEX('Темы × классы'!$S:$S,MATCH(E144,'Темы × классы'!$E:$E,0))&amp;"","")</f>
        <v/>
      </c>
      <c r="K144" s="9" t="inlineStr">
        <is>
          <t>не начат</t>
        </is>
      </c>
      <c r="L144" s="9" t="inlineStr">
        <is>
          <t>Spotlight / 5 класс / Module 1 · School days / a/an / a/an: неопределённый артикль — только с исчисляемыми в ед. ч.</t>
        </is>
      </c>
    </row>
    <row r="145">
      <c r="A145" s="25" t="n">
        <v>5</v>
      </c>
      <c r="B145" s="9" t="inlineStr">
        <is>
          <t>Module 1 · School days</t>
        </is>
      </c>
      <c r="C145" s="9" t="inlineStr">
        <is>
          <t>1a</t>
        </is>
      </c>
      <c r="D145" s="9" t="inlineStr">
        <is>
          <t>a/an</t>
        </is>
      </c>
      <c r="E145" s="23" t="inlineStr">
        <is>
          <t>a/an: a перед согласной, an перед гласной</t>
        </is>
      </c>
      <c r="F145" s="25" t="inlineStr">
        <is>
          <t>повторение</t>
        </is>
      </c>
      <c r="G145" s="9" t="inlineStr">
        <is>
          <t>правило по букве (a, e, i, o, u)</t>
        </is>
      </c>
      <c r="H145" s="25" t="inlineStr">
        <is>
          <t>10+</t>
        </is>
      </c>
      <c r="I145" s="9">
        <f>IFERROR(INDEX('Темы × классы'!$R:$R,MATCH(E145,'Темы × классы'!$E:$E,0)),"")</f>
        <v/>
      </c>
      <c r="J145" s="9">
        <f>IFERROR(INDEX('Темы × классы'!$S:$S,MATCH(E145,'Темы × классы'!$E:$E,0))&amp;"","")</f>
        <v/>
      </c>
      <c r="K145" s="9" t="inlineStr">
        <is>
          <t>не начат</t>
        </is>
      </c>
      <c r="L145" s="9" t="inlineStr">
        <is>
          <t>Spotlight / 5 класс / Module 1 · School days / a/an / a/an: a перед согласной, an перед гласной</t>
        </is>
      </c>
    </row>
    <row r="146">
      <c r="A146" s="25" t="n">
        <v>5</v>
      </c>
      <c r="B146" s="9" t="inlineStr">
        <is>
          <t>Module 1 · School days</t>
        </is>
      </c>
      <c r="C146" s="9" t="inlineStr">
        <is>
          <t>1b</t>
        </is>
      </c>
      <c r="D146" s="9" t="inlineStr">
        <is>
          <t>Personal pronouns (subject)</t>
        </is>
      </c>
      <c r="E146" s="23" t="inlineStr">
        <is>
          <t>Personal pronouns: формы I, you, he, she, it, we, you, they</t>
        </is>
      </c>
      <c r="F146" s="26" t="inlineStr">
        <is>
          <t>новое</t>
        </is>
      </c>
      <c r="G146" s="9" t="inlineStr"/>
      <c r="H146" s="25" t="inlineStr">
        <is>
          <t>10+</t>
        </is>
      </c>
      <c r="I146" s="9">
        <f>IFERROR(INDEX('Темы × классы'!$R:$R,MATCH(E146,'Темы × классы'!$E:$E,0)),"")</f>
        <v/>
      </c>
      <c r="J146" s="9">
        <f>IFERROR(INDEX('Темы × классы'!$S:$S,MATCH(E146,'Темы × классы'!$E:$E,0))&amp;"","")</f>
        <v/>
      </c>
      <c r="K146" s="9" t="inlineStr">
        <is>
          <t>не начат</t>
        </is>
      </c>
      <c r="L146" s="9" t="inlineStr">
        <is>
          <t>Spotlight / 5 класс / Module 1 · School days / Personal pronouns (subject) / Personal pronouns: формы I, you, he, she, it, we, you, they</t>
        </is>
      </c>
    </row>
    <row r="147">
      <c r="A147" s="25" t="n">
        <v>5</v>
      </c>
      <c r="B147" s="9" t="inlineStr">
        <is>
          <t>Module 1 · School days</t>
        </is>
      </c>
      <c r="C147" s="9" t="inlineStr">
        <is>
          <t>1b</t>
        </is>
      </c>
      <c r="D147" s="9" t="inlineStr">
        <is>
          <t>Personal pronouns (subject)</t>
        </is>
      </c>
      <c r="E147" s="23" t="inlineStr">
        <is>
          <t>Personal pronouns: употребление — подлежащее вместо существительного</t>
        </is>
      </c>
      <c r="F147" s="26" t="inlineStr">
        <is>
          <t>новое</t>
        </is>
      </c>
      <c r="G147" s="9" t="inlineStr">
        <is>
          <t>I — с прописной; you — ед. и мн. ч.</t>
        </is>
      </c>
      <c r="H147" s="25" t="inlineStr">
        <is>
          <t>10+</t>
        </is>
      </c>
      <c r="I147" s="9">
        <f>IFERROR(INDEX('Темы × классы'!$R:$R,MATCH(E147,'Темы × классы'!$E:$E,0)),"")</f>
        <v/>
      </c>
      <c r="J147" s="9">
        <f>IFERROR(INDEX('Темы × классы'!$S:$S,MATCH(E147,'Темы × классы'!$E:$E,0))&amp;"","")</f>
        <v/>
      </c>
      <c r="K147" s="9" t="inlineStr">
        <is>
          <t>не начат</t>
        </is>
      </c>
      <c r="L147" s="9" t="inlineStr">
        <is>
          <t>Spotlight / 5 класс / Module 1 · School days / Personal pronouns (subject) / Personal pronouns: употребление — подлежащее вместо существительного</t>
        </is>
      </c>
    </row>
    <row r="148">
      <c r="A148" s="25" t="n">
        <v>5</v>
      </c>
      <c r="B148" s="9" t="inlineStr">
        <is>
          <t>Module 1 · School days</t>
        </is>
      </c>
      <c r="C148" s="9" t="inlineStr">
        <is>
          <t>1b</t>
        </is>
      </c>
      <c r="D148" s="9" t="inlineStr">
        <is>
          <t>Personal pronouns (subject)</t>
        </is>
      </c>
      <c r="E148" s="23" t="inlineStr">
        <is>
          <t>Personal pronouns: he/she vs it vs they — выбор местоимения</t>
        </is>
      </c>
      <c r="F148" s="26" t="inlineStr">
        <is>
          <t>новое</t>
        </is>
      </c>
      <c r="G148" s="9" t="inlineStr">
        <is>
          <t>it — неодушевлённые, абстрактные, животные</t>
        </is>
      </c>
      <c r="H148" s="25" t="inlineStr">
        <is>
          <t>10+</t>
        </is>
      </c>
      <c r="I148" s="9">
        <f>IFERROR(INDEX('Темы × классы'!$R:$R,MATCH(E148,'Темы × классы'!$E:$E,0)),"")</f>
        <v/>
      </c>
      <c r="J148" s="9">
        <f>IFERROR(INDEX('Темы × классы'!$S:$S,MATCH(E148,'Темы × классы'!$E:$E,0))&amp;"","")</f>
        <v/>
      </c>
      <c r="K148" s="9" t="inlineStr">
        <is>
          <t>не начат</t>
        </is>
      </c>
      <c r="L148" s="9" t="inlineStr">
        <is>
          <t>Spotlight / 5 класс / Module 1 · School days / Personal pronouns (subject) / Personal pronouns: he/she vs it vs they — выбор местоимения</t>
        </is>
      </c>
    </row>
    <row r="149">
      <c r="A149" s="25" t="n">
        <v>5</v>
      </c>
      <c r="B149" s="9" t="inlineStr">
        <is>
          <t>Module 1 · School days</t>
        </is>
      </c>
      <c r="C149" s="9" t="inlineStr">
        <is>
          <t>1b</t>
        </is>
      </c>
      <c r="D149" s="9" t="inlineStr">
        <is>
          <t>Alternative questions</t>
        </is>
      </c>
      <c r="E149" s="23" t="inlineStr">
        <is>
          <t>Alternative questions: образование (общий вопрос + or) — be, have got</t>
        </is>
      </c>
      <c r="F149" s="26" t="inlineStr">
        <is>
          <t>новое</t>
        </is>
      </c>
      <c r="G149" s="9" t="inlineStr">
        <is>
          <t>to be, have got (Are you a teacher or a doctor?)</t>
        </is>
      </c>
      <c r="H149" s="25" t="inlineStr">
        <is>
          <t>10+</t>
        </is>
      </c>
      <c r="I149" s="9">
        <f>IFERROR(INDEX('Темы × классы'!$R:$R,MATCH(E149,'Темы × классы'!$E:$E,0)),"")</f>
        <v/>
      </c>
      <c r="J149" s="9">
        <f>IFERROR(INDEX('Темы × классы'!$S:$S,MATCH(E149,'Темы × классы'!$E:$E,0))&amp;"","")</f>
        <v/>
      </c>
      <c r="K149" s="9" t="inlineStr">
        <is>
          <t>не начат</t>
        </is>
      </c>
      <c r="L149" s="9" t="inlineStr">
        <is>
          <t>Spotlight / 5 класс / Module 1 · School days / Alternative questions / Alternative questions: образование (общий вопрос + or) — be, have got</t>
        </is>
      </c>
    </row>
    <row r="150">
      <c r="A150" s="25" t="n">
        <v>5</v>
      </c>
      <c r="B150" s="9" t="inlineStr">
        <is>
          <t>Module 1 · School days</t>
        </is>
      </c>
      <c r="C150" s="9" t="inlineStr">
        <is>
          <t>1b</t>
        </is>
      </c>
      <c r="D150" s="9" t="inlineStr">
        <is>
          <t>Alternative questions</t>
        </is>
      </c>
      <c r="E150" s="23" t="inlineStr">
        <is>
          <t>Alternative questions: в Present Simple (do/does … or …)</t>
        </is>
      </c>
      <c r="F150" s="26" t="inlineStr">
        <is>
          <t>новое</t>
        </is>
      </c>
      <c r="G150" s="9" t="inlineStr">
        <is>
          <t>Does he work or does he go to school?</t>
        </is>
      </c>
      <c r="H150" s="25" t="inlineStr">
        <is>
          <t>10+</t>
        </is>
      </c>
      <c r="I150" s="9">
        <f>IFERROR(INDEX('Темы × классы'!$R:$R,MATCH(E150,'Темы × классы'!$E:$E,0)),"")</f>
        <v/>
      </c>
      <c r="J150" s="9">
        <f>IFERROR(INDEX('Темы × классы'!$S:$S,MATCH(E150,'Темы × классы'!$E:$E,0))&amp;"","")</f>
        <v/>
      </c>
      <c r="K150" s="9" t="inlineStr">
        <is>
          <t>не начат</t>
        </is>
      </c>
      <c r="L150" s="9" t="inlineStr">
        <is>
          <t>Spotlight / 5 класс / Module 1 · School days / Alternative questions / Alternative questions: в Present Simple (do/does … or …)</t>
        </is>
      </c>
    </row>
    <row r="151">
      <c r="A151" s="25" t="n">
        <v>5</v>
      </c>
      <c r="B151" s="9" t="inlineStr">
        <is>
          <t>Module 1 · School days</t>
        </is>
      </c>
      <c r="C151" s="9" t="inlineStr">
        <is>
          <t>1a</t>
        </is>
      </c>
      <c r="D151" s="9" t="inlineStr">
        <is>
          <t>Imperative</t>
        </is>
      </c>
      <c r="E151" s="23" t="inlineStr">
        <is>
          <t>Imperative: утверждение — инфинитив без to</t>
        </is>
      </c>
      <c r="F151" s="26" t="inlineStr">
        <is>
          <t>новое</t>
        </is>
      </c>
      <c r="G151" s="9" t="inlineStr">
        <is>
          <t>Stand up! Open your books.</t>
        </is>
      </c>
      <c r="H151" s="25" t="inlineStr">
        <is>
          <t>10+</t>
        </is>
      </c>
      <c r="I151" s="9">
        <f>IFERROR(INDEX('Темы × классы'!$R:$R,MATCH(E151,'Темы × классы'!$E:$E,0)),"")</f>
        <v/>
      </c>
      <c r="J151" s="9">
        <f>IFERROR(INDEX('Темы × классы'!$S:$S,MATCH(E151,'Темы × классы'!$E:$E,0))&amp;"","")</f>
        <v/>
      </c>
      <c r="K151" s="9" t="inlineStr">
        <is>
          <t>не начат</t>
        </is>
      </c>
      <c r="L151" s="9" t="inlineStr">
        <is>
          <t>Spotlight / 5 класс / Module 1 · School days / Imperative / Imperative: утверждение — инфинитив без to</t>
        </is>
      </c>
    </row>
    <row r="152">
      <c r="A152" s="25" t="n">
        <v>5</v>
      </c>
      <c r="B152" s="9" t="inlineStr">
        <is>
          <t>Module 1 · School days</t>
        </is>
      </c>
      <c r="C152" s="9" t="inlineStr">
        <is>
          <t>1a</t>
        </is>
      </c>
      <c r="D152" s="9" t="inlineStr">
        <is>
          <t>Imperative</t>
        </is>
      </c>
      <c r="E152" s="23" t="inlineStr">
        <is>
          <t>Imperative: отрицание — Don't + инфинитив</t>
        </is>
      </c>
      <c r="F152" s="26" t="inlineStr">
        <is>
          <t>новое</t>
        </is>
      </c>
      <c r="G152" s="9" t="inlineStr">
        <is>
          <t>Don't come in!</t>
        </is>
      </c>
      <c r="H152" s="25" t="inlineStr">
        <is>
          <t>10+</t>
        </is>
      </c>
      <c r="I152" s="9">
        <f>IFERROR(INDEX('Темы × классы'!$R:$R,MATCH(E152,'Темы × классы'!$E:$E,0)),"")</f>
        <v/>
      </c>
      <c r="J152" s="9">
        <f>IFERROR(INDEX('Темы × классы'!$S:$S,MATCH(E152,'Темы × классы'!$E:$E,0))&amp;"","")</f>
        <v/>
      </c>
      <c r="K152" s="9" t="inlineStr">
        <is>
          <t>не начат</t>
        </is>
      </c>
      <c r="L152" s="9" t="inlineStr">
        <is>
          <t>Spotlight / 5 класс / Module 1 · School days / Imperative / Imperative: отрицание — Don't + инфинитив</t>
        </is>
      </c>
    </row>
    <row r="153">
      <c r="A153" s="25" t="n">
        <v>5</v>
      </c>
      <c r="B153" s="9" t="inlineStr">
        <is>
          <t>Module 2 · That's me!</t>
        </is>
      </c>
      <c r="C153" s="9" t="inlineStr">
        <is>
          <t>2a</t>
        </is>
      </c>
      <c r="D153" s="9" t="inlineStr">
        <is>
          <t>have got</t>
        </is>
      </c>
      <c r="E153" s="23" t="inlineStr">
        <is>
          <t>have got: утверждение — have got / has got (полные и краткие формы)</t>
        </is>
      </c>
      <c r="F153" s="25" t="inlineStr">
        <is>
          <t>повторение</t>
        </is>
      </c>
      <c r="G153" s="9" t="inlineStr">
        <is>
          <t>все лица; 've got / 's got</t>
        </is>
      </c>
      <c r="H153" s="25" t="inlineStr">
        <is>
          <t>10+</t>
        </is>
      </c>
      <c r="I153" s="9">
        <f>IFERROR(INDEX('Темы × классы'!$R:$R,MATCH(E153,'Темы × классы'!$E:$E,0)),"")</f>
        <v/>
      </c>
      <c r="J153" s="9">
        <f>IFERROR(INDEX('Темы × классы'!$S:$S,MATCH(E153,'Темы × классы'!$E:$E,0))&amp;"","")</f>
        <v/>
      </c>
      <c r="K153" s="9" t="inlineStr">
        <is>
          <t>не начат</t>
        </is>
      </c>
      <c r="L153" s="9" t="inlineStr">
        <is>
          <t>Spotlight / 5 класс / Module 2 · That's me! / have got / have got: утверждение — have got / has got (полные и краткие формы)</t>
        </is>
      </c>
    </row>
    <row r="154">
      <c r="A154" s="25" t="n">
        <v>5</v>
      </c>
      <c r="B154" s="9" t="inlineStr">
        <is>
          <t>Module 2 · That's me!</t>
        </is>
      </c>
      <c r="C154" s="9" t="inlineStr">
        <is>
          <t>2a</t>
        </is>
      </c>
      <c r="D154" s="9" t="inlineStr">
        <is>
          <t>have got</t>
        </is>
      </c>
      <c r="E154" s="23" t="inlineStr">
        <is>
          <t>have got: отрицание — haven't got / hasn't got</t>
        </is>
      </c>
      <c r="F154" s="25" t="inlineStr">
        <is>
          <t>повторение</t>
        </is>
      </c>
      <c r="G154" s="9" t="inlineStr"/>
      <c r="H154" s="25" t="inlineStr">
        <is>
          <t>10+</t>
        </is>
      </c>
      <c r="I154" s="9">
        <f>IFERROR(INDEX('Темы × классы'!$R:$R,MATCH(E154,'Темы × классы'!$E:$E,0)),"")</f>
        <v/>
      </c>
      <c r="J154" s="9">
        <f>IFERROR(INDEX('Темы × классы'!$S:$S,MATCH(E154,'Темы × классы'!$E:$E,0))&amp;"","")</f>
        <v/>
      </c>
      <c r="K154" s="9" t="inlineStr">
        <is>
          <t>не начат</t>
        </is>
      </c>
      <c r="L154" s="9" t="inlineStr">
        <is>
          <t>Spotlight / 5 класс / Module 2 · That's me! / have got / have got: отрицание — haven't got / hasn't got</t>
        </is>
      </c>
    </row>
    <row r="155">
      <c r="A155" s="25" t="n">
        <v>5</v>
      </c>
      <c r="B155" s="9" t="inlineStr">
        <is>
          <t>Module 2 · That's me!</t>
        </is>
      </c>
      <c r="C155" s="9" t="inlineStr">
        <is>
          <t>2a</t>
        </is>
      </c>
      <c r="D155" s="9" t="inlineStr">
        <is>
          <t>have got</t>
        </is>
      </c>
      <c r="E155" s="23" t="inlineStr">
        <is>
          <t>have got: вопросы и краткие ответы</t>
        </is>
      </c>
      <c r="F155" s="25" t="inlineStr">
        <is>
          <t>повторение</t>
        </is>
      </c>
      <c r="G155" s="9" t="inlineStr"/>
      <c r="H155" s="25" t="inlineStr">
        <is>
          <t>10+</t>
        </is>
      </c>
      <c r="I155" s="9">
        <f>IFERROR(INDEX('Темы × классы'!$R:$R,MATCH(E155,'Темы × классы'!$E:$E,0)),"")</f>
        <v/>
      </c>
      <c r="J155" s="9">
        <f>IFERROR(INDEX('Темы × классы'!$S:$S,MATCH(E155,'Темы × классы'!$E:$E,0))&amp;"","")</f>
        <v/>
      </c>
      <c r="K155" s="9" t="inlineStr">
        <is>
          <t>не начат</t>
        </is>
      </c>
      <c r="L155" s="9" t="inlineStr">
        <is>
          <t>Spotlight / 5 класс / Module 2 · That's me! / have got / have got: вопросы и краткие ответы</t>
        </is>
      </c>
    </row>
    <row r="156">
      <c r="A156" s="25" t="n">
        <v>5</v>
      </c>
      <c r="B156" s="9" t="inlineStr">
        <is>
          <t>Module 2 · That's me!</t>
        </is>
      </c>
      <c r="C156" s="9" t="inlineStr">
        <is>
          <t>2a</t>
        </is>
      </c>
      <c r="D156" s="9" t="inlineStr">
        <is>
          <t>have got</t>
        </is>
      </c>
      <c r="E156" s="23" t="inlineStr">
        <is>
          <t>have got: значение — принадлежность (иметь)</t>
        </is>
      </c>
      <c r="F156" s="25" t="inlineStr">
        <is>
          <t>повторение</t>
        </is>
      </c>
      <c r="G156" s="9" t="inlineStr">
        <is>
          <t>иметь, владеть, обладать</t>
        </is>
      </c>
      <c r="H156" s="25" t="inlineStr">
        <is>
          <t>10+</t>
        </is>
      </c>
      <c r="I156" s="9">
        <f>IFERROR(INDEX('Темы × классы'!$R:$R,MATCH(E156,'Темы × классы'!$E:$E,0)),"")</f>
        <v/>
      </c>
      <c r="J156" s="9">
        <f>IFERROR(INDEX('Темы × классы'!$S:$S,MATCH(E156,'Темы × классы'!$E:$E,0))&amp;"","")</f>
        <v/>
      </c>
      <c r="K156" s="9" t="inlineStr">
        <is>
          <t>не начат</t>
        </is>
      </c>
      <c r="L156" s="9" t="inlineStr">
        <is>
          <t>Spotlight / 5 класс / Module 2 · That's me! / have got / have got: значение — принадлежность (иметь)</t>
        </is>
      </c>
    </row>
    <row r="157">
      <c r="A157" s="25" t="n">
        <v>5</v>
      </c>
      <c r="B157" s="9" t="inlineStr">
        <is>
          <t>Module 2 · That's me!</t>
        </is>
      </c>
      <c r="C157" s="9" t="inlineStr">
        <is>
          <t>2b</t>
        </is>
      </c>
      <c r="D157" s="9" t="inlineStr">
        <is>
          <t>Plurals (irregular)</t>
        </is>
      </c>
      <c r="E157" s="23" t="inlineStr">
        <is>
          <t>Plurals (irregular): man — men, child — children, tooth — teeth, foot — feet, mouse — mice</t>
        </is>
      </c>
      <c r="F157" s="25" t="inlineStr">
        <is>
          <t>повторение</t>
        </is>
      </c>
      <c r="G157" s="9" t="inlineStr">
        <is>
          <t>6 слов</t>
        </is>
      </c>
      <c r="H157" s="25" t="inlineStr">
        <is>
          <t>10+</t>
        </is>
      </c>
      <c r="I157" s="9">
        <f>IFERROR(INDEX('Темы × классы'!$R:$R,MATCH(E157,'Темы × классы'!$E:$E,0)),"")</f>
        <v/>
      </c>
      <c r="J157" s="9">
        <f>IFERROR(INDEX('Темы × классы'!$S:$S,MATCH(E157,'Темы × классы'!$E:$E,0))&amp;"","")</f>
        <v/>
      </c>
      <c r="K157" s="9" t="inlineStr">
        <is>
          <t>не начат</t>
        </is>
      </c>
      <c r="L157" s="9" t="inlineStr">
        <is>
          <t>Spotlight / 5 класс / Module 2 · That's me! / Plurals (irregular) / Plurals (irregular): man — men, child — children, tooth — teeth, foot — feet, mouse — mice</t>
        </is>
      </c>
    </row>
    <row r="158">
      <c r="A158" s="25" t="n">
        <v>5</v>
      </c>
      <c r="B158" s="9" t="inlineStr">
        <is>
          <t>Module 2 · That's me!</t>
        </is>
      </c>
      <c r="C158" s="9" t="inlineStr">
        <is>
          <t>2b</t>
        </is>
      </c>
      <c r="D158" s="9" t="inlineStr">
        <is>
          <t>Plurals (irregular)</t>
        </is>
      </c>
      <c r="E158" s="23" t="inlineStr">
        <is>
          <t>Plurals (irregular): существительные только во мн. ч. (jeans, scissors)</t>
        </is>
      </c>
      <c r="F158" s="26" t="inlineStr">
        <is>
          <t>новое</t>
        </is>
      </c>
      <c r="G158" s="9" t="inlineStr">
        <is>
          <t>shorts, jeans, pyjamas, scissors, clothes, glasses</t>
        </is>
      </c>
      <c r="H158" s="25" t="inlineStr">
        <is>
          <t>10+</t>
        </is>
      </c>
      <c r="I158" s="9">
        <f>IFERROR(INDEX('Темы × классы'!$R:$R,MATCH(E158,'Темы × классы'!$E:$E,0)),"")</f>
        <v/>
      </c>
      <c r="J158" s="9">
        <f>IFERROR(INDEX('Темы × классы'!$S:$S,MATCH(E158,'Темы × классы'!$E:$E,0))&amp;"","")</f>
        <v/>
      </c>
      <c r="K158" s="9" t="inlineStr">
        <is>
          <t>не начат</t>
        </is>
      </c>
      <c r="L158" s="9" t="inlineStr">
        <is>
          <t>Spotlight / 5 класс / Module 2 · That's me! / Plurals (irregular) / Plurals (irregular): существительные только во мн. ч. (jeans, scissors)</t>
        </is>
      </c>
    </row>
    <row r="159">
      <c r="A159" s="25" t="n">
        <v>5</v>
      </c>
      <c r="B159" s="9" t="inlineStr">
        <is>
          <t>Module 2 · That's me!</t>
        </is>
      </c>
      <c r="C159" s="9" t="inlineStr">
        <is>
          <t>2b</t>
        </is>
      </c>
      <c r="D159" s="9" t="inlineStr">
        <is>
          <t>Plurals (regular)</t>
        </is>
      </c>
      <c r="E159" s="23" t="inlineStr">
        <is>
          <t>Plurals (regular): основное правило — + -s</t>
        </is>
      </c>
      <c r="F159" s="25" t="inlineStr">
        <is>
          <t>повторение</t>
        </is>
      </c>
      <c r="G159" s="9" t="inlineStr">
        <is>
          <t>a doll – two dolls</t>
        </is>
      </c>
      <c r="H159" s="25" t="inlineStr">
        <is>
          <t>10+</t>
        </is>
      </c>
      <c r="I159" s="9">
        <f>IFERROR(INDEX('Темы × классы'!$R:$R,MATCH(E159,'Темы × классы'!$E:$E,0)),"")</f>
        <v/>
      </c>
      <c r="J159" s="9">
        <f>IFERROR(INDEX('Темы × классы'!$S:$S,MATCH(E159,'Темы × классы'!$E:$E,0))&amp;"","")</f>
        <v/>
      </c>
      <c r="K159" s="9" t="inlineStr">
        <is>
          <t>не начат</t>
        </is>
      </c>
      <c r="L159" s="9" t="inlineStr">
        <is>
          <t>Spotlight / 5 класс / Module 2 · That's me! / Plurals (regular) / Plurals (regular): основное правило — + -s</t>
        </is>
      </c>
    </row>
    <row r="160">
      <c r="A160" s="25" t="n">
        <v>5</v>
      </c>
      <c r="B160" s="9" t="inlineStr">
        <is>
          <t>Module 2 · That's me!</t>
        </is>
      </c>
      <c r="C160" s="9" t="inlineStr">
        <is>
          <t>2b</t>
        </is>
      </c>
      <c r="D160" s="9" t="inlineStr">
        <is>
          <t>Plurals (regular)</t>
        </is>
      </c>
      <c r="E160" s="23" t="inlineStr">
        <is>
          <t>Plurals (regular): орфография — + -es после -s, -ss, -sh, -ch, -x, -o</t>
        </is>
      </c>
      <c r="F160" s="27" t="inlineStr">
        <is>
          <t>расширение</t>
        </is>
      </c>
      <c r="G160" s="9" t="inlineStr">
        <is>
          <t>добавлены -sh, -ch: toothbrushes, matches</t>
        </is>
      </c>
      <c r="H160" s="25" t="inlineStr">
        <is>
          <t>10+</t>
        </is>
      </c>
      <c r="I160" s="9">
        <f>IFERROR(INDEX('Темы × классы'!$R:$R,MATCH(E160,'Темы × классы'!$E:$E,0)),"")</f>
        <v/>
      </c>
      <c r="J160" s="9">
        <f>IFERROR(INDEX('Темы × классы'!$S:$S,MATCH(E160,'Темы × классы'!$E:$E,0))&amp;"","")</f>
        <v/>
      </c>
      <c r="K160" s="9" t="inlineStr">
        <is>
          <t>не начат</t>
        </is>
      </c>
      <c r="L160" s="9" t="inlineStr">
        <is>
          <t>Spotlight / 5 класс / Module 2 · That's me! / Plurals (regular) / Plurals (regular): орфография — + -es после -s, -ss, -sh, -ch, -x, -o</t>
        </is>
      </c>
    </row>
    <row r="161">
      <c r="A161" s="25" t="n">
        <v>5</v>
      </c>
      <c r="B161" s="9" t="inlineStr">
        <is>
          <t>Module 2 · That's me!</t>
        </is>
      </c>
      <c r="C161" s="9" t="inlineStr">
        <is>
          <t>2b</t>
        </is>
      </c>
      <c r="D161" s="9" t="inlineStr">
        <is>
          <t>Plurals (regular)</t>
        </is>
      </c>
      <c r="E161" s="23" t="inlineStr">
        <is>
          <t>Plurals (regular): орфография — -y → -ies (но гласная + y → -s)</t>
        </is>
      </c>
      <c r="F161" s="25" t="inlineStr">
        <is>
          <t>повторение</t>
        </is>
      </c>
      <c r="G161" s="9" t="inlineStr">
        <is>
          <t>lady – ladies, toy – toys</t>
        </is>
      </c>
      <c r="H161" s="25" t="inlineStr">
        <is>
          <t>10+</t>
        </is>
      </c>
      <c r="I161" s="9">
        <f>IFERROR(INDEX('Темы × классы'!$R:$R,MATCH(E161,'Темы × классы'!$E:$E,0)),"")</f>
        <v/>
      </c>
      <c r="J161" s="9">
        <f>IFERROR(INDEX('Темы × классы'!$S:$S,MATCH(E161,'Темы × классы'!$E:$E,0))&amp;"","")</f>
        <v/>
      </c>
      <c r="K161" s="9" t="inlineStr">
        <is>
          <t>не начат</t>
        </is>
      </c>
      <c r="L161" s="9" t="inlineStr">
        <is>
          <t>Spotlight / 5 класс / Module 2 · That's me! / Plurals (regular) / Plurals (regular): орфография — -y → -ies (но гласная + y → -s)</t>
        </is>
      </c>
    </row>
    <row r="162">
      <c r="A162" s="25" t="n">
        <v>5</v>
      </c>
      <c r="B162" s="9" t="inlineStr">
        <is>
          <t>Module 2 · That's me!</t>
        </is>
      </c>
      <c r="C162" s="9" t="inlineStr">
        <is>
          <t>2b</t>
        </is>
      </c>
      <c r="D162" s="9" t="inlineStr">
        <is>
          <t>Plurals (regular)</t>
        </is>
      </c>
      <c r="E162" s="23" t="inlineStr">
        <is>
          <t>Plurals (regular): орфография — -f/-fe → -ves</t>
        </is>
      </c>
      <c r="F162" s="25" t="inlineStr">
        <is>
          <t>повторение</t>
        </is>
      </c>
      <c r="G162" s="9" t="inlineStr">
        <is>
          <t>life – lives, scarf – scarves</t>
        </is>
      </c>
      <c r="H162" s="25" t="inlineStr">
        <is>
          <t>10+</t>
        </is>
      </c>
      <c r="I162" s="9">
        <f>IFERROR(INDEX('Темы × классы'!$R:$R,MATCH(E162,'Темы × классы'!$E:$E,0)),"")</f>
        <v/>
      </c>
      <c r="J162" s="9">
        <f>IFERROR(INDEX('Темы × классы'!$S:$S,MATCH(E162,'Темы × классы'!$E:$E,0))&amp;"","")</f>
        <v/>
      </c>
      <c r="K162" s="9" t="inlineStr">
        <is>
          <t>не начат</t>
        </is>
      </c>
      <c r="L162" s="9" t="inlineStr">
        <is>
          <t>Spotlight / 5 класс / Module 2 · That's me! / Plurals (regular) / Plurals (regular): орфография — -f/-fe → -ves</t>
        </is>
      </c>
    </row>
    <row r="163">
      <c r="A163" s="25" t="n">
        <v>5</v>
      </c>
      <c r="B163" s="9" t="inlineStr">
        <is>
          <t>Module 2 · That's me!</t>
        </is>
      </c>
      <c r="C163" s="9" t="inlineStr">
        <is>
          <t>2b</t>
        </is>
      </c>
      <c r="D163" s="9" t="inlineStr">
        <is>
          <t>Plurals (regular)</t>
        </is>
      </c>
      <c r="E163" s="23" t="inlineStr">
        <is>
          <t>Plurals (regular): произношение окончания -(e)s</t>
        </is>
      </c>
      <c r="F163" s="26" t="inlineStr">
        <is>
          <t>новое</t>
        </is>
      </c>
      <c r="G163" s="9" t="inlineStr">
        <is>
          <t>только в оглавлении (Listening &amp; Pronunciation 2b), в справочнике правила нет</t>
        </is>
      </c>
      <c r="H163" s="25" t="inlineStr">
        <is>
          <t>10+</t>
        </is>
      </c>
      <c r="I163" s="9">
        <f>IFERROR(INDEX('Темы × классы'!$R:$R,MATCH(E163,'Темы × классы'!$E:$E,0)),"")</f>
        <v/>
      </c>
      <c r="J163" s="9">
        <f>IFERROR(INDEX('Темы × классы'!$S:$S,MATCH(E163,'Темы × классы'!$E:$E,0))&amp;"","")</f>
        <v/>
      </c>
      <c r="K163" s="9" t="inlineStr">
        <is>
          <t>не начат</t>
        </is>
      </c>
      <c r="L163" s="9" t="inlineStr">
        <is>
          <t>Spotlight / 5 класс / Module 2 · That's me! / Plurals (regular) / Plurals (regular): произношение окончания -(e)s</t>
        </is>
      </c>
    </row>
    <row r="164">
      <c r="A164" s="25" t="n">
        <v>5</v>
      </c>
      <c r="B164" s="9" t="inlineStr">
        <is>
          <t>Module 2 · That's me!</t>
        </is>
      </c>
      <c r="C164" s="9" t="inlineStr">
        <is>
          <t>2b</t>
        </is>
      </c>
      <c r="D164" s="9" t="inlineStr">
        <is>
          <t>Demonstratives (this/that/these/those)</t>
        </is>
      </c>
      <c r="E164" s="23" t="inlineStr">
        <is>
          <t>Demonstratives: this — these (ед. и мн. ч.)</t>
        </is>
      </c>
      <c r="F164" s="25" t="inlineStr">
        <is>
          <t>повторение</t>
        </is>
      </c>
      <c r="G164" s="9" t="inlineStr">
        <is>
          <t>This is a ball. / These are balls.</t>
        </is>
      </c>
      <c r="H164" s="25" t="inlineStr">
        <is>
          <t>10+</t>
        </is>
      </c>
      <c r="I164" s="9">
        <f>IFERROR(INDEX('Темы × классы'!$R:$R,MATCH(E164,'Темы × классы'!$E:$E,0)),"")</f>
        <v/>
      </c>
      <c r="J164" s="9">
        <f>IFERROR(INDEX('Темы × классы'!$S:$S,MATCH(E164,'Темы × классы'!$E:$E,0))&amp;"","")</f>
        <v/>
      </c>
      <c r="K164" s="9" t="inlineStr">
        <is>
          <t>не начат</t>
        </is>
      </c>
      <c r="L164" s="9" t="inlineStr">
        <is>
          <t>Spotlight / 5 класс / Module 2 · That's me! / Demonstratives (this/that/these/those) / Demonstratives: this — these (ед. и мн. ч.)</t>
        </is>
      </c>
    </row>
    <row r="165">
      <c r="A165" s="25" t="n">
        <v>5</v>
      </c>
      <c r="B165" s="9" t="inlineStr">
        <is>
          <t>Module 2 · That's me!</t>
        </is>
      </c>
      <c r="C165" s="9" t="inlineStr">
        <is>
          <t>2b</t>
        </is>
      </c>
      <c r="D165" s="9" t="inlineStr">
        <is>
          <t>Demonstratives (this/that/these/those)</t>
        </is>
      </c>
      <c r="E165" s="23" t="inlineStr">
        <is>
          <t>Demonstratives: that — those (ед. и мн. ч.)</t>
        </is>
      </c>
      <c r="F165" s="25" t="inlineStr">
        <is>
          <t>повторение</t>
        </is>
      </c>
      <c r="G165" s="9" t="inlineStr">
        <is>
          <t>That is a ball. / Those are balls.</t>
        </is>
      </c>
      <c r="H165" s="25" t="inlineStr">
        <is>
          <t>10+</t>
        </is>
      </c>
      <c r="I165" s="9">
        <f>IFERROR(INDEX('Темы × классы'!$R:$R,MATCH(E165,'Темы × классы'!$E:$E,0)),"")</f>
        <v/>
      </c>
      <c r="J165" s="9">
        <f>IFERROR(INDEX('Темы × классы'!$S:$S,MATCH(E165,'Темы × классы'!$E:$E,0))&amp;"","")</f>
        <v/>
      </c>
      <c r="K165" s="9" t="inlineStr">
        <is>
          <t>не начат</t>
        </is>
      </c>
      <c r="L165" s="9" t="inlineStr">
        <is>
          <t>Spotlight / 5 класс / Module 2 · That's me! / Demonstratives (this/that/these/those) / Demonstratives: that — those (ед. и мн. ч.)</t>
        </is>
      </c>
    </row>
    <row r="166">
      <c r="A166" s="25" t="n">
        <v>5</v>
      </c>
      <c r="B166" s="9" t="inlineStr">
        <is>
          <t>Module 2 · That's me!</t>
        </is>
      </c>
      <c r="C166" s="9" t="inlineStr">
        <is>
          <t>2a</t>
        </is>
      </c>
      <c r="D166" s="9" t="inlineStr">
        <is>
          <t>Word formation</t>
        </is>
      </c>
      <c r="E166" s="23" t="inlineStr">
        <is>
          <t>Word formation: nationalities -an/-ish/-ian/-ese</t>
        </is>
      </c>
      <c r="F166" s="26" t="inlineStr">
        <is>
          <t>новое</t>
        </is>
      </c>
      <c r="G166" s="9" t="inlineStr">
        <is>
          <t>Существительные/прилагательные национальности с суффиксами -an, -ish, -ian, -ese (по оглавлению: word formation (-an, -ish, -ian, -ese)).</t>
        </is>
      </c>
      <c r="H166" s="25" t="inlineStr">
        <is>
          <t>10+</t>
        </is>
      </c>
      <c r="I166" s="9">
        <f>IFERROR(INDEX('Темы × классы'!$R:$R,MATCH(E166,'Темы × классы'!$E:$E,0)),"")</f>
        <v/>
      </c>
      <c r="J166" s="9">
        <f>IFERROR(INDEX('Темы × классы'!$S:$S,MATCH(E166,'Темы × классы'!$E:$E,0))&amp;"","")</f>
        <v/>
      </c>
      <c r="K166" s="9" t="inlineStr">
        <is>
          <t>не начат</t>
        </is>
      </c>
      <c r="L166" s="9" t="inlineStr">
        <is>
          <t>Spotlight / 5 класс / Module 2 · That's me! / Word formation / Word formation: nationalities -an/-ish/-ian/-ese</t>
        </is>
      </c>
    </row>
    <row r="167">
      <c r="A167" s="25" t="n">
        <v>5</v>
      </c>
      <c r="B167" s="9" t="inlineStr">
        <is>
          <t>Module 3 · My home, my castle</t>
        </is>
      </c>
      <c r="C167" s="9" t="inlineStr">
        <is>
          <t>3b</t>
        </is>
      </c>
      <c r="D167" s="9" t="inlineStr">
        <is>
          <t>Possessive adjectives</t>
        </is>
      </c>
      <c r="E167" s="23" t="inlineStr">
        <is>
          <t>Possessive adjectives: формы my, your, his, her, its, our, their</t>
        </is>
      </c>
      <c r="F167" s="25" t="inlineStr">
        <is>
          <t>повторение</t>
        </is>
      </c>
      <c r="G167" s="9" t="inlineStr">
        <is>
          <t>its — о неодушевлённом</t>
        </is>
      </c>
      <c r="H167" s="25" t="inlineStr">
        <is>
          <t>10+</t>
        </is>
      </c>
      <c r="I167" s="9">
        <f>IFERROR(INDEX('Темы × классы'!$R:$R,MATCH(E167,'Темы × классы'!$E:$E,0)),"")</f>
        <v/>
      </c>
      <c r="J167" s="9">
        <f>IFERROR(INDEX('Темы × классы'!$S:$S,MATCH(E167,'Темы × классы'!$E:$E,0))&amp;"","")</f>
        <v/>
      </c>
      <c r="K167" s="9" t="inlineStr">
        <is>
          <t>не начат</t>
        </is>
      </c>
      <c r="L167" s="9" t="inlineStr">
        <is>
          <t>Spotlight / 5 класс / Module 3 · My home, my castle / Possessive adjectives / Possessive adjectives: формы my, your, his, her, its, our, their</t>
        </is>
      </c>
    </row>
    <row r="168">
      <c r="A168" s="25" t="n">
        <v>5</v>
      </c>
      <c r="B168" s="9" t="inlineStr">
        <is>
          <t>Module 3 · My home, my castle</t>
        </is>
      </c>
      <c r="C168" s="9" t="inlineStr">
        <is>
          <t>3b</t>
        </is>
      </c>
      <c r="D168" s="9" t="inlineStr">
        <is>
          <t>Possessive adjectives</t>
        </is>
      </c>
      <c r="E168" s="23" t="inlineStr">
        <is>
          <t>Possessive adjectives: значение — принадлежность и отношения между людьми</t>
        </is>
      </c>
      <c r="F168" s="25" t="inlineStr">
        <is>
          <t>повторение</t>
        </is>
      </c>
      <c r="G168" s="9" t="inlineStr">
        <is>
          <t>This is my book / Peter is her father</t>
        </is>
      </c>
      <c r="H168" s="25" t="inlineStr">
        <is>
          <t>10+</t>
        </is>
      </c>
      <c r="I168" s="9">
        <f>IFERROR(INDEX('Темы × классы'!$R:$R,MATCH(E168,'Темы × классы'!$E:$E,0)),"")</f>
        <v/>
      </c>
      <c r="J168" s="9">
        <f>IFERROR(INDEX('Темы × классы'!$S:$S,MATCH(E168,'Темы × классы'!$E:$E,0))&amp;"","")</f>
        <v/>
      </c>
      <c r="K168" s="9" t="inlineStr">
        <is>
          <t>не начат</t>
        </is>
      </c>
      <c r="L168" s="9" t="inlineStr">
        <is>
          <t>Spotlight / 5 класс / Module 3 · My home, my castle / Possessive adjectives / Possessive adjectives: значение — принадлежность и отношения между людьми</t>
        </is>
      </c>
    </row>
    <row r="169">
      <c r="A169" s="25" t="n">
        <v>5</v>
      </c>
      <c r="B169" s="9" t="inlineStr">
        <is>
          <t>Module 3 · My home, my castle</t>
        </is>
      </c>
      <c r="C169" s="9" t="inlineStr">
        <is>
          <t>3b</t>
        </is>
      </c>
      <c r="D169" s="9" t="inlineStr">
        <is>
          <t>Possessive adjectives</t>
        </is>
      </c>
      <c r="E169" s="23" t="inlineStr">
        <is>
          <t>Possessive adjectives: обязательны с частями тела, одеждой, родственниками (vs русский)</t>
        </is>
      </c>
      <c r="F169" s="26" t="inlineStr">
        <is>
          <t>новое</t>
        </is>
      </c>
      <c r="G169" s="9" t="inlineStr">
        <is>
          <t>в английском употребляются чаще, чем в русском</t>
        </is>
      </c>
      <c r="H169" s="25" t="inlineStr">
        <is>
          <t>10+</t>
        </is>
      </c>
      <c r="I169" s="9">
        <f>IFERROR(INDEX('Темы × классы'!$R:$R,MATCH(E169,'Темы × классы'!$E:$E,0)),"")</f>
        <v/>
      </c>
      <c r="J169" s="9">
        <f>IFERROR(INDEX('Темы × классы'!$S:$S,MATCH(E169,'Темы × классы'!$E:$E,0))&amp;"","")</f>
        <v/>
      </c>
      <c r="K169" s="9" t="inlineStr">
        <is>
          <t>не начат</t>
        </is>
      </c>
      <c r="L169" s="9" t="inlineStr">
        <is>
          <t>Spotlight / 5 класс / Module 3 · My home, my castle / Possessive adjectives / Possessive adjectives: обязательны с частями тела, одеждой, родственниками (vs русский)</t>
        </is>
      </c>
    </row>
    <row r="170">
      <c r="A170" s="25" t="n">
        <v>5</v>
      </c>
      <c r="B170" s="9" t="inlineStr">
        <is>
          <t>Module 3 · My home, my castle</t>
        </is>
      </c>
      <c r="C170" s="9" t="inlineStr">
        <is>
          <t>3c</t>
        </is>
      </c>
      <c r="D170" s="9" t="inlineStr">
        <is>
          <t>Prepositions of place</t>
        </is>
      </c>
      <c r="E170" s="23" t="inlineStr">
        <is>
          <t>Prepositions of place: in, on, under</t>
        </is>
      </c>
      <c r="F170" s="25" t="inlineStr">
        <is>
          <t>повторение</t>
        </is>
      </c>
      <c r="G170" s="9" t="inlineStr"/>
      <c r="H170" s="25" t="inlineStr">
        <is>
          <t>10+</t>
        </is>
      </c>
      <c r="I170" s="9">
        <f>IFERROR(INDEX('Темы × классы'!$R:$R,MATCH(E170,'Темы × классы'!$E:$E,0)),"")</f>
        <v/>
      </c>
      <c r="J170" s="9">
        <f>IFERROR(INDEX('Темы × классы'!$S:$S,MATCH(E170,'Темы × классы'!$E:$E,0))&amp;"","")</f>
        <v/>
      </c>
      <c r="K170" s="9" t="inlineStr">
        <is>
          <t>не начат</t>
        </is>
      </c>
      <c r="L170" s="9" t="inlineStr">
        <is>
          <t>Spotlight / 5 класс / Module 3 · My home, my castle / Prepositions of place / Prepositions of place: in, on, under</t>
        </is>
      </c>
    </row>
    <row r="171">
      <c r="A171" s="25" t="n">
        <v>5</v>
      </c>
      <c r="B171" s="9" t="inlineStr">
        <is>
          <t>Module 3 · My home, my castle</t>
        </is>
      </c>
      <c r="C171" s="9" t="inlineStr">
        <is>
          <t>3c</t>
        </is>
      </c>
      <c r="D171" s="9" t="inlineStr">
        <is>
          <t>Prepositions of place</t>
        </is>
      </c>
      <c r="E171" s="23" t="inlineStr">
        <is>
          <t>Prepositions of place: next to, in front of, behind</t>
        </is>
      </c>
      <c r="F171" s="25" t="inlineStr">
        <is>
          <t>повторение</t>
        </is>
      </c>
      <c r="G171" s="9" t="inlineStr"/>
      <c r="H171" s="25" t="inlineStr">
        <is>
          <t>10+</t>
        </is>
      </c>
      <c r="I171" s="9">
        <f>IFERROR(INDEX('Темы × классы'!$R:$R,MATCH(E171,'Темы × классы'!$E:$E,0)),"")</f>
        <v/>
      </c>
      <c r="J171" s="9">
        <f>IFERROR(INDEX('Темы × классы'!$S:$S,MATCH(E171,'Темы × классы'!$E:$E,0))&amp;"","")</f>
        <v/>
      </c>
      <c r="K171" s="9" t="inlineStr">
        <is>
          <t>не начат</t>
        </is>
      </c>
      <c r="L171" s="9" t="inlineStr">
        <is>
          <t>Spotlight / 5 класс / Module 3 · My home, my castle / Prepositions of place / Prepositions of place: next to, in front of, behind</t>
        </is>
      </c>
    </row>
    <row r="172">
      <c r="A172" s="25" t="n">
        <v>5</v>
      </c>
      <c r="B172" s="9" t="inlineStr">
        <is>
          <t>Module 3 · My home, my castle</t>
        </is>
      </c>
      <c r="C172" s="9" t="inlineStr">
        <is>
          <t>3c</t>
        </is>
      </c>
      <c r="D172" s="9" t="inlineStr">
        <is>
          <t>Prepositions of place</t>
        </is>
      </c>
      <c r="E172" s="23" t="inlineStr">
        <is>
          <t>Prepositions of place: at — at school/work/home, в адресах</t>
        </is>
      </c>
      <c r="F172" s="26" t="inlineStr">
        <is>
          <t>новое</t>
        </is>
      </c>
      <c r="G172" s="9" t="inlineStr">
        <is>
          <t>at 20, Oxford Street</t>
        </is>
      </c>
      <c r="H172" s="25" t="inlineStr">
        <is>
          <t>10+</t>
        </is>
      </c>
      <c r="I172" s="9">
        <f>IFERROR(INDEX('Темы × классы'!$R:$R,MATCH(E172,'Темы × классы'!$E:$E,0)),"")</f>
        <v/>
      </c>
      <c r="J172" s="9">
        <f>IFERROR(INDEX('Темы × классы'!$S:$S,MATCH(E172,'Темы × классы'!$E:$E,0))&amp;"","")</f>
        <v/>
      </c>
      <c r="K172" s="9" t="inlineStr">
        <is>
          <t>не начат</t>
        </is>
      </c>
      <c r="L172" s="9" t="inlineStr">
        <is>
          <t>Spotlight / 5 класс / Module 3 · My home, my castle / Prepositions of place / Prepositions of place: at — at school/work/home, в адресах</t>
        </is>
      </c>
    </row>
    <row r="173">
      <c r="A173" s="25" t="n">
        <v>5</v>
      </c>
      <c r="B173" s="9" t="inlineStr">
        <is>
          <t>Module 3 · My home, my castle</t>
        </is>
      </c>
      <c r="C173" s="9" t="inlineStr">
        <is>
          <t>3c</t>
        </is>
      </c>
      <c r="D173" s="9" t="inlineStr">
        <is>
          <t>Prepositions of place</t>
        </is>
      </c>
      <c r="E173" s="23" t="inlineStr">
        <is>
          <t>Prepositions of place: in — устойчивые выражения (in bed, in hospital, in the sky, in a picture)</t>
        </is>
      </c>
      <c r="F173" s="26" t="inlineStr">
        <is>
          <t>новое</t>
        </is>
      </c>
      <c r="G173" s="9" t="inlineStr">
        <is>
          <t>in the middle, in the air, in prison, in a newspaper</t>
        </is>
      </c>
      <c r="H173" s="25" t="inlineStr">
        <is>
          <t>10+</t>
        </is>
      </c>
      <c r="I173" s="9">
        <f>IFERROR(INDEX('Темы × классы'!$R:$R,MATCH(E173,'Темы × классы'!$E:$E,0)),"")</f>
        <v/>
      </c>
      <c r="J173" s="9">
        <f>IFERROR(INDEX('Темы × классы'!$S:$S,MATCH(E173,'Темы × классы'!$E:$E,0))&amp;"","")</f>
        <v/>
      </c>
      <c r="K173" s="9" t="inlineStr">
        <is>
          <t>не начат</t>
        </is>
      </c>
      <c r="L173" s="9" t="inlineStr">
        <is>
          <t>Spotlight / 5 класс / Module 3 · My home, my castle / Prepositions of place / Prepositions of place: in — устойчивые выражения (in bed, in hospital, in the sky, in a picture)</t>
        </is>
      </c>
    </row>
    <row r="174">
      <c r="A174" s="25" t="n">
        <v>5</v>
      </c>
      <c r="B174" s="9" t="inlineStr">
        <is>
          <t>Module 3 · My home, my castle</t>
        </is>
      </c>
      <c r="C174" s="9" t="inlineStr">
        <is>
          <t>3c</t>
        </is>
      </c>
      <c r="D174" s="9" t="inlineStr">
        <is>
          <t>Prepositions of place</t>
        </is>
      </c>
      <c r="E174" s="23" t="inlineStr">
        <is>
          <t>Prepositions of place: in — города, страны, континенты</t>
        </is>
      </c>
      <c r="F174" s="26" t="inlineStr">
        <is>
          <t>новое</t>
        </is>
      </c>
      <c r="G174" s="9" t="inlineStr">
        <is>
          <t>in Athens, in England, in Europe</t>
        </is>
      </c>
      <c r="H174" s="25" t="inlineStr">
        <is>
          <t>10+</t>
        </is>
      </c>
      <c r="I174" s="9">
        <f>IFERROR(INDEX('Темы × классы'!$R:$R,MATCH(E174,'Темы × классы'!$E:$E,0)),"")</f>
        <v/>
      </c>
      <c r="J174" s="9">
        <f>IFERROR(INDEX('Темы × классы'!$S:$S,MATCH(E174,'Темы × классы'!$E:$E,0))&amp;"","")</f>
        <v/>
      </c>
      <c r="K174" s="9" t="inlineStr">
        <is>
          <t>не начат</t>
        </is>
      </c>
      <c r="L174" s="9" t="inlineStr">
        <is>
          <t>Spotlight / 5 класс / Module 3 · My home, my castle / Prepositions of place / Prepositions of place: in — города, страны, континенты</t>
        </is>
      </c>
    </row>
    <row r="175">
      <c r="A175" s="25" t="n">
        <v>5</v>
      </c>
      <c r="B175" s="9" t="inlineStr">
        <is>
          <t>Module 3 · My home, my castle</t>
        </is>
      </c>
      <c r="C175" s="9" t="inlineStr">
        <is>
          <t>3c</t>
        </is>
      </c>
      <c r="D175" s="9" t="inlineStr">
        <is>
          <t>Prepositions of place</t>
        </is>
      </c>
      <c r="E175" s="23" t="inlineStr">
        <is>
          <t>Prepositions of place: on — on the left/right, on the first floor</t>
        </is>
      </c>
      <c r="F175" s="26" t="inlineStr">
        <is>
          <t>новое</t>
        </is>
      </c>
      <c r="G175" s="9" t="inlineStr"/>
      <c r="H175" s="25" t="inlineStr">
        <is>
          <t>10+</t>
        </is>
      </c>
      <c r="I175" s="9">
        <f>IFERROR(INDEX('Темы × классы'!$R:$R,MATCH(E175,'Темы × классы'!$E:$E,0)),"")</f>
        <v/>
      </c>
      <c r="J175" s="9">
        <f>IFERROR(INDEX('Темы × классы'!$S:$S,MATCH(E175,'Темы × классы'!$E:$E,0))&amp;"","")</f>
        <v/>
      </c>
      <c r="K175" s="9" t="inlineStr">
        <is>
          <t>не начат</t>
        </is>
      </c>
      <c r="L175" s="9" t="inlineStr">
        <is>
          <t>Spotlight / 5 класс / Module 3 · My home, my castle / Prepositions of place / Prepositions of place: on — on the left/right, on the first floor</t>
        </is>
      </c>
    </row>
    <row r="176">
      <c r="A176" s="25" t="n">
        <v>5</v>
      </c>
      <c r="B176" s="9" t="inlineStr">
        <is>
          <t>Module 3 · My home, my castle</t>
        </is>
      </c>
      <c r="C176" s="9" t="inlineStr">
        <is>
          <t>3b</t>
        </is>
      </c>
      <c r="D176" s="9" t="inlineStr">
        <is>
          <t>There is / There are</t>
        </is>
      </c>
      <c r="E176" s="23" t="inlineStr">
        <is>
          <t>There is / There are: there is — утверждение (ед. ч.)</t>
        </is>
      </c>
      <c r="F176" s="25" t="inlineStr">
        <is>
          <t>повторение</t>
        </is>
      </c>
      <c r="G176" s="9" t="inlineStr">
        <is>
          <t>перевод начинается с обстоятельства места</t>
        </is>
      </c>
      <c r="H176" s="25" t="inlineStr">
        <is>
          <t>10+</t>
        </is>
      </c>
      <c r="I176" s="9">
        <f>IFERROR(INDEX('Темы × классы'!$R:$R,MATCH(E176,'Темы × классы'!$E:$E,0)),"")</f>
        <v/>
      </c>
      <c r="J176" s="9">
        <f>IFERROR(INDEX('Темы × классы'!$S:$S,MATCH(E176,'Темы × классы'!$E:$E,0))&amp;"","")</f>
        <v/>
      </c>
      <c r="K176" s="9" t="inlineStr">
        <is>
          <t>не начат</t>
        </is>
      </c>
      <c r="L176" s="9" t="inlineStr">
        <is>
          <t>Spotlight / 5 класс / Module 3 · My home, my castle / There is / There are / There is / There are: there is — утверждение (ед. ч.)</t>
        </is>
      </c>
    </row>
    <row r="177">
      <c r="A177" s="25" t="n">
        <v>5</v>
      </c>
      <c r="B177" s="9" t="inlineStr">
        <is>
          <t>Module 3 · My home, my castle</t>
        </is>
      </c>
      <c r="C177" s="9" t="inlineStr">
        <is>
          <t>3b</t>
        </is>
      </c>
      <c r="D177" s="9" t="inlineStr">
        <is>
          <t>There is / There are</t>
        </is>
      </c>
      <c r="E177" s="23" t="inlineStr">
        <is>
          <t>There is / There are: there are — утверждение (мн. ч.)</t>
        </is>
      </c>
      <c r="F177" s="25" t="inlineStr">
        <is>
          <t>повторение</t>
        </is>
      </c>
      <c r="G177" s="9" t="inlineStr"/>
      <c r="H177" s="25" t="inlineStr">
        <is>
          <t>10+</t>
        </is>
      </c>
      <c r="I177" s="9">
        <f>IFERROR(INDEX('Темы × классы'!$R:$R,MATCH(E177,'Темы × классы'!$E:$E,0)),"")</f>
        <v/>
      </c>
      <c r="J177" s="9">
        <f>IFERROR(INDEX('Темы × классы'!$S:$S,MATCH(E177,'Темы × классы'!$E:$E,0))&amp;"","")</f>
        <v/>
      </c>
      <c r="K177" s="9" t="inlineStr">
        <is>
          <t>не начат</t>
        </is>
      </c>
      <c r="L177" s="9" t="inlineStr">
        <is>
          <t>Spotlight / 5 класс / Module 3 · My home, my castle / There is / There are / There is / There are: there are — утверждение (мн. ч.)</t>
        </is>
      </c>
    </row>
    <row r="178">
      <c r="A178" s="25" t="n">
        <v>5</v>
      </c>
      <c r="B178" s="9" t="inlineStr">
        <is>
          <t>Module 3 · My home, my castle</t>
        </is>
      </c>
      <c r="C178" s="9" t="inlineStr">
        <is>
          <t>3b</t>
        </is>
      </c>
      <c r="D178" s="9" t="inlineStr">
        <is>
          <t>There is / There are</t>
        </is>
      </c>
      <c r="E178" s="23" t="inlineStr">
        <is>
          <t>There is / There are: отрицание — there isn't / there aren't</t>
        </is>
      </c>
      <c r="F178" s="25" t="inlineStr">
        <is>
          <t>повторение</t>
        </is>
      </c>
      <c r="G178" s="9" t="inlineStr"/>
      <c r="H178" s="25" t="inlineStr">
        <is>
          <t>10+</t>
        </is>
      </c>
      <c r="I178" s="9">
        <f>IFERROR(INDEX('Темы × классы'!$R:$R,MATCH(E178,'Темы × классы'!$E:$E,0)),"")</f>
        <v/>
      </c>
      <c r="J178" s="9">
        <f>IFERROR(INDEX('Темы × классы'!$S:$S,MATCH(E178,'Темы × классы'!$E:$E,0))&amp;"","")</f>
        <v/>
      </c>
      <c r="K178" s="9" t="inlineStr">
        <is>
          <t>не начат</t>
        </is>
      </c>
      <c r="L178" s="9" t="inlineStr">
        <is>
          <t>Spotlight / 5 класс / Module 3 · My home, my castle / There is / There are / There is / There are: отрицание — there isn't / there aren't</t>
        </is>
      </c>
    </row>
    <row r="179">
      <c r="A179" s="25" t="n">
        <v>5</v>
      </c>
      <c r="B179" s="9" t="inlineStr">
        <is>
          <t>Module 3 · My home, my castle</t>
        </is>
      </c>
      <c r="C179" s="9" t="inlineStr">
        <is>
          <t>3b</t>
        </is>
      </c>
      <c r="D179" s="9" t="inlineStr">
        <is>
          <t>There is / There are</t>
        </is>
      </c>
      <c r="E179" s="23" t="inlineStr">
        <is>
          <t>There is / There are: вопросы — Is there…? / Are there…?</t>
        </is>
      </c>
      <c r="F179" s="25" t="inlineStr">
        <is>
          <t>повторение</t>
        </is>
      </c>
      <c r="G179" s="9" t="inlineStr">
        <is>
          <t>кратких ответов нет</t>
        </is>
      </c>
      <c r="H179" s="25" t="inlineStr">
        <is>
          <t>10+</t>
        </is>
      </c>
      <c r="I179" s="9">
        <f>IFERROR(INDEX('Темы × классы'!$R:$R,MATCH(E179,'Темы × классы'!$E:$E,0)),"")</f>
        <v/>
      </c>
      <c r="J179" s="9">
        <f>IFERROR(INDEX('Темы × классы'!$S:$S,MATCH(E179,'Темы × классы'!$E:$E,0))&amp;"","")</f>
        <v/>
      </c>
      <c r="K179" s="9" t="inlineStr">
        <is>
          <t>не начат</t>
        </is>
      </c>
      <c r="L179" s="9" t="inlineStr">
        <is>
          <t>Spotlight / 5 класс / Module 3 · My home, my castle / There is / There are / There is / There are: вопросы — Is there…? / Are there…?</t>
        </is>
      </c>
    </row>
    <row r="180">
      <c r="A180" s="25" t="n">
        <v>5</v>
      </c>
      <c r="B180" s="9" t="inlineStr">
        <is>
          <t>Module 3 · My home, my castle</t>
        </is>
      </c>
      <c r="C180" s="9" t="inlineStr">
        <is>
          <t>3b</t>
        </is>
      </c>
      <c r="D180" s="9" t="inlineStr">
        <is>
          <t>There is / There are</t>
        </is>
      </c>
      <c r="E180" s="23" t="inlineStr">
        <is>
          <t>There is / There are: some / any в конструкции</t>
        </is>
      </c>
      <c r="F180" s="26" t="inlineStr">
        <is>
          <t>новое</t>
        </is>
      </c>
      <c r="G180" s="9" t="inlineStr">
        <is>
          <t>There are some chairs / There aren't any / Are there any…?</t>
        </is>
      </c>
      <c r="H180" s="25" t="inlineStr">
        <is>
          <t>10+</t>
        </is>
      </c>
      <c r="I180" s="9">
        <f>IFERROR(INDEX('Темы × классы'!$R:$R,MATCH(E180,'Темы × классы'!$E:$E,0)),"")</f>
        <v/>
      </c>
      <c r="J180" s="9">
        <f>IFERROR(INDEX('Темы × классы'!$S:$S,MATCH(E180,'Темы × классы'!$E:$E,0))&amp;"","")</f>
        <v/>
      </c>
      <c r="K180" s="9" t="inlineStr">
        <is>
          <t>не начат</t>
        </is>
      </c>
      <c r="L180" s="9" t="inlineStr">
        <is>
          <t>Spotlight / 5 класс / Module 3 · My home, my castle / There is / There are / There is / There are: some / any в конструкции</t>
        </is>
      </c>
    </row>
    <row r="181">
      <c r="A181" s="25" t="n">
        <v>5</v>
      </c>
      <c r="B181" s="9" t="inlineStr">
        <is>
          <t>Module 3 · My home, my castle</t>
        </is>
      </c>
      <c r="C181" s="9" t="inlineStr">
        <is>
          <t>3b</t>
        </is>
      </c>
      <c r="D181" s="9" t="inlineStr">
        <is>
          <t>Word formation</t>
        </is>
      </c>
      <c r="E181" s="23" t="inlineStr">
        <is>
          <t>Word formation: compound nouns</t>
        </is>
      </c>
      <c r="F181" s="26" t="inlineStr">
        <is>
          <t>новое</t>
        </is>
      </c>
      <c r="G181" s="9" t="inlineStr">
        <is>
          <t>Сложные существительные (compound nouns).</t>
        </is>
      </c>
      <c r="H181" s="25" t="inlineStr">
        <is>
          <t>10+</t>
        </is>
      </c>
      <c r="I181" s="9">
        <f>IFERROR(INDEX('Темы × классы'!$R:$R,MATCH(E181,'Темы × классы'!$E:$E,0)),"")</f>
        <v/>
      </c>
      <c r="J181" s="9">
        <f>IFERROR(INDEX('Темы × классы'!$S:$S,MATCH(E181,'Темы × классы'!$E:$E,0))&amp;"","")</f>
        <v/>
      </c>
      <c r="K181" s="9" t="inlineStr">
        <is>
          <t>не начат</t>
        </is>
      </c>
      <c r="L181" s="9" t="inlineStr">
        <is>
          <t>Spotlight / 5 класс / Module 3 · My home, my castle / Word formation / Word formation: compound nouns</t>
        </is>
      </c>
    </row>
    <row r="182">
      <c r="A182" s="25" t="n">
        <v>5</v>
      </c>
      <c r="B182" s="9" t="inlineStr">
        <is>
          <t>Module 4 · Family ties</t>
        </is>
      </c>
      <c r="C182" s="9" t="inlineStr">
        <is>
          <t>4a</t>
        </is>
      </c>
      <c r="D182" s="9" t="inlineStr">
        <is>
          <t>can (ability)</t>
        </is>
      </c>
      <c r="E182" s="23" t="inlineStr">
        <is>
          <t>can (ability): значение — умение; утверждение can + глагол без to</t>
        </is>
      </c>
      <c r="F182" s="27" t="inlineStr">
        <is>
          <t>расширение</t>
        </is>
      </c>
      <c r="G182" s="9" t="inlineStr">
        <is>
          <t>can не меняется по лицам; после него глагол без to</t>
        </is>
      </c>
      <c r="H182" s="25" t="inlineStr">
        <is>
          <t>10+</t>
        </is>
      </c>
      <c r="I182" s="9">
        <f>IFERROR(INDEX('Темы × классы'!$R:$R,MATCH(E182,'Темы × классы'!$E:$E,0)),"")</f>
        <v/>
      </c>
      <c r="J182" s="9">
        <f>IFERROR(INDEX('Темы × классы'!$S:$S,MATCH(E182,'Темы × классы'!$E:$E,0))&amp;"","")</f>
        <v/>
      </c>
      <c r="K182" s="9" t="inlineStr">
        <is>
          <t>не начат</t>
        </is>
      </c>
      <c r="L182" s="9" t="inlineStr">
        <is>
          <t>Spotlight / 5 класс / Module 4 · Family ties / can (ability) / can (ability): значение — умение; утверждение can + глагол без to</t>
        </is>
      </c>
    </row>
    <row r="183">
      <c r="A183" s="25" t="n">
        <v>5</v>
      </c>
      <c r="B183" s="9" t="inlineStr">
        <is>
          <t>Module 4 · Family ties</t>
        </is>
      </c>
      <c r="C183" s="9" t="inlineStr">
        <is>
          <t>4a</t>
        </is>
      </c>
      <c r="D183" s="9" t="inlineStr">
        <is>
          <t>can (ability)</t>
        </is>
      </c>
      <c r="E183" s="23" t="inlineStr">
        <is>
          <t>can (ability): отрицание — cannot / can't</t>
        </is>
      </c>
      <c r="F183" s="25" t="inlineStr">
        <is>
          <t>повторение</t>
        </is>
      </c>
      <c r="G183" s="9" t="inlineStr"/>
      <c r="H183" s="25" t="inlineStr">
        <is>
          <t>10+</t>
        </is>
      </c>
      <c r="I183" s="9">
        <f>IFERROR(INDEX('Темы × классы'!$R:$R,MATCH(E183,'Темы × классы'!$E:$E,0)),"")</f>
        <v/>
      </c>
      <c r="J183" s="9">
        <f>IFERROR(INDEX('Темы × классы'!$S:$S,MATCH(E183,'Темы × классы'!$E:$E,0))&amp;"","")</f>
        <v/>
      </c>
      <c r="K183" s="9" t="inlineStr">
        <is>
          <t>не начат</t>
        </is>
      </c>
      <c r="L183" s="9" t="inlineStr">
        <is>
          <t>Spotlight / 5 класс / Module 4 · Family ties / can (ability) / can (ability): отрицание — cannot / can't</t>
        </is>
      </c>
    </row>
    <row r="184">
      <c r="A184" s="25" t="n">
        <v>5</v>
      </c>
      <c r="B184" s="9" t="inlineStr">
        <is>
          <t>Module 4 · Family ties</t>
        </is>
      </c>
      <c r="C184" s="9" t="inlineStr">
        <is>
          <t>4a</t>
        </is>
      </c>
      <c r="D184" s="9" t="inlineStr">
        <is>
          <t>can (ability)</t>
        </is>
      </c>
      <c r="E184" s="23" t="inlineStr">
        <is>
          <t>can (ability): вопросы и краткие ответы</t>
        </is>
      </c>
      <c r="F184" s="25" t="inlineStr">
        <is>
          <t>повторение</t>
        </is>
      </c>
      <c r="G184" s="9" t="inlineStr"/>
      <c r="H184" s="25" t="inlineStr">
        <is>
          <t>10+</t>
        </is>
      </c>
      <c r="I184" s="9">
        <f>IFERROR(INDEX('Темы × классы'!$R:$R,MATCH(E184,'Темы × классы'!$E:$E,0)),"")</f>
        <v/>
      </c>
      <c r="J184" s="9">
        <f>IFERROR(INDEX('Темы × классы'!$S:$S,MATCH(E184,'Темы × классы'!$E:$E,0))&amp;"","")</f>
        <v/>
      </c>
      <c r="K184" s="9" t="inlineStr">
        <is>
          <t>не начат</t>
        </is>
      </c>
      <c r="L184" s="9" t="inlineStr">
        <is>
          <t>Spotlight / 5 класс / Module 4 · Family ties / can (ability) / can (ability): вопросы и краткие ответы</t>
        </is>
      </c>
    </row>
    <row r="185">
      <c r="A185" s="25" t="n">
        <v>5</v>
      </c>
      <c r="B185" s="9" t="inlineStr">
        <is>
          <t>Module 4 · Family ties</t>
        </is>
      </c>
      <c r="C185" s="9" t="inlineStr">
        <is>
          <t>4b</t>
        </is>
      </c>
      <c r="D185" s="9" t="inlineStr">
        <is>
          <t>Possessive case ('s)</t>
        </is>
      </c>
      <c r="E185" s="23" t="inlineStr">
        <is>
          <t>Possessive case ('s): 's в ед. ч. — принадлежность</t>
        </is>
      </c>
      <c r="F185" s="25" t="inlineStr">
        <is>
          <t>повторение</t>
        </is>
      </c>
      <c r="G185" s="9" t="inlineStr">
        <is>
          <t>Jim's room, the girl's guitar; 's — для одушевлённых</t>
        </is>
      </c>
      <c r="H185" s="25" t="inlineStr">
        <is>
          <t>10+</t>
        </is>
      </c>
      <c r="I185" s="9">
        <f>IFERROR(INDEX('Темы × классы'!$R:$R,MATCH(E185,'Темы × классы'!$E:$E,0)),"")</f>
        <v/>
      </c>
      <c r="J185" s="9">
        <f>IFERROR(INDEX('Темы × классы'!$S:$S,MATCH(E185,'Темы × классы'!$E:$E,0))&amp;"","")</f>
        <v/>
      </c>
      <c r="K185" s="9" t="inlineStr">
        <is>
          <t>не начат</t>
        </is>
      </c>
      <c r="L185" s="9" t="inlineStr">
        <is>
          <t>Spotlight / 5 класс / Module 4 · Family ties / Possessive case ('s) / Possessive case ('s): 's в ед. ч. — принадлежность</t>
        </is>
      </c>
    </row>
    <row r="186">
      <c r="A186" s="25" t="n">
        <v>5</v>
      </c>
      <c r="B186" s="9" t="inlineStr">
        <is>
          <t>Module 4 · Family ties</t>
        </is>
      </c>
      <c r="C186" s="9" t="inlineStr">
        <is>
          <t>4b</t>
        </is>
      </c>
      <c r="D186" s="9" t="inlineStr">
        <is>
          <t>Possessive case ('s)</t>
        </is>
      </c>
      <c r="E186" s="23" t="inlineStr">
        <is>
          <t>Possessive case ('s): вопрос Whose?</t>
        </is>
      </c>
      <c r="F186" s="25" t="inlineStr">
        <is>
          <t>повторение</t>
        </is>
      </c>
      <c r="G186" s="9" t="inlineStr">
        <is>
          <t>Whose is the guitar? It's Peter's.</t>
        </is>
      </c>
      <c r="H186" s="25" t="inlineStr">
        <is>
          <t>10+</t>
        </is>
      </c>
      <c r="I186" s="9">
        <f>IFERROR(INDEX('Темы × классы'!$R:$R,MATCH(E186,'Темы × классы'!$E:$E,0)),"")</f>
        <v/>
      </c>
      <c r="J186" s="9">
        <f>IFERROR(INDEX('Темы × классы'!$S:$S,MATCH(E186,'Темы × классы'!$E:$E,0))&amp;"","")</f>
        <v/>
      </c>
      <c r="K186" s="9" t="inlineStr">
        <is>
          <t>не начат</t>
        </is>
      </c>
      <c r="L186" s="9" t="inlineStr">
        <is>
          <t>Spotlight / 5 класс / Module 4 · Family ties / Possessive case ('s) / Possessive case ('s): вопрос Whose?</t>
        </is>
      </c>
    </row>
    <row r="187">
      <c r="A187" s="25" t="n">
        <v>5</v>
      </c>
      <c r="B187" s="9" t="inlineStr">
        <is>
          <t>Module 4 · Family ties</t>
        </is>
      </c>
      <c r="C187" s="9" t="inlineStr">
        <is>
          <t>4b</t>
        </is>
      </c>
      <c r="D187" s="9" t="inlineStr">
        <is>
          <t>Possessive case ('s)</t>
        </is>
      </c>
      <c r="E187" s="23" t="inlineStr">
        <is>
          <t>Possessive case ('s): значение — отношения между людьми</t>
        </is>
      </c>
      <c r="F187" s="26" t="inlineStr">
        <is>
          <t>новое</t>
        </is>
      </c>
      <c r="G187" s="9" t="inlineStr">
        <is>
          <t>Linda's sister</t>
        </is>
      </c>
      <c r="H187" s="25" t="inlineStr">
        <is>
          <t>10+</t>
        </is>
      </c>
      <c r="I187" s="9">
        <f>IFERROR(INDEX('Темы × классы'!$R:$R,MATCH(E187,'Темы × классы'!$E:$E,0)),"")</f>
        <v/>
      </c>
      <c r="J187" s="9">
        <f>IFERROR(INDEX('Темы × классы'!$S:$S,MATCH(E187,'Темы × классы'!$E:$E,0))&amp;"","")</f>
        <v/>
      </c>
      <c r="K187" s="9" t="inlineStr">
        <is>
          <t>не начат</t>
        </is>
      </c>
      <c r="L187" s="9" t="inlineStr">
        <is>
          <t>Spotlight / 5 класс / Module 4 · Family ties / Possessive case ('s) / Possessive case ('s): значение — отношения между людьми</t>
        </is>
      </c>
    </row>
    <row r="188">
      <c r="A188" s="25" t="n">
        <v>5</v>
      </c>
      <c r="B188" s="9" t="inlineStr">
        <is>
          <t>Module 4 · Family ties</t>
        </is>
      </c>
      <c r="C188" s="9" t="inlineStr">
        <is>
          <t>4b</t>
        </is>
      </c>
      <c r="D188" s="9" t="inlineStr">
        <is>
          <t>Possessive case ('s)</t>
        </is>
      </c>
      <c r="E188" s="23" t="inlineStr">
        <is>
          <t>Possessive case ('s): магазины, учреждения, чей-то дом (at the baker's)</t>
        </is>
      </c>
      <c r="F188" s="26" t="inlineStr">
        <is>
          <t>новое</t>
        </is>
      </c>
      <c r="G188" s="9" t="inlineStr">
        <is>
          <t>at the chemist's</t>
        </is>
      </c>
      <c r="H188" s="25" t="inlineStr">
        <is>
          <t>10+</t>
        </is>
      </c>
      <c r="I188" s="9">
        <f>IFERROR(INDEX('Темы × классы'!$R:$R,MATCH(E188,'Темы × классы'!$E:$E,0)),"")</f>
        <v/>
      </c>
      <c r="J188" s="9">
        <f>IFERROR(INDEX('Темы × классы'!$S:$S,MATCH(E188,'Темы × классы'!$E:$E,0))&amp;"","")</f>
        <v/>
      </c>
      <c r="K188" s="9" t="inlineStr">
        <is>
          <t>не начат</t>
        </is>
      </c>
      <c r="L188" s="9" t="inlineStr">
        <is>
          <t>Spotlight / 5 класс / Module 4 · Family ties / Possessive case ('s) / Possessive case ('s): магазины, учреждения, чей-то дом (at the baker's)</t>
        </is>
      </c>
    </row>
    <row r="189">
      <c r="A189" s="25" t="n">
        <v>5</v>
      </c>
      <c r="B189" s="9" t="inlineStr">
        <is>
          <t>Module 4 · Family ties</t>
        </is>
      </c>
      <c r="C189" s="9" t="inlineStr">
        <is>
          <t>4b</t>
        </is>
      </c>
      <c r="D189" s="9" t="inlineStr">
        <is>
          <t>Possessive case ('s)</t>
        </is>
      </c>
      <c r="E189" s="23" t="inlineStr">
        <is>
          <t>Possessive case ('s): имена на -s — 's или только апостроф</t>
        </is>
      </c>
      <c r="F189" s="26" t="inlineStr">
        <is>
          <t>новое</t>
        </is>
      </c>
      <c r="G189" s="9" t="inlineStr">
        <is>
          <t>Doris's / Doris' dress</t>
        </is>
      </c>
      <c r="H189" s="25" t="inlineStr">
        <is>
          <t>10+</t>
        </is>
      </c>
      <c r="I189" s="9">
        <f>IFERROR(INDEX('Темы × классы'!$R:$R,MATCH(E189,'Темы × классы'!$E:$E,0)),"")</f>
        <v/>
      </c>
      <c r="J189" s="9">
        <f>IFERROR(INDEX('Темы × классы'!$S:$S,MATCH(E189,'Темы × классы'!$E:$E,0))&amp;"","")</f>
        <v/>
      </c>
      <c r="K189" s="9" t="inlineStr">
        <is>
          <t>не начат</t>
        </is>
      </c>
      <c r="L189" s="9" t="inlineStr">
        <is>
          <t>Spotlight / 5 класс / Module 4 · Family ties / Possessive case ('s) / Possessive case ('s): имена на -s — 's или только апостроф</t>
        </is>
      </c>
    </row>
    <row r="190">
      <c r="A190" s="25" t="n">
        <v>5</v>
      </c>
      <c r="B190" s="9" t="inlineStr">
        <is>
          <t>Module 4 · Family ties</t>
        </is>
      </c>
      <c r="C190" s="9" t="inlineStr">
        <is>
          <t>4b</t>
        </is>
      </c>
      <c r="D190" s="9" t="inlineStr">
        <is>
          <t>Possessive case ('s)</t>
        </is>
      </c>
      <c r="E190" s="23" t="inlineStr">
        <is>
          <t>Possessive case ('s): мн. ч. — s' (the boys') и исключения 's (the children's)</t>
        </is>
      </c>
      <c r="F190" s="26" t="inlineStr">
        <is>
          <t>новое</t>
        </is>
      </c>
      <c r="G190" s="9" t="inlineStr">
        <is>
          <t>the boys' toys, the women's dresses</t>
        </is>
      </c>
      <c r="H190" s="25" t="inlineStr">
        <is>
          <t>10+</t>
        </is>
      </c>
      <c r="I190" s="9">
        <f>IFERROR(INDEX('Темы × классы'!$R:$R,MATCH(E190,'Темы × классы'!$E:$E,0)),"")</f>
        <v/>
      </c>
      <c r="J190" s="9">
        <f>IFERROR(INDEX('Темы × классы'!$S:$S,MATCH(E190,'Темы × классы'!$E:$E,0))&amp;"","")</f>
        <v/>
      </c>
      <c r="K190" s="9" t="inlineStr">
        <is>
          <t>не начат</t>
        </is>
      </c>
      <c r="L190" s="9" t="inlineStr">
        <is>
          <t>Spotlight / 5 класс / Module 4 · Family ties / Possessive case ('s) / Possessive case ('s): мн. ч. — s' (the boys') и исключения 's (the children's)</t>
        </is>
      </c>
    </row>
    <row r="191">
      <c r="A191" s="25" t="n">
        <v>5</v>
      </c>
      <c r="B191" s="9" t="inlineStr">
        <is>
          <t>Module 4 · Family ties</t>
        </is>
      </c>
      <c r="C191" s="9" t="inlineStr">
        <is>
          <t>4b</t>
        </is>
      </c>
      <c r="D191" s="9" t="inlineStr">
        <is>
          <t>Possessive case ('s)</t>
        </is>
      </c>
      <c r="E191" s="23" t="inlineStr">
        <is>
          <t>Possessive case ('s): of для неодушевлённых (the windows of the house)</t>
        </is>
      </c>
      <c r="F191" s="26" t="inlineStr">
        <is>
          <t>новое</t>
        </is>
      </c>
      <c r="G191" s="9" t="inlineStr"/>
      <c r="H191" s="25" t="inlineStr">
        <is>
          <t>10+</t>
        </is>
      </c>
      <c r="I191" s="9">
        <f>IFERROR(INDEX('Темы × классы'!$R:$R,MATCH(E191,'Темы × классы'!$E:$E,0)),"")</f>
        <v/>
      </c>
      <c r="J191" s="9">
        <f>IFERROR(INDEX('Темы × классы'!$S:$S,MATCH(E191,'Темы × классы'!$E:$E,0))&amp;"","")</f>
        <v/>
      </c>
      <c r="K191" s="9" t="inlineStr">
        <is>
          <t>не начат</t>
        </is>
      </c>
      <c r="L191" s="9" t="inlineStr">
        <is>
          <t>Spotlight / 5 класс / Module 4 · Family ties / Possessive case ('s) / Possessive case ('s): of для неодушевлённых (the windows of the house)</t>
        </is>
      </c>
    </row>
    <row r="192">
      <c r="A192" s="25" t="n">
        <v>5</v>
      </c>
      <c r="B192" s="9" t="inlineStr">
        <is>
          <t>Module 4 · Family ties</t>
        </is>
      </c>
      <c r="C192" s="9" t="inlineStr">
        <is>
          <t>4a</t>
        </is>
      </c>
      <c r="D192" s="9" t="inlineStr">
        <is>
          <t>Object pronouns</t>
        </is>
      </c>
      <c r="E192" s="23" t="inlineStr">
        <is>
          <t>Object pronouns: формы me, you, him, her, it, us, them</t>
        </is>
      </c>
      <c r="F192" s="26" t="inlineStr">
        <is>
          <t>новое</t>
        </is>
      </c>
      <c r="G192" s="9" t="inlineStr"/>
      <c r="H192" s="25" t="inlineStr">
        <is>
          <t>10+</t>
        </is>
      </c>
      <c r="I192" s="9">
        <f>IFERROR(INDEX('Темы × классы'!$R:$R,MATCH(E192,'Темы × классы'!$E:$E,0)),"")</f>
        <v/>
      </c>
      <c r="J192" s="9">
        <f>IFERROR(INDEX('Темы × классы'!$S:$S,MATCH(E192,'Темы × классы'!$E:$E,0))&amp;"","")</f>
        <v/>
      </c>
      <c r="K192" s="9" t="inlineStr">
        <is>
          <t>не начат</t>
        </is>
      </c>
      <c r="L192" s="9" t="inlineStr">
        <is>
          <t>Spotlight / 5 класс / Module 4 · Family ties / Object pronouns / Object pronouns: формы me, you, him, her, it, us, them</t>
        </is>
      </c>
    </row>
    <row r="193">
      <c r="A193" s="25" t="n">
        <v>5</v>
      </c>
      <c r="B193" s="9" t="inlineStr">
        <is>
          <t>Module 4 · Family ties</t>
        </is>
      </c>
      <c r="C193" s="9" t="inlineStr">
        <is>
          <t>4a</t>
        </is>
      </c>
      <c r="D193" s="9" t="inlineStr">
        <is>
          <t>Object pronouns</t>
        </is>
      </c>
      <c r="E193" s="23" t="inlineStr">
        <is>
          <t>Object pronouns: употребление — дополнение, после предлогов</t>
        </is>
      </c>
      <c r="F193" s="26" t="inlineStr">
        <is>
          <t>новое</t>
        </is>
      </c>
      <c r="G193" s="9" t="inlineStr">
        <is>
          <t>Look at him! to me, about me</t>
        </is>
      </c>
      <c r="H193" s="25" t="inlineStr">
        <is>
          <t>10+</t>
        </is>
      </c>
      <c r="I193" s="9">
        <f>IFERROR(INDEX('Темы × классы'!$R:$R,MATCH(E193,'Темы × классы'!$E:$E,0)),"")</f>
        <v/>
      </c>
      <c r="J193" s="9">
        <f>IFERROR(INDEX('Темы × классы'!$S:$S,MATCH(E193,'Темы × классы'!$E:$E,0))&amp;"","")</f>
        <v/>
      </c>
      <c r="K193" s="9" t="inlineStr">
        <is>
          <t>не начат</t>
        </is>
      </c>
      <c r="L193" s="9" t="inlineStr">
        <is>
          <t>Spotlight / 5 класс / Module 4 · Family ties / Object pronouns / Object pronouns: употребление — дополнение, после предлогов</t>
        </is>
      </c>
    </row>
    <row r="194">
      <c r="A194" s="25" t="n">
        <v>5</v>
      </c>
      <c r="B194" s="9" t="inlineStr">
        <is>
          <t>Module 4 · Family ties</t>
        </is>
      </c>
      <c r="C194" s="9" t="inlineStr">
        <is>
          <t>4a</t>
        </is>
      </c>
      <c r="D194" s="9" t="inlineStr">
        <is>
          <t>Object pronouns</t>
        </is>
      </c>
      <c r="E194" s="23" t="inlineStr">
        <is>
          <t>Object pronouns: личные vs объектные vs притяжательные — сопоставление</t>
        </is>
      </c>
      <c r="F194" s="26" t="inlineStr">
        <is>
          <t>новое</t>
        </is>
      </c>
      <c r="G194" s="9" t="inlineStr">
        <is>
          <t>общая таблица I — me — my; функции: подлежащее / дополнение / определение</t>
        </is>
      </c>
      <c r="H194" s="25" t="inlineStr">
        <is>
          <t>10+</t>
        </is>
      </c>
      <c r="I194" s="9">
        <f>IFERROR(INDEX('Темы × классы'!$R:$R,MATCH(E194,'Темы × классы'!$E:$E,0)),"")</f>
        <v/>
      </c>
      <c r="J194" s="9">
        <f>IFERROR(INDEX('Темы × классы'!$S:$S,MATCH(E194,'Темы × классы'!$E:$E,0))&amp;"","")</f>
        <v/>
      </c>
      <c r="K194" s="9" t="inlineStr">
        <is>
          <t>не начат</t>
        </is>
      </c>
      <c r="L194" s="9" t="inlineStr">
        <is>
          <t>Spotlight / 5 класс / Module 4 · Family ties / Object pronouns / Object pronouns: личные vs объектные vs притяжательные — сопоставление</t>
        </is>
      </c>
    </row>
    <row r="195">
      <c r="A195" s="25" t="n">
        <v>5</v>
      </c>
      <c r="B195" s="9" t="inlineStr">
        <is>
          <t>Module 4 · Family ties</t>
        </is>
      </c>
      <c r="C195" s="9" t="inlineStr">
        <is>
          <t>4b</t>
        </is>
      </c>
      <c r="D195" s="9" t="inlineStr">
        <is>
          <t>Imperative</t>
        </is>
      </c>
      <c r="E195" s="23" t="inlineStr">
        <is>
          <t>Imperative: утверждение — инфинитив без to</t>
        </is>
      </c>
      <c r="F195" s="27" t="inlineStr">
        <is>
          <t>расширение</t>
        </is>
      </c>
      <c r="G195" s="9" t="inlineStr">
        <is>
          <t>всегда обращено ко 2 лицу ед./мн. ч.</t>
        </is>
      </c>
      <c r="H195" s="25" t="inlineStr">
        <is>
          <t>10+</t>
        </is>
      </c>
      <c r="I195" s="9">
        <f>IFERROR(INDEX('Темы × классы'!$R:$R,MATCH(E195,'Темы × классы'!$E:$E,0)),"")</f>
        <v/>
      </c>
      <c r="J195" s="9">
        <f>IFERROR(INDEX('Темы × классы'!$S:$S,MATCH(E195,'Темы × классы'!$E:$E,0))&amp;"","")</f>
        <v/>
      </c>
      <c r="K195" s="9" t="inlineStr">
        <is>
          <t>не начат</t>
        </is>
      </c>
      <c r="L195" s="9" t="inlineStr">
        <is>
          <t>Spotlight / 5 класс / Module 4 · Family ties / Imperative / Imperative: утверждение — инфинитив без to</t>
        </is>
      </c>
    </row>
    <row r="196">
      <c r="A196" s="25" t="n">
        <v>5</v>
      </c>
      <c r="B196" s="9" t="inlineStr">
        <is>
          <t>Module 4 · Family ties</t>
        </is>
      </c>
      <c r="C196" s="9" t="inlineStr">
        <is>
          <t>4b</t>
        </is>
      </c>
      <c r="D196" s="9" t="inlineStr">
        <is>
          <t>Imperative</t>
        </is>
      </c>
      <c r="E196" s="23" t="inlineStr">
        <is>
          <t>Imperative: отрицание — Don't + инфинитив</t>
        </is>
      </c>
      <c r="F196" s="25" t="inlineStr">
        <is>
          <t>повторение</t>
        </is>
      </c>
      <c r="G196" s="9" t="inlineStr"/>
      <c r="H196" s="25" t="inlineStr">
        <is>
          <t>10+</t>
        </is>
      </c>
      <c r="I196" s="9">
        <f>IFERROR(INDEX('Темы × классы'!$R:$R,MATCH(E196,'Темы × классы'!$E:$E,0)),"")</f>
        <v/>
      </c>
      <c r="J196" s="9">
        <f>IFERROR(INDEX('Темы × классы'!$S:$S,MATCH(E196,'Темы × классы'!$E:$E,0))&amp;"","")</f>
        <v/>
      </c>
      <c r="K196" s="9" t="inlineStr">
        <is>
          <t>не начат</t>
        </is>
      </c>
      <c r="L196" s="9" t="inlineStr">
        <is>
          <t>Spotlight / 5 класс / Module 4 · Family ties / Imperative / Imperative: отрицание — Don't + инфинитив</t>
        </is>
      </c>
    </row>
    <row r="197">
      <c r="A197" s="25" t="n">
        <v>5</v>
      </c>
      <c r="B197" s="9" t="inlineStr">
        <is>
          <t>Module 4 · Family ties</t>
        </is>
      </c>
      <c r="C197" s="9" t="inlineStr">
        <is>
          <t>4b</t>
        </is>
      </c>
      <c r="D197" s="9" t="inlineStr">
        <is>
          <t>Imperative</t>
        </is>
      </c>
      <c r="E197" s="23" t="inlineStr">
        <is>
          <t>Imperative: значение — приказание</t>
        </is>
      </c>
      <c r="F197" s="26" t="inlineStr">
        <is>
          <t>новое</t>
        </is>
      </c>
      <c r="G197" s="9" t="inlineStr">
        <is>
          <t>Be quiet!</t>
        </is>
      </c>
      <c r="H197" s="25" t="inlineStr">
        <is>
          <t>10+</t>
        </is>
      </c>
      <c r="I197" s="9">
        <f>IFERROR(INDEX('Темы × классы'!$R:$R,MATCH(E197,'Темы × классы'!$E:$E,0)),"")</f>
        <v/>
      </c>
      <c r="J197" s="9">
        <f>IFERROR(INDEX('Темы × классы'!$S:$S,MATCH(E197,'Темы × классы'!$E:$E,0))&amp;"","")</f>
        <v/>
      </c>
      <c r="K197" s="9" t="inlineStr">
        <is>
          <t>не начат</t>
        </is>
      </c>
      <c r="L197" s="9" t="inlineStr">
        <is>
          <t>Spotlight / 5 класс / Module 4 · Family ties / Imperative / Imperative: значение — приказание</t>
        </is>
      </c>
    </row>
    <row r="198">
      <c r="A198" s="25" t="n">
        <v>5</v>
      </c>
      <c r="B198" s="9" t="inlineStr">
        <is>
          <t>Module 4 · Family ties</t>
        </is>
      </c>
      <c r="C198" s="9" t="inlineStr">
        <is>
          <t>4b</t>
        </is>
      </c>
      <c r="D198" s="9" t="inlineStr">
        <is>
          <t>Imperative</t>
        </is>
      </c>
      <c r="E198" s="23" t="inlineStr">
        <is>
          <t>Imperative: значение — инструкция, указание</t>
        </is>
      </c>
      <c r="F198" s="26" t="inlineStr">
        <is>
          <t>новое</t>
        </is>
      </c>
      <c r="G198" s="9" t="inlineStr">
        <is>
          <t>Press the button on the left</t>
        </is>
      </c>
      <c r="H198" s="25" t="inlineStr">
        <is>
          <t>10+</t>
        </is>
      </c>
      <c r="I198" s="9">
        <f>IFERROR(INDEX('Темы × классы'!$R:$R,MATCH(E198,'Темы × классы'!$E:$E,0)),"")</f>
        <v/>
      </c>
      <c r="J198" s="9">
        <f>IFERROR(INDEX('Темы × классы'!$S:$S,MATCH(E198,'Темы × классы'!$E:$E,0))&amp;"","")</f>
        <v/>
      </c>
      <c r="K198" s="9" t="inlineStr">
        <is>
          <t>не начат</t>
        </is>
      </c>
      <c r="L198" s="9" t="inlineStr">
        <is>
          <t>Spotlight / 5 класс / Module 4 · Family ties / Imperative / Imperative: значение — инструкция, указание</t>
        </is>
      </c>
    </row>
    <row r="199">
      <c r="A199" s="25" t="n">
        <v>5</v>
      </c>
      <c r="B199" s="9" t="inlineStr">
        <is>
          <t>Module 4 · Family ties</t>
        </is>
      </c>
      <c r="C199" s="9" t="inlineStr">
        <is>
          <t>4b</t>
        </is>
      </c>
      <c r="D199" s="9" t="inlineStr">
        <is>
          <t>Imperative</t>
        </is>
      </c>
      <c r="E199" s="23" t="inlineStr">
        <is>
          <t>Imperative: значение — предложение (Have some cake)</t>
        </is>
      </c>
      <c r="F199" s="26" t="inlineStr">
        <is>
          <t>новое</t>
        </is>
      </c>
      <c r="G199" s="9" t="inlineStr">
        <is>
          <t>Have some orange juice</t>
        </is>
      </c>
      <c r="H199" s="25" t="inlineStr">
        <is>
          <t>10+</t>
        </is>
      </c>
      <c r="I199" s="9">
        <f>IFERROR(INDEX('Темы × классы'!$R:$R,MATCH(E199,'Темы × классы'!$E:$E,0)),"")</f>
        <v/>
      </c>
      <c r="J199" s="9">
        <f>IFERROR(INDEX('Темы × классы'!$S:$S,MATCH(E199,'Темы × классы'!$E:$E,0))&amp;"","")</f>
        <v/>
      </c>
      <c r="K199" s="9" t="inlineStr">
        <is>
          <t>не начат</t>
        </is>
      </c>
      <c r="L199" s="9" t="inlineStr">
        <is>
          <t>Spotlight / 5 класс / Module 4 · Family ties / Imperative / Imperative: значение — предложение (Have some cake)</t>
        </is>
      </c>
    </row>
    <row r="200">
      <c r="A200" s="25" t="n">
        <v>5</v>
      </c>
      <c r="B200" s="9" t="inlineStr">
        <is>
          <t>Module 4 · Family ties</t>
        </is>
      </c>
      <c r="C200" s="9" t="inlineStr">
        <is>
          <t>4b</t>
        </is>
      </c>
      <c r="D200" s="9" t="inlineStr">
        <is>
          <t>Imperative</t>
        </is>
      </c>
      <c r="E200" s="23" t="inlineStr">
        <is>
          <t>Imperative: значение — просьба, вежливость с please</t>
        </is>
      </c>
      <c r="F200" s="26" t="inlineStr">
        <is>
          <t>новое</t>
        </is>
      </c>
      <c r="G200" s="9" t="inlineStr">
        <is>
          <t>please в начале или в конце</t>
        </is>
      </c>
      <c r="H200" s="25" t="inlineStr">
        <is>
          <t>10+</t>
        </is>
      </c>
      <c r="I200" s="9">
        <f>IFERROR(INDEX('Темы × классы'!$R:$R,MATCH(E200,'Темы × классы'!$E:$E,0)),"")</f>
        <v/>
      </c>
      <c r="J200" s="9">
        <f>IFERROR(INDEX('Темы × классы'!$S:$S,MATCH(E200,'Темы × классы'!$E:$E,0))&amp;"","")</f>
        <v/>
      </c>
      <c r="K200" s="9" t="inlineStr">
        <is>
          <t>не начат</t>
        </is>
      </c>
      <c r="L200" s="9" t="inlineStr">
        <is>
          <t>Spotlight / 5 класс / Module 4 · Family ties / Imperative / Imperative: значение — просьба, вежливость с please</t>
        </is>
      </c>
    </row>
    <row r="201">
      <c r="A201" s="25" t="n">
        <v>5</v>
      </c>
      <c r="B201" s="9" t="inlineStr">
        <is>
          <t>Module 4 · Family ties</t>
        </is>
      </c>
      <c r="C201" s="9" t="inlineStr"/>
      <c r="D201" s="9" t="inlineStr">
        <is>
          <t>Word formation</t>
        </is>
      </c>
      <c r="E201" s="23" t="inlineStr">
        <is>
          <t>Word formation: -ful</t>
        </is>
      </c>
      <c r="F201" s="26" t="inlineStr">
        <is>
          <t>новое</t>
        </is>
      </c>
      <c r="G201" s="9" t="inlineStr">
        <is>
          <t>Прилагательные с суффиксом -ful.</t>
        </is>
      </c>
      <c r="H201" s="25" t="inlineStr">
        <is>
          <t>10+</t>
        </is>
      </c>
      <c r="I201" s="9">
        <f>IFERROR(INDEX('Темы × классы'!$R:$R,MATCH(E201,'Темы × классы'!$E:$E,0)),"")</f>
        <v/>
      </c>
      <c r="J201" s="9">
        <f>IFERROR(INDEX('Темы × классы'!$S:$S,MATCH(E201,'Темы × классы'!$E:$E,0))&amp;"","")</f>
        <v/>
      </c>
      <c r="K201" s="9" t="inlineStr">
        <is>
          <t>не начат</t>
        </is>
      </c>
      <c r="L201" s="9" t="inlineStr">
        <is>
          <t>Spotlight / 5 класс / Module 4 · Family ties / Word formation / Word formation: -ful</t>
        </is>
      </c>
    </row>
    <row r="202">
      <c r="A202" s="25" t="n">
        <v>5</v>
      </c>
      <c r="B202" s="9" t="inlineStr">
        <is>
          <t>Module 5 · World animals</t>
        </is>
      </c>
      <c r="C202" s="9" t="inlineStr">
        <is>
          <t>5a</t>
        </is>
      </c>
      <c r="D202" s="9" t="inlineStr">
        <is>
          <t>Present Simple</t>
        </is>
      </c>
      <c r="E202" s="23" t="inlineStr">
        <is>
          <t>Present Simple: утверждение (I/you/we/they V, he/she/it V-s)</t>
        </is>
      </c>
      <c r="F202" s="25" t="inlineStr">
        <is>
          <t>повторение</t>
        </is>
      </c>
      <c r="G202" s="9" t="inlineStr">
        <is>
          <t>+ правила 3 л.</t>
        </is>
      </c>
      <c r="H202" s="25" t="inlineStr">
        <is>
          <t>10+</t>
        </is>
      </c>
      <c r="I202" s="9">
        <f>IFERROR(INDEX('Темы × классы'!$R:$R,MATCH(E202,'Темы × классы'!$E:$E,0)),"")</f>
        <v/>
      </c>
      <c r="J202" s="9">
        <f>IFERROR(INDEX('Темы × классы'!$S:$S,MATCH(E202,'Темы × классы'!$E:$E,0))&amp;"","")</f>
        <v/>
      </c>
      <c r="K202" s="9" t="inlineStr">
        <is>
          <t>не начат</t>
        </is>
      </c>
      <c r="L202" s="9" t="inlineStr">
        <is>
          <t>Spotlight / 5 класс / Module 5 · World animals / Present Simple / Present Simple: утверждение (I/you/we/they V, he/she/it V-s)</t>
        </is>
      </c>
    </row>
    <row r="203">
      <c r="A203" s="25" t="n">
        <v>5</v>
      </c>
      <c r="B203" s="9" t="inlineStr">
        <is>
          <t>Module 5 · World animals</t>
        </is>
      </c>
      <c r="C203" s="9" t="inlineStr">
        <is>
          <t>5b</t>
        </is>
      </c>
      <c r="D203" s="9" t="inlineStr">
        <is>
          <t>Present Simple</t>
        </is>
      </c>
      <c r="E203" s="23" t="inlineStr">
        <is>
          <t>Present Simple: отрицание (don't/doesn't)</t>
        </is>
      </c>
      <c r="F203" s="25" t="inlineStr">
        <is>
          <t>повторение</t>
        </is>
      </c>
      <c r="G203" s="9" t="inlineStr">
        <is>
          <t>don't/doesn't, все лица</t>
        </is>
      </c>
      <c r="H203" s="25" t="inlineStr">
        <is>
          <t>10+</t>
        </is>
      </c>
      <c r="I203" s="9">
        <f>IFERROR(INDEX('Темы × классы'!$R:$R,MATCH(E203,'Темы × классы'!$E:$E,0)),"")</f>
        <v/>
      </c>
      <c r="J203" s="9">
        <f>IFERROR(INDEX('Темы × классы'!$S:$S,MATCH(E203,'Темы × классы'!$E:$E,0))&amp;"","")</f>
        <v/>
      </c>
      <c r="K203" s="9" t="inlineStr">
        <is>
          <t>не начат</t>
        </is>
      </c>
      <c r="L203" s="9" t="inlineStr">
        <is>
          <t>Spotlight / 5 класс / Module 5 · World animals / Present Simple / Present Simple: отрицание (don't/doesn't)</t>
        </is>
      </c>
    </row>
    <row r="204">
      <c r="A204" s="25" t="n">
        <v>5</v>
      </c>
      <c r="B204" s="9" t="inlineStr">
        <is>
          <t>Module 5 · World animals</t>
        </is>
      </c>
      <c r="C204" s="9" t="inlineStr">
        <is>
          <t>5b</t>
        </is>
      </c>
      <c r="D204" s="9" t="inlineStr">
        <is>
          <t>Present Simple</t>
        </is>
      </c>
      <c r="E204" s="23" t="inlineStr">
        <is>
          <t>Present Simple: общие вопросы (Do/Does …?)</t>
        </is>
      </c>
      <c r="F204" s="25" t="inlineStr">
        <is>
          <t>повторение</t>
        </is>
      </c>
      <c r="G204" s="9" t="inlineStr">
        <is>
          <t>Do/Does …?</t>
        </is>
      </c>
      <c r="H204" s="25" t="inlineStr">
        <is>
          <t>10+</t>
        </is>
      </c>
      <c r="I204" s="9">
        <f>IFERROR(INDEX('Темы × классы'!$R:$R,MATCH(E204,'Темы × классы'!$E:$E,0)),"")</f>
        <v/>
      </c>
      <c r="J204" s="9">
        <f>IFERROR(INDEX('Темы × классы'!$S:$S,MATCH(E204,'Темы × классы'!$E:$E,0))&amp;"","")</f>
        <v/>
      </c>
      <c r="K204" s="9" t="inlineStr">
        <is>
          <t>не начат</t>
        </is>
      </c>
      <c r="L204" s="9" t="inlineStr">
        <is>
          <t>Spotlight / 5 класс / Module 5 · World animals / Present Simple / Present Simple: общие вопросы (Do/Does …?)</t>
        </is>
      </c>
    </row>
    <row r="205">
      <c r="A205" s="25" t="n">
        <v>5</v>
      </c>
      <c r="B205" s="9" t="inlineStr">
        <is>
          <t>Module 5 · World animals</t>
        </is>
      </c>
      <c r="C205" s="9" t="inlineStr">
        <is>
          <t>5b</t>
        </is>
      </c>
      <c r="D205" s="9" t="inlineStr">
        <is>
          <t>Present Simple</t>
        </is>
      </c>
      <c r="E205" s="23" t="inlineStr">
        <is>
          <t>Present Simple: краткие ответы (Yes, I do / No, he doesn't)</t>
        </is>
      </c>
      <c r="F205" s="25" t="inlineStr">
        <is>
          <t>повторение</t>
        </is>
      </c>
      <c r="G205" s="9" t="inlineStr">
        <is>
          <t>все лица</t>
        </is>
      </c>
      <c r="H205" s="25" t="inlineStr">
        <is>
          <t>10+</t>
        </is>
      </c>
      <c r="I205" s="9">
        <f>IFERROR(INDEX('Темы × классы'!$R:$R,MATCH(E205,'Темы × классы'!$E:$E,0)),"")</f>
        <v/>
      </c>
      <c r="J205" s="9">
        <f>IFERROR(INDEX('Темы × классы'!$S:$S,MATCH(E205,'Темы × классы'!$E:$E,0))&amp;"","")</f>
        <v/>
      </c>
      <c r="K205" s="9" t="inlineStr">
        <is>
          <t>не начат</t>
        </is>
      </c>
      <c r="L205" s="9" t="inlineStr">
        <is>
          <t>Spotlight / 5 класс / Module 5 · World animals / Present Simple / Present Simple: краткие ответы (Yes, I do / No, he doesn't)</t>
        </is>
      </c>
    </row>
    <row r="206">
      <c r="A206" s="25" t="n">
        <v>5</v>
      </c>
      <c r="B206" s="9" t="inlineStr">
        <is>
          <t>Module 5 · World animals</t>
        </is>
      </c>
      <c r="C206" s="9" t="inlineStr">
        <is>
          <t>5a</t>
        </is>
      </c>
      <c r="D206" s="9" t="inlineStr">
        <is>
          <t>Present Simple</t>
        </is>
      </c>
      <c r="E206" s="23" t="inlineStr">
        <is>
          <t>Present Simple: орфография окончания -s/-es (3 л. ед. ч.)</t>
        </is>
      </c>
      <c r="F206" s="25" t="inlineStr">
        <is>
          <t>повторение</t>
        </is>
      </c>
      <c r="G206" s="9" t="inlineStr">
        <is>
          <t>carry – carries, play – plays</t>
        </is>
      </c>
      <c r="H206" s="25" t="inlineStr">
        <is>
          <t>10+</t>
        </is>
      </c>
      <c r="I206" s="9">
        <f>IFERROR(INDEX('Темы × классы'!$R:$R,MATCH(E206,'Темы × классы'!$E:$E,0)),"")</f>
        <v/>
      </c>
      <c r="J206" s="9">
        <f>IFERROR(INDEX('Темы × классы'!$S:$S,MATCH(E206,'Темы × классы'!$E:$E,0))&amp;"","")</f>
        <v/>
      </c>
      <c r="K206" s="9" t="inlineStr">
        <is>
          <t>не начат</t>
        </is>
      </c>
      <c r="L206" s="9" t="inlineStr">
        <is>
          <t>Spotlight / 5 класс / Module 5 · World animals / Present Simple / Present Simple: орфография окончания -s/-es (3 л. ед. ч.)</t>
        </is>
      </c>
    </row>
    <row r="207">
      <c r="A207" s="25" t="n">
        <v>5</v>
      </c>
      <c r="B207" s="9" t="inlineStr">
        <is>
          <t>Module 5 · World animals</t>
        </is>
      </c>
      <c r="C207" s="9" t="inlineStr">
        <is>
          <t>5a</t>
        </is>
      </c>
      <c r="D207" s="9" t="inlineStr">
        <is>
          <t>Present Simple</t>
        </is>
      </c>
      <c r="E207" s="23" t="inlineStr">
        <is>
          <t>Present Simple: значение — регулярные действия, распорядок дня, привычки</t>
        </is>
      </c>
      <c r="F207" s="27" t="inlineStr">
        <is>
          <t>расширение</t>
        </is>
      </c>
      <c r="G207" s="9" t="inlineStr">
        <is>
          <t>новое: наречия частотности never, sometimes, often, usually, always; at night</t>
        </is>
      </c>
      <c r="H207" s="25" t="inlineStr">
        <is>
          <t>10+</t>
        </is>
      </c>
      <c r="I207" s="9">
        <f>IFERROR(INDEX('Темы × классы'!$R:$R,MATCH(E207,'Темы × классы'!$E:$E,0)),"")</f>
        <v/>
      </c>
      <c r="J207" s="9">
        <f>IFERROR(INDEX('Темы × классы'!$S:$S,MATCH(E207,'Темы × классы'!$E:$E,0))&amp;"","")</f>
        <v/>
      </c>
      <c r="K207" s="9" t="inlineStr">
        <is>
          <t>не начат</t>
        </is>
      </c>
      <c r="L207" s="9" t="inlineStr">
        <is>
          <t>Spotlight / 5 класс / Module 5 · World animals / Present Simple / Present Simple: значение — регулярные действия, распорядок дня, привычки</t>
        </is>
      </c>
    </row>
    <row r="208">
      <c r="A208" s="25" t="n">
        <v>5</v>
      </c>
      <c r="B208" s="9" t="inlineStr">
        <is>
          <t>Module 5 · World animals</t>
        </is>
      </c>
      <c r="C208" s="9" t="inlineStr">
        <is>
          <t>5a</t>
        </is>
      </c>
      <c r="D208" s="9" t="inlineStr">
        <is>
          <t>Present Simple</t>
        </is>
      </c>
      <c r="E208" s="23" t="inlineStr">
        <is>
          <t>Present Simple: значение — постоянные состояния и действия</t>
        </is>
      </c>
      <c r="F208" s="26" t="inlineStr">
        <is>
          <t>новое</t>
        </is>
      </c>
      <c r="G208" s="9" t="inlineStr"/>
      <c r="H208" s="25" t="inlineStr">
        <is>
          <t>10+</t>
        </is>
      </c>
      <c r="I208" s="9">
        <f>IFERROR(INDEX('Темы × классы'!$R:$R,MATCH(E208,'Темы × классы'!$E:$E,0)),"")</f>
        <v/>
      </c>
      <c r="J208" s="9">
        <f>IFERROR(INDEX('Темы × классы'!$S:$S,MATCH(E208,'Темы × классы'!$E:$E,0))&amp;"","")</f>
        <v/>
      </c>
      <c r="K208" s="9" t="inlineStr">
        <is>
          <t>не начат</t>
        </is>
      </c>
      <c r="L208" s="9" t="inlineStr">
        <is>
          <t>Spotlight / 5 класс / Module 5 · World animals / Present Simple / Present Simple: значение — постоянные состояния и действия</t>
        </is>
      </c>
    </row>
    <row r="209">
      <c r="A209" s="25" t="n">
        <v>5</v>
      </c>
      <c r="B209" s="9" t="inlineStr">
        <is>
          <t>Module 5 · World animals</t>
        </is>
      </c>
      <c r="C209" s="9" t="inlineStr">
        <is>
          <t>5a</t>
        </is>
      </c>
      <c r="D209" s="9" t="inlineStr">
        <is>
          <t>Present Simple</t>
        </is>
      </c>
      <c r="E209" s="23" t="inlineStr">
        <is>
          <t>Present Simple: значение — непреложные истины и законы природы</t>
        </is>
      </c>
      <c r="F209" s="26" t="inlineStr">
        <is>
          <t>новое</t>
        </is>
      </c>
      <c r="G209" s="9" t="inlineStr">
        <is>
          <t>The sun rises in the east</t>
        </is>
      </c>
      <c r="H209" s="25" t="inlineStr">
        <is>
          <t>10+</t>
        </is>
      </c>
      <c r="I209" s="9">
        <f>IFERROR(INDEX('Темы × классы'!$R:$R,MATCH(E209,'Темы × классы'!$E:$E,0)),"")</f>
        <v/>
      </c>
      <c r="J209" s="9">
        <f>IFERROR(INDEX('Темы × классы'!$S:$S,MATCH(E209,'Темы × классы'!$E:$E,0))&amp;"","")</f>
        <v/>
      </c>
      <c r="K209" s="9" t="inlineStr">
        <is>
          <t>не начат</t>
        </is>
      </c>
      <c r="L209" s="9" t="inlineStr">
        <is>
          <t>Spotlight / 5 класс / Module 5 · World animals / Present Simple / Present Simple: значение — непреложные истины и законы природы</t>
        </is>
      </c>
    </row>
    <row r="210">
      <c r="A210" s="25" t="n">
        <v>5</v>
      </c>
      <c r="B210" s="9" t="inlineStr">
        <is>
          <t>Module 5 · World animals</t>
        </is>
      </c>
      <c r="C210" s="9" t="inlineStr">
        <is>
          <t>5b</t>
        </is>
      </c>
      <c r="D210" s="9" t="inlineStr">
        <is>
          <t>Alternative questions</t>
        </is>
      </c>
      <c r="E210" s="23" t="inlineStr">
        <is>
          <t>Alternative questions: в Present Simple (do/does … or …)</t>
        </is>
      </c>
      <c r="F210" s="25" t="inlineStr">
        <is>
          <t>повторение</t>
        </is>
      </c>
      <c r="G210" s="9" t="inlineStr">
        <is>
          <t>Does Ann walk her dog in the morning or in the afternoon?</t>
        </is>
      </c>
      <c r="H210" s="25" t="inlineStr">
        <is>
          <t>10+</t>
        </is>
      </c>
      <c r="I210" s="9">
        <f>IFERROR(INDEX('Темы × классы'!$R:$R,MATCH(E210,'Темы × классы'!$E:$E,0)),"")</f>
        <v/>
      </c>
      <c r="J210" s="9">
        <f>IFERROR(INDEX('Темы × классы'!$S:$S,MATCH(E210,'Темы × классы'!$E:$E,0))&amp;"","")</f>
        <v/>
      </c>
      <c r="K210" s="9" t="inlineStr">
        <is>
          <t>не начат</t>
        </is>
      </c>
      <c r="L210" s="9" t="inlineStr">
        <is>
          <t>Spotlight / 5 класс / Module 5 · World animals / Alternative questions / Alternative questions: в Present Simple (do/does … or …)</t>
        </is>
      </c>
    </row>
    <row r="211">
      <c r="A211" s="25" t="n">
        <v>5</v>
      </c>
      <c r="B211" s="9" t="inlineStr">
        <is>
          <t>Module 5 · World animals</t>
        </is>
      </c>
      <c r="C211" s="9" t="inlineStr">
        <is>
          <t>5c</t>
        </is>
      </c>
      <c r="D211" s="9" t="inlineStr">
        <is>
          <t>Question tags</t>
        </is>
      </c>
      <c r="E211" s="23" t="inlineStr">
        <is>
          <t>Question tags: образование — вспомогательный глагол + местоимение (do/does)</t>
        </is>
      </c>
      <c r="F211" s="26" t="inlineStr">
        <is>
          <t>новое</t>
        </is>
      </c>
      <c r="G211" s="9" t="inlineStr">
        <is>
          <t>Present Simple: don't you?</t>
        </is>
      </c>
      <c r="H211" s="25" t="inlineStr">
        <is>
          <t>10+</t>
        </is>
      </c>
      <c r="I211" s="9">
        <f>IFERROR(INDEX('Темы × классы'!$R:$R,MATCH(E211,'Темы × классы'!$E:$E,0)),"")</f>
        <v/>
      </c>
      <c r="J211" s="9">
        <f>IFERROR(INDEX('Темы × классы'!$S:$S,MATCH(E211,'Темы × классы'!$E:$E,0))&amp;"","")</f>
        <v/>
      </c>
      <c r="K211" s="9" t="inlineStr">
        <is>
          <t>не начат</t>
        </is>
      </c>
      <c r="L211" s="9" t="inlineStr">
        <is>
          <t>Spotlight / 5 класс / Module 5 · World animals / Question tags / Question tags: образование — вспомогательный глагол + местоимение (do/does)</t>
        </is>
      </c>
    </row>
    <row r="212">
      <c r="A212" s="25" t="n">
        <v>5</v>
      </c>
      <c r="B212" s="9" t="inlineStr">
        <is>
          <t>Module 5 · World animals</t>
        </is>
      </c>
      <c r="C212" s="9" t="inlineStr">
        <is>
          <t>5c</t>
        </is>
      </c>
      <c r="D212" s="9" t="inlineStr">
        <is>
          <t>Question tags</t>
        </is>
      </c>
      <c r="E212" s="23" t="inlineStr">
        <is>
          <t>Question tags: с be и модальными глаголами (isn't she, can't she)</t>
        </is>
      </c>
      <c r="F212" s="26" t="inlineStr">
        <is>
          <t>новое</t>
        </is>
      </c>
      <c r="G212" s="9" t="inlineStr">
        <is>
          <t>is / can: isn't she, can't she</t>
        </is>
      </c>
      <c r="H212" s="25" t="inlineStr">
        <is>
          <t>10+</t>
        </is>
      </c>
      <c r="I212" s="9">
        <f>IFERROR(INDEX('Темы × классы'!$R:$R,MATCH(E212,'Темы × классы'!$E:$E,0)),"")</f>
        <v/>
      </c>
      <c r="J212" s="9">
        <f>IFERROR(INDEX('Темы × классы'!$S:$S,MATCH(E212,'Темы × классы'!$E:$E,0))&amp;"","")</f>
        <v/>
      </c>
      <c r="K212" s="9" t="inlineStr">
        <is>
          <t>не начат</t>
        </is>
      </c>
      <c r="L212" s="9" t="inlineStr">
        <is>
          <t>Spotlight / 5 класс / Module 5 · World animals / Question tags / Question tags: с be и модальными глаголами (isn't she, can't she)</t>
        </is>
      </c>
    </row>
    <row r="213">
      <c r="A213" s="25" t="n">
        <v>5</v>
      </c>
      <c r="B213" s="9" t="inlineStr">
        <is>
          <t>Module 5 · World animals</t>
        </is>
      </c>
      <c r="C213" s="9" t="inlineStr">
        <is>
          <t>5c</t>
        </is>
      </c>
      <c r="D213" s="9" t="inlineStr">
        <is>
          <t>Question tags</t>
        </is>
      </c>
      <c r="E213" s="23" t="inlineStr">
        <is>
          <t>Question tags: утверждение → отрицательный хвост, отрицание → утвердительный</t>
        </is>
      </c>
      <c r="F213" s="26" t="inlineStr">
        <is>
          <t>новое</t>
        </is>
      </c>
      <c r="G213" s="9" t="inlineStr">
        <is>
          <t>This is…, isn't it? / He doesn't…, does he?</t>
        </is>
      </c>
      <c r="H213" s="25" t="inlineStr">
        <is>
          <t>10+</t>
        </is>
      </c>
      <c r="I213" s="9">
        <f>IFERROR(INDEX('Темы × классы'!$R:$R,MATCH(E213,'Темы × классы'!$E:$E,0)),"")</f>
        <v/>
      </c>
      <c r="J213" s="9">
        <f>IFERROR(INDEX('Темы × классы'!$S:$S,MATCH(E213,'Темы × классы'!$E:$E,0))&amp;"","")</f>
        <v/>
      </c>
      <c r="K213" s="9" t="inlineStr">
        <is>
          <t>не начат</t>
        </is>
      </c>
      <c r="L213" s="9" t="inlineStr">
        <is>
          <t>Spotlight / 5 класс / Module 5 · World animals / Question tags / Question tags: утверждение → отрицательный хвост, отрицание → утвердительный</t>
        </is>
      </c>
    </row>
    <row r="214">
      <c r="A214" s="25" t="n">
        <v>5</v>
      </c>
      <c r="B214" s="9" t="inlineStr">
        <is>
          <t>Module 5 · World animals</t>
        </is>
      </c>
      <c r="C214" s="9" t="inlineStr">
        <is>
          <t>5c</t>
        </is>
      </c>
      <c r="D214" s="9" t="inlineStr">
        <is>
          <t>Question tags</t>
        </is>
      </c>
      <c r="E214" s="23" t="inlineStr">
        <is>
          <t>Question tags: there is → is there?</t>
        </is>
      </c>
      <c r="F214" s="26" t="inlineStr">
        <is>
          <t>новое</t>
        </is>
      </c>
      <c r="G214" s="9" t="inlineStr">
        <is>
          <t>There is no TV…, is there?</t>
        </is>
      </c>
      <c r="H214" s="25" t="inlineStr">
        <is>
          <t>10+</t>
        </is>
      </c>
      <c r="I214" s="9">
        <f>IFERROR(INDEX('Темы × классы'!$R:$R,MATCH(E214,'Темы × классы'!$E:$E,0)),"")</f>
        <v/>
      </c>
      <c r="J214" s="9">
        <f>IFERROR(INDEX('Темы × классы'!$S:$S,MATCH(E214,'Темы × классы'!$E:$E,0))&amp;"","")</f>
        <v/>
      </c>
      <c r="K214" s="9" t="inlineStr">
        <is>
          <t>не начат</t>
        </is>
      </c>
      <c r="L214" s="9" t="inlineStr">
        <is>
          <t>Spotlight / 5 класс / Module 5 · World animals / Question tags / Question tags: there is → is there?</t>
        </is>
      </c>
    </row>
    <row r="215">
      <c r="A215" s="25" t="n">
        <v>5</v>
      </c>
      <c r="B215" s="9" t="inlineStr">
        <is>
          <t>Module 5 · World animals</t>
        </is>
      </c>
      <c r="C215" s="9" t="inlineStr">
        <is>
          <t>5a</t>
        </is>
      </c>
      <c r="D215" s="9" t="inlineStr">
        <is>
          <t>Word formation</t>
        </is>
      </c>
      <c r="E215" s="23" t="inlineStr">
        <is>
          <t>Word formation: -al</t>
        </is>
      </c>
      <c r="F215" s="26" t="inlineStr">
        <is>
          <t>новое</t>
        </is>
      </c>
      <c r="G215" s="9" t="inlineStr">
        <is>
          <t>Прилагательные с суффиксом -al.</t>
        </is>
      </c>
      <c r="H215" s="25" t="inlineStr">
        <is>
          <t>10+</t>
        </is>
      </c>
      <c r="I215" s="9">
        <f>IFERROR(INDEX('Темы × классы'!$R:$R,MATCH(E215,'Темы × классы'!$E:$E,0)),"")</f>
        <v/>
      </c>
      <c r="J215" s="9">
        <f>IFERROR(INDEX('Темы × классы'!$S:$S,MATCH(E215,'Темы × классы'!$E:$E,0))&amp;"","")</f>
        <v/>
      </c>
      <c r="K215" s="9" t="inlineStr">
        <is>
          <t>не начат</t>
        </is>
      </c>
      <c r="L215" s="9" t="inlineStr">
        <is>
          <t>Spotlight / 5 класс / Module 5 · World animals / Word formation / Word formation: -al</t>
        </is>
      </c>
    </row>
    <row r="216">
      <c r="A216" s="25" t="n">
        <v>5</v>
      </c>
      <c r="B216" s="9" t="inlineStr">
        <is>
          <t>Module 6 · Round the clock</t>
        </is>
      </c>
      <c r="C216" s="9" t="inlineStr">
        <is>
          <t>6b</t>
        </is>
      </c>
      <c r="D216" s="9" t="inlineStr">
        <is>
          <t>Present Continuous</t>
        </is>
      </c>
      <c r="E216" s="23" t="inlineStr">
        <is>
          <t>Present Continuous: утверждение (am/is/are + V-ing)</t>
        </is>
      </c>
      <c r="F216" s="25" t="inlineStr">
        <is>
          <t>повторение</t>
        </is>
      </c>
      <c r="G216" s="9" t="inlineStr"/>
      <c r="H216" s="25" t="inlineStr">
        <is>
          <t>10+</t>
        </is>
      </c>
      <c r="I216" s="9">
        <f>IFERROR(INDEX('Темы × классы'!$R:$R,MATCH(E216,'Темы × классы'!$E:$E,0)),"")</f>
        <v/>
      </c>
      <c r="J216" s="9">
        <f>IFERROR(INDEX('Темы × классы'!$S:$S,MATCH(E216,'Темы × классы'!$E:$E,0))&amp;"","")</f>
        <v/>
      </c>
      <c r="K216" s="9" t="inlineStr">
        <is>
          <t>не начат</t>
        </is>
      </c>
      <c r="L216" s="9" t="inlineStr">
        <is>
          <t>Spotlight / 5 класс / Module 6 · Round the clock / Present Continuous / Present Continuous: утверждение (am/is/are + V-ing)</t>
        </is>
      </c>
    </row>
    <row r="217">
      <c r="A217" s="25" t="n">
        <v>5</v>
      </c>
      <c r="B217" s="9" t="inlineStr">
        <is>
          <t>Module 6 · Round the clock</t>
        </is>
      </c>
      <c r="C217" s="9" t="inlineStr">
        <is>
          <t>6b</t>
        </is>
      </c>
      <c r="D217" s="9" t="inlineStr">
        <is>
          <t>Present Continuous</t>
        </is>
      </c>
      <c r="E217" s="23" t="inlineStr">
        <is>
          <t>Present Continuous: отрицание (I'm not / isn't / aren't)</t>
        </is>
      </c>
      <c r="F217" s="25" t="inlineStr">
        <is>
          <t>повторение</t>
        </is>
      </c>
      <c r="G217" s="9" t="inlineStr"/>
      <c r="H217" s="25" t="inlineStr">
        <is>
          <t>10+</t>
        </is>
      </c>
      <c r="I217" s="9">
        <f>IFERROR(INDEX('Темы × классы'!$R:$R,MATCH(E217,'Темы × классы'!$E:$E,0)),"")</f>
        <v/>
      </c>
      <c r="J217" s="9">
        <f>IFERROR(INDEX('Темы × классы'!$S:$S,MATCH(E217,'Темы × классы'!$E:$E,0))&amp;"","")</f>
        <v/>
      </c>
      <c r="K217" s="9" t="inlineStr">
        <is>
          <t>не начат</t>
        </is>
      </c>
      <c r="L217" s="9" t="inlineStr">
        <is>
          <t>Spotlight / 5 класс / Module 6 · Round the clock / Present Continuous / Present Continuous: отрицание (I'm not / isn't / aren't)</t>
        </is>
      </c>
    </row>
    <row r="218">
      <c r="A218" s="25" t="n">
        <v>5</v>
      </c>
      <c r="B218" s="9" t="inlineStr">
        <is>
          <t>Module 6 · Round the clock</t>
        </is>
      </c>
      <c r="C218" s="9" t="inlineStr">
        <is>
          <t>6b</t>
        </is>
      </c>
      <c r="D218" s="9" t="inlineStr">
        <is>
          <t>Present Continuous</t>
        </is>
      </c>
      <c r="E218" s="23" t="inlineStr">
        <is>
          <t>Present Continuous: общие вопросы (Am/Is/Are …?)</t>
        </is>
      </c>
      <c r="F218" s="25" t="inlineStr">
        <is>
          <t>повторение</t>
        </is>
      </c>
      <c r="G218" s="9" t="inlineStr"/>
      <c r="H218" s="25" t="inlineStr">
        <is>
          <t>10+</t>
        </is>
      </c>
      <c r="I218" s="9">
        <f>IFERROR(INDEX('Темы × классы'!$R:$R,MATCH(E218,'Темы × классы'!$E:$E,0)),"")</f>
        <v/>
      </c>
      <c r="J218" s="9">
        <f>IFERROR(INDEX('Темы × классы'!$S:$S,MATCH(E218,'Темы × классы'!$E:$E,0))&amp;"","")</f>
        <v/>
      </c>
      <c r="K218" s="9" t="inlineStr">
        <is>
          <t>не начат</t>
        </is>
      </c>
      <c r="L218" s="9" t="inlineStr">
        <is>
          <t>Spotlight / 5 класс / Module 6 · Round the clock / Present Continuous / Present Continuous: общие вопросы (Am/Is/Are …?)</t>
        </is>
      </c>
    </row>
    <row r="219">
      <c r="A219" s="25" t="n">
        <v>5</v>
      </c>
      <c r="B219" s="9" t="inlineStr">
        <is>
          <t>Module 6 · Round the clock</t>
        </is>
      </c>
      <c r="C219" s="9" t="inlineStr">
        <is>
          <t>6b</t>
        </is>
      </c>
      <c r="D219" s="9" t="inlineStr">
        <is>
          <t>Present Continuous</t>
        </is>
      </c>
      <c r="E219" s="23" t="inlineStr">
        <is>
          <t>Present Continuous: краткие ответы (Yes, I am / No, he isn't)</t>
        </is>
      </c>
      <c r="F219" s="25" t="inlineStr">
        <is>
          <t>повторение</t>
        </is>
      </c>
      <c r="G219" s="9" t="inlineStr">
        <is>
          <t>в т.ч. No, you're not</t>
        </is>
      </c>
      <c r="H219" s="25" t="inlineStr">
        <is>
          <t>10+</t>
        </is>
      </c>
      <c r="I219" s="9">
        <f>IFERROR(INDEX('Темы × классы'!$R:$R,MATCH(E219,'Темы × классы'!$E:$E,0)),"")</f>
        <v/>
      </c>
      <c r="J219" s="9">
        <f>IFERROR(INDEX('Темы × классы'!$S:$S,MATCH(E219,'Темы × классы'!$E:$E,0))&amp;"","")</f>
        <v/>
      </c>
      <c r="K219" s="9" t="inlineStr">
        <is>
          <t>не начат</t>
        </is>
      </c>
      <c r="L219" s="9" t="inlineStr">
        <is>
          <t>Spotlight / 5 класс / Module 6 · Round the clock / Present Continuous / Present Continuous: краткие ответы (Yes, I am / No, he isn't)</t>
        </is>
      </c>
    </row>
    <row r="220">
      <c r="A220" s="25" t="n">
        <v>5</v>
      </c>
      <c r="B220" s="9" t="inlineStr">
        <is>
          <t>Module 6 · Round the clock</t>
        </is>
      </c>
      <c r="C220" s="9" t="inlineStr">
        <is>
          <t>6b</t>
        </is>
      </c>
      <c r="D220" s="9" t="inlineStr">
        <is>
          <t>Present Continuous</t>
        </is>
      </c>
      <c r="E220" s="23" t="inlineStr">
        <is>
          <t>Present Continuous: орфография -ing</t>
        </is>
      </c>
      <c r="F220" s="26" t="inlineStr">
        <is>
          <t>новое</t>
        </is>
      </c>
      <c r="G220" s="9" t="inlineStr">
        <is>
          <t>-e опускается; удвоение (run – running); -l удваивается; -ie → y (lie – lying)</t>
        </is>
      </c>
      <c r="H220" s="25" t="inlineStr">
        <is>
          <t>10+</t>
        </is>
      </c>
      <c r="I220" s="9">
        <f>IFERROR(INDEX('Темы × классы'!$R:$R,MATCH(E220,'Темы × классы'!$E:$E,0)),"")</f>
        <v/>
      </c>
      <c r="J220" s="9">
        <f>IFERROR(INDEX('Темы × классы'!$S:$S,MATCH(E220,'Темы × классы'!$E:$E,0))&amp;"","")</f>
        <v/>
      </c>
      <c r="K220" s="9" t="inlineStr">
        <is>
          <t>не начат</t>
        </is>
      </c>
      <c r="L220" s="9" t="inlineStr">
        <is>
          <t>Spotlight / 5 класс / Module 6 · Round the clock / Present Continuous / Present Continuous: орфография -ing</t>
        </is>
      </c>
    </row>
    <row r="221">
      <c r="A221" s="25" t="n">
        <v>5</v>
      </c>
      <c r="B221" s="9" t="inlineStr">
        <is>
          <t>Module 6 · Round the clock</t>
        </is>
      </c>
      <c r="C221" s="9" t="inlineStr">
        <is>
          <t>6b</t>
        </is>
      </c>
      <c r="D221" s="9" t="inlineStr">
        <is>
          <t>Present Continuous</t>
        </is>
      </c>
      <c r="E221" s="23" t="inlineStr">
        <is>
          <t>Present Continuous: значение — действие сейчас (now)</t>
        </is>
      </c>
      <c r="F221" s="25" t="inlineStr">
        <is>
          <t>повторение</t>
        </is>
      </c>
      <c r="G221" s="9" t="inlineStr">
        <is>
          <t>now</t>
        </is>
      </c>
      <c r="H221" s="25" t="inlineStr">
        <is>
          <t>10+</t>
        </is>
      </c>
      <c r="I221" s="9">
        <f>IFERROR(INDEX('Темы × классы'!$R:$R,MATCH(E221,'Темы × классы'!$E:$E,0)),"")</f>
        <v/>
      </c>
      <c r="J221" s="9">
        <f>IFERROR(INDEX('Темы × классы'!$S:$S,MATCH(E221,'Темы × классы'!$E:$E,0))&amp;"","")</f>
        <v/>
      </c>
      <c r="K221" s="9" t="inlineStr">
        <is>
          <t>не начат</t>
        </is>
      </c>
      <c r="L221" s="9" t="inlineStr">
        <is>
          <t>Spotlight / 5 класс / Module 6 · Round the clock / Present Continuous / Present Continuous: значение — действие сейчас (now)</t>
        </is>
      </c>
    </row>
    <row r="222">
      <c r="A222" s="25" t="n">
        <v>5</v>
      </c>
      <c r="B222" s="9" t="inlineStr">
        <is>
          <t>Module 6 · Round the clock</t>
        </is>
      </c>
      <c r="C222" s="9" t="inlineStr">
        <is>
          <t>6b</t>
        </is>
      </c>
      <c r="D222" s="9" t="inlineStr">
        <is>
          <t>Present Continuous</t>
        </is>
      </c>
      <c r="E222" s="23" t="inlineStr">
        <is>
          <t>Present Continuous: значение — действие в настоящий период (these days)</t>
        </is>
      </c>
      <c r="F222" s="26" t="inlineStr">
        <is>
          <t>новое</t>
        </is>
      </c>
      <c r="G222" s="9" t="inlineStr">
        <is>
          <t>действие в настоящий период, не обязательно в момент речи</t>
        </is>
      </c>
      <c r="H222" s="25" t="inlineStr">
        <is>
          <t>10+</t>
        </is>
      </c>
      <c r="I222" s="9">
        <f>IFERROR(INDEX('Темы × классы'!$R:$R,MATCH(E222,'Темы × классы'!$E:$E,0)),"")</f>
        <v/>
      </c>
      <c r="J222" s="9">
        <f>IFERROR(INDEX('Темы × классы'!$S:$S,MATCH(E222,'Темы × классы'!$E:$E,0))&amp;"","")</f>
        <v/>
      </c>
      <c r="K222" s="9" t="inlineStr">
        <is>
          <t>не начат</t>
        </is>
      </c>
      <c r="L222" s="9" t="inlineStr">
        <is>
          <t>Spotlight / 5 класс / Module 6 · Round the clock / Present Continuous / Present Continuous: значение — действие в настоящий период (these days)</t>
        </is>
      </c>
    </row>
    <row r="223">
      <c r="A223" s="25" t="n">
        <v>5</v>
      </c>
      <c r="B223" s="9" t="inlineStr">
        <is>
          <t>Module 6 · Round the clock</t>
        </is>
      </c>
      <c r="C223" s="9" t="inlineStr">
        <is>
          <t>6a</t>
        </is>
      </c>
      <c r="D223" s="9" t="inlineStr">
        <is>
          <t>Adverbs of frequency</t>
        </is>
      </c>
      <c r="E223" s="23" t="inlineStr">
        <is>
          <t>Adverbs of frequency: значение — never, sometimes, usually, often, always</t>
        </is>
      </c>
      <c r="F223" s="25" t="inlineStr">
        <is>
          <t>повторение</t>
        </is>
      </c>
      <c r="G223" s="9" t="inlineStr">
        <is>
          <t>never, sometimes, often, usually, always</t>
        </is>
      </c>
      <c r="H223" s="25" t="inlineStr">
        <is>
          <t>10+</t>
        </is>
      </c>
      <c r="I223" s="9">
        <f>IFERROR(INDEX('Темы × классы'!$R:$R,MATCH(E223,'Темы × классы'!$E:$E,0)),"")</f>
        <v/>
      </c>
      <c r="J223" s="9">
        <f>IFERROR(INDEX('Темы × классы'!$S:$S,MATCH(E223,'Темы × классы'!$E:$E,0))&amp;"","")</f>
        <v/>
      </c>
      <c r="K223" s="9" t="inlineStr">
        <is>
          <t>не начат</t>
        </is>
      </c>
      <c r="L223" s="9" t="inlineStr">
        <is>
          <t>Spotlight / 5 класс / Module 6 · Round the clock / Adverbs of frequency / Adverbs of frequency: значение — never, sometimes, usually, often, always</t>
        </is>
      </c>
    </row>
    <row r="224">
      <c r="A224" s="25" t="n">
        <v>5</v>
      </c>
      <c r="B224" s="9" t="inlineStr">
        <is>
          <t>Module 6 · Round the clock</t>
        </is>
      </c>
      <c r="C224" s="9" t="inlineStr">
        <is>
          <t>6a</t>
        </is>
      </c>
      <c r="D224" s="9" t="inlineStr">
        <is>
          <t>Adverbs of frequency</t>
        </is>
      </c>
      <c r="E224" s="23" t="inlineStr">
        <is>
          <t>Adverbs of frequency: место — перед смысловым глаголом, после be</t>
        </is>
      </c>
      <c r="F224" s="27" t="inlineStr">
        <is>
          <t>расширение</t>
        </is>
      </c>
      <c r="G224" s="9" t="inlineStr">
        <is>
          <t>правило сформулировано: перед смысловым, после to be</t>
        </is>
      </c>
      <c r="H224" s="25" t="inlineStr">
        <is>
          <t>10+</t>
        </is>
      </c>
      <c r="I224" s="9">
        <f>IFERROR(INDEX('Темы × классы'!$R:$R,MATCH(E224,'Темы × классы'!$E:$E,0)),"")</f>
        <v/>
      </c>
      <c r="J224" s="9">
        <f>IFERROR(INDEX('Темы × классы'!$S:$S,MATCH(E224,'Темы × классы'!$E:$E,0))&amp;"","")</f>
        <v/>
      </c>
      <c r="K224" s="9" t="inlineStr">
        <is>
          <t>не начат</t>
        </is>
      </c>
      <c r="L224" s="9" t="inlineStr">
        <is>
          <t>Spotlight / 5 класс / Module 6 · Round the clock / Adverbs of frequency / Adverbs of frequency: место — перед смысловым глаголом, после be</t>
        </is>
      </c>
    </row>
    <row r="225">
      <c r="A225" s="25" t="n">
        <v>5</v>
      </c>
      <c r="B225" s="9" t="inlineStr">
        <is>
          <t>Module 6 · Round the clock</t>
        </is>
      </c>
      <c r="C225" s="9" t="inlineStr">
        <is>
          <t>6a</t>
        </is>
      </c>
      <c r="D225" s="9" t="inlineStr">
        <is>
          <t>Adverbs of frequency</t>
        </is>
      </c>
      <c r="E225" s="23" t="inlineStr">
        <is>
          <t>Adverbs of frequency: место — после вспомогательных и модальных глаголов</t>
        </is>
      </c>
      <c r="F225" s="26" t="inlineStr">
        <is>
          <t>новое</t>
        </is>
      </c>
      <c r="G225" s="9" t="inlineStr">
        <is>
          <t>He doesn't often read; He can never sleep</t>
        </is>
      </c>
      <c r="H225" s="25" t="inlineStr">
        <is>
          <t>10+</t>
        </is>
      </c>
      <c r="I225" s="9">
        <f>IFERROR(INDEX('Темы × классы'!$R:$R,MATCH(E225,'Темы × классы'!$E:$E,0)),"")</f>
        <v/>
      </c>
      <c r="J225" s="9">
        <f>IFERROR(INDEX('Темы × классы'!$S:$S,MATCH(E225,'Темы × классы'!$E:$E,0))&amp;"","")</f>
        <v/>
      </c>
      <c r="K225" s="9" t="inlineStr">
        <is>
          <t>не начат</t>
        </is>
      </c>
      <c r="L225" s="9" t="inlineStr">
        <is>
          <t>Spotlight / 5 класс / Module 6 · Round the clock / Adverbs of frequency / Adverbs of frequency: место — после вспомогательных и модальных глаголов</t>
        </is>
      </c>
    </row>
    <row r="226">
      <c r="A226" s="25" t="n">
        <v>5</v>
      </c>
      <c r="B226" s="9" t="inlineStr">
        <is>
          <t>Module 6 · Round the clock</t>
        </is>
      </c>
      <c r="C226" s="9" t="inlineStr"/>
      <c r="D226" s="9" t="inlineStr">
        <is>
          <t>Comparatives &amp; Superlatives</t>
        </is>
      </c>
      <c r="E226" s="23" t="inlineStr">
        <is>
          <t>Comparatives &amp; Superlatives: неправильные прилагательные (good, bad, many/much, little)</t>
        </is>
      </c>
      <c r="F226" s="27" t="inlineStr">
        <is>
          <t>расширение</t>
        </is>
      </c>
      <c r="G226" s="9" t="inlineStr">
        <is>
          <t>добавлены much/many/lots – more – most, little – less – least</t>
        </is>
      </c>
      <c r="H226" s="25" t="inlineStr">
        <is>
          <t>10+</t>
        </is>
      </c>
      <c r="I226" s="9">
        <f>IFERROR(INDEX('Темы × классы'!$R:$R,MATCH(E226,'Темы × классы'!$E:$E,0)),"")</f>
        <v/>
      </c>
      <c r="J226" s="9">
        <f>IFERROR(INDEX('Темы × классы'!$S:$S,MATCH(E226,'Темы × классы'!$E:$E,0))&amp;"","")</f>
        <v/>
      </c>
      <c r="K226" s="9" t="inlineStr">
        <is>
          <t>не начат</t>
        </is>
      </c>
      <c r="L226" s="9" t="inlineStr">
        <is>
          <t>Spotlight / 5 класс / Module 6 · Round the clock / Comparatives &amp; Superlatives / Comparatives &amp; Superlatives: неправильные прилагательные (good, bad, many/much, little)</t>
        </is>
      </c>
    </row>
    <row r="227">
      <c r="A227" s="25" t="n">
        <v>5</v>
      </c>
      <c r="B227" s="9" t="inlineStr">
        <is>
          <t>Module 6 · Round the clock</t>
        </is>
      </c>
      <c r="C227" s="9" t="inlineStr"/>
      <c r="D227" s="9" t="inlineStr">
        <is>
          <t>Comparatives &amp; Superlatives</t>
        </is>
      </c>
      <c r="E227" s="23" t="inlineStr">
        <is>
          <t>Comparatives &amp; Superlatives: наречия — -er/-est (hard, fast, early)</t>
        </is>
      </c>
      <c r="F227" s="26" t="inlineStr">
        <is>
          <t>новое</t>
        </is>
      </c>
      <c r="G227" s="9" t="inlineStr">
        <is>
          <t>fast, early, late, high, near: hard – harder – hardest</t>
        </is>
      </c>
      <c r="H227" s="25" t="inlineStr">
        <is>
          <t>10+</t>
        </is>
      </c>
      <c r="I227" s="9">
        <f>IFERROR(INDEX('Темы × классы'!$R:$R,MATCH(E227,'Темы × классы'!$E:$E,0)),"")</f>
        <v/>
      </c>
      <c r="J227" s="9">
        <f>IFERROR(INDEX('Темы × классы'!$S:$S,MATCH(E227,'Темы × классы'!$E:$E,0))&amp;"","")</f>
        <v/>
      </c>
      <c r="K227" s="9" t="inlineStr">
        <is>
          <t>не начат</t>
        </is>
      </c>
      <c r="L227" s="9" t="inlineStr">
        <is>
          <t>Spotlight / 5 класс / Module 6 · Round the clock / Comparatives &amp; Superlatives / Comparatives &amp; Superlatives: наречия — -er/-est (hard, fast, early)</t>
        </is>
      </c>
    </row>
    <row r="228">
      <c r="A228" s="25" t="n">
        <v>5</v>
      </c>
      <c r="B228" s="9" t="inlineStr">
        <is>
          <t>Module 6 · Round the clock</t>
        </is>
      </c>
      <c r="C228" s="9" t="inlineStr"/>
      <c r="D228" s="9" t="inlineStr">
        <is>
          <t>Comparatives &amp; Superlatives</t>
        </is>
      </c>
      <c r="E228" s="23" t="inlineStr">
        <is>
          <t>Comparatives &amp; Superlatives: наречия — more/most (slowly)</t>
        </is>
      </c>
      <c r="F228" s="26" t="inlineStr">
        <is>
          <t>новое</t>
        </is>
      </c>
      <c r="G228" s="9" t="inlineStr">
        <is>
          <t>slowly – more slowly – most slowly</t>
        </is>
      </c>
      <c r="H228" s="25" t="inlineStr">
        <is>
          <t>10+</t>
        </is>
      </c>
      <c r="I228" s="9">
        <f>IFERROR(INDEX('Темы × классы'!$R:$R,MATCH(E228,'Темы × классы'!$E:$E,0)),"")</f>
        <v/>
      </c>
      <c r="J228" s="9">
        <f>IFERROR(INDEX('Темы × классы'!$S:$S,MATCH(E228,'Темы × классы'!$E:$E,0))&amp;"","")</f>
        <v/>
      </c>
      <c r="K228" s="9" t="inlineStr">
        <is>
          <t>не начат</t>
        </is>
      </c>
      <c r="L228" s="9" t="inlineStr">
        <is>
          <t>Spotlight / 5 класс / Module 6 · Round the clock / Comparatives &amp; Superlatives / Comparatives &amp; Superlatives: наречия — more/most (slowly)</t>
        </is>
      </c>
    </row>
    <row r="229">
      <c r="A229" s="25" t="n">
        <v>5</v>
      </c>
      <c r="B229" s="9" t="inlineStr">
        <is>
          <t>Module 6 · Round the clock</t>
        </is>
      </c>
      <c r="C229" s="9" t="inlineStr"/>
      <c r="D229" s="9" t="inlineStr">
        <is>
          <t>Comparatives &amp; Superlatives</t>
        </is>
      </c>
      <c r="E229" s="23" t="inlineStr">
        <is>
          <t>Comparatives &amp; Superlatives: неправильные наречия (well, badly)</t>
        </is>
      </c>
      <c r="F229" s="26" t="inlineStr">
        <is>
          <t>новое</t>
        </is>
      </c>
      <c r="G229" s="9" t="inlineStr">
        <is>
          <t>well – better – best, badly – worse – worst</t>
        </is>
      </c>
      <c r="H229" s="25" t="inlineStr">
        <is>
          <t>10+</t>
        </is>
      </c>
      <c r="I229" s="9">
        <f>IFERROR(INDEX('Темы × классы'!$R:$R,MATCH(E229,'Темы × классы'!$E:$E,0)),"")</f>
        <v/>
      </c>
      <c r="J229" s="9">
        <f>IFERROR(INDEX('Темы × классы'!$S:$S,MATCH(E229,'Темы × классы'!$E:$E,0))&amp;"","")</f>
        <v/>
      </c>
      <c r="K229" s="9" t="inlineStr">
        <is>
          <t>не начат</t>
        </is>
      </c>
      <c r="L229" s="9" t="inlineStr">
        <is>
          <t>Spotlight / 5 класс / Module 6 · Round the clock / Comparatives &amp; Superlatives / Comparatives &amp; Superlatives: неправильные наречия (well, badly)</t>
        </is>
      </c>
    </row>
    <row r="230">
      <c r="A230" s="25" t="n">
        <v>5</v>
      </c>
      <c r="B230" s="9" t="inlineStr">
        <is>
          <t>Module 6 · Round the clock</t>
        </is>
      </c>
      <c r="C230" s="9" t="inlineStr">
        <is>
          <t>6a</t>
        </is>
      </c>
      <c r="D230" s="9" t="inlineStr">
        <is>
          <t>Prepositions of time</t>
        </is>
      </c>
      <c r="E230" s="23" t="inlineStr">
        <is>
          <t>Prepositions of time: at — время, праздники, at night/at noon/at the weekend</t>
        </is>
      </c>
      <c r="F230" s="27" t="inlineStr">
        <is>
          <t>расширение</t>
        </is>
      </c>
      <c r="G230" s="9" t="inlineStr">
        <is>
          <t>добавлены at Easter, at the moment, at present, at dawn, at midnight</t>
        </is>
      </c>
      <c r="H230" s="25" t="inlineStr">
        <is>
          <t>10+</t>
        </is>
      </c>
      <c r="I230" s="9">
        <f>IFERROR(INDEX('Темы × классы'!$R:$R,MATCH(E230,'Темы × классы'!$E:$E,0)),"")</f>
        <v/>
      </c>
      <c r="J230" s="9">
        <f>IFERROR(INDEX('Темы × классы'!$S:$S,MATCH(E230,'Темы × классы'!$E:$E,0))&amp;"","")</f>
        <v/>
      </c>
      <c r="K230" s="9" t="inlineStr">
        <is>
          <t>не начат</t>
        </is>
      </c>
      <c r="L230" s="9" t="inlineStr">
        <is>
          <t>Spotlight / 5 класс / Module 6 · Round the clock / Prepositions of time / Prepositions of time: at — время, праздники, at night/at noon/at the weekend</t>
        </is>
      </c>
    </row>
    <row r="231">
      <c r="A231" s="25" t="n">
        <v>5</v>
      </c>
      <c r="B231" s="9" t="inlineStr">
        <is>
          <t>Module 6 · Round the clock</t>
        </is>
      </c>
      <c r="C231" s="9" t="inlineStr">
        <is>
          <t>6a</t>
        </is>
      </c>
      <c r="D231" s="9" t="inlineStr">
        <is>
          <t>Prepositions of time</t>
        </is>
      </c>
      <c r="E231" s="23" t="inlineStr">
        <is>
          <t>Prepositions of time: on — дни недели и праздничные дни</t>
        </is>
      </c>
      <c r="F231" s="25" t="inlineStr">
        <is>
          <t>повторение</t>
        </is>
      </c>
      <c r="G231" s="9" t="inlineStr">
        <is>
          <t>on Monday, on New Year's Day</t>
        </is>
      </c>
      <c r="H231" s="25" t="inlineStr">
        <is>
          <t>10+</t>
        </is>
      </c>
      <c r="I231" s="9">
        <f>IFERROR(INDEX('Темы × классы'!$R:$R,MATCH(E231,'Темы × классы'!$E:$E,0)),"")</f>
        <v/>
      </c>
      <c r="J231" s="9">
        <f>IFERROR(INDEX('Темы × классы'!$S:$S,MATCH(E231,'Темы × классы'!$E:$E,0))&amp;"","")</f>
        <v/>
      </c>
      <c r="K231" s="9" t="inlineStr">
        <is>
          <t>не начат</t>
        </is>
      </c>
      <c r="L231" s="9" t="inlineStr">
        <is>
          <t>Spotlight / 5 класс / Module 6 · Round the clock / Prepositions of time / Prepositions of time: on — дни недели и праздничные дни</t>
        </is>
      </c>
    </row>
    <row r="232">
      <c r="A232" s="25" t="n">
        <v>5</v>
      </c>
      <c r="B232" s="9" t="inlineStr">
        <is>
          <t>Module 6 · Round the clock</t>
        </is>
      </c>
      <c r="C232" s="9" t="inlineStr">
        <is>
          <t>6a</t>
        </is>
      </c>
      <c r="D232" s="9" t="inlineStr">
        <is>
          <t>Prepositions of time</t>
        </is>
      </c>
      <c r="E232" s="23" t="inlineStr">
        <is>
          <t>Prepositions of time: on — даты, день недели + часть дня, on a hot day</t>
        </is>
      </c>
      <c r="F232" s="26" t="inlineStr">
        <is>
          <t>новое</t>
        </is>
      </c>
      <c r="G232" s="9" t="inlineStr">
        <is>
          <t>on 6th May, on Tuesday evening, on a hot day</t>
        </is>
      </c>
      <c r="H232" s="25" t="inlineStr">
        <is>
          <t>10+</t>
        </is>
      </c>
      <c r="I232" s="9">
        <f>IFERROR(INDEX('Темы × классы'!$R:$R,MATCH(E232,'Темы × классы'!$E:$E,0)),"")</f>
        <v/>
      </c>
      <c r="J232" s="9">
        <f>IFERROR(INDEX('Темы × классы'!$S:$S,MATCH(E232,'Темы × классы'!$E:$E,0))&amp;"","")</f>
        <v/>
      </c>
      <c r="K232" s="9" t="inlineStr">
        <is>
          <t>не начат</t>
        </is>
      </c>
      <c r="L232" s="9" t="inlineStr">
        <is>
          <t>Spotlight / 5 класс / Module 6 · Round the clock / Prepositions of time / Prepositions of time: on — даты, день недели + часть дня, on a hot day</t>
        </is>
      </c>
    </row>
    <row r="233">
      <c r="A233" s="25" t="n">
        <v>5</v>
      </c>
      <c r="B233" s="9" t="inlineStr">
        <is>
          <t>Module 6 · Round the clock</t>
        </is>
      </c>
      <c r="C233" s="9" t="inlineStr">
        <is>
          <t>6a</t>
        </is>
      </c>
      <c r="D233" s="9" t="inlineStr">
        <is>
          <t>Prepositions of time</t>
        </is>
      </c>
      <c r="E233" s="23" t="inlineStr">
        <is>
          <t>Prepositions of time: in — части суток (in the morning/afternoon/evening)</t>
        </is>
      </c>
      <c r="F233" s="25" t="inlineStr">
        <is>
          <t>повторение</t>
        </is>
      </c>
      <c r="G233" s="9" t="inlineStr"/>
      <c r="H233" s="25" t="inlineStr">
        <is>
          <t>10+</t>
        </is>
      </c>
      <c r="I233" s="9">
        <f>IFERROR(INDEX('Темы × классы'!$R:$R,MATCH(E233,'Темы × классы'!$E:$E,0)),"")</f>
        <v/>
      </c>
      <c r="J233" s="9">
        <f>IFERROR(INDEX('Темы × классы'!$S:$S,MATCH(E233,'Темы × классы'!$E:$E,0))&amp;"","")</f>
        <v/>
      </c>
      <c r="K233" s="9" t="inlineStr">
        <is>
          <t>не начат</t>
        </is>
      </c>
      <c r="L233" s="9" t="inlineStr">
        <is>
          <t>Spotlight / 5 класс / Module 6 · Round the clock / Prepositions of time / Prepositions of time: in — части суток (in the morning/afternoon/evening)</t>
        </is>
      </c>
    </row>
    <row r="234">
      <c r="A234" s="25" t="n">
        <v>5</v>
      </c>
      <c r="B234" s="9" t="inlineStr">
        <is>
          <t>Module 6 · Round the clock</t>
        </is>
      </c>
      <c r="C234" s="9" t="inlineStr">
        <is>
          <t>6a</t>
        </is>
      </c>
      <c r="D234" s="9" t="inlineStr">
        <is>
          <t>Prepositions of time</t>
        </is>
      </c>
      <c r="E234" s="23" t="inlineStr">
        <is>
          <t>Prepositions of time: in — месяцы, времена года, годы, века</t>
        </is>
      </c>
      <c r="F234" s="26" t="inlineStr">
        <is>
          <t>новое</t>
        </is>
      </c>
      <c r="G234" s="9" t="inlineStr">
        <is>
          <t>in September, in the winter, in 1996, in the 20th century</t>
        </is>
      </c>
      <c r="H234" s="25" t="inlineStr">
        <is>
          <t>10+</t>
        </is>
      </c>
      <c r="I234" s="9">
        <f>IFERROR(INDEX('Темы × классы'!$R:$R,MATCH(E234,'Темы × классы'!$E:$E,0)),"")</f>
        <v/>
      </c>
      <c r="J234" s="9">
        <f>IFERROR(INDEX('Темы × классы'!$S:$S,MATCH(E234,'Темы × классы'!$E:$E,0))&amp;"","")</f>
        <v/>
      </c>
      <c r="K234" s="9" t="inlineStr">
        <is>
          <t>не начат</t>
        </is>
      </c>
      <c r="L234" s="9" t="inlineStr">
        <is>
          <t>Spotlight / 5 класс / Module 6 · Round the clock / Prepositions of time / Prepositions of time: in — месяцы, времена года, годы, века</t>
        </is>
      </c>
    </row>
    <row r="235">
      <c r="A235" s="25" t="n">
        <v>5</v>
      </c>
      <c r="B235" s="9" t="inlineStr">
        <is>
          <t>Module 6 · Round the clock</t>
        </is>
      </c>
      <c r="C235" s="9" t="inlineStr">
        <is>
          <t>6a</t>
        </is>
      </c>
      <c r="D235" s="9" t="inlineStr">
        <is>
          <t>Prepositions of time</t>
        </is>
      </c>
      <c r="E235" s="23" t="inlineStr">
        <is>
          <t>Prepositions of time: in = «через» (in an hour, in a week)</t>
        </is>
      </c>
      <c r="F235" s="26" t="inlineStr">
        <is>
          <t>новое</t>
        </is>
      </c>
      <c r="G235" s="9" t="inlineStr"/>
      <c r="H235" s="25" t="inlineStr">
        <is>
          <t>10+</t>
        </is>
      </c>
      <c r="I235" s="9">
        <f>IFERROR(INDEX('Темы × классы'!$R:$R,MATCH(E235,'Темы × классы'!$E:$E,0)),"")</f>
        <v/>
      </c>
      <c r="J235" s="9">
        <f>IFERROR(INDEX('Темы × классы'!$S:$S,MATCH(E235,'Темы × классы'!$E:$E,0))&amp;"","")</f>
        <v/>
      </c>
      <c r="K235" s="9" t="inlineStr">
        <is>
          <t>не начат</t>
        </is>
      </c>
      <c r="L235" s="9" t="inlineStr">
        <is>
          <t>Spotlight / 5 класс / Module 6 · Round the clock / Prepositions of time / Prepositions of time: in = «через» (in an hour, in a week)</t>
        </is>
      </c>
    </row>
    <row r="236">
      <c r="A236" s="25" t="n">
        <v>5</v>
      </c>
      <c r="B236" s="9" t="inlineStr">
        <is>
          <t>Module 6 · Round the clock</t>
        </is>
      </c>
      <c r="C236" s="9" t="inlineStr">
        <is>
          <t>6b</t>
        </is>
      </c>
      <c r="D236" s="9" t="inlineStr">
        <is>
          <t>Word formation</t>
        </is>
      </c>
      <c r="E236" s="23" t="inlineStr">
        <is>
          <t>Word formation: -er, -or, -man, -ist, -ic</t>
        </is>
      </c>
      <c r="F236" s="26" t="inlineStr">
        <is>
          <t>новое</t>
        </is>
      </c>
      <c r="G236" s="9" t="inlineStr">
        <is>
          <t>Существительные (названия профессий) с суффиксами -er/-or, -man, -ist, -ic.</t>
        </is>
      </c>
      <c r="H236" s="25" t="inlineStr">
        <is>
          <t>10+</t>
        </is>
      </c>
      <c r="I236" s="9">
        <f>IFERROR(INDEX('Темы × классы'!$R:$R,MATCH(E236,'Темы × классы'!$E:$E,0)),"")</f>
        <v/>
      </c>
      <c r="J236" s="9">
        <f>IFERROR(INDEX('Темы × классы'!$S:$S,MATCH(E236,'Темы × классы'!$E:$E,0))&amp;"","")</f>
        <v/>
      </c>
      <c r="K236" s="9" t="inlineStr">
        <is>
          <t>не начат</t>
        </is>
      </c>
      <c r="L236" s="9" t="inlineStr">
        <is>
          <t>Spotlight / 5 класс / Module 6 · Round the clock / Word formation / Word formation: -er, -or, -man, -ist, -ic</t>
        </is>
      </c>
    </row>
    <row r="237">
      <c r="A237" s="25" t="n">
        <v>5</v>
      </c>
      <c r="B237" s="9" t="inlineStr">
        <is>
          <t>Module 6 · Round the clock</t>
        </is>
      </c>
      <c r="C237" s="9" t="inlineStr">
        <is>
          <t>6a</t>
        </is>
      </c>
      <c r="D237" s="9" t="inlineStr">
        <is>
          <t>Word formation</t>
        </is>
      </c>
      <c r="E237" s="23" t="inlineStr">
        <is>
          <t>Word formation: -ly</t>
        </is>
      </c>
      <c r="F237" s="26" t="inlineStr">
        <is>
          <t>новое</t>
        </is>
      </c>
      <c r="G237" s="9" t="inlineStr">
        <is>
          <t>Наречия с суффиксом -ly.</t>
        </is>
      </c>
      <c r="H237" s="25" t="inlineStr">
        <is>
          <t>10+</t>
        </is>
      </c>
      <c r="I237" s="9">
        <f>IFERROR(INDEX('Темы × классы'!$R:$R,MATCH(E237,'Темы × классы'!$E:$E,0)),"")</f>
        <v/>
      </c>
      <c r="J237" s="9">
        <f>IFERROR(INDEX('Темы × классы'!$S:$S,MATCH(E237,'Темы × классы'!$E:$E,0))&amp;"","")</f>
        <v/>
      </c>
      <c r="K237" s="9" t="inlineStr">
        <is>
          <t>не начат</t>
        </is>
      </c>
      <c r="L237" s="9" t="inlineStr">
        <is>
          <t>Spotlight / 5 класс / Module 6 · Round the clock / Word formation / Word formation: -ly</t>
        </is>
      </c>
    </row>
    <row r="238">
      <c r="A238" s="25" t="n">
        <v>5</v>
      </c>
      <c r="B238" s="9" t="inlineStr">
        <is>
          <t>Module 7 · In all weathers</t>
        </is>
      </c>
      <c r="C238" s="9" t="inlineStr">
        <is>
          <t>7b</t>
        </is>
      </c>
      <c r="D238" s="9" t="inlineStr">
        <is>
          <t>Present Simple vs Present Continuous</t>
        </is>
      </c>
      <c r="E238" s="23" t="inlineStr">
        <is>
          <t>Present Simple vs Present Continuous: привычка vs сейчас</t>
        </is>
      </c>
      <c r="F238" s="25" t="inlineStr">
        <is>
          <t>повторение</t>
        </is>
      </c>
      <c r="G238" s="9" t="inlineStr">
        <is>
          <t>+ привычки</t>
        </is>
      </c>
      <c r="H238" s="25" t="inlineStr">
        <is>
          <t>10+</t>
        </is>
      </c>
      <c r="I238" s="9">
        <f>IFERROR(INDEX('Темы × классы'!$R:$R,MATCH(E238,'Темы × классы'!$E:$E,0)),"")</f>
        <v/>
      </c>
      <c r="J238" s="9">
        <f>IFERROR(INDEX('Темы × классы'!$S:$S,MATCH(E238,'Темы × классы'!$E:$E,0))&amp;"","")</f>
        <v/>
      </c>
      <c r="K238" s="9" t="inlineStr">
        <is>
          <t>не начат</t>
        </is>
      </c>
      <c r="L238" s="9" t="inlineStr">
        <is>
          <t>Spotlight / 5 класс / Module 7 · In all weathers / Present Simple vs Present Continuous / Present Simple vs Present Continuous: привычка vs сейчас</t>
        </is>
      </c>
    </row>
    <row r="239">
      <c r="A239" s="25" t="n">
        <v>5</v>
      </c>
      <c r="B239" s="9" t="inlineStr">
        <is>
          <t>Module 7 · In all weathers</t>
        </is>
      </c>
      <c r="C239" s="9" t="inlineStr">
        <is>
          <t>7b</t>
        </is>
      </c>
      <c r="D239" s="9" t="inlineStr">
        <is>
          <t>Present Simple vs Present Continuous</t>
        </is>
      </c>
      <c r="E239" s="23" t="inlineStr">
        <is>
          <t>Present Simple vs Present Continuous: постоянное состояние vs временная ситуация</t>
        </is>
      </c>
      <c r="F239" s="26" t="inlineStr">
        <is>
          <t>новое</t>
        </is>
      </c>
      <c r="G239" s="9" t="inlineStr">
        <is>
          <t>состояния/постоянные действия vs действия временного характера</t>
        </is>
      </c>
      <c r="H239" s="25" t="inlineStr">
        <is>
          <t>10+</t>
        </is>
      </c>
      <c r="I239" s="9">
        <f>IFERROR(INDEX('Темы × классы'!$R:$R,MATCH(E239,'Темы × классы'!$E:$E,0)),"")</f>
        <v/>
      </c>
      <c r="J239" s="9">
        <f>IFERROR(INDEX('Темы × классы'!$S:$S,MATCH(E239,'Темы × классы'!$E:$E,0))&amp;"","")</f>
        <v/>
      </c>
      <c r="K239" s="9" t="inlineStr">
        <is>
          <t>не начат</t>
        </is>
      </c>
      <c r="L239" s="9" t="inlineStr">
        <is>
          <t>Spotlight / 5 класс / Module 7 · In all weathers / Present Simple vs Present Continuous / Present Simple vs Present Continuous: постоянное состояние vs временная ситуация</t>
        </is>
      </c>
    </row>
    <row r="240">
      <c r="A240" s="25" t="n">
        <v>5</v>
      </c>
      <c r="B240" s="9" t="inlineStr">
        <is>
          <t>Module 7 · In all weathers</t>
        </is>
      </c>
      <c r="C240" s="9" t="inlineStr"/>
      <c r="D240" s="9" t="inlineStr">
        <is>
          <t>Comparatives &amp; Superlatives</t>
        </is>
      </c>
      <c r="E240" s="23" t="inlineStr">
        <is>
          <t>Comparatives &amp; Superlatives: сравнительная степень — -er + than</t>
        </is>
      </c>
      <c r="F240" s="25" t="inlineStr">
        <is>
          <t>повторение</t>
        </is>
      </c>
      <c r="G240" s="9" t="inlineStr">
        <is>
          <t>Ben is taller than Emma</t>
        </is>
      </c>
      <c r="H240" s="25" t="inlineStr">
        <is>
          <t>10+</t>
        </is>
      </c>
      <c r="I240" s="9">
        <f>IFERROR(INDEX('Темы × классы'!$R:$R,MATCH(E240,'Темы × классы'!$E:$E,0)),"")</f>
        <v/>
      </c>
      <c r="J240" s="9">
        <f>IFERROR(INDEX('Темы × классы'!$S:$S,MATCH(E240,'Темы × классы'!$E:$E,0))&amp;"","")</f>
        <v/>
      </c>
      <c r="K240" s="9" t="inlineStr">
        <is>
          <t>не начат</t>
        </is>
      </c>
      <c r="L240" s="9" t="inlineStr">
        <is>
          <t>Spotlight / 5 класс / Module 7 · In all weathers / Comparatives &amp; Superlatives / Comparatives &amp; Superlatives: сравнительная степень — -er + than</t>
        </is>
      </c>
    </row>
    <row r="241">
      <c r="A241" s="25" t="n">
        <v>5</v>
      </c>
      <c r="B241" s="9" t="inlineStr">
        <is>
          <t>Module 7 · In all weathers</t>
        </is>
      </c>
      <c r="C241" s="9" t="inlineStr"/>
      <c r="D241" s="9" t="inlineStr">
        <is>
          <t>Comparatives &amp; Superlatives</t>
        </is>
      </c>
      <c r="E241" s="23" t="inlineStr">
        <is>
          <t>Comparatives &amp; Superlatives: сравнительная степень — more (многосложные)</t>
        </is>
      </c>
      <c r="F241" s="25" t="inlineStr">
        <is>
          <t>повторение</t>
        </is>
      </c>
      <c r="G241" s="9" t="inlineStr">
        <is>
          <t>more beautiful</t>
        </is>
      </c>
      <c r="H241" s="25" t="inlineStr">
        <is>
          <t>10+</t>
        </is>
      </c>
      <c r="I241" s="9">
        <f>IFERROR(INDEX('Темы × классы'!$R:$R,MATCH(E241,'Темы × классы'!$E:$E,0)),"")</f>
        <v/>
      </c>
      <c r="J241" s="9">
        <f>IFERROR(INDEX('Темы × классы'!$S:$S,MATCH(E241,'Темы × классы'!$E:$E,0))&amp;"","")</f>
        <v/>
      </c>
      <c r="K241" s="9" t="inlineStr">
        <is>
          <t>не начат</t>
        </is>
      </c>
      <c r="L241" s="9" t="inlineStr">
        <is>
          <t>Spotlight / 5 класс / Module 7 · In all weathers / Comparatives &amp; Superlatives / Comparatives &amp; Superlatives: сравнительная степень — more (многосложные)</t>
        </is>
      </c>
    </row>
    <row r="242">
      <c r="A242" s="25" t="n">
        <v>5</v>
      </c>
      <c r="B242" s="9" t="inlineStr">
        <is>
          <t>Module 7 · In all weathers</t>
        </is>
      </c>
      <c r="C242" s="9" t="inlineStr"/>
      <c r="D242" s="9" t="inlineStr">
        <is>
          <t>Comparatives &amp; Superlatives</t>
        </is>
      </c>
      <c r="E242" s="23" t="inlineStr">
        <is>
          <t>Comparatives &amp; Superlatives: орфография -er/-est (удвоение, -e, y → i)</t>
        </is>
      </c>
      <c r="F242" s="25" t="inlineStr">
        <is>
          <t>повторение</t>
        </is>
      </c>
      <c r="G242" s="9" t="inlineStr">
        <is>
          <t>big – bigger, wise – wiser, sunny – sunnier</t>
        </is>
      </c>
      <c r="H242" s="25" t="inlineStr">
        <is>
          <t>10+</t>
        </is>
      </c>
      <c r="I242" s="9">
        <f>IFERROR(INDEX('Темы × классы'!$R:$R,MATCH(E242,'Темы × классы'!$E:$E,0)),"")</f>
        <v/>
      </c>
      <c r="J242" s="9">
        <f>IFERROR(INDEX('Темы × классы'!$S:$S,MATCH(E242,'Темы × классы'!$E:$E,0))&amp;"","")</f>
        <v/>
      </c>
      <c r="K242" s="9" t="inlineStr">
        <is>
          <t>не начат</t>
        </is>
      </c>
      <c r="L242" s="9" t="inlineStr">
        <is>
          <t>Spotlight / 5 класс / Module 7 · In all weathers / Comparatives &amp; Superlatives / Comparatives &amp; Superlatives: орфография -er/-est (удвоение, -e, y → i)</t>
        </is>
      </c>
    </row>
    <row r="243">
      <c r="A243" s="25" t="n">
        <v>5</v>
      </c>
      <c r="B243" s="9" t="inlineStr">
        <is>
          <t>Module 7 · In all weathers</t>
        </is>
      </c>
      <c r="C243" s="9" t="inlineStr"/>
      <c r="D243" s="9" t="inlineStr">
        <is>
          <t>Comparatives &amp; Superlatives</t>
        </is>
      </c>
      <c r="E243" s="23" t="inlineStr">
        <is>
          <t>Comparatives &amp; Superlatives: превосходная степень — the -est + of/in</t>
        </is>
      </c>
      <c r="F243" s="25" t="inlineStr">
        <is>
          <t>повторение</t>
        </is>
      </c>
      <c r="G243" s="9" t="inlineStr">
        <is>
          <t>the + -est + of/in; артикль относится к существительному</t>
        </is>
      </c>
      <c r="H243" s="25" t="inlineStr">
        <is>
          <t>10+</t>
        </is>
      </c>
      <c r="I243" s="9">
        <f>IFERROR(INDEX('Темы × классы'!$R:$R,MATCH(E243,'Темы × классы'!$E:$E,0)),"")</f>
        <v/>
      </c>
      <c r="J243" s="9">
        <f>IFERROR(INDEX('Темы × классы'!$S:$S,MATCH(E243,'Темы × классы'!$E:$E,0))&amp;"","")</f>
        <v/>
      </c>
      <c r="K243" s="9" t="inlineStr">
        <is>
          <t>не начат</t>
        </is>
      </c>
      <c r="L243" s="9" t="inlineStr">
        <is>
          <t>Spotlight / 5 класс / Module 7 · In all weathers / Comparatives &amp; Superlatives / Comparatives &amp; Superlatives: превосходная степень — the -est + of/in</t>
        </is>
      </c>
    </row>
    <row r="244">
      <c r="A244" s="25" t="n">
        <v>5</v>
      </c>
      <c r="B244" s="9" t="inlineStr">
        <is>
          <t>Module 7 · In all weathers</t>
        </is>
      </c>
      <c r="C244" s="9" t="inlineStr"/>
      <c r="D244" s="9" t="inlineStr">
        <is>
          <t>Comparatives &amp; Superlatives</t>
        </is>
      </c>
      <c r="E244" s="23" t="inlineStr">
        <is>
          <t>Comparatives &amp; Superlatives: превосходная степень — the most</t>
        </is>
      </c>
      <c r="F244" s="25" t="inlineStr">
        <is>
          <t>повторение</t>
        </is>
      </c>
      <c r="G244" s="9" t="inlineStr">
        <is>
          <t>the most beautiful</t>
        </is>
      </c>
      <c r="H244" s="25" t="inlineStr">
        <is>
          <t>10+</t>
        </is>
      </c>
      <c r="I244" s="9">
        <f>IFERROR(INDEX('Темы × классы'!$R:$R,MATCH(E244,'Темы × классы'!$E:$E,0)),"")</f>
        <v/>
      </c>
      <c r="J244" s="9">
        <f>IFERROR(INDEX('Темы × классы'!$S:$S,MATCH(E244,'Темы × классы'!$E:$E,0))&amp;"","")</f>
        <v/>
      </c>
      <c r="K244" s="9" t="inlineStr">
        <is>
          <t>не начат</t>
        </is>
      </c>
      <c r="L244" s="9" t="inlineStr">
        <is>
          <t>Spotlight / 5 класс / Module 7 · In all weathers / Comparatives &amp; Superlatives / Comparatives &amp; Superlatives: превосходная степень — the most</t>
        </is>
      </c>
    </row>
    <row r="245">
      <c r="A245" s="25" t="n">
        <v>5</v>
      </c>
      <c r="B245" s="9" t="inlineStr">
        <is>
          <t>Module 7 · In all weathers</t>
        </is>
      </c>
      <c r="C245" s="9" t="inlineStr"/>
      <c r="D245" s="9" t="inlineStr">
        <is>
          <t>Comparatives &amp; Superlatives</t>
        </is>
      </c>
      <c r="E245" s="23" t="inlineStr">
        <is>
          <t>Comparatives &amp; Superlatives: неправильные прилагательные (good, bad, many/much, little)</t>
        </is>
      </c>
      <c r="F245" s="25" t="inlineStr">
        <is>
          <t>повторение</t>
        </is>
      </c>
      <c r="G245" s="9" t="inlineStr">
        <is>
          <t>good, bad, many/much, little</t>
        </is>
      </c>
      <c r="H245" s="25" t="inlineStr">
        <is>
          <t>10+</t>
        </is>
      </c>
      <c r="I245" s="9">
        <f>IFERROR(INDEX('Темы × классы'!$R:$R,MATCH(E245,'Темы × классы'!$E:$E,0)),"")</f>
        <v/>
      </c>
      <c r="J245" s="9">
        <f>IFERROR(INDEX('Темы × классы'!$S:$S,MATCH(E245,'Темы × классы'!$E:$E,0))&amp;"","")</f>
        <v/>
      </c>
      <c r="K245" s="9" t="inlineStr">
        <is>
          <t>не начат</t>
        </is>
      </c>
      <c r="L245" s="9" t="inlineStr">
        <is>
          <t>Spotlight / 5 класс / Module 7 · In all weathers / Comparatives &amp; Superlatives / Comparatives &amp; Superlatives: неправильные прилагательные (good, bad, many/much, little)</t>
        </is>
      </c>
    </row>
    <row r="246">
      <c r="A246" s="25" t="n">
        <v>5</v>
      </c>
      <c r="B246" s="9" t="inlineStr">
        <is>
          <t>Module 7 · In all weathers</t>
        </is>
      </c>
      <c r="C246" s="9" t="inlineStr">
        <is>
          <t>7a</t>
        </is>
      </c>
      <c r="D246" s="9" t="inlineStr">
        <is>
          <t>Impersonal it</t>
        </is>
      </c>
      <c r="E246" s="23" t="inlineStr">
        <is>
          <t>Impersonal it: время и расстояние</t>
        </is>
      </c>
      <c r="F246" s="26" t="inlineStr">
        <is>
          <t>новое</t>
        </is>
      </c>
      <c r="G246" s="9" t="inlineStr">
        <is>
          <t>It is 6 o'clock. It's late. It is five miles from here.</t>
        </is>
      </c>
      <c r="H246" s="25" t="inlineStr">
        <is>
          <t>10+</t>
        </is>
      </c>
      <c r="I246" s="9">
        <f>IFERROR(INDEX('Темы × классы'!$R:$R,MATCH(E246,'Темы × классы'!$E:$E,0)),"")</f>
        <v/>
      </c>
      <c r="J246" s="9">
        <f>IFERROR(INDEX('Темы × классы'!$S:$S,MATCH(E246,'Темы × классы'!$E:$E,0))&amp;"","")</f>
        <v/>
      </c>
      <c r="K246" s="9" t="inlineStr">
        <is>
          <t>не начат</t>
        </is>
      </c>
      <c r="L246" s="9" t="inlineStr">
        <is>
          <t>Spotlight / 5 класс / Module 7 · In all weathers / Impersonal it / Impersonal it: время и расстояние</t>
        </is>
      </c>
    </row>
    <row r="247">
      <c r="A247" s="25" t="n">
        <v>5</v>
      </c>
      <c r="B247" s="9" t="inlineStr">
        <is>
          <t>Module 7 · In all weathers</t>
        </is>
      </c>
      <c r="C247" s="9" t="inlineStr">
        <is>
          <t>7a</t>
        </is>
      </c>
      <c r="D247" s="9" t="inlineStr">
        <is>
          <t>Impersonal it</t>
        </is>
      </c>
      <c r="E247" s="23" t="inlineStr">
        <is>
          <t>Impersonal it: погода и явления природы</t>
        </is>
      </c>
      <c r="F247" s="26" t="inlineStr">
        <is>
          <t>новое</t>
        </is>
      </c>
      <c r="G247" s="9" t="inlineStr">
        <is>
          <t>It's freezing.</t>
        </is>
      </c>
      <c r="H247" s="25" t="inlineStr">
        <is>
          <t>10+</t>
        </is>
      </c>
      <c r="I247" s="9">
        <f>IFERROR(INDEX('Темы × классы'!$R:$R,MATCH(E247,'Темы × классы'!$E:$E,0)),"")</f>
        <v/>
      </c>
      <c r="J247" s="9">
        <f>IFERROR(INDEX('Темы × классы'!$S:$S,MATCH(E247,'Темы × классы'!$E:$E,0))&amp;"","")</f>
        <v/>
      </c>
      <c r="K247" s="9" t="inlineStr">
        <is>
          <t>не начат</t>
        </is>
      </c>
      <c r="L247" s="9" t="inlineStr">
        <is>
          <t>Spotlight / 5 класс / Module 7 · In all weathers / Impersonal it / Impersonal it: погода и явления природы</t>
        </is>
      </c>
    </row>
    <row r="248">
      <c r="A248" s="25" t="n">
        <v>5</v>
      </c>
      <c r="B248" s="9" t="inlineStr">
        <is>
          <t>Module 7 · In all weathers</t>
        </is>
      </c>
      <c r="C248" s="9" t="inlineStr">
        <is>
          <t>7a</t>
        </is>
      </c>
      <c r="D248" s="9" t="inlineStr">
        <is>
          <t>Question tags</t>
        </is>
      </c>
      <c r="E248" s="23" t="inlineStr">
        <is>
          <t>Question tags: образование — вспомогательный глагол + местоимение (do/does)</t>
        </is>
      </c>
      <c r="F248" s="25" t="inlineStr">
        <is>
          <t>повторение</t>
        </is>
      </c>
      <c r="G248" s="9" t="inlineStr"/>
      <c r="H248" s="25" t="inlineStr">
        <is>
          <t>10+</t>
        </is>
      </c>
      <c r="I248" s="9">
        <f>IFERROR(INDEX('Темы × классы'!$R:$R,MATCH(E248,'Темы × классы'!$E:$E,0)),"")</f>
        <v/>
      </c>
      <c r="J248" s="9">
        <f>IFERROR(INDEX('Темы × классы'!$S:$S,MATCH(E248,'Темы × классы'!$E:$E,0))&amp;"","")</f>
        <v/>
      </c>
      <c r="K248" s="9" t="inlineStr">
        <is>
          <t>не начат</t>
        </is>
      </c>
      <c r="L248" s="9" t="inlineStr">
        <is>
          <t>Spotlight / 5 класс / Module 7 · In all weathers / Question tags / Question tags: образование — вспомогательный глагол + местоимение (do/does)</t>
        </is>
      </c>
    </row>
    <row r="249">
      <c r="A249" s="25" t="n">
        <v>5</v>
      </c>
      <c r="B249" s="9" t="inlineStr">
        <is>
          <t>Module 7 · In all weathers</t>
        </is>
      </c>
      <c r="C249" s="9" t="inlineStr">
        <is>
          <t>7a</t>
        </is>
      </c>
      <c r="D249" s="9" t="inlineStr">
        <is>
          <t>Question tags</t>
        </is>
      </c>
      <c r="E249" s="23" t="inlineStr">
        <is>
          <t>Question tags: с be и модальными глаголами (isn't she, can't she)</t>
        </is>
      </c>
      <c r="F249" s="25" t="inlineStr">
        <is>
          <t>повторение</t>
        </is>
      </c>
      <c r="G249" s="9" t="inlineStr"/>
      <c r="H249" s="25" t="inlineStr">
        <is>
          <t>10+</t>
        </is>
      </c>
      <c r="I249" s="9">
        <f>IFERROR(INDEX('Темы × классы'!$R:$R,MATCH(E249,'Темы × классы'!$E:$E,0)),"")</f>
        <v/>
      </c>
      <c r="J249" s="9">
        <f>IFERROR(INDEX('Темы × классы'!$S:$S,MATCH(E249,'Темы × классы'!$E:$E,0))&amp;"","")</f>
        <v/>
      </c>
      <c r="K249" s="9" t="inlineStr">
        <is>
          <t>не начат</t>
        </is>
      </c>
      <c r="L249" s="9" t="inlineStr">
        <is>
          <t>Spotlight / 5 класс / Module 7 · In all weathers / Question tags / Question tags: с be и модальными глаголами (isn't she, can't she)</t>
        </is>
      </c>
    </row>
    <row r="250">
      <c r="A250" s="25" t="n">
        <v>5</v>
      </c>
      <c r="B250" s="9" t="inlineStr">
        <is>
          <t>Module 7 · In all weathers</t>
        </is>
      </c>
      <c r="C250" s="9" t="inlineStr">
        <is>
          <t>7a</t>
        </is>
      </c>
      <c r="D250" s="9" t="inlineStr">
        <is>
          <t>Question tags</t>
        </is>
      </c>
      <c r="E250" s="23" t="inlineStr">
        <is>
          <t>Question tags: утверждение → отрицательный хвост, отрицание → утвердительный</t>
        </is>
      </c>
      <c r="F250" s="25" t="inlineStr">
        <is>
          <t>повторение</t>
        </is>
      </c>
      <c r="G250" s="9" t="inlineStr">
        <is>
          <t>повторение правил 5c, нового нет</t>
        </is>
      </c>
      <c r="H250" s="25" t="inlineStr">
        <is>
          <t>10+</t>
        </is>
      </c>
      <c r="I250" s="9">
        <f>IFERROR(INDEX('Темы × классы'!$R:$R,MATCH(E250,'Темы × классы'!$E:$E,0)),"")</f>
        <v/>
      </c>
      <c r="J250" s="9">
        <f>IFERROR(INDEX('Темы × классы'!$S:$S,MATCH(E250,'Темы × классы'!$E:$E,0))&amp;"","")</f>
        <v/>
      </c>
      <c r="K250" s="9" t="inlineStr">
        <is>
          <t>не начат</t>
        </is>
      </c>
      <c r="L250" s="9" t="inlineStr">
        <is>
          <t>Spotlight / 5 класс / Module 7 · In all weathers / Question tags / Question tags: утверждение → отрицательный хвост, отрицание → утвердительный</t>
        </is>
      </c>
    </row>
    <row r="251">
      <c r="A251" s="25" t="n">
        <v>5</v>
      </c>
      <c r="B251" s="9" t="inlineStr">
        <is>
          <t>Module 8 · Special days</t>
        </is>
      </c>
      <c r="C251" s="9" t="inlineStr">
        <is>
          <t>8a</t>
        </is>
      </c>
      <c r="D251" s="9" t="inlineStr">
        <is>
          <t>Countable / Uncountable nouns</t>
        </is>
      </c>
      <c r="E251" s="23" t="inlineStr">
        <is>
          <t>Countable / Uncountable: различие исчисляемых и неисчисляемых</t>
        </is>
      </c>
      <c r="F251" s="27" t="inlineStr">
        <is>
          <t>расширение</t>
        </is>
      </c>
      <c r="G251" s="9" t="inlineStr">
        <is>
          <t>определение: у исчисляемых ед. и мн. ч., у неисчисляемых мн. ч. нет</t>
        </is>
      </c>
      <c r="H251" s="25" t="inlineStr">
        <is>
          <t>10+</t>
        </is>
      </c>
      <c r="I251" s="9">
        <f>IFERROR(INDEX('Темы × классы'!$R:$R,MATCH(E251,'Темы × классы'!$E:$E,0)),"")</f>
        <v/>
      </c>
      <c r="J251" s="9">
        <f>IFERROR(INDEX('Темы × классы'!$S:$S,MATCH(E251,'Темы × классы'!$E:$E,0))&amp;"","")</f>
        <v/>
      </c>
      <c r="K251" s="9" t="inlineStr">
        <is>
          <t>не начат</t>
        </is>
      </c>
      <c r="L251" s="9" t="inlineStr">
        <is>
          <t>Spotlight / 5 класс / Module 8 · Special days / Countable / Uncountable nouns / Countable / Uncountable: различие исчисляемых и неисчисляемых</t>
        </is>
      </c>
    </row>
    <row r="252">
      <c r="A252" s="25" t="n">
        <v>5</v>
      </c>
      <c r="B252" s="9" t="inlineStr">
        <is>
          <t>Module 8 · Special days</t>
        </is>
      </c>
      <c r="C252" s="9" t="inlineStr">
        <is>
          <t>8a</t>
        </is>
      </c>
      <c r="D252" s="9" t="inlineStr">
        <is>
          <t>Countable / Uncountable nouns</t>
        </is>
      </c>
      <c r="E252" s="23" t="inlineStr">
        <is>
          <t>Countable / Uncountable: неисчисляемые — еда и жидкости</t>
        </is>
      </c>
      <c r="F252" s="26" t="inlineStr">
        <is>
          <t>новое</t>
        </is>
      </c>
      <c r="G252" s="9" t="inlineStr">
        <is>
          <t>cheese, sugar, butter, salt, rice, flour; water, tea, milk…</t>
        </is>
      </c>
      <c r="H252" s="25" t="inlineStr">
        <is>
          <t>10+</t>
        </is>
      </c>
      <c r="I252" s="9">
        <f>IFERROR(INDEX('Темы × классы'!$R:$R,MATCH(E252,'Темы × классы'!$E:$E,0)),"")</f>
        <v/>
      </c>
      <c r="J252" s="9">
        <f>IFERROR(INDEX('Темы × классы'!$S:$S,MATCH(E252,'Темы × классы'!$E:$E,0))&amp;"","")</f>
        <v/>
      </c>
      <c r="K252" s="9" t="inlineStr">
        <is>
          <t>не начат</t>
        </is>
      </c>
      <c r="L252" s="9" t="inlineStr">
        <is>
          <t>Spotlight / 5 класс / Module 8 · Special days / Countable / Uncountable nouns / Countable / Uncountable: неисчисляемые — еда и жидкости</t>
        </is>
      </c>
    </row>
    <row r="253">
      <c r="A253" s="25" t="n">
        <v>5</v>
      </c>
      <c r="B253" s="9" t="inlineStr">
        <is>
          <t>Module 8 · Special days</t>
        </is>
      </c>
      <c r="C253" s="9" t="inlineStr">
        <is>
          <t>8a</t>
        </is>
      </c>
      <c r="D253" s="9" t="inlineStr">
        <is>
          <t>Countable / Uncountable nouns</t>
        </is>
      </c>
      <c r="E253" s="23" t="inlineStr">
        <is>
          <t>Countable / Uncountable: количество с неисчисляемыми (a jar of, a bottle of)</t>
        </is>
      </c>
      <c r="F253" s="26" t="inlineStr">
        <is>
          <t>новое</t>
        </is>
      </c>
      <c r="G253" s="9" t="inlineStr">
        <is>
          <t>15 слов: jar, bottle, piece, loaf, cup, bar, glass, kilo…</t>
        </is>
      </c>
      <c r="H253" s="25" t="inlineStr">
        <is>
          <t>10+</t>
        </is>
      </c>
      <c r="I253" s="9">
        <f>IFERROR(INDEX('Темы × классы'!$R:$R,MATCH(E253,'Темы × классы'!$E:$E,0)),"")</f>
        <v/>
      </c>
      <c r="J253" s="9">
        <f>IFERROR(INDEX('Темы × классы'!$S:$S,MATCH(E253,'Темы × классы'!$E:$E,0))&amp;"","")</f>
        <v/>
      </c>
      <c r="K253" s="9" t="inlineStr">
        <is>
          <t>не начат</t>
        </is>
      </c>
      <c r="L253" s="9" t="inlineStr">
        <is>
          <t>Spotlight / 5 класс / Module 8 · Special days / Countable / Uncountable nouns / Countable / Uncountable: количество с неисчисляемыми (a jar of, a bottle of)</t>
        </is>
      </c>
    </row>
    <row r="254">
      <c r="A254" s="25" t="n">
        <v>5</v>
      </c>
      <c r="B254" s="9" t="inlineStr">
        <is>
          <t>Module 8 · Special days</t>
        </is>
      </c>
      <c r="C254" s="9" t="inlineStr">
        <is>
          <t>8a</t>
        </is>
      </c>
      <c r="D254" s="9" t="inlineStr">
        <is>
          <t>Countable / Uncountable nouns</t>
        </is>
      </c>
      <c r="E254" s="23" t="inlineStr">
        <is>
          <t>Countable / Uncountable: существительные без ед. числа (clothes, jeans)</t>
        </is>
      </c>
      <c r="F254" s="26" t="inlineStr">
        <is>
          <t>новое</t>
        </is>
      </c>
      <c r="G254" s="9" t="inlineStr">
        <is>
          <t>clothes, shorts, jeans, trousers, stairs, scissors</t>
        </is>
      </c>
      <c r="H254" s="25" t="inlineStr">
        <is>
          <t>10+</t>
        </is>
      </c>
      <c r="I254" s="9">
        <f>IFERROR(INDEX('Темы × классы'!$R:$R,MATCH(E254,'Темы × классы'!$E:$E,0)),"")</f>
        <v/>
      </c>
      <c r="J254" s="9">
        <f>IFERROR(INDEX('Темы × классы'!$S:$S,MATCH(E254,'Темы × классы'!$E:$E,0))&amp;"","")</f>
        <v/>
      </c>
      <c r="K254" s="9" t="inlineStr">
        <is>
          <t>не начат</t>
        </is>
      </c>
      <c r="L254" s="9" t="inlineStr">
        <is>
          <t>Spotlight / 5 класс / Module 8 · Special days / Countable / Uncountable nouns / Countable / Uncountable: существительные без ед. числа (clothes, jeans)</t>
        </is>
      </c>
    </row>
    <row r="255">
      <c r="A255" s="25" t="n">
        <v>5</v>
      </c>
      <c r="B255" s="9" t="inlineStr">
        <is>
          <t>Module 8 · Special days</t>
        </is>
      </c>
      <c r="C255" s="9" t="inlineStr">
        <is>
          <t>8b</t>
        </is>
      </c>
      <c r="D255" s="9" t="inlineStr">
        <is>
          <t>a/an/some/any</t>
        </is>
      </c>
      <c r="E255" s="23" t="inlineStr">
        <is>
          <t>a/an/some/any: some — в утверждениях (неисчисляемые и мн. ч.)</t>
        </is>
      </c>
      <c r="F255" s="25" t="inlineStr">
        <is>
          <t>повторение</t>
        </is>
      </c>
      <c r="G255" s="9" t="inlineStr">
        <is>
          <t>There are some pencils / There is some jam</t>
        </is>
      </c>
      <c r="H255" s="25" t="inlineStr">
        <is>
          <t>10+</t>
        </is>
      </c>
      <c r="I255" s="9">
        <f>IFERROR(INDEX('Темы × классы'!$R:$R,MATCH(E255,'Темы × классы'!$E:$E,0)),"")</f>
        <v/>
      </c>
      <c r="J255" s="9">
        <f>IFERROR(INDEX('Темы × классы'!$S:$S,MATCH(E255,'Темы × классы'!$E:$E,0))&amp;"","")</f>
        <v/>
      </c>
      <c r="K255" s="9" t="inlineStr">
        <is>
          <t>не начат</t>
        </is>
      </c>
      <c r="L255" s="9" t="inlineStr">
        <is>
          <t>Spotlight / 5 класс / Module 8 · Special days / a/an/some/any / a/an/some/any: some — в утверждениях (неисчисляемые и мн. ч.)</t>
        </is>
      </c>
    </row>
    <row r="256">
      <c r="A256" s="25" t="n">
        <v>5</v>
      </c>
      <c r="B256" s="9" t="inlineStr">
        <is>
          <t>Module 8 · Special days</t>
        </is>
      </c>
      <c r="C256" s="9" t="inlineStr">
        <is>
          <t>8b</t>
        </is>
      </c>
      <c r="D256" s="9" t="inlineStr">
        <is>
          <t>a/an/some/any</t>
        </is>
      </c>
      <c r="E256" s="23" t="inlineStr">
        <is>
          <t>a/an/some/any: any — в отрицаниях</t>
        </is>
      </c>
      <c r="F256" s="25" t="inlineStr">
        <is>
          <t>повторение</t>
        </is>
      </c>
      <c r="G256" s="9" t="inlineStr">
        <is>
          <t>There aren't any pencils / isn't any jam</t>
        </is>
      </c>
      <c r="H256" s="25" t="inlineStr">
        <is>
          <t>10+</t>
        </is>
      </c>
      <c r="I256" s="9">
        <f>IFERROR(INDEX('Темы × классы'!$R:$R,MATCH(E256,'Темы × классы'!$E:$E,0)),"")</f>
        <v/>
      </c>
      <c r="J256" s="9">
        <f>IFERROR(INDEX('Темы × классы'!$S:$S,MATCH(E256,'Темы × классы'!$E:$E,0))&amp;"","")</f>
        <v/>
      </c>
      <c r="K256" s="9" t="inlineStr">
        <is>
          <t>не начат</t>
        </is>
      </c>
      <c r="L256" s="9" t="inlineStr">
        <is>
          <t>Spotlight / 5 класс / Module 8 · Special days / a/an/some/any / a/an/some/any: any — в отрицаниях</t>
        </is>
      </c>
    </row>
    <row r="257">
      <c r="A257" s="25" t="n">
        <v>5</v>
      </c>
      <c r="B257" s="9" t="inlineStr">
        <is>
          <t>Module 8 · Special days</t>
        </is>
      </c>
      <c r="C257" s="9" t="inlineStr">
        <is>
          <t>8b</t>
        </is>
      </c>
      <c r="D257" s="9" t="inlineStr">
        <is>
          <t>a/an/some/any</t>
        </is>
      </c>
      <c r="E257" s="23" t="inlineStr">
        <is>
          <t>a/an/some/any: any — в вопросах</t>
        </is>
      </c>
      <c r="F257" s="25" t="inlineStr">
        <is>
          <t>повторение</t>
        </is>
      </c>
      <c r="G257" s="9" t="inlineStr">
        <is>
          <t>Are there any pencils? Is there any jam?</t>
        </is>
      </c>
      <c r="H257" s="25" t="inlineStr">
        <is>
          <t>10+</t>
        </is>
      </c>
      <c r="I257" s="9">
        <f>IFERROR(INDEX('Темы × классы'!$R:$R,MATCH(E257,'Темы × классы'!$E:$E,0)),"")</f>
        <v/>
      </c>
      <c r="J257" s="9">
        <f>IFERROR(INDEX('Темы × классы'!$S:$S,MATCH(E257,'Темы × классы'!$E:$E,0))&amp;"","")</f>
        <v/>
      </c>
      <c r="K257" s="9" t="inlineStr">
        <is>
          <t>не начат</t>
        </is>
      </c>
      <c r="L257" s="9" t="inlineStr">
        <is>
          <t>Spotlight / 5 класс / Module 8 · Special days / a/an/some/any / a/an/some/any: any — в вопросах</t>
        </is>
      </c>
    </row>
    <row r="258">
      <c r="A258" s="25" t="n">
        <v>5</v>
      </c>
      <c r="B258" s="9" t="inlineStr">
        <is>
          <t>Module 8 · Special days</t>
        </is>
      </c>
      <c r="C258" s="9" t="inlineStr">
        <is>
          <t>8b</t>
        </is>
      </c>
      <c r="D258" s="9" t="inlineStr">
        <is>
          <t>a/an/some/any</t>
        </is>
      </c>
      <c r="E258" s="23" t="inlineStr">
        <is>
          <t>a/an/some/any: some в вопросах — просьба и предложение</t>
        </is>
      </c>
      <c r="F258" s="25" t="inlineStr">
        <is>
          <t>повторение</t>
        </is>
      </c>
      <c r="G258" s="9" t="inlineStr">
        <is>
          <t>только в примере: Can I have some water, please?</t>
        </is>
      </c>
      <c r="H258" s="25" t="inlineStr">
        <is>
          <t>10+</t>
        </is>
      </c>
      <c r="I258" s="9">
        <f>IFERROR(INDEX('Темы × классы'!$R:$R,MATCH(E258,'Темы × классы'!$E:$E,0)),"")</f>
        <v/>
      </c>
      <c r="J258" s="9">
        <f>IFERROR(INDEX('Темы × классы'!$S:$S,MATCH(E258,'Темы × классы'!$E:$E,0))&amp;"","")</f>
        <v/>
      </c>
      <c r="K258" s="9" t="inlineStr">
        <is>
          <t>не начат</t>
        </is>
      </c>
      <c r="L258" s="9" t="inlineStr">
        <is>
          <t>Spotlight / 5 класс / Module 8 · Special days / a/an/some/any / a/an/some/any: some в вопросах — просьба и предложение</t>
        </is>
      </c>
    </row>
    <row r="259">
      <c r="A259" s="25" t="n">
        <v>5</v>
      </c>
      <c r="B259" s="9" t="inlineStr">
        <is>
          <t>Module 8 · Special days</t>
        </is>
      </c>
      <c r="C259" s="9" t="inlineStr">
        <is>
          <t>8b</t>
        </is>
      </c>
      <c r="D259" s="9" t="inlineStr">
        <is>
          <t>a/an/some/any</t>
        </is>
      </c>
      <c r="E259" s="23" t="inlineStr">
        <is>
          <t>a/an/some/any: a/an vs some/any — исчисляемые ед. ч. во всех типах предложений</t>
        </is>
      </c>
      <c r="F259" s="26" t="inlineStr">
        <is>
          <t>новое</t>
        </is>
      </c>
      <c r="G259" s="9" t="inlineStr">
        <is>
          <t>There is an apple / There isn't an apple / Is there an apple?</t>
        </is>
      </c>
      <c r="H259" s="25" t="inlineStr">
        <is>
          <t>10+</t>
        </is>
      </c>
      <c r="I259" s="9">
        <f>IFERROR(INDEX('Темы × классы'!$R:$R,MATCH(E259,'Темы × классы'!$E:$E,0)),"")</f>
        <v/>
      </c>
      <c r="J259" s="9">
        <f>IFERROR(INDEX('Темы × классы'!$S:$S,MATCH(E259,'Темы × классы'!$E:$E,0))&amp;"","")</f>
        <v/>
      </c>
      <c r="K259" s="9" t="inlineStr">
        <is>
          <t>не начат</t>
        </is>
      </c>
      <c r="L259" s="9" t="inlineStr">
        <is>
          <t>Spotlight / 5 класс / Module 8 · Special days / a/an/some/any / a/an/some/any: a/an vs some/any — исчисляемые ед. ч. во всех типах предложений</t>
        </is>
      </c>
    </row>
    <row r="260">
      <c r="A260" s="25" t="n">
        <v>5</v>
      </c>
      <c r="B260" s="9" t="inlineStr">
        <is>
          <t>Module 8 · Special days</t>
        </is>
      </c>
      <c r="C260" s="9" t="inlineStr">
        <is>
          <t>8b</t>
        </is>
      </c>
      <c r="D260" s="9" t="inlineStr">
        <is>
          <t>a/an/some/any</t>
        </is>
      </c>
      <c r="E260" s="23" t="inlineStr">
        <is>
          <t>a/an/some/any: перевод some — «несколько» / «немного» / не переводится</t>
        </is>
      </c>
      <c r="F260" s="26" t="inlineStr">
        <is>
          <t>новое</t>
        </is>
      </c>
      <c r="G260" s="9" t="inlineStr">
        <is>
          <t>перед неисч. не переводится, перед исч. — «несколько»</t>
        </is>
      </c>
      <c r="H260" s="25" t="inlineStr">
        <is>
          <t>10+</t>
        </is>
      </c>
      <c r="I260" s="9">
        <f>IFERROR(INDEX('Темы × классы'!$R:$R,MATCH(E260,'Темы × классы'!$E:$E,0)),"")</f>
        <v/>
      </c>
      <c r="J260" s="9">
        <f>IFERROR(INDEX('Темы × классы'!$S:$S,MATCH(E260,'Темы × классы'!$E:$E,0))&amp;"","")</f>
        <v/>
      </c>
      <c r="K260" s="9" t="inlineStr">
        <is>
          <t>не начат</t>
        </is>
      </c>
      <c r="L260" s="9" t="inlineStr">
        <is>
          <t>Spotlight / 5 класс / Module 8 · Special days / a/an/some/any / a/an/some/any: перевод some — «несколько» / «немного» / не переводится</t>
        </is>
      </c>
    </row>
    <row r="261">
      <c r="A261" s="25" t="n">
        <v>5</v>
      </c>
      <c r="B261" s="9" t="inlineStr">
        <is>
          <t>Module 8 · Special days</t>
        </is>
      </c>
      <c r="C261" s="9" t="inlineStr">
        <is>
          <t>8b</t>
        </is>
      </c>
      <c r="D261" s="9" t="inlineStr">
        <is>
          <t>much/many/a lot of</t>
        </is>
      </c>
      <c r="E261" s="23" t="inlineStr">
        <is>
          <t>much/many/a lot of: a lot of / lots of — в утверждениях (исчисляемые и неисчисляемые)</t>
        </is>
      </c>
      <c r="F261" s="25" t="inlineStr">
        <is>
          <t>повторение</t>
        </is>
      </c>
      <c r="G261" s="9" t="inlineStr"/>
      <c r="H261" s="25" t="inlineStr">
        <is>
          <t>10+</t>
        </is>
      </c>
      <c r="I261" s="9">
        <f>IFERROR(INDEX('Темы × классы'!$R:$R,MATCH(E261,'Темы × классы'!$E:$E,0)),"")</f>
        <v/>
      </c>
      <c r="J261" s="9">
        <f>IFERROR(INDEX('Темы × классы'!$S:$S,MATCH(E261,'Темы × классы'!$E:$E,0))&amp;"","")</f>
        <v/>
      </c>
      <c r="K261" s="9" t="inlineStr">
        <is>
          <t>не начат</t>
        </is>
      </c>
      <c r="L261" s="9" t="inlineStr">
        <is>
          <t>Spotlight / 5 класс / Module 8 · Special days / much/many/a lot of / much/many/a lot of: a lot of / lots of — в утверждениях (исчисляемые и неисчисляемые)</t>
        </is>
      </c>
    </row>
    <row r="262">
      <c r="A262" s="25" t="n">
        <v>5</v>
      </c>
      <c r="B262" s="9" t="inlineStr">
        <is>
          <t>Module 8 · Special days</t>
        </is>
      </c>
      <c r="C262" s="9" t="inlineStr">
        <is>
          <t>8b</t>
        </is>
      </c>
      <c r="D262" s="9" t="inlineStr">
        <is>
          <t>much/many/a lot of</t>
        </is>
      </c>
      <c r="E262" s="23" t="inlineStr">
        <is>
          <t>much/many/a lot of: much/many — отрицание</t>
        </is>
      </c>
      <c r="F262" s="25" t="inlineStr">
        <is>
          <t>повторение</t>
        </is>
      </c>
      <c r="G262" s="9" t="inlineStr"/>
      <c r="H262" s="25" t="inlineStr">
        <is>
          <t>10+</t>
        </is>
      </c>
      <c r="I262" s="9">
        <f>IFERROR(INDEX('Темы × классы'!$R:$R,MATCH(E262,'Темы × классы'!$E:$E,0)),"")</f>
        <v/>
      </c>
      <c r="J262" s="9">
        <f>IFERROR(INDEX('Темы × классы'!$S:$S,MATCH(E262,'Темы × классы'!$E:$E,0))&amp;"","")</f>
        <v/>
      </c>
      <c r="K262" s="9" t="inlineStr">
        <is>
          <t>не начат</t>
        </is>
      </c>
      <c r="L262" s="9" t="inlineStr">
        <is>
          <t>Spotlight / 5 класс / Module 8 · Special days / much/many/a lot of / much/many/a lot of: much/many — отрицание</t>
        </is>
      </c>
    </row>
    <row r="263">
      <c r="A263" s="25" t="n">
        <v>5</v>
      </c>
      <c r="B263" s="9" t="inlineStr">
        <is>
          <t>Module 8 · Special days</t>
        </is>
      </c>
      <c r="C263" s="9" t="inlineStr">
        <is>
          <t>8b</t>
        </is>
      </c>
      <c r="D263" s="9" t="inlineStr">
        <is>
          <t>much/many/a lot of</t>
        </is>
      </c>
      <c r="E263" s="23" t="inlineStr">
        <is>
          <t>much/many/a lot of: much/many — вопросы</t>
        </is>
      </c>
      <c r="F263" s="25" t="inlineStr">
        <is>
          <t>повторение</t>
        </is>
      </c>
      <c r="G263" s="9" t="inlineStr"/>
      <c r="H263" s="25" t="inlineStr">
        <is>
          <t>10+</t>
        </is>
      </c>
      <c r="I263" s="9">
        <f>IFERROR(INDEX('Темы × классы'!$R:$R,MATCH(E263,'Темы × классы'!$E:$E,0)),"")</f>
        <v/>
      </c>
      <c r="J263" s="9">
        <f>IFERROR(INDEX('Темы × классы'!$S:$S,MATCH(E263,'Темы × классы'!$E:$E,0))&amp;"","")</f>
        <v/>
      </c>
      <c r="K263" s="9" t="inlineStr">
        <is>
          <t>не начат</t>
        </is>
      </c>
      <c r="L263" s="9" t="inlineStr">
        <is>
          <t>Spotlight / 5 класс / Module 8 · Special days / much/many/a lot of / much/many/a lot of: much/many — вопросы</t>
        </is>
      </c>
    </row>
    <row r="264">
      <c r="A264" s="25" t="n">
        <v>5</v>
      </c>
      <c r="B264" s="9" t="inlineStr">
        <is>
          <t>Module 8 · Special days</t>
        </is>
      </c>
      <c r="C264" s="9" t="inlineStr">
        <is>
          <t>8b</t>
        </is>
      </c>
      <c r="D264" s="9" t="inlineStr">
        <is>
          <t>much/many/a lot of</t>
        </is>
      </c>
      <c r="E264" s="23" t="inlineStr">
        <is>
          <t>much/many/a lot of: How much? / How many?</t>
        </is>
      </c>
      <c r="F264" s="25" t="inlineStr">
        <is>
          <t>повторение</t>
        </is>
      </c>
      <c r="G264" s="9" t="inlineStr">
        <is>
          <t>How much sugar have you got?</t>
        </is>
      </c>
      <c r="H264" s="25" t="inlineStr">
        <is>
          <t>10+</t>
        </is>
      </c>
      <c r="I264" s="9">
        <f>IFERROR(INDEX('Темы × классы'!$R:$R,MATCH(E264,'Темы × классы'!$E:$E,0)),"")</f>
        <v/>
      </c>
      <c r="J264" s="9">
        <f>IFERROR(INDEX('Темы × классы'!$S:$S,MATCH(E264,'Темы × классы'!$E:$E,0))&amp;"","")</f>
        <v/>
      </c>
      <c r="K264" s="9" t="inlineStr">
        <is>
          <t>не начат</t>
        </is>
      </c>
      <c r="L264" s="9" t="inlineStr">
        <is>
          <t>Spotlight / 5 класс / Module 8 · Special days / much/many/a lot of / much/many/a lot of: How much? / How many?</t>
        </is>
      </c>
    </row>
    <row r="265">
      <c r="A265" s="25" t="n">
        <v>5</v>
      </c>
      <c r="B265" s="9" t="inlineStr">
        <is>
          <t>Module 8 · Special days</t>
        </is>
      </c>
      <c r="C265" s="9" t="inlineStr">
        <is>
          <t>8b</t>
        </is>
      </c>
      <c r="D265" s="9" t="inlineStr">
        <is>
          <t>a few/a little</t>
        </is>
      </c>
      <c r="E265" s="23" t="inlineStr">
        <is>
          <t>a few/a little: a few — с исчисляемыми мн. ч. («несколько»)</t>
        </is>
      </c>
      <c r="F265" s="26" t="inlineStr">
        <is>
          <t>новое</t>
        </is>
      </c>
      <c r="G265" s="9" t="inlineStr">
        <is>
          <t>There are a few eggs</t>
        </is>
      </c>
      <c r="H265" s="25" t="inlineStr">
        <is>
          <t>10+</t>
        </is>
      </c>
      <c r="I265" s="9">
        <f>IFERROR(INDEX('Темы × классы'!$R:$R,MATCH(E265,'Темы × классы'!$E:$E,0)),"")</f>
        <v/>
      </c>
      <c r="J265" s="9">
        <f>IFERROR(INDEX('Темы × классы'!$S:$S,MATCH(E265,'Темы × классы'!$E:$E,0))&amp;"","")</f>
        <v/>
      </c>
      <c r="K265" s="9" t="inlineStr">
        <is>
          <t>не начат</t>
        </is>
      </c>
      <c r="L265" s="9" t="inlineStr">
        <is>
          <t>Spotlight / 5 класс / Module 8 · Special days / a few/a little / a few/a little: a few — с исчисляемыми мн. ч. («несколько»)</t>
        </is>
      </c>
    </row>
    <row r="266">
      <c r="A266" s="25" t="n">
        <v>5</v>
      </c>
      <c r="B266" s="9" t="inlineStr">
        <is>
          <t>Module 8 · Special days</t>
        </is>
      </c>
      <c r="C266" s="9" t="inlineStr">
        <is>
          <t>8b</t>
        </is>
      </c>
      <c r="D266" s="9" t="inlineStr">
        <is>
          <t>a few/a little</t>
        </is>
      </c>
      <c r="E266" s="23" t="inlineStr">
        <is>
          <t>a few/a little: a little — с неисчисляемыми («немного»)</t>
        </is>
      </c>
      <c r="F266" s="26" t="inlineStr">
        <is>
          <t>новое</t>
        </is>
      </c>
      <c r="G266" s="9" t="inlineStr">
        <is>
          <t>Put a little sugar</t>
        </is>
      </c>
      <c r="H266" s="25" t="inlineStr">
        <is>
          <t>10+</t>
        </is>
      </c>
      <c r="I266" s="9">
        <f>IFERROR(INDEX('Темы × классы'!$R:$R,MATCH(E266,'Темы × классы'!$E:$E,0)),"")</f>
        <v/>
      </c>
      <c r="J266" s="9">
        <f>IFERROR(INDEX('Темы × классы'!$S:$S,MATCH(E266,'Темы × классы'!$E:$E,0))&amp;"","")</f>
        <v/>
      </c>
      <c r="K266" s="9" t="inlineStr">
        <is>
          <t>не начат</t>
        </is>
      </c>
      <c r="L266" s="9" t="inlineStr">
        <is>
          <t>Spotlight / 5 класс / Module 8 · Special days / a few/a little / a few/a little: a little — с неисчисляемыми («немного»)</t>
        </is>
      </c>
    </row>
    <row r="267">
      <c r="A267" s="25" t="n">
        <v>5</v>
      </c>
      <c r="B267" s="9" t="inlineStr">
        <is>
          <t>Module 8 · Special days</t>
        </is>
      </c>
      <c r="C267" s="9" t="inlineStr">
        <is>
          <t>8b</t>
        </is>
      </c>
      <c r="D267" s="9" t="inlineStr">
        <is>
          <t>a few/a little</t>
        </is>
      </c>
      <c r="E267" s="23" t="inlineStr">
        <is>
          <t>a few/a little: few / little — «мало»</t>
        </is>
      </c>
      <c r="F267" s="26" t="inlineStr">
        <is>
          <t>новое</t>
        </is>
      </c>
      <c r="G267" s="9" t="inlineStr">
        <is>
          <t>We have got few tomatoes. There is little milk.</t>
        </is>
      </c>
      <c r="H267" s="25" t="inlineStr">
        <is>
          <t>10+</t>
        </is>
      </c>
      <c r="I267" s="9">
        <f>IFERROR(INDEX('Темы × классы'!$R:$R,MATCH(E267,'Темы × классы'!$E:$E,0)),"")</f>
        <v/>
      </c>
      <c r="J267" s="9">
        <f>IFERROR(INDEX('Темы × классы'!$S:$S,MATCH(E267,'Темы × классы'!$E:$E,0))&amp;"","")</f>
        <v/>
      </c>
      <c r="K267" s="9" t="inlineStr">
        <is>
          <t>не начат</t>
        </is>
      </c>
      <c r="L267" s="9" t="inlineStr">
        <is>
          <t>Spotlight / 5 класс / Module 8 · Special days / a few/a little / a few/a little: few / little — «мало»</t>
        </is>
      </c>
    </row>
    <row r="268">
      <c r="A268" s="25" t="n">
        <v>5</v>
      </c>
      <c r="B268" s="9" t="inlineStr">
        <is>
          <t>Module 8 · Special days</t>
        </is>
      </c>
      <c r="C268" s="9" t="inlineStr">
        <is>
          <t>8b</t>
        </is>
      </c>
      <c r="D268" s="9" t="inlineStr">
        <is>
          <t>a few/a little</t>
        </is>
      </c>
      <c r="E268" s="23" t="inlineStr">
        <is>
          <t>a few/a little: a few vs few, a little vs little — «немного, но достаточно» vs «почти нет»</t>
        </is>
      </c>
      <c r="F268" s="26" t="inlineStr">
        <is>
          <t>новое</t>
        </is>
      </c>
      <c r="G268" s="9" t="inlineStr">
        <is>
          <t>противопоставление по значению</t>
        </is>
      </c>
      <c r="H268" s="25" t="inlineStr">
        <is>
          <t>10+</t>
        </is>
      </c>
      <c r="I268" s="9">
        <f>IFERROR(INDEX('Темы × классы'!$R:$R,MATCH(E268,'Темы × классы'!$E:$E,0)),"")</f>
        <v/>
      </c>
      <c r="J268" s="9">
        <f>IFERROR(INDEX('Темы × классы'!$S:$S,MATCH(E268,'Темы × классы'!$E:$E,0))&amp;"","")</f>
        <v/>
      </c>
      <c r="K268" s="9" t="inlineStr">
        <is>
          <t>не начат</t>
        </is>
      </c>
      <c r="L268" s="9" t="inlineStr">
        <is>
          <t>Spotlight / 5 класс / Module 8 · Special days / a few/a little / a few/a little: a few vs few, a little vs little — «немного, но достаточно» vs «почти нет»</t>
        </is>
      </c>
    </row>
    <row r="269">
      <c r="A269" s="25" t="n">
        <v>5</v>
      </c>
      <c r="B269" s="9" t="inlineStr">
        <is>
          <t>Module 8 · Special days</t>
        </is>
      </c>
      <c r="C269" s="9" t="inlineStr">
        <is>
          <t>8a</t>
        </is>
      </c>
      <c r="D269" s="9" t="inlineStr">
        <is>
          <t>Word formation</t>
        </is>
      </c>
      <c r="E269" s="23" t="inlineStr">
        <is>
          <t>Word formation: conversion (a dress – to dress)</t>
        </is>
      </c>
      <c r="F269" s="26" t="inlineStr">
        <is>
          <t>новое</t>
        </is>
      </c>
      <c r="G269" s="9" t="inlineStr">
        <is>
          <t>Конверсия: глагол от существительного без изменения формы (a dress – to dress).</t>
        </is>
      </c>
      <c r="H269" s="25" t="inlineStr">
        <is>
          <t>10+</t>
        </is>
      </c>
      <c r="I269" s="9">
        <f>IFERROR(INDEX('Темы × классы'!$R:$R,MATCH(E269,'Темы × классы'!$E:$E,0)),"")</f>
        <v/>
      </c>
      <c r="J269" s="9">
        <f>IFERROR(INDEX('Темы × классы'!$S:$S,MATCH(E269,'Темы × классы'!$E:$E,0))&amp;"","")</f>
        <v/>
      </c>
      <c r="K269" s="9" t="inlineStr">
        <is>
          <t>не начат</t>
        </is>
      </c>
      <c r="L269" s="9" t="inlineStr">
        <is>
          <t>Spotlight / 5 класс / Module 8 · Special days / Word formation / Word formation: conversion (a dress – to dress)</t>
        </is>
      </c>
    </row>
    <row r="270">
      <c r="A270" s="25" t="n">
        <v>5</v>
      </c>
      <c r="B270" s="9" t="inlineStr">
        <is>
          <t>Module 8 · Special days</t>
        </is>
      </c>
      <c r="C270" s="9" t="inlineStr">
        <is>
          <t>8c</t>
        </is>
      </c>
      <c r="D270" s="9" t="inlineStr">
        <is>
          <t>Word formation</t>
        </is>
      </c>
      <c r="E270" s="23" t="inlineStr">
        <is>
          <t>Word formation: un-</t>
        </is>
      </c>
      <c r="F270" s="26" t="inlineStr">
        <is>
          <t>новое</t>
        </is>
      </c>
      <c r="G270" s="9" t="inlineStr">
        <is>
          <t>Прилагательные с приставкой un-.</t>
        </is>
      </c>
      <c r="H270" s="25" t="inlineStr">
        <is>
          <t>10+</t>
        </is>
      </c>
      <c r="I270" s="9">
        <f>IFERROR(INDEX('Темы × классы'!$R:$R,MATCH(E270,'Темы × классы'!$E:$E,0)),"")</f>
        <v/>
      </c>
      <c r="J270" s="9">
        <f>IFERROR(INDEX('Темы × классы'!$S:$S,MATCH(E270,'Темы × классы'!$E:$E,0))&amp;"","")</f>
        <v/>
      </c>
      <c r="K270" s="9" t="inlineStr">
        <is>
          <t>не начат</t>
        </is>
      </c>
      <c r="L270" s="9" t="inlineStr">
        <is>
          <t>Spotlight / 5 класс / Module 8 · Special days / Word formation / Word formation: un-</t>
        </is>
      </c>
    </row>
    <row r="271">
      <c r="A271" s="25" t="n">
        <v>5</v>
      </c>
      <c r="B271" s="9" t="inlineStr">
        <is>
          <t>Module 9 · Modern living</t>
        </is>
      </c>
      <c r="C271" s="9" t="inlineStr">
        <is>
          <t>9b</t>
        </is>
      </c>
      <c r="D271" s="9" t="inlineStr">
        <is>
          <t>Past Simple</t>
        </is>
      </c>
      <c r="E271" s="23" t="inlineStr">
        <is>
          <t>Past Simple: правильные глаголы — утверждение (-ed)</t>
        </is>
      </c>
      <c r="F271" s="25" t="inlineStr">
        <is>
          <t>повторение</t>
        </is>
      </c>
      <c r="G271" s="9" t="inlineStr"/>
      <c r="H271" s="25" t="inlineStr">
        <is>
          <t>10+</t>
        </is>
      </c>
      <c r="I271" s="9">
        <f>IFERROR(INDEX('Темы × классы'!$R:$R,MATCH(E271,'Темы × классы'!$E:$E,0)),"")</f>
        <v/>
      </c>
      <c r="J271" s="9">
        <f>IFERROR(INDEX('Темы × классы'!$S:$S,MATCH(E271,'Темы × классы'!$E:$E,0))&amp;"","")</f>
        <v/>
      </c>
      <c r="K271" s="9" t="inlineStr">
        <is>
          <t>не начат</t>
        </is>
      </c>
      <c r="L271" s="9" t="inlineStr">
        <is>
          <t>Spotlight / 5 класс / Module 9 · Modern living / Past Simple / Past Simple: правильные глаголы — утверждение (-ed)</t>
        </is>
      </c>
    </row>
    <row r="272">
      <c r="A272" s="25" t="n">
        <v>5</v>
      </c>
      <c r="B272" s="9" t="inlineStr">
        <is>
          <t>Module 9 · Modern living</t>
        </is>
      </c>
      <c r="C272" s="9" t="inlineStr">
        <is>
          <t>9b</t>
        </is>
      </c>
      <c r="D272" s="9" t="inlineStr">
        <is>
          <t>Past Simple</t>
        </is>
      </c>
      <c r="E272" s="23" t="inlineStr">
        <is>
          <t>Past Simple: правильные глаголы — отрицание (didn't + V)</t>
        </is>
      </c>
      <c r="F272" s="25" t="inlineStr">
        <is>
          <t>повторение</t>
        </is>
      </c>
      <c r="G272" s="9" t="inlineStr"/>
      <c r="H272" s="25" t="inlineStr">
        <is>
          <t>10+</t>
        </is>
      </c>
      <c r="I272" s="9">
        <f>IFERROR(INDEX('Темы × классы'!$R:$R,MATCH(E272,'Темы × классы'!$E:$E,0)),"")</f>
        <v/>
      </c>
      <c r="J272" s="9">
        <f>IFERROR(INDEX('Темы × классы'!$S:$S,MATCH(E272,'Темы × классы'!$E:$E,0))&amp;"","")</f>
        <v/>
      </c>
      <c r="K272" s="9" t="inlineStr">
        <is>
          <t>не начат</t>
        </is>
      </c>
      <c r="L272" s="9" t="inlineStr">
        <is>
          <t>Spotlight / 5 класс / Module 9 · Modern living / Past Simple / Past Simple: правильные глаголы — отрицание (didn't + V)</t>
        </is>
      </c>
    </row>
    <row r="273">
      <c r="A273" s="25" t="n">
        <v>5</v>
      </c>
      <c r="B273" s="9" t="inlineStr">
        <is>
          <t>Module 9 · Modern living</t>
        </is>
      </c>
      <c r="C273" s="9" t="inlineStr">
        <is>
          <t>9b</t>
        </is>
      </c>
      <c r="D273" s="9" t="inlineStr">
        <is>
          <t>Past Simple</t>
        </is>
      </c>
      <c r="E273" s="23" t="inlineStr">
        <is>
          <t>Past Simple: правильные глаголы — вопросы (Did …?)</t>
        </is>
      </c>
      <c r="F273" s="25" t="inlineStr">
        <is>
          <t>повторение</t>
        </is>
      </c>
      <c r="G273" s="9" t="inlineStr"/>
      <c r="H273" s="25" t="inlineStr">
        <is>
          <t>10+</t>
        </is>
      </c>
      <c r="I273" s="9">
        <f>IFERROR(INDEX('Темы × классы'!$R:$R,MATCH(E273,'Темы × классы'!$E:$E,0)),"")</f>
        <v/>
      </c>
      <c r="J273" s="9">
        <f>IFERROR(INDEX('Темы × классы'!$S:$S,MATCH(E273,'Темы × классы'!$E:$E,0))&amp;"","")</f>
        <v/>
      </c>
      <c r="K273" s="9" t="inlineStr">
        <is>
          <t>не начат</t>
        </is>
      </c>
      <c r="L273" s="9" t="inlineStr">
        <is>
          <t>Spotlight / 5 класс / Module 9 · Modern living / Past Simple / Past Simple: правильные глаголы — вопросы (Did …?)</t>
        </is>
      </c>
    </row>
    <row r="274">
      <c r="A274" s="25" t="n">
        <v>5</v>
      </c>
      <c r="B274" s="9" t="inlineStr">
        <is>
          <t>Module 9 · Modern living</t>
        </is>
      </c>
      <c r="C274" s="9" t="inlineStr">
        <is>
          <t>9b, 9c</t>
        </is>
      </c>
      <c r="D274" s="9" t="inlineStr">
        <is>
          <t>Past Simple</t>
        </is>
      </c>
      <c r="E274" s="23" t="inlineStr">
        <is>
          <t>Past Simple: краткие ответы (Yes, I did / No, I didn't)</t>
        </is>
      </c>
      <c r="F274" s="25" t="inlineStr">
        <is>
          <t>повторение</t>
        </is>
      </c>
      <c r="G274" s="9" t="inlineStr"/>
      <c r="H274" s="25" t="inlineStr">
        <is>
          <t>10+</t>
        </is>
      </c>
      <c r="I274" s="9">
        <f>IFERROR(INDEX('Темы × классы'!$R:$R,MATCH(E274,'Темы × классы'!$E:$E,0)),"")</f>
        <v/>
      </c>
      <c r="J274" s="9">
        <f>IFERROR(INDEX('Темы × классы'!$S:$S,MATCH(E274,'Темы × классы'!$E:$E,0))&amp;"","")</f>
        <v/>
      </c>
      <c r="K274" s="9" t="inlineStr">
        <is>
          <t>не начат</t>
        </is>
      </c>
      <c r="L274" s="9" t="inlineStr">
        <is>
          <t>Spotlight / 5 класс / Module 9 · Modern living / Past Simple / Past Simple: краткие ответы (Yes, I did / No, I didn't)</t>
        </is>
      </c>
    </row>
    <row r="275">
      <c r="A275" s="25" t="n">
        <v>5</v>
      </c>
      <c r="B275" s="9" t="inlineStr">
        <is>
          <t>Module 9 · Modern living</t>
        </is>
      </c>
      <c r="C275" s="9" t="inlineStr">
        <is>
          <t>9b</t>
        </is>
      </c>
      <c r="D275" s="9" t="inlineStr">
        <is>
          <t>Past Simple</t>
        </is>
      </c>
      <c r="E275" s="23" t="inlineStr">
        <is>
          <t>Past Simple: орфография -ed</t>
        </is>
      </c>
      <c r="F275" s="25" t="inlineStr">
        <is>
          <t>повторение</t>
        </is>
      </c>
      <c r="G275" s="9" t="inlineStr">
        <is>
          <t>liked, studied, stopped</t>
        </is>
      </c>
      <c r="H275" s="25" t="inlineStr">
        <is>
          <t>10+</t>
        </is>
      </c>
      <c r="I275" s="9">
        <f>IFERROR(INDEX('Темы × классы'!$R:$R,MATCH(E275,'Темы × классы'!$E:$E,0)),"")</f>
        <v/>
      </c>
      <c r="J275" s="9">
        <f>IFERROR(INDEX('Темы × классы'!$S:$S,MATCH(E275,'Темы × классы'!$E:$E,0))&amp;"","")</f>
        <v/>
      </c>
      <c r="K275" s="9" t="inlineStr">
        <is>
          <t>не начат</t>
        </is>
      </c>
      <c r="L275" s="9" t="inlineStr">
        <is>
          <t>Spotlight / 5 класс / Module 9 · Modern living / Past Simple / Past Simple: орфография -ed</t>
        </is>
      </c>
    </row>
    <row r="276">
      <c r="A276" s="25" t="n">
        <v>5</v>
      </c>
      <c r="B276" s="9" t="inlineStr">
        <is>
          <t>Module 9 · Modern living</t>
        </is>
      </c>
      <c r="C276" s="9" t="inlineStr">
        <is>
          <t>9c</t>
        </is>
      </c>
      <c r="D276" s="9" t="inlineStr">
        <is>
          <t>Past Simple</t>
        </is>
      </c>
      <c r="E276" s="23" t="inlineStr">
        <is>
          <t>Past Simple: неправильные глаголы — утверждение</t>
        </is>
      </c>
      <c r="F276" s="27" t="inlineStr">
        <is>
          <t>расширение</t>
        </is>
      </c>
      <c r="G276" s="9" t="inlineStr">
        <is>
          <t>таблица ≈70 глаголов (V1–V2–V3)</t>
        </is>
      </c>
      <c r="H276" s="25" t="inlineStr">
        <is>
          <t>10+</t>
        </is>
      </c>
      <c r="I276" s="9">
        <f>IFERROR(INDEX('Темы × классы'!$R:$R,MATCH(E276,'Темы × классы'!$E:$E,0)),"")</f>
        <v/>
      </c>
      <c r="J276" s="9">
        <f>IFERROR(INDEX('Темы × классы'!$S:$S,MATCH(E276,'Темы × классы'!$E:$E,0))&amp;"","")</f>
        <v/>
      </c>
      <c r="K276" s="9" t="inlineStr">
        <is>
          <t>не начат</t>
        </is>
      </c>
      <c r="L276" s="9" t="inlineStr">
        <is>
          <t>Spotlight / 5 класс / Module 9 · Modern living / Past Simple / Past Simple: неправильные глаголы — утверждение</t>
        </is>
      </c>
    </row>
    <row r="277">
      <c r="A277" s="25" t="n">
        <v>5</v>
      </c>
      <c r="B277" s="9" t="inlineStr">
        <is>
          <t>Module 9 · Modern living</t>
        </is>
      </c>
      <c r="C277" s="9" t="inlineStr">
        <is>
          <t>9c</t>
        </is>
      </c>
      <c r="D277" s="9" t="inlineStr">
        <is>
          <t>Past Simple</t>
        </is>
      </c>
      <c r="E277" s="23" t="inlineStr">
        <is>
          <t>Past Simple: неправильные глаголы — отрицание (didn't go)</t>
        </is>
      </c>
      <c r="F277" s="25" t="inlineStr">
        <is>
          <t>повторение</t>
        </is>
      </c>
      <c r="G277" s="9" t="inlineStr"/>
      <c r="H277" s="25" t="inlineStr">
        <is>
          <t>10+</t>
        </is>
      </c>
      <c r="I277" s="9">
        <f>IFERROR(INDEX('Темы × классы'!$R:$R,MATCH(E277,'Темы × классы'!$E:$E,0)),"")</f>
        <v/>
      </c>
      <c r="J277" s="9">
        <f>IFERROR(INDEX('Темы × классы'!$S:$S,MATCH(E277,'Темы × классы'!$E:$E,0))&amp;"","")</f>
        <v/>
      </c>
      <c r="K277" s="9" t="inlineStr">
        <is>
          <t>не начат</t>
        </is>
      </c>
      <c r="L277" s="9" t="inlineStr">
        <is>
          <t>Spotlight / 5 класс / Module 9 · Modern living / Past Simple / Past Simple: неправильные глаголы — отрицание (didn't go)</t>
        </is>
      </c>
    </row>
    <row r="278">
      <c r="A278" s="25" t="n">
        <v>5</v>
      </c>
      <c r="B278" s="9" t="inlineStr">
        <is>
          <t>Module 9 · Modern living</t>
        </is>
      </c>
      <c r="C278" s="9" t="inlineStr">
        <is>
          <t>9c</t>
        </is>
      </c>
      <c r="D278" s="9" t="inlineStr">
        <is>
          <t>Past Simple</t>
        </is>
      </c>
      <c r="E278" s="23" t="inlineStr">
        <is>
          <t>Past Simple: неправильные глаголы — вопросы (Did … go?)</t>
        </is>
      </c>
      <c r="F278" s="25" t="inlineStr">
        <is>
          <t>повторение</t>
        </is>
      </c>
      <c r="G278" s="9" t="inlineStr"/>
      <c r="H278" s="25" t="inlineStr">
        <is>
          <t>10+</t>
        </is>
      </c>
      <c r="I278" s="9">
        <f>IFERROR(INDEX('Темы × классы'!$R:$R,MATCH(E278,'Темы × классы'!$E:$E,0)),"")</f>
        <v/>
      </c>
      <c r="J278" s="9">
        <f>IFERROR(INDEX('Темы × классы'!$S:$S,MATCH(E278,'Темы × классы'!$E:$E,0))&amp;"","")</f>
        <v/>
      </c>
      <c r="K278" s="9" t="inlineStr">
        <is>
          <t>не начат</t>
        </is>
      </c>
      <c r="L278" s="9" t="inlineStr">
        <is>
          <t>Spotlight / 5 класс / Module 9 · Modern living / Past Simple / Past Simple: неправильные глаголы — вопросы (Did … go?)</t>
        </is>
      </c>
    </row>
    <row r="279">
      <c r="A279" s="25" t="n">
        <v>5</v>
      </c>
      <c r="B279" s="9" t="inlineStr">
        <is>
          <t>Module 9 · Modern living</t>
        </is>
      </c>
      <c r="C279" s="9" t="inlineStr">
        <is>
          <t>9b</t>
        </is>
      </c>
      <c r="D279" s="9" t="inlineStr">
        <is>
          <t>Past Simple</t>
        </is>
      </c>
      <c r="E279" s="23" t="inlineStr">
        <is>
          <t>Past Simple: значение — действие в прошлом (yesterday, ago)</t>
        </is>
      </c>
      <c r="F279" s="25" t="inlineStr">
        <is>
          <t>повторение</t>
        </is>
      </c>
      <c r="G279" s="9" t="inlineStr">
        <is>
          <t>yesterday, last Monday, two days ago</t>
        </is>
      </c>
      <c r="H279" s="25" t="inlineStr">
        <is>
          <t>10+</t>
        </is>
      </c>
      <c r="I279" s="9">
        <f>IFERROR(INDEX('Темы × классы'!$R:$R,MATCH(E279,'Темы × классы'!$E:$E,0)),"")</f>
        <v/>
      </c>
      <c r="J279" s="9">
        <f>IFERROR(INDEX('Темы × классы'!$S:$S,MATCH(E279,'Темы × классы'!$E:$E,0))&amp;"","")</f>
        <v/>
      </c>
      <c r="K279" s="9" t="inlineStr">
        <is>
          <t>не начат</t>
        </is>
      </c>
      <c r="L279" s="9" t="inlineStr">
        <is>
          <t>Spotlight / 5 класс / Module 9 · Modern living / Past Simple / Past Simple: значение — действие в прошлом (yesterday, ago)</t>
        </is>
      </c>
    </row>
    <row r="280">
      <c r="A280" s="25" t="n">
        <v>5</v>
      </c>
      <c r="B280" s="9" t="inlineStr">
        <is>
          <t>Module 9 · Modern living</t>
        </is>
      </c>
      <c r="C280" s="9" t="inlineStr">
        <is>
          <t>9a</t>
        </is>
      </c>
      <c r="D280" s="9" t="inlineStr">
        <is>
          <t>to be (Past: was/were)</t>
        </is>
      </c>
      <c r="E280" s="23" t="inlineStr">
        <is>
          <t>to be (Past): утверждение — was / were</t>
        </is>
      </c>
      <c r="F280" s="25" t="inlineStr">
        <is>
          <t>повторение</t>
        </is>
      </c>
      <c r="G280" s="9" t="inlineStr"/>
      <c r="H280" s="25" t="inlineStr">
        <is>
          <t>10+</t>
        </is>
      </c>
      <c r="I280" s="9">
        <f>IFERROR(INDEX('Темы × классы'!$R:$R,MATCH(E280,'Темы × классы'!$E:$E,0)),"")</f>
        <v/>
      </c>
      <c r="J280" s="9">
        <f>IFERROR(INDEX('Темы × классы'!$S:$S,MATCH(E280,'Темы × классы'!$E:$E,0))&amp;"","")</f>
        <v/>
      </c>
      <c r="K280" s="9" t="inlineStr">
        <is>
          <t>не начат</t>
        </is>
      </c>
      <c r="L280" s="9" t="inlineStr">
        <is>
          <t>Spotlight / 5 класс / Module 9 · Modern living / to be (Past: was/were) / to be (Past): утверждение — was / were</t>
        </is>
      </c>
    </row>
    <row r="281">
      <c r="A281" s="25" t="n">
        <v>5</v>
      </c>
      <c r="B281" s="9" t="inlineStr">
        <is>
          <t>Module 9 · Modern living</t>
        </is>
      </c>
      <c r="C281" s="9" t="inlineStr">
        <is>
          <t>9a</t>
        </is>
      </c>
      <c r="D281" s="9" t="inlineStr">
        <is>
          <t>to be (Past: was/were)</t>
        </is>
      </c>
      <c r="E281" s="23" t="inlineStr">
        <is>
          <t>to be (Past): отрицание — wasn't / weren't</t>
        </is>
      </c>
      <c r="F281" s="25" t="inlineStr">
        <is>
          <t>повторение</t>
        </is>
      </c>
      <c r="G281" s="9" t="inlineStr">
        <is>
          <t>wasn't / weren't</t>
        </is>
      </c>
      <c r="H281" s="25" t="inlineStr">
        <is>
          <t>10+</t>
        </is>
      </c>
      <c r="I281" s="9">
        <f>IFERROR(INDEX('Темы × классы'!$R:$R,MATCH(E281,'Темы × классы'!$E:$E,0)),"")</f>
        <v/>
      </c>
      <c r="J281" s="9">
        <f>IFERROR(INDEX('Темы × классы'!$S:$S,MATCH(E281,'Темы × классы'!$E:$E,0))&amp;"","")</f>
        <v/>
      </c>
      <c r="K281" s="9" t="inlineStr">
        <is>
          <t>не начат</t>
        </is>
      </c>
      <c r="L281" s="9" t="inlineStr">
        <is>
          <t>Spotlight / 5 класс / Module 9 · Modern living / to be (Past: was/were) / to be (Past): отрицание — wasn't / weren't</t>
        </is>
      </c>
    </row>
    <row r="282">
      <c r="A282" s="25" t="n">
        <v>5</v>
      </c>
      <c r="B282" s="9" t="inlineStr">
        <is>
          <t>Module 9 · Modern living</t>
        </is>
      </c>
      <c r="C282" s="9" t="inlineStr">
        <is>
          <t>9a</t>
        </is>
      </c>
      <c r="D282" s="9" t="inlineStr">
        <is>
          <t>to be (Past: was/were)</t>
        </is>
      </c>
      <c r="E282" s="23" t="inlineStr">
        <is>
          <t>to be (Past): вопросы и краткие ответы</t>
        </is>
      </c>
      <c r="F282" s="25" t="inlineStr">
        <is>
          <t>повторение</t>
        </is>
      </c>
      <c r="G282" s="9" t="inlineStr"/>
      <c r="H282" s="25" t="inlineStr">
        <is>
          <t>10+</t>
        </is>
      </c>
      <c r="I282" s="9">
        <f>IFERROR(INDEX('Темы × классы'!$R:$R,MATCH(E282,'Темы × классы'!$E:$E,0)),"")</f>
        <v/>
      </c>
      <c r="J282" s="9">
        <f>IFERROR(INDEX('Темы × классы'!$S:$S,MATCH(E282,'Темы × классы'!$E:$E,0))&amp;"","")</f>
        <v/>
      </c>
      <c r="K282" s="9" t="inlineStr">
        <is>
          <t>не начат</t>
        </is>
      </c>
      <c r="L282" s="9" t="inlineStr">
        <is>
          <t>Spotlight / 5 класс / Module 9 · Modern living / to be (Past: was/were) / to be (Past): вопросы и краткие ответы</t>
        </is>
      </c>
    </row>
    <row r="283">
      <c r="A283" s="25" t="n">
        <v>5</v>
      </c>
      <c r="B283" s="9" t="inlineStr">
        <is>
          <t>Module 9 · Modern living</t>
        </is>
      </c>
      <c r="C283" s="9" t="inlineStr"/>
      <c r="D283" s="9" t="inlineStr">
        <is>
          <t>must/mustn't</t>
        </is>
      </c>
      <c r="E283" s="23" t="inlineStr">
        <is>
          <t>must/mustn't: must — обязанность, необходимость</t>
        </is>
      </c>
      <c r="F283" s="25" t="inlineStr">
        <is>
          <t>повторение</t>
        </is>
      </c>
      <c r="G283" s="9" t="inlineStr">
        <is>
          <t>обязанность и необходимость</t>
        </is>
      </c>
      <c r="H283" s="25" t="inlineStr">
        <is>
          <t>10+</t>
        </is>
      </c>
      <c r="I283" s="9">
        <f>IFERROR(INDEX('Темы × классы'!$R:$R,MATCH(E283,'Темы × классы'!$E:$E,0)),"")</f>
        <v/>
      </c>
      <c r="J283" s="9">
        <f>IFERROR(INDEX('Темы × классы'!$S:$S,MATCH(E283,'Темы × классы'!$E:$E,0))&amp;"","")</f>
        <v/>
      </c>
      <c r="K283" s="9" t="inlineStr">
        <is>
          <t>не начат</t>
        </is>
      </c>
      <c r="L283" s="9" t="inlineStr">
        <is>
          <t>Spotlight / 5 класс / Module 9 · Modern living / must/mustn't / must/mustn't: must — обязанность, необходимость</t>
        </is>
      </c>
    </row>
    <row r="284">
      <c r="A284" s="25" t="n">
        <v>5</v>
      </c>
      <c r="B284" s="9" t="inlineStr">
        <is>
          <t>Module 9 · Modern living</t>
        </is>
      </c>
      <c r="C284" s="9" t="inlineStr"/>
      <c r="D284" s="9" t="inlineStr">
        <is>
          <t>must/mustn't</t>
        </is>
      </c>
      <c r="E284" s="23" t="inlineStr">
        <is>
          <t>must/mustn't: mustn't — запрет</t>
        </is>
      </c>
      <c r="F284" s="25" t="inlineStr">
        <is>
          <t>повторение</t>
        </is>
      </c>
      <c r="G284" s="9" t="inlineStr">
        <is>
          <t>You mustn't speak loudly in here</t>
        </is>
      </c>
      <c r="H284" s="25" t="inlineStr">
        <is>
          <t>10+</t>
        </is>
      </c>
      <c r="I284" s="9">
        <f>IFERROR(INDEX('Темы × классы'!$R:$R,MATCH(E284,'Темы × классы'!$E:$E,0)),"")</f>
        <v/>
      </c>
      <c r="J284" s="9">
        <f>IFERROR(INDEX('Темы × классы'!$S:$S,MATCH(E284,'Темы × классы'!$E:$E,0))&amp;"","")</f>
        <v/>
      </c>
      <c r="K284" s="9" t="inlineStr">
        <is>
          <t>не начат</t>
        </is>
      </c>
      <c r="L284" s="9" t="inlineStr">
        <is>
          <t>Spotlight / 5 класс / Module 9 · Modern living / must/mustn't / must/mustn't: mustn't — запрет</t>
        </is>
      </c>
    </row>
    <row r="285">
      <c r="A285" s="25" t="n">
        <v>5</v>
      </c>
      <c r="B285" s="9" t="inlineStr">
        <is>
          <t>Module 9 · Modern living</t>
        </is>
      </c>
      <c r="C285" s="9" t="inlineStr">
        <is>
          <t>9a</t>
        </is>
      </c>
      <c r="D285" s="9" t="inlineStr">
        <is>
          <t>Articles (a/an/the/zero)</t>
        </is>
      </c>
      <c r="E285" s="23" t="inlineStr">
        <is>
          <t>Articles: a/an — первое упоминание, значение «один»</t>
        </is>
      </c>
      <c r="F285" s="26" t="inlineStr">
        <is>
          <t>новое</t>
        </is>
      </c>
      <c r="G285" s="9" t="inlineStr">
        <is>
          <t>I can see a white cat</t>
        </is>
      </c>
      <c r="H285" s="25" t="inlineStr">
        <is>
          <t>10+</t>
        </is>
      </c>
      <c r="I285" s="9">
        <f>IFERROR(INDEX('Темы × классы'!$R:$R,MATCH(E285,'Темы × классы'!$E:$E,0)),"")</f>
        <v/>
      </c>
      <c r="J285" s="9">
        <f>IFERROR(INDEX('Темы × классы'!$S:$S,MATCH(E285,'Темы × классы'!$E:$E,0))&amp;"","")</f>
        <v/>
      </c>
      <c r="K285" s="9" t="inlineStr">
        <is>
          <t>не начат</t>
        </is>
      </c>
      <c r="L285" s="9" t="inlineStr">
        <is>
          <t>Spotlight / 5 класс / Module 9 · Modern living / Articles (a/an/the/zero) / Articles: a/an — первое упоминание, значение «один»</t>
        </is>
      </c>
    </row>
    <row r="286">
      <c r="A286" s="25" t="n">
        <v>5</v>
      </c>
      <c r="B286" s="9" t="inlineStr">
        <is>
          <t>Module 9 · Modern living</t>
        </is>
      </c>
      <c r="C286" s="9" t="inlineStr">
        <is>
          <t>9a</t>
        </is>
      </c>
      <c r="D286" s="9" t="inlineStr">
        <is>
          <t>Articles (a/an/the/zero)</t>
        </is>
      </c>
      <c r="E286" s="23" t="inlineStr">
        <is>
          <t>Articles: the — известный, упомянутый ранее предмет</t>
        </is>
      </c>
      <c r="F286" s="26" t="inlineStr">
        <is>
          <t>новое</t>
        </is>
      </c>
      <c r="G286" s="9" t="inlineStr">
        <is>
          <t>The cat on the sofa is black</t>
        </is>
      </c>
      <c r="H286" s="25" t="inlineStr">
        <is>
          <t>10+</t>
        </is>
      </c>
      <c r="I286" s="9">
        <f>IFERROR(INDEX('Темы × классы'!$R:$R,MATCH(E286,'Темы × классы'!$E:$E,0)),"")</f>
        <v/>
      </c>
      <c r="J286" s="9">
        <f>IFERROR(INDEX('Темы × классы'!$S:$S,MATCH(E286,'Темы × классы'!$E:$E,0))&amp;"","")</f>
        <v/>
      </c>
      <c r="K286" s="9" t="inlineStr">
        <is>
          <t>не начат</t>
        </is>
      </c>
      <c r="L286" s="9" t="inlineStr">
        <is>
          <t>Spotlight / 5 класс / Module 9 · Modern living / Articles (a/an/the/zero) / Articles: the — известный, упомянутый ранее предмет</t>
        </is>
      </c>
    </row>
    <row r="287">
      <c r="A287" s="25" t="n">
        <v>5</v>
      </c>
      <c r="B287" s="9" t="inlineStr">
        <is>
          <t>Module 9 · Modern living</t>
        </is>
      </c>
      <c r="C287" s="9" t="inlineStr">
        <is>
          <t>9a</t>
        </is>
      </c>
      <c r="D287" s="9" t="inlineStr">
        <is>
          <t>Articles (a/an/the/zero)</t>
        </is>
      </c>
      <c r="E287" s="23" t="inlineStr">
        <is>
          <t>Articles: нулевой артикль — мн. ч. и неисчисляемые в общем значении</t>
        </is>
      </c>
      <c r="F287" s="26" t="inlineStr">
        <is>
          <t>новое</t>
        </is>
      </c>
      <c r="G287" s="9" t="inlineStr">
        <is>
          <t>They sell toys… Do you like milk?</t>
        </is>
      </c>
      <c r="H287" s="25" t="inlineStr">
        <is>
          <t>10+</t>
        </is>
      </c>
      <c r="I287" s="9">
        <f>IFERROR(INDEX('Темы × классы'!$R:$R,MATCH(E287,'Темы × классы'!$E:$E,0)),"")</f>
        <v/>
      </c>
      <c r="J287" s="9">
        <f>IFERROR(INDEX('Темы × классы'!$S:$S,MATCH(E287,'Темы × классы'!$E:$E,0))&amp;"","")</f>
        <v/>
      </c>
      <c r="K287" s="9" t="inlineStr">
        <is>
          <t>не начат</t>
        </is>
      </c>
      <c r="L287" s="9" t="inlineStr">
        <is>
          <t>Spotlight / 5 класс / Module 9 · Modern living / Articles (a/an/the/zero) / Articles: нулевой артикль — мн. ч. и неисчисляемые в общем значении</t>
        </is>
      </c>
    </row>
    <row r="288">
      <c r="A288" s="25" t="n">
        <v>5</v>
      </c>
      <c r="B288" s="9" t="inlineStr">
        <is>
          <t>Module 9 · Modern living</t>
        </is>
      </c>
      <c r="C288" s="9" t="inlineStr">
        <is>
          <t>9a</t>
        </is>
      </c>
      <c r="D288" s="9" t="inlineStr">
        <is>
          <t>Articles (a/an/the/zero)</t>
        </is>
      </c>
      <c r="E288" s="23" t="inlineStr">
        <is>
          <t>Articles: нулевой артикль — при другом определителе (my, this, some, числительное, 's)</t>
        </is>
      </c>
      <c r="F288" s="26" t="inlineStr">
        <is>
          <t>новое</t>
        </is>
      </c>
      <c r="G288" s="9" t="inlineStr">
        <is>
          <t>my, this, some/any/no, every/each, whose/which, three, my granny's</t>
        </is>
      </c>
      <c r="H288" s="25" t="inlineStr">
        <is>
          <t>10+</t>
        </is>
      </c>
      <c r="I288" s="9">
        <f>IFERROR(INDEX('Темы × классы'!$R:$R,MATCH(E288,'Темы × классы'!$E:$E,0)),"")</f>
        <v/>
      </c>
      <c r="J288" s="9">
        <f>IFERROR(INDEX('Темы × классы'!$S:$S,MATCH(E288,'Темы × классы'!$E:$E,0))&amp;"","")</f>
        <v/>
      </c>
      <c r="K288" s="9" t="inlineStr">
        <is>
          <t>не начат</t>
        </is>
      </c>
      <c r="L288" s="9" t="inlineStr">
        <is>
          <t>Spotlight / 5 класс / Module 9 · Modern living / Articles (a/an/the/zero) / Articles: нулевой артикль — при другом определителе (my, this, some, числительное, 's)</t>
        </is>
      </c>
    </row>
    <row r="289">
      <c r="A289" s="25" t="n">
        <v>5</v>
      </c>
      <c r="B289" s="9" t="inlineStr">
        <is>
          <t>Module 10 · Holidays</t>
        </is>
      </c>
      <c r="C289" s="9" t="inlineStr">
        <is>
          <t>10b</t>
        </is>
      </c>
      <c r="D289" s="9" t="inlineStr">
        <is>
          <t>Future Simple (will)</t>
        </is>
      </c>
      <c r="E289" s="23" t="inlineStr">
        <is>
          <t>Future Simple (will): утверждение (will/'ll + V)</t>
        </is>
      </c>
      <c r="F289" s="25" t="inlineStr">
        <is>
          <t>повторение</t>
        </is>
      </c>
      <c r="G289" s="9" t="inlineStr">
        <is>
          <t>все лица, 'll</t>
        </is>
      </c>
      <c r="H289" s="25" t="inlineStr">
        <is>
          <t>10+</t>
        </is>
      </c>
      <c r="I289" s="9">
        <f>IFERROR(INDEX('Темы × классы'!$R:$R,MATCH(E289,'Темы × классы'!$E:$E,0)),"")</f>
        <v/>
      </c>
      <c r="J289" s="9">
        <f>IFERROR(INDEX('Темы × классы'!$S:$S,MATCH(E289,'Темы × классы'!$E:$E,0))&amp;"","")</f>
        <v/>
      </c>
      <c r="K289" s="9" t="inlineStr">
        <is>
          <t>не начат</t>
        </is>
      </c>
      <c r="L289" s="9" t="inlineStr">
        <is>
          <t>Spotlight / 5 класс / Module 10 · Holidays / Future Simple (will) / Future Simple (will): утверждение (will/'ll + V)</t>
        </is>
      </c>
    </row>
    <row r="290">
      <c r="A290" s="25" t="n">
        <v>5</v>
      </c>
      <c r="B290" s="9" t="inlineStr">
        <is>
          <t>Module 10 · Holidays</t>
        </is>
      </c>
      <c r="C290" s="9" t="inlineStr">
        <is>
          <t>10b</t>
        </is>
      </c>
      <c r="D290" s="9" t="inlineStr">
        <is>
          <t>Future Simple (will)</t>
        </is>
      </c>
      <c r="E290" s="23" t="inlineStr">
        <is>
          <t>Future Simple (will): отрицание (will not/won't)</t>
        </is>
      </c>
      <c r="F290" s="25" t="inlineStr">
        <is>
          <t>повторение</t>
        </is>
      </c>
      <c r="G290" s="9" t="inlineStr">
        <is>
          <t>won't</t>
        </is>
      </c>
      <c r="H290" s="25" t="inlineStr">
        <is>
          <t>10+</t>
        </is>
      </c>
      <c r="I290" s="9">
        <f>IFERROR(INDEX('Темы × классы'!$R:$R,MATCH(E290,'Темы × классы'!$E:$E,0)),"")</f>
        <v/>
      </c>
      <c r="J290" s="9">
        <f>IFERROR(INDEX('Темы × классы'!$S:$S,MATCH(E290,'Темы × классы'!$E:$E,0))&amp;"","")</f>
        <v/>
      </c>
      <c r="K290" s="9" t="inlineStr">
        <is>
          <t>не начат</t>
        </is>
      </c>
      <c r="L290" s="9" t="inlineStr">
        <is>
          <t>Spotlight / 5 класс / Module 10 · Holidays / Future Simple (will) / Future Simple (will): отрицание (will not/won't)</t>
        </is>
      </c>
    </row>
    <row r="291">
      <c r="A291" s="25" t="n">
        <v>5</v>
      </c>
      <c r="B291" s="9" t="inlineStr">
        <is>
          <t>Module 10 · Holidays</t>
        </is>
      </c>
      <c r="C291" s="9" t="inlineStr">
        <is>
          <t>10b</t>
        </is>
      </c>
      <c r="D291" s="9" t="inlineStr">
        <is>
          <t>Future Simple (will)</t>
        </is>
      </c>
      <c r="E291" s="23" t="inlineStr">
        <is>
          <t>Future Simple (will): вопросы и краткие ответы</t>
        </is>
      </c>
      <c r="F291" s="25" t="inlineStr">
        <is>
          <t>повторение</t>
        </is>
      </c>
      <c r="G291" s="9" t="inlineStr">
        <is>
          <t>краткие ответы для всех лиц</t>
        </is>
      </c>
      <c r="H291" s="25" t="inlineStr">
        <is>
          <t>10+</t>
        </is>
      </c>
      <c r="I291" s="9">
        <f>IFERROR(INDEX('Темы × классы'!$R:$R,MATCH(E291,'Темы × классы'!$E:$E,0)),"")</f>
        <v/>
      </c>
      <c r="J291" s="9">
        <f>IFERROR(INDEX('Темы × классы'!$S:$S,MATCH(E291,'Темы × классы'!$E:$E,0))&amp;"","")</f>
        <v/>
      </c>
      <c r="K291" s="9" t="inlineStr">
        <is>
          <t>не начат</t>
        </is>
      </c>
      <c r="L291" s="9" t="inlineStr">
        <is>
          <t>Spotlight / 5 класс / Module 10 · Holidays / Future Simple (will) / Future Simple (will): вопросы и краткие ответы</t>
        </is>
      </c>
    </row>
    <row r="292">
      <c r="A292" s="25" t="n">
        <v>5</v>
      </c>
      <c r="B292" s="9" t="inlineStr">
        <is>
          <t>Module 10 · Holidays</t>
        </is>
      </c>
      <c r="C292" s="9" t="inlineStr">
        <is>
          <t>10b</t>
        </is>
      </c>
      <c r="D292" s="9" t="inlineStr">
        <is>
          <t>Future Simple (will)</t>
        </is>
      </c>
      <c r="E292" s="23" t="inlineStr">
        <is>
          <t>Future Simple (will): значение — предсказание/предположение</t>
        </is>
      </c>
      <c r="F292" s="27" t="inlineStr">
        <is>
          <t>расширение</t>
        </is>
      </c>
      <c r="G292" s="9" t="inlineStr">
        <is>
          <t>добавлены think, believe, expect, be sure, be afraid</t>
        </is>
      </c>
      <c r="H292" s="25" t="inlineStr">
        <is>
          <t>10+</t>
        </is>
      </c>
      <c r="I292" s="9">
        <f>IFERROR(INDEX('Темы × классы'!$R:$R,MATCH(E292,'Темы × классы'!$E:$E,0)),"")</f>
        <v/>
      </c>
      <c r="J292" s="9">
        <f>IFERROR(INDEX('Темы × классы'!$S:$S,MATCH(E292,'Темы × классы'!$E:$E,0))&amp;"","")</f>
        <v/>
      </c>
      <c r="K292" s="9" t="inlineStr">
        <is>
          <t>не начат</t>
        </is>
      </c>
      <c r="L292" s="9" t="inlineStr">
        <is>
          <t>Spotlight / 5 класс / Module 10 · Holidays / Future Simple (will) / Future Simple (will): значение — предсказание/предположение</t>
        </is>
      </c>
    </row>
    <row r="293">
      <c r="A293" s="25" t="n">
        <v>5</v>
      </c>
      <c r="B293" s="9" t="inlineStr">
        <is>
          <t>Module 10 · Holidays</t>
        </is>
      </c>
      <c r="C293" s="9" t="inlineStr">
        <is>
          <t>10b</t>
        </is>
      </c>
      <c r="D293" s="9" t="inlineStr">
        <is>
          <t>Future Simple (will)</t>
        </is>
      </c>
      <c r="E293" s="23" t="inlineStr">
        <is>
          <t>Future Simple (will): значение — решение в момент речи</t>
        </is>
      </c>
      <c r="F293" s="25" t="inlineStr">
        <is>
          <t>повторение</t>
        </is>
      </c>
      <c r="G293" s="9" t="inlineStr">
        <is>
          <t>I'll go to sleep</t>
        </is>
      </c>
      <c r="H293" s="25" t="inlineStr">
        <is>
          <t>10+</t>
        </is>
      </c>
      <c r="I293" s="9">
        <f>IFERROR(INDEX('Темы × классы'!$R:$R,MATCH(E293,'Темы × классы'!$E:$E,0)),"")</f>
        <v/>
      </c>
      <c r="J293" s="9">
        <f>IFERROR(INDEX('Темы × классы'!$S:$S,MATCH(E293,'Темы × классы'!$E:$E,0))&amp;"","")</f>
        <v/>
      </c>
      <c r="K293" s="9" t="inlineStr">
        <is>
          <t>не начат</t>
        </is>
      </c>
      <c r="L293" s="9" t="inlineStr">
        <is>
          <t>Spotlight / 5 класс / Module 10 · Holidays / Future Simple (will) / Future Simple (will): значение — решение в момент речи</t>
        </is>
      </c>
    </row>
    <row r="294">
      <c r="A294" s="25" t="n">
        <v>5</v>
      </c>
      <c r="B294" s="9" t="inlineStr">
        <is>
          <t>Module 10 · Holidays</t>
        </is>
      </c>
      <c r="C294" s="9" t="inlineStr">
        <is>
          <t>10b</t>
        </is>
      </c>
      <c r="D294" s="9" t="inlineStr">
        <is>
          <t>Future Simple (will)</t>
        </is>
      </c>
      <c r="E294" s="23" t="inlineStr">
        <is>
          <t>Future Simple (will): значение — просьбы (Will you…?)</t>
        </is>
      </c>
      <c r="F294" s="26" t="inlineStr">
        <is>
          <t>новое</t>
        </is>
      </c>
      <c r="G294" s="9" t="inlineStr">
        <is>
          <t>Will you open the door…?</t>
        </is>
      </c>
      <c r="H294" s="25" t="inlineStr">
        <is>
          <t>10+</t>
        </is>
      </c>
      <c r="I294" s="9">
        <f>IFERROR(INDEX('Темы × классы'!$R:$R,MATCH(E294,'Темы × классы'!$E:$E,0)),"")</f>
        <v/>
      </c>
      <c r="J294" s="9">
        <f>IFERROR(INDEX('Темы × классы'!$S:$S,MATCH(E294,'Темы × классы'!$E:$E,0))&amp;"","")</f>
        <v/>
      </c>
      <c r="K294" s="9" t="inlineStr">
        <is>
          <t>не начат</t>
        </is>
      </c>
      <c r="L294" s="9" t="inlineStr">
        <is>
          <t>Spotlight / 5 класс / Module 10 · Holidays / Future Simple (will) / Future Simple (will): значение — просьбы (Will you…?)</t>
        </is>
      </c>
    </row>
    <row r="295">
      <c r="A295" s="25" t="n">
        <v>5</v>
      </c>
      <c r="B295" s="9" t="inlineStr">
        <is>
          <t>Module 10 · Holidays</t>
        </is>
      </c>
      <c r="C295" s="9" t="inlineStr">
        <is>
          <t>10b</t>
        </is>
      </c>
      <c r="D295" s="9" t="inlineStr">
        <is>
          <t>be going to</t>
        </is>
      </c>
      <c r="E295" s="23" t="inlineStr">
        <is>
          <t>be going to: значение — планы и намерения</t>
        </is>
      </c>
      <c r="F295" s="25" t="inlineStr">
        <is>
          <t>повторение</t>
        </is>
      </c>
      <c r="G295" s="9" t="inlineStr">
        <is>
          <t>только значение и пример, форм нет</t>
        </is>
      </c>
      <c r="H295" s="25" t="inlineStr">
        <is>
          <t>10+</t>
        </is>
      </c>
      <c r="I295" s="9">
        <f>IFERROR(INDEX('Темы × классы'!$R:$R,MATCH(E295,'Темы × классы'!$E:$E,0)),"")</f>
        <v/>
      </c>
      <c r="J295" s="9">
        <f>IFERROR(INDEX('Темы × классы'!$S:$S,MATCH(E295,'Темы × классы'!$E:$E,0))&amp;"","")</f>
        <v/>
      </c>
      <c r="K295" s="9" t="inlineStr">
        <is>
          <t>не начат</t>
        </is>
      </c>
      <c r="L295" s="9" t="inlineStr">
        <is>
          <t>Spotlight / 5 класс / Module 10 · Holidays / be going to / be going to: значение — планы и намерения</t>
        </is>
      </c>
    </row>
    <row r="296">
      <c r="A296" s="25" t="n">
        <v>5</v>
      </c>
      <c r="B296" s="9" t="inlineStr">
        <is>
          <t>Module 10 · Holidays</t>
        </is>
      </c>
      <c r="C296" s="9" t="inlineStr">
        <is>
          <t>10a</t>
        </is>
      </c>
      <c r="D296" s="9" t="inlineStr">
        <is>
          <t>Present Perfect</t>
        </is>
      </c>
      <c r="E296" s="23" t="inlineStr">
        <is>
          <t>Present Perfect: утверждение (have/has + V3)</t>
        </is>
      </c>
      <c r="F296" s="26" t="inlineStr">
        <is>
          <t>новое</t>
        </is>
      </c>
      <c r="G296" s="9" t="inlineStr">
        <is>
          <t>только примеры have/has, без таблицы</t>
        </is>
      </c>
      <c r="H296" s="25" t="inlineStr">
        <is>
          <t>10+</t>
        </is>
      </c>
      <c r="I296" s="9">
        <f>IFERROR(INDEX('Темы × классы'!$R:$R,MATCH(E296,'Темы × классы'!$E:$E,0)),"")</f>
        <v/>
      </c>
      <c r="J296" s="9">
        <f>IFERROR(INDEX('Темы × классы'!$S:$S,MATCH(E296,'Темы × классы'!$E:$E,0))&amp;"","")</f>
        <v/>
      </c>
      <c r="K296" s="9" t="inlineStr">
        <is>
          <t>не начат</t>
        </is>
      </c>
      <c r="L296" s="9" t="inlineStr">
        <is>
          <t>Spotlight / 5 класс / Module 10 · Holidays / Present Perfect / Present Perfect: утверждение (have/has + V3)</t>
        </is>
      </c>
    </row>
    <row r="297">
      <c r="A297" s="25" t="n">
        <v>5</v>
      </c>
      <c r="B297" s="9" t="inlineStr">
        <is>
          <t>Module 10 · Holidays</t>
        </is>
      </c>
      <c r="C297" s="9" t="inlineStr">
        <is>
          <t>10a</t>
        </is>
      </c>
      <c r="D297" s="9" t="inlineStr">
        <is>
          <t>Present Perfect</t>
        </is>
      </c>
      <c r="E297" s="23" t="inlineStr">
        <is>
          <t>Present Perfect: отрицание (haven't/hasn't)</t>
        </is>
      </c>
      <c r="F297" s="26" t="inlineStr">
        <is>
          <t>новое</t>
        </is>
      </c>
      <c r="G297" s="9" t="inlineStr">
        <is>
          <t>только в примерах (haven't, hasn't)</t>
        </is>
      </c>
      <c r="H297" s="25" t="inlineStr">
        <is>
          <t>10+</t>
        </is>
      </c>
      <c r="I297" s="9">
        <f>IFERROR(INDEX('Темы × классы'!$R:$R,MATCH(E297,'Темы × классы'!$E:$E,0)),"")</f>
        <v/>
      </c>
      <c r="J297" s="9">
        <f>IFERROR(INDEX('Темы × классы'!$S:$S,MATCH(E297,'Темы × классы'!$E:$E,0))&amp;"","")</f>
        <v/>
      </c>
      <c r="K297" s="9" t="inlineStr">
        <is>
          <t>не начат</t>
        </is>
      </c>
      <c r="L297" s="9" t="inlineStr">
        <is>
          <t>Spotlight / 5 класс / Module 10 · Holidays / Present Perfect / Present Perfect: отрицание (haven't/hasn't)</t>
        </is>
      </c>
    </row>
    <row r="298">
      <c r="A298" s="25" t="n">
        <v>5</v>
      </c>
      <c r="B298" s="9" t="inlineStr">
        <is>
          <t>Module 10 · Holidays</t>
        </is>
      </c>
      <c r="C298" s="9" t="inlineStr">
        <is>
          <t>10a</t>
        </is>
      </c>
      <c r="D298" s="9" t="inlineStr">
        <is>
          <t>Present Perfect</t>
        </is>
      </c>
      <c r="E298" s="23" t="inlineStr">
        <is>
          <t>Present Perfect: вопросы и краткие ответы</t>
        </is>
      </c>
      <c r="F298" s="26" t="inlineStr">
        <is>
          <t>новое</t>
        </is>
      </c>
      <c r="G298" s="9" t="inlineStr">
        <is>
          <t>только в примерах (Have you ever…? – No, I haven't)</t>
        </is>
      </c>
      <c r="H298" s="25" t="inlineStr">
        <is>
          <t>10+</t>
        </is>
      </c>
      <c r="I298" s="9">
        <f>IFERROR(INDEX('Темы × классы'!$R:$R,MATCH(E298,'Темы × классы'!$E:$E,0)),"")</f>
        <v/>
      </c>
      <c r="J298" s="9">
        <f>IFERROR(INDEX('Темы × классы'!$S:$S,MATCH(E298,'Темы × классы'!$E:$E,0))&amp;"","")</f>
        <v/>
      </c>
      <c r="K298" s="9" t="inlineStr">
        <is>
          <t>не начат</t>
        </is>
      </c>
      <c r="L298" s="9" t="inlineStr">
        <is>
          <t>Spotlight / 5 класс / Module 10 · Holidays / Present Perfect / Present Perfect: вопросы и краткие ответы</t>
        </is>
      </c>
    </row>
    <row r="299">
      <c r="A299" s="25" t="n">
        <v>5</v>
      </c>
      <c r="B299" s="9" t="inlineStr">
        <is>
          <t>Module 10 · Holidays</t>
        </is>
      </c>
      <c r="C299" s="9" t="inlineStr">
        <is>
          <t>10a</t>
        </is>
      </c>
      <c r="D299" s="9" t="inlineStr">
        <is>
          <t>Present Perfect</t>
        </is>
      </c>
      <c r="E299" s="23" t="inlineStr">
        <is>
          <t>Present Perfect: V3 правильных глаголов (-ed, орфография)</t>
        </is>
      </c>
      <c r="F299" s="26" t="inlineStr">
        <is>
          <t>новое</t>
        </is>
      </c>
      <c r="G299" s="9" t="inlineStr">
        <is>
          <t>finish – finished, plan – planned; орфография как в Past Simple</t>
        </is>
      </c>
      <c r="H299" s="25" t="inlineStr">
        <is>
          <t>10+</t>
        </is>
      </c>
      <c r="I299" s="9">
        <f>IFERROR(INDEX('Темы × классы'!$R:$R,MATCH(E299,'Темы × классы'!$E:$E,0)),"")</f>
        <v/>
      </c>
      <c r="J299" s="9">
        <f>IFERROR(INDEX('Темы × классы'!$S:$S,MATCH(E299,'Темы × классы'!$E:$E,0))&amp;"","")</f>
        <v/>
      </c>
      <c r="K299" s="9" t="inlineStr">
        <is>
          <t>не начат</t>
        </is>
      </c>
      <c r="L299" s="9" t="inlineStr">
        <is>
          <t>Spotlight / 5 класс / Module 10 · Holidays / Present Perfect / Present Perfect: V3 правильных глаголов (-ed, орфография)</t>
        </is>
      </c>
    </row>
    <row r="300">
      <c r="A300" s="25" t="n">
        <v>5</v>
      </c>
      <c r="B300" s="9" t="inlineStr">
        <is>
          <t>Module 10 · Holidays</t>
        </is>
      </c>
      <c r="C300" s="9" t="inlineStr">
        <is>
          <t>10a</t>
        </is>
      </c>
      <c r="D300" s="9" t="inlineStr">
        <is>
          <t>Present Perfect</t>
        </is>
      </c>
      <c r="E300" s="23" t="inlineStr">
        <is>
          <t>Present Perfect: V3 неправильных глаголов</t>
        </is>
      </c>
      <c r="F300" s="26" t="inlineStr">
        <is>
          <t>новое</t>
        </is>
      </c>
      <c r="G300" s="9" t="inlineStr">
        <is>
          <t>be – been, go – gone, see – seen</t>
        </is>
      </c>
      <c r="H300" s="25" t="inlineStr">
        <is>
          <t>10+</t>
        </is>
      </c>
      <c r="I300" s="9">
        <f>IFERROR(INDEX('Темы × классы'!$R:$R,MATCH(E300,'Темы × классы'!$E:$E,0)),"")</f>
        <v/>
      </c>
      <c r="J300" s="9">
        <f>IFERROR(INDEX('Темы × классы'!$S:$S,MATCH(E300,'Темы × классы'!$E:$E,0))&amp;"","")</f>
        <v/>
      </c>
      <c r="K300" s="9" t="inlineStr">
        <is>
          <t>не начат</t>
        </is>
      </c>
      <c r="L300" s="9" t="inlineStr">
        <is>
          <t>Spotlight / 5 класс / Module 10 · Holidays / Present Perfect / Present Perfect: V3 неправильных глаголов</t>
        </is>
      </c>
    </row>
    <row r="301">
      <c r="A301" s="25" t="n">
        <v>5</v>
      </c>
      <c r="B301" s="9" t="inlineStr">
        <is>
          <t>Module 10 · Holidays</t>
        </is>
      </c>
      <c r="C301" s="9" t="inlineStr">
        <is>
          <t>10a</t>
        </is>
      </c>
      <c r="D301" s="9" t="inlineStr">
        <is>
          <t>Present Perfect</t>
        </is>
      </c>
      <c r="E301" s="23" t="inlineStr">
        <is>
          <t>Present Perfect: значение — жизненный опыт, перемены (ever/never)</t>
        </is>
      </c>
      <c r="F301" s="26" t="inlineStr">
        <is>
          <t>новое</t>
        </is>
      </c>
      <c r="G301" s="9" t="inlineStr">
        <is>
          <t>I have been to London; ever</t>
        </is>
      </c>
      <c r="H301" s="25" t="inlineStr">
        <is>
          <t>10+</t>
        </is>
      </c>
      <c r="I301" s="9">
        <f>IFERROR(INDEX('Темы × классы'!$R:$R,MATCH(E301,'Темы × классы'!$E:$E,0)),"")</f>
        <v/>
      </c>
      <c r="J301" s="9">
        <f>IFERROR(INDEX('Темы × классы'!$S:$S,MATCH(E301,'Темы × классы'!$E:$E,0))&amp;"","")</f>
        <v/>
      </c>
      <c r="K301" s="9" t="inlineStr">
        <is>
          <t>не начат</t>
        </is>
      </c>
      <c r="L301" s="9" t="inlineStr">
        <is>
          <t>Spotlight / 5 класс / Module 10 · Holidays / Present Perfect / Present Perfect: значение — жизненный опыт, перемены (ever/never)</t>
        </is>
      </c>
    </row>
    <row r="302">
      <c r="A302" s="25" t="n">
        <v>5</v>
      </c>
      <c r="B302" s="9" t="inlineStr">
        <is>
          <t>Module 10 · Holidays</t>
        </is>
      </c>
      <c r="C302" s="9" t="inlineStr">
        <is>
          <t>10a</t>
        </is>
      </c>
      <c r="D302" s="9" t="inlineStr">
        <is>
          <t>Present Perfect</t>
        </is>
      </c>
      <c r="E302" s="23" t="inlineStr">
        <is>
          <t>Present Perfect: значение — результат в настоящем</t>
        </is>
      </c>
      <c r="F302" s="26" t="inlineStr">
        <is>
          <t>новое</t>
        </is>
      </c>
      <c r="G302" s="9" t="inlineStr">
        <is>
          <t>действие завершилось к моменту речи (already planned)</t>
        </is>
      </c>
      <c r="H302" s="25" t="inlineStr">
        <is>
          <t>10+</t>
        </is>
      </c>
      <c r="I302" s="9">
        <f>IFERROR(INDEX('Темы × классы'!$R:$R,MATCH(E302,'Темы × классы'!$E:$E,0)),"")</f>
        <v/>
      </c>
      <c r="J302" s="9">
        <f>IFERROR(INDEX('Темы × классы'!$S:$S,MATCH(E302,'Темы × классы'!$E:$E,0))&amp;"","")</f>
        <v/>
      </c>
      <c r="K302" s="9" t="inlineStr">
        <is>
          <t>не начат</t>
        </is>
      </c>
      <c r="L302" s="9" t="inlineStr">
        <is>
          <t>Spotlight / 5 класс / Module 10 · Holidays / Present Perfect / Present Perfect: значение — результат в настоящем</t>
        </is>
      </c>
    </row>
    <row r="303">
      <c r="A303" s="25" t="n">
        <v>5</v>
      </c>
      <c r="B303" s="9" t="inlineStr">
        <is>
          <t>Module 10 · Holidays</t>
        </is>
      </c>
      <c r="C303" s="9" t="inlineStr">
        <is>
          <t>10a</t>
        </is>
      </c>
      <c r="D303" s="9" t="inlineStr">
        <is>
          <t>Present Perfect</t>
        </is>
      </c>
      <c r="E303" s="23" t="inlineStr">
        <is>
          <t>Present Perfect: слова-маркеры already / yet / just / ever / never</t>
        </is>
      </c>
      <c r="F303" s="26" t="inlineStr">
        <is>
          <t>новое</t>
        </is>
      </c>
      <c r="G303" s="9" t="inlineStr">
        <is>
          <t>ever, never, just, yet, already — с примерами</t>
        </is>
      </c>
      <c r="H303" s="25" t="inlineStr">
        <is>
          <t>10+</t>
        </is>
      </c>
      <c r="I303" s="9">
        <f>IFERROR(INDEX('Темы × классы'!$R:$R,MATCH(E303,'Темы × классы'!$E:$E,0)),"")</f>
        <v/>
      </c>
      <c r="J303" s="9">
        <f>IFERROR(INDEX('Темы × классы'!$S:$S,MATCH(E303,'Темы × классы'!$E:$E,0))&amp;"","")</f>
        <v/>
      </c>
      <c r="K303" s="9" t="inlineStr">
        <is>
          <t>не начат</t>
        </is>
      </c>
      <c r="L303" s="9" t="inlineStr">
        <is>
          <t>Spotlight / 5 класс / Module 10 · Holidays / Present Perfect / Present Perfect: слова-маркеры already / yet / just / ever / never</t>
        </is>
      </c>
    </row>
    <row r="304">
      <c r="A304" s="25" t="n">
        <v>5</v>
      </c>
      <c r="B304" s="9" t="inlineStr">
        <is>
          <t>Module 10 · Holidays</t>
        </is>
      </c>
      <c r="C304" s="9" t="inlineStr">
        <is>
          <t>10a</t>
        </is>
      </c>
      <c r="D304" s="9" t="inlineStr">
        <is>
          <t>can (permission/request)</t>
        </is>
      </c>
      <c r="E304" s="23" t="inlineStr">
        <is>
          <t>can (permission/request): спросить разрешения — Can I…?</t>
        </is>
      </c>
      <c r="F304" s="26" t="inlineStr">
        <is>
          <t>новое</t>
        </is>
      </c>
      <c r="G304" s="9" t="inlineStr">
        <is>
          <t>Can I borrow your book?</t>
        </is>
      </c>
      <c r="H304" s="25" t="inlineStr">
        <is>
          <t>10+</t>
        </is>
      </c>
      <c r="I304" s="9">
        <f>IFERROR(INDEX('Темы × классы'!$R:$R,MATCH(E304,'Темы × классы'!$E:$E,0)),"")</f>
        <v/>
      </c>
      <c r="J304" s="9">
        <f>IFERROR(INDEX('Темы × классы'!$S:$S,MATCH(E304,'Темы × классы'!$E:$E,0))&amp;"","")</f>
        <v/>
      </c>
      <c r="K304" s="9" t="inlineStr">
        <is>
          <t>не начат</t>
        </is>
      </c>
      <c r="L304" s="9" t="inlineStr">
        <is>
          <t>Spotlight / 5 класс / Module 10 · Holidays / can (permission/request) / can (permission/request): спросить разрешения — Can I…?</t>
        </is>
      </c>
    </row>
    <row r="305">
      <c r="A305" s="25" t="n">
        <v>5</v>
      </c>
      <c r="B305" s="9" t="inlineStr">
        <is>
          <t>Module 10 · Holidays</t>
        </is>
      </c>
      <c r="C305" s="9" t="inlineStr">
        <is>
          <t>10a</t>
        </is>
      </c>
      <c r="D305" s="9" t="inlineStr">
        <is>
          <t>can (permission/request)</t>
        </is>
      </c>
      <c r="E305" s="23" t="inlineStr">
        <is>
          <t>can (permission/request): просьба — Can you…? / Can I have…?</t>
        </is>
      </c>
      <c r="F305" s="26" t="inlineStr">
        <is>
          <t>новое</t>
        </is>
      </c>
      <c r="G305" s="9" t="inlineStr">
        <is>
          <t>Can you pass me the salt, please?</t>
        </is>
      </c>
      <c r="H305" s="25" t="inlineStr">
        <is>
          <t>10+</t>
        </is>
      </c>
      <c r="I305" s="9">
        <f>IFERROR(INDEX('Темы × классы'!$R:$R,MATCH(E305,'Темы × классы'!$E:$E,0)),"")</f>
        <v/>
      </c>
      <c r="J305" s="9">
        <f>IFERROR(INDEX('Темы × классы'!$S:$S,MATCH(E305,'Темы × классы'!$E:$E,0))&amp;"","")</f>
        <v/>
      </c>
      <c r="K305" s="9" t="inlineStr">
        <is>
          <t>не начат</t>
        </is>
      </c>
      <c r="L305" s="9" t="inlineStr">
        <is>
          <t>Spotlight / 5 класс / Module 10 · Holidays / can (permission/request) / can (permission/request): просьба — Can you…? / Can I have…?</t>
        </is>
      </c>
    </row>
    <row r="306">
      <c r="A306" s="25" t="n">
        <v>5</v>
      </c>
      <c r="B306" s="9" t="inlineStr">
        <is>
          <t>Module 10 · Holidays</t>
        </is>
      </c>
      <c r="C306" s="9" t="inlineStr">
        <is>
          <t>10a</t>
        </is>
      </c>
      <c r="D306" s="9" t="inlineStr">
        <is>
          <t>can (permission/request)</t>
        </is>
      </c>
      <c r="E306" s="23" t="inlineStr">
        <is>
          <t>can (permission/request): предложение помощи — Can I…?</t>
        </is>
      </c>
      <c r="F306" s="26" t="inlineStr">
        <is>
          <t>новое</t>
        </is>
      </c>
      <c r="G306" s="9" t="inlineStr">
        <is>
          <t>Can I give you a lift?</t>
        </is>
      </c>
      <c r="H306" s="25" t="inlineStr">
        <is>
          <t>10+</t>
        </is>
      </c>
      <c r="I306" s="9">
        <f>IFERROR(INDEX('Темы × классы'!$R:$R,MATCH(E306,'Темы × классы'!$E:$E,0)),"")</f>
        <v/>
      </c>
      <c r="J306" s="9">
        <f>IFERROR(INDEX('Темы × классы'!$S:$S,MATCH(E306,'Темы × классы'!$E:$E,0))&amp;"","")</f>
        <v/>
      </c>
      <c r="K306" s="9" t="inlineStr">
        <is>
          <t>не начат</t>
        </is>
      </c>
      <c r="L306" s="9" t="inlineStr">
        <is>
          <t>Spotlight / 5 класс / Module 10 · Holidays / can (permission/request) / can (permission/request): предложение помощи — Can I…?</t>
        </is>
      </c>
    </row>
    <row r="307">
      <c r="A307" s="25" t="n">
        <v>5</v>
      </c>
      <c r="B307" s="9" t="inlineStr">
        <is>
          <t>Module 10 · Holidays</t>
        </is>
      </c>
      <c r="C307" s="9" t="inlineStr">
        <is>
          <t>10a</t>
        </is>
      </c>
      <c r="D307" s="9" t="inlineStr">
        <is>
          <t>can (permission/request)</t>
        </is>
      </c>
      <c r="E307" s="23" t="inlineStr">
        <is>
          <t>can (permission/request): can't — запрет</t>
        </is>
      </c>
      <c r="F307" s="26" t="inlineStr">
        <is>
          <t>новое</t>
        </is>
      </c>
      <c r="G307" s="9" t="inlineStr">
        <is>
          <t>You can't park here</t>
        </is>
      </c>
      <c r="H307" s="25" t="inlineStr">
        <is>
          <t>10+</t>
        </is>
      </c>
      <c r="I307" s="9">
        <f>IFERROR(INDEX('Темы × классы'!$R:$R,MATCH(E307,'Темы × классы'!$E:$E,0)),"")</f>
        <v/>
      </c>
      <c r="J307" s="9">
        <f>IFERROR(INDEX('Темы × классы'!$S:$S,MATCH(E307,'Темы × классы'!$E:$E,0))&amp;"","")</f>
        <v/>
      </c>
      <c r="K307" s="9" t="inlineStr">
        <is>
          <t>не начат</t>
        </is>
      </c>
      <c r="L307" s="9" t="inlineStr">
        <is>
          <t>Spotlight / 5 класс / Module 10 · Holidays / can (permission/request) / can (permission/request): can't — запрет</t>
        </is>
      </c>
    </row>
    <row r="308">
      <c r="A308" s="25" t="n">
        <v>5</v>
      </c>
      <c r="B308" s="9" t="inlineStr">
        <is>
          <t>Module 10 · Holidays</t>
        </is>
      </c>
      <c r="C308" s="9" t="inlineStr">
        <is>
          <t>10b</t>
        </is>
      </c>
      <c r="D308" s="9" t="inlineStr">
        <is>
          <t>Word formation</t>
        </is>
      </c>
      <c r="E308" s="23" t="inlineStr">
        <is>
          <t>Word formation: -able, -ous, -ing</t>
        </is>
      </c>
      <c r="F308" s="26" t="inlineStr">
        <is>
          <t>новое</t>
        </is>
      </c>
      <c r="G308" s="9" t="inlineStr">
        <is>
          <t>Прилагательные с суффиксами -able, -ous, -ing.</t>
        </is>
      </c>
      <c r="H308" s="25" t="inlineStr">
        <is>
          <t>10+</t>
        </is>
      </c>
      <c r="I308" s="9">
        <f>IFERROR(INDEX('Темы × классы'!$R:$R,MATCH(E308,'Темы × классы'!$E:$E,0)),"")</f>
        <v/>
      </c>
      <c r="J308" s="9">
        <f>IFERROR(INDEX('Темы × классы'!$S:$S,MATCH(E308,'Темы × классы'!$E:$E,0))&amp;"","")</f>
        <v/>
      </c>
      <c r="K308" s="9" t="inlineStr">
        <is>
          <t>не начат</t>
        </is>
      </c>
      <c r="L308" s="9" t="inlineStr">
        <is>
          <t>Spotlight / 5 класс / Module 10 · Holidays / Word formation / Word formation: -able, -ous, -ing</t>
        </is>
      </c>
    </row>
    <row r="309">
      <c r="A309" s="25" t="n">
        <v>5</v>
      </c>
      <c r="B309" s="9" t="inlineStr">
        <is>
          <t>Module 10 · Holidays</t>
        </is>
      </c>
      <c r="C309" s="9" t="inlineStr">
        <is>
          <t>10c</t>
        </is>
      </c>
      <c r="D309" s="9" t="inlineStr">
        <is>
          <t>Word formation</t>
        </is>
      </c>
      <c r="E309" s="23" t="inlineStr">
        <is>
          <t>Word formation: -tion, -sion</t>
        </is>
      </c>
      <c r="F309" s="26" t="inlineStr">
        <is>
          <t>новое</t>
        </is>
      </c>
      <c r="G309" s="9" t="inlineStr">
        <is>
          <t>Существительные с суффиксами -tion/-sion.</t>
        </is>
      </c>
      <c r="H309" s="25" t="inlineStr">
        <is>
          <t>10+</t>
        </is>
      </c>
      <c r="I309" s="9">
        <f>IFERROR(INDEX('Темы × классы'!$R:$R,MATCH(E309,'Темы × классы'!$E:$E,0)),"")</f>
        <v/>
      </c>
      <c r="J309" s="9">
        <f>IFERROR(INDEX('Темы × классы'!$S:$S,MATCH(E309,'Темы × классы'!$E:$E,0))&amp;"","")</f>
        <v/>
      </c>
      <c r="K309" s="9" t="inlineStr">
        <is>
          <t>не начат</t>
        </is>
      </c>
      <c r="L309" s="9" t="inlineStr">
        <is>
          <t>Spotlight / 5 класс / Module 10 · Holidays / Word formation / Word formation: -tion, -sion</t>
        </is>
      </c>
    </row>
    <row r="310">
      <c r="A310" s="25" t="n">
        <v>6</v>
      </c>
      <c r="B310" s="9" t="inlineStr">
        <is>
          <t>Module 1 · Who's who?</t>
        </is>
      </c>
      <c r="C310" s="9" t="inlineStr"/>
      <c r="D310" s="9" t="inlineStr">
        <is>
          <t>have got</t>
        </is>
      </c>
      <c r="E310" s="23" t="inlineStr">
        <is>
          <t>have got: утверждение — have got / has got (полные и краткие формы)</t>
        </is>
      </c>
      <c r="F310" s="25" t="inlineStr">
        <is>
          <t>повторение</t>
        </is>
      </c>
      <c r="G310" s="9" t="inlineStr">
        <is>
          <t>в разговорной речи — в основном краткие формы</t>
        </is>
      </c>
      <c r="H310" s="25" t="inlineStr">
        <is>
          <t>10+</t>
        </is>
      </c>
      <c r="I310" s="9">
        <f>IFERROR(INDEX('Темы × классы'!$R:$R,MATCH(E310,'Темы × классы'!$E:$E,0)),"")</f>
        <v/>
      </c>
      <c r="J310" s="9">
        <f>IFERROR(INDEX('Темы × классы'!$S:$S,MATCH(E310,'Темы × классы'!$E:$E,0))&amp;"","")</f>
        <v/>
      </c>
      <c r="K310" s="9" t="inlineStr">
        <is>
          <t>не начат</t>
        </is>
      </c>
      <c r="L310" s="9" t="inlineStr">
        <is>
          <t>Spotlight / 6 класс / Module 1 · Who's who? / have got / have got: утверждение — have got / has got (полные и краткие формы)</t>
        </is>
      </c>
    </row>
    <row r="311">
      <c r="A311" s="25" t="n">
        <v>6</v>
      </c>
      <c r="B311" s="9" t="inlineStr">
        <is>
          <t>Module 1 · Who's who?</t>
        </is>
      </c>
      <c r="C311" s="9" t="inlineStr"/>
      <c r="D311" s="9" t="inlineStr">
        <is>
          <t>have got</t>
        </is>
      </c>
      <c r="E311" s="23" t="inlineStr">
        <is>
          <t>have got: отрицание — haven't got / hasn't got</t>
        </is>
      </c>
      <c r="F311" s="25" t="inlineStr">
        <is>
          <t>повторение</t>
        </is>
      </c>
      <c r="G311" s="9" t="inlineStr"/>
      <c r="H311" s="25" t="inlineStr">
        <is>
          <t>10+</t>
        </is>
      </c>
      <c r="I311" s="9">
        <f>IFERROR(INDEX('Темы × классы'!$R:$R,MATCH(E311,'Темы × классы'!$E:$E,0)),"")</f>
        <v/>
      </c>
      <c r="J311" s="9">
        <f>IFERROR(INDEX('Темы × классы'!$S:$S,MATCH(E311,'Темы × классы'!$E:$E,0))&amp;"","")</f>
        <v/>
      </c>
      <c r="K311" s="9" t="inlineStr">
        <is>
          <t>не начат</t>
        </is>
      </c>
      <c r="L311" s="9" t="inlineStr">
        <is>
          <t>Spotlight / 6 класс / Module 1 · Who's who? / have got / have got: отрицание — haven't got / hasn't got</t>
        </is>
      </c>
    </row>
    <row r="312">
      <c r="A312" s="25" t="n">
        <v>6</v>
      </c>
      <c r="B312" s="9" t="inlineStr">
        <is>
          <t>Module 1 · Who's who?</t>
        </is>
      </c>
      <c r="C312" s="9" t="inlineStr"/>
      <c r="D312" s="9" t="inlineStr">
        <is>
          <t>have got</t>
        </is>
      </c>
      <c r="E312" s="23" t="inlineStr">
        <is>
          <t>have got: вопросы и краткие ответы</t>
        </is>
      </c>
      <c r="F312" s="25" t="inlineStr">
        <is>
          <t>повторение</t>
        </is>
      </c>
      <c r="G312" s="9" t="inlineStr"/>
      <c r="H312" s="25" t="inlineStr">
        <is>
          <t>10+</t>
        </is>
      </c>
      <c r="I312" s="9">
        <f>IFERROR(INDEX('Темы × классы'!$R:$R,MATCH(E312,'Темы × классы'!$E:$E,0)),"")</f>
        <v/>
      </c>
      <c r="J312" s="9">
        <f>IFERROR(INDEX('Темы × классы'!$S:$S,MATCH(E312,'Темы × классы'!$E:$E,0))&amp;"","")</f>
        <v/>
      </c>
      <c r="K312" s="9" t="inlineStr">
        <is>
          <t>не начат</t>
        </is>
      </c>
      <c r="L312" s="9" t="inlineStr">
        <is>
          <t>Spotlight / 6 класс / Module 1 · Who's who? / have got / have got: вопросы и краткие ответы</t>
        </is>
      </c>
    </row>
    <row r="313">
      <c r="A313" s="25" t="n">
        <v>6</v>
      </c>
      <c r="B313" s="9" t="inlineStr">
        <is>
          <t>Module 1 · Who's who?</t>
        </is>
      </c>
      <c r="C313" s="9" t="inlineStr"/>
      <c r="D313" s="9" t="inlineStr">
        <is>
          <t>have got</t>
        </is>
      </c>
      <c r="E313" s="23" t="inlineStr">
        <is>
          <t>have got: значение — принадлежность (иметь)</t>
        </is>
      </c>
      <c r="F313" s="25" t="inlineStr">
        <is>
          <t>повторение</t>
        </is>
      </c>
      <c r="G313" s="9" t="inlineStr">
        <is>
          <t>He has got a ball</t>
        </is>
      </c>
      <c r="H313" s="25" t="inlineStr">
        <is>
          <t>10+</t>
        </is>
      </c>
      <c r="I313" s="9">
        <f>IFERROR(INDEX('Темы × классы'!$R:$R,MATCH(E313,'Темы × классы'!$E:$E,0)),"")</f>
        <v/>
      </c>
      <c r="J313" s="9">
        <f>IFERROR(INDEX('Темы × классы'!$S:$S,MATCH(E313,'Темы × классы'!$E:$E,0))&amp;"","")</f>
        <v/>
      </c>
      <c r="K313" s="9" t="inlineStr">
        <is>
          <t>не начат</t>
        </is>
      </c>
      <c r="L313" s="9" t="inlineStr">
        <is>
          <t>Spotlight / 6 класс / Module 1 · Who's who? / have got / have got: значение — принадлежность (иметь)</t>
        </is>
      </c>
    </row>
    <row r="314">
      <c r="A314" s="25" t="n">
        <v>6</v>
      </c>
      <c r="B314" s="9" t="inlineStr">
        <is>
          <t>Module 1 · Who's who?</t>
        </is>
      </c>
      <c r="C314" s="9" t="inlineStr"/>
      <c r="D314" s="9" t="inlineStr">
        <is>
          <t>have got</t>
        </is>
      </c>
      <c r="E314" s="23" t="inlineStr">
        <is>
          <t>have got: значение — описание внешности людей, животных, предметов</t>
        </is>
      </c>
      <c r="F314" s="25" t="inlineStr">
        <is>
          <t>повторение</t>
        </is>
      </c>
      <c r="G314" s="9" t="inlineStr">
        <is>
          <t>She has got blue eyes</t>
        </is>
      </c>
      <c r="H314" s="25" t="inlineStr">
        <is>
          <t>10+</t>
        </is>
      </c>
      <c r="I314" s="9">
        <f>IFERROR(INDEX('Темы × классы'!$R:$R,MATCH(E314,'Темы × классы'!$E:$E,0)),"")</f>
        <v/>
      </c>
      <c r="J314" s="9">
        <f>IFERROR(INDEX('Темы × классы'!$S:$S,MATCH(E314,'Темы × классы'!$E:$E,0))&amp;"","")</f>
        <v/>
      </c>
      <c r="K314" s="9" t="inlineStr">
        <is>
          <t>не начат</t>
        </is>
      </c>
      <c r="L314" s="9" t="inlineStr">
        <is>
          <t>Spotlight / 6 класс / Module 1 · Who's who? / have got / have got: значение — описание внешности людей, животных, предметов</t>
        </is>
      </c>
    </row>
    <row r="315">
      <c r="A315" s="25" t="n">
        <v>6</v>
      </c>
      <c r="B315" s="9" t="inlineStr">
        <is>
          <t>Module 1 · Who's who?</t>
        </is>
      </c>
      <c r="C315" s="9" t="inlineStr"/>
      <c r="D315" s="9" t="inlineStr">
        <is>
          <t>have got</t>
        </is>
      </c>
      <c r="E315" s="23" t="inlineStr">
        <is>
          <t>have got: значение — родственные отношения</t>
        </is>
      </c>
      <c r="F315" s="26" t="inlineStr">
        <is>
          <t>новое</t>
        </is>
      </c>
      <c r="G315" s="9" t="inlineStr">
        <is>
          <t>I have got two sisters</t>
        </is>
      </c>
      <c r="H315" s="25" t="inlineStr">
        <is>
          <t>10+</t>
        </is>
      </c>
      <c r="I315" s="9">
        <f>IFERROR(INDEX('Темы × классы'!$R:$R,MATCH(E315,'Темы × классы'!$E:$E,0)),"")</f>
        <v/>
      </c>
      <c r="J315" s="9">
        <f>IFERROR(INDEX('Темы × классы'!$S:$S,MATCH(E315,'Темы × классы'!$E:$E,0))&amp;"","")</f>
        <v/>
      </c>
      <c r="K315" s="9" t="inlineStr">
        <is>
          <t>не начат</t>
        </is>
      </c>
      <c r="L315" s="9" t="inlineStr">
        <is>
          <t>Spotlight / 6 класс / Module 1 · Who's who? / have got / have got: значение — родственные отношения</t>
        </is>
      </c>
    </row>
    <row r="316">
      <c r="A316" s="25" t="n">
        <v>6</v>
      </c>
      <c r="B316" s="9" t="inlineStr">
        <is>
          <t>Module 1 · Who's who?</t>
        </is>
      </c>
      <c r="C316" s="9" t="inlineStr"/>
      <c r="D316" s="9" t="inlineStr">
        <is>
          <t>to be (Present)</t>
        </is>
      </c>
      <c r="E316" s="23" t="inlineStr">
        <is>
          <t>to be (Present): утверждение — am/is/are, полные и краткие формы</t>
        </is>
      </c>
      <c r="F316" s="25" t="inlineStr">
        <is>
          <t>повторение</t>
        </is>
      </c>
      <c r="G316" s="9" t="inlineStr">
        <is>
          <t>все лица; to be — единственный глагол, меняющийся по лицам; при переводе часто опускается</t>
        </is>
      </c>
      <c r="H316" s="25" t="inlineStr">
        <is>
          <t>10+</t>
        </is>
      </c>
      <c r="I316" s="9">
        <f>IFERROR(INDEX('Темы × классы'!$R:$R,MATCH(E316,'Темы × классы'!$E:$E,0)),"")</f>
        <v/>
      </c>
      <c r="J316" s="9">
        <f>IFERROR(INDEX('Темы × классы'!$S:$S,MATCH(E316,'Темы × классы'!$E:$E,0))&amp;"","")</f>
        <v/>
      </c>
      <c r="K316" s="9" t="inlineStr">
        <is>
          <t>не начат</t>
        </is>
      </c>
      <c r="L316" s="9" t="inlineStr">
        <is>
          <t>Spotlight / 6 класс / Module 1 · Who's who? / to be (Present) / to be (Present): утверждение — am/is/are, полные и краткие формы</t>
        </is>
      </c>
    </row>
    <row r="317">
      <c r="A317" s="25" t="n">
        <v>6</v>
      </c>
      <c r="B317" s="9" t="inlineStr">
        <is>
          <t>Module 1 · Who's who?</t>
        </is>
      </c>
      <c r="C317" s="9" t="inlineStr"/>
      <c r="D317" s="9" t="inlineStr">
        <is>
          <t>to be (Present)</t>
        </is>
      </c>
      <c r="E317" s="23" t="inlineStr">
        <is>
          <t>to be (Present): отрицание — am not / isn't / aren't</t>
        </is>
      </c>
      <c r="F317" s="25" t="inlineStr">
        <is>
          <t>повторение</t>
        </is>
      </c>
      <c r="G317" s="9" t="inlineStr"/>
      <c r="H317" s="25" t="inlineStr">
        <is>
          <t>10+</t>
        </is>
      </c>
      <c r="I317" s="9">
        <f>IFERROR(INDEX('Темы × классы'!$R:$R,MATCH(E317,'Темы × классы'!$E:$E,0)),"")</f>
        <v/>
      </c>
      <c r="J317" s="9">
        <f>IFERROR(INDEX('Темы × классы'!$S:$S,MATCH(E317,'Темы × классы'!$E:$E,0))&amp;"","")</f>
        <v/>
      </c>
      <c r="K317" s="9" t="inlineStr">
        <is>
          <t>не начат</t>
        </is>
      </c>
      <c r="L317" s="9" t="inlineStr">
        <is>
          <t>Spotlight / 6 класс / Module 1 · Who's who? / to be (Present) / to be (Present): отрицание — am not / isn't / aren't</t>
        </is>
      </c>
    </row>
    <row r="318">
      <c r="A318" s="25" t="n">
        <v>6</v>
      </c>
      <c r="B318" s="9" t="inlineStr">
        <is>
          <t>Module 1 · Who's who?</t>
        </is>
      </c>
      <c r="C318" s="9" t="inlineStr"/>
      <c r="D318" s="9" t="inlineStr">
        <is>
          <t>to be (Present)</t>
        </is>
      </c>
      <c r="E318" s="23" t="inlineStr">
        <is>
          <t>to be (Present): вопросы и краткие ответы</t>
        </is>
      </c>
      <c r="F318" s="25" t="inlineStr">
        <is>
          <t>повторение</t>
        </is>
      </c>
      <c r="G318" s="9" t="inlineStr"/>
      <c r="H318" s="25" t="inlineStr">
        <is>
          <t>10+</t>
        </is>
      </c>
      <c r="I318" s="9">
        <f>IFERROR(INDEX('Темы × классы'!$R:$R,MATCH(E318,'Темы × классы'!$E:$E,0)),"")</f>
        <v/>
      </c>
      <c r="J318" s="9">
        <f>IFERROR(INDEX('Темы × классы'!$S:$S,MATCH(E318,'Темы × классы'!$E:$E,0))&amp;"","")</f>
        <v/>
      </c>
      <c r="K318" s="9" t="inlineStr">
        <is>
          <t>не начат</t>
        </is>
      </c>
      <c r="L318" s="9" t="inlineStr">
        <is>
          <t>Spotlight / 6 класс / Module 1 · Who's who? / to be (Present) / to be (Present): вопросы и краткие ответы</t>
        </is>
      </c>
    </row>
    <row r="319">
      <c r="A319" s="25" t="n">
        <v>6</v>
      </c>
      <c r="B319" s="9" t="inlineStr">
        <is>
          <t>Module 1 · Who's who?</t>
        </is>
      </c>
      <c r="C319" s="9" t="inlineStr"/>
      <c r="D319" s="9" t="inlineStr">
        <is>
          <t>Plurals (irregular)</t>
        </is>
      </c>
      <c r="E319" s="23" t="inlineStr">
        <is>
          <t>Plurals (irregular): man — men, child — children, tooth — teeth, foot — feet, mouse — mice</t>
        </is>
      </c>
      <c r="F319" s="25" t="inlineStr">
        <is>
          <t>повторение</t>
        </is>
      </c>
      <c r="G319" s="9" t="inlineStr">
        <is>
          <t>6 слов</t>
        </is>
      </c>
      <c r="H319" s="25" t="inlineStr">
        <is>
          <t>10+</t>
        </is>
      </c>
      <c r="I319" s="9">
        <f>IFERROR(INDEX('Темы × классы'!$R:$R,MATCH(E319,'Темы × классы'!$E:$E,0)),"")</f>
        <v/>
      </c>
      <c r="J319" s="9">
        <f>IFERROR(INDEX('Темы × классы'!$S:$S,MATCH(E319,'Темы × классы'!$E:$E,0))&amp;"","")</f>
        <v/>
      </c>
      <c r="K319" s="9" t="inlineStr">
        <is>
          <t>не начат</t>
        </is>
      </c>
      <c r="L319" s="9" t="inlineStr">
        <is>
          <t>Spotlight / 6 класс / Module 1 · Who's who? / Plurals (irregular) / Plurals (irregular): man — men, child — children, tooth — teeth, foot — feet, mouse — mice</t>
        </is>
      </c>
    </row>
    <row r="320">
      <c r="A320" s="25" t="n">
        <v>6</v>
      </c>
      <c r="B320" s="9" t="inlineStr">
        <is>
          <t>Module 1 · Who's who?</t>
        </is>
      </c>
      <c r="C320" s="9" t="inlineStr"/>
      <c r="D320" s="9" t="inlineStr">
        <is>
          <t>Plurals (regular)</t>
        </is>
      </c>
      <c r="E320" s="23" t="inlineStr">
        <is>
          <t>Plurals (regular): основное правило — + -s</t>
        </is>
      </c>
      <c r="F320" s="25" t="inlineStr">
        <is>
          <t>повторение</t>
        </is>
      </c>
      <c r="G320" s="9" t="inlineStr">
        <is>
          <t>a car – two cars</t>
        </is>
      </c>
      <c r="H320" s="25" t="inlineStr">
        <is>
          <t>10+</t>
        </is>
      </c>
      <c r="I320" s="9">
        <f>IFERROR(INDEX('Темы × классы'!$R:$R,MATCH(E320,'Темы × классы'!$E:$E,0)),"")</f>
        <v/>
      </c>
      <c r="J320" s="9">
        <f>IFERROR(INDEX('Темы × классы'!$S:$S,MATCH(E320,'Темы × классы'!$E:$E,0))&amp;"","")</f>
        <v/>
      </c>
      <c r="K320" s="9" t="inlineStr">
        <is>
          <t>не начат</t>
        </is>
      </c>
      <c r="L320" s="9" t="inlineStr">
        <is>
          <t>Spotlight / 6 класс / Module 1 · Who's who? / Plurals (regular) / Plurals (regular): основное правило — + -s</t>
        </is>
      </c>
    </row>
    <row r="321">
      <c r="A321" s="25" t="n">
        <v>6</v>
      </c>
      <c r="B321" s="9" t="inlineStr">
        <is>
          <t>Module 1 · Who's who?</t>
        </is>
      </c>
      <c r="C321" s="9" t="inlineStr"/>
      <c r="D321" s="9" t="inlineStr">
        <is>
          <t>Plurals (regular)</t>
        </is>
      </c>
      <c r="E321" s="23" t="inlineStr">
        <is>
          <t>Plurals (regular): орфография — + -es после -s, -ss, -sh, -ch, -x, -o</t>
        </is>
      </c>
      <c r="F321" s="25" t="inlineStr">
        <is>
          <t>повторение</t>
        </is>
      </c>
      <c r="G321" s="9" t="inlineStr">
        <is>
          <t>buses, dresses, brushes, benches, boxes, tomatoes</t>
        </is>
      </c>
      <c r="H321" s="25" t="inlineStr">
        <is>
          <t>10+</t>
        </is>
      </c>
      <c r="I321" s="9">
        <f>IFERROR(INDEX('Темы × классы'!$R:$R,MATCH(E321,'Темы × классы'!$E:$E,0)),"")</f>
        <v/>
      </c>
      <c r="J321" s="9">
        <f>IFERROR(INDEX('Темы × классы'!$S:$S,MATCH(E321,'Темы × классы'!$E:$E,0))&amp;"","")</f>
        <v/>
      </c>
      <c r="K321" s="9" t="inlineStr">
        <is>
          <t>не начат</t>
        </is>
      </c>
      <c r="L321" s="9" t="inlineStr">
        <is>
          <t>Spotlight / 6 класс / Module 1 · Who's who? / Plurals (regular) / Plurals (regular): орфография — + -es после -s, -ss, -sh, -ch, -x, -o</t>
        </is>
      </c>
    </row>
    <row r="322">
      <c r="A322" s="25" t="n">
        <v>6</v>
      </c>
      <c r="B322" s="9" t="inlineStr">
        <is>
          <t>Module 1 · Who's who?</t>
        </is>
      </c>
      <c r="C322" s="9" t="inlineStr"/>
      <c r="D322" s="9" t="inlineStr">
        <is>
          <t>Plurals (regular)</t>
        </is>
      </c>
      <c r="E322" s="23" t="inlineStr">
        <is>
          <t>Plurals (regular): орфография — -y → -ies (но гласная + y → -s)</t>
        </is>
      </c>
      <c r="F322" s="25" t="inlineStr">
        <is>
          <t>повторение</t>
        </is>
      </c>
      <c r="G322" s="9" t="inlineStr">
        <is>
          <t>berry – berries, boy – boys</t>
        </is>
      </c>
      <c r="H322" s="25" t="inlineStr">
        <is>
          <t>10+</t>
        </is>
      </c>
      <c r="I322" s="9">
        <f>IFERROR(INDEX('Темы × классы'!$R:$R,MATCH(E322,'Темы × классы'!$E:$E,0)),"")</f>
        <v/>
      </c>
      <c r="J322" s="9">
        <f>IFERROR(INDEX('Темы × классы'!$S:$S,MATCH(E322,'Темы × классы'!$E:$E,0))&amp;"","")</f>
        <v/>
      </c>
      <c r="K322" s="9" t="inlineStr">
        <is>
          <t>не начат</t>
        </is>
      </c>
      <c r="L322" s="9" t="inlineStr">
        <is>
          <t>Spotlight / 6 класс / Module 1 · Who's who? / Plurals (regular) / Plurals (regular): орфография — -y → -ies (но гласная + y → -s)</t>
        </is>
      </c>
    </row>
    <row r="323">
      <c r="A323" s="25" t="n">
        <v>6</v>
      </c>
      <c r="B323" s="9" t="inlineStr">
        <is>
          <t>Module 1 · Who's who?</t>
        </is>
      </c>
      <c r="C323" s="9" t="inlineStr"/>
      <c r="D323" s="9" t="inlineStr">
        <is>
          <t>Plurals (regular)</t>
        </is>
      </c>
      <c r="E323" s="23" t="inlineStr">
        <is>
          <t>Plurals (regular): орфография — -f/-fe → -ves</t>
        </is>
      </c>
      <c r="F323" s="25" t="inlineStr">
        <is>
          <t>повторение</t>
        </is>
      </c>
      <c r="G323" s="9" t="inlineStr">
        <is>
          <t>leaf – leaves, knife – knives</t>
        </is>
      </c>
      <c r="H323" s="25" t="inlineStr">
        <is>
          <t>10+</t>
        </is>
      </c>
      <c r="I323" s="9">
        <f>IFERROR(INDEX('Темы × классы'!$R:$R,MATCH(E323,'Темы × классы'!$E:$E,0)),"")</f>
        <v/>
      </c>
      <c r="J323" s="9">
        <f>IFERROR(INDEX('Темы × классы'!$S:$S,MATCH(E323,'Темы × классы'!$E:$E,0))&amp;"","")</f>
        <v/>
      </c>
      <c r="K323" s="9" t="inlineStr">
        <is>
          <t>не начат</t>
        </is>
      </c>
      <c r="L323" s="9" t="inlineStr">
        <is>
          <t>Spotlight / 6 класс / Module 1 · Who's who? / Plurals (regular) / Plurals (regular): орфография — -f/-fe → -ves</t>
        </is>
      </c>
    </row>
    <row r="324">
      <c r="A324" s="25" t="n">
        <v>6</v>
      </c>
      <c r="B324" s="9" t="inlineStr">
        <is>
          <t>Module 1 · Who's who?</t>
        </is>
      </c>
      <c r="C324" s="9" t="inlineStr"/>
      <c r="D324" s="9" t="inlineStr">
        <is>
          <t>Plurals (regular)</t>
        </is>
      </c>
      <c r="E324" s="23" t="inlineStr">
        <is>
          <t>Plurals (regular): исключения на -o — только -s (photos, videos)</t>
        </is>
      </c>
      <c r="F324" s="26" t="inlineStr">
        <is>
          <t>новое</t>
        </is>
      </c>
      <c r="G324" s="9" t="inlineStr">
        <is>
          <t>videos, photos</t>
        </is>
      </c>
      <c r="H324" s="25" t="inlineStr">
        <is>
          <t>10+</t>
        </is>
      </c>
      <c r="I324" s="9">
        <f>IFERROR(INDEX('Темы × классы'!$R:$R,MATCH(E324,'Темы × классы'!$E:$E,0)),"")</f>
        <v/>
      </c>
      <c r="J324" s="9">
        <f>IFERROR(INDEX('Темы × классы'!$S:$S,MATCH(E324,'Темы × классы'!$E:$E,0))&amp;"","")</f>
        <v/>
      </c>
      <c r="K324" s="9" t="inlineStr">
        <is>
          <t>не начат</t>
        </is>
      </c>
      <c r="L324" s="9" t="inlineStr">
        <is>
          <t>Spotlight / 6 класс / Module 1 · Who's who? / Plurals (regular) / Plurals (regular): исключения на -o — только -s (photos, videos)</t>
        </is>
      </c>
    </row>
    <row r="325">
      <c r="A325" s="25" t="n">
        <v>6</v>
      </c>
      <c r="B325" s="9" t="inlineStr">
        <is>
          <t>Module 1 · Who's who?</t>
        </is>
      </c>
      <c r="C325" s="9" t="inlineStr">
        <is>
          <t>1a</t>
        </is>
      </c>
      <c r="D325" s="9" t="inlineStr">
        <is>
          <t>Possessive case ('s)</t>
        </is>
      </c>
      <c r="E325" s="23" t="inlineStr">
        <is>
          <t>Possessive case ('s): 's в ед. ч. — принадлежность</t>
        </is>
      </c>
      <c r="F325" s="25" t="inlineStr">
        <is>
          <t>повторение</t>
        </is>
      </c>
      <c r="G325" s="9" t="inlineStr">
        <is>
          <t>Mary's bag; для людей и животных</t>
        </is>
      </c>
      <c r="H325" s="25" t="inlineStr">
        <is>
          <t>10+</t>
        </is>
      </c>
      <c r="I325" s="9">
        <f>IFERROR(INDEX('Темы × классы'!$R:$R,MATCH(E325,'Темы × классы'!$E:$E,0)),"")</f>
        <v/>
      </c>
      <c r="J325" s="9">
        <f>IFERROR(INDEX('Темы × классы'!$S:$S,MATCH(E325,'Темы × классы'!$E:$E,0))&amp;"","")</f>
        <v/>
      </c>
      <c r="K325" s="9" t="inlineStr">
        <is>
          <t>не начат</t>
        </is>
      </c>
      <c r="L325" s="9" t="inlineStr">
        <is>
          <t>Spotlight / 6 класс / Module 1 · Who's who? / Possessive case ('s) / Possessive case ('s): 's в ед. ч. — принадлежность</t>
        </is>
      </c>
    </row>
    <row r="326">
      <c r="A326" s="25" t="n">
        <v>6</v>
      </c>
      <c r="B326" s="9" t="inlineStr">
        <is>
          <t>Module 1 · Who's who?</t>
        </is>
      </c>
      <c r="C326" s="9" t="inlineStr">
        <is>
          <t>1a</t>
        </is>
      </c>
      <c r="D326" s="9" t="inlineStr">
        <is>
          <t>Possessive case ('s)</t>
        </is>
      </c>
      <c r="E326" s="23" t="inlineStr">
        <is>
          <t>Possessive case ('s): значение — отношения между людьми</t>
        </is>
      </c>
      <c r="F326" s="25" t="inlineStr">
        <is>
          <t>повторение</t>
        </is>
      </c>
      <c r="G326" s="9" t="inlineStr">
        <is>
          <t>Tom's uncle</t>
        </is>
      </c>
      <c r="H326" s="25" t="inlineStr">
        <is>
          <t>10+</t>
        </is>
      </c>
      <c r="I326" s="9">
        <f>IFERROR(INDEX('Темы × классы'!$R:$R,MATCH(E326,'Темы × классы'!$E:$E,0)),"")</f>
        <v/>
      </c>
      <c r="J326" s="9">
        <f>IFERROR(INDEX('Темы × классы'!$S:$S,MATCH(E326,'Темы × классы'!$E:$E,0))&amp;"","")</f>
        <v/>
      </c>
      <c r="K326" s="9" t="inlineStr">
        <is>
          <t>не начат</t>
        </is>
      </c>
      <c r="L326" s="9" t="inlineStr">
        <is>
          <t>Spotlight / 6 класс / Module 1 · Who's who? / Possessive case ('s) / Possessive case ('s): значение — отношения между людьми</t>
        </is>
      </c>
    </row>
    <row r="327">
      <c r="A327" s="25" t="n">
        <v>6</v>
      </c>
      <c r="B327" s="9" t="inlineStr">
        <is>
          <t>Module 1 · Who's who?</t>
        </is>
      </c>
      <c r="C327" s="9" t="inlineStr">
        <is>
          <t>1a</t>
        </is>
      </c>
      <c r="D327" s="9" t="inlineStr">
        <is>
          <t>Possessive case ('s)</t>
        </is>
      </c>
      <c r="E327" s="23" t="inlineStr">
        <is>
          <t>Possessive case ('s): магазины, учреждения, чей-то дом (at the baker's)</t>
        </is>
      </c>
      <c r="F327" s="27" t="inlineStr">
        <is>
          <t>расширение</t>
        </is>
      </c>
      <c r="G327" s="9" t="inlineStr">
        <is>
          <t>добавлено at Bob's — у Боба дома</t>
        </is>
      </c>
      <c r="H327" s="25" t="inlineStr">
        <is>
          <t>10+</t>
        </is>
      </c>
      <c r="I327" s="9">
        <f>IFERROR(INDEX('Темы × классы'!$R:$R,MATCH(E327,'Темы × классы'!$E:$E,0)),"")</f>
        <v/>
      </c>
      <c r="J327" s="9">
        <f>IFERROR(INDEX('Темы × классы'!$S:$S,MATCH(E327,'Темы × классы'!$E:$E,0))&amp;"","")</f>
        <v/>
      </c>
      <c r="K327" s="9" t="inlineStr">
        <is>
          <t>не начат</t>
        </is>
      </c>
      <c r="L327" s="9" t="inlineStr">
        <is>
          <t>Spotlight / 6 класс / Module 1 · Who's who? / Possessive case ('s) / Possessive case ('s): магазины, учреждения, чей-то дом (at the baker's)</t>
        </is>
      </c>
    </row>
    <row r="328">
      <c r="A328" s="25" t="n">
        <v>6</v>
      </c>
      <c r="B328" s="9" t="inlineStr">
        <is>
          <t>Module 1 · Who's who?</t>
        </is>
      </c>
      <c r="C328" s="9" t="inlineStr">
        <is>
          <t>1a</t>
        </is>
      </c>
      <c r="D328" s="9" t="inlineStr">
        <is>
          <t>Possessive case ('s)</t>
        </is>
      </c>
      <c r="E328" s="23" t="inlineStr">
        <is>
          <t>Possessive case ('s): имена на -s — 's или только апостроф</t>
        </is>
      </c>
      <c r="F328" s="25" t="inlineStr">
        <is>
          <t>повторение</t>
        </is>
      </c>
      <c r="G328" s="9" t="inlineStr">
        <is>
          <t>Doris's / Doris' hat</t>
        </is>
      </c>
      <c r="H328" s="25" t="inlineStr">
        <is>
          <t>10+</t>
        </is>
      </c>
      <c r="I328" s="9">
        <f>IFERROR(INDEX('Темы × классы'!$R:$R,MATCH(E328,'Темы × классы'!$E:$E,0)),"")</f>
        <v/>
      </c>
      <c r="J328" s="9">
        <f>IFERROR(INDEX('Темы × классы'!$S:$S,MATCH(E328,'Темы × классы'!$E:$E,0))&amp;"","")</f>
        <v/>
      </c>
      <c r="K328" s="9" t="inlineStr">
        <is>
          <t>не начат</t>
        </is>
      </c>
      <c r="L328" s="9" t="inlineStr">
        <is>
          <t>Spotlight / 6 класс / Module 1 · Who's who? / Possessive case ('s) / Possessive case ('s): имена на -s — 's или только апостроф</t>
        </is>
      </c>
    </row>
    <row r="329">
      <c r="A329" s="25" t="n">
        <v>6</v>
      </c>
      <c r="B329" s="9" t="inlineStr">
        <is>
          <t>Module 1 · Who's who?</t>
        </is>
      </c>
      <c r="C329" s="9" t="inlineStr">
        <is>
          <t>1a</t>
        </is>
      </c>
      <c r="D329" s="9" t="inlineStr">
        <is>
          <t>Possessive case ('s)</t>
        </is>
      </c>
      <c r="E329" s="23" t="inlineStr">
        <is>
          <t>Possessive case ('s): мн. ч. — s' (the boys') и исключения 's (the children's)</t>
        </is>
      </c>
      <c r="F329" s="25" t="inlineStr">
        <is>
          <t>повторение</t>
        </is>
      </c>
      <c r="G329" s="9" t="inlineStr">
        <is>
          <t>the girls' room, the children's books</t>
        </is>
      </c>
      <c r="H329" s="25" t="inlineStr">
        <is>
          <t>10+</t>
        </is>
      </c>
      <c r="I329" s="9">
        <f>IFERROR(INDEX('Темы × классы'!$R:$R,MATCH(E329,'Темы × классы'!$E:$E,0)),"")</f>
        <v/>
      </c>
      <c r="J329" s="9">
        <f>IFERROR(INDEX('Темы × классы'!$S:$S,MATCH(E329,'Темы × классы'!$E:$E,0))&amp;"","")</f>
        <v/>
      </c>
      <c r="K329" s="9" t="inlineStr">
        <is>
          <t>не начат</t>
        </is>
      </c>
      <c r="L329" s="9" t="inlineStr">
        <is>
          <t>Spotlight / 6 класс / Module 1 · Who's who? / Possessive case ('s) / Possessive case ('s): мн. ч. — s' (the boys') и исключения 's (the children's)</t>
        </is>
      </c>
    </row>
    <row r="330">
      <c r="A330" s="25" t="n">
        <v>6</v>
      </c>
      <c r="B330" s="9" t="inlineStr">
        <is>
          <t>Module 1 · Who's who?</t>
        </is>
      </c>
      <c r="C330" s="9" t="inlineStr">
        <is>
          <t>1a</t>
        </is>
      </c>
      <c r="D330" s="9" t="inlineStr">
        <is>
          <t>Possessive adjectives</t>
        </is>
      </c>
      <c r="E330" s="23" t="inlineStr">
        <is>
          <t>Possessive adjectives: формы my, your, his, her, its, our, their</t>
        </is>
      </c>
      <c r="F330" s="25" t="inlineStr">
        <is>
          <t>повторение</t>
        </is>
      </c>
      <c r="G330" s="9" t="inlineStr">
        <is>
          <t>«основная форма»</t>
        </is>
      </c>
      <c r="H330" s="25" t="inlineStr">
        <is>
          <t>10+</t>
        </is>
      </c>
      <c r="I330" s="9">
        <f>IFERROR(INDEX('Темы × классы'!$R:$R,MATCH(E330,'Темы × классы'!$E:$E,0)),"")</f>
        <v/>
      </c>
      <c r="J330" s="9">
        <f>IFERROR(INDEX('Темы × классы'!$S:$S,MATCH(E330,'Темы × классы'!$E:$E,0))&amp;"","")</f>
        <v/>
      </c>
      <c r="K330" s="9" t="inlineStr">
        <is>
          <t>не начат</t>
        </is>
      </c>
      <c r="L330" s="9" t="inlineStr">
        <is>
          <t>Spotlight / 6 класс / Module 1 · Who's who? / Possessive adjectives / Possessive adjectives: формы my, your, his, her, its, our, their</t>
        </is>
      </c>
    </row>
    <row r="331">
      <c r="A331" s="25" t="n">
        <v>6</v>
      </c>
      <c r="B331" s="9" t="inlineStr">
        <is>
          <t>Module 1 · Who's who?</t>
        </is>
      </c>
      <c r="C331" s="9" t="inlineStr">
        <is>
          <t>1a</t>
        </is>
      </c>
      <c r="D331" s="9" t="inlineStr">
        <is>
          <t>Possessive adjectives</t>
        </is>
      </c>
      <c r="E331" s="23" t="inlineStr">
        <is>
          <t>Possessive adjectives: значение — принадлежность и отношения между людьми</t>
        </is>
      </c>
      <c r="F331" s="25" t="inlineStr">
        <is>
          <t>повторение</t>
        </is>
      </c>
      <c r="G331" s="9" t="inlineStr">
        <is>
          <t>This is my bike / Derek is her brother</t>
        </is>
      </c>
      <c r="H331" s="25" t="inlineStr">
        <is>
          <t>10+</t>
        </is>
      </c>
      <c r="I331" s="9">
        <f>IFERROR(INDEX('Темы × классы'!$R:$R,MATCH(E331,'Темы × классы'!$E:$E,0)),"")</f>
        <v/>
      </c>
      <c r="J331" s="9">
        <f>IFERROR(INDEX('Темы × классы'!$S:$S,MATCH(E331,'Темы × классы'!$E:$E,0))&amp;"","")</f>
        <v/>
      </c>
      <c r="K331" s="9" t="inlineStr">
        <is>
          <t>не начат</t>
        </is>
      </c>
      <c r="L331" s="9" t="inlineStr">
        <is>
          <t>Spotlight / 6 класс / Module 1 · Who's who? / Possessive adjectives / Possessive adjectives: значение — принадлежность и отношения между людьми</t>
        </is>
      </c>
    </row>
    <row r="332">
      <c r="A332" s="25" t="n">
        <v>6</v>
      </c>
      <c r="B332" s="9" t="inlineStr">
        <is>
          <t>Module 1 · Who's who?</t>
        </is>
      </c>
      <c r="C332" s="9" t="inlineStr"/>
      <c r="D332" s="9" t="inlineStr">
        <is>
          <t>Personal pronouns (subject)</t>
        </is>
      </c>
      <c r="E332" s="23" t="inlineStr">
        <is>
          <t>Personal pronouns: формы I, you, he, she, it, we, you, they</t>
        </is>
      </c>
      <c r="F332" s="25" t="inlineStr">
        <is>
          <t>повторение</t>
        </is>
      </c>
      <c r="G332" s="9" t="inlineStr"/>
      <c r="H332" s="25" t="inlineStr">
        <is>
          <t>10+</t>
        </is>
      </c>
      <c r="I332" s="9">
        <f>IFERROR(INDEX('Темы × классы'!$R:$R,MATCH(E332,'Темы × классы'!$E:$E,0)),"")</f>
        <v/>
      </c>
      <c r="J332" s="9">
        <f>IFERROR(INDEX('Темы × классы'!$S:$S,MATCH(E332,'Темы × классы'!$E:$E,0))&amp;"","")</f>
        <v/>
      </c>
      <c r="K332" s="9" t="inlineStr">
        <is>
          <t>не начат</t>
        </is>
      </c>
      <c r="L332" s="9" t="inlineStr">
        <is>
          <t>Spotlight / 6 класс / Module 1 · Who's who? / Personal pronouns (subject) / Personal pronouns: формы I, you, he, she, it, we, you, they</t>
        </is>
      </c>
    </row>
    <row r="333">
      <c r="A333" s="25" t="n">
        <v>6</v>
      </c>
      <c r="B333" s="9" t="inlineStr">
        <is>
          <t>Module 1 · Who's who?</t>
        </is>
      </c>
      <c r="C333" s="9" t="inlineStr"/>
      <c r="D333" s="9" t="inlineStr">
        <is>
          <t>Personal pronouns (subject)</t>
        </is>
      </c>
      <c r="E333" s="23" t="inlineStr">
        <is>
          <t>Personal pronouns: употребление — подлежащее вместо существительного</t>
        </is>
      </c>
      <c r="F333" s="25" t="inlineStr">
        <is>
          <t>повторение</t>
        </is>
      </c>
      <c r="G333" s="9" t="inlineStr"/>
      <c r="H333" s="25" t="inlineStr">
        <is>
          <t>10+</t>
        </is>
      </c>
      <c r="I333" s="9">
        <f>IFERROR(INDEX('Темы × классы'!$R:$R,MATCH(E333,'Темы × классы'!$E:$E,0)),"")</f>
        <v/>
      </c>
      <c r="J333" s="9">
        <f>IFERROR(INDEX('Темы × классы'!$S:$S,MATCH(E333,'Темы × классы'!$E:$E,0))&amp;"","")</f>
        <v/>
      </c>
      <c r="K333" s="9" t="inlineStr">
        <is>
          <t>не начат</t>
        </is>
      </c>
      <c r="L333" s="9" t="inlineStr">
        <is>
          <t>Spotlight / 6 класс / Module 1 · Who's who? / Personal pronouns (subject) / Personal pronouns: употребление — подлежащее вместо существительного</t>
        </is>
      </c>
    </row>
    <row r="334">
      <c r="A334" s="25" t="n">
        <v>6</v>
      </c>
      <c r="B334" s="9" t="inlineStr">
        <is>
          <t>Module 1 · Who's who?</t>
        </is>
      </c>
      <c r="C334" s="9" t="inlineStr"/>
      <c r="D334" s="9" t="inlineStr">
        <is>
          <t>Personal pronouns (subject)</t>
        </is>
      </c>
      <c r="E334" s="23" t="inlineStr">
        <is>
          <t>Personal pronouns: he/she vs it vs they — выбор местоимения</t>
        </is>
      </c>
      <c r="F334" s="25" t="inlineStr">
        <is>
          <t>повторение</t>
        </is>
      </c>
      <c r="G334" s="9" t="inlineStr">
        <is>
          <t>it — предметы или животные</t>
        </is>
      </c>
      <c r="H334" s="25" t="inlineStr">
        <is>
          <t>10+</t>
        </is>
      </c>
      <c r="I334" s="9">
        <f>IFERROR(INDEX('Темы × классы'!$R:$R,MATCH(E334,'Темы × классы'!$E:$E,0)),"")</f>
        <v/>
      </c>
      <c r="J334" s="9">
        <f>IFERROR(INDEX('Темы × классы'!$S:$S,MATCH(E334,'Темы × классы'!$E:$E,0))&amp;"","")</f>
        <v/>
      </c>
      <c r="K334" s="9" t="inlineStr">
        <is>
          <t>не начат</t>
        </is>
      </c>
      <c r="L334" s="9" t="inlineStr">
        <is>
          <t>Spotlight / 6 класс / Module 1 · Who's who? / Personal pronouns (subject) / Personal pronouns: he/she vs it vs they — выбор местоимения</t>
        </is>
      </c>
    </row>
    <row r="335">
      <c r="A335" s="25" t="n">
        <v>6</v>
      </c>
      <c r="B335" s="9" t="inlineStr">
        <is>
          <t>Module 1 · Who's who?</t>
        </is>
      </c>
      <c r="C335" s="9" t="inlineStr">
        <is>
          <t>1b</t>
        </is>
      </c>
      <c r="D335" s="9" t="inlineStr">
        <is>
          <t>Possessive pronouns</t>
        </is>
      </c>
      <c r="E335" s="23" t="inlineStr">
        <is>
          <t>Possessive pronouns: формы mine, yours, his, hers, its, ours, theirs — без существительного</t>
        </is>
      </c>
      <c r="F335" s="26" t="inlineStr">
        <is>
          <t>новое</t>
        </is>
      </c>
      <c r="G335" s="9" t="inlineStr">
        <is>
          <t>This bike is mine</t>
        </is>
      </c>
      <c r="H335" s="25" t="inlineStr">
        <is>
          <t>10+</t>
        </is>
      </c>
      <c r="I335" s="9">
        <f>IFERROR(INDEX('Темы × классы'!$R:$R,MATCH(E335,'Темы × классы'!$E:$E,0)),"")</f>
        <v/>
      </c>
      <c r="J335" s="9">
        <f>IFERROR(INDEX('Темы × классы'!$S:$S,MATCH(E335,'Темы × классы'!$E:$E,0))&amp;"","")</f>
        <v/>
      </c>
      <c r="K335" s="9" t="inlineStr">
        <is>
          <t>не начат</t>
        </is>
      </c>
      <c r="L335" s="9" t="inlineStr">
        <is>
          <t>Spotlight / 6 класс / Module 1 · Who's who? / Possessive pronouns / Possessive pronouns: формы mine, yours, his, hers, its, ours, theirs — без существительного</t>
        </is>
      </c>
    </row>
    <row r="336">
      <c r="A336" s="25" t="n">
        <v>6</v>
      </c>
      <c r="B336" s="9" t="inlineStr">
        <is>
          <t>Module 1 · Who's who?</t>
        </is>
      </c>
      <c r="C336" s="9" t="inlineStr">
        <is>
          <t>1b</t>
        </is>
      </c>
      <c r="D336" s="9" t="inlineStr">
        <is>
          <t>Possessive pronouns</t>
        </is>
      </c>
      <c r="E336" s="23" t="inlineStr">
        <is>
          <t>Possessive pronouns: my vs mine — сопоставление основной и абсолютной формы</t>
        </is>
      </c>
      <c r="F336" s="26" t="inlineStr">
        <is>
          <t>новое</t>
        </is>
      </c>
      <c r="G336" s="9" t="inlineStr">
        <is>
          <t>my – mine … their – theirs</t>
        </is>
      </c>
      <c r="H336" s="25" t="inlineStr">
        <is>
          <t>10+</t>
        </is>
      </c>
      <c r="I336" s="9">
        <f>IFERROR(INDEX('Темы × классы'!$R:$R,MATCH(E336,'Темы × классы'!$E:$E,0)),"")</f>
        <v/>
      </c>
      <c r="J336" s="9">
        <f>IFERROR(INDEX('Темы × классы'!$S:$S,MATCH(E336,'Темы × классы'!$E:$E,0))&amp;"","")</f>
        <v/>
      </c>
      <c r="K336" s="9" t="inlineStr">
        <is>
          <t>не начат</t>
        </is>
      </c>
      <c r="L336" s="9" t="inlineStr">
        <is>
          <t>Spotlight / 6 класс / Module 1 · Who's who? / Possessive pronouns / Possessive pronouns: my vs mine — сопоставление основной и абсолютной формы</t>
        </is>
      </c>
    </row>
    <row r="337">
      <c r="A337" s="25" t="n">
        <v>6</v>
      </c>
      <c r="B337" s="9" t="inlineStr">
        <is>
          <t>Module 2 · Here we are!</t>
        </is>
      </c>
      <c r="C337" s="9" t="inlineStr">
        <is>
          <t>2b</t>
        </is>
      </c>
      <c r="D337" s="9" t="inlineStr">
        <is>
          <t>a/an/some/any</t>
        </is>
      </c>
      <c r="E337" s="23" t="inlineStr">
        <is>
          <t>a/an/some/any: some — в утверждениях (неисчисляемые и мн. ч.)</t>
        </is>
      </c>
      <c r="F337" s="25" t="inlineStr">
        <is>
          <t>повторение</t>
        </is>
      </c>
      <c r="G337" s="9" t="inlineStr">
        <is>
          <t>I've got some money / some books</t>
        </is>
      </c>
      <c r="H337" s="25" t="inlineStr">
        <is>
          <t>10+</t>
        </is>
      </c>
      <c r="I337" s="9">
        <f>IFERROR(INDEX('Темы × классы'!$R:$R,MATCH(E337,'Темы × классы'!$E:$E,0)),"")</f>
        <v/>
      </c>
      <c r="J337" s="9">
        <f>IFERROR(INDEX('Темы × классы'!$S:$S,MATCH(E337,'Темы × классы'!$E:$E,0))&amp;"","")</f>
        <v/>
      </c>
      <c r="K337" s="9" t="inlineStr">
        <is>
          <t>не начат</t>
        </is>
      </c>
      <c r="L337" s="9" t="inlineStr">
        <is>
          <t>Spotlight / 6 класс / Module 2 · Here we are! / a/an/some/any / a/an/some/any: some — в утверждениях (неисчисляемые и мн. ч.)</t>
        </is>
      </c>
    </row>
    <row r="338">
      <c r="A338" s="25" t="n">
        <v>6</v>
      </c>
      <c r="B338" s="9" t="inlineStr">
        <is>
          <t>Module 2 · Here we are!</t>
        </is>
      </c>
      <c r="C338" s="9" t="inlineStr">
        <is>
          <t>2b</t>
        </is>
      </c>
      <c r="D338" s="9" t="inlineStr">
        <is>
          <t>a/an/some/any</t>
        </is>
      </c>
      <c r="E338" s="23" t="inlineStr">
        <is>
          <t>a/an/some/any: any — в отрицаниях</t>
        </is>
      </c>
      <c r="F338" s="25" t="inlineStr">
        <is>
          <t>повторение</t>
        </is>
      </c>
      <c r="G338" s="9" t="inlineStr">
        <is>
          <t>No, I haven't got any money</t>
        </is>
      </c>
      <c r="H338" s="25" t="inlineStr">
        <is>
          <t>10+</t>
        </is>
      </c>
      <c r="I338" s="9">
        <f>IFERROR(INDEX('Темы × классы'!$R:$R,MATCH(E338,'Темы × классы'!$E:$E,0)),"")</f>
        <v/>
      </c>
      <c r="J338" s="9">
        <f>IFERROR(INDEX('Темы × классы'!$S:$S,MATCH(E338,'Темы × классы'!$E:$E,0))&amp;"","")</f>
        <v/>
      </c>
      <c r="K338" s="9" t="inlineStr">
        <is>
          <t>не начат</t>
        </is>
      </c>
      <c r="L338" s="9" t="inlineStr">
        <is>
          <t>Spotlight / 6 класс / Module 2 · Here we are! / a/an/some/any / a/an/some/any: any — в отрицаниях</t>
        </is>
      </c>
    </row>
    <row r="339">
      <c r="A339" s="25" t="n">
        <v>6</v>
      </c>
      <c r="B339" s="9" t="inlineStr">
        <is>
          <t>Module 2 · Here we are!</t>
        </is>
      </c>
      <c r="C339" s="9" t="inlineStr">
        <is>
          <t>2b</t>
        </is>
      </c>
      <c r="D339" s="9" t="inlineStr">
        <is>
          <t>a/an/some/any</t>
        </is>
      </c>
      <c r="E339" s="23" t="inlineStr">
        <is>
          <t>a/an/some/any: any — в вопросах</t>
        </is>
      </c>
      <c r="F339" s="25" t="inlineStr">
        <is>
          <t>повторение</t>
        </is>
      </c>
      <c r="G339" s="9" t="inlineStr">
        <is>
          <t>Have you got any money?</t>
        </is>
      </c>
      <c r="H339" s="25" t="inlineStr">
        <is>
          <t>10+</t>
        </is>
      </c>
      <c r="I339" s="9">
        <f>IFERROR(INDEX('Темы × классы'!$R:$R,MATCH(E339,'Темы × классы'!$E:$E,0)),"")</f>
        <v/>
      </c>
      <c r="J339" s="9">
        <f>IFERROR(INDEX('Темы × классы'!$S:$S,MATCH(E339,'Темы × классы'!$E:$E,0))&amp;"","")</f>
        <v/>
      </c>
      <c r="K339" s="9" t="inlineStr">
        <is>
          <t>не начат</t>
        </is>
      </c>
      <c r="L339" s="9" t="inlineStr">
        <is>
          <t>Spotlight / 6 класс / Module 2 · Here we are! / a/an/some/any / a/an/some/any: any — в вопросах</t>
        </is>
      </c>
    </row>
    <row r="340">
      <c r="A340" s="25" t="n">
        <v>6</v>
      </c>
      <c r="B340" s="9" t="inlineStr">
        <is>
          <t>Module 2 · Here we are!</t>
        </is>
      </c>
      <c r="C340" s="9" t="inlineStr">
        <is>
          <t>2b</t>
        </is>
      </c>
      <c r="D340" s="9" t="inlineStr">
        <is>
          <t>a/an/some/any</t>
        </is>
      </c>
      <c r="E340" s="23" t="inlineStr">
        <is>
          <t>a/an/some/any: some в вопросах — просьба и предложение</t>
        </is>
      </c>
      <c r="F340" s="27" t="inlineStr">
        <is>
          <t>расширение</t>
        </is>
      </c>
      <c r="G340" s="9" t="inlineStr">
        <is>
          <t>добавлено предложение: Would you like some coffee?</t>
        </is>
      </c>
      <c r="H340" s="25" t="inlineStr">
        <is>
          <t>10+</t>
        </is>
      </c>
      <c r="I340" s="9">
        <f>IFERROR(INDEX('Темы × классы'!$R:$R,MATCH(E340,'Темы × классы'!$E:$E,0)),"")</f>
        <v/>
      </c>
      <c r="J340" s="9">
        <f>IFERROR(INDEX('Темы × классы'!$S:$S,MATCH(E340,'Темы × классы'!$E:$E,0))&amp;"","")</f>
        <v/>
      </c>
      <c r="K340" s="9" t="inlineStr">
        <is>
          <t>не начат</t>
        </is>
      </c>
      <c r="L340" s="9" t="inlineStr">
        <is>
          <t>Spotlight / 6 класс / Module 2 · Here we are! / a/an/some/any / a/an/some/any: some в вопросах — просьба и предложение</t>
        </is>
      </c>
    </row>
    <row r="341">
      <c r="A341" s="25" t="n">
        <v>6</v>
      </c>
      <c r="B341" s="9" t="inlineStr">
        <is>
          <t>Module 2 · Here we are!</t>
        </is>
      </c>
      <c r="C341" s="9" t="inlineStr">
        <is>
          <t>2b</t>
        </is>
      </c>
      <c r="D341" s="9" t="inlineStr">
        <is>
          <t>a/an/some/any</t>
        </is>
      </c>
      <c r="E341" s="23" t="inlineStr">
        <is>
          <t>a/an/some/any: перевод some — «несколько» / «немного» / не переводится</t>
        </is>
      </c>
      <c r="F341" s="25" t="inlineStr">
        <is>
          <t>повторение</t>
        </is>
      </c>
      <c r="G341" s="9" t="inlineStr">
        <is>
          <t>some bread — немного хлеба, some apples — несколько яблок</t>
        </is>
      </c>
      <c r="H341" s="25" t="inlineStr">
        <is>
          <t>10+</t>
        </is>
      </c>
      <c r="I341" s="9">
        <f>IFERROR(INDEX('Темы × классы'!$R:$R,MATCH(E341,'Темы × классы'!$E:$E,0)),"")</f>
        <v/>
      </c>
      <c r="J341" s="9">
        <f>IFERROR(INDEX('Темы × классы'!$S:$S,MATCH(E341,'Темы × классы'!$E:$E,0))&amp;"","")</f>
        <v/>
      </c>
      <c r="K341" s="9" t="inlineStr">
        <is>
          <t>не начат</t>
        </is>
      </c>
      <c r="L341" s="9" t="inlineStr">
        <is>
          <t>Spotlight / 6 класс / Module 2 · Here we are! / a/an/some/any / a/an/some/any: перевод some — «несколько» / «немного» / не переводится</t>
        </is>
      </c>
    </row>
    <row r="342">
      <c r="A342" s="25" t="n">
        <v>6</v>
      </c>
      <c r="B342" s="9" t="inlineStr">
        <is>
          <t>Module 2 · Here we are!</t>
        </is>
      </c>
      <c r="C342" s="9" t="inlineStr">
        <is>
          <t>2a</t>
        </is>
      </c>
      <c r="D342" s="9" t="inlineStr">
        <is>
          <t>Ordinal numbers</t>
        </is>
      </c>
      <c r="E342" s="23" t="inlineStr">
        <is>
          <t>Ordinal numbers: first, second, third и составные (21st, 22nd)</t>
        </is>
      </c>
      <c r="F342" s="27" t="inlineStr">
        <is>
          <t>расширение</t>
        </is>
      </c>
      <c r="G342" s="9" t="inlineStr">
        <is>
          <t>добавлены большие числа: 51st, 101st, 382nd, 6503rd</t>
        </is>
      </c>
      <c r="H342" s="25" t="inlineStr">
        <is>
          <t>10+</t>
        </is>
      </c>
      <c r="I342" s="9">
        <f>IFERROR(INDEX('Темы × классы'!$R:$R,MATCH(E342,'Темы × классы'!$E:$E,0)),"")</f>
        <v/>
      </c>
      <c r="J342" s="9">
        <f>IFERROR(INDEX('Темы × классы'!$S:$S,MATCH(E342,'Темы × классы'!$E:$E,0))&amp;"","")</f>
        <v/>
      </c>
      <c r="K342" s="9" t="inlineStr">
        <is>
          <t>не начат</t>
        </is>
      </c>
      <c r="L342" s="9" t="inlineStr">
        <is>
          <t>Spotlight / 6 класс / Module 2 · Here we are! / Ordinal numbers / Ordinal numbers: first, second, third и составные (21st, 22nd)</t>
        </is>
      </c>
    </row>
    <row r="343">
      <c r="A343" s="25" t="n">
        <v>6</v>
      </c>
      <c r="B343" s="9" t="inlineStr">
        <is>
          <t>Module 2 · Here we are!</t>
        </is>
      </c>
      <c r="C343" s="9" t="inlineStr">
        <is>
          <t>2a</t>
        </is>
      </c>
      <c r="D343" s="9" t="inlineStr">
        <is>
          <t>Ordinal numbers</t>
        </is>
      </c>
      <c r="E343" s="23" t="inlineStr">
        <is>
          <t>Ordinal numbers: образование с -th и орфография (fifth, ninth, twelfth, twentieth)</t>
        </is>
      </c>
      <c r="F343" s="27" t="inlineStr">
        <is>
          <t>расширение</t>
        </is>
      </c>
      <c r="G343" s="9" t="inlineStr">
        <is>
          <t>правило сформулировано: seven – seventh, 56 – fifty-sixth</t>
        </is>
      </c>
      <c r="H343" s="25" t="inlineStr">
        <is>
          <t>10+</t>
        </is>
      </c>
      <c r="I343" s="9">
        <f>IFERROR(INDEX('Темы × классы'!$R:$R,MATCH(E343,'Темы × классы'!$E:$E,0)),"")</f>
        <v/>
      </c>
      <c r="J343" s="9">
        <f>IFERROR(INDEX('Темы × классы'!$S:$S,MATCH(E343,'Темы × классы'!$E:$E,0))&amp;"","")</f>
        <v/>
      </c>
      <c r="K343" s="9" t="inlineStr">
        <is>
          <t>не начат</t>
        </is>
      </c>
      <c r="L343" s="9" t="inlineStr">
        <is>
          <t>Spotlight / 6 класс / Module 2 · Here we are! / Ordinal numbers / Ordinal numbers: образование с -th и орфография (fifth, ninth, twelfth, twentieth)</t>
        </is>
      </c>
    </row>
    <row r="344">
      <c r="A344" s="25" t="n">
        <v>6</v>
      </c>
      <c r="B344" s="9" t="inlineStr">
        <is>
          <t>Module 2 · Here we are!</t>
        </is>
      </c>
      <c r="C344" s="9" t="inlineStr">
        <is>
          <t>2a</t>
        </is>
      </c>
      <c r="D344" s="9" t="inlineStr">
        <is>
          <t>Ordinal numbers</t>
        </is>
      </c>
      <c r="E344" s="23" t="inlineStr">
        <is>
          <t>Ordinal numbers: с артиклем the и даты</t>
        </is>
      </c>
      <c r="F344" s="27" t="inlineStr">
        <is>
          <t>расширение</t>
        </is>
      </c>
      <c r="G344" s="9" t="inlineStr">
        <is>
          <t>добавлено: пишется September 1 — читается the first of September; всегда с the</t>
        </is>
      </c>
      <c r="H344" s="25" t="inlineStr">
        <is>
          <t>10+</t>
        </is>
      </c>
      <c r="I344" s="9">
        <f>IFERROR(INDEX('Темы × классы'!$R:$R,MATCH(E344,'Темы × классы'!$E:$E,0)),"")</f>
        <v/>
      </c>
      <c r="J344" s="9">
        <f>IFERROR(INDEX('Темы × классы'!$S:$S,MATCH(E344,'Темы × классы'!$E:$E,0))&amp;"","")</f>
        <v/>
      </c>
      <c r="K344" s="9" t="inlineStr">
        <is>
          <t>не начат</t>
        </is>
      </c>
      <c r="L344" s="9" t="inlineStr">
        <is>
          <t>Spotlight / 6 класс / Module 2 · Here we are! / Ordinal numbers / Ordinal numbers: с артиклем the и даты</t>
        </is>
      </c>
    </row>
    <row r="345">
      <c r="A345" s="25" t="n">
        <v>6</v>
      </c>
      <c r="B345" s="9" t="inlineStr">
        <is>
          <t>Module 2 · Here we are!</t>
        </is>
      </c>
      <c r="C345" s="9" t="inlineStr">
        <is>
          <t>2b</t>
        </is>
      </c>
      <c r="D345" s="9" t="inlineStr">
        <is>
          <t>Prepositions of place</t>
        </is>
      </c>
      <c r="E345" s="23" t="inlineStr">
        <is>
          <t>Prepositions of place: in, on, under</t>
        </is>
      </c>
      <c r="F345" s="25" t="inlineStr">
        <is>
          <t>повторение</t>
        </is>
      </c>
      <c r="G345" s="9" t="inlineStr"/>
      <c r="H345" s="25" t="inlineStr">
        <is>
          <t>10+</t>
        </is>
      </c>
      <c r="I345" s="9">
        <f>IFERROR(INDEX('Темы × классы'!$R:$R,MATCH(E345,'Темы × классы'!$E:$E,0)),"")</f>
        <v/>
      </c>
      <c r="J345" s="9">
        <f>IFERROR(INDEX('Темы × классы'!$S:$S,MATCH(E345,'Темы × классы'!$E:$E,0))&amp;"","")</f>
        <v/>
      </c>
      <c r="K345" s="9" t="inlineStr">
        <is>
          <t>не начат</t>
        </is>
      </c>
      <c r="L345" s="9" t="inlineStr">
        <is>
          <t>Spotlight / 6 класс / Module 2 · Here we are! / Prepositions of place / Prepositions of place: in, on, under</t>
        </is>
      </c>
    </row>
    <row r="346">
      <c r="A346" s="25" t="n">
        <v>6</v>
      </c>
      <c r="B346" s="9" t="inlineStr">
        <is>
          <t>Module 2 · Here we are!</t>
        </is>
      </c>
      <c r="C346" s="9" t="inlineStr">
        <is>
          <t>2b</t>
        </is>
      </c>
      <c r="D346" s="9" t="inlineStr">
        <is>
          <t>Prepositions of place</t>
        </is>
      </c>
      <c r="E346" s="23" t="inlineStr">
        <is>
          <t>Prepositions of place: next to, in front of, behind</t>
        </is>
      </c>
      <c r="F346" s="25" t="inlineStr">
        <is>
          <t>повторение</t>
        </is>
      </c>
      <c r="G346" s="9" t="inlineStr">
        <is>
          <t>beside/next to</t>
        </is>
      </c>
      <c r="H346" s="25" t="inlineStr">
        <is>
          <t>10+</t>
        </is>
      </c>
      <c r="I346" s="9">
        <f>IFERROR(INDEX('Темы × классы'!$R:$R,MATCH(E346,'Темы × классы'!$E:$E,0)),"")</f>
        <v/>
      </c>
      <c r="J346" s="9">
        <f>IFERROR(INDEX('Темы × классы'!$S:$S,MATCH(E346,'Темы × классы'!$E:$E,0))&amp;"","")</f>
        <v/>
      </c>
      <c r="K346" s="9" t="inlineStr">
        <is>
          <t>не начат</t>
        </is>
      </c>
      <c r="L346" s="9" t="inlineStr">
        <is>
          <t>Spotlight / 6 класс / Module 2 · Here we are! / Prepositions of place / Prepositions of place: next to, in front of, behind</t>
        </is>
      </c>
    </row>
    <row r="347">
      <c r="A347" s="25" t="n">
        <v>6</v>
      </c>
      <c r="B347" s="9" t="inlineStr">
        <is>
          <t>Module 2 · Here we are!</t>
        </is>
      </c>
      <c r="C347" s="9" t="inlineStr">
        <is>
          <t>2b</t>
        </is>
      </c>
      <c r="D347" s="9" t="inlineStr">
        <is>
          <t>Prepositions of place</t>
        </is>
      </c>
      <c r="E347" s="23" t="inlineStr">
        <is>
          <t>Prepositions of place: opposite, between</t>
        </is>
      </c>
      <c r="F347" s="25" t="inlineStr">
        <is>
          <t>повторение</t>
        </is>
      </c>
      <c r="G347" s="9" t="inlineStr"/>
      <c r="H347" s="25" t="inlineStr">
        <is>
          <t>10+</t>
        </is>
      </c>
      <c r="I347" s="9">
        <f>IFERROR(INDEX('Темы × классы'!$R:$R,MATCH(E347,'Темы × классы'!$E:$E,0)),"")</f>
        <v/>
      </c>
      <c r="J347" s="9">
        <f>IFERROR(INDEX('Темы × классы'!$S:$S,MATCH(E347,'Темы × классы'!$E:$E,0))&amp;"","")</f>
        <v/>
      </c>
      <c r="K347" s="9" t="inlineStr">
        <is>
          <t>не начат</t>
        </is>
      </c>
      <c r="L347" s="9" t="inlineStr">
        <is>
          <t>Spotlight / 6 класс / Module 2 · Here we are! / Prepositions of place / Prepositions of place: opposite, between</t>
        </is>
      </c>
    </row>
    <row r="348">
      <c r="A348" s="25" t="n">
        <v>6</v>
      </c>
      <c r="B348" s="9" t="inlineStr">
        <is>
          <t>Module 2 · Here we are!</t>
        </is>
      </c>
      <c r="C348" s="9" t="inlineStr">
        <is>
          <t>2b</t>
        </is>
      </c>
      <c r="D348" s="9" t="inlineStr">
        <is>
          <t>Prepositions of place</t>
        </is>
      </c>
      <c r="E348" s="23" t="inlineStr">
        <is>
          <t>Prepositions of place: near, beside</t>
        </is>
      </c>
      <c r="F348" s="26" t="inlineStr">
        <is>
          <t>новое</t>
        </is>
      </c>
      <c r="G348" s="9" t="inlineStr"/>
      <c r="H348" s="25" t="inlineStr">
        <is>
          <t>10+</t>
        </is>
      </c>
      <c r="I348" s="9">
        <f>IFERROR(INDEX('Темы × классы'!$R:$R,MATCH(E348,'Темы × классы'!$E:$E,0)),"")</f>
        <v/>
      </c>
      <c r="J348" s="9">
        <f>IFERROR(INDEX('Темы × классы'!$S:$S,MATCH(E348,'Темы × классы'!$E:$E,0))&amp;"","")</f>
        <v/>
      </c>
      <c r="K348" s="9" t="inlineStr">
        <is>
          <t>не начат</t>
        </is>
      </c>
      <c r="L348" s="9" t="inlineStr">
        <is>
          <t>Spotlight / 6 класс / Module 2 · Here we are! / Prepositions of place / Prepositions of place: near, beside</t>
        </is>
      </c>
    </row>
    <row r="349">
      <c r="A349" s="25" t="n">
        <v>6</v>
      </c>
      <c r="B349" s="9" t="inlineStr">
        <is>
          <t>Module 2 · Here we are!</t>
        </is>
      </c>
      <c r="C349" s="9" t="inlineStr">
        <is>
          <t>2b</t>
        </is>
      </c>
      <c r="D349" s="9" t="inlineStr">
        <is>
          <t>Prepositions of place</t>
        </is>
      </c>
      <c r="E349" s="23" t="inlineStr">
        <is>
          <t>Prepositions of place: at — at school/work/home, в адресах</t>
        </is>
      </c>
      <c r="F349" s="25" t="inlineStr">
        <is>
          <t>повторение</t>
        </is>
      </c>
      <c r="G349" s="9" t="inlineStr"/>
      <c r="H349" s="25" t="inlineStr">
        <is>
          <t>10+</t>
        </is>
      </c>
      <c r="I349" s="9">
        <f>IFERROR(INDEX('Темы × классы'!$R:$R,MATCH(E349,'Темы × классы'!$E:$E,0)),"")</f>
        <v/>
      </c>
      <c r="J349" s="9">
        <f>IFERROR(INDEX('Темы × классы'!$S:$S,MATCH(E349,'Темы × классы'!$E:$E,0))&amp;"","")</f>
        <v/>
      </c>
      <c r="K349" s="9" t="inlineStr">
        <is>
          <t>не начат</t>
        </is>
      </c>
      <c r="L349" s="9" t="inlineStr">
        <is>
          <t>Spotlight / 6 класс / Module 2 · Here we are! / Prepositions of place / Prepositions of place: at — at school/work/home, в адресах</t>
        </is>
      </c>
    </row>
    <row r="350">
      <c r="A350" s="25" t="n">
        <v>6</v>
      </c>
      <c r="B350" s="9" t="inlineStr">
        <is>
          <t>Module 2 · Here we are!</t>
        </is>
      </c>
      <c r="C350" s="9" t="inlineStr">
        <is>
          <t>2b</t>
        </is>
      </c>
      <c r="D350" s="9" t="inlineStr">
        <is>
          <t>Prepositions of place</t>
        </is>
      </c>
      <c r="E350" s="23" t="inlineStr">
        <is>
          <t>Prepositions of place: in — устойчивые выражения (in bed, in hospital, in the sky, in a picture)</t>
        </is>
      </c>
      <c r="F350" s="25" t="inlineStr">
        <is>
          <t>повторение</t>
        </is>
      </c>
      <c r="G350" s="9" t="inlineStr"/>
      <c r="H350" s="25" t="inlineStr">
        <is>
          <t>10+</t>
        </is>
      </c>
      <c r="I350" s="9">
        <f>IFERROR(INDEX('Темы × классы'!$R:$R,MATCH(E350,'Темы × классы'!$E:$E,0)),"")</f>
        <v/>
      </c>
      <c r="J350" s="9">
        <f>IFERROR(INDEX('Темы × классы'!$S:$S,MATCH(E350,'Темы × классы'!$E:$E,0))&amp;"","")</f>
        <v/>
      </c>
      <c r="K350" s="9" t="inlineStr">
        <is>
          <t>не начат</t>
        </is>
      </c>
      <c r="L350" s="9" t="inlineStr">
        <is>
          <t>Spotlight / 6 класс / Module 2 · Here we are! / Prepositions of place / Prepositions of place: in — устойчивые выражения (in bed, in hospital, in the sky, in a picture)</t>
        </is>
      </c>
    </row>
    <row r="351">
      <c r="A351" s="25" t="n">
        <v>6</v>
      </c>
      <c r="B351" s="9" t="inlineStr">
        <is>
          <t>Module 2 · Here we are!</t>
        </is>
      </c>
      <c r="C351" s="9" t="inlineStr">
        <is>
          <t>2b</t>
        </is>
      </c>
      <c r="D351" s="9" t="inlineStr">
        <is>
          <t>Prepositions of place</t>
        </is>
      </c>
      <c r="E351" s="23" t="inlineStr">
        <is>
          <t>Prepositions of place: in — города, страны, континенты</t>
        </is>
      </c>
      <c r="F351" s="25" t="inlineStr">
        <is>
          <t>повторение</t>
        </is>
      </c>
      <c r="G351" s="9" t="inlineStr"/>
      <c r="H351" s="25" t="inlineStr">
        <is>
          <t>10+</t>
        </is>
      </c>
      <c r="I351" s="9">
        <f>IFERROR(INDEX('Темы × классы'!$R:$R,MATCH(E351,'Темы × классы'!$E:$E,0)),"")</f>
        <v/>
      </c>
      <c r="J351" s="9">
        <f>IFERROR(INDEX('Темы × классы'!$S:$S,MATCH(E351,'Темы × классы'!$E:$E,0))&amp;"","")</f>
        <v/>
      </c>
      <c r="K351" s="9" t="inlineStr">
        <is>
          <t>не начат</t>
        </is>
      </c>
      <c r="L351" s="9" t="inlineStr">
        <is>
          <t>Spotlight / 6 класс / Module 2 · Here we are! / Prepositions of place / Prepositions of place: in — города, страны, континенты</t>
        </is>
      </c>
    </row>
    <row r="352">
      <c r="A352" s="25" t="n">
        <v>6</v>
      </c>
      <c r="B352" s="9" t="inlineStr">
        <is>
          <t>Module 2 · Here we are!</t>
        </is>
      </c>
      <c r="C352" s="9" t="inlineStr">
        <is>
          <t>2b</t>
        </is>
      </c>
      <c r="D352" s="9" t="inlineStr">
        <is>
          <t>Prepositions of place</t>
        </is>
      </c>
      <c r="E352" s="23" t="inlineStr">
        <is>
          <t>Prepositions of place: on — on the left/right, on the first floor</t>
        </is>
      </c>
      <c r="F352" s="25" t="inlineStr">
        <is>
          <t>повторение</t>
        </is>
      </c>
      <c r="G352" s="9" t="inlineStr"/>
      <c r="H352" s="25" t="inlineStr">
        <is>
          <t>10+</t>
        </is>
      </c>
      <c r="I352" s="9">
        <f>IFERROR(INDEX('Темы × классы'!$R:$R,MATCH(E352,'Темы × классы'!$E:$E,0)),"")</f>
        <v/>
      </c>
      <c r="J352" s="9">
        <f>IFERROR(INDEX('Темы × классы'!$S:$S,MATCH(E352,'Темы × классы'!$E:$E,0))&amp;"","")</f>
        <v/>
      </c>
      <c r="K352" s="9" t="inlineStr">
        <is>
          <t>не начат</t>
        </is>
      </c>
      <c r="L352" s="9" t="inlineStr">
        <is>
          <t>Spotlight / 6 класс / Module 2 · Here we are! / Prepositions of place / Prepositions of place: on — on the left/right, on the first floor</t>
        </is>
      </c>
    </row>
    <row r="353">
      <c r="A353" s="25" t="n">
        <v>6</v>
      </c>
      <c r="B353" s="9" t="inlineStr">
        <is>
          <t>Module 2 · Here we are!</t>
        </is>
      </c>
      <c r="C353" s="9" t="inlineStr">
        <is>
          <t>2a</t>
        </is>
      </c>
      <c r="D353" s="9" t="inlineStr">
        <is>
          <t>Prepositions of time</t>
        </is>
      </c>
      <c r="E353" s="23" t="inlineStr">
        <is>
          <t>Prepositions of time: at — время, праздники, at night/at noon/at the weekend</t>
        </is>
      </c>
      <c r="F353" s="25" t="inlineStr">
        <is>
          <t>повторение</t>
        </is>
      </c>
      <c r="G353" s="9" t="inlineStr"/>
      <c r="H353" s="25" t="inlineStr">
        <is>
          <t>10+</t>
        </is>
      </c>
      <c r="I353" s="9">
        <f>IFERROR(INDEX('Темы × классы'!$R:$R,MATCH(E353,'Темы × классы'!$E:$E,0)),"")</f>
        <v/>
      </c>
      <c r="J353" s="9">
        <f>IFERROR(INDEX('Темы × классы'!$S:$S,MATCH(E353,'Темы × классы'!$E:$E,0))&amp;"","")</f>
        <v/>
      </c>
      <c r="K353" s="9" t="inlineStr">
        <is>
          <t>не начат</t>
        </is>
      </c>
      <c r="L353" s="9" t="inlineStr">
        <is>
          <t>Spotlight / 6 класс / Module 2 · Here we are! / Prepositions of time / Prepositions of time: at — время, праздники, at night/at noon/at the weekend</t>
        </is>
      </c>
    </row>
    <row r="354">
      <c r="A354" s="25" t="n">
        <v>6</v>
      </c>
      <c r="B354" s="9" t="inlineStr">
        <is>
          <t>Module 2 · Here we are!</t>
        </is>
      </c>
      <c r="C354" s="9" t="inlineStr">
        <is>
          <t>2a</t>
        </is>
      </c>
      <c r="D354" s="9" t="inlineStr">
        <is>
          <t>Prepositions of time</t>
        </is>
      </c>
      <c r="E354" s="23" t="inlineStr">
        <is>
          <t>Prepositions of time: on — дни недели и праздничные дни</t>
        </is>
      </c>
      <c r="F354" s="25" t="inlineStr">
        <is>
          <t>повторение</t>
        </is>
      </c>
      <c r="G354" s="9" t="inlineStr"/>
      <c r="H354" s="25" t="inlineStr">
        <is>
          <t>10+</t>
        </is>
      </c>
      <c r="I354" s="9">
        <f>IFERROR(INDEX('Темы × классы'!$R:$R,MATCH(E354,'Темы × классы'!$E:$E,0)),"")</f>
        <v/>
      </c>
      <c r="J354" s="9">
        <f>IFERROR(INDEX('Темы × классы'!$S:$S,MATCH(E354,'Темы × классы'!$E:$E,0))&amp;"","")</f>
        <v/>
      </c>
      <c r="K354" s="9" t="inlineStr">
        <is>
          <t>не начат</t>
        </is>
      </c>
      <c r="L354" s="9" t="inlineStr">
        <is>
          <t>Spotlight / 6 класс / Module 2 · Here we are! / Prepositions of time / Prepositions of time: on — дни недели и праздничные дни</t>
        </is>
      </c>
    </row>
    <row r="355">
      <c r="A355" s="25" t="n">
        <v>6</v>
      </c>
      <c r="B355" s="9" t="inlineStr">
        <is>
          <t>Module 2 · Here we are!</t>
        </is>
      </c>
      <c r="C355" s="9" t="inlineStr">
        <is>
          <t>2a</t>
        </is>
      </c>
      <c r="D355" s="9" t="inlineStr">
        <is>
          <t>Prepositions of time</t>
        </is>
      </c>
      <c r="E355" s="23" t="inlineStr">
        <is>
          <t>Prepositions of time: on — даты, день недели + часть дня, on a hot day</t>
        </is>
      </c>
      <c r="F355" s="25" t="inlineStr">
        <is>
          <t>повторение</t>
        </is>
      </c>
      <c r="G355" s="9" t="inlineStr"/>
      <c r="H355" s="25" t="inlineStr">
        <is>
          <t>10+</t>
        </is>
      </c>
      <c r="I355" s="9">
        <f>IFERROR(INDEX('Темы × классы'!$R:$R,MATCH(E355,'Темы × классы'!$E:$E,0)),"")</f>
        <v/>
      </c>
      <c r="J355" s="9">
        <f>IFERROR(INDEX('Темы × классы'!$S:$S,MATCH(E355,'Темы × классы'!$E:$E,0))&amp;"","")</f>
        <v/>
      </c>
      <c r="K355" s="9" t="inlineStr">
        <is>
          <t>не начат</t>
        </is>
      </c>
      <c r="L355" s="9" t="inlineStr">
        <is>
          <t>Spotlight / 6 класс / Module 2 · Here we are! / Prepositions of time / Prepositions of time: on — даты, день недели + часть дня, on a hot day</t>
        </is>
      </c>
    </row>
    <row r="356">
      <c r="A356" s="25" t="n">
        <v>6</v>
      </c>
      <c r="B356" s="9" t="inlineStr">
        <is>
          <t>Module 2 · Here we are!</t>
        </is>
      </c>
      <c r="C356" s="9" t="inlineStr">
        <is>
          <t>2a</t>
        </is>
      </c>
      <c r="D356" s="9" t="inlineStr">
        <is>
          <t>Prepositions of time</t>
        </is>
      </c>
      <c r="E356" s="23" t="inlineStr">
        <is>
          <t>Prepositions of time: in — части суток (in the morning/afternoon/evening)</t>
        </is>
      </c>
      <c r="F356" s="25" t="inlineStr">
        <is>
          <t>повторение</t>
        </is>
      </c>
      <c r="G356" s="9" t="inlineStr"/>
      <c r="H356" s="25" t="inlineStr">
        <is>
          <t>10+</t>
        </is>
      </c>
      <c r="I356" s="9">
        <f>IFERROR(INDEX('Темы × классы'!$R:$R,MATCH(E356,'Темы × классы'!$E:$E,0)),"")</f>
        <v/>
      </c>
      <c r="J356" s="9">
        <f>IFERROR(INDEX('Темы × классы'!$S:$S,MATCH(E356,'Темы × классы'!$E:$E,0))&amp;"","")</f>
        <v/>
      </c>
      <c r="K356" s="9" t="inlineStr">
        <is>
          <t>не начат</t>
        </is>
      </c>
      <c r="L356" s="9" t="inlineStr">
        <is>
          <t>Spotlight / 6 класс / Module 2 · Here we are! / Prepositions of time / Prepositions of time: in — части суток (in the morning/afternoon/evening)</t>
        </is>
      </c>
    </row>
    <row r="357">
      <c r="A357" s="25" t="n">
        <v>6</v>
      </c>
      <c r="B357" s="9" t="inlineStr">
        <is>
          <t>Module 2 · Here we are!</t>
        </is>
      </c>
      <c r="C357" s="9" t="inlineStr">
        <is>
          <t>2a</t>
        </is>
      </c>
      <c r="D357" s="9" t="inlineStr">
        <is>
          <t>Prepositions of time</t>
        </is>
      </c>
      <c r="E357" s="23" t="inlineStr">
        <is>
          <t>Prepositions of time: in — месяцы, времена года, годы, века</t>
        </is>
      </c>
      <c r="F357" s="25" t="inlineStr">
        <is>
          <t>повторение</t>
        </is>
      </c>
      <c r="G357" s="9" t="inlineStr"/>
      <c r="H357" s="25" t="inlineStr">
        <is>
          <t>10+</t>
        </is>
      </c>
      <c r="I357" s="9">
        <f>IFERROR(INDEX('Темы × классы'!$R:$R,MATCH(E357,'Темы × классы'!$E:$E,0)),"")</f>
        <v/>
      </c>
      <c r="J357" s="9">
        <f>IFERROR(INDEX('Темы × классы'!$S:$S,MATCH(E357,'Темы × классы'!$E:$E,0))&amp;"","")</f>
        <v/>
      </c>
      <c r="K357" s="9" t="inlineStr">
        <is>
          <t>не начат</t>
        </is>
      </c>
      <c r="L357" s="9" t="inlineStr">
        <is>
          <t>Spotlight / 6 класс / Module 2 · Here we are! / Prepositions of time / Prepositions of time: in — месяцы, времена года, годы, века</t>
        </is>
      </c>
    </row>
    <row r="358">
      <c r="A358" s="25" t="n">
        <v>6</v>
      </c>
      <c r="B358" s="9" t="inlineStr">
        <is>
          <t>Module 2 · Here we are!</t>
        </is>
      </c>
      <c r="C358" s="9" t="inlineStr">
        <is>
          <t>2a</t>
        </is>
      </c>
      <c r="D358" s="9" t="inlineStr">
        <is>
          <t>Prepositions of time</t>
        </is>
      </c>
      <c r="E358" s="23" t="inlineStr">
        <is>
          <t>Prepositions of time: in = «через» (in an hour, in a week)</t>
        </is>
      </c>
      <c r="F358" s="25" t="inlineStr">
        <is>
          <t>повторение</t>
        </is>
      </c>
      <c r="G358" s="9" t="inlineStr"/>
      <c r="H358" s="25" t="inlineStr">
        <is>
          <t>10+</t>
        </is>
      </c>
      <c r="I358" s="9">
        <f>IFERROR(INDEX('Темы × классы'!$R:$R,MATCH(E358,'Темы × классы'!$E:$E,0)),"")</f>
        <v/>
      </c>
      <c r="J358" s="9">
        <f>IFERROR(INDEX('Темы × классы'!$S:$S,MATCH(E358,'Темы × классы'!$E:$E,0))&amp;"","")</f>
        <v/>
      </c>
      <c r="K358" s="9" t="inlineStr">
        <is>
          <t>не начат</t>
        </is>
      </c>
      <c r="L358" s="9" t="inlineStr">
        <is>
          <t>Spotlight / 6 класс / Module 2 · Here we are! / Prepositions of time / Prepositions of time: in = «через» (in an hour, in a week)</t>
        </is>
      </c>
    </row>
    <row r="359">
      <c r="A359" s="25" t="n">
        <v>6</v>
      </c>
      <c r="B359" s="9" t="inlineStr">
        <is>
          <t>Module 3 · Getting around</t>
        </is>
      </c>
      <c r="C359" s="9" t="inlineStr">
        <is>
          <t>3b</t>
        </is>
      </c>
      <c r="D359" s="9" t="inlineStr">
        <is>
          <t>can (ability)</t>
        </is>
      </c>
      <c r="E359" s="23" t="inlineStr">
        <is>
          <t>can (ability): значение — умение; утверждение can + глагол без to</t>
        </is>
      </c>
      <c r="F359" s="25" t="inlineStr">
        <is>
          <t>повторение</t>
        </is>
      </c>
      <c r="G359" s="9" t="inlineStr"/>
      <c r="H359" s="25" t="inlineStr">
        <is>
          <t>10+</t>
        </is>
      </c>
      <c r="I359" s="9">
        <f>IFERROR(INDEX('Темы × классы'!$R:$R,MATCH(E359,'Темы × классы'!$E:$E,0)),"")</f>
        <v/>
      </c>
      <c r="J359" s="9">
        <f>IFERROR(INDEX('Темы × классы'!$S:$S,MATCH(E359,'Темы × классы'!$E:$E,0))&amp;"","")</f>
        <v/>
      </c>
      <c r="K359" s="9" t="inlineStr">
        <is>
          <t>не начат</t>
        </is>
      </c>
      <c r="L359" s="9" t="inlineStr">
        <is>
          <t>Spotlight / 6 класс / Module 3 · Getting around / can (ability) / can (ability): значение — умение; утверждение can + глагол без to</t>
        </is>
      </c>
    </row>
    <row r="360">
      <c r="A360" s="25" t="n">
        <v>6</v>
      </c>
      <c r="B360" s="9" t="inlineStr">
        <is>
          <t>Module 3 · Getting around</t>
        </is>
      </c>
      <c r="C360" s="9" t="inlineStr">
        <is>
          <t>3b</t>
        </is>
      </c>
      <c r="D360" s="9" t="inlineStr">
        <is>
          <t>can (ability)</t>
        </is>
      </c>
      <c r="E360" s="23" t="inlineStr">
        <is>
          <t>can (ability): отрицание — cannot / can't</t>
        </is>
      </c>
      <c r="F360" s="25" t="inlineStr">
        <is>
          <t>повторение</t>
        </is>
      </c>
      <c r="G360" s="9" t="inlineStr"/>
      <c r="H360" s="25" t="inlineStr">
        <is>
          <t>10+</t>
        </is>
      </c>
      <c r="I360" s="9">
        <f>IFERROR(INDEX('Темы × классы'!$R:$R,MATCH(E360,'Темы × классы'!$E:$E,0)),"")</f>
        <v/>
      </c>
      <c r="J360" s="9">
        <f>IFERROR(INDEX('Темы × классы'!$S:$S,MATCH(E360,'Темы × классы'!$E:$E,0))&amp;"","")</f>
        <v/>
      </c>
      <c r="K360" s="9" t="inlineStr">
        <is>
          <t>не начат</t>
        </is>
      </c>
      <c r="L360" s="9" t="inlineStr">
        <is>
          <t>Spotlight / 6 класс / Module 3 · Getting around / can (ability) / can (ability): отрицание — cannot / can't</t>
        </is>
      </c>
    </row>
    <row r="361">
      <c r="A361" s="25" t="n">
        <v>6</v>
      </c>
      <c r="B361" s="9" t="inlineStr">
        <is>
          <t>Module 3 · Getting around</t>
        </is>
      </c>
      <c r="C361" s="9" t="inlineStr">
        <is>
          <t>3b</t>
        </is>
      </c>
      <c r="D361" s="9" t="inlineStr">
        <is>
          <t>can (ability)</t>
        </is>
      </c>
      <c r="E361" s="23" t="inlineStr">
        <is>
          <t>can (ability): вопросы и краткие ответы</t>
        </is>
      </c>
      <c r="F361" s="25" t="inlineStr">
        <is>
          <t>повторение</t>
        </is>
      </c>
      <c r="G361" s="9" t="inlineStr"/>
      <c r="H361" s="25" t="inlineStr">
        <is>
          <t>10+</t>
        </is>
      </c>
      <c r="I361" s="9">
        <f>IFERROR(INDEX('Темы × классы'!$R:$R,MATCH(E361,'Темы × классы'!$E:$E,0)),"")</f>
        <v/>
      </c>
      <c r="J361" s="9">
        <f>IFERROR(INDEX('Темы × классы'!$S:$S,MATCH(E361,'Темы × классы'!$E:$E,0))&amp;"","")</f>
        <v/>
      </c>
      <c r="K361" s="9" t="inlineStr">
        <is>
          <t>не начат</t>
        </is>
      </c>
      <c r="L361" s="9" t="inlineStr">
        <is>
          <t>Spotlight / 6 класс / Module 3 · Getting around / can (ability) / can (ability): вопросы и краткие ответы</t>
        </is>
      </c>
    </row>
    <row r="362">
      <c r="A362" s="25" t="n">
        <v>6</v>
      </c>
      <c r="B362" s="9" t="inlineStr">
        <is>
          <t>Module 3 · Getting around</t>
        </is>
      </c>
      <c r="C362" s="9" t="inlineStr">
        <is>
          <t>3b</t>
        </is>
      </c>
      <c r="D362" s="9" t="inlineStr">
        <is>
          <t>can (permission/request)</t>
        </is>
      </c>
      <c r="E362" s="23" t="inlineStr">
        <is>
          <t>can (permission/request): спросить разрешения — Can I…?</t>
        </is>
      </c>
      <c r="F362" s="25" t="inlineStr">
        <is>
          <t>повторение</t>
        </is>
      </c>
      <c r="G362" s="9" t="inlineStr">
        <is>
          <t>Can we play on the computer, please?</t>
        </is>
      </c>
      <c r="H362" s="25" t="inlineStr">
        <is>
          <t>10+</t>
        </is>
      </c>
      <c r="I362" s="9">
        <f>IFERROR(INDEX('Темы × классы'!$R:$R,MATCH(E362,'Темы × классы'!$E:$E,0)),"")</f>
        <v/>
      </c>
      <c r="J362" s="9">
        <f>IFERROR(INDEX('Темы × классы'!$S:$S,MATCH(E362,'Темы × классы'!$E:$E,0))&amp;"","")</f>
        <v/>
      </c>
      <c r="K362" s="9" t="inlineStr">
        <is>
          <t>не начат</t>
        </is>
      </c>
      <c r="L362" s="9" t="inlineStr">
        <is>
          <t>Spotlight / 6 класс / Module 3 · Getting around / can (permission/request) / can (permission/request): спросить разрешения — Can I…?</t>
        </is>
      </c>
    </row>
    <row r="363">
      <c r="A363" s="25" t="n">
        <v>6</v>
      </c>
      <c r="B363" s="9" t="inlineStr">
        <is>
          <t>Module 3 · Getting around</t>
        </is>
      </c>
      <c r="C363" s="9" t="inlineStr">
        <is>
          <t>3b</t>
        </is>
      </c>
      <c r="D363" s="9" t="inlineStr">
        <is>
          <t>can (permission/request)</t>
        </is>
      </c>
      <c r="E363" s="23" t="inlineStr">
        <is>
          <t>can (permission/request): просьба — Can you…? / Can I have…?</t>
        </is>
      </c>
      <c r="F363" s="25" t="inlineStr">
        <is>
          <t>повторение</t>
        </is>
      </c>
      <c r="G363" s="9" t="inlineStr">
        <is>
          <t>Can you open the door? Can I have a piece of cake?</t>
        </is>
      </c>
      <c r="H363" s="25" t="inlineStr">
        <is>
          <t>10+</t>
        </is>
      </c>
      <c r="I363" s="9">
        <f>IFERROR(INDEX('Темы × классы'!$R:$R,MATCH(E363,'Темы × классы'!$E:$E,0)),"")</f>
        <v/>
      </c>
      <c r="J363" s="9">
        <f>IFERROR(INDEX('Темы × классы'!$S:$S,MATCH(E363,'Темы × классы'!$E:$E,0))&amp;"","")</f>
        <v/>
      </c>
      <c r="K363" s="9" t="inlineStr">
        <is>
          <t>не начат</t>
        </is>
      </c>
      <c r="L363" s="9" t="inlineStr">
        <is>
          <t>Spotlight / 6 класс / Module 3 · Getting around / can (permission/request) / can (permission/request): просьба — Can you…? / Can I have…?</t>
        </is>
      </c>
    </row>
    <row r="364">
      <c r="A364" s="25" t="n">
        <v>6</v>
      </c>
      <c r="B364" s="9" t="inlineStr">
        <is>
          <t>Module 3 · Getting around</t>
        </is>
      </c>
      <c r="C364" s="9" t="inlineStr">
        <is>
          <t>3b</t>
        </is>
      </c>
      <c r="D364" s="9" t="inlineStr">
        <is>
          <t>can (permission/request)</t>
        </is>
      </c>
      <c r="E364" s="23" t="inlineStr">
        <is>
          <t>can (permission/request): can't — запрет</t>
        </is>
      </c>
      <c r="F364" s="25" t="inlineStr">
        <is>
          <t>повторение</t>
        </is>
      </c>
      <c r="G364" s="9" t="inlineStr">
        <is>
          <t>You can't turn left here!</t>
        </is>
      </c>
      <c r="H364" s="25" t="inlineStr">
        <is>
          <t>10+</t>
        </is>
      </c>
      <c r="I364" s="9">
        <f>IFERROR(INDEX('Темы × классы'!$R:$R,MATCH(E364,'Темы × классы'!$E:$E,0)),"")</f>
        <v/>
      </c>
      <c r="J364" s="9">
        <f>IFERROR(INDEX('Темы × классы'!$S:$S,MATCH(E364,'Темы × классы'!$E:$E,0))&amp;"","")</f>
        <v/>
      </c>
      <c r="K364" s="9" t="inlineStr">
        <is>
          <t>не начат</t>
        </is>
      </c>
      <c r="L364" s="9" t="inlineStr">
        <is>
          <t>Spotlight / 6 класс / Module 3 · Getting around / can (permission/request) / can (permission/request): can't — запрет</t>
        </is>
      </c>
    </row>
    <row r="365">
      <c r="A365" s="25" t="n">
        <v>6</v>
      </c>
      <c r="B365" s="9" t="inlineStr">
        <is>
          <t>Module 3 · Getting around</t>
        </is>
      </c>
      <c r="C365" s="9" t="inlineStr">
        <is>
          <t>3a</t>
        </is>
      </c>
      <c r="D365" s="9" t="inlineStr">
        <is>
          <t>Imperative</t>
        </is>
      </c>
      <c r="E365" s="23" t="inlineStr">
        <is>
          <t>Imperative: утверждение — инфинитив без to</t>
        </is>
      </c>
      <c r="F365" s="25" t="inlineStr">
        <is>
          <t>повторение</t>
        </is>
      </c>
      <c r="G365" s="9" t="inlineStr"/>
      <c r="H365" s="25" t="inlineStr">
        <is>
          <t>10+</t>
        </is>
      </c>
      <c r="I365" s="9">
        <f>IFERROR(INDEX('Темы × классы'!$R:$R,MATCH(E365,'Темы × классы'!$E:$E,0)),"")</f>
        <v/>
      </c>
      <c r="J365" s="9">
        <f>IFERROR(INDEX('Темы × классы'!$S:$S,MATCH(E365,'Темы × классы'!$E:$E,0))&amp;"","")</f>
        <v/>
      </c>
      <c r="K365" s="9" t="inlineStr">
        <is>
          <t>не начат</t>
        </is>
      </c>
      <c r="L365" s="9" t="inlineStr">
        <is>
          <t>Spotlight / 6 класс / Module 3 · Getting around / Imperative / Imperative: утверждение — инфинитив без to</t>
        </is>
      </c>
    </row>
    <row r="366">
      <c r="A366" s="25" t="n">
        <v>6</v>
      </c>
      <c r="B366" s="9" t="inlineStr">
        <is>
          <t>Module 3 · Getting around</t>
        </is>
      </c>
      <c r="C366" s="9" t="inlineStr">
        <is>
          <t>3a</t>
        </is>
      </c>
      <c r="D366" s="9" t="inlineStr">
        <is>
          <t>Imperative</t>
        </is>
      </c>
      <c r="E366" s="23" t="inlineStr">
        <is>
          <t>Imperative: отрицание — Don't + инфинитив</t>
        </is>
      </c>
      <c r="F366" s="25" t="inlineStr">
        <is>
          <t>повторение</t>
        </is>
      </c>
      <c r="G366" s="9" t="inlineStr"/>
      <c r="H366" s="25" t="inlineStr">
        <is>
          <t>10+</t>
        </is>
      </c>
      <c r="I366" s="9">
        <f>IFERROR(INDEX('Темы × классы'!$R:$R,MATCH(E366,'Темы × классы'!$E:$E,0)),"")</f>
        <v/>
      </c>
      <c r="J366" s="9">
        <f>IFERROR(INDEX('Темы × классы'!$S:$S,MATCH(E366,'Темы × классы'!$E:$E,0))&amp;"","")</f>
        <v/>
      </c>
      <c r="K366" s="9" t="inlineStr">
        <is>
          <t>не начат</t>
        </is>
      </c>
      <c r="L366" s="9" t="inlineStr">
        <is>
          <t>Spotlight / 6 класс / Module 3 · Getting around / Imperative / Imperative: отрицание — Don't + инфинитив</t>
        </is>
      </c>
    </row>
    <row r="367">
      <c r="A367" s="25" t="n">
        <v>6</v>
      </c>
      <c r="B367" s="9" t="inlineStr">
        <is>
          <t>Module 3 · Getting around</t>
        </is>
      </c>
      <c r="C367" s="9" t="inlineStr">
        <is>
          <t>3a</t>
        </is>
      </c>
      <c r="D367" s="9" t="inlineStr">
        <is>
          <t>Imperative</t>
        </is>
      </c>
      <c r="E367" s="23" t="inlineStr">
        <is>
          <t>Imperative: значение — приказание</t>
        </is>
      </c>
      <c r="F367" s="25" t="inlineStr">
        <is>
          <t>повторение</t>
        </is>
      </c>
      <c r="G367" s="9" t="inlineStr"/>
      <c r="H367" s="25" t="inlineStr">
        <is>
          <t>10+</t>
        </is>
      </c>
      <c r="I367" s="9">
        <f>IFERROR(INDEX('Темы × классы'!$R:$R,MATCH(E367,'Темы × классы'!$E:$E,0)),"")</f>
        <v/>
      </c>
      <c r="J367" s="9">
        <f>IFERROR(INDEX('Темы × классы'!$S:$S,MATCH(E367,'Темы × классы'!$E:$E,0))&amp;"","")</f>
        <v/>
      </c>
      <c r="K367" s="9" t="inlineStr">
        <is>
          <t>не начат</t>
        </is>
      </c>
      <c r="L367" s="9" t="inlineStr">
        <is>
          <t>Spotlight / 6 класс / Module 3 · Getting around / Imperative / Imperative: значение — приказание</t>
        </is>
      </c>
    </row>
    <row r="368">
      <c r="A368" s="25" t="n">
        <v>6</v>
      </c>
      <c r="B368" s="9" t="inlineStr">
        <is>
          <t>Module 3 · Getting around</t>
        </is>
      </c>
      <c r="C368" s="9" t="inlineStr">
        <is>
          <t>3a</t>
        </is>
      </c>
      <c r="D368" s="9" t="inlineStr">
        <is>
          <t>Imperative</t>
        </is>
      </c>
      <c r="E368" s="23" t="inlineStr">
        <is>
          <t>Imperative: значение — инструкция, указание</t>
        </is>
      </c>
      <c r="F368" s="25" t="inlineStr">
        <is>
          <t>повторение</t>
        </is>
      </c>
      <c r="G368" s="9" t="inlineStr"/>
      <c r="H368" s="25" t="inlineStr">
        <is>
          <t>10+</t>
        </is>
      </c>
      <c r="I368" s="9">
        <f>IFERROR(INDEX('Темы × классы'!$R:$R,MATCH(E368,'Темы × классы'!$E:$E,0)),"")</f>
        <v/>
      </c>
      <c r="J368" s="9">
        <f>IFERROR(INDEX('Темы × классы'!$S:$S,MATCH(E368,'Темы × классы'!$E:$E,0))&amp;"","")</f>
        <v/>
      </c>
      <c r="K368" s="9" t="inlineStr">
        <is>
          <t>не начат</t>
        </is>
      </c>
      <c r="L368" s="9" t="inlineStr">
        <is>
          <t>Spotlight / 6 класс / Module 3 · Getting around / Imperative / Imperative: значение — инструкция, указание</t>
        </is>
      </c>
    </row>
    <row r="369">
      <c r="A369" s="25" t="n">
        <v>6</v>
      </c>
      <c r="B369" s="9" t="inlineStr">
        <is>
          <t>Module 3 · Getting around</t>
        </is>
      </c>
      <c r="C369" s="9" t="inlineStr">
        <is>
          <t>3a</t>
        </is>
      </c>
      <c r="D369" s="9" t="inlineStr">
        <is>
          <t>Imperative</t>
        </is>
      </c>
      <c r="E369" s="23" t="inlineStr">
        <is>
          <t>Imperative: значение — предложение (Have some cake)</t>
        </is>
      </c>
      <c r="F369" s="25" t="inlineStr">
        <is>
          <t>повторение</t>
        </is>
      </c>
      <c r="G369" s="9" t="inlineStr"/>
      <c r="H369" s="25" t="inlineStr">
        <is>
          <t>10+</t>
        </is>
      </c>
      <c r="I369" s="9">
        <f>IFERROR(INDEX('Темы × классы'!$R:$R,MATCH(E369,'Темы × классы'!$E:$E,0)),"")</f>
        <v/>
      </c>
      <c r="J369" s="9">
        <f>IFERROR(INDEX('Темы × классы'!$S:$S,MATCH(E369,'Темы × классы'!$E:$E,0))&amp;"","")</f>
        <v/>
      </c>
      <c r="K369" s="9" t="inlineStr">
        <is>
          <t>не начат</t>
        </is>
      </c>
      <c r="L369" s="9" t="inlineStr">
        <is>
          <t>Spotlight / 6 класс / Module 3 · Getting around / Imperative / Imperative: значение — предложение (Have some cake)</t>
        </is>
      </c>
    </row>
    <row r="370">
      <c r="A370" s="25" t="n">
        <v>6</v>
      </c>
      <c r="B370" s="9" t="inlineStr">
        <is>
          <t>Module 3 · Getting around</t>
        </is>
      </c>
      <c r="C370" s="9" t="inlineStr">
        <is>
          <t>3a</t>
        </is>
      </c>
      <c r="D370" s="9" t="inlineStr">
        <is>
          <t>Imperative</t>
        </is>
      </c>
      <c r="E370" s="23" t="inlineStr">
        <is>
          <t>Imperative: значение — просьба, вежливость с please</t>
        </is>
      </c>
      <c r="F370" s="25" t="inlineStr">
        <is>
          <t>повторение</t>
        </is>
      </c>
      <c r="G370" s="9" t="inlineStr"/>
      <c r="H370" s="25" t="inlineStr">
        <is>
          <t>10+</t>
        </is>
      </c>
      <c r="I370" s="9">
        <f>IFERROR(INDEX('Темы × классы'!$R:$R,MATCH(E370,'Темы × классы'!$E:$E,0)),"")</f>
        <v/>
      </c>
      <c r="J370" s="9">
        <f>IFERROR(INDEX('Темы × классы'!$S:$S,MATCH(E370,'Темы × классы'!$E:$E,0))&amp;"","")</f>
        <v/>
      </c>
      <c r="K370" s="9" t="inlineStr">
        <is>
          <t>не начат</t>
        </is>
      </c>
      <c r="L370" s="9" t="inlineStr">
        <is>
          <t>Spotlight / 6 класс / Module 3 · Getting around / Imperative / Imperative: значение — просьба, вежливость с please</t>
        </is>
      </c>
    </row>
    <row r="371">
      <c r="A371" s="25" t="n">
        <v>6</v>
      </c>
      <c r="B371" s="9" t="inlineStr">
        <is>
          <t>Module 4 · Day after day</t>
        </is>
      </c>
      <c r="C371" s="9" t="inlineStr">
        <is>
          <t>4a</t>
        </is>
      </c>
      <c r="D371" s="9" t="inlineStr">
        <is>
          <t>Present Simple</t>
        </is>
      </c>
      <c r="E371" s="23" t="inlineStr">
        <is>
          <t>Present Simple: утверждение (I/you/we/they V, he/she/it V-s)</t>
        </is>
      </c>
      <c r="F371" s="25" t="inlineStr">
        <is>
          <t>повторение</t>
        </is>
      </c>
      <c r="G371" s="9" t="inlineStr"/>
      <c r="H371" s="25" t="inlineStr">
        <is>
          <t>10+</t>
        </is>
      </c>
      <c r="I371" s="9">
        <f>IFERROR(INDEX('Темы × классы'!$R:$R,MATCH(E371,'Темы × классы'!$E:$E,0)),"")</f>
        <v/>
      </c>
      <c r="J371" s="9">
        <f>IFERROR(INDEX('Темы × классы'!$S:$S,MATCH(E371,'Темы × классы'!$E:$E,0))&amp;"","")</f>
        <v/>
      </c>
      <c r="K371" s="9" t="inlineStr">
        <is>
          <t>не начат</t>
        </is>
      </c>
      <c r="L371" s="9" t="inlineStr">
        <is>
          <t>Spotlight / 6 класс / Module 4 · Day after day / Present Simple / Present Simple: утверждение (I/you/we/they V, he/she/it V-s)</t>
        </is>
      </c>
    </row>
    <row r="372">
      <c r="A372" s="25" t="n">
        <v>6</v>
      </c>
      <c r="B372" s="9" t="inlineStr">
        <is>
          <t>Module 4 · Day after day</t>
        </is>
      </c>
      <c r="C372" s="9" t="inlineStr">
        <is>
          <t>4a</t>
        </is>
      </c>
      <c r="D372" s="9" t="inlineStr">
        <is>
          <t>Present Simple</t>
        </is>
      </c>
      <c r="E372" s="23" t="inlineStr">
        <is>
          <t>Present Simple: отрицание (don't/doesn't)</t>
        </is>
      </c>
      <c r="F372" s="25" t="inlineStr">
        <is>
          <t>повторение</t>
        </is>
      </c>
      <c r="G372" s="9" t="inlineStr"/>
      <c r="H372" s="25" t="inlineStr">
        <is>
          <t>10+</t>
        </is>
      </c>
      <c r="I372" s="9">
        <f>IFERROR(INDEX('Темы × классы'!$R:$R,MATCH(E372,'Темы × классы'!$E:$E,0)),"")</f>
        <v/>
      </c>
      <c r="J372" s="9">
        <f>IFERROR(INDEX('Темы × классы'!$S:$S,MATCH(E372,'Темы × классы'!$E:$E,0))&amp;"","")</f>
        <v/>
      </c>
      <c r="K372" s="9" t="inlineStr">
        <is>
          <t>не начат</t>
        </is>
      </c>
      <c r="L372" s="9" t="inlineStr">
        <is>
          <t>Spotlight / 6 класс / Module 4 · Day after day / Present Simple / Present Simple: отрицание (don't/doesn't)</t>
        </is>
      </c>
    </row>
    <row r="373">
      <c r="A373" s="25" t="n">
        <v>6</v>
      </c>
      <c r="B373" s="9" t="inlineStr">
        <is>
          <t>Module 4 · Day after day</t>
        </is>
      </c>
      <c r="C373" s="9" t="inlineStr">
        <is>
          <t>4a</t>
        </is>
      </c>
      <c r="D373" s="9" t="inlineStr">
        <is>
          <t>Present Simple</t>
        </is>
      </c>
      <c r="E373" s="23" t="inlineStr">
        <is>
          <t>Present Simple: общие вопросы (Do/Does …?)</t>
        </is>
      </c>
      <c r="F373" s="25" t="inlineStr">
        <is>
          <t>повторение</t>
        </is>
      </c>
      <c r="G373" s="9" t="inlineStr"/>
      <c r="H373" s="25" t="inlineStr">
        <is>
          <t>10+</t>
        </is>
      </c>
      <c r="I373" s="9">
        <f>IFERROR(INDEX('Темы × классы'!$R:$R,MATCH(E373,'Темы × классы'!$E:$E,0)),"")</f>
        <v/>
      </c>
      <c r="J373" s="9">
        <f>IFERROR(INDEX('Темы × классы'!$S:$S,MATCH(E373,'Темы × классы'!$E:$E,0))&amp;"","")</f>
        <v/>
      </c>
      <c r="K373" s="9" t="inlineStr">
        <is>
          <t>не начат</t>
        </is>
      </c>
      <c r="L373" s="9" t="inlineStr">
        <is>
          <t>Spotlight / 6 класс / Module 4 · Day after day / Present Simple / Present Simple: общие вопросы (Do/Does …?)</t>
        </is>
      </c>
    </row>
    <row r="374">
      <c r="A374" s="25" t="n">
        <v>6</v>
      </c>
      <c r="B374" s="9" t="inlineStr">
        <is>
          <t>Module 4 · Day after day</t>
        </is>
      </c>
      <c r="C374" s="9" t="inlineStr">
        <is>
          <t>4b</t>
        </is>
      </c>
      <c r="D374" s="9" t="inlineStr">
        <is>
          <t>Present Simple</t>
        </is>
      </c>
      <c r="E374" s="23" t="inlineStr">
        <is>
          <t>Present Simple: краткие ответы (Yes, I do / No, he doesn't)</t>
        </is>
      </c>
      <c r="F374" s="25" t="inlineStr">
        <is>
          <t>повторение</t>
        </is>
      </c>
      <c r="G374" s="9" t="inlineStr">
        <is>
          <t>все лица</t>
        </is>
      </c>
      <c r="H374" s="25" t="inlineStr">
        <is>
          <t>10+</t>
        </is>
      </c>
      <c r="I374" s="9">
        <f>IFERROR(INDEX('Темы × классы'!$R:$R,MATCH(E374,'Темы × классы'!$E:$E,0)),"")</f>
        <v/>
      </c>
      <c r="J374" s="9">
        <f>IFERROR(INDEX('Темы × классы'!$S:$S,MATCH(E374,'Темы × классы'!$E:$E,0))&amp;"","")</f>
        <v/>
      </c>
      <c r="K374" s="9" t="inlineStr">
        <is>
          <t>не начат</t>
        </is>
      </c>
      <c r="L374" s="9" t="inlineStr">
        <is>
          <t>Spotlight / 6 класс / Module 4 · Day after day / Present Simple / Present Simple: краткие ответы (Yes, I do / No, he doesn't)</t>
        </is>
      </c>
    </row>
    <row r="375">
      <c r="A375" s="25" t="n">
        <v>6</v>
      </c>
      <c r="B375" s="9" t="inlineStr">
        <is>
          <t>Module 4 · Day after day</t>
        </is>
      </c>
      <c r="C375" s="9" t="inlineStr">
        <is>
          <t>4a</t>
        </is>
      </c>
      <c r="D375" s="9" t="inlineStr">
        <is>
          <t>Present Simple</t>
        </is>
      </c>
      <c r="E375" s="23" t="inlineStr">
        <is>
          <t>Present Simple: орфография окончания -s/-es (3 л. ед. ч.)</t>
        </is>
      </c>
      <c r="F375" s="25" t="inlineStr">
        <is>
          <t>повторение</t>
        </is>
      </c>
      <c r="G375" s="9" t="inlineStr"/>
      <c r="H375" s="25" t="inlineStr">
        <is>
          <t>10+</t>
        </is>
      </c>
      <c r="I375" s="9">
        <f>IFERROR(INDEX('Темы × классы'!$R:$R,MATCH(E375,'Темы × классы'!$E:$E,0)),"")</f>
        <v/>
      </c>
      <c r="J375" s="9">
        <f>IFERROR(INDEX('Темы × классы'!$S:$S,MATCH(E375,'Темы × классы'!$E:$E,0))&amp;"","")</f>
        <v/>
      </c>
      <c r="K375" s="9" t="inlineStr">
        <is>
          <t>не начат</t>
        </is>
      </c>
      <c r="L375" s="9" t="inlineStr">
        <is>
          <t>Spotlight / 6 класс / Module 4 · Day after day / Present Simple / Present Simple: орфография окончания -s/-es (3 л. ед. ч.)</t>
        </is>
      </c>
    </row>
    <row r="376">
      <c r="A376" s="25" t="n">
        <v>6</v>
      </c>
      <c r="B376" s="9" t="inlineStr">
        <is>
          <t>Module 4 · Day after day</t>
        </is>
      </c>
      <c r="C376" s="9" t="inlineStr">
        <is>
          <t>4a</t>
        </is>
      </c>
      <c r="D376" s="9" t="inlineStr">
        <is>
          <t>Present Simple</t>
        </is>
      </c>
      <c r="E376" s="23" t="inlineStr">
        <is>
          <t>Present Simple: значение — регулярные действия, распорядок дня, привычки</t>
        </is>
      </c>
      <c r="F376" s="27" t="inlineStr">
        <is>
          <t>расширение</t>
        </is>
      </c>
      <c r="G376" s="9" t="inlineStr">
        <is>
          <t>новые сигнальные слова: seldom, rarely</t>
        </is>
      </c>
      <c r="H376" s="25" t="inlineStr">
        <is>
          <t>10+</t>
        </is>
      </c>
      <c r="I376" s="9">
        <f>IFERROR(INDEX('Темы × классы'!$R:$R,MATCH(E376,'Темы × классы'!$E:$E,0)),"")</f>
        <v/>
      </c>
      <c r="J376" s="9">
        <f>IFERROR(INDEX('Темы × классы'!$S:$S,MATCH(E376,'Темы × классы'!$E:$E,0))&amp;"","")</f>
        <v/>
      </c>
      <c r="K376" s="9" t="inlineStr">
        <is>
          <t>не начат</t>
        </is>
      </c>
      <c r="L376" s="9" t="inlineStr">
        <is>
          <t>Spotlight / 6 класс / Module 4 · Day after day / Present Simple / Present Simple: значение — регулярные действия, распорядок дня, привычки</t>
        </is>
      </c>
    </row>
    <row r="377">
      <c r="A377" s="25" t="n">
        <v>6</v>
      </c>
      <c r="B377" s="9" t="inlineStr">
        <is>
          <t>Module 4 · Day after day</t>
        </is>
      </c>
      <c r="C377" s="9" t="inlineStr">
        <is>
          <t>4a</t>
        </is>
      </c>
      <c r="D377" s="9" t="inlineStr">
        <is>
          <t>Present Simple</t>
        </is>
      </c>
      <c r="E377" s="23" t="inlineStr">
        <is>
          <t>Present Simple: значение — постоянные состояния и действия</t>
        </is>
      </c>
      <c r="F377" s="25" t="inlineStr">
        <is>
          <t>повторение</t>
        </is>
      </c>
      <c r="G377" s="9" t="inlineStr">
        <is>
          <t>She likes sweets</t>
        </is>
      </c>
      <c r="H377" s="25" t="inlineStr">
        <is>
          <t>10+</t>
        </is>
      </c>
      <c r="I377" s="9">
        <f>IFERROR(INDEX('Темы × классы'!$R:$R,MATCH(E377,'Темы × классы'!$E:$E,0)),"")</f>
        <v/>
      </c>
      <c r="J377" s="9">
        <f>IFERROR(INDEX('Темы × классы'!$S:$S,MATCH(E377,'Темы × классы'!$E:$E,0))&amp;"","")</f>
        <v/>
      </c>
      <c r="K377" s="9" t="inlineStr">
        <is>
          <t>не начат</t>
        </is>
      </c>
      <c r="L377" s="9" t="inlineStr">
        <is>
          <t>Spotlight / 6 класс / Module 4 · Day after day / Present Simple / Present Simple: значение — постоянные состояния и действия</t>
        </is>
      </c>
    </row>
    <row r="378">
      <c r="A378" s="25" t="n">
        <v>6</v>
      </c>
      <c r="B378" s="9" t="inlineStr">
        <is>
          <t>Module 4 · Day after day</t>
        </is>
      </c>
      <c r="C378" s="9" t="inlineStr">
        <is>
          <t>4a</t>
        </is>
      </c>
      <c r="D378" s="9" t="inlineStr">
        <is>
          <t>Present Simple</t>
        </is>
      </c>
      <c r="E378" s="23" t="inlineStr">
        <is>
          <t>Present Simple: значение — непреложные истины и законы природы</t>
        </is>
      </c>
      <c r="F378" s="25" t="inlineStr">
        <is>
          <t>повторение</t>
        </is>
      </c>
      <c r="G378" s="9" t="inlineStr">
        <is>
          <t>The sun sets in the west</t>
        </is>
      </c>
      <c r="H378" s="25" t="inlineStr">
        <is>
          <t>10+</t>
        </is>
      </c>
      <c r="I378" s="9">
        <f>IFERROR(INDEX('Темы × классы'!$R:$R,MATCH(E378,'Темы × классы'!$E:$E,0)),"")</f>
        <v/>
      </c>
      <c r="J378" s="9">
        <f>IFERROR(INDEX('Темы × классы'!$S:$S,MATCH(E378,'Темы × классы'!$E:$E,0))&amp;"","")</f>
        <v/>
      </c>
      <c r="K378" s="9" t="inlineStr">
        <is>
          <t>не начат</t>
        </is>
      </c>
      <c r="L378" s="9" t="inlineStr">
        <is>
          <t>Spotlight / 6 класс / Module 4 · Day after day / Present Simple / Present Simple: значение — непреложные истины и законы природы</t>
        </is>
      </c>
    </row>
    <row r="379">
      <c r="A379" s="25" t="n">
        <v>6</v>
      </c>
      <c r="B379" s="9" t="inlineStr">
        <is>
          <t>Module 4 · Day after day</t>
        </is>
      </c>
      <c r="C379" s="9" t="inlineStr">
        <is>
          <t>4a</t>
        </is>
      </c>
      <c r="D379" s="9" t="inlineStr">
        <is>
          <t>Adverbs of frequency</t>
        </is>
      </c>
      <c r="E379" s="23" t="inlineStr">
        <is>
          <t>Adverbs of frequency: значение — never, sometimes, usually, often, always</t>
        </is>
      </c>
      <c r="F379" s="25" t="inlineStr">
        <is>
          <t>повторение</t>
        </is>
      </c>
      <c r="G379" s="9" t="inlineStr"/>
      <c r="H379" s="25" t="inlineStr">
        <is>
          <t>10+</t>
        </is>
      </c>
      <c r="I379" s="9">
        <f>IFERROR(INDEX('Темы × классы'!$R:$R,MATCH(E379,'Темы × классы'!$E:$E,0)),"")</f>
        <v/>
      </c>
      <c r="J379" s="9">
        <f>IFERROR(INDEX('Темы × классы'!$S:$S,MATCH(E379,'Темы × классы'!$E:$E,0))&amp;"","")</f>
        <v/>
      </c>
      <c r="K379" s="9" t="inlineStr">
        <is>
          <t>не начат</t>
        </is>
      </c>
      <c r="L379" s="9" t="inlineStr">
        <is>
          <t>Spotlight / 6 класс / Module 4 · Day after day / Adverbs of frequency / Adverbs of frequency: значение — never, sometimes, usually, often, always</t>
        </is>
      </c>
    </row>
    <row r="380">
      <c r="A380" s="25" t="n">
        <v>6</v>
      </c>
      <c r="B380" s="9" t="inlineStr">
        <is>
          <t>Module 4 · Day after day</t>
        </is>
      </c>
      <c r="C380" s="9" t="inlineStr">
        <is>
          <t>4a</t>
        </is>
      </c>
      <c r="D380" s="9" t="inlineStr">
        <is>
          <t>Adverbs of frequency</t>
        </is>
      </c>
      <c r="E380" s="23" t="inlineStr">
        <is>
          <t>Adverbs of frequency: место — перед смысловым глаголом, после be</t>
        </is>
      </c>
      <c r="F380" s="25" t="inlineStr">
        <is>
          <t>повторение</t>
        </is>
      </c>
      <c r="G380" s="9" t="inlineStr"/>
      <c r="H380" s="25" t="inlineStr">
        <is>
          <t>10+</t>
        </is>
      </c>
      <c r="I380" s="9">
        <f>IFERROR(INDEX('Темы × классы'!$R:$R,MATCH(E380,'Темы × классы'!$E:$E,0)),"")</f>
        <v/>
      </c>
      <c r="J380" s="9">
        <f>IFERROR(INDEX('Темы × классы'!$S:$S,MATCH(E380,'Темы × классы'!$E:$E,0))&amp;"","")</f>
        <v/>
      </c>
      <c r="K380" s="9" t="inlineStr">
        <is>
          <t>не начат</t>
        </is>
      </c>
      <c r="L380" s="9" t="inlineStr">
        <is>
          <t>Spotlight / 6 класс / Module 4 · Day after day / Adverbs of frequency / Adverbs of frequency: место — перед смысловым глаголом, после be</t>
        </is>
      </c>
    </row>
    <row r="381">
      <c r="A381" s="25" t="n">
        <v>6</v>
      </c>
      <c r="B381" s="9" t="inlineStr">
        <is>
          <t>Module 4 · Day after day</t>
        </is>
      </c>
      <c r="C381" s="9" t="inlineStr">
        <is>
          <t>4a</t>
        </is>
      </c>
      <c r="D381" s="9" t="inlineStr">
        <is>
          <t>Adverbs of frequency</t>
        </is>
      </c>
      <c r="E381" s="23" t="inlineStr">
        <is>
          <t>Adverbs of frequency: место — после вспомогательных и модальных глаголов</t>
        </is>
      </c>
      <c r="F381" s="25" t="inlineStr">
        <is>
          <t>повторение</t>
        </is>
      </c>
      <c r="G381" s="9" t="inlineStr">
        <is>
          <t>He can never wake up…</t>
        </is>
      </c>
      <c r="H381" s="25" t="inlineStr">
        <is>
          <t>10+</t>
        </is>
      </c>
      <c r="I381" s="9">
        <f>IFERROR(INDEX('Темы × классы'!$R:$R,MATCH(E381,'Темы × классы'!$E:$E,0)),"")</f>
        <v/>
      </c>
      <c r="J381" s="9">
        <f>IFERROR(INDEX('Темы × классы'!$S:$S,MATCH(E381,'Темы × классы'!$E:$E,0))&amp;"","")</f>
        <v/>
      </c>
      <c r="K381" s="9" t="inlineStr">
        <is>
          <t>не начат</t>
        </is>
      </c>
      <c r="L381" s="9" t="inlineStr">
        <is>
          <t>Spotlight / 6 класс / Module 4 · Day after day / Adverbs of frequency / Adverbs of frequency: место — после вспомогательных и модальных глаголов</t>
        </is>
      </c>
    </row>
    <row r="382">
      <c r="A382" s="25" t="n">
        <v>6</v>
      </c>
      <c r="B382" s="9" t="inlineStr">
        <is>
          <t>Module 4 · Day after day</t>
        </is>
      </c>
      <c r="C382" s="9" t="inlineStr">
        <is>
          <t>4a</t>
        </is>
      </c>
      <c r="D382" s="9" t="inlineStr">
        <is>
          <t>Adverbs of frequency</t>
        </is>
      </c>
      <c r="E382" s="23" t="inlineStr">
        <is>
          <t>Adverbs of frequency: seldom / rarely</t>
        </is>
      </c>
      <c r="F382" s="26" t="inlineStr">
        <is>
          <t>новое</t>
        </is>
      </c>
      <c r="G382" s="9" t="inlineStr">
        <is>
          <t>seldom, rarely</t>
        </is>
      </c>
      <c r="H382" s="25" t="inlineStr">
        <is>
          <t>10+</t>
        </is>
      </c>
      <c r="I382" s="9">
        <f>IFERROR(INDEX('Темы × классы'!$R:$R,MATCH(E382,'Темы × классы'!$E:$E,0)),"")</f>
        <v/>
      </c>
      <c r="J382" s="9">
        <f>IFERROR(INDEX('Темы × классы'!$S:$S,MATCH(E382,'Темы × классы'!$E:$E,0))&amp;"","")</f>
        <v/>
      </c>
      <c r="K382" s="9" t="inlineStr">
        <is>
          <t>не начат</t>
        </is>
      </c>
      <c r="L382" s="9" t="inlineStr">
        <is>
          <t>Spotlight / 6 класс / Module 4 · Day after day / Adverbs of frequency / Adverbs of frequency: seldom / rarely</t>
        </is>
      </c>
    </row>
    <row r="383">
      <c r="A383" s="25" t="n">
        <v>6</v>
      </c>
      <c r="B383" s="9" t="inlineStr">
        <is>
          <t>Module 4 · Day after day</t>
        </is>
      </c>
      <c r="C383" s="9" t="inlineStr">
        <is>
          <t>4c</t>
        </is>
      </c>
      <c r="D383" s="9" t="inlineStr">
        <is>
          <t>Linkers</t>
        </is>
      </c>
      <c r="E383" s="23" t="inlineStr">
        <is>
          <t>Linkers: слова-связки времени (and, then, after that, when, before, later)</t>
        </is>
      </c>
      <c r="F383" s="26" t="inlineStr">
        <is>
          <t>новое</t>
        </is>
      </c>
      <c r="G383" s="9" t="inlineStr">
        <is>
          <t>and, then, after that, when, before, later; because/so в справочнике нет</t>
        </is>
      </c>
      <c r="H383" s="25" t="inlineStr">
        <is>
          <t>10+</t>
        </is>
      </c>
      <c r="I383" s="9">
        <f>IFERROR(INDEX('Темы × классы'!$R:$R,MATCH(E383,'Темы × классы'!$E:$E,0)),"")</f>
        <v/>
      </c>
      <c r="J383" s="9">
        <f>IFERROR(INDEX('Темы × классы'!$S:$S,MATCH(E383,'Темы × классы'!$E:$E,0))&amp;"","")</f>
        <v/>
      </c>
      <c r="K383" s="9" t="inlineStr">
        <is>
          <t>не начат</t>
        </is>
      </c>
      <c r="L383" s="9" t="inlineStr">
        <is>
          <t>Spotlight / 6 класс / Module 4 · Day after day / Linkers / Linkers: слова-связки времени (and, then, after that, when, before, later)</t>
        </is>
      </c>
    </row>
    <row r="384">
      <c r="A384" s="25" t="n">
        <v>6</v>
      </c>
      <c r="B384" s="9" t="inlineStr">
        <is>
          <t>Module 5 · Feasts</t>
        </is>
      </c>
      <c r="C384" s="9" t="inlineStr">
        <is>
          <t>5a</t>
        </is>
      </c>
      <c r="D384" s="9" t="inlineStr">
        <is>
          <t>Present Continuous</t>
        </is>
      </c>
      <c r="E384" s="23" t="inlineStr">
        <is>
          <t>Present Continuous: утверждение (am/is/are + V-ing)</t>
        </is>
      </c>
      <c r="F384" s="25" t="inlineStr">
        <is>
          <t>повторение</t>
        </is>
      </c>
      <c r="G384" s="9" t="inlineStr">
        <is>
          <t>сокращённые формы I'm, you're, he's…</t>
        </is>
      </c>
      <c r="H384" s="25" t="inlineStr">
        <is>
          <t>10+</t>
        </is>
      </c>
      <c r="I384" s="9">
        <f>IFERROR(INDEX('Темы × классы'!$R:$R,MATCH(E384,'Темы × классы'!$E:$E,0)),"")</f>
        <v/>
      </c>
      <c r="J384" s="9">
        <f>IFERROR(INDEX('Темы × классы'!$S:$S,MATCH(E384,'Темы × классы'!$E:$E,0))&amp;"","")</f>
        <v/>
      </c>
      <c r="K384" s="9" t="inlineStr">
        <is>
          <t>не начат</t>
        </is>
      </c>
      <c r="L384" s="9" t="inlineStr">
        <is>
          <t>Spotlight / 6 класс / Module 5 · Feasts / Present Continuous / Present Continuous: утверждение (am/is/are + V-ing)</t>
        </is>
      </c>
    </row>
    <row r="385">
      <c r="A385" s="25" t="n">
        <v>6</v>
      </c>
      <c r="B385" s="9" t="inlineStr">
        <is>
          <t>Module 5 · Feasts</t>
        </is>
      </c>
      <c r="C385" s="9" t="inlineStr">
        <is>
          <t>5b</t>
        </is>
      </c>
      <c r="D385" s="9" t="inlineStr">
        <is>
          <t>Present Continuous</t>
        </is>
      </c>
      <c r="E385" s="23" t="inlineStr">
        <is>
          <t>Present Continuous: отрицание (I'm not / isn't / aren't)</t>
        </is>
      </c>
      <c r="F385" s="25" t="inlineStr">
        <is>
          <t>повторение</t>
        </is>
      </c>
      <c r="G385" s="9" t="inlineStr"/>
      <c r="H385" s="25" t="inlineStr">
        <is>
          <t>10+</t>
        </is>
      </c>
      <c r="I385" s="9">
        <f>IFERROR(INDEX('Темы × классы'!$R:$R,MATCH(E385,'Темы × классы'!$E:$E,0)),"")</f>
        <v/>
      </c>
      <c r="J385" s="9">
        <f>IFERROR(INDEX('Темы × классы'!$S:$S,MATCH(E385,'Темы × классы'!$E:$E,0))&amp;"","")</f>
        <v/>
      </c>
      <c r="K385" s="9" t="inlineStr">
        <is>
          <t>не начат</t>
        </is>
      </c>
      <c r="L385" s="9" t="inlineStr">
        <is>
          <t>Spotlight / 6 класс / Module 5 · Feasts / Present Continuous / Present Continuous: отрицание (I'm not / isn't / aren't)</t>
        </is>
      </c>
    </row>
    <row r="386">
      <c r="A386" s="25" t="n">
        <v>6</v>
      </c>
      <c r="B386" s="9" t="inlineStr">
        <is>
          <t>Module 5 · Feasts</t>
        </is>
      </c>
      <c r="C386" s="9" t="inlineStr">
        <is>
          <t>5b</t>
        </is>
      </c>
      <c r="D386" s="9" t="inlineStr">
        <is>
          <t>Present Continuous</t>
        </is>
      </c>
      <c r="E386" s="23" t="inlineStr">
        <is>
          <t>Present Continuous: общие вопросы (Am/Is/Are …?)</t>
        </is>
      </c>
      <c r="F386" s="25" t="inlineStr">
        <is>
          <t>повторение</t>
        </is>
      </c>
      <c r="G386" s="9" t="inlineStr"/>
      <c r="H386" s="25" t="inlineStr">
        <is>
          <t>10+</t>
        </is>
      </c>
      <c r="I386" s="9">
        <f>IFERROR(INDEX('Темы × классы'!$R:$R,MATCH(E386,'Темы × классы'!$E:$E,0)),"")</f>
        <v/>
      </c>
      <c r="J386" s="9">
        <f>IFERROR(INDEX('Темы × классы'!$S:$S,MATCH(E386,'Темы × классы'!$E:$E,0))&amp;"","")</f>
        <v/>
      </c>
      <c r="K386" s="9" t="inlineStr">
        <is>
          <t>не начат</t>
        </is>
      </c>
      <c r="L386" s="9" t="inlineStr">
        <is>
          <t>Spotlight / 6 класс / Module 5 · Feasts / Present Continuous / Present Continuous: общие вопросы (Am/Is/Are …?)</t>
        </is>
      </c>
    </row>
    <row r="387">
      <c r="A387" s="25" t="n">
        <v>6</v>
      </c>
      <c r="B387" s="9" t="inlineStr">
        <is>
          <t>Module 5 · Feasts</t>
        </is>
      </c>
      <c r="C387" s="9" t="inlineStr">
        <is>
          <t>5b</t>
        </is>
      </c>
      <c r="D387" s="9" t="inlineStr">
        <is>
          <t>Present Continuous</t>
        </is>
      </c>
      <c r="E387" s="23" t="inlineStr">
        <is>
          <t>Present Continuous: краткие ответы (Yes, I am / No, he isn't)</t>
        </is>
      </c>
      <c r="F387" s="25" t="inlineStr">
        <is>
          <t>повторение</t>
        </is>
      </c>
      <c r="G387" s="9" t="inlineStr"/>
      <c r="H387" s="25" t="inlineStr">
        <is>
          <t>10+</t>
        </is>
      </c>
      <c r="I387" s="9">
        <f>IFERROR(INDEX('Темы × классы'!$R:$R,MATCH(E387,'Темы × классы'!$E:$E,0)),"")</f>
        <v/>
      </c>
      <c r="J387" s="9">
        <f>IFERROR(INDEX('Темы × классы'!$S:$S,MATCH(E387,'Темы × классы'!$E:$E,0))&amp;"","")</f>
        <v/>
      </c>
      <c r="K387" s="9" t="inlineStr">
        <is>
          <t>не начат</t>
        </is>
      </c>
      <c r="L387" s="9" t="inlineStr">
        <is>
          <t>Spotlight / 6 класс / Module 5 · Feasts / Present Continuous / Present Continuous: краткие ответы (Yes, I am / No, he isn't)</t>
        </is>
      </c>
    </row>
    <row r="388">
      <c r="A388" s="25" t="n">
        <v>6</v>
      </c>
      <c r="B388" s="9" t="inlineStr">
        <is>
          <t>Module 5 · Feasts</t>
        </is>
      </c>
      <c r="C388" s="9" t="inlineStr">
        <is>
          <t>5b</t>
        </is>
      </c>
      <c r="D388" s="9" t="inlineStr">
        <is>
          <t>Present Continuous</t>
        </is>
      </c>
      <c r="E388" s="23" t="inlineStr">
        <is>
          <t>Present Continuous: орфография -ing</t>
        </is>
      </c>
      <c r="F388" s="25" t="inlineStr">
        <is>
          <t>повторение</t>
        </is>
      </c>
      <c r="G388" s="9" t="inlineStr"/>
      <c r="H388" s="25" t="inlineStr">
        <is>
          <t>10+</t>
        </is>
      </c>
      <c r="I388" s="9">
        <f>IFERROR(INDEX('Темы × классы'!$R:$R,MATCH(E388,'Темы × классы'!$E:$E,0)),"")</f>
        <v/>
      </c>
      <c r="J388" s="9">
        <f>IFERROR(INDEX('Темы × классы'!$S:$S,MATCH(E388,'Темы × классы'!$E:$E,0))&amp;"","")</f>
        <v/>
      </c>
      <c r="K388" s="9" t="inlineStr">
        <is>
          <t>не начат</t>
        </is>
      </c>
      <c r="L388" s="9" t="inlineStr">
        <is>
          <t>Spotlight / 6 класс / Module 5 · Feasts / Present Continuous / Present Continuous: орфография -ing</t>
        </is>
      </c>
    </row>
    <row r="389">
      <c r="A389" s="25" t="n">
        <v>6</v>
      </c>
      <c r="B389" s="9" t="inlineStr">
        <is>
          <t>Module 5 · Feasts</t>
        </is>
      </c>
      <c r="C389" s="9" t="inlineStr">
        <is>
          <t>5b</t>
        </is>
      </c>
      <c r="D389" s="9" t="inlineStr">
        <is>
          <t>Present Continuous</t>
        </is>
      </c>
      <c r="E389" s="23" t="inlineStr">
        <is>
          <t>Present Continuous: значение — действие сейчас (now)</t>
        </is>
      </c>
      <c r="F389" s="25" t="inlineStr">
        <is>
          <t>повторение</t>
        </is>
      </c>
      <c r="G389" s="9" t="inlineStr">
        <is>
          <t>now, at the moment, still</t>
        </is>
      </c>
      <c r="H389" s="25" t="inlineStr">
        <is>
          <t>10+</t>
        </is>
      </c>
      <c r="I389" s="9">
        <f>IFERROR(INDEX('Темы × классы'!$R:$R,MATCH(E389,'Темы × классы'!$E:$E,0)),"")</f>
        <v/>
      </c>
      <c r="J389" s="9">
        <f>IFERROR(INDEX('Темы × классы'!$S:$S,MATCH(E389,'Темы × классы'!$E:$E,0))&amp;"","")</f>
        <v/>
      </c>
      <c r="K389" s="9" t="inlineStr">
        <is>
          <t>не начат</t>
        </is>
      </c>
      <c r="L389" s="9" t="inlineStr">
        <is>
          <t>Spotlight / 6 класс / Module 5 · Feasts / Present Continuous / Present Continuous: значение — действие сейчас (now)</t>
        </is>
      </c>
    </row>
    <row r="390">
      <c r="A390" s="25" t="n">
        <v>6</v>
      </c>
      <c r="B390" s="9" t="inlineStr">
        <is>
          <t>Module 5 · Feasts</t>
        </is>
      </c>
      <c r="C390" s="9" t="inlineStr">
        <is>
          <t>5b</t>
        </is>
      </c>
      <c r="D390" s="9" t="inlineStr">
        <is>
          <t>Present Continuous</t>
        </is>
      </c>
      <c r="E390" s="23" t="inlineStr">
        <is>
          <t>Present Continuous: значение — действие в настоящий период (these days)</t>
        </is>
      </c>
      <c r="F390" s="27" t="inlineStr">
        <is>
          <t>расширение</t>
        </is>
      </c>
      <c r="G390" s="9" t="inlineStr">
        <is>
          <t>сигнальные слова: these days, at present</t>
        </is>
      </c>
      <c r="H390" s="25" t="inlineStr">
        <is>
          <t>10+</t>
        </is>
      </c>
      <c r="I390" s="9">
        <f>IFERROR(INDEX('Темы × классы'!$R:$R,MATCH(E390,'Темы × классы'!$E:$E,0)),"")</f>
        <v/>
      </c>
      <c r="J390" s="9">
        <f>IFERROR(INDEX('Темы × классы'!$S:$S,MATCH(E390,'Темы × классы'!$E:$E,0))&amp;"","")</f>
        <v/>
      </c>
      <c r="K390" s="9" t="inlineStr">
        <is>
          <t>не начат</t>
        </is>
      </c>
      <c r="L390" s="9" t="inlineStr">
        <is>
          <t>Spotlight / 6 класс / Module 5 · Feasts / Present Continuous / Present Continuous: значение — действие в настоящий период (these days)</t>
        </is>
      </c>
    </row>
    <row r="391">
      <c r="A391" s="25" t="n">
        <v>6</v>
      </c>
      <c r="B391" s="9" t="inlineStr">
        <is>
          <t>Module 5 · Feasts</t>
        </is>
      </c>
      <c r="C391" s="9" t="inlineStr">
        <is>
          <t>5b</t>
        </is>
      </c>
      <c r="D391" s="9" t="inlineStr">
        <is>
          <t>Present Continuous</t>
        </is>
      </c>
      <c r="E391" s="23" t="inlineStr">
        <is>
          <t>Present Continuous: значение — запланированное будущее</t>
        </is>
      </c>
      <c r="F391" s="26" t="inlineStr">
        <is>
          <t>новое</t>
        </is>
      </c>
      <c r="G391" s="9" t="inlineStr">
        <is>
          <t>I'm playing tennis on Saturday; tonight</t>
        </is>
      </c>
      <c r="H391" s="25" t="inlineStr">
        <is>
          <t>10+</t>
        </is>
      </c>
      <c r="I391" s="9">
        <f>IFERROR(INDEX('Темы × классы'!$R:$R,MATCH(E391,'Темы × классы'!$E:$E,0)),"")</f>
        <v/>
      </c>
      <c r="J391" s="9">
        <f>IFERROR(INDEX('Темы × классы'!$S:$S,MATCH(E391,'Темы × классы'!$E:$E,0))&amp;"","")</f>
        <v/>
      </c>
      <c r="K391" s="9" t="inlineStr">
        <is>
          <t>не начат</t>
        </is>
      </c>
      <c r="L391" s="9" t="inlineStr">
        <is>
          <t>Spotlight / 6 класс / Module 5 · Feasts / Present Continuous / Present Continuous: значение — запланированное будущее</t>
        </is>
      </c>
    </row>
    <row r="392">
      <c r="A392" s="25" t="n">
        <v>6</v>
      </c>
      <c r="B392" s="9" t="inlineStr">
        <is>
          <t>Module 6 · Leisure activities</t>
        </is>
      </c>
      <c r="C392" s="9" t="inlineStr">
        <is>
          <t>6b</t>
        </is>
      </c>
      <c r="D392" s="9" t="inlineStr">
        <is>
          <t>Present Simple vs Present Continuous</t>
        </is>
      </c>
      <c r="E392" s="23" t="inlineStr">
        <is>
          <t>Present Simple vs Present Continuous: привычка vs сейчас</t>
        </is>
      </c>
      <c r="F392" s="25" t="inlineStr">
        <is>
          <t>повторение</t>
        </is>
      </c>
      <c r="G392" s="9" t="inlineStr"/>
      <c r="H392" s="25" t="inlineStr">
        <is>
          <t>10+</t>
        </is>
      </c>
      <c r="I392" s="9">
        <f>IFERROR(INDEX('Темы × классы'!$R:$R,MATCH(E392,'Темы × классы'!$E:$E,0)),"")</f>
        <v/>
      </c>
      <c r="J392" s="9">
        <f>IFERROR(INDEX('Темы × классы'!$S:$S,MATCH(E392,'Темы × классы'!$E:$E,0))&amp;"","")</f>
        <v/>
      </c>
      <c r="K392" s="9" t="inlineStr">
        <is>
          <t>не начат</t>
        </is>
      </c>
      <c r="L392" s="9" t="inlineStr">
        <is>
          <t>Spotlight / 6 класс / Module 6 · Leisure activities / Present Simple vs Present Continuous / Present Simple vs Present Continuous: привычка vs сейчас</t>
        </is>
      </c>
    </row>
    <row r="393">
      <c r="A393" s="25" t="n">
        <v>6</v>
      </c>
      <c r="B393" s="9" t="inlineStr">
        <is>
          <t>Module 6 · Leisure activities</t>
        </is>
      </c>
      <c r="C393" s="9" t="inlineStr">
        <is>
          <t>6b</t>
        </is>
      </c>
      <c r="D393" s="9" t="inlineStr">
        <is>
          <t>Present Simple vs Present Continuous</t>
        </is>
      </c>
      <c r="E393" s="23" t="inlineStr">
        <is>
          <t>Present Simple vs Present Continuous: постоянное состояние vs временная ситуация</t>
        </is>
      </c>
      <c r="F393" s="25" t="inlineStr">
        <is>
          <t>повторение</t>
        </is>
      </c>
      <c r="G393" s="9" t="inlineStr"/>
      <c r="H393" s="25" t="inlineStr">
        <is>
          <t>10+</t>
        </is>
      </c>
      <c r="I393" s="9">
        <f>IFERROR(INDEX('Темы × классы'!$R:$R,MATCH(E393,'Темы × классы'!$E:$E,0)),"")</f>
        <v/>
      </c>
      <c r="J393" s="9">
        <f>IFERROR(INDEX('Темы × классы'!$S:$S,MATCH(E393,'Темы × классы'!$E:$E,0))&amp;"","")</f>
        <v/>
      </c>
      <c r="K393" s="9" t="inlineStr">
        <is>
          <t>не начат</t>
        </is>
      </c>
      <c r="L393" s="9" t="inlineStr">
        <is>
          <t>Spotlight / 6 класс / Module 6 · Leisure activities / Present Simple vs Present Continuous / Present Simple vs Present Continuous: постоянное состояние vs временная ситуация</t>
        </is>
      </c>
    </row>
    <row r="394">
      <c r="A394" s="25" t="n">
        <v>6</v>
      </c>
      <c r="B394" s="9" t="inlineStr">
        <is>
          <t>Module 6 · Leisure activities</t>
        </is>
      </c>
      <c r="C394" s="9" t="inlineStr"/>
      <c r="D394" s="9" t="inlineStr">
        <is>
          <t>Stative verbs</t>
        </is>
      </c>
      <c r="E394" s="23" t="inlineStr">
        <is>
          <t>Stative verbs: глаголы состояния не употребляются в Continuous</t>
        </is>
      </c>
      <c r="F394" s="26" t="inlineStr">
        <is>
          <t>новое</t>
        </is>
      </c>
      <c r="G394" s="9" t="inlineStr">
        <is>
          <t>like, want, know, love</t>
        </is>
      </c>
      <c r="H394" s="25" t="inlineStr">
        <is>
          <t>10+</t>
        </is>
      </c>
      <c r="I394" s="9">
        <f>IFERROR(INDEX('Темы × классы'!$R:$R,MATCH(E394,'Темы × классы'!$E:$E,0)),"")</f>
        <v/>
      </c>
      <c r="J394" s="9">
        <f>IFERROR(INDEX('Темы × классы'!$S:$S,MATCH(E394,'Темы × классы'!$E:$E,0))&amp;"","")</f>
        <v/>
      </c>
      <c r="K394" s="9" t="inlineStr">
        <is>
          <t>не начат</t>
        </is>
      </c>
      <c r="L394" s="9" t="inlineStr">
        <is>
          <t>Spotlight / 6 класс / Module 6 · Leisure activities / Stative verbs / Stative verbs: глаголы состояния не употребляются в Continuous</t>
        </is>
      </c>
    </row>
    <row r="395">
      <c r="A395" s="25" t="n">
        <v>6</v>
      </c>
      <c r="B395" s="9" t="inlineStr">
        <is>
          <t>Module 6 · Leisure activities</t>
        </is>
      </c>
      <c r="C395" s="9" t="inlineStr">
        <is>
          <t>6a</t>
        </is>
      </c>
      <c r="D395" s="9" t="inlineStr">
        <is>
          <t>Word formation</t>
        </is>
      </c>
      <c r="E395" s="23" t="inlineStr">
        <is>
          <t>Word formation: compound nouns</t>
        </is>
      </c>
      <c r="F395" s="25" t="inlineStr">
        <is>
          <t>повторение</t>
        </is>
      </c>
      <c r="G395" s="9" t="inlineStr">
        <is>
          <t>Сложные существительные (compound nouns).</t>
        </is>
      </c>
      <c r="H395" s="25" t="inlineStr">
        <is>
          <t>10+</t>
        </is>
      </c>
      <c r="I395" s="9">
        <f>IFERROR(INDEX('Темы × классы'!$R:$R,MATCH(E395,'Темы × классы'!$E:$E,0)),"")</f>
        <v/>
      </c>
      <c r="J395" s="9">
        <f>IFERROR(INDEX('Темы × классы'!$S:$S,MATCH(E395,'Темы × классы'!$E:$E,0))&amp;"","")</f>
        <v/>
      </c>
      <c r="K395" s="9" t="inlineStr">
        <is>
          <t>не начат</t>
        </is>
      </c>
      <c r="L395" s="9" t="inlineStr">
        <is>
          <t>Spotlight / 6 класс / Module 6 · Leisure activities / Word formation / Word formation: compound nouns</t>
        </is>
      </c>
    </row>
    <row r="396">
      <c r="A396" s="25" t="n">
        <v>6</v>
      </c>
      <c r="B396" s="9" t="inlineStr">
        <is>
          <t>Module 7 · Now and then</t>
        </is>
      </c>
      <c r="C396" s="9" t="inlineStr">
        <is>
          <t>7a</t>
        </is>
      </c>
      <c r="D396" s="9" t="inlineStr">
        <is>
          <t>Past Simple</t>
        </is>
      </c>
      <c r="E396" s="23" t="inlineStr">
        <is>
          <t>Past Simple: правильные глаголы — утверждение (-ed)</t>
        </is>
      </c>
      <c r="F396" s="25" t="inlineStr">
        <is>
          <t>повторение</t>
        </is>
      </c>
      <c r="G396" s="9" t="inlineStr"/>
      <c r="H396" s="25" t="inlineStr">
        <is>
          <t>10+</t>
        </is>
      </c>
      <c r="I396" s="9">
        <f>IFERROR(INDEX('Темы × классы'!$R:$R,MATCH(E396,'Темы × классы'!$E:$E,0)),"")</f>
        <v/>
      </c>
      <c r="J396" s="9">
        <f>IFERROR(INDEX('Темы × классы'!$S:$S,MATCH(E396,'Темы × классы'!$E:$E,0))&amp;"","")</f>
        <v/>
      </c>
      <c r="K396" s="9" t="inlineStr">
        <is>
          <t>не начат</t>
        </is>
      </c>
      <c r="L396" s="9" t="inlineStr">
        <is>
          <t>Spotlight / 6 класс / Module 7 · Now and then / Past Simple / Past Simple: правильные глаголы — утверждение (-ed)</t>
        </is>
      </c>
    </row>
    <row r="397">
      <c r="A397" s="25" t="n">
        <v>6</v>
      </c>
      <c r="B397" s="9" t="inlineStr">
        <is>
          <t>Module 7 · Now and then</t>
        </is>
      </c>
      <c r="C397" s="9" t="inlineStr">
        <is>
          <t>7a</t>
        </is>
      </c>
      <c r="D397" s="9" t="inlineStr">
        <is>
          <t>Past Simple</t>
        </is>
      </c>
      <c r="E397" s="23" t="inlineStr">
        <is>
          <t>Past Simple: правильные глаголы — отрицание (didn't + V)</t>
        </is>
      </c>
      <c r="F397" s="25" t="inlineStr">
        <is>
          <t>повторение</t>
        </is>
      </c>
      <c r="G397" s="9" t="inlineStr"/>
      <c r="H397" s="25" t="inlineStr">
        <is>
          <t>10+</t>
        </is>
      </c>
      <c r="I397" s="9">
        <f>IFERROR(INDEX('Темы × классы'!$R:$R,MATCH(E397,'Темы × классы'!$E:$E,0)),"")</f>
        <v/>
      </c>
      <c r="J397" s="9">
        <f>IFERROR(INDEX('Темы × классы'!$S:$S,MATCH(E397,'Темы × классы'!$E:$E,0))&amp;"","")</f>
        <v/>
      </c>
      <c r="K397" s="9" t="inlineStr">
        <is>
          <t>не начат</t>
        </is>
      </c>
      <c r="L397" s="9" t="inlineStr">
        <is>
          <t>Spotlight / 6 класс / Module 7 · Now and then / Past Simple / Past Simple: правильные глаголы — отрицание (didn't + V)</t>
        </is>
      </c>
    </row>
    <row r="398">
      <c r="A398" s="25" t="n">
        <v>6</v>
      </c>
      <c r="B398" s="9" t="inlineStr">
        <is>
          <t>Module 7 · Now and then</t>
        </is>
      </c>
      <c r="C398" s="9" t="inlineStr">
        <is>
          <t>7a</t>
        </is>
      </c>
      <c r="D398" s="9" t="inlineStr">
        <is>
          <t>Past Simple</t>
        </is>
      </c>
      <c r="E398" s="23" t="inlineStr">
        <is>
          <t>Past Simple: правильные глаголы — вопросы (Did …?)</t>
        </is>
      </c>
      <c r="F398" s="25" t="inlineStr">
        <is>
          <t>повторение</t>
        </is>
      </c>
      <c r="G398" s="9" t="inlineStr"/>
      <c r="H398" s="25" t="inlineStr">
        <is>
          <t>10+</t>
        </is>
      </c>
      <c r="I398" s="9">
        <f>IFERROR(INDEX('Темы × классы'!$R:$R,MATCH(E398,'Темы × классы'!$E:$E,0)),"")</f>
        <v/>
      </c>
      <c r="J398" s="9">
        <f>IFERROR(INDEX('Темы × классы'!$S:$S,MATCH(E398,'Темы × классы'!$E:$E,0))&amp;"","")</f>
        <v/>
      </c>
      <c r="K398" s="9" t="inlineStr">
        <is>
          <t>не начат</t>
        </is>
      </c>
      <c r="L398" s="9" t="inlineStr">
        <is>
          <t>Spotlight / 6 класс / Module 7 · Now and then / Past Simple / Past Simple: правильные глаголы — вопросы (Did …?)</t>
        </is>
      </c>
    </row>
    <row r="399">
      <c r="A399" s="25" t="n">
        <v>6</v>
      </c>
      <c r="B399" s="9" t="inlineStr">
        <is>
          <t>Module 7 · Now and then</t>
        </is>
      </c>
      <c r="C399" s="9" t="inlineStr">
        <is>
          <t>7a, 7b</t>
        </is>
      </c>
      <c r="D399" s="9" t="inlineStr">
        <is>
          <t>Past Simple</t>
        </is>
      </c>
      <c r="E399" s="23" t="inlineStr">
        <is>
          <t>Past Simple: краткие ответы (Yes, I did / No, I didn't)</t>
        </is>
      </c>
      <c r="F399" s="25" t="inlineStr">
        <is>
          <t>повторение</t>
        </is>
      </c>
      <c r="G399" s="9" t="inlineStr"/>
      <c r="H399" s="25" t="inlineStr">
        <is>
          <t>10+</t>
        </is>
      </c>
      <c r="I399" s="9">
        <f>IFERROR(INDEX('Темы × классы'!$R:$R,MATCH(E399,'Темы × классы'!$E:$E,0)),"")</f>
        <v/>
      </c>
      <c r="J399" s="9">
        <f>IFERROR(INDEX('Темы × классы'!$S:$S,MATCH(E399,'Темы × классы'!$E:$E,0))&amp;"","")</f>
        <v/>
      </c>
      <c r="K399" s="9" t="inlineStr">
        <is>
          <t>не начат</t>
        </is>
      </c>
      <c r="L399" s="9" t="inlineStr">
        <is>
          <t>Spotlight / 6 класс / Module 7 · Now and then / Past Simple / Past Simple: краткие ответы (Yes, I did / No, I didn't)</t>
        </is>
      </c>
    </row>
    <row r="400">
      <c r="A400" s="25" t="n">
        <v>6</v>
      </c>
      <c r="B400" s="9" t="inlineStr">
        <is>
          <t>Module 7 · Now and then</t>
        </is>
      </c>
      <c r="C400" s="9" t="inlineStr">
        <is>
          <t>7a</t>
        </is>
      </c>
      <c r="D400" s="9" t="inlineStr">
        <is>
          <t>Past Simple</t>
        </is>
      </c>
      <c r="E400" s="23" t="inlineStr">
        <is>
          <t>Past Simple: орфография -ed</t>
        </is>
      </c>
      <c r="F400" s="25" t="inlineStr">
        <is>
          <t>повторение</t>
        </is>
      </c>
      <c r="G400" s="9" t="inlineStr">
        <is>
          <t>+ travel – travelled</t>
        </is>
      </c>
      <c r="H400" s="25" t="inlineStr">
        <is>
          <t>10+</t>
        </is>
      </c>
      <c r="I400" s="9">
        <f>IFERROR(INDEX('Темы × классы'!$R:$R,MATCH(E400,'Темы × классы'!$E:$E,0)),"")</f>
        <v/>
      </c>
      <c r="J400" s="9">
        <f>IFERROR(INDEX('Темы × классы'!$S:$S,MATCH(E400,'Темы × классы'!$E:$E,0))&amp;"","")</f>
        <v/>
      </c>
      <c r="K400" s="9" t="inlineStr">
        <is>
          <t>не начат</t>
        </is>
      </c>
      <c r="L400" s="9" t="inlineStr">
        <is>
          <t>Spotlight / 6 класс / Module 7 · Now and then / Past Simple / Past Simple: орфография -ed</t>
        </is>
      </c>
    </row>
    <row r="401">
      <c r="A401" s="25" t="n">
        <v>6</v>
      </c>
      <c r="B401" s="9" t="inlineStr">
        <is>
          <t>Module 7 · Now and then</t>
        </is>
      </c>
      <c r="C401" s="9" t="inlineStr">
        <is>
          <t>7b</t>
        </is>
      </c>
      <c r="D401" s="9" t="inlineStr">
        <is>
          <t>Past Simple</t>
        </is>
      </c>
      <c r="E401" s="23" t="inlineStr">
        <is>
          <t>Past Simple: неправильные глаголы — утверждение</t>
        </is>
      </c>
      <c r="F401" s="27" t="inlineStr">
        <is>
          <t>расширение</t>
        </is>
      </c>
      <c r="G401" s="9" t="inlineStr">
        <is>
          <t>таблица ≈80 глаголов (V1–V2), новые: beat, bite, blow, burn, fight, grow, hit, hold, throw…</t>
        </is>
      </c>
      <c r="H401" s="25" t="inlineStr">
        <is>
          <t>10+</t>
        </is>
      </c>
      <c r="I401" s="9">
        <f>IFERROR(INDEX('Темы × классы'!$R:$R,MATCH(E401,'Темы × классы'!$E:$E,0)),"")</f>
        <v/>
      </c>
      <c r="J401" s="9">
        <f>IFERROR(INDEX('Темы × классы'!$S:$S,MATCH(E401,'Темы × классы'!$E:$E,0))&amp;"","")</f>
        <v/>
      </c>
      <c r="K401" s="9" t="inlineStr">
        <is>
          <t>не начат</t>
        </is>
      </c>
      <c r="L401" s="9" t="inlineStr">
        <is>
          <t>Spotlight / 6 класс / Module 7 · Now and then / Past Simple / Past Simple: неправильные глаголы — утверждение</t>
        </is>
      </c>
    </row>
    <row r="402">
      <c r="A402" s="25" t="n">
        <v>6</v>
      </c>
      <c r="B402" s="9" t="inlineStr">
        <is>
          <t>Module 7 · Now and then</t>
        </is>
      </c>
      <c r="C402" s="9" t="inlineStr">
        <is>
          <t>7b</t>
        </is>
      </c>
      <c r="D402" s="9" t="inlineStr">
        <is>
          <t>Past Simple</t>
        </is>
      </c>
      <c r="E402" s="23" t="inlineStr">
        <is>
          <t>Past Simple: неправильные глаголы — отрицание (didn't go)</t>
        </is>
      </c>
      <c r="F402" s="25" t="inlineStr">
        <is>
          <t>повторение</t>
        </is>
      </c>
      <c r="G402" s="9" t="inlineStr"/>
      <c r="H402" s="25" t="inlineStr">
        <is>
          <t>10+</t>
        </is>
      </c>
      <c r="I402" s="9">
        <f>IFERROR(INDEX('Темы × классы'!$R:$R,MATCH(E402,'Темы × классы'!$E:$E,0)),"")</f>
        <v/>
      </c>
      <c r="J402" s="9">
        <f>IFERROR(INDEX('Темы × классы'!$S:$S,MATCH(E402,'Темы × классы'!$E:$E,0))&amp;"","")</f>
        <v/>
      </c>
      <c r="K402" s="9" t="inlineStr">
        <is>
          <t>не начат</t>
        </is>
      </c>
      <c r="L402" s="9" t="inlineStr">
        <is>
          <t>Spotlight / 6 класс / Module 7 · Now and then / Past Simple / Past Simple: неправильные глаголы — отрицание (didn't go)</t>
        </is>
      </c>
    </row>
    <row r="403">
      <c r="A403" s="25" t="n">
        <v>6</v>
      </c>
      <c r="B403" s="9" t="inlineStr">
        <is>
          <t>Module 7 · Now and then</t>
        </is>
      </c>
      <c r="C403" s="9" t="inlineStr">
        <is>
          <t>7b</t>
        </is>
      </c>
      <c r="D403" s="9" t="inlineStr">
        <is>
          <t>Past Simple</t>
        </is>
      </c>
      <c r="E403" s="23" t="inlineStr">
        <is>
          <t>Past Simple: неправильные глаголы — вопросы (Did … go?)</t>
        </is>
      </c>
      <c r="F403" s="25" t="inlineStr">
        <is>
          <t>повторение</t>
        </is>
      </c>
      <c r="G403" s="9" t="inlineStr"/>
      <c r="H403" s="25" t="inlineStr">
        <is>
          <t>10+</t>
        </is>
      </c>
      <c r="I403" s="9">
        <f>IFERROR(INDEX('Темы × классы'!$R:$R,MATCH(E403,'Темы × классы'!$E:$E,0)),"")</f>
        <v/>
      </c>
      <c r="J403" s="9">
        <f>IFERROR(INDEX('Темы × классы'!$S:$S,MATCH(E403,'Темы × классы'!$E:$E,0))&amp;"","")</f>
        <v/>
      </c>
      <c r="K403" s="9" t="inlineStr">
        <is>
          <t>не начат</t>
        </is>
      </c>
      <c r="L403" s="9" t="inlineStr">
        <is>
          <t>Spotlight / 6 класс / Module 7 · Now and then / Past Simple / Past Simple: неправильные глаголы — вопросы (Did … go?)</t>
        </is>
      </c>
    </row>
    <row r="404">
      <c r="A404" s="25" t="n">
        <v>6</v>
      </c>
      <c r="B404" s="9" t="inlineStr">
        <is>
          <t>Module 7 · Now and then</t>
        </is>
      </c>
      <c r="C404" s="9" t="inlineStr">
        <is>
          <t>7a</t>
        </is>
      </c>
      <c r="D404" s="9" t="inlineStr">
        <is>
          <t>Past Simple</t>
        </is>
      </c>
      <c r="E404" s="23" t="inlineStr">
        <is>
          <t>Past Simple: значение — действие в прошлом (yesterday, ago)</t>
        </is>
      </c>
      <c r="F404" s="25" t="inlineStr">
        <is>
          <t>повторение</t>
        </is>
      </c>
      <c r="G404" s="9" t="inlineStr">
        <is>
          <t>мы знаем, когда: He left yesterday</t>
        </is>
      </c>
      <c r="H404" s="25" t="inlineStr">
        <is>
          <t>10+</t>
        </is>
      </c>
      <c r="I404" s="9">
        <f>IFERROR(INDEX('Темы × классы'!$R:$R,MATCH(E404,'Темы × классы'!$E:$E,0)),"")</f>
        <v/>
      </c>
      <c r="J404" s="9">
        <f>IFERROR(INDEX('Темы × классы'!$S:$S,MATCH(E404,'Темы × классы'!$E:$E,0))&amp;"","")</f>
        <v/>
      </c>
      <c r="K404" s="9" t="inlineStr">
        <is>
          <t>не начат</t>
        </is>
      </c>
      <c r="L404" s="9" t="inlineStr">
        <is>
          <t>Spotlight / 6 класс / Module 7 · Now and then / Past Simple / Past Simple: значение — действие в прошлом (yesterday, ago)</t>
        </is>
      </c>
    </row>
    <row r="405">
      <c r="A405" s="25" t="n">
        <v>6</v>
      </c>
      <c r="B405" s="9" t="inlineStr">
        <is>
          <t>Module 7 · Now and then</t>
        </is>
      </c>
      <c r="C405" s="9" t="inlineStr">
        <is>
          <t>7a</t>
        </is>
      </c>
      <c r="D405" s="9" t="inlineStr">
        <is>
          <t>to be (Past: was/were)</t>
        </is>
      </c>
      <c r="E405" s="23" t="inlineStr">
        <is>
          <t>to be (Past): утверждение — was / were</t>
        </is>
      </c>
      <c r="F405" s="25" t="inlineStr">
        <is>
          <t>повторение</t>
        </is>
      </c>
      <c r="G405" s="9" t="inlineStr"/>
      <c r="H405" s="25" t="inlineStr">
        <is>
          <t>10+</t>
        </is>
      </c>
      <c r="I405" s="9">
        <f>IFERROR(INDEX('Темы × классы'!$R:$R,MATCH(E405,'Темы × классы'!$E:$E,0)),"")</f>
        <v/>
      </c>
      <c r="J405" s="9">
        <f>IFERROR(INDEX('Темы × классы'!$S:$S,MATCH(E405,'Темы × классы'!$E:$E,0))&amp;"","")</f>
        <v/>
      </c>
      <c r="K405" s="9" t="inlineStr">
        <is>
          <t>не начат</t>
        </is>
      </c>
      <c r="L405" s="9" t="inlineStr">
        <is>
          <t>Spotlight / 6 класс / Module 7 · Now and then / to be (Past: was/were) / to be (Past): утверждение — was / were</t>
        </is>
      </c>
    </row>
    <row r="406">
      <c r="A406" s="25" t="n">
        <v>6</v>
      </c>
      <c r="B406" s="9" t="inlineStr">
        <is>
          <t>Module 7 · Now and then</t>
        </is>
      </c>
      <c r="C406" s="9" t="inlineStr">
        <is>
          <t>7a</t>
        </is>
      </c>
      <c r="D406" s="9" t="inlineStr">
        <is>
          <t>to be (Past: was/were)</t>
        </is>
      </c>
      <c r="E406" s="23" t="inlineStr">
        <is>
          <t>to be (Past): отрицание — wasn't / weren't</t>
        </is>
      </c>
      <c r="F406" s="25" t="inlineStr">
        <is>
          <t>повторение</t>
        </is>
      </c>
      <c r="G406" s="9" t="inlineStr"/>
      <c r="H406" s="25" t="inlineStr">
        <is>
          <t>10+</t>
        </is>
      </c>
      <c r="I406" s="9">
        <f>IFERROR(INDEX('Темы × классы'!$R:$R,MATCH(E406,'Темы × классы'!$E:$E,0)),"")</f>
        <v/>
      </c>
      <c r="J406" s="9">
        <f>IFERROR(INDEX('Темы × классы'!$S:$S,MATCH(E406,'Темы × классы'!$E:$E,0))&amp;"","")</f>
        <v/>
      </c>
      <c r="K406" s="9" t="inlineStr">
        <is>
          <t>не начат</t>
        </is>
      </c>
      <c r="L406" s="9" t="inlineStr">
        <is>
          <t>Spotlight / 6 класс / Module 7 · Now and then / to be (Past: was/were) / to be (Past): отрицание — wasn't / weren't</t>
        </is>
      </c>
    </row>
    <row r="407">
      <c r="A407" s="25" t="n">
        <v>6</v>
      </c>
      <c r="B407" s="9" t="inlineStr">
        <is>
          <t>Module 7 · Now and then</t>
        </is>
      </c>
      <c r="C407" s="9" t="inlineStr">
        <is>
          <t>7a</t>
        </is>
      </c>
      <c r="D407" s="9" t="inlineStr">
        <is>
          <t>to be (Past: was/were)</t>
        </is>
      </c>
      <c r="E407" s="23" t="inlineStr">
        <is>
          <t>to be (Past): вопросы и краткие ответы</t>
        </is>
      </c>
      <c r="F407" s="25" t="inlineStr">
        <is>
          <t>повторение</t>
        </is>
      </c>
      <c r="G407" s="9" t="inlineStr"/>
      <c r="H407" s="25" t="inlineStr">
        <is>
          <t>10+</t>
        </is>
      </c>
      <c r="I407" s="9">
        <f>IFERROR(INDEX('Темы × классы'!$R:$R,MATCH(E407,'Темы × классы'!$E:$E,0)),"")</f>
        <v/>
      </c>
      <c r="J407" s="9">
        <f>IFERROR(INDEX('Темы × классы'!$S:$S,MATCH(E407,'Темы × классы'!$E:$E,0))&amp;"","")</f>
        <v/>
      </c>
      <c r="K407" s="9" t="inlineStr">
        <is>
          <t>не начат</t>
        </is>
      </c>
      <c r="L407" s="9" t="inlineStr">
        <is>
          <t>Spotlight / 6 класс / Module 7 · Now and then / to be (Past: was/were) / to be (Past): вопросы и краткие ответы</t>
        </is>
      </c>
    </row>
    <row r="408">
      <c r="A408" s="25" t="n">
        <v>6</v>
      </c>
      <c r="B408" s="9" t="inlineStr">
        <is>
          <t>Module 8 · Rules &amp; regulations</t>
        </is>
      </c>
      <c r="C408" s="9" t="inlineStr">
        <is>
          <t>8c</t>
        </is>
      </c>
      <c r="D408" s="9" t="inlineStr">
        <is>
          <t>have to</t>
        </is>
      </c>
      <c r="E408" s="23" t="inlineStr">
        <is>
          <t>have to: значение — необходимость из-за обстоятельств (утверждение)</t>
        </is>
      </c>
      <c r="F408" s="27" t="inlineStr">
        <is>
          <t>расширение</t>
        </is>
      </c>
      <c r="G408" s="9" t="inlineStr">
        <is>
          <t>вынужденность согласно обстоятельствам</t>
        </is>
      </c>
      <c r="H408" s="25" t="inlineStr">
        <is>
          <t>10+</t>
        </is>
      </c>
      <c r="I408" s="9">
        <f>IFERROR(INDEX('Темы × классы'!$R:$R,MATCH(E408,'Темы × классы'!$E:$E,0)),"")</f>
        <v/>
      </c>
      <c r="J408" s="9">
        <f>IFERROR(INDEX('Темы × классы'!$S:$S,MATCH(E408,'Темы × классы'!$E:$E,0))&amp;"","")</f>
        <v/>
      </c>
      <c r="K408" s="9" t="inlineStr">
        <is>
          <t>не начат</t>
        </is>
      </c>
      <c r="L408" s="9" t="inlineStr">
        <is>
          <t>Spotlight / 6 класс / Module 8 · Rules &amp; regulations / have to / have to: значение — необходимость из-за обстоятельств (утверждение)</t>
        </is>
      </c>
    </row>
    <row r="409">
      <c r="A409" s="25" t="n">
        <v>6</v>
      </c>
      <c r="B409" s="9" t="inlineStr">
        <is>
          <t>Module 8 · Rules &amp; regulations</t>
        </is>
      </c>
      <c r="C409" s="9" t="inlineStr">
        <is>
          <t>8c</t>
        </is>
      </c>
      <c r="D409" s="9" t="inlineStr">
        <is>
          <t>have to</t>
        </is>
      </c>
      <c r="E409" s="23" t="inlineStr">
        <is>
          <t>have to: don't / doesn't have to — отсутствие необходимости</t>
        </is>
      </c>
      <c r="F409" s="25" t="inlineStr">
        <is>
          <t>повторение</t>
        </is>
      </c>
      <c r="G409" s="9" t="inlineStr">
        <is>
          <t>You don't have to wash the dishes</t>
        </is>
      </c>
      <c r="H409" s="25" t="inlineStr">
        <is>
          <t>10+</t>
        </is>
      </c>
      <c r="I409" s="9">
        <f>IFERROR(INDEX('Темы × классы'!$R:$R,MATCH(E409,'Темы × классы'!$E:$E,0)),"")</f>
        <v/>
      </c>
      <c r="J409" s="9">
        <f>IFERROR(INDEX('Темы × классы'!$S:$S,MATCH(E409,'Темы × классы'!$E:$E,0))&amp;"","")</f>
        <v/>
      </c>
      <c r="K409" s="9" t="inlineStr">
        <is>
          <t>не начат</t>
        </is>
      </c>
      <c r="L409" s="9" t="inlineStr">
        <is>
          <t>Spotlight / 6 класс / Module 8 · Rules &amp; regulations / have to / have to: don't / doesn't have to — отсутствие необходимости</t>
        </is>
      </c>
    </row>
    <row r="410">
      <c r="A410" s="25" t="n">
        <v>6</v>
      </c>
      <c r="B410" s="9" t="inlineStr">
        <is>
          <t>Module 8 · Rules &amp; regulations</t>
        </is>
      </c>
      <c r="C410" s="9" t="inlineStr">
        <is>
          <t>8a</t>
        </is>
      </c>
      <c r="D410" s="9" t="inlineStr">
        <is>
          <t>must/mustn't</t>
        </is>
      </c>
      <c r="E410" s="23" t="inlineStr">
        <is>
          <t>must/mustn't: must — обязанность, необходимость</t>
        </is>
      </c>
      <c r="F410" s="25" t="inlineStr">
        <is>
          <t>повторение</t>
        </is>
      </c>
      <c r="G410" s="9" t="inlineStr">
        <is>
          <t>You must listen to your teacher</t>
        </is>
      </c>
      <c r="H410" s="25" t="inlineStr">
        <is>
          <t>10+</t>
        </is>
      </c>
      <c r="I410" s="9">
        <f>IFERROR(INDEX('Темы × классы'!$R:$R,MATCH(E410,'Темы × классы'!$E:$E,0)),"")</f>
        <v/>
      </c>
      <c r="J410" s="9">
        <f>IFERROR(INDEX('Темы × классы'!$S:$S,MATCH(E410,'Темы × классы'!$E:$E,0))&amp;"","")</f>
        <v/>
      </c>
      <c r="K410" s="9" t="inlineStr">
        <is>
          <t>не начат</t>
        </is>
      </c>
      <c r="L410" s="9" t="inlineStr">
        <is>
          <t>Spotlight / 6 класс / Module 8 · Rules &amp; regulations / must/mustn't / must/mustn't: must — обязанность, необходимость</t>
        </is>
      </c>
    </row>
    <row r="411">
      <c r="A411" s="25" t="n">
        <v>6</v>
      </c>
      <c r="B411" s="9" t="inlineStr">
        <is>
          <t>Module 8 · Rules &amp; regulations</t>
        </is>
      </c>
      <c r="C411" s="9" t="inlineStr">
        <is>
          <t>8a</t>
        </is>
      </c>
      <c r="D411" s="9" t="inlineStr">
        <is>
          <t>must/mustn't</t>
        </is>
      </c>
      <c r="E411" s="23" t="inlineStr">
        <is>
          <t>must/mustn't: mustn't — запрет</t>
        </is>
      </c>
      <c r="F411" s="25" t="inlineStr">
        <is>
          <t>повторение</t>
        </is>
      </c>
      <c r="G411" s="9" t="inlineStr"/>
      <c r="H411" s="25" t="inlineStr">
        <is>
          <t>10+</t>
        </is>
      </c>
      <c r="I411" s="9">
        <f>IFERROR(INDEX('Темы × классы'!$R:$R,MATCH(E411,'Темы × классы'!$E:$E,0)),"")</f>
        <v/>
      </c>
      <c r="J411" s="9">
        <f>IFERROR(INDEX('Темы × классы'!$S:$S,MATCH(E411,'Темы × классы'!$E:$E,0))&amp;"","")</f>
        <v/>
      </c>
      <c r="K411" s="9" t="inlineStr">
        <is>
          <t>не начат</t>
        </is>
      </c>
      <c r="L411" s="9" t="inlineStr">
        <is>
          <t>Spotlight / 6 класс / Module 8 · Rules &amp; regulations / must/mustn't / must/mustn't: mustn't — запрет</t>
        </is>
      </c>
    </row>
    <row r="412">
      <c r="A412" s="25" t="n">
        <v>6</v>
      </c>
      <c r="B412" s="9" t="inlineStr">
        <is>
          <t>Module 8 · Rules &amp; regulations</t>
        </is>
      </c>
      <c r="C412" s="9" t="inlineStr">
        <is>
          <t>8a</t>
        </is>
      </c>
      <c r="D412" s="9" t="inlineStr">
        <is>
          <t>must/mustn't</t>
        </is>
      </c>
      <c r="E412" s="23" t="inlineStr">
        <is>
          <t>must/mustn't: can't как запрет (= mustn't)</t>
        </is>
      </c>
      <c r="F412" s="26" t="inlineStr">
        <is>
          <t>новое</t>
        </is>
      </c>
      <c r="G412" s="9" t="inlineStr">
        <is>
          <t>You can't enter the building after 8 pm</t>
        </is>
      </c>
      <c r="H412" s="25" t="inlineStr">
        <is>
          <t>10+</t>
        </is>
      </c>
      <c r="I412" s="9">
        <f>IFERROR(INDEX('Темы × классы'!$R:$R,MATCH(E412,'Темы × классы'!$E:$E,0)),"")</f>
        <v/>
      </c>
      <c r="J412" s="9">
        <f>IFERROR(INDEX('Темы × классы'!$S:$S,MATCH(E412,'Темы × классы'!$E:$E,0))&amp;"","")</f>
        <v/>
      </c>
      <c r="K412" s="9" t="inlineStr">
        <is>
          <t>не начат</t>
        </is>
      </c>
      <c r="L412" s="9" t="inlineStr">
        <is>
          <t>Spotlight / 6 класс / Module 8 · Rules &amp; regulations / must/mustn't / must/mustn't: can't как запрет (= mustn't)</t>
        </is>
      </c>
    </row>
    <row r="413">
      <c r="A413" s="25" t="n">
        <v>6</v>
      </c>
      <c r="B413" s="9" t="inlineStr">
        <is>
          <t>Module 8 · Rules &amp; regulations</t>
        </is>
      </c>
      <c r="C413" s="9" t="inlineStr">
        <is>
          <t>8c</t>
        </is>
      </c>
      <c r="D413" s="9" t="inlineStr">
        <is>
          <t>need/needn't</t>
        </is>
      </c>
      <c r="E413" s="23" t="inlineStr">
        <is>
          <t>need/needn't: needn't / don't need to — нет необходимости (наст./буд.)</t>
        </is>
      </c>
      <c r="F413" s="26" t="inlineStr">
        <is>
          <t>новое</t>
        </is>
      </c>
      <c r="G413" s="9" t="inlineStr">
        <is>
          <t>только needn't (как и don't have to)</t>
        </is>
      </c>
      <c r="H413" s="25" t="inlineStr">
        <is>
          <t>10+</t>
        </is>
      </c>
      <c r="I413" s="9">
        <f>IFERROR(INDEX('Темы × классы'!$R:$R,MATCH(E413,'Темы × классы'!$E:$E,0)),"")</f>
        <v/>
      </c>
      <c r="J413" s="9">
        <f>IFERROR(INDEX('Темы × классы'!$S:$S,MATCH(E413,'Темы × классы'!$E:$E,0))&amp;"","")</f>
        <v/>
      </c>
      <c r="K413" s="9" t="inlineStr">
        <is>
          <t>не начат</t>
        </is>
      </c>
      <c r="L413" s="9" t="inlineStr">
        <is>
          <t>Spotlight / 6 класс / Module 8 · Rules &amp; regulations / need/needn't / need/needn't: needn't / don't need to — нет необходимости (наст./буд.)</t>
        </is>
      </c>
    </row>
    <row r="414">
      <c r="A414" s="25" t="n">
        <v>6</v>
      </c>
      <c r="B414" s="9" t="inlineStr">
        <is>
          <t>Module 8 · Rules &amp; regulations</t>
        </is>
      </c>
      <c r="C414" s="9" t="inlineStr">
        <is>
          <t>8b</t>
        </is>
      </c>
      <c r="D414" s="9" t="inlineStr">
        <is>
          <t>Comparatives &amp; Superlatives</t>
        </is>
      </c>
      <c r="E414" s="23" t="inlineStr">
        <is>
          <t>Comparatives &amp; Superlatives: сравнительная степень — -er + than</t>
        </is>
      </c>
      <c r="F414" s="25" t="inlineStr">
        <is>
          <t>повторение</t>
        </is>
      </c>
      <c r="G414" s="9" t="inlineStr"/>
      <c r="H414" s="25" t="inlineStr">
        <is>
          <t>10+</t>
        </is>
      </c>
      <c r="I414" s="9">
        <f>IFERROR(INDEX('Темы × классы'!$R:$R,MATCH(E414,'Темы × классы'!$E:$E,0)),"")</f>
        <v/>
      </c>
      <c r="J414" s="9">
        <f>IFERROR(INDEX('Темы × классы'!$S:$S,MATCH(E414,'Темы × классы'!$E:$E,0))&amp;"","")</f>
        <v/>
      </c>
      <c r="K414" s="9" t="inlineStr">
        <is>
          <t>не начат</t>
        </is>
      </c>
      <c r="L414" s="9" t="inlineStr">
        <is>
          <t>Spotlight / 6 класс / Module 8 · Rules &amp; regulations / Comparatives &amp; Superlatives / Comparatives &amp; Superlatives: сравнительная степень — -er + than</t>
        </is>
      </c>
    </row>
    <row r="415">
      <c r="A415" s="25" t="n">
        <v>6</v>
      </c>
      <c r="B415" s="9" t="inlineStr">
        <is>
          <t>Module 8 · Rules &amp; regulations</t>
        </is>
      </c>
      <c r="C415" s="9" t="inlineStr">
        <is>
          <t>8b</t>
        </is>
      </c>
      <c r="D415" s="9" t="inlineStr">
        <is>
          <t>Comparatives &amp; Superlatives</t>
        </is>
      </c>
      <c r="E415" s="23" t="inlineStr">
        <is>
          <t>Comparatives &amp; Superlatives: сравнительная степень — more (многосложные)</t>
        </is>
      </c>
      <c r="F415" s="25" t="inlineStr">
        <is>
          <t>повторение</t>
        </is>
      </c>
      <c r="G415" s="9" t="inlineStr"/>
      <c r="H415" s="25" t="inlineStr">
        <is>
          <t>10+</t>
        </is>
      </c>
      <c r="I415" s="9">
        <f>IFERROR(INDEX('Темы × классы'!$R:$R,MATCH(E415,'Темы × классы'!$E:$E,0)),"")</f>
        <v/>
      </c>
      <c r="J415" s="9">
        <f>IFERROR(INDEX('Темы × классы'!$S:$S,MATCH(E415,'Темы × классы'!$E:$E,0))&amp;"","")</f>
        <v/>
      </c>
      <c r="K415" s="9" t="inlineStr">
        <is>
          <t>не начат</t>
        </is>
      </c>
      <c r="L415" s="9" t="inlineStr">
        <is>
          <t>Spotlight / 6 класс / Module 8 · Rules &amp; regulations / Comparatives &amp; Superlatives / Comparatives &amp; Superlatives: сравнительная степень — more (многосложные)</t>
        </is>
      </c>
    </row>
    <row r="416">
      <c r="A416" s="25" t="n">
        <v>6</v>
      </c>
      <c r="B416" s="9" t="inlineStr">
        <is>
          <t>Module 8 · Rules &amp; regulations</t>
        </is>
      </c>
      <c r="C416" s="9" t="inlineStr">
        <is>
          <t>8b</t>
        </is>
      </c>
      <c r="D416" s="9" t="inlineStr">
        <is>
          <t>Comparatives &amp; Superlatives</t>
        </is>
      </c>
      <c r="E416" s="23" t="inlineStr">
        <is>
          <t>Comparatives &amp; Superlatives: орфография -er/-est (удвоение, -e, y → i)</t>
        </is>
      </c>
      <c r="F416" s="25" t="inlineStr">
        <is>
          <t>повторение</t>
        </is>
      </c>
      <c r="G416" s="9" t="inlineStr">
        <is>
          <t>safe – safer, early – earlier, big – bigger</t>
        </is>
      </c>
      <c r="H416" s="25" t="inlineStr">
        <is>
          <t>10+</t>
        </is>
      </c>
      <c r="I416" s="9">
        <f>IFERROR(INDEX('Темы × классы'!$R:$R,MATCH(E416,'Темы × классы'!$E:$E,0)),"")</f>
        <v/>
      </c>
      <c r="J416" s="9">
        <f>IFERROR(INDEX('Темы × классы'!$S:$S,MATCH(E416,'Темы × классы'!$E:$E,0))&amp;"","")</f>
        <v/>
      </c>
      <c r="K416" s="9" t="inlineStr">
        <is>
          <t>не начат</t>
        </is>
      </c>
      <c r="L416" s="9" t="inlineStr">
        <is>
          <t>Spotlight / 6 класс / Module 8 · Rules &amp; regulations / Comparatives &amp; Superlatives / Comparatives &amp; Superlatives: орфография -er/-est (удвоение, -e, y → i)</t>
        </is>
      </c>
    </row>
    <row r="417">
      <c r="A417" s="25" t="n">
        <v>6</v>
      </c>
      <c r="B417" s="9" t="inlineStr">
        <is>
          <t>Module 8 · Rules &amp; regulations</t>
        </is>
      </c>
      <c r="C417" s="9" t="inlineStr">
        <is>
          <t>8b</t>
        </is>
      </c>
      <c r="D417" s="9" t="inlineStr">
        <is>
          <t>Comparatives &amp; Superlatives</t>
        </is>
      </c>
      <c r="E417" s="23" t="inlineStr">
        <is>
          <t>Comparatives &amp; Superlatives: превосходная степень — the -est + of/in</t>
        </is>
      </c>
      <c r="F417" s="25" t="inlineStr">
        <is>
          <t>повторение</t>
        </is>
      </c>
      <c r="G417" s="9" t="inlineStr"/>
      <c r="H417" s="25" t="inlineStr">
        <is>
          <t>10+</t>
        </is>
      </c>
      <c r="I417" s="9">
        <f>IFERROR(INDEX('Темы × классы'!$R:$R,MATCH(E417,'Темы × классы'!$E:$E,0)),"")</f>
        <v/>
      </c>
      <c r="J417" s="9">
        <f>IFERROR(INDEX('Темы × классы'!$S:$S,MATCH(E417,'Темы × классы'!$E:$E,0))&amp;"","")</f>
        <v/>
      </c>
      <c r="K417" s="9" t="inlineStr">
        <is>
          <t>не начат</t>
        </is>
      </c>
      <c r="L417" s="9" t="inlineStr">
        <is>
          <t>Spotlight / 6 класс / Module 8 · Rules &amp; regulations / Comparatives &amp; Superlatives / Comparatives &amp; Superlatives: превосходная степень — the -est + of/in</t>
        </is>
      </c>
    </row>
    <row r="418">
      <c r="A418" s="25" t="n">
        <v>6</v>
      </c>
      <c r="B418" s="9" t="inlineStr">
        <is>
          <t>Module 8 · Rules &amp; regulations</t>
        </is>
      </c>
      <c r="C418" s="9" t="inlineStr">
        <is>
          <t>8b</t>
        </is>
      </c>
      <c r="D418" s="9" t="inlineStr">
        <is>
          <t>Comparatives &amp; Superlatives</t>
        </is>
      </c>
      <c r="E418" s="23" t="inlineStr">
        <is>
          <t>Comparatives &amp; Superlatives: превосходная степень — the most</t>
        </is>
      </c>
      <c r="F418" s="25" t="inlineStr">
        <is>
          <t>повторение</t>
        </is>
      </c>
      <c r="G418" s="9" t="inlineStr"/>
      <c r="H418" s="25" t="inlineStr">
        <is>
          <t>10+</t>
        </is>
      </c>
      <c r="I418" s="9">
        <f>IFERROR(INDEX('Темы × классы'!$R:$R,MATCH(E418,'Темы × классы'!$E:$E,0)),"")</f>
        <v/>
      </c>
      <c r="J418" s="9">
        <f>IFERROR(INDEX('Темы × классы'!$S:$S,MATCH(E418,'Темы × классы'!$E:$E,0))&amp;"","")</f>
        <v/>
      </c>
      <c r="K418" s="9" t="inlineStr">
        <is>
          <t>не начат</t>
        </is>
      </c>
      <c r="L418" s="9" t="inlineStr">
        <is>
          <t>Spotlight / 6 класс / Module 8 · Rules &amp; regulations / Comparatives &amp; Superlatives / Comparatives &amp; Superlatives: превосходная степень — the most</t>
        </is>
      </c>
    </row>
    <row r="419">
      <c r="A419" s="25" t="n">
        <v>6</v>
      </c>
      <c r="B419" s="9" t="inlineStr">
        <is>
          <t>Module 8 · Rules &amp; regulations</t>
        </is>
      </c>
      <c r="C419" s="9" t="inlineStr">
        <is>
          <t>8b</t>
        </is>
      </c>
      <c r="D419" s="9" t="inlineStr">
        <is>
          <t>Comparatives &amp; Superlatives</t>
        </is>
      </c>
      <c r="E419" s="23" t="inlineStr">
        <is>
          <t>Comparatives &amp; Superlatives: неправильные прилагательные (good, bad, many/much, little)</t>
        </is>
      </c>
      <c r="F419" s="25" t="inlineStr">
        <is>
          <t>повторение</t>
        </is>
      </c>
      <c r="G419" s="9" t="inlineStr">
        <is>
          <t>good, bad, many/much, little</t>
        </is>
      </c>
      <c r="H419" s="25" t="inlineStr">
        <is>
          <t>10+</t>
        </is>
      </c>
      <c r="I419" s="9">
        <f>IFERROR(INDEX('Темы × классы'!$R:$R,MATCH(E419,'Темы × классы'!$E:$E,0)),"")</f>
        <v/>
      </c>
      <c r="J419" s="9">
        <f>IFERROR(INDEX('Темы × классы'!$S:$S,MATCH(E419,'Темы × классы'!$E:$E,0))&amp;"","")</f>
        <v/>
      </c>
      <c r="K419" s="9" t="inlineStr">
        <is>
          <t>не начат</t>
        </is>
      </c>
      <c r="L419" s="9" t="inlineStr">
        <is>
          <t>Spotlight / 6 класс / Module 8 · Rules &amp; regulations / Comparatives &amp; Superlatives / Comparatives &amp; Superlatives: неправильные прилагательные (good, bad, many/much, little)</t>
        </is>
      </c>
    </row>
    <row r="420">
      <c r="A420" s="25" t="n">
        <v>6</v>
      </c>
      <c r="B420" s="9" t="inlineStr">
        <is>
          <t>Module 8 · Rules &amp; regulations</t>
        </is>
      </c>
      <c r="C420" s="9" t="inlineStr">
        <is>
          <t>8b</t>
        </is>
      </c>
      <c r="D420" s="9" t="inlineStr">
        <is>
          <t>Comparatives &amp; Superlatives</t>
        </is>
      </c>
      <c r="E420" s="23" t="inlineStr">
        <is>
          <t>Comparatives &amp; Superlatives: двусложные на -y/-er/-ow — -er/-est</t>
        </is>
      </c>
      <c r="F420" s="27" t="inlineStr">
        <is>
          <t>расширение</t>
        </is>
      </c>
      <c r="G420" s="9" t="inlineStr">
        <is>
          <t>добавлены двусложные на -er (pretty, …-er)</t>
        </is>
      </c>
      <c r="H420" s="25" t="inlineStr">
        <is>
          <t>10+</t>
        </is>
      </c>
      <c r="I420" s="9">
        <f>IFERROR(INDEX('Темы × классы'!$R:$R,MATCH(E420,'Темы × классы'!$E:$E,0)),"")</f>
        <v/>
      </c>
      <c r="J420" s="9">
        <f>IFERROR(INDEX('Темы × классы'!$S:$S,MATCH(E420,'Темы × классы'!$E:$E,0))&amp;"","")</f>
        <v/>
      </c>
      <c r="K420" s="9" t="inlineStr">
        <is>
          <t>не начат</t>
        </is>
      </c>
      <c r="L420" s="9" t="inlineStr">
        <is>
          <t>Spotlight / 6 класс / Module 8 · Rules &amp; regulations / Comparatives &amp; Superlatives / Comparatives &amp; Superlatives: двусложные на -y/-er/-ow — -er/-est</t>
        </is>
      </c>
    </row>
    <row r="421">
      <c r="A421" s="25" t="n">
        <v>6</v>
      </c>
      <c r="B421" s="9" t="inlineStr">
        <is>
          <t>Module 9 · Food &amp; refreshments</t>
        </is>
      </c>
      <c r="C421" s="9" t="inlineStr">
        <is>
          <t>9b</t>
        </is>
      </c>
      <c r="D421" s="9" t="inlineStr">
        <is>
          <t>Present Simple vs Present Continuous</t>
        </is>
      </c>
      <c r="E421" s="23" t="inlineStr">
        <is>
          <t>Present Simple vs Present Continuous: привычка vs сейчас</t>
        </is>
      </c>
      <c r="F421" s="25" t="inlineStr">
        <is>
          <t>повторение</t>
        </is>
      </c>
      <c r="G421" s="9" t="inlineStr">
        <is>
          <t>повторение 6b</t>
        </is>
      </c>
      <c r="H421" s="25" t="inlineStr">
        <is>
          <t>10+</t>
        </is>
      </c>
      <c r="I421" s="9">
        <f>IFERROR(INDEX('Темы × классы'!$R:$R,MATCH(E421,'Темы × классы'!$E:$E,0)),"")</f>
        <v/>
      </c>
      <c r="J421" s="9">
        <f>IFERROR(INDEX('Темы × классы'!$S:$S,MATCH(E421,'Темы × классы'!$E:$E,0))&amp;"","")</f>
        <v/>
      </c>
      <c r="K421" s="9" t="inlineStr">
        <is>
          <t>не начат</t>
        </is>
      </c>
      <c r="L421" s="9" t="inlineStr">
        <is>
          <t>Spotlight / 6 класс / Module 9 · Food &amp; refreshments / Present Simple vs Present Continuous / Present Simple vs Present Continuous: привычка vs сейчас</t>
        </is>
      </c>
    </row>
    <row r="422">
      <c r="A422" s="25" t="n">
        <v>6</v>
      </c>
      <c r="B422" s="9" t="inlineStr">
        <is>
          <t>Module 9 · Food &amp; refreshments</t>
        </is>
      </c>
      <c r="C422" s="9" t="inlineStr">
        <is>
          <t>9b</t>
        </is>
      </c>
      <c r="D422" s="9" t="inlineStr">
        <is>
          <t>Present Simple vs Present Continuous</t>
        </is>
      </c>
      <c r="E422" s="23" t="inlineStr">
        <is>
          <t>Present Simple vs Present Continuous: постоянное состояние vs временная ситуация</t>
        </is>
      </c>
      <c r="F422" s="25" t="inlineStr">
        <is>
          <t>повторение</t>
        </is>
      </c>
      <c r="G422" s="9" t="inlineStr">
        <is>
          <t>повторение 6b</t>
        </is>
      </c>
      <c r="H422" s="25" t="inlineStr">
        <is>
          <t>10+</t>
        </is>
      </c>
      <c r="I422" s="9">
        <f>IFERROR(INDEX('Темы × классы'!$R:$R,MATCH(E422,'Темы × классы'!$E:$E,0)),"")</f>
        <v/>
      </c>
      <c r="J422" s="9">
        <f>IFERROR(INDEX('Темы × классы'!$S:$S,MATCH(E422,'Темы × классы'!$E:$E,0))&amp;"","")</f>
        <v/>
      </c>
      <c r="K422" s="9" t="inlineStr">
        <is>
          <t>не начат</t>
        </is>
      </c>
      <c r="L422" s="9" t="inlineStr">
        <is>
          <t>Spotlight / 6 класс / Module 9 · Food &amp; refreshments / Present Simple vs Present Continuous / Present Simple vs Present Continuous: постоянное состояние vs временная ситуация</t>
        </is>
      </c>
    </row>
    <row r="423">
      <c r="A423" s="25" t="n">
        <v>6</v>
      </c>
      <c r="B423" s="9" t="inlineStr">
        <is>
          <t>Module 9 · Food &amp; refreshments</t>
        </is>
      </c>
      <c r="C423" s="9" t="inlineStr">
        <is>
          <t>9a</t>
        </is>
      </c>
      <c r="D423" s="9" t="inlineStr">
        <is>
          <t>Countable / Uncountable nouns</t>
        </is>
      </c>
      <c r="E423" s="23" t="inlineStr">
        <is>
          <t>Countable / Uncountable: различие исчисляемых и неисчисляемых</t>
        </is>
      </c>
      <c r="F423" s="25" t="inlineStr">
        <is>
          <t>повторение</t>
        </is>
      </c>
      <c r="G423" s="9" t="inlineStr"/>
      <c r="H423" s="25" t="inlineStr">
        <is>
          <t>10+</t>
        </is>
      </c>
      <c r="I423" s="9">
        <f>IFERROR(INDEX('Темы × классы'!$R:$R,MATCH(E423,'Темы × классы'!$E:$E,0)),"")</f>
        <v/>
      </c>
      <c r="J423" s="9">
        <f>IFERROR(INDEX('Темы × классы'!$S:$S,MATCH(E423,'Темы × классы'!$E:$E,0))&amp;"","")</f>
        <v/>
      </c>
      <c r="K423" s="9" t="inlineStr">
        <is>
          <t>не начат</t>
        </is>
      </c>
      <c r="L423" s="9" t="inlineStr">
        <is>
          <t>Spotlight / 6 класс / Module 9 · Food &amp; refreshments / Countable / Uncountable nouns / Countable / Uncountable: различие исчисляемых и неисчисляемых</t>
        </is>
      </c>
    </row>
    <row r="424">
      <c r="A424" s="25" t="n">
        <v>6</v>
      </c>
      <c r="B424" s="9" t="inlineStr">
        <is>
          <t>Module 9 · Food &amp; refreshments</t>
        </is>
      </c>
      <c r="C424" s="9" t="inlineStr">
        <is>
          <t>9a</t>
        </is>
      </c>
      <c r="D424" s="9" t="inlineStr">
        <is>
          <t>Countable / Uncountable nouns</t>
        </is>
      </c>
      <c r="E424" s="23" t="inlineStr">
        <is>
          <t>Countable / Uncountable: неисчисляемые — еда и жидкости</t>
        </is>
      </c>
      <c r="F424" s="27" t="inlineStr">
        <is>
          <t>расширение</t>
        </is>
      </c>
      <c r="G424" s="9" t="inlineStr">
        <is>
          <t>добавлены rain, snow</t>
        </is>
      </c>
      <c r="H424" s="25" t="inlineStr">
        <is>
          <t>10+</t>
        </is>
      </c>
      <c r="I424" s="9">
        <f>IFERROR(INDEX('Темы × классы'!$R:$R,MATCH(E424,'Темы × классы'!$E:$E,0)),"")</f>
        <v/>
      </c>
      <c r="J424" s="9">
        <f>IFERROR(INDEX('Темы × классы'!$S:$S,MATCH(E424,'Темы × классы'!$E:$E,0))&amp;"","")</f>
        <v/>
      </c>
      <c r="K424" s="9" t="inlineStr">
        <is>
          <t>не начат</t>
        </is>
      </c>
      <c r="L424" s="9" t="inlineStr">
        <is>
          <t>Spotlight / 6 класс / Module 9 · Food &amp; refreshments / Countable / Uncountable nouns / Countable / Uncountable: неисчисляемые — еда и жидкости</t>
        </is>
      </c>
    </row>
    <row r="425">
      <c r="A425" s="25" t="n">
        <v>6</v>
      </c>
      <c r="B425" s="9" t="inlineStr">
        <is>
          <t>Module 9 · Food &amp; refreshments</t>
        </is>
      </c>
      <c r="C425" s="9" t="inlineStr">
        <is>
          <t>9a</t>
        </is>
      </c>
      <c r="D425" s="9" t="inlineStr">
        <is>
          <t>Countable / Uncountable nouns</t>
        </is>
      </c>
      <c r="E425" s="23" t="inlineStr">
        <is>
          <t>Countable / Uncountable: количество с неисчисляемыми (a jar of, a bottle of)</t>
        </is>
      </c>
      <c r="F425" s="25" t="inlineStr">
        <is>
          <t>повторение</t>
        </is>
      </c>
      <c r="G425" s="9" t="inlineStr">
        <is>
          <t>тот же список</t>
        </is>
      </c>
      <c r="H425" s="25" t="inlineStr">
        <is>
          <t>10+</t>
        </is>
      </c>
      <c r="I425" s="9">
        <f>IFERROR(INDEX('Темы × классы'!$R:$R,MATCH(E425,'Темы × классы'!$E:$E,0)),"")</f>
        <v/>
      </c>
      <c r="J425" s="9">
        <f>IFERROR(INDEX('Темы × классы'!$S:$S,MATCH(E425,'Темы × классы'!$E:$E,0))&amp;"","")</f>
        <v/>
      </c>
      <c r="K425" s="9" t="inlineStr">
        <is>
          <t>не начат</t>
        </is>
      </c>
      <c r="L425" s="9" t="inlineStr">
        <is>
          <t>Spotlight / 6 класс / Module 9 · Food &amp; refreshments / Countable / Uncountable nouns / Countable / Uncountable: количество с неисчисляемыми (a jar of, a bottle of)</t>
        </is>
      </c>
    </row>
    <row r="426">
      <c r="A426" s="25" t="n">
        <v>6</v>
      </c>
      <c r="B426" s="9" t="inlineStr">
        <is>
          <t>Module 9 · Food &amp; refreshments</t>
        </is>
      </c>
      <c r="C426" s="9" t="inlineStr">
        <is>
          <t>9a</t>
        </is>
      </c>
      <c r="D426" s="9" t="inlineStr">
        <is>
          <t>much/many/a lot of</t>
        </is>
      </c>
      <c r="E426" s="23" t="inlineStr">
        <is>
          <t>much/many/a lot of: a lot of / lots of — в утверждениях (исчисляемые и неисчисляемые)</t>
        </is>
      </c>
      <c r="F426" s="27" t="inlineStr">
        <is>
          <t>расширение</t>
        </is>
      </c>
      <c r="G426" s="9" t="inlineStr">
        <is>
          <t>добавлено lots of</t>
        </is>
      </c>
      <c r="H426" s="25" t="inlineStr">
        <is>
          <t>10+</t>
        </is>
      </c>
      <c r="I426" s="9">
        <f>IFERROR(INDEX('Темы × классы'!$R:$R,MATCH(E426,'Темы × классы'!$E:$E,0)),"")</f>
        <v/>
      </c>
      <c r="J426" s="9">
        <f>IFERROR(INDEX('Темы × классы'!$S:$S,MATCH(E426,'Темы × классы'!$E:$E,0))&amp;"","")</f>
        <v/>
      </c>
      <c r="K426" s="9" t="inlineStr">
        <is>
          <t>не начат</t>
        </is>
      </c>
      <c r="L426" s="9" t="inlineStr">
        <is>
          <t>Spotlight / 6 класс / Module 9 · Food &amp; refreshments / much/many/a lot of / much/many/a lot of: a lot of / lots of — в утверждениях (исчисляемые и неисчисляемые)</t>
        </is>
      </c>
    </row>
    <row r="427">
      <c r="A427" s="25" t="n">
        <v>6</v>
      </c>
      <c r="B427" s="9" t="inlineStr">
        <is>
          <t>Module 9 · Food &amp; refreshments</t>
        </is>
      </c>
      <c r="C427" s="9" t="inlineStr">
        <is>
          <t>9a</t>
        </is>
      </c>
      <c r="D427" s="9" t="inlineStr">
        <is>
          <t>much/many/a lot of</t>
        </is>
      </c>
      <c r="E427" s="23" t="inlineStr">
        <is>
          <t>much/many/a lot of: much/many — отрицание</t>
        </is>
      </c>
      <c r="F427" s="25" t="inlineStr">
        <is>
          <t>повторение</t>
        </is>
      </c>
      <c r="G427" s="9" t="inlineStr">
        <is>
          <t>There isn't much sugar / aren't many books</t>
        </is>
      </c>
      <c r="H427" s="25" t="inlineStr">
        <is>
          <t>10+</t>
        </is>
      </c>
      <c r="I427" s="9">
        <f>IFERROR(INDEX('Темы × классы'!$R:$R,MATCH(E427,'Темы × классы'!$E:$E,0)),"")</f>
        <v/>
      </c>
      <c r="J427" s="9">
        <f>IFERROR(INDEX('Темы × классы'!$S:$S,MATCH(E427,'Темы × классы'!$E:$E,0))&amp;"","")</f>
        <v/>
      </c>
      <c r="K427" s="9" t="inlineStr">
        <is>
          <t>не начат</t>
        </is>
      </c>
      <c r="L427" s="9" t="inlineStr">
        <is>
          <t>Spotlight / 6 класс / Module 9 · Food &amp; refreshments / much/many/a lot of / much/many/a lot of: much/many — отрицание</t>
        </is>
      </c>
    </row>
    <row r="428">
      <c r="A428" s="25" t="n">
        <v>6</v>
      </c>
      <c r="B428" s="9" t="inlineStr">
        <is>
          <t>Module 9 · Food &amp; refreshments</t>
        </is>
      </c>
      <c r="C428" s="9" t="inlineStr">
        <is>
          <t>9a</t>
        </is>
      </c>
      <c r="D428" s="9" t="inlineStr">
        <is>
          <t>much/many/a lot of</t>
        </is>
      </c>
      <c r="E428" s="23" t="inlineStr">
        <is>
          <t>much/many/a lot of: much/many — вопросы</t>
        </is>
      </c>
      <c r="F428" s="25" t="inlineStr">
        <is>
          <t>повторение</t>
        </is>
      </c>
      <c r="G428" s="9" t="inlineStr">
        <is>
          <t>Are there many books on the shelf?</t>
        </is>
      </c>
      <c r="H428" s="25" t="inlineStr">
        <is>
          <t>10+</t>
        </is>
      </c>
      <c r="I428" s="9">
        <f>IFERROR(INDEX('Темы × классы'!$R:$R,MATCH(E428,'Темы × классы'!$E:$E,0)),"")</f>
        <v/>
      </c>
      <c r="J428" s="9">
        <f>IFERROR(INDEX('Темы × классы'!$S:$S,MATCH(E428,'Темы × классы'!$E:$E,0))&amp;"","")</f>
        <v/>
      </c>
      <c r="K428" s="9" t="inlineStr">
        <is>
          <t>не начат</t>
        </is>
      </c>
      <c r="L428" s="9" t="inlineStr">
        <is>
          <t>Spotlight / 6 класс / Module 9 · Food &amp; refreshments / much/many/a lot of / much/many/a lot of: much/many — вопросы</t>
        </is>
      </c>
    </row>
    <row r="429">
      <c r="A429" s="25" t="n">
        <v>6</v>
      </c>
      <c r="B429" s="9" t="inlineStr">
        <is>
          <t>Module 9 · Food &amp; refreshments</t>
        </is>
      </c>
      <c r="C429" s="9" t="inlineStr">
        <is>
          <t>9a</t>
        </is>
      </c>
      <c r="D429" s="9" t="inlineStr">
        <is>
          <t>much/many/a lot of</t>
        </is>
      </c>
      <c r="E429" s="23" t="inlineStr">
        <is>
          <t>much/many/a lot of: How much? / How many?</t>
        </is>
      </c>
      <c r="F429" s="25" t="inlineStr">
        <is>
          <t>повторение</t>
        </is>
      </c>
      <c r="G429" s="9" t="inlineStr">
        <is>
          <t>How much money…? How many boys…?</t>
        </is>
      </c>
      <c r="H429" s="25" t="inlineStr">
        <is>
          <t>10+</t>
        </is>
      </c>
      <c r="I429" s="9">
        <f>IFERROR(INDEX('Темы × классы'!$R:$R,MATCH(E429,'Темы × классы'!$E:$E,0)),"")</f>
        <v/>
      </c>
      <c r="J429" s="9">
        <f>IFERROR(INDEX('Темы × классы'!$S:$S,MATCH(E429,'Темы × классы'!$E:$E,0))&amp;"","")</f>
        <v/>
      </c>
      <c r="K429" s="9" t="inlineStr">
        <is>
          <t>не начат</t>
        </is>
      </c>
      <c r="L429" s="9" t="inlineStr">
        <is>
          <t>Spotlight / 6 класс / Module 9 · Food &amp; refreshments / much/many/a lot of / much/many/a lot of: How much? / How many?</t>
        </is>
      </c>
    </row>
    <row r="430">
      <c r="A430" s="25" t="n">
        <v>6</v>
      </c>
      <c r="B430" s="9" t="inlineStr">
        <is>
          <t>Module 9 · Food &amp; refreshments</t>
        </is>
      </c>
      <c r="C430" s="9" t="inlineStr">
        <is>
          <t>9a</t>
        </is>
      </c>
      <c r="D430" s="9" t="inlineStr">
        <is>
          <t>a few/a little</t>
        </is>
      </c>
      <c r="E430" s="23" t="inlineStr">
        <is>
          <t>a few/a little: a few — с исчисляемыми мн. ч. («несколько»)</t>
        </is>
      </c>
      <c r="F430" s="25" t="inlineStr">
        <is>
          <t>повторение</t>
        </is>
      </c>
      <c r="G430" s="9" t="inlineStr">
        <is>
          <t>в утверждениях, вопросах и отрицаниях</t>
        </is>
      </c>
      <c r="H430" s="25" t="inlineStr">
        <is>
          <t>10+</t>
        </is>
      </c>
      <c r="I430" s="9">
        <f>IFERROR(INDEX('Темы × классы'!$R:$R,MATCH(E430,'Темы × классы'!$E:$E,0)),"")</f>
        <v/>
      </c>
      <c r="J430" s="9">
        <f>IFERROR(INDEX('Темы × классы'!$S:$S,MATCH(E430,'Темы × классы'!$E:$E,0))&amp;"","")</f>
        <v/>
      </c>
      <c r="K430" s="9" t="inlineStr">
        <is>
          <t>не начат</t>
        </is>
      </c>
      <c r="L430" s="9" t="inlineStr">
        <is>
          <t>Spotlight / 6 класс / Module 9 · Food &amp; refreshments / a few/a little / a few/a little: a few — с исчисляемыми мн. ч. («несколько»)</t>
        </is>
      </c>
    </row>
    <row r="431">
      <c r="A431" s="25" t="n">
        <v>6</v>
      </c>
      <c r="B431" s="9" t="inlineStr">
        <is>
          <t>Module 9 · Food &amp; refreshments</t>
        </is>
      </c>
      <c r="C431" s="9" t="inlineStr">
        <is>
          <t>9a</t>
        </is>
      </c>
      <c r="D431" s="9" t="inlineStr">
        <is>
          <t>a few/a little</t>
        </is>
      </c>
      <c r="E431" s="23" t="inlineStr">
        <is>
          <t>a few/a little: a little — с неисчисляемыми («немного»)</t>
        </is>
      </c>
      <c r="F431" s="25" t="inlineStr">
        <is>
          <t>повторение</t>
        </is>
      </c>
      <c r="G431" s="9" t="inlineStr">
        <is>
          <t>There is a little water</t>
        </is>
      </c>
      <c r="H431" s="25" t="inlineStr">
        <is>
          <t>10+</t>
        </is>
      </c>
      <c r="I431" s="9">
        <f>IFERROR(INDEX('Темы × классы'!$R:$R,MATCH(E431,'Темы × классы'!$E:$E,0)),"")</f>
        <v/>
      </c>
      <c r="J431" s="9">
        <f>IFERROR(INDEX('Темы × классы'!$S:$S,MATCH(E431,'Темы × классы'!$E:$E,0))&amp;"","")</f>
        <v/>
      </c>
      <c r="K431" s="9" t="inlineStr">
        <is>
          <t>не начат</t>
        </is>
      </c>
      <c r="L431" s="9" t="inlineStr">
        <is>
          <t>Spotlight / 6 класс / Module 9 · Food &amp; refreshments / a few/a little / a few/a little: a little — с неисчисляемыми («немного»)</t>
        </is>
      </c>
    </row>
    <row r="432">
      <c r="A432" s="25" t="n">
        <v>6</v>
      </c>
      <c r="B432" s="9" t="inlineStr">
        <is>
          <t>Module 10 · Holiday time</t>
        </is>
      </c>
      <c r="C432" s="9" t="inlineStr">
        <is>
          <t>10b</t>
        </is>
      </c>
      <c r="D432" s="9" t="inlineStr">
        <is>
          <t>Present Continuous</t>
        </is>
      </c>
      <c r="E432" s="23" t="inlineStr">
        <is>
          <t>Present Continuous: значение — запланированное будущее</t>
        </is>
      </c>
      <c r="F432" s="25" t="inlineStr">
        <is>
          <t>повторение</t>
        </is>
      </c>
      <c r="G432" s="9" t="inlineStr">
        <is>
          <t>tonight</t>
        </is>
      </c>
      <c r="H432" s="25" t="inlineStr">
        <is>
          <t>10+</t>
        </is>
      </c>
      <c r="I432" s="9">
        <f>IFERROR(INDEX('Темы × классы'!$R:$R,MATCH(E432,'Темы × классы'!$E:$E,0)),"")</f>
        <v/>
      </c>
      <c r="J432" s="9">
        <f>IFERROR(INDEX('Темы × классы'!$S:$S,MATCH(E432,'Темы × классы'!$E:$E,0))&amp;"","")</f>
        <v/>
      </c>
      <c r="K432" s="9" t="inlineStr">
        <is>
          <t>не начат</t>
        </is>
      </c>
      <c r="L432" s="9" t="inlineStr">
        <is>
          <t>Spotlight / 6 класс / Module 10 · Holiday time / Present Continuous / Present Continuous: значение — запланированное будущее</t>
        </is>
      </c>
    </row>
    <row r="433">
      <c r="A433" s="25" t="n">
        <v>6</v>
      </c>
      <c r="B433" s="9" t="inlineStr">
        <is>
          <t>Module 10 · Holiday time</t>
        </is>
      </c>
      <c r="C433" s="9" t="inlineStr">
        <is>
          <t>10a</t>
        </is>
      </c>
      <c r="D433" s="9" t="inlineStr">
        <is>
          <t>be going to</t>
        </is>
      </c>
      <c r="E433" s="23" t="inlineStr">
        <is>
          <t>be going to: утверждение (am/is/are going to + V)</t>
        </is>
      </c>
      <c r="F433" s="25" t="inlineStr">
        <is>
          <t>повторение</t>
        </is>
      </c>
      <c r="G433" s="9" t="inlineStr">
        <is>
          <t>все лица, краткие формы I'm/you're…</t>
        </is>
      </c>
      <c r="H433" s="25" t="inlineStr">
        <is>
          <t>10+</t>
        </is>
      </c>
      <c r="I433" s="9">
        <f>IFERROR(INDEX('Темы × классы'!$R:$R,MATCH(E433,'Темы × классы'!$E:$E,0)),"")</f>
        <v/>
      </c>
      <c r="J433" s="9">
        <f>IFERROR(INDEX('Темы × классы'!$S:$S,MATCH(E433,'Темы × классы'!$E:$E,0))&amp;"","")</f>
        <v/>
      </c>
      <c r="K433" s="9" t="inlineStr">
        <is>
          <t>не начат</t>
        </is>
      </c>
      <c r="L433" s="9" t="inlineStr">
        <is>
          <t>Spotlight / 6 класс / Module 10 · Holiday time / be going to / be going to: утверждение (am/is/are going to + V)</t>
        </is>
      </c>
    </row>
    <row r="434">
      <c r="A434" s="25" t="n">
        <v>6</v>
      </c>
      <c r="B434" s="9" t="inlineStr">
        <is>
          <t>Module 10 · Holiday time</t>
        </is>
      </c>
      <c r="C434" s="9" t="inlineStr">
        <is>
          <t>10a</t>
        </is>
      </c>
      <c r="D434" s="9" t="inlineStr">
        <is>
          <t>be going to</t>
        </is>
      </c>
      <c r="E434" s="23" t="inlineStr">
        <is>
          <t>be going to: отрицание</t>
        </is>
      </c>
      <c r="F434" s="25" t="inlineStr">
        <is>
          <t>повторение</t>
        </is>
      </c>
      <c r="G434" s="9" t="inlineStr">
        <is>
          <t>I'm not / aren't / isn't</t>
        </is>
      </c>
      <c r="H434" s="25" t="inlineStr">
        <is>
          <t>10+</t>
        </is>
      </c>
      <c r="I434" s="9">
        <f>IFERROR(INDEX('Темы × классы'!$R:$R,MATCH(E434,'Темы × классы'!$E:$E,0)),"")</f>
        <v/>
      </c>
      <c r="J434" s="9">
        <f>IFERROR(INDEX('Темы × классы'!$S:$S,MATCH(E434,'Темы × классы'!$E:$E,0))&amp;"","")</f>
        <v/>
      </c>
      <c r="K434" s="9" t="inlineStr">
        <is>
          <t>не начат</t>
        </is>
      </c>
      <c r="L434" s="9" t="inlineStr">
        <is>
          <t>Spotlight / 6 класс / Module 10 · Holiday time / be going to / be going to: отрицание</t>
        </is>
      </c>
    </row>
    <row r="435">
      <c r="A435" s="25" t="n">
        <v>6</v>
      </c>
      <c r="B435" s="9" t="inlineStr">
        <is>
          <t>Module 10 · Holiday time</t>
        </is>
      </c>
      <c r="C435" s="9" t="inlineStr">
        <is>
          <t>10a</t>
        </is>
      </c>
      <c r="D435" s="9" t="inlineStr">
        <is>
          <t>be going to</t>
        </is>
      </c>
      <c r="E435" s="23" t="inlineStr">
        <is>
          <t>be going to: вопросы и краткие ответы</t>
        </is>
      </c>
      <c r="F435" s="27" t="inlineStr">
        <is>
          <t>расширение</t>
        </is>
      </c>
      <c r="G435" s="9" t="inlineStr">
        <is>
          <t>добавлены краткие ответы Yes, I am / No, … isn't</t>
        </is>
      </c>
      <c r="H435" s="25" t="inlineStr">
        <is>
          <t>10+</t>
        </is>
      </c>
      <c r="I435" s="9">
        <f>IFERROR(INDEX('Темы × классы'!$R:$R,MATCH(E435,'Темы × классы'!$E:$E,0)),"")</f>
        <v/>
      </c>
      <c r="J435" s="9">
        <f>IFERROR(INDEX('Темы × классы'!$S:$S,MATCH(E435,'Темы × классы'!$E:$E,0))&amp;"","")</f>
        <v/>
      </c>
      <c r="K435" s="9" t="inlineStr">
        <is>
          <t>не начат</t>
        </is>
      </c>
      <c r="L435" s="9" t="inlineStr">
        <is>
          <t>Spotlight / 6 класс / Module 10 · Holiday time / be going to / be going to: вопросы и краткие ответы</t>
        </is>
      </c>
    </row>
    <row r="436">
      <c r="A436" s="25" t="n">
        <v>6</v>
      </c>
      <c r="B436" s="9" t="inlineStr">
        <is>
          <t>Module 10 · Holiday time</t>
        </is>
      </c>
      <c r="C436" s="9" t="inlineStr">
        <is>
          <t>10a</t>
        </is>
      </c>
      <c r="D436" s="9" t="inlineStr">
        <is>
          <t>be going to</t>
        </is>
      </c>
      <c r="E436" s="23" t="inlineStr">
        <is>
          <t>be going to: значение — планы и намерения</t>
        </is>
      </c>
      <c r="F436" s="25" t="inlineStr">
        <is>
          <t>повторение</t>
        </is>
      </c>
      <c r="G436" s="9" t="inlineStr">
        <is>
          <t>this afternoon</t>
        </is>
      </c>
      <c r="H436" s="25" t="inlineStr">
        <is>
          <t>10+</t>
        </is>
      </c>
      <c r="I436" s="9">
        <f>IFERROR(INDEX('Темы × классы'!$R:$R,MATCH(E436,'Темы × классы'!$E:$E,0)),"")</f>
        <v/>
      </c>
      <c r="J436" s="9">
        <f>IFERROR(INDEX('Темы × классы'!$S:$S,MATCH(E436,'Темы × классы'!$E:$E,0))&amp;"","")</f>
        <v/>
      </c>
      <c r="K436" s="9" t="inlineStr">
        <is>
          <t>не начат</t>
        </is>
      </c>
      <c r="L436" s="9" t="inlineStr">
        <is>
          <t>Spotlight / 6 класс / Module 10 · Holiday time / be going to / be going to: значение — планы и намерения</t>
        </is>
      </c>
    </row>
    <row r="437">
      <c r="A437" s="25" t="n">
        <v>6</v>
      </c>
      <c r="B437" s="9" t="inlineStr">
        <is>
          <t>Module 10 · Holiday time</t>
        </is>
      </c>
      <c r="C437" s="9" t="inlineStr">
        <is>
          <t>10a</t>
        </is>
      </c>
      <c r="D437" s="9" t="inlineStr">
        <is>
          <t>be going to</t>
        </is>
      </c>
      <c r="E437" s="23" t="inlineStr">
        <is>
          <t>be going to: значение — предсказание по очевидным признакам</t>
        </is>
      </c>
      <c r="F437" s="26" t="inlineStr">
        <is>
          <t>новое</t>
        </is>
      </c>
      <c r="G437" s="9" t="inlineStr">
        <is>
          <t>dark clouds → It is going to rain</t>
        </is>
      </c>
      <c r="H437" s="25" t="inlineStr">
        <is>
          <t>10+</t>
        </is>
      </c>
      <c r="I437" s="9">
        <f>IFERROR(INDEX('Темы × классы'!$R:$R,MATCH(E437,'Темы × классы'!$E:$E,0)),"")</f>
        <v/>
      </c>
      <c r="J437" s="9">
        <f>IFERROR(INDEX('Темы × классы'!$S:$S,MATCH(E437,'Темы × классы'!$E:$E,0))&amp;"","")</f>
        <v/>
      </c>
      <c r="K437" s="9" t="inlineStr">
        <is>
          <t>не начат</t>
        </is>
      </c>
      <c r="L437" s="9" t="inlineStr">
        <is>
          <t>Spotlight / 6 класс / Module 10 · Holiday time / be going to / be going to: значение — предсказание по очевидным признакам</t>
        </is>
      </c>
    </row>
    <row r="438">
      <c r="A438" s="25" t="n">
        <v>7</v>
      </c>
      <c r="B438" s="9" t="inlineStr">
        <is>
          <t>Irregular Verbs</t>
        </is>
      </c>
      <c r="C438" s="9" t="inlineStr"/>
      <c r="D438" s="9" t="inlineStr">
        <is>
          <t>Irregular verbs (list)</t>
        </is>
      </c>
      <c r="E438" s="23" t="inlineStr">
        <is>
          <t>Irregular verbs: таблица Infinitive – Past – Past Participle</t>
        </is>
      </c>
      <c r="F438" s="26" t="inlineStr">
        <is>
          <t>новое</t>
        </is>
      </c>
      <c r="G438" s="9" t="inlineStr">
        <is>
          <t>≈100 глаголов, с переводом; в 5–6 кл. таблица шла при Past Simple</t>
        </is>
      </c>
      <c r="H438" s="25" t="inlineStr">
        <is>
          <t>10+</t>
        </is>
      </c>
      <c r="I438" s="9">
        <f>IFERROR(INDEX('Темы × классы'!$R:$R,MATCH(E438,'Темы × классы'!$E:$E,0)),"")</f>
        <v/>
      </c>
      <c r="J438" s="9">
        <f>IFERROR(INDEX('Темы × классы'!$S:$S,MATCH(E438,'Темы × классы'!$E:$E,0))&amp;"","")</f>
        <v/>
      </c>
      <c r="K438" s="9" t="inlineStr">
        <is>
          <t>не начат</t>
        </is>
      </c>
      <c r="L438" s="9" t="inlineStr">
        <is>
          <t>Spotlight / 7 класс / Irregular Verbs / Irregular verbs (list) / Irregular verbs: таблица Infinitive – Past – Past Participle</t>
        </is>
      </c>
    </row>
    <row r="439">
      <c r="A439" s="25" t="n">
        <v>7</v>
      </c>
      <c r="B439" s="9" t="inlineStr">
        <is>
          <t>Irregular Verbs</t>
        </is>
      </c>
      <c r="C439" s="9" t="inlineStr"/>
      <c r="D439" s="9" t="inlineStr">
        <is>
          <t>Irregular verbs (list)</t>
        </is>
      </c>
      <c r="E439" s="23" t="inlineStr">
        <is>
          <t>Irregular verbs: двойные и особые формы (burnt/burned, got/gotten, can – could)</t>
        </is>
      </c>
      <c r="F439" s="26" t="inlineStr">
        <is>
          <t>новое</t>
        </is>
      </c>
      <c r="G439" s="9" t="inlineStr">
        <is>
          <t>burnt/burned, dreamt, learnt, smelt, spelt, hung/hanged, got/gotten, can – could</t>
        </is>
      </c>
      <c r="H439" s="25" t="inlineStr">
        <is>
          <t>10+</t>
        </is>
      </c>
      <c r="I439" s="9">
        <f>IFERROR(INDEX('Темы × классы'!$R:$R,MATCH(E439,'Темы × классы'!$E:$E,0)),"")</f>
        <v/>
      </c>
      <c r="J439" s="9">
        <f>IFERROR(INDEX('Темы × классы'!$S:$S,MATCH(E439,'Темы × классы'!$E:$E,0))&amp;"","")</f>
        <v/>
      </c>
      <c r="K439" s="9" t="inlineStr">
        <is>
          <t>не начат</t>
        </is>
      </c>
      <c r="L439" s="9" t="inlineStr">
        <is>
          <t>Spotlight / 7 класс / Irregular Verbs / Irregular verbs (list) / Irregular verbs: двойные и особые формы (burnt/burned, got/gotten, can – could)</t>
        </is>
      </c>
    </row>
    <row r="440">
      <c r="A440" s="25" t="n">
        <v>7</v>
      </c>
      <c r="B440" s="9" t="inlineStr">
        <is>
          <t>Module 1 · Lifestyles</t>
        </is>
      </c>
      <c r="C440" s="9" t="inlineStr"/>
      <c r="D440" s="9" t="inlineStr">
        <is>
          <t>Present Continuous</t>
        </is>
      </c>
      <c r="E440" s="23" t="inlineStr">
        <is>
          <t>Present Continuous: значение — действие сейчас (now)</t>
        </is>
      </c>
      <c r="F440" s="25" t="inlineStr">
        <is>
          <t>повторение</t>
        </is>
      </c>
      <c r="G440" s="9" t="inlineStr"/>
      <c r="H440" s="25" t="inlineStr">
        <is>
          <t>10+</t>
        </is>
      </c>
      <c r="I440" s="9">
        <f>IFERROR(INDEX('Темы × классы'!$R:$R,MATCH(E440,'Темы × классы'!$E:$E,0)),"")</f>
        <v/>
      </c>
      <c r="J440" s="9">
        <f>IFERROR(INDEX('Темы × классы'!$S:$S,MATCH(E440,'Темы × классы'!$E:$E,0))&amp;"","")</f>
        <v/>
      </c>
      <c r="K440" s="9" t="inlineStr">
        <is>
          <t>не начат</t>
        </is>
      </c>
      <c r="L440" s="9" t="inlineStr">
        <is>
          <t>Spotlight / 7 класс / Module 1 · Lifestyles / Present Continuous / Present Continuous: значение — действие сейчас (now)</t>
        </is>
      </c>
    </row>
    <row r="441">
      <c r="A441" s="25" t="n">
        <v>7</v>
      </c>
      <c r="B441" s="9" t="inlineStr">
        <is>
          <t>Module 1 · Lifestyles</t>
        </is>
      </c>
      <c r="C441" s="9" t="inlineStr"/>
      <c r="D441" s="9" t="inlineStr">
        <is>
          <t>Present Continuous</t>
        </is>
      </c>
      <c r="E441" s="23" t="inlineStr">
        <is>
          <t>Present Continuous: значение — действие в настоящий период (these days)</t>
        </is>
      </c>
      <c r="F441" s="25" t="inlineStr">
        <is>
          <t>повторение</t>
        </is>
      </c>
      <c r="G441" s="9" t="inlineStr">
        <is>
          <t>nowadays, today</t>
        </is>
      </c>
      <c r="H441" s="25" t="inlineStr">
        <is>
          <t>10+</t>
        </is>
      </c>
      <c r="I441" s="9">
        <f>IFERROR(INDEX('Темы × классы'!$R:$R,MATCH(E441,'Темы × классы'!$E:$E,0)),"")</f>
        <v/>
      </c>
      <c r="J441" s="9">
        <f>IFERROR(INDEX('Темы × классы'!$S:$S,MATCH(E441,'Темы × классы'!$E:$E,0))&amp;"","")</f>
        <v/>
      </c>
      <c r="K441" s="9" t="inlineStr">
        <is>
          <t>не начат</t>
        </is>
      </c>
      <c r="L441" s="9" t="inlineStr">
        <is>
          <t>Spotlight / 7 класс / Module 1 · Lifestyles / Present Continuous / Present Continuous: значение — действие в настоящий период (these days)</t>
        </is>
      </c>
    </row>
    <row r="442">
      <c r="A442" s="25" t="n">
        <v>7</v>
      </c>
      <c r="B442" s="9" t="inlineStr">
        <is>
          <t>Module 1 · Lifestyles</t>
        </is>
      </c>
      <c r="C442" s="9" t="inlineStr"/>
      <c r="D442" s="9" t="inlineStr">
        <is>
          <t>Present Continuous</t>
        </is>
      </c>
      <c r="E442" s="23" t="inlineStr">
        <is>
          <t>Present Continuous: значение — запланированное будущее</t>
        </is>
      </c>
      <c r="F442" s="25" t="inlineStr">
        <is>
          <t>повторение</t>
        </is>
      </c>
      <c r="G442" s="9" t="inlineStr">
        <is>
          <t>this afternoon</t>
        </is>
      </c>
      <c r="H442" s="25" t="inlineStr">
        <is>
          <t>10+</t>
        </is>
      </c>
      <c r="I442" s="9">
        <f>IFERROR(INDEX('Темы × классы'!$R:$R,MATCH(E442,'Темы × классы'!$E:$E,0)),"")</f>
        <v/>
      </c>
      <c r="J442" s="9">
        <f>IFERROR(INDEX('Темы × классы'!$S:$S,MATCH(E442,'Темы × классы'!$E:$E,0))&amp;"","")</f>
        <v/>
      </c>
      <c r="K442" s="9" t="inlineStr">
        <is>
          <t>не начат</t>
        </is>
      </c>
      <c r="L442" s="9" t="inlineStr">
        <is>
          <t>Spotlight / 7 класс / Module 1 · Lifestyles / Present Continuous / Present Continuous: значение — запланированное будущее</t>
        </is>
      </c>
    </row>
    <row r="443">
      <c r="A443" s="25" t="n">
        <v>7</v>
      </c>
      <c r="B443" s="9" t="inlineStr">
        <is>
          <t>Module 1 · Lifestyles</t>
        </is>
      </c>
      <c r="C443" s="9" t="inlineStr"/>
      <c r="D443" s="9" t="inlineStr">
        <is>
          <t>Present Continuous</t>
        </is>
      </c>
      <c r="E443" s="23" t="inlineStr">
        <is>
          <t>Present Continuous: значение — меняющиеся и развивающиеся ситуации</t>
        </is>
      </c>
      <c r="F443" s="26" t="inlineStr">
        <is>
          <t>новое</t>
        </is>
      </c>
      <c r="G443" s="9" t="inlineStr">
        <is>
          <t>getting more and more beautiful</t>
        </is>
      </c>
      <c r="H443" s="25" t="inlineStr">
        <is>
          <t>10+</t>
        </is>
      </c>
      <c r="I443" s="9">
        <f>IFERROR(INDEX('Темы × классы'!$R:$R,MATCH(E443,'Темы × классы'!$E:$E,0)),"")</f>
        <v/>
      </c>
      <c r="J443" s="9">
        <f>IFERROR(INDEX('Темы × классы'!$S:$S,MATCH(E443,'Темы × классы'!$E:$E,0))&amp;"","")</f>
        <v/>
      </c>
      <c r="K443" s="9" t="inlineStr">
        <is>
          <t>не начат</t>
        </is>
      </c>
      <c r="L443" s="9" t="inlineStr">
        <is>
          <t>Spotlight / 7 класс / Module 1 · Lifestyles / Present Continuous / Present Continuous: значение — меняющиеся и развивающиеся ситуации</t>
        </is>
      </c>
    </row>
    <row r="444">
      <c r="A444" s="25" t="n">
        <v>7</v>
      </c>
      <c r="B444" s="9" t="inlineStr">
        <is>
          <t>Module 1 · Lifestyles</t>
        </is>
      </c>
      <c r="C444" s="9" t="inlineStr"/>
      <c r="D444" s="9" t="inlineStr">
        <is>
          <t>Present Continuous</t>
        </is>
      </c>
      <c r="E444" s="23" t="inlineStr">
        <is>
          <t>Present Continuous: значение — always + раздражение</t>
        </is>
      </c>
      <c r="F444" s="26" t="inlineStr">
        <is>
          <t>новое</t>
        </is>
      </c>
      <c r="G444" s="9" t="inlineStr">
        <is>
          <t>She is always losing her keys</t>
        </is>
      </c>
      <c r="H444" s="25" t="inlineStr">
        <is>
          <t>10+</t>
        </is>
      </c>
      <c r="I444" s="9">
        <f>IFERROR(INDEX('Темы × классы'!$R:$R,MATCH(E444,'Темы × классы'!$E:$E,0)),"")</f>
        <v/>
      </c>
      <c r="J444" s="9">
        <f>IFERROR(INDEX('Темы × классы'!$S:$S,MATCH(E444,'Темы × классы'!$E:$E,0))&amp;"","")</f>
        <v/>
      </c>
      <c r="K444" s="9" t="inlineStr">
        <is>
          <t>не начат</t>
        </is>
      </c>
      <c r="L444" s="9" t="inlineStr">
        <is>
          <t>Spotlight / 7 класс / Module 1 · Lifestyles / Present Continuous / Present Continuous: значение — always + раздражение</t>
        </is>
      </c>
    </row>
    <row r="445">
      <c r="A445" s="25" t="n">
        <v>7</v>
      </c>
      <c r="B445" s="9" t="inlineStr">
        <is>
          <t>Module 1 · Lifestyles</t>
        </is>
      </c>
      <c r="C445" s="9" t="inlineStr"/>
      <c r="D445" s="9" t="inlineStr">
        <is>
          <t>Present Simple</t>
        </is>
      </c>
      <c r="E445" s="23" t="inlineStr">
        <is>
          <t>Present Simple: значение — регулярные действия, распорядок дня, привычки</t>
        </is>
      </c>
      <c r="F445" s="25" t="inlineStr">
        <is>
          <t>повторение</t>
        </is>
      </c>
      <c r="G445" s="9" t="inlineStr">
        <is>
          <t>always, usually, at the weekend, on Fridays</t>
        </is>
      </c>
      <c r="H445" s="25" t="inlineStr">
        <is>
          <t>10+</t>
        </is>
      </c>
      <c r="I445" s="9">
        <f>IFERROR(INDEX('Темы × классы'!$R:$R,MATCH(E445,'Темы × классы'!$E:$E,0)),"")</f>
        <v/>
      </c>
      <c r="J445" s="9">
        <f>IFERROR(INDEX('Темы × классы'!$S:$S,MATCH(E445,'Темы × классы'!$E:$E,0))&amp;"","")</f>
        <v/>
      </c>
      <c r="K445" s="9" t="inlineStr">
        <is>
          <t>не начат</t>
        </is>
      </c>
      <c r="L445" s="9" t="inlineStr">
        <is>
          <t>Spotlight / 7 класс / Module 1 · Lifestyles / Present Simple / Present Simple: значение — регулярные действия, распорядок дня, привычки</t>
        </is>
      </c>
    </row>
    <row r="446">
      <c r="A446" s="25" t="n">
        <v>7</v>
      </c>
      <c r="B446" s="9" t="inlineStr">
        <is>
          <t>Module 1 · Lifestyles</t>
        </is>
      </c>
      <c r="C446" s="9" t="inlineStr"/>
      <c r="D446" s="9" t="inlineStr">
        <is>
          <t>Present Simple</t>
        </is>
      </c>
      <c r="E446" s="23" t="inlineStr">
        <is>
          <t>Present Simple: значение — постоянные состояния и действия</t>
        </is>
      </c>
      <c r="F446" s="25" t="inlineStr">
        <is>
          <t>повторение</t>
        </is>
      </c>
      <c r="G446" s="9" t="inlineStr">
        <is>
          <t>Mark lives in New Zealand</t>
        </is>
      </c>
      <c r="H446" s="25" t="inlineStr">
        <is>
          <t>10+</t>
        </is>
      </c>
      <c r="I446" s="9">
        <f>IFERROR(INDEX('Темы × классы'!$R:$R,MATCH(E446,'Темы × классы'!$E:$E,0)),"")</f>
        <v/>
      </c>
      <c r="J446" s="9">
        <f>IFERROR(INDEX('Темы × классы'!$S:$S,MATCH(E446,'Темы × классы'!$E:$E,0))&amp;"","")</f>
        <v/>
      </c>
      <c r="K446" s="9" t="inlineStr">
        <is>
          <t>не начат</t>
        </is>
      </c>
      <c r="L446" s="9" t="inlineStr">
        <is>
          <t>Spotlight / 7 класс / Module 1 · Lifestyles / Present Simple / Present Simple: значение — постоянные состояния и действия</t>
        </is>
      </c>
    </row>
    <row r="447">
      <c r="A447" s="25" t="n">
        <v>7</v>
      </c>
      <c r="B447" s="9" t="inlineStr">
        <is>
          <t>Module 1 · Lifestyles</t>
        </is>
      </c>
      <c r="C447" s="9" t="inlineStr"/>
      <c r="D447" s="9" t="inlineStr">
        <is>
          <t>Present Simple</t>
        </is>
      </c>
      <c r="E447" s="23" t="inlineStr">
        <is>
          <t>Present Simple: значение — непреложные истины и законы природы</t>
        </is>
      </c>
      <c r="F447" s="25" t="inlineStr">
        <is>
          <t>повторение</t>
        </is>
      </c>
      <c r="G447" s="9" t="inlineStr">
        <is>
          <t>The Moon goes round the Earth</t>
        </is>
      </c>
      <c r="H447" s="25" t="inlineStr">
        <is>
          <t>10+</t>
        </is>
      </c>
      <c r="I447" s="9">
        <f>IFERROR(INDEX('Темы × классы'!$R:$R,MATCH(E447,'Темы × классы'!$E:$E,0)),"")</f>
        <v/>
      </c>
      <c r="J447" s="9">
        <f>IFERROR(INDEX('Темы × классы'!$S:$S,MATCH(E447,'Темы × классы'!$E:$E,0))&amp;"","")</f>
        <v/>
      </c>
      <c r="K447" s="9" t="inlineStr">
        <is>
          <t>не начат</t>
        </is>
      </c>
      <c r="L447" s="9" t="inlineStr">
        <is>
          <t>Spotlight / 7 класс / Module 1 · Lifestyles / Present Simple / Present Simple: значение — непреложные истины и законы природы</t>
        </is>
      </c>
    </row>
    <row r="448">
      <c r="A448" s="25" t="n">
        <v>7</v>
      </c>
      <c r="B448" s="9" t="inlineStr">
        <is>
          <t>Module 1 · Lifestyles</t>
        </is>
      </c>
      <c r="C448" s="9" t="inlineStr"/>
      <c r="D448" s="9" t="inlineStr">
        <is>
          <t>Present Simple</t>
        </is>
      </c>
      <c r="E448" s="23" t="inlineStr">
        <is>
          <t>Present Simple: значение — расписания и программы (будущее по расписанию)</t>
        </is>
      </c>
      <c r="F448" s="26" t="inlineStr">
        <is>
          <t>новое</t>
        </is>
      </c>
      <c r="G448" s="9" t="inlineStr">
        <is>
          <t>The train leaves at 6:00 am</t>
        </is>
      </c>
      <c r="H448" s="25" t="inlineStr">
        <is>
          <t>10+</t>
        </is>
      </c>
      <c r="I448" s="9">
        <f>IFERROR(INDEX('Темы × классы'!$R:$R,MATCH(E448,'Темы × классы'!$E:$E,0)),"")</f>
        <v/>
      </c>
      <c r="J448" s="9">
        <f>IFERROR(INDEX('Темы × классы'!$S:$S,MATCH(E448,'Темы × классы'!$E:$E,0))&amp;"","")</f>
        <v/>
      </c>
      <c r="K448" s="9" t="inlineStr">
        <is>
          <t>не начат</t>
        </is>
      </c>
      <c r="L448" s="9" t="inlineStr">
        <is>
          <t>Spotlight / 7 класс / Module 1 · Lifestyles / Present Simple / Present Simple: значение — расписания и программы (будущее по расписанию)</t>
        </is>
      </c>
    </row>
    <row r="449">
      <c r="A449" s="25" t="n">
        <v>7</v>
      </c>
      <c r="B449" s="9" t="inlineStr">
        <is>
          <t>Module 1 · Lifestyles</t>
        </is>
      </c>
      <c r="C449" s="9" t="inlineStr"/>
      <c r="D449" s="9" t="inlineStr">
        <is>
          <t>Present Simple</t>
        </is>
      </c>
      <c r="E449" s="23" t="inlineStr">
        <is>
          <t>Present Simple: значение — чувства и эмоции</t>
        </is>
      </c>
      <c r="F449" s="26" t="inlineStr">
        <is>
          <t>новое</t>
        </is>
      </c>
      <c r="G449" s="9" t="inlineStr">
        <is>
          <t>I love skiing</t>
        </is>
      </c>
      <c r="H449" s="25" t="inlineStr">
        <is>
          <t>10+</t>
        </is>
      </c>
      <c r="I449" s="9">
        <f>IFERROR(INDEX('Темы × классы'!$R:$R,MATCH(E449,'Темы × классы'!$E:$E,0)),"")</f>
        <v/>
      </c>
      <c r="J449" s="9">
        <f>IFERROR(INDEX('Темы × классы'!$S:$S,MATCH(E449,'Темы × классы'!$E:$E,0))&amp;"","")</f>
        <v/>
      </c>
      <c r="K449" s="9" t="inlineStr">
        <is>
          <t>не начат</t>
        </is>
      </c>
      <c r="L449" s="9" t="inlineStr">
        <is>
          <t>Spotlight / 7 класс / Module 1 · Lifestyles / Present Simple / Present Simple: значение — чувства и эмоции</t>
        </is>
      </c>
    </row>
    <row r="450">
      <c r="A450" s="25" t="n">
        <v>7</v>
      </c>
      <c r="B450" s="9" t="inlineStr">
        <is>
          <t>Module 1 · Lifestyles</t>
        </is>
      </c>
      <c r="C450" s="9" t="inlineStr"/>
      <c r="D450" s="9" t="inlineStr">
        <is>
          <t>Present Simple</t>
        </is>
      </c>
      <c r="E450" s="23" t="inlineStr">
        <is>
          <t>Present Simple: значение — обзоры, спортивные комментарии, повествование</t>
        </is>
      </c>
      <c r="F450" s="26" t="inlineStr">
        <is>
          <t>новое</t>
        </is>
      </c>
      <c r="G450" s="9" t="inlineStr">
        <is>
          <t>спортивные комментарии, обзоры, повествования</t>
        </is>
      </c>
      <c r="H450" s="25" t="inlineStr">
        <is>
          <t>10+</t>
        </is>
      </c>
      <c r="I450" s="9">
        <f>IFERROR(INDEX('Темы × классы'!$R:$R,MATCH(E450,'Темы × классы'!$E:$E,0)),"")</f>
        <v/>
      </c>
      <c r="J450" s="9">
        <f>IFERROR(INDEX('Темы × классы'!$S:$S,MATCH(E450,'Темы × классы'!$E:$E,0))&amp;"","")</f>
        <v/>
      </c>
      <c r="K450" s="9" t="inlineStr">
        <is>
          <t>не начат</t>
        </is>
      </c>
      <c r="L450" s="9" t="inlineStr">
        <is>
          <t>Spotlight / 7 класс / Module 1 · Lifestyles / Present Simple / Present Simple: значение — обзоры, спортивные комментарии, повествование</t>
        </is>
      </c>
    </row>
    <row r="451">
      <c r="A451" s="25" t="n">
        <v>7</v>
      </c>
      <c r="B451" s="9" t="inlineStr">
        <is>
          <t>Module 1 · Lifestyles</t>
        </is>
      </c>
      <c r="C451" s="9" t="inlineStr"/>
      <c r="D451" s="9" t="inlineStr">
        <is>
          <t>Present Simple vs Present Continuous</t>
        </is>
      </c>
      <c r="E451" s="23" t="inlineStr">
        <is>
          <t>Present Simple vs Present Continuous: привычка vs сейчас</t>
        </is>
      </c>
      <c r="F451" s="25" t="inlineStr">
        <is>
          <t>повторение</t>
        </is>
      </c>
      <c r="G451" s="9" t="inlineStr">
        <is>
          <t>через списки значений</t>
        </is>
      </c>
      <c r="H451" s="25" t="inlineStr">
        <is>
          <t>10+</t>
        </is>
      </c>
      <c r="I451" s="9">
        <f>IFERROR(INDEX('Темы × классы'!$R:$R,MATCH(E451,'Темы × классы'!$E:$E,0)),"")</f>
        <v/>
      </c>
      <c r="J451" s="9">
        <f>IFERROR(INDEX('Темы × классы'!$S:$S,MATCH(E451,'Темы × классы'!$E:$E,0))&amp;"","")</f>
        <v/>
      </c>
      <c r="K451" s="9" t="inlineStr">
        <is>
          <t>не начат</t>
        </is>
      </c>
      <c r="L451" s="9" t="inlineStr">
        <is>
          <t>Spotlight / 7 класс / Module 1 · Lifestyles / Present Simple vs Present Continuous / Present Simple vs Present Continuous: привычка vs сейчас</t>
        </is>
      </c>
    </row>
    <row r="452">
      <c r="A452" s="25" t="n">
        <v>7</v>
      </c>
      <c r="B452" s="9" t="inlineStr">
        <is>
          <t>Module 1 · Lifestyles</t>
        </is>
      </c>
      <c r="C452" s="9" t="inlineStr"/>
      <c r="D452" s="9" t="inlineStr">
        <is>
          <t>Present Simple vs Present Continuous</t>
        </is>
      </c>
      <c r="E452" s="23" t="inlineStr">
        <is>
          <t>Present Simple vs Present Continuous: повторяющиеся действия vs настоящий период (these days)</t>
        </is>
      </c>
      <c r="F452" s="26" t="inlineStr">
        <is>
          <t>новое</t>
        </is>
      </c>
      <c r="G452" s="9" t="inlineStr">
        <is>
          <t>через списки значений, без явного правила</t>
        </is>
      </c>
      <c r="H452" s="25" t="inlineStr">
        <is>
          <t>10+</t>
        </is>
      </c>
      <c r="I452" s="9">
        <f>IFERROR(INDEX('Темы × классы'!$R:$R,MATCH(E452,'Темы × классы'!$E:$E,0)),"")</f>
        <v/>
      </c>
      <c r="J452" s="9">
        <f>IFERROR(INDEX('Темы × классы'!$S:$S,MATCH(E452,'Темы × классы'!$E:$E,0))&amp;"","")</f>
        <v/>
      </c>
      <c r="K452" s="9" t="inlineStr">
        <is>
          <t>не начат</t>
        </is>
      </c>
      <c r="L452" s="9" t="inlineStr">
        <is>
          <t>Spotlight / 7 класс / Module 1 · Lifestyles / Present Simple vs Present Continuous / Present Simple vs Present Continuous: повторяющиеся действия vs настоящий период (these days)</t>
        </is>
      </c>
    </row>
    <row r="453">
      <c r="A453" s="25" t="n">
        <v>7</v>
      </c>
      <c r="B453" s="9" t="inlineStr">
        <is>
          <t>Module 1 · Lifestyles</t>
        </is>
      </c>
      <c r="C453" s="9" t="inlineStr"/>
      <c r="D453" s="9" t="inlineStr">
        <is>
          <t>Stative verbs</t>
        </is>
      </c>
      <c r="E453" s="23" t="inlineStr">
        <is>
          <t>Stative verbs: глаголы состояния не употребляются в Continuous</t>
        </is>
      </c>
      <c r="F453" s="25" t="inlineStr">
        <is>
          <t>повторение</t>
        </is>
      </c>
      <c r="G453" s="9" t="inlineStr"/>
      <c r="H453" s="25" t="inlineStr">
        <is>
          <t>10+</t>
        </is>
      </c>
      <c r="I453" s="9">
        <f>IFERROR(INDEX('Темы × классы'!$R:$R,MATCH(E453,'Темы × классы'!$E:$E,0)),"")</f>
        <v/>
      </c>
      <c r="J453" s="9">
        <f>IFERROR(INDEX('Темы × классы'!$S:$S,MATCH(E453,'Темы × классы'!$E:$E,0))&amp;"","")</f>
        <v/>
      </c>
      <c r="K453" s="9" t="inlineStr">
        <is>
          <t>не начат</t>
        </is>
      </c>
      <c r="L453" s="9" t="inlineStr">
        <is>
          <t>Spotlight / 7 класс / Module 1 · Lifestyles / Stative verbs / Stative verbs: глаголы состояния не употребляются в Continuous</t>
        </is>
      </c>
    </row>
    <row r="454">
      <c r="A454" s="25" t="n">
        <v>7</v>
      </c>
      <c r="B454" s="9" t="inlineStr">
        <is>
          <t>Module 1 · Lifestyles</t>
        </is>
      </c>
      <c r="C454" s="9" t="inlineStr"/>
      <c r="D454" s="9" t="inlineStr">
        <is>
          <t>Stative verbs</t>
        </is>
      </c>
      <c r="E454" s="23" t="inlineStr">
        <is>
          <t>Stative verbs: группы глаголов (восприятие, мышление, чувства, прочие)</t>
        </is>
      </c>
      <c r="F454" s="26" t="inlineStr">
        <is>
          <t>новое</t>
        </is>
      </c>
      <c r="G454" s="9" t="inlineStr"/>
      <c r="H454" s="25" t="inlineStr">
        <is>
          <t>10+</t>
        </is>
      </c>
      <c r="I454" s="9">
        <f>IFERROR(INDEX('Темы × классы'!$R:$R,MATCH(E454,'Темы × классы'!$E:$E,0)),"")</f>
        <v/>
      </c>
      <c r="J454" s="9">
        <f>IFERROR(INDEX('Темы × классы'!$S:$S,MATCH(E454,'Темы × классы'!$E:$E,0))&amp;"","")</f>
        <v/>
      </c>
      <c r="K454" s="9" t="inlineStr">
        <is>
          <t>не начат</t>
        </is>
      </c>
      <c r="L454" s="9" t="inlineStr">
        <is>
          <t>Spotlight / 7 класс / Module 1 · Lifestyles / Stative verbs / Stative verbs: группы глаголов (восприятие, мышление, чувства, прочие)</t>
        </is>
      </c>
    </row>
    <row r="455">
      <c r="A455" s="25" t="n">
        <v>7</v>
      </c>
      <c r="B455" s="9" t="inlineStr">
        <is>
          <t>Module 1 · Lifestyles</t>
        </is>
      </c>
      <c r="C455" s="9" t="inlineStr"/>
      <c r="D455" s="9" t="inlineStr">
        <is>
          <t>Stative verbs</t>
        </is>
      </c>
      <c r="E455" s="23" t="inlineStr">
        <is>
          <t>Stative verbs: разное значение в Simple и Continuous (think, have, see, taste…)</t>
        </is>
      </c>
      <c r="F455" s="26" t="inlineStr">
        <is>
          <t>новое</t>
        </is>
      </c>
      <c r="G455" s="9" t="inlineStr">
        <is>
          <t>think, have, see, taste, smell, appear, fit</t>
        </is>
      </c>
      <c r="H455" s="25" t="inlineStr">
        <is>
          <t>10+</t>
        </is>
      </c>
      <c r="I455" s="9">
        <f>IFERROR(INDEX('Темы × классы'!$R:$R,MATCH(E455,'Темы × классы'!$E:$E,0)),"")</f>
        <v/>
      </c>
      <c r="J455" s="9">
        <f>IFERROR(INDEX('Темы × классы'!$S:$S,MATCH(E455,'Темы × классы'!$E:$E,0))&amp;"","")</f>
        <v/>
      </c>
      <c r="K455" s="9" t="inlineStr">
        <is>
          <t>не начат</t>
        </is>
      </c>
      <c r="L455" s="9" t="inlineStr">
        <is>
          <t>Spotlight / 7 класс / Module 1 · Lifestyles / Stative verbs / Stative verbs: разное значение в Simple и Continuous (think, have, see, taste…)</t>
        </is>
      </c>
    </row>
    <row r="456">
      <c r="A456" s="25" t="n">
        <v>7</v>
      </c>
      <c r="B456" s="9" t="inlineStr">
        <is>
          <t>Module 1 · Lifestyles</t>
        </is>
      </c>
      <c r="C456" s="9" t="inlineStr"/>
      <c r="D456" s="9" t="inlineStr">
        <is>
          <t>Stative verbs</t>
        </is>
      </c>
      <c r="E456" s="23" t="inlineStr">
        <is>
          <t>Stative verbs: look, feel, hurt, ache — Simple = Continuous</t>
        </is>
      </c>
      <c r="F456" s="26" t="inlineStr">
        <is>
          <t>новое</t>
        </is>
      </c>
      <c r="G456" s="9" t="inlineStr">
        <is>
          <t>look, feel, ache</t>
        </is>
      </c>
      <c r="H456" s="25" t="inlineStr">
        <is>
          <t>10+</t>
        </is>
      </c>
      <c r="I456" s="9">
        <f>IFERROR(INDEX('Темы × классы'!$R:$R,MATCH(E456,'Темы × классы'!$E:$E,0)),"")</f>
        <v/>
      </c>
      <c r="J456" s="9">
        <f>IFERROR(INDEX('Темы × классы'!$S:$S,MATCH(E456,'Темы × классы'!$E:$E,0))&amp;"","")</f>
        <v/>
      </c>
      <c r="K456" s="9" t="inlineStr">
        <is>
          <t>не начат</t>
        </is>
      </c>
      <c r="L456" s="9" t="inlineStr">
        <is>
          <t>Spotlight / 7 класс / Module 1 · Lifestyles / Stative verbs / Stative verbs: look, feel, hurt, ache — Simple = Continuous</t>
        </is>
      </c>
    </row>
    <row r="457">
      <c r="A457" s="25" t="n">
        <v>7</v>
      </c>
      <c r="B457" s="9" t="inlineStr">
        <is>
          <t>Module 1 · Lifestyles</t>
        </is>
      </c>
      <c r="C457" s="9" t="inlineStr"/>
      <c r="D457" s="9" t="inlineStr">
        <is>
          <t>should/shouldn't</t>
        </is>
      </c>
      <c r="E457" s="23" t="inlineStr">
        <is>
          <t>should/shouldn't: значение — совет, рекомендация; утверждение should + глагол без to</t>
        </is>
      </c>
      <c r="F457" s="26" t="inlineStr">
        <is>
          <t>новое</t>
        </is>
      </c>
      <c r="G457" s="9" t="inlineStr">
        <is>
          <t>не меняется по временам; + bare infinitive</t>
        </is>
      </c>
      <c r="H457" s="25" t="inlineStr">
        <is>
          <t>10+</t>
        </is>
      </c>
      <c r="I457" s="9">
        <f>IFERROR(INDEX('Темы × классы'!$R:$R,MATCH(E457,'Темы × классы'!$E:$E,0)),"")</f>
        <v/>
      </c>
      <c r="J457" s="9">
        <f>IFERROR(INDEX('Темы × классы'!$S:$S,MATCH(E457,'Темы × классы'!$E:$E,0))&amp;"","")</f>
        <v/>
      </c>
      <c r="K457" s="9" t="inlineStr">
        <is>
          <t>не начат</t>
        </is>
      </c>
      <c r="L457" s="9" t="inlineStr">
        <is>
          <t>Spotlight / 7 класс / Module 1 · Lifestyles / should/shouldn't / should/shouldn't: значение — совет, рекомендация; утверждение should + глагол без to</t>
        </is>
      </c>
    </row>
    <row r="458">
      <c r="A458" s="25" t="n">
        <v>7</v>
      </c>
      <c r="B458" s="9" t="inlineStr">
        <is>
          <t>Module 1 · Lifestyles</t>
        </is>
      </c>
      <c r="C458" s="9" t="inlineStr"/>
      <c r="D458" s="9" t="inlineStr">
        <is>
          <t>should/shouldn't</t>
        </is>
      </c>
      <c r="E458" s="23" t="inlineStr">
        <is>
          <t>should/shouldn't: отрицание — shouldn't</t>
        </is>
      </c>
      <c r="F458" s="26" t="inlineStr">
        <is>
          <t>новое</t>
        </is>
      </c>
      <c r="G458" s="9" t="inlineStr">
        <is>
          <t>should not / shouldn't</t>
        </is>
      </c>
      <c r="H458" s="25" t="inlineStr">
        <is>
          <t>10+</t>
        </is>
      </c>
      <c r="I458" s="9">
        <f>IFERROR(INDEX('Темы × классы'!$R:$R,MATCH(E458,'Темы × классы'!$E:$E,0)),"")</f>
        <v/>
      </c>
      <c r="J458" s="9">
        <f>IFERROR(INDEX('Темы × классы'!$S:$S,MATCH(E458,'Темы × классы'!$E:$E,0))&amp;"","")</f>
        <v/>
      </c>
      <c r="K458" s="9" t="inlineStr">
        <is>
          <t>не начат</t>
        </is>
      </c>
      <c r="L458" s="9" t="inlineStr">
        <is>
          <t>Spotlight / 7 класс / Module 1 · Lifestyles / should/shouldn't / should/shouldn't: отрицание — shouldn't</t>
        </is>
      </c>
    </row>
    <row r="459">
      <c r="A459" s="25" t="n">
        <v>7</v>
      </c>
      <c r="B459" s="9" t="inlineStr">
        <is>
          <t>Module 1 · Lifestyles</t>
        </is>
      </c>
      <c r="C459" s="9" t="inlineStr"/>
      <c r="D459" s="9" t="inlineStr">
        <is>
          <t>should/shouldn't</t>
        </is>
      </c>
      <c r="E459" s="23" t="inlineStr">
        <is>
          <t>should/shouldn't: вопросы — Should I…?</t>
        </is>
      </c>
      <c r="F459" s="26" t="inlineStr">
        <is>
          <t>новое</t>
        </is>
      </c>
      <c r="G459" s="9" t="inlineStr">
        <is>
          <t>should перед подлежащим</t>
        </is>
      </c>
      <c r="H459" s="25" t="inlineStr">
        <is>
          <t>10+</t>
        </is>
      </c>
      <c r="I459" s="9">
        <f>IFERROR(INDEX('Темы × классы'!$R:$R,MATCH(E459,'Темы × классы'!$E:$E,0)),"")</f>
        <v/>
      </c>
      <c r="J459" s="9">
        <f>IFERROR(INDEX('Темы × классы'!$S:$S,MATCH(E459,'Темы × классы'!$E:$E,0))&amp;"","")</f>
        <v/>
      </c>
      <c r="K459" s="9" t="inlineStr">
        <is>
          <t>не начат</t>
        </is>
      </c>
      <c r="L459" s="9" t="inlineStr">
        <is>
          <t>Spotlight / 7 класс / Module 1 · Lifestyles / should/shouldn't / should/shouldn't: вопросы — Should I…?</t>
        </is>
      </c>
    </row>
    <row r="460">
      <c r="A460" s="25" t="n">
        <v>7</v>
      </c>
      <c r="B460" s="9" t="inlineStr">
        <is>
          <t>Module 2 · Tale time</t>
        </is>
      </c>
      <c r="C460" s="9" t="inlineStr"/>
      <c r="D460" s="9" t="inlineStr">
        <is>
          <t>Past Simple</t>
        </is>
      </c>
      <c r="E460" s="23" t="inlineStr">
        <is>
          <t>Past Simple: правильные глаголы — утверждение (-ed)</t>
        </is>
      </c>
      <c r="F460" s="25" t="inlineStr">
        <is>
          <t>повторение</t>
        </is>
      </c>
      <c r="G460" s="9" t="inlineStr"/>
      <c r="H460" s="25" t="inlineStr">
        <is>
          <t>10+</t>
        </is>
      </c>
      <c r="I460" s="9">
        <f>IFERROR(INDEX('Темы × классы'!$R:$R,MATCH(E460,'Темы × классы'!$E:$E,0)),"")</f>
        <v/>
      </c>
      <c r="J460" s="9">
        <f>IFERROR(INDEX('Темы × классы'!$S:$S,MATCH(E460,'Темы × классы'!$E:$E,0))&amp;"","")</f>
        <v/>
      </c>
      <c r="K460" s="9" t="inlineStr">
        <is>
          <t>не начат</t>
        </is>
      </c>
      <c r="L460" s="9" t="inlineStr">
        <is>
          <t>Spotlight / 7 класс / Module 2 · Tale time / Past Simple / Past Simple: правильные глаголы — утверждение (-ed)</t>
        </is>
      </c>
    </row>
    <row r="461">
      <c r="A461" s="25" t="n">
        <v>7</v>
      </c>
      <c r="B461" s="9" t="inlineStr">
        <is>
          <t>Module 2 · Tale time</t>
        </is>
      </c>
      <c r="C461" s="9" t="inlineStr"/>
      <c r="D461" s="9" t="inlineStr">
        <is>
          <t>Past Simple</t>
        </is>
      </c>
      <c r="E461" s="23" t="inlineStr">
        <is>
          <t>Past Simple: правильные глаголы — отрицание (didn't + V)</t>
        </is>
      </c>
      <c r="F461" s="25" t="inlineStr">
        <is>
          <t>повторение</t>
        </is>
      </c>
      <c r="G461" s="9" t="inlineStr"/>
      <c r="H461" s="25" t="inlineStr">
        <is>
          <t>10+</t>
        </is>
      </c>
      <c r="I461" s="9">
        <f>IFERROR(INDEX('Темы × классы'!$R:$R,MATCH(E461,'Темы × классы'!$E:$E,0)),"")</f>
        <v/>
      </c>
      <c r="J461" s="9">
        <f>IFERROR(INDEX('Темы × классы'!$S:$S,MATCH(E461,'Темы × классы'!$E:$E,0))&amp;"","")</f>
        <v/>
      </c>
      <c r="K461" s="9" t="inlineStr">
        <is>
          <t>не начат</t>
        </is>
      </c>
      <c r="L461" s="9" t="inlineStr">
        <is>
          <t>Spotlight / 7 класс / Module 2 · Tale time / Past Simple / Past Simple: правильные глаголы — отрицание (didn't + V)</t>
        </is>
      </c>
    </row>
    <row r="462">
      <c r="A462" s="25" t="n">
        <v>7</v>
      </c>
      <c r="B462" s="9" t="inlineStr">
        <is>
          <t>Module 2 · Tale time</t>
        </is>
      </c>
      <c r="C462" s="9" t="inlineStr"/>
      <c r="D462" s="9" t="inlineStr">
        <is>
          <t>Past Simple</t>
        </is>
      </c>
      <c r="E462" s="23" t="inlineStr">
        <is>
          <t>Past Simple: правильные глаголы — вопросы (Did …?)</t>
        </is>
      </c>
      <c r="F462" s="25" t="inlineStr">
        <is>
          <t>повторение</t>
        </is>
      </c>
      <c r="G462" s="9" t="inlineStr"/>
      <c r="H462" s="25" t="inlineStr">
        <is>
          <t>10+</t>
        </is>
      </c>
      <c r="I462" s="9">
        <f>IFERROR(INDEX('Темы × классы'!$R:$R,MATCH(E462,'Темы × классы'!$E:$E,0)),"")</f>
        <v/>
      </c>
      <c r="J462" s="9">
        <f>IFERROR(INDEX('Темы × классы'!$S:$S,MATCH(E462,'Темы × классы'!$E:$E,0))&amp;"","")</f>
        <v/>
      </c>
      <c r="K462" s="9" t="inlineStr">
        <is>
          <t>не начат</t>
        </is>
      </c>
      <c r="L462" s="9" t="inlineStr">
        <is>
          <t>Spotlight / 7 класс / Module 2 · Tale time / Past Simple / Past Simple: правильные глаголы — вопросы (Did …?)</t>
        </is>
      </c>
    </row>
    <row r="463">
      <c r="A463" s="25" t="n">
        <v>7</v>
      </c>
      <c r="B463" s="9" t="inlineStr">
        <is>
          <t>Module 2 · Tale time</t>
        </is>
      </c>
      <c r="C463" s="9" t="inlineStr"/>
      <c r="D463" s="9" t="inlineStr">
        <is>
          <t>Past Simple</t>
        </is>
      </c>
      <c r="E463" s="23" t="inlineStr">
        <is>
          <t>Past Simple: краткие ответы (Yes, I did / No, I didn't)</t>
        </is>
      </c>
      <c r="F463" s="25" t="inlineStr">
        <is>
          <t>повторение</t>
        </is>
      </c>
      <c r="G463" s="9" t="inlineStr"/>
      <c r="H463" s="25" t="inlineStr">
        <is>
          <t>10+</t>
        </is>
      </c>
      <c r="I463" s="9">
        <f>IFERROR(INDEX('Темы × классы'!$R:$R,MATCH(E463,'Темы × классы'!$E:$E,0)),"")</f>
        <v/>
      </c>
      <c r="J463" s="9">
        <f>IFERROR(INDEX('Темы × классы'!$S:$S,MATCH(E463,'Темы × классы'!$E:$E,0))&amp;"","")</f>
        <v/>
      </c>
      <c r="K463" s="9" t="inlineStr">
        <is>
          <t>не начат</t>
        </is>
      </c>
      <c r="L463" s="9" t="inlineStr">
        <is>
          <t>Spotlight / 7 класс / Module 2 · Tale time / Past Simple / Past Simple: краткие ответы (Yes, I did / No, I didn't)</t>
        </is>
      </c>
    </row>
    <row r="464">
      <c r="A464" s="25" t="n">
        <v>7</v>
      </c>
      <c r="B464" s="9" t="inlineStr">
        <is>
          <t>Module 2 · Tale time</t>
        </is>
      </c>
      <c r="C464" s="9" t="inlineStr"/>
      <c r="D464" s="9" t="inlineStr">
        <is>
          <t>Past Simple</t>
        </is>
      </c>
      <c r="E464" s="23" t="inlineStr">
        <is>
          <t>Past Simple: орфография -ed</t>
        </is>
      </c>
      <c r="F464" s="25" t="inlineStr">
        <is>
          <t>повторение</t>
        </is>
      </c>
      <c r="G464" s="9" t="inlineStr">
        <is>
          <t>loved, tried, dropped, cancelled</t>
        </is>
      </c>
      <c r="H464" s="25" t="inlineStr">
        <is>
          <t>10+</t>
        </is>
      </c>
      <c r="I464" s="9">
        <f>IFERROR(INDEX('Темы × классы'!$R:$R,MATCH(E464,'Темы × классы'!$E:$E,0)),"")</f>
        <v/>
      </c>
      <c r="J464" s="9">
        <f>IFERROR(INDEX('Темы × классы'!$S:$S,MATCH(E464,'Темы × классы'!$E:$E,0))&amp;"","")</f>
        <v/>
      </c>
      <c r="K464" s="9" t="inlineStr">
        <is>
          <t>не начат</t>
        </is>
      </c>
      <c r="L464" s="9" t="inlineStr">
        <is>
          <t>Spotlight / 7 класс / Module 2 · Tale time / Past Simple / Past Simple: орфография -ed</t>
        </is>
      </c>
    </row>
    <row r="465">
      <c r="A465" s="25" t="n">
        <v>7</v>
      </c>
      <c r="B465" s="9" t="inlineStr">
        <is>
          <t>Module 2 · Tale time</t>
        </is>
      </c>
      <c r="C465" s="9" t="inlineStr"/>
      <c r="D465" s="9" t="inlineStr">
        <is>
          <t>Past Simple</t>
        </is>
      </c>
      <c r="E465" s="23" t="inlineStr">
        <is>
          <t>Past Simple: неправильные глаголы — утверждение</t>
        </is>
      </c>
      <c r="F465" s="25" t="inlineStr">
        <is>
          <t>повторение</t>
        </is>
      </c>
      <c r="G465" s="9" t="inlineStr"/>
      <c r="H465" s="25" t="inlineStr">
        <is>
          <t>10+</t>
        </is>
      </c>
      <c r="I465" s="9">
        <f>IFERROR(INDEX('Темы × классы'!$R:$R,MATCH(E465,'Темы × классы'!$E:$E,0)),"")</f>
        <v/>
      </c>
      <c r="J465" s="9">
        <f>IFERROR(INDEX('Темы × классы'!$S:$S,MATCH(E465,'Темы × классы'!$E:$E,0))&amp;"","")</f>
        <v/>
      </c>
      <c r="K465" s="9" t="inlineStr">
        <is>
          <t>не начат</t>
        </is>
      </c>
      <c r="L465" s="9" t="inlineStr">
        <is>
          <t>Spotlight / 7 класс / Module 2 · Tale time / Past Simple / Past Simple: неправильные глаголы — утверждение</t>
        </is>
      </c>
    </row>
    <row r="466">
      <c r="A466" s="25" t="n">
        <v>7</v>
      </c>
      <c r="B466" s="9" t="inlineStr">
        <is>
          <t>Module 2 · Tale time</t>
        </is>
      </c>
      <c r="C466" s="9" t="inlineStr"/>
      <c r="D466" s="9" t="inlineStr">
        <is>
          <t>Past Simple</t>
        </is>
      </c>
      <c r="E466" s="23" t="inlineStr">
        <is>
          <t>Past Simple: неправильные глаголы — отрицание (didn't go)</t>
        </is>
      </c>
      <c r="F466" s="25" t="inlineStr">
        <is>
          <t>повторение</t>
        </is>
      </c>
      <c r="G466" s="9" t="inlineStr"/>
      <c r="H466" s="25" t="inlineStr">
        <is>
          <t>10+</t>
        </is>
      </c>
      <c r="I466" s="9">
        <f>IFERROR(INDEX('Темы × классы'!$R:$R,MATCH(E466,'Темы × классы'!$E:$E,0)),"")</f>
        <v/>
      </c>
      <c r="J466" s="9">
        <f>IFERROR(INDEX('Темы × классы'!$S:$S,MATCH(E466,'Темы × классы'!$E:$E,0))&amp;"","")</f>
        <v/>
      </c>
      <c r="K466" s="9" t="inlineStr">
        <is>
          <t>не начат</t>
        </is>
      </c>
      <c r="L466" s="9" t="inlineStr">
        <is>
          <t>Spotlight / 7 класс / Module 2 · Tale time / Past Simple / Past Simple: неправильные глаголы — отрицание (didn't go)</t>
        </is>
      </c>
    </row>
    <row r="467">
      <c r="A467" s="25" t="n">
        <v>7</v>
      </c>
      <c r="B467" s="9" t="inlineStr">
        <is>
          <t>Module 2 · Tale time</t>
        </is>
      </c>
      <c r="C467" s="9" t="inlineStr"/>
      <c r="D467" s="9" t="inlineStr">
        <is>
          <t>Past Simple</t>
        </is>
      </c>
      <c r="E467" s="23" t="inlineStr">
        <is>
          <t>Past Simple: неправильные глаголы — вопросы (Did … go?)</t>
        </is>
      </c>
      <c r="F467" s="25" t="inlineStr">
        <is>
          <t>повторение</t>
        </is>
      </c>
      <c r="G467" s="9" t="inlineStr"/>
      <c r="H467" s="25" t="inlineStr">
        <is>
          <t>10+</t>
        </is>
      </c>
      <c r="I467" s="9">
        <f>IFERROR(INDEX('Темы × классы'!$R:$R,MATCH(E467,'Темы × классы'!$E:$E,0)),"")</f>
        <v/>
      </c>
      <c r="J467" s="9">
        <f>IFERROR(INDEX('Темы × классы'!$S:$S,MATCH(E467,'Темы × классы'!$E:$E,0))&amp;"","")</f>
        <v/>
      </c>
      <c r="K467" s="9" t="inlineStr">
        <is>
          <t>не начат</t>
        </is>
      </c>
      <c r="L467" s="9" t="inlineStr">
        <is>
          <t>Spotlight / 7 класс / Module 2 · Tale time / Past Simple / Past Simple: неправильные глаголы — вопросы (Did … go?)</t>
        </is>
      </c>
    </row>
    <row r="468">
      <c r="A468" s="25" t="n">
        <v>7</v>
      </c>
      <c r="B468" s="9" t="inlineStr">
        <is>
          <t>Module 2 · Tale time</t>
        </is>
      </c>
      <c r="C468" s="9" t="inlineStr"/>
      <c r="D468" s="9" t="inlineStr">
        <is>
          <t>Past Simple</t>
        </is>
      </c>
      <c r="E468" s="23" t="inlineStr">
        <is>
          <t>Past Simple: значение — действие в прошлом (yesterday, ago)</t>
        </is>
      </c>
      <c r="F468" s="27" t="inlineStr">
        <is>
          <t>расширение</t>
        </is>
      </c>
      <c r="G468" s="9" t="inlineStr">
        <is>
          <t>новые сигнальные слова: the other day, in 2006</t>
        </is>
      </c>
      <c r="H468" s="25" t="inlineStr">
        <is>
          <t>10+</t>
        </is>
      </c>
      <c r="I468" s="9">
        <f>IFERROR(INDEX('Темы × классы'!$R:$R,MATCH(E468,'Темы × классы'!$E:$E,0)),"")</f>
        <v/>
      </c>
      <c r="J468" s="9">
        <f>IFERROR(INDEX('Темы × классы'!$S:$S,MATCH(E468,'Темы × классы'!$E:$E,0))&amp;"","")</f>
        <v/>
      </c>
      <c r="K468" s="9" t="inlineStr">
        <is>
          <t>не начат</t>
        </is>
      </c>
      <c r="L468" s="9" t="inlineStr">
        <is>
          <t>Spotlight / 7 класс / Module 2 · Tale time / Past Simple / Past Simple: значение — действие в прошлом (yesterday, ago)</t>
        </is>
      </c>
    </row>
    <row r="469">
      <c r="A469" s="25" t="n">
        <v>7</v>
      </c>
      <c r="B469" s="9" t="inlineStr">
        <is>
          <t>Module 2 · Tale time</t>
        </is>
      </c>
      <c r="C469" s="9" t="inlineStr"/>
      <c r="D469" s="9" t="inlineStr">
        <is>
          <t>used to</t>
        </is>
      </c>
      <c r="E469" s="23" t="inlineStr">
        <is>
          <t>used to: значение — прошлые привычки и регулярные действия</t>
        </is>
      </c>
      <c r="F469" s="26" t="inlineStr">
        <is>
          <t>новое</t>
        </is>
      </c>
      <c r="G469" s="9" t="inlineStr">
        <is>
          <t>used to + V; может заменяться Past Simple; −/? не даны</t>
        </is>
      </c>
      <c r="H469" s="25" t="inlineStr">
        <is>
          <t>10+</t>
        </is>
      </c>
      <c r="I469" s="9">
        <f>IFERROR(INDEX('Темы × классы'!$R:$R,MATCH(E469,'Темы × классы'!$E:$E,0)),"")</f>
        <v/>
      </c>
      <c r="J469" s="9">
        <f>IFERROR(INDEX('Темы × классы'!$S:$S,MATCH(E469,'Темы × классы'!$E:$E,0))&amp;"","")</f>
        <v/>
      </c>
      <c r="K469" s="9" t="inlineStr">
        <is>
          <t>не начат</t>
        </is>
      </c>
      <c r="L469" s="9" t="inlineStr">
        <is>
          <t>Spotlight / 7 класс / Module 2 · Tale time / used to / used to: значение — прошлые привычки и регулярные действия</t>
        </is>
      </c>
    </row>
    <row r="470">
      <c r="A470" s="25" t="n">
        <v>7</v>
      </c>
      <c r="B470" s="9" t="inlineStr">
        <is>
          <t>Module 2 · Tale time</t>
        </is>
      </c>
      <c r="C470" s="9" t="inlineStr"/>
      <c r="D470" s="9" t="inlineStr">
        <is>
          <t>used to</t>
        </is>
      </c>
      <c r="E470" s="23" t="inlineStr">
        <is>
          <t>used to: значение — прошлые состояния, которых больше нет</t>
        </is>
      </c>
      <c r="F470" s="26" t="inlineStr">
        <is>
          <t>новое</t>
        </is>
      </c>
      <c r="G470" s="9" t="inlineStr">
        <is>
          <t>He used to live in Spain</t>
        </is>
      </c>
      <c r="H470" s="25" t="inlineStr">
        <is>
          <t>10+</t>
        </is>
      </c>
      <c r="I470" s="9">
        <f>IFERROR(INDEX('Темы × классы'!$R:$R,MATCH(E470,'Темы × классы'!$E:$E,0)),"")</f>
        <v/>
      </c>
      <c r="J470" s="9">
        <f>IFERROR(INDEX('Темы × классы'!$S:$S,MATCH(E470,'Темы × классы'!$E:$E,0))&amp;"","")</f>
        <v/>
      </c>
      <c r="K470" s="9" t="inlineStr">
        <is>
          <t>не начат</t>
        </is>
      </c>
      <c r="L470" s="9" t="inlineStr">
        <is>
          <t>Spotlight / 7 класс / Module 2 · Tale time / used to / used to: значение — прошлые состояния, которых больше нет</t>
        </is>
      </c>
    </row>
    <row r="471">
      <c r="A471" s="25" t="n">
        <v>7</v>
      </c>
      <c r="B471" s="9" t="inlineStr">
        <is>
          <t>Module 2 · Tale time</t>
        </is>
      </c>
      <c r="C471" s="9" t="inlineStr"/>
      <c r="D471" s="9" t="inlineStr">
        <is>
          <t>used to</t>
        </is>
      </c>
      <c r="E471" s="23" t="inlineStr">
        <is>
          <t>used to vs Past Simple: однократное действие — только Past Simple</t>
        </is>
      </c>
      <c r="F471" s="26" t="inlineStr">
        <is>
          <t>новое</t>
        </is>
      </c>
      <c r="G471" s="9" t="inlineStr">
        <is>
          <t>NOT: He used to walk to work yesterday</t>
        </is>
      </c>
      <c r="H471" s="25" t="inlineStr">
        <is>
          <t>10+</t>
        </is>
      </c>
      <c r="I471" s="9">
        <f>IFERROR(INDEX('Темы × классы'!$R:$R,MATCH(E471,'Темы × классы'!$E:$E,0)),"")</f>
        <v/>
      </c>
      <c r="J471" s="9">
        <f>IFERROR(INDEX('Темы × классы'!$S:$S,MATCH(E471,'Темы × классы'!$E:$E,0))&amp;"","")</f>
        <v/>
      </c>
      <c r="K471" s="9" t="inlineStr">
        <is>
          <t>не начат</t>
        </is>
      </c>
      <c r="L471" s="9" t="inlineStr">
        <is>
          <t>Spotlight / 7 класс / Module 2 · Tale time / used to / used to vs Past Simple: однократное действие — только Past Simple</t>
        </is>
      </c>
    </row>
    <row r="472">
      <c r="A472" s="25" t="n">
        <v>7</v>
      </c>
      <c r="B472" s="9" t="inlineStr">
        <is>
          <t>Module 3 · Profiles</t>
        </is>
      </c>
      <c r="C472" s="9" t="inlineStr"/>
      <c r="D472" s="9" t="inlineStr">
        <is>
          <t>Adjectives (general)</t>
        </is>
      </c>
      <c r="E472" s="23" t="inlineStr">
        <is>
          <t>Adjectives: не изменяются по числам</t>
        </is>
      </c>
      <c r="F472" s="26" t="inlineStr">
        <is>
          <t>новое</t>
        </is>
      </c>
      <c r="G472" s="9" t="inlineStr">
        <is>
          <t>a small car – small cars</t>
        </is>
      </c>
      <c r="H472" s="25" t="inlineStr">
        <is>
          <t>10+</t>
        </is>
      </c>
      <c r="I472" s="9">
        <f>IFERROR(INDEX('Темы × классы'!$R:$R,MATCH(E472,'Темы × классы'!$E:$E,0)),"")</f>
        <v/>
      </c>
      <c r="J472" s="9">
        <f>IFERROR(INDEX('Темы × классы'!$S:$S,MATCH(E472,'Темы × классы'!$E:$E,0))&amp;"","")</f>
        <v/>
      </c>
      <c r="K472" s="9" t="inlineStr">
        <is>
          <t>не начат</t>
        </is>
      </c>
      <c r="L472" s="9" t="inlineStr">
        <is>
          <t>Spotlight / 7 класс / Module 3 · Profiles / Adjectives (general) / Adjectives: не изменяются по числам</t>
        </is>
      </c>
    </row>
    <row r="473">
      <c r="A473" s="25" t="n">
        <v>7</v>
      </c>
      <c r="B473" s="9" t="inlineStr">
        <is>
          <t>Module 3 · Profiles</t>
        </is>
      </c>
      <c r="C473" s="9" t="inlineStr"/>
      <c r="D473" s="9" t="inlineStr">
        <is>
          <t>Adjectives (general)</t>
        </is>
      </c>
      <c r="E473" s="23" t="inlineStr">
        <is>
          <t>Adjectives: место — перед существительным, после be / look, smell, sound, feel, taste</t>
        </is>
      </c>
      <c r="F473" s="26" t="inlineStr">
        <is>
          <t>новое</t>
        </is>
      </c>
      <c r="G473" s="9" t="inlineStr">
        <is>
          <t>Mary is young. You look tired.</t>
        </is>
      </c>
      <c r="H473" s="25" t="inlineStr">
        <is>
          <t>10+</t>
        </is>
      </c>
      <c r="I473" s="9">
        <f>IFERROR(INDEX('Темы × классы'!$R:$R,MATCH(E473,'Темы × классы'!$E:$E,0)),"")</f>
        <v/>
      </c>
      <c r="J473" s="9">
        <f>IFERROR(INDEX('Темы × классы'!$S:$S,MATCH(E473,'Темы × классы'!$E:$E,0))&amp;"","")</f>
        <v/>
      </c>
      <c r="K473" s="9" t="inlineStr">
        <is>
          <t>не начат</t>
        </is>
      </c>
      <c r="L473" s="9" t="inlineStr">
        <is>
          <t>Spotlight / 7 класс / Module 3 · Profiles / Adjectives (general) / Adjectives: место — перед существительным, после be / look, smell, sound, feel, taste</t>
        </is>
      </c>
    </row>
    <row r="474">
      <c r="A474" s="25" t="n">
        <v>7</v>
      </c>
      <c r="B474" s="9" t="inlineStr">
        <is>
          <t>Module 3 · Profiles</t>
        </is>
      </c>
      <c r="C474" s="9" t="inlineStr"/>
      <c r="D474" s="9" t="inlineStr">
        <is>
          <t>Adjectives (general)</t>
        </is>
      </c>
      <c r="E474" s="23" t="inlineStr">
        <is>
          <t>Adjectives: мнение vs объективные характеристики</t>
        </is>
      </c>
      <c r="F474" s="26" t="inlineStr">
        <is>
          <t>новое</t>
        </is>
      </c>
      <c r="G474" s="9" t="inlineStr">
        <is>
          <t>beautiful, good vs long, strong, young</t>
        </is>
      </c>
      <c r="H474" s="25" t="inlineStr">
        <is>
          <t>10+</t>
        </is>
      </c>
      <c r="I474" s="9">
        <f>IFERROR(INDEX('Темы × классы'!$R:$R,MATCH(E474,'Темы × классы'!$E:$E,0)),"")</f>
        <v/>
      </c>
      <c r="J474" s="9">
        <f>IFERROR(INDEX('Темы × классы'!$S:$S,MATCH(E474,'Темы × классы'!$E:$E,0))&amp;"","")</f>
        <v/>
      </c>
      <c r="K474" s="9" t="inlineStr">
        <is>
          <t>не начат</t>
        </is>
      </c>
      <c r="L474" s="9" t="inlineStr">
        <is>
          <t>Spotlight / 7 класс / Module 3 · Profiles / Adjectives (general) / Adjectives: мнение vs объективные характеристики</t>
        </is>
      </c>
    </row>
    <row r="475">
      <c r="A475" s="25" t="n">
        <v>7</v>
      </c>
      <c r="B475" s="9" t="inlineStr">
        <is>
          <t>Module 3 · Profiles</t>
        </is>
      </c>
      <c r="C475" s="9" t="inlineStr"/>
      <c r="D475" s="9" t="inlineStr">
        <is>
          <t>Adjectives (order)</t>
        </is>
      </c>
      <c r="E475" s="23" t="inlineStr">
        <is>
          <t>Adjectives (order): мнение перед объективными характеристиками</t>
        </is>
      </c>
      <c r="F475" s="26" t="inlineStr">
        <is>
          <t>новое</t>
        </is>
      </c>
      <c r="G475" s="9" t="inlineStr">
        <is>
          <t>a colourful summer dress; обычно не более трёх</t>
        </is>
      </c>
      <c r="H475" s="25" t="inlineStr">
        <is>
          <t>10+</t>
        </is>
      </c>
      <c r="I475" s="9">
        <f>IFERROR(INDEX('Темы × классы'!$R:$R,MATCH(E475,'Темы × классы'!$E:$E,0)),"")</f>
        <v/>
      </c>
      <c r="J475" s="9">
        <f>IFERROR(INDEX('Темы × классы'!$S:$S,MATCH(E475,'Темы × классы'!$E:$E,0))&amp;"","")</f>
        <v/>
      </c>
      <c r="K475" s="9" t="inlineStr">
        <is>
          <t>не начат</t>
        </is>
      </c>
      <c r="L475" s="9" t="inlineStr">
        <is>
          <t>Spotlight / 7 класс / Module 3 · Profiles / Adjectives (order) / Adjectives (order): мнение перед объективными характеристиками</t>
        </is>
      </c>
    </row>
    <row r="476">
      <c r="A476" s="25" t="n">
        <v>7</v>
      </c>
      <c r="B476" s="9" t="inlineStr">
        <is>
          <t>Module 3 · Profiles</t>
        </is>
      </c>
      <c r="C476" s="9" t="inlineStr"/>
      <c r="D476" s="9" t="inlineStr">
        <is>
          <t>Adjectives (order)</t>
        </is>
      </c>
      <c r="E476" s="23" t="inlineStr">
        <is>
          <t>Adjectives (order): размер – возраст – форма – цвет – происхождение – материал</t>
        </is>
      </c>
      <c r="F476" s="26" t="inlineStr">
        <is>
          <t>новое</t>
        </is>
      </c>
      <c r="G476" s="9" t="inlineStr">
        <is>
          <t>Size, Age, Shape, Colour, Origin, Material; узор не выделен</t>
        </is>
      </c>
      <c r="H476" s="25" t="inlineStr">
        <is>
          <t>10+</t>
        </is>
      </c>
      <c r="I476" s="9">
        <f>IFERROR(INDEX('Темы × классы'!$R:$R,MATCH(E476,'Темы × классы'!$E:$E,0)),"")</f>
        <v/>
      </c>
      <c r="J476" s="9">
        <f>IFERROR(INDEX('Темы × классы'!$S:$S,MATCH(E476,'Темы × классы'!$E:$E,0))&amp;"","")</f>
        <v/>
      </c>
      <c r="K476" s="9" t="inlineStr">
        <is>
          <t>не начат</t>
        </is>
      </c>
      <c r="L476" s="9" t="inlineStr">
        <is>
          <t>Spotlight / 7 класс / Module 3 · Profiles / Adjectives (order) / Adjectives (order): размер – возраст – форма – цвет – происхождение – материал</t>
        </is>
      </c>
    </row>
    <row r="477">
      <c r="A477" s="25" t="n">
        <v>7</v>
      </c>
      <c r="B477" s="9" t="inlineStr">
        <is>
          <t>Module 3 · Profiles</t>
        </is>
      </c>
      <c r="C477" s="9" t="inlineStr"/>
      <c r="D477" s="9" t="inlineStr">
        <is>
          <t>Adjectives -ed/-ing</t>
        </is>
      </c>
      <c r="E477" s="23" t="inlineStr">
        <is>
          <t>Adjectives -ed/-ing: -ing — каков предмет/явление (amazing)</t>
        </is>
      </c>
      <c r="F477" s="26" t="inlineStr">
        <is>
          <t>новое</t>
        </is>
      </c>
      <c r="G477" s="9" t="inlineStr">
        <is>
          <t>amazing</t>
        </is>
      </c>
      <c r="H477" s="25" t="inlineStr">
        <is>
          <t>10+</t>
        </is>
      </c>
      <c r="I477" s="9">
        <f>IFERROR(INDEX('Темы × классы'!$R:$R,MATCH(E477,'Темы × классы'!$E:$E,0)),"")</f>
        <v/>
      </c>
      <c r="J477" s="9">
        <f>IFERROR(INDEX('Темы × классы'!$S:$S,MATCH(E477,'Темы × классы'!$E:$E,0))&amp;"","")</f>
        <v/>
      </c>
      <c r="K477" s="9" t="inlineStr">
        <is>
          <t>не начат</t>
        </is>
      </c>
      <c r="L477" s="9" t="inlineStr">
        <is>
          <t>Spotlight / 7 класс / Module 3 · Profiles / Adjectives -ed/-ing / Adjectives -ed/-ing: -ing — каков предмет/явление (amazing)</t>
        </is>
      </c>
    </row>
    <row r="478">
      <c r="A478" s="25" t="n">
        <v>7</v>
      </c>
      <c r="B478" s="9" t="inlineStr">
        <is>
          <t>Module 3 · Profiles</t>
        </is>
      </c>
      <c r="C478" s="9" t="inlineStr"/>
      <c r="D478" s="9" t="inlineStr">
        <is>
          <t>Adjectives -ed/-ing</t>
        </is>
      </c>
      <c r="E478" s="23" t="inlineStr">
        <is>
          <t>Adjectives -ed/-ing: -ed — что чувствует человек (amazed)</t>
        </is>
      </c>
      <c r="F478" s="26" t="inlineStr">
        <is>
          <t>новое</t>
        </is>
      </c>
      <c r="G478" s="9" t="inlineStr">
        <is>
          <t>shocked, amazed</t>
        </is>
      </c>
      <c r="H478" s="25" t="inlineStr">
        <is>
          <t>10+</t>
        </is>
      </c>
      <c r="I478" s="9">
        <f>IFERROR(INDEX('Темы × классы'!$R:$R,MATCH(E478,'Темы × классы'!$E:$E,0)),"")</f>
        <v/>
      </c>
      <c r="J478" s="9">
        <f>IFERROR(INDEX('Темы × классы'!$S:$S,MATCH(E478,'Темы × классы'!$E:$E,0))&amp;"","")</f>
        <v/>
      </c>
      <c r="K478" s="9" t="inlineStr">
        <is>
          <t>не начат</t>
        </is>
      </c>
      <c r="L478" s="9" t="inlineStr">
        <is>
          <t>Spotlight / 7 класс / Module 3 · Profiles / Adjectives -ed/-ing / Adjectives -ed/-ing: -ed — что чувствует человек (amazed)</t>
        </is>
      </c>
    </row>
    <row r="479">
      <c r="A479" s="25" t="n">
        <v>7</v>
      </c>
      <c r="B479" s="9" t="inlineStr">
        <is>
          <t>Module 3 · Profiles</t>
        </is>
      </c>
      <c r="C479" s="9" t="inlineStr"/>
      <c r="D479" s="9" t="inlineStr">
        <is>
          <t>Relative pronouns / Relative clauses</t>
        </is>
      </c>
      <c r="E479" s="23" t="inlineStr">
        <is>
          <t>Relative clauses: who(m) / which / that — люди и предметы</t>
        </is>
      </c>
      <c r="F479" s="26" t="inlineStr">
        <is>
          <t>новое</t>
        </is>
      </c>
      <c r="G479" s="9" t="inlineStr">
        <is>
          <t>who(m)/that — люди, which/that — предметы</t>
        </is>
      </c>
      <c r="H479" s="25" t="inlineStr">
        <is>
          <t>10+</t>
        </is>
      </c>
      <c r="I479" s="9">
        <f>IFERROR(INDEX('Темы × классы'!$R:$R,MATCH(E479,'Темы × классы'!$E:$E,0)),"")</f>
        <v/>
      </c>
      <c r="J479" s="9">
        <f>IFERROR(INDEX('Темы × классы'!$S:$S,MATCH(E479,'Темы × классы'!$E:$E,0))&amp;"","")</f>
        <v/>
      </c>
      <c r="K479" s="9" t="inlineStr">
        <is>
          <t>не начат</t>
        </is>
      </c>
      <c r="L479" s="9" t="inlineStr">
        <is>
          <t>Spotlight / 7 класс / Module 3 · Profiles / Relative pronouns / Relative clauses / Relative clauses: who(m) / which / that — люди и предметы</t>
        </is>
      </c>
    </row>
    <row r="480">
      <c r="A480" s="25" t="n">
        <v>7</v>
      </c>
      <c r="B480" s="9" t="inlineStr">
        <is>
          <t>Module 3 · Profiles</t>
        </is>
      </c>
      <c r="C480" s="9" t="inlineStr"/>
      <c r="D480" s="9" t="inlineStr">
        <is>
          <t>Relative pronouns / Relative clauses</t>
        </is>
      </c>
      <c r="E480" s="23" t="inlineStr">
        <is>
          <t>Relative clauses: whose — принадлежность</t>
        </is>
      </c>
      <c r="F480" s="26" t="inlineStr">
        <is>
          <t>новое</t>
        </is>
      </c>
      <c r="G480" s="9" t="inlineStr">
        <is>
          <t>whose — люди, животные, предметы; не опускается</t>
        </is>
      </c>
      <c r="H480" s="25" t="inlineStr">
        <is>
          <t>10+</t>
        </is>
      </c>
      <c r="I480" s="9">
        <f>IFERROR(INDEX('Темы × классы'!$R:$R,MATCH(E480,'Темы × классы'!$E:$E,0)),"")</f>
        <v/>
      </c>
      <c r="J480" s="9">
        <f>IFERROR(INDEX('Темы × классы'!$S:$S,MATCH(E480,'Темы × классы'!$E:$E,0))&amp;"","")</f>
        <v/>
      </c>
      <c r="K480" s="9" t="inlineStr">
        <is>
          <t>не начат</t>
        </is>
      </c>
      <c r="L480" s="9" t="inlineStr">
        <is>
          <t>Spotlight / 7 класс / Module 3 · Profiles / Relative pronouns / Relative clauses / Relative clauses: whose — принадлежность</t>
        </is>
      </c>
    </row>
    <row r="481">
      <c r="A481" s="25" t="n">
        <v>7</v>
      </c>
      <c r="B481" s="9" t="inlineStr">
        <is>
          <t>Module 3 · Profiles</t>
        </is>
      </c>
      <c r="C481" s="9" t="inlineStr"/>
      <c r="D481" s="9" t="inlineStr">
        <is>
          <t>Relative pronouns / Relative clauses</t>
        </is>
      </c>
      <c r="E481" s="23" t="inlineStr">
        <is>
          <t>Relative clauses: опущение who/which/that (дополнение vs подлежащее)</t>
        </is>
      </c>
      <c r="F481" s="26" t="inlineStr">
        <is>
          <t>новое</t>
        </is>
      </c>
      <c r="G481" s="9" t="inlineStr">
        <is>
          <t>можно опустить, если дополнение; нельзя — если подлежащее</t>
        </is>
      </c>
      <c r="H481" s="25" t="inlineStr">
        <is>
          <t>10+</t>
        </is>
      </c>
      <c r="I481" s="9">
        <f>IFERROR(INDEX('Темы × классы'!$R:$R,MATCH(E481,'Темы × классы'!$E:$E,0)),"")</f>
        <v/>
      </c>
      <c r="J481" s="9">
        <f>IFERROR(INDEX('Темы × классы'!$S:$S,MATCH(E481,'Темы × классы'!$E:$E,0))&amp;"","")</f>
        <v/>
      </c>
      <c r="K481" s="9" t="inlineStr">
        <is>
          <t>не начат</t>
        </is>
      </c>
      <c r="L481" s="9" t="inlineStr">
        <is>
          <t>Spotlight / 7 класс / Module 3 · Profiles / Relative pronouns / Relative clauses / Relative clauses: опущение who/which/that (дополнение vs подлежащее)</t>
        </is>
      </c>
    </row>
    <row r="482">
      <c r="A482" s="25" t="n">
        <v>7</v>
      </c>
      <c r="B482" s="9" t="inlineStr">
        <is>
          <t>Module 3 · Profiles</t>
        </is>
      </c>
      <c r="C482" s="9" t="inlineStr"/>
      <c r="D482" s="9" t="inlineStr">
        <is>
          <t>Relative pronouns / Relative clauses</t>
        </is>
      </c>
      <c r="E482" s="23" t="inlineStr">
        <is>
          <t>Relative clauses: относительные наречия when / where / why</t>
        </is>
      </c>
      <c r="F482" s="26" t="inlineStr">
        <is>
          <t>новое</t>
        </is>
      </c>
      <c r="G482" s="9" t="inlineStr">
        <is>
          <t>when/that, where, why (после reason)</t>
        </is>
      </c>
      <c r="H482" s="25" t="inlineStr">
        <is>
          <t>10+</t>
        </is>
      </c>
      <c r="I482" s="9">
        <f>IFERROR(INDEX('Темы × классы'!$R:$R,MATCH(E482,'Темы × классы'!$E:$E,0)),"")</f>
        <v/>
      </c>
      <c r="J482" s="9">
        <f>IFERROR(INDEX('Темы × классы'!$S:$S,MATCH(E482,'Темы × классы'!$E:$E,0))&amp;"","")</f>
        <v/>
      </c>
      <c r="K482" s="9" t="inlineStr">
        <is>
          <t>не начат</t>
        </is>
      </c>
      <c r="L482" s="9" t="inlineStr">
        <is>
          <t>Spotlight / 7 класс / Module 3 · Profiles / Relative pronouns / Relative clauses / Relative clauses: относительные наречия when / where / why</t>
        </is>
      </c>
    </row>
    <row r="483">
      <c r="A483" s="25" t="n">
        <v>7</v>
      </c>
      <c r="B483" s="9" t="inlineStr">
        <is>
          <t>Module 4 · In the news</t>
        </is>
      </c>
      <c r="C483" s="9" t="inlineStr"/>
      <c r="D483" s="9" t="inlineStr">
        <is>
          <t>Past Continuous</t>
        </is>
      </c>
      <c r="E483" s="23" t="inlineStr">
        <is>
          <t>Past Continuous: значение — действие в процессе в момент прошлого</t>
        </is>
      </c>
      <c r="F483" s="26" t="inlineStr">
        <is>
          <t>новое</t>
        </is>
      </c>
      <c r="G483" s="9" t="inlineStr">
        <is>
          <t>at 8 o'clock, all morning</t>
        </is>
      </c>
      <c r="H483" s="25" t="inlineStr">
        <is>
          <t>10+</t>
        </is>
      </c>
      <c r="I483" s="9">
        <f>IFERROR(INDEX('Темы × классы'!$R:$R,MATCH(E483,'Темы × классы'!$E:$E,0)),"")</f>
        <v/>
      </c>
      <c r="J483" s="9">
        <f>IFERROR(INDEX('Темы × классы'!$S:$S,MATCH(E483,'Темы × классы'!$E:$E,0))&amp;"","")</f>
        <v/>
      </c>
      <c r="K483" s="9" t="inlineStr">
        <is>
          <t>не начат</t>
        </is>
      </c>
      <c r="L483" s="9" t="inlineStr">
        <is>
          <t>Spotlight / 7 класс / Module 4 · In the news / Past Continuous / Past Continuous: значение — действие в процессе в момент прошлого</t>
        </is>
      </c>
    </row>
    <row r="484">
      <c r="A484" s="25" t="n">
        <v>7</v>
      </c>
      <c r="B484" s="9" t="inlineStr">
        <is>
          <t>Module 4 · In the news</t>
        </is>
      </c>
      <c r="C484" s="9" t="inlineStr"/>
      <c r="D484" s="9" t="inlineStr">
        <is>
          <t>Past Continuous</t>
        </is>
      </c>
      <c r="E484" s="23" t="inlineStr">
        <is>
          <t>Past Continuous: значение — длительное действие, прерванное другим (when)</t>
        </is>
      </c>
      <c r="F484" s="26" t="inlineStr">
        <is>
          <t>новое</t>
        </is>
      </c>
      <c r="G484" s="9" t="inlineStr">
        <is>
          <t>when</t>
        </is>
      </c>
      <c r="H484" s="25" t="inlineStr">
        <is>
          <t>10+</t>
        </is>
      </c>
      <c r="I484" s="9">
        <f>IFERROR(INDEX('Темы × классы'!$R:$R,MATCH(E484,'Темы × классы'!$E:$E,0)),"")</f>
        <v/>
      </c>
      <c r="J484" s="9">
        <f>IFERROR(INDEX('Темы × классы'!$S:$S,MATCH(E484,'Темы × классы'!$E:$E,0))&amp;"","")</f>
        <v/>
      </c>
      <c r="K484" s="9" t="inlineStr">
        <is>
          <t>не начат</t>
        </is>
      </c>
      <c r="L484" s="9" t="inlineStr">
        <is>
          <t>Spotlight / 7 класс / Module 4 · In the news / Past Continuous / Past Continuous: значение — длительное действие, прерванное другим (when)</t>
        </is>
      </c>
    </row>
    <row r="485">
      <c r="A485" s="25" t="n">
        <v>7</v>
      </c>
      <c r="B485" s="9" t="inlineStr">
        <is>
          <t>Module 4 · In the news</t>
        </is>
      </c>
      <c r="C485" s="9" t="inlineStr"/>
      <c r="D485" s="9" t="inlineStr">
        <is>
          <t>Past Continuous</t>
        </is>
      </c>
      <c r="E485" s="23" t="inlineStr">
        <is>
          <t>Past Continuous: значение — одновременные действия (while)</t>
        </is>
      </c>
      <c r="F485" s="26" t="inlineStr">
        <is>
          <t>новое</t>
        </is>
      </c>
      <c r="G485" s="9" t="inlineStr">
        <is>
          <t>while, as</t>
        </is>
      </c>
      <c r="H485" s="25" t="inlineStr">
        <is>
          <t>10+</t>
        </is>
      </c>
      <c r="I485" s="9">
        <f>IFERROR(INDEX('Темы × классы'!$R:$R,MATCH(E485,'Темы × классы'!$E:$E,0)),"")</f>
        <v/>
      </c>
      <c r="J485" s="9">
        <f>IFERROR(INDEX('Темы × классы'!$S:$S,MATCH(E485,'Темы × классы'!$E:$E,0))&amp;"","")</f>
        <v/>
      </c>
      <c r="K485" s="9" t="inlineStr">
        <is>
          <t>не начат</t>
        </is>
      </c>
      <c r="L485" s="9" t="inlineStr">
        <is>
          <t>Spotlight / 7 класс / Module 4 · In the news / Past Continuous / Past Continuous: значение — одновременные действия (while)</t>
        </is>
      </c>
    </row>
    <row r="486">
      <c r="A486" s="25" t="n">
        <v>7</v>
      </c>
      <c r="B486" s="9" t="inlineStr">
        <is>
          <t>Module 4 · In the news</t>
        </is>
      </c>
      <c r="C486" s="9" t="inlineStr"/>
      <c r="D486" s="9" t="inlineStr">
        <is>
          <t>Past Continuous</t>
        </is>
      </c>
      <c r="E486" s="23" t="inlineStr">
        <is>
          <t>Past Continuous: значение — фон и атмосфера в рассказе</t>
        </is>
      </c>
      <c r="F486" s="26" t="inlineStr">
        <is>
          <t>новое</t>
        </is>
      </c>
      <c r="G486" s="9" t="inlineStr">
        <is>
          <t>вступление к рассказу</t>
        </is>
      </c>
      <c r="H486" s="25" t="inlineStr">
        <is>
          <t>10+</t>
        </is>
      </c>
      <c r="I486" s="9">
        <f>IFERROR(INDEX('Темы × классы'!$R:$R,MATCH(E486,'Темы × классы'!$E:$E,0)),"")</f>
        <v/>
      </c>
      <c r="J486" s="9">
        <f>IFERROR(INDEX('Темы × классы'!$S:$S,MATCH(E486,'Темы × классы'!$E:$E,0))&amp;"","")</f>
        <v/>
      </c>
      <c r="K486" s="9" t="inlineStr">
        <is>
          <t>не начат</t>
        </is>
      </c>
      <c r="L486" s="9" t="inlineStr">
        <is>
          <t>Spotlight / 7 класс / Module 4 · In the news / Past Continuous / Past Continuous: значение — фон и атмосфера в рассказе</t>
        </is>
      </c>
    </row>
    <row r="487">
      <c r="A487" s="25" t="n">
        <v>7</v>
      </c>
      <c r="B487" s="9" t="inlineStr">
        <is>
          <t>Module 4 · In the news</t>
        </is>
      </c>
      <c r="C487" s="9" t="inlineStr"/>
      <c r="D487" s="9" t="inlineStr">
        <is>
          <t>Past Continuous</t>
        </is>
      </c>
      <c r="E487" s="23" t="inlineStr">
        <is>
          <t>Past Continuous: опущение второго was/were при одном подлежащем</t>
        </is>
      </c>
      <c r="F487" s="26" t="inlineStr">
        <is>
          <t>новое</t>
        </is>
      </c>
      <c r="G487" s="9" t="inlineStr">
        <is>
          <t>He was walking along (and) talking…</t>
        </is>
      </c>
      <c r="H487" s="25" t="inlineStr">
        <is>
          <t>10+</t>
        </is>
      </c>
      <c r="I487" s="9">
        <f>IFERROR(INDEX('Темы × классы'!$R:$R,MATCH(E487,'Темы × классы'!$E:$E,0)),"")</f>
        <v/>
      </c>
      <c r="J487" s="9">
        <f>IFERROR(INDEX('Темы × классы'!$S:$S,MATCH(E487,'Темы × классы'!$E:$E,0))&amp;"","")</f>
        <v/>
      </c>
      <c r="K487" s="9" t="inlineStr">
        <is>
          <t>не начат</t>
        </is>
      </c>
      <c r="L487" s="9" t="inlineStr">
        <is>
          <t>Spotlight / 7 класс / Module 4 · In the news / Past Continuous / Past Continuous: опущение второго was/were при одном подлежащем</t>
        </is>
      </c>
    </row>
    <row r="488">
      <c r="A488" s="25" t="n">
        <v>7</v>
      </c>
      <c r="B488" s="9" t="inlineStr">
        <is>
          <t>Module 4 · In the news</t>
        </is>
      </c>
      <c r="C488" s="9" t="inlineStr"/>
      <c r="D488" s="9" t="inlineStr">
        <is>
          <t>Past Simple vs Past Continuous</t>
        </is>
      </c>
      <c r="E488" s="23" t="inlineStr">
        <is>
          <t>Past Simple vs Past Continuous: указанное время — завершённое vs в процессе</t>
        </is>
      </c>
      <c r="F488" s="26" t="inlineStr">
        <is>
          <t>новое</t>
        </is>
      </c>
      <c r="G488" s="9" t="inlineStr"/>
      <c r="H488" s="25" t="inlineStr">
        <is>
          <t>10+</t>
        </is>
      </c>
      <c r="I488" s="9">
        <f>IFERROR(INDEX('Темы × классы'!$R:$R,MATCH(E488,'Темы × классы'!$E:$E,0)),"")</f>
        <v/>
      </c>
      <c r="J488" s="9">
        <f>IFERROR(INDEX('Темы × классы'!$S:$S,MATCH(E488,'Темы × классы'!$E:$E,0))&amp;"","")</f>
        <v/>
      </c>
      <c r="K488" s="9" t="inlineStr">
        <is>
          <t>не начат</t>
        </is>
      </c>
      <c r="L488" s="9" t="inlineStr">
        <is>
          <t>Spotlight / 7 класс / Module 4 · In the news / Past Simple vs Past Continuous / Past Simple vs Past Continuous: указанное время — завершённое vs в процессе</t>
        </is>
      </c>
    </row>
    <row r="489">
      <c r="A489" s="25" t="n">
        <v>7</v>
      </c>
      <c r="B489" s="9" t="inlineStr">
        <is>
          <t>Module 4 · In the news</t>
        </is>
      </c>
      <c r="C489" s="9" t="inlineStr"/>
      <c r="D489" s="9" t="inlineStr">
        <is>
          <t>Past Simple vs Past Continuous</t>
        </is>
      </c>
      <c r="E489" s="23" t="inlineStr">
        <is>
          <t>Past Simple vs Past Continuous: последовательные vs одновременные действия</t>
        </is>
      </c>
      <c r="F489" s="26" t="inlineStr">
        <is>
          <t>новое</t>
        </is>
      </c>
      <c r="G489" s="9" t="inlineStr"/>
      <c r="H489" s="25" t="inlineStr">
        <is>
          <t>10+</t>
        </is>
      </c>
      <c r="I489" s="9">
        <f>IFERROR(INDEX('Темы × классы'!$R:$R,MATCH(E489,'Темы × классы'!$E:$E,0)),"")</f>
        <v/>
      </c>
      <c r="J489" s="9">
        <f>IFERROR(INDEX('Темы × классы'!$S:$S,MATCH(E489,'Темы × классы'!$E:$E,0))&amp;"","")</f>
        <v/>
      </c>
      <c r="K489" s="9" t="inlineStr">
        <is>
          <t>не начат</t>
        </is>
      </c>
      <c r="L489" s="9" t="inlineStr">
        <is>
          <t>Spotlight / 7 класс / Module 4 · In the news / Past Simple vs Past Continuous / Past Simple vs Past Continuous: последовательные vs одновременные действия</t>
        </is>
      </c>
    </row>
    <row r="490">
      <c r="A490" s="25" t="n">
        <v>7</v>
      </c>
      <c r="B490" s="9" t="inlineStr">
        <is>
          <t>Module 4 · In the news</t>
        </is>
      </c>
      <c r="C490" s="9" t="inlineStr"/>
      <c r="D490" s="9" t="inlineStr">
        <is>
          <t>Past Simple vs Past Continuous</t>
        </is>
      </c>
      <c r="E490" s="23" t="inlineStr">
        <is>
          <t>Past Simple vs Past Continuous: прерванное (PC) и прерывающее (PS) действие</t>
        </is>
      </c>
      <c r="F490" s="26" t="inlineStr">
        <is>
          <t>новое</t>
        </is>
      </c>
      <c r="G490" s="9" t="inlineStr">
        <is>
          <t>Joyce was walking her dog when it started to rain</t>
        </is>
      </c>
      <c r="H490" s="25" t="inlineStr">
        <is>
          <t>10+</t>
        </is>
      </c>
      <c r="I490" s="9">
        <f>IFERROR(INDEX('Темы × классы'!$R:$R,MATCH(E490,'Темы × классы'!$E:$E,0)),"")</f>
        <v/>
      </c>
      <c r="J490" s="9">
        <f>IFERROR(INDEX('Темы × классы'!$S:$S,MATCH(E490,'Темы × классы'!$E:$E,0))&amp;"","")</f>
        <v/>
      </c>
      <c r="K490" s="9" t="inlineStr">
        <is>
          <t>не начат</t>
        </is>
      </c>
      <c r="L490" s="9" t="inlineStr">
        <is>
          <t>Spotlight / 7 класс / Module 4 · In the news / Past Simple vs Past Continuous / Past Simple vs Past Continuous: прерванное (PC) и прерывающее (PS) действие</t>
        </is>
      </c>
    </row>
    <row r="491">
      <c r="A491" s="25" t="n">
        <v>7</v>
      </c>
      <c r="B491" s="9" t="inlineStr">
        <is>
          <t>Module 5 · What the future holds</t>
        </is>
      </c>
      <c r="C491" s="9" t="inlineStr"/>
      <c r="D491" s="9" t="inlineStr">
        <is>
          <t>Future Simple (will)</t>
        </is>
      </c>
      <c r="E491" s="23" t="inlineStr">
        <is>
          <t>Future Simple (will): утверждение (will/'ll + V)</t>
        </is>
      </c>
      <c r="F491" s="25" t="inlineStr">
        <is>
          <t>повторение</t>
        </is>
      </c>
      <c r="G491" s="9" t="inlineStr">
        <is>
          <t>will + инфинитив без to; формы −/? не даны</t>
        </is>
      </c>
      <c r="H491" s="25" t="inlineStr">
        <is>
          <t>10+</t>
        </is>
      </c>
      <c r="I491" s="9">
        <f>IFERROR(INDEX('Темы × классы'!$R:$R,MATCH(E491,'Темы × классы'!$E:$E,0)),"")</f>
        <v/>
      </c>
      <c r="J491" s="9">
        <f>IFERROR(INDEX('Темы × классы'!$S:$S,MATCH(E491,'Темы × классы'!$E:$E,0))&amp;"","")</f>
        <v/>
      </c>
      <c r="K491" s="9" t="inlineStr">
        <is>
          <t>не начат</t>
        </is>
      </c>
      <c r="L491" s="9" t="inlineStr">
        <is>
          <t>Spotlight / 7 класс / Module 5 · What the future holds / Future Simple (will) / Future Simple (will): утверждение (will/'ll + V)</t>
        </is>
      </c>
    </row>
    <row r="492">
      <c r="A492" s="25" t="n">
        <v>7</v>
      </c>
      <c r="B492" s="9" t="inlineStr">
        <is>
          <t>Module 5 · What the future holds</t>
        </is>
      </c>
      <c r="C492" s="9" t="inlineStr"/>
      <c r="D492" s="9" t="inlineStr">
        <is>
          <t>Future Simple (will)</t>
        </is>
      </c>
      <c r="E492" s="23" t="inlineStr">
        <is>
          <t>Future Simple (will): значение — предсказание/предположение</t>
        </is>
      </c>
      <c r="F492" s="27" t="inlineStr">
        <is>
          <t>расширение</t>
        </is>
      </c>
      <c r="G492" s="9" t="inlineStr">
        <is>
          <t>добавлены probably, certainly, perhaps</t>
        </is>
      </c>
      <c r="H492" s="25" t="inlineStr">
        <is>
          <t>10+</t>
        </is>
      </c>
      <c r="I492" s="9">
        <f>IFERROR(INDEX('Темы × классы'!$R:$R,MATCH(E492,'Темы × классы'!$E:$E,0)),"")</f>
        <v/>
      </c>
      <c r="J492" s="9">
        <f>IFERROR(INDEX('Темы × классы'!$S:$S,MATCH(E492,'Темы × классы'!$E:$E,0))&amp;"","")</f>
        <v/>
      </c>
      <c r="K492" s="9" t="inlineStr">
        <is>
          <t>не начат</t>
        </is>
      </c>
      <c r="L492" s="9" t="inlineStr">
        <is>
          <t>Spotlight / 7 класс / Module 5 · What the future holds / Future Simple (will) / Future Simple (will): значение — предсказание/предположение</t>
        </is>
      </c>
    </row>
    <row r="493">
      <c r="A493" s="25" t="n">
        <v>7</v>
      </c>
      <c r="B493" s="9" t="inlineStr">
        <is>
          <t>Module 5 · What the future holds</t>
        </is>
      </c>
      <c r="C493" s="9" t="inlineStr"/>
      <c r="D493" s="9" t="inlineStr">
        <is>
          <t>Future Simple (will)</t>
        </is>
      </c>
      <c r="E493" s="23" t="inlineStr">
        <is>
          <t>Future Simple (will): значение — решение в момент речи</t>
        </is>
      </c>
      <c r="F493" s="25" t="inlineStr">
        <is>
          <t>повторение</t>
        </is>
      </c>
      <c r="G493" s="9" t="inlineStr"/>
      <c r="H493" s="25" t="inlineStr">
        <is>
          <t>10+</t>
        </is>
      </c>
      <c r="I493" s="9">
        <f>IFERROR(INDEX('Темы × классы'!$R:$R,MATCH(E493,'Темы × классы'!$E:$E,0)),"")</f>
        <v/>
      </c>
      <c r="J493" s="9">
        <f>IFERROR(INDEX('Темы × классы'!$S:$S,MATCH(E493,'Темы × классы'!$E:$E,0))&amp;"","")</f>
        <v/>
      </c>
      <c r="K493" s="9" t="inlineStr">
        <is>
          <t>не начат</t>
        </is>
      </c>
      <c r="L493" s="9" t="inlineStr">
        <is>
          <t>Spotlight / 7 класс / Module 5 · What the future holds / Future Simple (will) / Future Simple (will): значение — решение в момент речи</t>
        </is>
      </c>
    </row>
    <row r="494">
      <c r="A494" s="25" t="n">
        <v>7</v>
      </c>
      <c r="B494" s="9" t="inlineStr">
        <is>
          <t>Module 5 · What the future holds</t>
        </is>
      </c>
      <c r="C494" s="9" t="inlineStr"/>
      <c r="D494" s="9" t="inlineStr">
        <is>
          <t>Future Simple (will)</t>
        </is>
      </c>
      <c r="E494" s="23" t="inlineStr">
        <is>
          <t>Future Simple (will): значение — обещания</t>
        </is>
      </c>
      <c r="F494" s="25" t="inlineStr">
        <is>
          <t>повторение</t>
        </is>
      </c>
      <c r="G494" s="9" t="inlineStr"/>
      <c r="H494" s="25" t="inlineStr">
        <is>
          <t>10+</t>
        </is>
      </c>
      <c r="I494" s="9">
        <f>IFERROR(INDEX('Темы × классы'!$R:$R,MATCH(E494,'Темы × классы'!$E:$E,0)),"")</f>
        <v/>
      </c>
      <c r="J494" s="9">
        <f>IFERROR(INDEX('Темы × классы'!$S:$S,MATCH(E494,'Темы × классы'!$E:$E,0))&amp;"","")</f>
        <v/>
      </c>
      <c r="K494" s="9" t="inlineStr">
        <is>
          <t>не начат</t>
        </is>
      </c>
      <c r="L494" s="9" t="inlineStr">
        <is>
          <t>Spotlight / 7 класс / Module 5 · What the future holds / Future Simple (will) / Future Simple (will): значение — обещания</t>
        </is>
      </c>
    </row>
    <row r="495">
      <c r="A495" s="25" t="n">
        <v>7</v>
      </c>
      <c r="B495" s="9" t="inlineStr">
        <is>
          <t>Module 5 · What the future holds</t>
        </is>
      </c>
      <c r="C495" s="9" t="inlineStr"/>
      <c r="D495" s="9" t="inlineStr">
        <is>
          <t>Future Simple (will)</t>
        </is>
      </c>
      <c r="E495" s="23" t="inlineStr">
        <is>
          <t>Future Simple (will): значение — просьбы (Will you…?)</t>
        </is>
      </c>
      <c r="F495" s="25" t="inlineStr">
        <is>
          <t>повторение</t>
        </is>
      </c>
      <c r="G495" s="9" t="inlineStr"/>
      <c r="H495" s="25" t="inlineStr">
        <is>
          <t>10+</t>
        </is>
      </c>
      <c r="I495" s="9">
        <f>IFERROR(INDEX('Темы × классы'!$R:$R,MATCH(E495,'Темы × классы'!$E:$E,0)),"")</f>
        <v/>
      </c>
      <c r="J495" s="9">
        <f>IFERROR(INDEX('Темы × классы'!$S:$S,MATCH(E495,'Темы × классы'!$E:$E,0))&amp;"","")</f>
        <v/>
      </c>
      <c r="K495" s="9" t="inlineStr">
        <is>
          <t>не начат</t>
        </is>
      </c>
      <c r="L495" s="9" t="inlineStr">
        <is>
          <t>Spotlight / 7 класс / Module 5 · What the future holds / Future Simple (will) / Future Simple (will): значение — просьбы (Will you…?)</t>
        </is>
      </c>
    </row>
    <row r="496">
      <c r="A496" s="25" t="n">
        <v>7</v>
      </c>
      <c r="B496" s="9" t="inlineStr">
        <is>
          <t>Module 5 · What the future holds</t>
        </is>
      </c>
      <c r="C496" s="9" t="inlineStr"/>
      <c r="D496" s="9" t="inlineStr">
        <is>
          <t>Future Simple (will)</t>
        </is>
      </c>
      <c r="E496" s="23" t="inlineStr">
        <is>
          <t>Future Simple (will): значение — угрозы и предупреждения</t>
        </is>
      </c>
      <c r="F496" s="26" t="inlineStr">
        <is>
          <t>новое</t>
        </is>
      </c>
      <c r="G496" s="9" t="inlineStr">
        <is>
          <t>угрозы, предупреждения</t>
        </is>
      </c>
      <c r="H496" s="25" t="inlineStr">
        <is>
          <t>10+</t>
        </is>
      </c>
      <c r="I496" s="9">
        <f>IFERROR(INDEX('Темы × классы'!$R:$R,MATCH(E496,'Темы × классы'!$E:$E,0)),"")</f>
        <v/>
      </c>
      <c r="J496" s="9">
        <f>IFERROR(INDEX('Темы × классы'!$S:$S,MATCH(E496,'Темы × классы'!$E:$E,0))&amp;"","")</f>
        <v/>
      </c>
      <c r="K496" s="9" t="inlineStr">
        <is>
          <t>не начат</t>
        </is>
      </c>
      <c r="L496" s="9" t="inlineStr">
        <is>
          <t>Spotlight / 7 класс / Module 5 · What the future holds / Future Simple (will) / Future Simple (will): значение — угрозы и предупреждения</t>
        </is>
      </c>
    </row>
    <row r="497">
      <c r="A497" s="25" t="n">
        <v>7</v>
      </c>
      <c r="B497" s="9" t="inlineStr">
        <is>
          <t>Module 5 · What the future holds</t>
        </is>
      </c>
      <c r="C497" s="9" t="inlineStr"/>
      <c r="D497" s="9" t="inlineStr">
        <is>
          <t>Future Simple (will)</t>
        </is>
      </c>
      <c r="E497" s="23" t="inlineStr">
        <is>
          <t>Future Simple (will): значение — надежды, страхи, предложения, комментарии</t>
        </is>
      </c>
      <c r="F497" s="26" t="inlineStr">
        <is>
          <t>новое</t>
        </is>
      </c>
      <c r="G497" s="9" t="inlineStr">
        <is>
          <t>надежды, предложения</t>
        </is>
      </c>
      <c r="H497" s="25" t="inlineStr">
        <is>
          <t>10+</t>
        </is>
      </c>
      <c r="I497" s="9">
        <f>IFERROR(INDEX('Темы × классы'!$R:$R,MATCH(E497,'Темы × классы'!$E:$E,0)),"")</f>
        <v/>
      </c>
      <c r="J497" s="9">
        <f>IFERROR(INDEX('Темы × классы'!$S:$S,MATCH(E497,'Темы × классы'!$E:$E,0))&amp;"","")</f>
        <v/>
      </c>
      <c r="K497" s="9" t="inlineStr">
        <is>
          <t>не начат</t>
        </is>
      </c>
      <c r="L497" s="9" t="inlineStr">
        <is>
          <t>Spotlight / 7 класс / Module 5 · What the future holds / Future Simple (will) / Future Simple (will): значение — надежды, страхи, предложения, комментарии</t>
        </is>
      </c>
    </row>
    <row r="498">
      <c r="A498" s="25" t="n">
        <v>7</v>
      </c>
      <c r="B498" s="9" t="inlineStr">
        <is>
          <t>Module 5 · What the future holds</t>
        </is>
      </c>
      <c r="C498" s="9" t="inlineStr"/>
      <c r="D498" s="9" t="inlineStr">
        <is>
          <t>Future Simple (will)</t>
        </is>
      </c>
      <c r="E498" s="23" t="inlineStr">
        <is>
          <t>Future Simple (will): значение — неизбежные события (не зависят от нас)</t>
        </is>
      </c>
      <c r="F498" s="26" t="inlineStr">
        <is>
          <t>новое</t>
        </is>
      </c>
      <c r="G498" s="9" t="inlineStr">
        <is>
          <t>Alex will be three years old in April; маркеры tomorrow, tonight, in a week…</t>
        </is>
      </c>
      <c r="H498" s="25" t="inlineStr">
        <is>
          <t>10+</t>
        </is>
      </c>
      <c r="I498" s="9">
        <f>IFERROR(INDEX('Темы × классы'!$R:$R,MATCH(E498,'Темы × классы'!$E:$E,0)),"")</f>
        <v/>
      </c>
      <c r="J498" s="9">
        <f>IFERROR(INDEX('Темы × классы'!$S:$S,MATCH(E498,'Темы × классы'!$E:$E,0))&amp;"","")</f>
        <v/>
      </c>
      <c r="K498" s="9" t="inlineStr">
        <is>
          <t>не начат</t>
        </is>
      </c>
      <c r="L498" s="9" t="inlineStr">
        <is>
          <t>Spotlight / 7 класс / Module 5 · What the future holds / Future Simple (will) / Future Simple (will): значение — неизбежные события (не зависят от нас)</t>
        </is>
      </c>
    </row>
    <row r="499">
      <c r="A499" s="25" t="n">
        <v>7</v>
      </c>
      <c r="B499" s="9" t="inlineStr">
        <is>
          <t>Module 5 · What the future holds</t>
        </is>
      </c>
      <c r="C499" s="9" t="inlineStr"/>
      <c r="D499" s="9" t="inlineStr">
        <is>
          <t>be going to</t>
        </is>
      </c>
      <c r="E499" s="23" t="inlineStr">
        <is>
          <t>be going to: значение — планы и намерения</t>
        </is>
      </c>
      <c r="F499" s="25" t="inlineStr">
        <is>
          <t>повторение</t>
        </is>
      </c>
      <c r="G499" s="9" t="inlineStr">
        <is>
          <t>формы не расписаны</t>
        </is>
      </c>
      <c r="H499" s="25" t="inlineStr">
        <is>
          <t>10+</t>
        </is>
      </c>
      <c r="I499" s="9">
        <f>IFERROR(INDEX('Темы × классы'!$R:$R,MATCH(E499,'Темы × классы'!$E:$E,0)),"")</f>
        <v/>
      </c>
      <c r="J499" s="9">
        <f>IFERROR(INDEX('Темы × классы'!$S:$S,MATCH(E499,'Темы × классы'!$E:$E,0))&amp;"","")</f>
        <v/>
      </c>
      <c r="K499" s="9" t="inlineStr">
        <is>
          <t>не начат</t>
        </is>
      </c>
      <c r="L499" s="9" t="inlineStr">
        <is>
          <t>Spotlight / 7 класс / Module 5 · What the future holds / be going to / be going to: значение — планы и намерения</t>
        </is>
      </c>
    </row>
    <row r="500">
      <c r="A500" s="25" t="n">
        <v>7</v>
      </c>
      <c r="B500" s="9" t="inlineStr">
        <is>
          <t>Module 5 · What the future holds</t>
        </is>
      </c>
      <c r="C500" s="9" t="inlineStr"/>
      <c r="D500" s="9" t="inlineStr">
        <is>
          <t>be going to</t>
        </is>
      </c>
      <c r="E500" s="23" t="inlineStr">
        <is>
          <t>be going to: значение — предсказание по очевидным признакам</t>
        </is>
      </c>
      <c r="F500" s="25" t="inlineStr">
        <is>
          <t>повторение</t>
        </is>
      </c>
      <c r="G500" s="9" t="inlineStr">
        <is>
          <t>It's cloudy; it's going to rain</t>
        </is>
      </c>
      <c r="H500" s="25" t="inlineStr">
        <is>
          <t>10+</t>
        </is>
      </c>
      <c r="I500" s="9">
        <f>IFERROR(INDEX('Темы × классы'!$R:$R,MATCH(E500,'Темы × классы'!$E:$E,0)),"")</f>
        <v/>
      </c>
      <c r="J500" s="9">
        <f>IFERROR(INDEX('Темы × классы'!$S:$S,MATCH(E500,'Темы × классы'!$E:$E,0))&amp;"","")</f>
        <v/>
      </c>
      <c r="K500" s="9" t="inlineStr">
        <is>
          <t>не начат</t>
        </is>
      </c>
      <c r="L500" s="9" t="inlineStr">
        <is>
          <t>Spotlight / 7 класс / Module 5 · What the future holds / be going to / be going to: значение — предсказание по очевидным признакам</t>
        </is>
      </c>
    </row>
    <row r="501">
      <c r="A501" s="25" t="n">
        <v>7</v>
      </c>
      <c r="B501" s="9" t="inlineStr">
        <is>
          <t>Module 5 · What the future holds</t>
        </is>
      </c>
      <c r="C501" s="9" t="inlineStr"/>
      <c r="D501" s="9" t="inlineStr">
        <is>
          <t>Future forms (comparison)</t>
        </is>
      </c>
      <c r="E501" s="23" t="inlineStr">
        <is>
          <t>Future forms: Present Continuous — договорённости на ближайшее будущее</t>
        </is>
      </c>
      <c r="F501" s="26" t="inlineStr">
        <is>
          <t>новое</t>
        </is>
      </c>
      <c r="G501" s="9" t="inlineStr">
        <is>
          <t>They're going on holiday next week</t>
        </is>
      </c>
      <c r="H501" s="25" t="inlineStr">
        <is>
          <t>10+</t>
        </is>
      </c>
      <c r="I501" s="9">
        <f>IFERROR(INDEX('Темы × классы'!$R:$R,MATCH(E501,'Темы × классы'!$E:$E,0)),"")</f>
        <v/>
      </c>
      <c r="J501" s="9">
        <f>IFERROR(INDEX('Темы × классы'!$S:$S,MATCH(E501,'Темы × классы'!$E:$E,0))&amp;"","")</f>
        <v/>
      </c>
      <c r="K501" s="9" t="inlineStr">
        <is>
          <t>не начат</t>
        </is>
      </c>
      <c r="L501" s="9" t="inlineStr">
        <is>
          <t>Spotlight / 7 класс / Module 5 · What the future holds / Future forms (comparison) / Future forms: Present Continuous — договорённости на ближайшее будущее</t>
        </is>
      </c>
    </row>
    <row r="502">
      <c r="A502" s="25" t="n">
        <v>7</v>
      </c>
      <c r="B502" s="9" t="inlineStr">
        <is>
          <t>Module 5 · What the future holds</t>
        </is>
      </c>
      <c r="C502" s="9" t="inlineStr"/>
      <c r="D502" s="9" t="inlineStr">
        <is>
          <t>Future forms (comparison)</t>
        </is>
      </c>
      <c r="E502" s="23" t="inlineStr">
        <is>
          <t>Future forms: Present Simple — расписания и программы</t>
        </is>
      </c>
      <c r="F502" s="26" t="inlineStr">
        <is>
          <t>новое</t>
        </is>
      </c>
      <c r="G502" s="9" t="inlineStr">
        <is>
          <t>My flight leaves at 6 o'clock</t>
        </is>
      </c>
      <c r="H502" s="25" t="inlineStr">
        <is>
          <t>10+</t>
        </is>
      </c>
      <c r="I502" s="9">
        <f>IFERROR(INDEX('Темы × классы'!$R:$R,MATCH(E502,'Темы × классы'!$E:$E,0)),"")</f>
        <v/>
      </c>
      <c r="J502" s="9">
        <f>IFERROR(INDEX('Темы × классы'!$S:$S,MATCH(E502,'Темы × классы'!$E:$E,0))&amp;"","")</f>
        <v/>
      </c>
      <c r="K502" s="9" t="inlineStr">
        <is>
          <t>не начат</t>
        </is>
      </c>
      <c r="L502" s="9" t="inlineStr">
        <is>
          <t>Spotlight / 7 класс / Module 5 · What the future holds / Future forms (comparison) / Future forms: Present Simple — расписания и программы</t>
        </is>
      </c>
    </row>
    <row r="503">
      <c r="A503" s="25" t="n">
        <v>7</v>
      </c>
      <c r="B503" s="9" t="inlineStr">
        <is>
          <t>Module 5 · What the future holds</t>
        </is>
      </c>
      <c r="C503" s="9" t="inlineStr"/>
      <c r="D503" s="9" t="inlineStr">
        <is>
          <t>Future forms (comparison)</t>
        </is>
      </c>
      <c r="E503" s="23" t="inlineStr">
        <is>
          <t>Future forms: will vs be going to — решение в момент речи vs план</t>
        </is>
      </c>
      <c r="F503" s="26" t="inlineStr">
        <is>
          <t>новое</t>
        </is>
      </c>
      <c r="G503" s="9" t="inlineStr">
        <is>
          <t>will — решения в момент речи; going to — планы</t>
        </is>
      </c>
      <c r="H503" s="25" t="inlineStr">
        <is>
          <t>10+</t>
        </is>
      </c>
      <c r="I503" s="9">
        <f>IFERROR(INDEX('Темы × классы'!$R:$R,MATCH(E503,'Темы × классы'!$E:$E,0)),"")</f>
        <v/>
      </c>
      <c r="J503" s="9">
        <f>IFERROR(INDEX('Темы × классы'!$S:$S,MATCH(E503,'Темы × классы'!$E:$E,0))&amp;"","")</f>
        <v/>
      </c>
      <c r="K503" s="9" t="inlineStr">
        <is>
          <t>не начат</t>
        </is>
      </c>
      <c r="L503" s="9" t="inlineStr">
        <is>
          <t>Spotlight / 7 класс / Module 5 · What the future holds / Future forms (comparison) / Future forms: will vs be going to — решение в момент речи vs план</t>
        </is>
      </c>
    </row>
    <row r="504">
      <c r="A504" s="25" t="n">
        <v>7</v>
      </c>
      <c r="B504" s="9" t="inlineStr">
        <is>
          <t>Module 5 · What the future holds</t>
        </is>
      </c>
      <c r="C504" s="9" t="inlineStr"/>
      <c r="D504" s="9" t="inlineStr">
        <is>
          <t>Future forms (comparison)</t>
        </is>
      </c>
      <c r="E504" s="23" t="inlineStr">
        <is>
          <t>Future forms: will vs be going to — прогноз-мнение vs прогноз по признакам</t>
        </is>
      </c>
      <c r="F504" s="26" t="inlineStr">
        <is>
          <t>новое</t>
        </is>
      </c>
      <c r="G504" s="9" t="inlineStr">
        <is>
          <t>will — предположения; going to — признаки</t>
        </is>
      </c>
      <c r="H504" s="25" t="inlineStr">
        <is>
          <t>10+</t>
        </is>
      </c>
      <c r="I504" s="9">
        <f>IFERROR(INDEX('Темы × классы'!$R:$R,MATCH(E504,'Темы × классы'!$E:$E,0)),"")</f>
        <v/>
      </c>
      <c r="J504" s="9">
        <f>IFERROR(INDEX('Темы × классы'!$S:$S,MATCH(E504,'Темы × классы'!$E:$E,0))&amp;"","")</f>
        <v/>
      </c>
      <c r="K504" s="9" t="inlineStr">
        <is>
          <t>не начат</t>
        </is>
      </c>
      <c r="L504" s="9" t="inlineStr">
        <is>
          <t>Spotlight / 7 класс / Module 5 · What the future holds / Future forms (comparison) / Future forms: will vs be going to — прогноз-мнение vs прогноз по признакам</t>
        </is>
      </c>
    </row>
    <row r="505">
      <c r="A505" s="25" t="n">
        <v>7</v>
      </c>
      <c r="B505" s="9" t="inlineStr">
        <is>
          <t>Module 5 · What the future holds</t>
        </is>
      </c>
      <c r="C505" s="9" t="inlineStr"/>
      <c r="D505" s="9" t="inlineStr">
        <is>
          <t>Future forms (comparison)</t>
        </is>
      </c>
      <c r="E505" s="23" t="inlineStr">
        <is>
          <t>Future forms: обзор всех способов выражения будущего</t>
        </is>
      </c>
      <c r="F505" s="26" t="inlineStr">
        <is>
          <t>новое</t>
        </is>
      </c>
      <c r="G505" s="9" t="inlineStr">
        <is>
          <t>4 способа: will, going to, Present Continuous, Present Simple</t>
        </is>
      </c>
      <c r="H505" s="25" t="inlineStr">
        <is>
          <t>10+</t>
        </is>
      </c>
      <c r="I505" s="9">
        <f>IFERROR(INDEX('Темы × классы'!$R:$R,MATCH(E505,'Темы × классы'!$E:$E,0)),"")</f>
        <v/>
      </c>
      <c r="J505" s="9">
        <f>IFERROR(INDEX('Темы × классы'!$S:$S,MATCH(E505,'Темы × классы'!$E:$E,0))&amp;"","")</f>
        <v/>
      </c>
      <c r="K505" s="9" t="inlineStr">
        <is>
          <t>не начат</t>
        </is>
      </c>
      <c r="L505" s="9" t="inlineStr">
        <is>
          <t>Spotlight / 7 класс / Module 5 · What the future holds / Future forms (comparison) / Future forms: обзор всех способов выражения будущего</t>
        </is>
      </c>
    </row>
    <row r="506">
      <c r="A506" s="25" t="n">
        <v>7</v>
      </c>
      <c r="B506" s="9" t="inlineStr">
        <is>
          <t>Module 5 · What the future holds</t>
        </is>
      </c>
      <c r="C506" s="9" t="inlineStr"/>
      <c r="D506" s="9" t="inlineStr">
        <is>
          <t>Conditionals (Type 0)</t>
        </is>
      </c>
      <c r="E506" s="23" t="inlineStr">
        <is>
          <t>Conditionals Type 0: форма If/When + Present Simple — Present Simple</t>
        </is>
      </c>
      <c r="F506" s="26" t="inlineStr">
        <is>
          <t>новое</t>
        </is>
      </c>
      <c r="G506" s="9" t="inlineStr"/>
      <c r="H506" s="25" t="inlineStr">
        <is>
          <t>10+</t>
        </is>
      </c>
      <c r="I506" s="9">
        <f>IFERROR(INDEX('Темы × классы'!$R:$R,MATCH(E506,'Темы × классы'!$E:$E,0)),"")</f>
        <v/>
      </c>
      <c r="J506" s="9">
        <f>IFERROR(INDEX('Темы × классы'!$S:$S,MATCH(E506,'Темы × классы'!$E:$E,0))&amp;"","")</f>
        <v/>
      </c>
      <c r="K506" s="9" t="inlineStr">
        <is>
          <t>не начат</t>
        </is>
      </c>
      <c r="L506" s="9" t="inlineStr">
        <is>
          <t>Spotlight / 7 класс / Module 5 · What the future holds / Conditionals (Type 0) / Conditionals Type 0: форма If/When + Present Simple — Present Simple</t>
        </is>
      </c>
    </row>
    <row r="507">
      <c r="A507" s="25" t="n">
        <v>7</v>
      </c>
      <c r="B507" s="9" t="inlineStr">
        <is>
          <t>Module 5 · What the future holds</t>
        </is>
      </c>
      <c r="C507" s="9" t="inlineStr"/>
      <c r="D507" s="9" t="inlineStr">
        <is>
          <t>Conditionals (Type 0)</t>
        </is>
      </c>
      <c r="E507" s="23" t="inlineStr">
        <is>
          <t>Conditionals Type 0: значение — общие истины, научные факты</t>
        </is>
      </c>
      <c r="F507" s="26" t="inlineStr">
        <is>
          <t>новое</t>
        </is>
      </c>
      <c r="G507" s="9" t="inlineStr"/>
      <c r="H507" s="25" t="inlineStr">
        <is>
          <t>10+</t>
        </is>
      </c>
      <c r="I507" s="9">
        <f>IFERROR(INDEX('Темы × классы'!$R:$R,MATCH(E507,'Темы × классы'!$E:$E,0)),"")</f>
        <v/>
      </c>
      <c r="J507" s="9">
        <f>IFERROR(INDEX('Темы × классы'!$S:$S,MATCH(E507,'Темы × классы'!$E:$E,0))&amp;"","")</f>
        <v/>
      </c>
      <c r="K507" s="9" t="inlineStr">
        <is>
          <t>не начат</t>
        </is>
      </c>
      <c r="L507" s="9" t="inlineStr">
        <is>
          <t>Spotlight / 7 класс / Module 5 · What the future holds / Conditionals (Type 0) / Conditionals Type 0: значение — общие истины, научные факты</t>
        </is>
      </c>
    </row>
    <row r="508">
      <c r="A508" s="25" t="n">
        <v>7</v>
      </c>
      <c r="B508" s="9" t="inlineStr">
        <is>
          <t>Module 5 · What the future holds</t>
        </is>
      </c>
      <c r="C508" s="9" t="inlineStr"/>
      <c r="D508" s="9" t="inlineStr">
        <is>
          <t>Conditionals (Type 0)</t>
        </is>
      </c>
      <c r="E508" s="23" t="inlineStr">
        <is>
          <t>Conditionals Type 0: when вместо if</t>
        </is>
      </c>
      <c r="F508" s="26" t="inlineStr">
        <is>
          <t>новое</t>
        </is>
      </c>
      <c r="G508" s="9" t="inlineStr"/>
      <c r="H508" s="25" t="inlineStr">
        <is>
          <t>10+</t>
        </is>
      </c>
      <c r="I508" s="9">
        <f>IFERROR(INDEX('Темы × классы'!$R:$R,MATCH(E508,'Темы × классы'!$E:$E,0)),"")</f>
        <v/>
      </c>
      <c r="J508" s="9">
        <f>IFERROR(INDEX('Темы × классы'!$S:$S,MATCH(E508,'Темы × классы'!$E:$E,0))&amp;"","")</f>
        <v/>
      </c>
      <c r="K508" s="9" t="inlineStr">
        <is>
          <t>не начат</t>
        </is>
      </c>
      <c r="L508" s="9" t="inlineStr">
        <is>
          <t>Spotlight / 7 класс / Module 5 · What the future holds / Conditionals (Type 0) / Conditionals Type 0: when вместо if</t>
        </is>
      </c>
    </row>
    <row r="509">
      <c r="A509" s="25" t="n">
        <v>7</v>
      </c>
      <c r="B509" s="9" t="inlineStr">
        <is>
          <t>Module 5 · What the future holds</t>
        </is>
      </c>
      <c r="C509" s="9" t="inlineStr"/>
      <c r="D509" s="9" t="inlineStr">
        <is>
          <t>Conditionals (Type 1)</t>
        </is>
      </c>
      <c r="E509" s="23" t="inlineStr">
        <is>
          <t>Conditionals Type 1: форма If + Present Simple — will + V</t>
        </is>
      </c>
      <c r="F509" s="26" t="inlineStr">
        <is>
          <t>новое</t>
        </is>
      </c>
      <c r="G509" s="9" t="inlineStr"/>
      <c r="H509" s="25" t="inlineStr">
        <is>
          <t>10+</t>
        </is>
      </c>
      <c r="I509" s="9">
        <f>IFERROR(INDEX('Темы × классы'!$R:$R,MATCH(E509,'Темы × классы'!$E:$E,0)),"")</f>
        <v/>
      </c>
      <c r="J509" s="9">
        <f>IFERROR(INDEX('Темы × классы'!$S:$S,MATCH(E509,'Темы × классы'!$E:$E,0))&amp;"","")</f>
        <v/>
      </c>
      <c r="K509" s="9" t="inlineStr">
        <is>
          <t>не начат</t>
        </is>
      </c>
      <c r="L509" s="9" t="inlineStr">
        <is>
          <t>Spotlight / 7 класс / Module 5 · What the future holds / Conditionals (Type 1) / Conditionals Type 1: форма If + Present Simple — will + V</t>
        </is>
      </c>
    </row>
    <row r="510">
      <c r="A510" s="25" t="n">
        <v>7</v>
      </c>
      <c r="B510" s="9" t="inlineStr">
        <is>
          <t>Module 5 · What the future holds</t>
        </is>
      </c>
      <c r="C510" s="9" t="inlineStr"/>
      <c r="D510" s="9" t="inlineStr">
        <is>
          <t>Conditionals (Type 1)</t>
        </is>
      </c>
      <c r="E510" s="23" t="inlineStr">
        <is>
          <t>Conditionals Type 1: главная часть с Imperative / can, must, may</t>
        </is>
      </c>
      <c r="F510" s="26" t="inlineStr">
        <is>
          <t>новое</t>
        </is>
      </c>
      <c r="G510" s="9" t="inlineStr">
        <is>
          <t>Imperative; can, must, may + bare inf</t>
        </is>
      </c>
      <c r="H510" s="25" t="inlineStr">
        <is>
          <t>10+</t>
        </is>
      </c>
      <c r="I510" s="9">
        <f>IFERROR(INDEX('Темы × классы'!$R:$R,MATCH(E510,'Темы × классы'!$E:$E,0)),"")</f>
        <v/>
      </c>
      <c r="J510" s="9">
        <f>IFERROR(INDEX('Темы × классы'!$S:$S,MATCH(E510,'Темы × классы'!$E:$E,0))&amp;"","")</f>
        <v/>
      </c>
      <c r="K510" s="9" t="inlineStr">
        <is>
          <t>не начат</t>
        </is>
      </c>
      <c r="L510" s="9" t="inlineStr">
        <is>
          <t>Spotlight / 7 класс / Module 5 · What the future holds / Conditionals (Type 1) / Conditionals Type 1: главная часть с Imperative / can, must, may</t>
        </is>
      </c>
    </row>
    <row r="511">
      <c r="A511" s="25" t="n">
        <v>7</v>
      </c>
      <c r="B511" s="9" t="inlineStr">
        <is>
          <t>Module 5 · What the future holds</t>
        </is>
      </c>
      <c r="C511" s="9" t="inlineStr"/>
      <c r="D511" s="9" t="inlineStr">
        <is>
          <t>Conditionals (Type 1)</t>
        </is>
      </c>
      <c r="E511" s="23" t="inlineStr">
        <is>
          <t>Conditionals Type 1: значение — реальная/вероятная ситуация в настоящем/будущем</t>
        </is>
      </c>
      <c r="F511" s="26" t="inlineStr">
        <is>
          <t>новое</t>
        </is>
      </c>
      <c r="G511" s="9" t="inlineStr">
        <is>
          <t>в будущем</t>
        </is>
      </c>
      <c r="H511" s="25" t="inlineStr">
        <is>
          <t>10+</t>
        </is>
      </c>
      <c r="I511" s="9">
        <f>IFERROR(INDEX('Темы × классы'!$R:$R,MATCH(E511,'Темы × классы'!$E:$E,0)),"")</f>
        <v/>
      </c>
      <c r="J511" s="9">
        <f>IFERROR(INDEX('Темы × классы'!$S:$S,MATCH(E511,'Темы × классы'!$E:$E,0))&amp;"","")</f>
        <v/>
      </c>
      <c r="K511" s="9" t="inlineStr">
        <is>
          <t>не начат</t>
        </is>
      </c>
      <c r="L511" s="9" t="inlineStr">
        <is>
          <t>Spotlight / 7 класс / Module 5 · What the future holds / Conditionals (Type 1) / Conditionals Type 1: значение — реальная/вероятная ситуация в настоящем/будущем</t>
        </is>
      </c>
    </row>
    <row r="512">
      <c r="A512" s="25" t="n">
        <v>7</v>
      </c>
      <c r="B512" s="9" t="inlineStr">
        <is>
          <t>Module 5 · What the future holds</t>
        </is>
      </c>
      <c r="C512" s="9" t="inlineStr"/>
      <c r="D512" s="9" t="inlineStr">
        <is>
          <t>Conditionals (Type 1)</t>
        </is>
      </c>
      <c r="E512" s="23" t="inlineStr">
        <is>
          <t>Conditionals Type 1: запятая, если if-часть впереди</t>
        </is>
      </c>
      <c r="F512" s="26" t="inlineStr">
        <is>
          <t>новое</t>
        </is>
      </c>
      <c r="G512" s="9" t="inlineStr">
        <is>
          <t>без запятой, если главное первым</t>
        </is>
      </c>
      <c r="H512" s="25" t="inlineStr">
        <is>
          <t>10+</t>
        </is>
      </c>
      <c r="I512" s="9">
        <f>IFERROR(INDEX('Темы × классы'!$R:$R,MATCH(E512,'Темы × классы'!$E:$E,0)),"")</f>
        <v/>
      </c>
      <c r="J512" s="9">
        <f>IFERROR(INDEX('Темы × классы'!$S:$S,MATCH(E512,'Темы × классы'!$E:$E,0))&amp;"","")</f>
        <v/>
      </c>
      <c r="K512" s="9" t="inlineStr">
        <is>
          <t>не начат</t>
        </is>
      </c>
      <c r="L512" s="9" t="inlineStr">
        <is>
          <t>Spotlight / 7 класс / Module 5 · What the future holds / Conditionals (Type 1) / Conditionals Type 1: запятая, если if-часть впереди</t>
        </is>
      </c>
    </row>
    <row r="513">
      <c r="A513" s="25" t="n">
        <v>7</v>
      </c>
      <c r="B513" s="9" t="inlineStr">
        <is>
          <t>Module 5 · What the future holds</t>
        </is>
      </c>
      <c r="C513" s="9" t="inlineStr"/>
      <c r="D513" s="9" t="inlineStr">
        <is>
          <t>Conditionals (Type 1)</t>
        </is>
      </c>
      <c r="E513" s="23" t="inlineStr">
        <is>
          <t>Conditionals Type 1: unless = if not</t>
        </is>
      </c>
      <c r="F513" s="26" t="inlineStr">
        <is>
          <t>новое</t>
        </is>
      </c>
      <c r="G513" s="9" t="inlineStr">
        <is>
          <t>unless + утвердительная форма</t>
        </is>
      </c>
      <c r="H513" s="25" t="inlineStr">
        <is>
          <t>10+</t>
        </is>
      </c>
      <c r="I513" s="9">
        <f>IFERROR(INDEX('Темы × классы'!$R:$R,MATCH(E513,'Темы × классы'!$E:$E,0)),"")</f>
        <v/>
      </c>
      <c r="J513" s="9">
        <f>IFERROR(INDEX('Темы × классы'!$S:$S,MATCH(E513,'Темы × классы'!$E:$E,0))&amp;"","")</f>
        <v/>
      </c>
      <c r="K513" s="9" t="inlineStr">
        <is>
          <t>не начат</t>
        </is>
      </c>
      <c r="L513" s="9" t="inlineStr">
        <is>
          <t>Spotlight / 7 класс / Module 5 · What the future holds / Conditionals (Type 1) / Conditionals Type 1: unless = if not</t>
        </is>
      </c>
    </row>
    <row r="514">
      <c r="A514" s="25" t="n">
        <v>7</v>
      </c>
      <c r="B514" s="9" t="inlineStr">
        <is>
          <t>Module 5 · What the future holds</t>
        </is>
      </c>
      <c r="C514" s="9" t="inlineStr"/>
      <c r="D514" s="9" t="inlineStr">
        <is>
          <t>Time clauses</t>
        </is>
      </c>
      <c r="E514" s="23" t="inlineStr">
        <is>
          <t>Time clauses: Present Simple вместо будущего после when/before/after/until/as soon as…</t>
        </is>
      </c>
      <c r="F514" s="26" t="inlineStr">
        <is>
          <t>новое</t>
        </is>
      </c>
      <c r="G514" s="9" t="inlineStr">
        <is>
          <t>while, before, after, until/till, as, when, whenever, once, as soon as, as long as, by the time</t>
        </is>
      </c>
      <c r="H514" s="25" t="inlineStr">
        <is>
          <t>10+</t>
        </is>
      </c>
      <c r="I514" s="9">
        <f>IFERROR(INDEX('Темы × классы'!$R:$R,MATCH(E514,'Темы × классы'!$E:$E,0)),"")</f>
        <v/>
      </c>
      <c r="J514" s="9">
        <f>IFERROR(INDEX('Темы × классы'!$S:$S,MATCH(E514,'Темы × классы'!$E:$E,0))&amp;"","")</f>
        <v/>
      </c>
      <c r="K514" s="9" t="inlineStr">
        <is>
          <t>не начат</t>
        </is>
      </c>
      <c r="L514" s="9" t="inlineStr">
        <is>
          <t>Spotlight / 7 класс / Module 5 · What the future holds / Time clauses / Time clauses: Present Simple вместо будущего после when/before/after/until/as soon as…</t>
        </is>
      </c>
    </row>
    <row r="515">
      <c r="A515" s="25" t="n">
        <v>7</v>
      </c>
      <c r="B515" s="9" t="inlineStr">
        <is>
          <t>Module 5 · What the future holds</t>
        </is>
      </c>
      <c r="C515" s="9" t="inlineStr"/>
      <c r="D515" s="9" t="inlineStr">
        <is>
          <t>Time clauses</t>
        </is>
      </c>
      <c r="E515" s="23" t="inlineStr">
        <is>
          <t>Time clauses: Present Perfect в придаточном времени</t>
        </is>
      </c>
      <c r="F515" s="26" t="inlineStr">
        <is>
          <t>новое</t>
        </is>
      </c>
      <c r="G515" s="9" t="inlineStr">
        <is>
          <t>Present Perfect вместо будущего</t>
        </is>
      </c>
      <c r="H515" s="25" t="inlineStr">
        <is>
          <t>10+</t>
        </is>
      </c>
      <c r="I515" s="9">
        <f>IFERROR(INDEX('Темы × классы'!$R:$R,MATCH(E515,'Темы × классы'!$E:$E,0)),"")</f>
        <v/>
      </c>
      <c r="J515" s="9">
        <f>IFERROR(INDEX('Темы × классы'!$S:$S,MATCH(E515,'Темы × классы'!$E:$E,0))&amp;"","")</f>
        <v/>
      </c>
      <c r="K515" s="9" t="inlineStr">
        <is>
          <t>не начат</t>
        </is>
      </c>
      <c r="L515" s="9" t="inlineStr">
        <is>
          <t>Spotlight / 7 класс / Module 5 · What the future holds / Time clauses / Time clauses: Present Perfect в придаточном времени</t>
        </is>
      </c>
    </row>
    <row r="516">
      <c r="A516" s="25" t="n">
        <v>7</v>
      </c>
      <c r="B516" s="9" t="inlineStr">
        <is>
          <t>Module 6 · Having fun</t>
        </is>
      </c>
      <c r="C516" s="9" t="inlineStr"/>
      <c r="D516" s="9" t="inlineStr">
        <is>
          <t>Present Perfect</t>
        </is>
      </c>
      <c r="E516" s="23" t="inlineStr">
        <is>
          <t>Present Perfect: утверждение (have/has + V3)</t>
        </is>
      </c>
      <c r="F516" s="25" t="inlineStr">
        <is>
          <t>повторение</t>
        </is>
      </c>
      <c r="G516" s="9" t="inlineStr"/>
      <c r="H516" s="25" t="inlineStr">
        <is>
          <t>10+</t>
        </is>
      </c>
      <c r="I516" s="9">
        <f>IFERROR(INDEX('Темы × классы'!$R:$R,MATCH(E516,'Темы × классы'!$E:$E,0)),"")</f>
        <v/>
      </c>
      <c r="J516" s="9">
        <f>IFERROR(INDEX('Темы × классы'!$S:$S,MATCH(E516,'Темы × классы'!$E:$E,0))&amp;"","")</f>
        <v/>
      </c>
      <c r="K516" s="9" t="inlineStr">
        <is>
          <t>не начат</t>
        </is>
      </c>
      <c r="L516" s="9" t="inlineStr">
        <is>
          <t>Spotlight / 7 класс / Module 6 · Having fun / Present Perfect / Present Perfect: утверждение (have/has + V3)</t>
        </is>
      </c>
    </row>
    <row r="517">
      <c r="A517" s="25" t="n">
        <v>7</v>
      </c>
      <c r="B517" s="9" t="inlineStr">
        <is>
          <t>Module 6 · Having fun</t>
        </is>
      </c>
      <c r="C517" s="9" t="inlineStr"/>
      <c r="D517" s="9" t="inlineStr">
        <is>
          <t>Present Perfect</t>
        </is>
      </c>
      <c r="E517" s="23" t="inlineStr">
        <is>
          <t>Present Perfect: отрицание (haven't/hasn't)</t>
        </is>
      </c>
      <c r="F517" s="25" t="inlineStr">
        <is>
          <t>повторение</t>
        </is>
      </c>
      <c r="G517" s="9" t="inlineStr">
        <is>
          <t>только в примерах (hasn't come)</t>
        </is>
      </c>
      <c r="H517" s="25" t="inlineStr">
        <is>
          <t>10+</t>
        </is>
      </c>
      <c r="I517" s="9">
        <f>IFERROR(INDEX('Темы × классы'!$R:$R,MATCH(E517,'Темы × классы'!$E:$E,0)),"")</f>
        <v/>
      </c>
      <c r="J517" s="9">
        <f>IFERROR(INDEX('Темы × классы'!$S:$S,MATCH(E517,'Темы × классы'!$E:$E,0))&amp;"","")</f>
        <v/>
      </c>
      <c r="K517" s="9" t="inlineStr">
        <is>
          <t>не начат</t>
        </is>
      </c>
      <c r="L517" s="9" t="inlineStr">
        <is>
          <t>Spotlight / 7 класс / Module 6 · Having fun / Present Perfect / Present Perfect: отрицание (haven't/hasn't)</t>
        </is>
      </c>
    </row>
    <row r="518">
      <c r="A518" s="25" t="n">
        <v>7</v>
      </c>
      <c r="B518" s="9" t="inlineStr">
        <is>
          <t>Module 6 · Having fun</t>
        </is>
      </c>
      <c r="C518" s="9" t="inlineStr"/>
      <c r="D518" s="9" t="inlineStr">
        <is>
          <t>Present Perfect</t>
        </is>
      </c>
      <c r="E518" s="23" t="inlineStr">
        <is>
          <t>Present Perfect: вопросы и краткие ответы</t>
        </is>
      </c>
      <c r="F518" s="25" t="inlineStr">
        <is>
          <t>повторение</t>
        </is>
      </c>
      <c r="G518" s="9" t="inlineStr">
        <is>
          <t>только в примерах (Have you joined…?)</t>
        </is>
      </c>
      <c r="H518" s="25" t="inlineStr">
        <is>
          <t>10+</t>
        </is>
      </c>
      <c r="I518" s="9">
        <f>IFERROR(INDEX('Темы × классы'!$R:$R,MATCH(E518,'Темы × классы'!$E:$E,0)),"")</f>
        <v/>
      </c>
      <c r="J518" s="9">
        <f>IFERROR(INDEX('Темы × классы'!$S:$S,MATCH(E518,'Темы × классы'!$E:$E,0))&amp;"","")</f>
        <v/>
      </c>
      <c r="K518" s="9" t="inlineStr">
        <is>
          <t>не начат</t>
        </is>
      </c>
      <c r="L518" s="9" t="inlineStr">
        <is>
          <t>Spotlight / 7 класс / Module 6 · Having fun / Present Perfect / Present Perfect: вопросы и краткие ответы</t>
        </is>
      </c>
    </row>
    <row r="519">
      <c r="A519" s="25" t="n">
        <v>7</v>
      </c>
      <c r="B519" s="9" t="inlineStr">
        <is>
          <t>Module 6 · Having fun</t>
        </is>
      </c>
      <c r="C519" s="9" t="inlineStr"/>
      <c r="D519" s="9" t="inlineStr">
        <is>
          <t>Present Perfect</t>
        </is>
      </c>
      <c r="E519" s="23" t="inlineStr">
        <is>
          <t>Present Perfect: значение — жизненный опыт, перемены (ever/never)</t>
        </is>
      </c>
      <c r="F519" s="25" t="inlineStr">
        <is>
          <t>повторение</t>
        </is>
      </c>
      <c r="G519" s="9" t="inlineStr">
        <is>
          <t>Natasha has been to the USA twice</t>
        </is>
      </c>
      <c r="H519" s="25" t="inlineStr">
        <is>
          <t>10+</t>
        </is>
      </c>
      <c r="I519" s="9">
        <f>IFERROR(INDEX('Темы × классы'!$R:$R,MATCH(E519,'Темы × классы'!$E:$E,0)),"")</f>
        <v/>
      </c>
      <c r="J519" s="9">
        <f>IFERROR(INDEX('Темы × классы'!$S:$S,MATCH(E519,'Темы × классы'!$E:$E,0))&amp;"","")</f>
        <v/>
      </c>
      <c r="K519" s="9" t="inlineStr">
        <is>
          <t>не начат</t>
        </is>
      </c>
      <c r="L519" s="9" t="inlineStr">
        <is>
          <t>Spotlight / 7 класс / Module 6 · Having fun / Present Perfect / Present Perfect: значение — жизненный опыт, перемены (ever/never)</t>
        </is>
      </c>
    </row>
    <row r="520">
      <c r="A520" s="25" t="n">
        <v>7</v>
      </c>
      <c r="B520" s="9" t="inlineStr">
        <is>
          <t>Module 6 · Having fun</t>
        </is>
      </c>
      <c r="C520" s="9" t="inlineStr"/>
      <c r="D520" s="9" t="inlineStr">
        <is>
          <t>Present Perfect</t>
        </is>
      </c>
      <c r="E520" s="23" t="inlineStr">
        <is>
          <t>Present Perfect: значение — результат в настоящем</t>
        </is>
      </c>
      <c r="F520" s="25" t="inlineStr">
        <is>
          <t>повторение</t>
        </is>
      </c>
      <c r="G520" s="9" t="inlineStr">
        <is>
          <t>связь с настоящим через результат</t>
        </is>
      </c>
      <c r="H520" s="25" t="inlineStr">
        <is>
          <t>10+</t>
        </is>
      </c>
      <c r="I520" s="9">
        <f>IFERROR(INDEX('Темы × классы'!$R:$R,MATCH(E520,'Темы × классы'!$E:$E,0)),"")</f>
        <v/>
      </c>
      <c r="J520" s="9">
        <f>IFERROR(INDEX('Темы × классы'!$S:$S,MATCH(E520,'Темы × классы'!$E:$E,0))&amp;"","")</f>
        <v/>
      </c>
      <c r="K520" s="9" t="inlineStr">
        <is>
          <t>не начат</t>
        </is>
      </c>
      <c r="L520" s="9" t="inlineStr">
        <is>
          <t>Spotlight / 7 класс / Module 6 · Having fun / Present Perfect / Present Perfect: значение — результат в настоящем</t>
        </is>
      </c>
    </row>
    <row r="521">
      <c r="A521" s="25" t="n">
        <v>7</v>
      </c>
      <c r="B521" s="9" t="inlineStr">
        <is>
          <t>Module 6 · Having fun</t>
        </is>
      </c>
      <c r="C521" s="9" t="inlineStr"/>
      <c r="D521" s="9" t="inlineStr">
        <is>
          <t>Present Perfect</t>
        </is>
      </c>
      <c r="E521" s="23" t="inlineStr">
        <is>
          <t>Present Perfect: значение — неуказанное время в прошлом</t>
        </is>
      </c>
      <c r="F521" s="26" t="inlineStr">
        <is>
          <t>новое</t>
        </is>
      </c>
      <c r="G521" s="9" t="inlineStr">
        <is>
          <t>I have seen this film</t>
        </is>
      </c>
      <c r="H521" s="25" t="inlineStr">
        <is>
          <t>10+</t>
        </is>
      </c>
      <c r="I521" s="9">
        <f>IFERROR(INDEX('Темы × классы'!$R:$R,MATCH(E521,'Темы × классы'!$E:$E,0)),"")</f>
        <v/>
      </c>
      <c r="J521" s="9">
        <f>IFERROR(INDEX('Темы × классы'!$S:$S,MATCH(E521,'Темы × классы'!$E:$E,0))&amp;"","")</f>
        <v/>
      </c>
      <c r="K521" s="9" t="inlineStr">
        <is>
          <t>не начат</t>
        </is>
      </c>
      <c r="L521" s="9" t="inlineStr">
        <is>
          <t>Spotlight / 7 класс / Module 6 · Having fun / Present Perfect / Present Perfect: значение — неуказанное время в прошлом</t>
        </is>
      </c>
    </row>
    <row r="522">
      <c r="A522" s="25" t="n">
        <v>7</v>
      </c>
      <c r="B522" s="9" t="inlineStr">
        <is>
          <t>Module 6 · Having fun</t>
        </is>
      </c>
      <c r="C522" s="9" t="inlineStr"/>
      <c r="D522" s="9" t="inlineStr">
        <is>
          <t>Present Perfect</t>
        </is>
      </c>
      <c r="E522" s="23" t="inlineStr">
        <is>
          <t>Present Perfect: значение — с прошлого до настоящего (stative verbs, for/since)</t>
        </is>
      </c>
      <c r="F522" s="26" t="inlineStr">
        <is>
          <t>новое</t>
        </is>
      </c>
      <c r="G522" s="9" t="inlineStr">
        <is>
          <t>be, have, like, know; for/since</t>
        </is>
      </c>
      <c r="H522" s="25" t="inlineStr">
        <is>
          <t>10+</t>
        </is>
      </c>
      <c r="I522" s="9">
        <f>IFERROR(INDEX('Темы × классы'!$R:$R,MATCH(E522,'Темы × классы'!$E:$E,0)),"")</f>
        <v/>
      </c>
      <c r="J522" s="9">
        <f>IFERROR(INDEX('Темы × классы'!$S:$S,MATCH(E522,'Темы × классы'!$E:$E,0))&amp;"","")</f>
        <v/>
      </c>
      <c r="K522" s="9" t="inlineStr">
        <is>
          <t>не начат</t>
        </is>
      </c>
      <c r="L522" s="9" t="inlineStr">
        <is>
          <t>Spotlight / 7 класс / Module 6 · Having fun / Present Perfect / Present Perfect: значение — с прошлого до настоящего (stative verbs, for/since)</t>
        </is>
      </c>
    </row>
    <row r="523">
      <c r="A523" s="25" t="n">
        <v>7</v>
      </c>
      <c r="B523" s="9" t="inlineStr">
        <is>
          <t>Module 6 · Having fun</t>
        </is>
      </c>
      <c r="C523" s="9" t="inlineStr"/>
      <c r="D523" s="9" t="inlineStr">
        <is>
          <t>Present Perfect</t>
        </is>
      </c>
      <c r="E523" s="23" t="inlineStr">
        <is>
          <t>Present Perfect: слова-маркеры already / yet / just / ever / never</t>
        </is>
      </c>
      <c r="F523" s="27" t="inlineStr">
        <is>
          <t>расширение</t>
        </is>
      </c>
      <c r="G523" s="9" t="inlineStr">
        <is>
          <t>already в утв./вопросе-удивлении, yet в вопр./отриц.; + always, so far, lately, recently, today, this week</t>
        </is>
      </c>
      <c r="H523" s="25" t="inlineStr">
        <is>
          <t>10+</t>
        </is>
      </c>
      <c r="I523" s="9">
        <f>IFERROR(INDEX('Темы × классы'!$R:$R,MATCH(E523,'Темы × классы'!$E:$E,0)),"")</f>
        <v/>
      </c>
      <c r="J523" s="9">
        <f>IFERROR(INDEX('Темы × классы'!$S:$S,MATCH(E523,'Темы × классы'!$E:$E,0))&amp;"","")</f>
        <v/>
      </c>
      <c r="K523" s="9" t="inlineStr">
        <is>
          <t>не начат</t>
        </is>
      </c>
      <c r="L523" s="9" t="inlineStr">
        <is>
          <t>Spotlight / 7 класс / Module 6 · Having fun / Present Perfect / Present Perfect: слова-маркеры already / yet / just / ever / never</t>
        </is>
      </c>
    </row>
    <row r="524">
      <c r="A524" s="25" t="n">
        <v>7</v>
      </c>
      <c r="B524" s="9" t="inlineStr">
        <is>
          <t>Module 7 · In the spotlight</t>
        </is>
      </c>
      <c r="C524" s="9" t="inlineStr"/>
      <c r="D524" s="9" t="inlineStr">
        <is>
          <t>Present Perfect vs Past Simple</t>
        </is>
      </c>
      <c r="E524" s="23" t="inlineStr">
        <is>
          <t>Present Perfect vs Past Simple: указанное время vs неуказанное время</t>
        </is>
      </c>
      <c r="F524" s="26" t="inlineStr">
        <is>
          <t>новое</t>
        </is>
      </c>
      <c r="G524" s="9" t="inlineStr">
        <is>
          <t>She wrote … in 1998 vs She has written lots of novels</t>
        </is>
      </c>
      <c r="H524" s="25" t="inlineStr">
        <is>
          <t>10+</t>
        </is>
      </c>
      <c r="I524" s="9">
        <f>IFERROR(INDEX('Темы × классы'!$R:$R,MATCH(E524,'Темы × классы'!$E:$E,0)),"")</f>
        <v/>
      </c>
      <c r="J524" s="9">
        <f>IFERROR(INDEX('Темы × классы'!$S:$S,MATCH(E524,'Темы × классы'!$E:$E,0))&amp;"","")</f>
        <v/>
      </c>
      <c r="K524" s="9" t="inlineStr">
        <is>
          <t>не начат</t>
        </is>
      </c>
      <c r="L524" s="9" t="inlineStr">
        <is>
          <t>Spotlight / 7 класс / Module 7 · In the spotlight / Present Perfect vs Past Simple / Present Perfect vs Past Simple: указанное время vs неуказанное время</t>
        </is>
      </c>
    </row>
    <row r="525">
      <c r="A525" s="25" t="n">
        <v>7</v>
      </c>
      <c r="B525" s="9" t="inlineStr">
        <is>
          <t>Module 7 · In the spotlight</t>
        </is>
      </c>
      <c r="C525" s="9" t="inlineStr"/>
      <c r="D525" s="9" t="inlineStr">
        <is>
          <t>Present Perfect vs Past Simple</t>
        </is>
      </c>
      <c r="E525" s="23" t="inlineStr">
        <is>
          <t>Present Perfect vs Past Simple: закончилось в прошлом vs длится до сих пор</t>
        </is>
      </c>
      <c r="F525" s="26" t="inlineStr">
        <is>
          <t>новое</t>
        </is>
      </c>
      <c r="G525" s="9" t="inlineStr">
        <is>
          <t>played for ten years vs have known her for five years (stative)</t>
        </is>
      </c>
      <c r="H525" s="25" t="inlineStr">
        <is>
          <t>10+</t>
        </is>
      </c>
      <c r="I525" s="9">
        <f>IFERROR(INDEX('Темы × классы'!$R:$R,MATCH(E525,'Темы × классы'!$E:$E,0)),"")</f>
        <v/>
      </c>
      <c r="J525" s="9">
        <f>IFERROR(INDEX('Темы × классы'!$S:$S,MATCH(E525,'Темы × классы'!$E:$E,0))&amp;"","")</f>
        <v/>
      </c>
      <c r="K525" s="9" t="inlineStr">
        <is>
          <t>не начат</t>
        </is>
      </c>
      <c r="L525" s="9" t="inlineStr">
        <is>
          <t>Spotlight / 7 класс / Module 7 · In the spotlight / Present Perfect vs Past Simple / Present Perfect vs Past Simple: закончилось в прошлом vs длится до сих пор</t>
        </is>
      </c>
    </row>
    <row r="526">
      <c r="A526" s="25" t="n">
        <v>7</v>
      </c>
      <c r="B526" s="9" t="inlineStr">
        <is>
          <t>Module 7 · In the spotlight</t>
        </is>
      </c>
      <c r="C526" s="9" t="inlineStr"/>
      <c r="D526" s="9" t="inlineStr">
        <is>
          <t>Comparatives &amp; Superlatives</t>
        </is>
      </c>
      <c r="E526" s="23" t="inlineStr">
        <is>
          <t>Comparatives &amp; Superlatives: сравнительная степень — -er + than</t>
        </is>
      </c>
      <c r="F526" s="25" t="inlineStr">
        <is>
          <t>повторение</t>
        </is>
      </c>
      <c r="G526" s="9" t="inlineStr"/>
      <c r="H526" s="25" t="inlineStr">
        <is>
          <t>10+</t>
        </is>
      </c>
      <c r="I526" s="9">
        <f>IFERROR(INDEX('Темы × классы'!$R:$R,MATCH(E526,'Темы × классы'!$E:$E,0)),"")</f>
        <v/>
      </c>
      <c r="J526" s="9">
        <f>IFERROR(INDEX('Темы × классы'!$S:$S,MATCH(E526,'Темы × классы'!$E:$E,0))&amp;"","")</f>
        <v/>
      </c>
      <c r="K526" s="9" t="inlineStr">
        <is>
          <t>не начат</t>
        </is>
      </c>
      <c r="L526" s="9" t="inlineStr">
        <is>
          <t>Spotlight / 7 класс / Module 7 · In the spotlight / Comparatives &amp; Superlatives / Comparatives &amp; Superlatives: сравнительная степень — -er + than</t>
        </is>
      </c>
    </row>
    <row r="527">
      <c r="A527" s="25" t="n">
        <v>7</v>
      </c>
      <c r="B527" s="9" t="inlineStr">
        <is>
          <t>Module 7 · In the spotlight</t>
        </is>
      </c>
      <c r="C527" s="9" t="inlineStr"/>
      <c r="D527" s="9" t="inlineStr">
        <is>
          <t>Comparatives &amp; Superlatives</t>
        </is>
      </c>
      <c r="E527" s="23" t="inlineStr">
        <is>
          <t>Comparatives &amp; Superlatives: сравнительная степень — more (многосложные)</t>
        </is>
      </c>
      <c r="F527" s="25" t="inlineStr">
        <is>
          <t>повторение</t>
        </is>
      </c>
      <c r="G527" s="9" t="inlineStr"/>
      <c r="H527" s="25" t="inlineStr">
        <is>
          <t>10+</t>
        </is>
      </c>
      <c r="I527" s="9">
        <f>IFERROR(INDEX('Темы × классы'!$R:$R,MATCH(E527,'Темы × классы'!$E:$E,0)),"")</f>
        <v/>
      </c>
      <c r="J527" s="9">
        <f>IFERROR(INDEX('Темы × классы'!$S:$S,MATCH(E527,'Темы × классы'!$E:$E,0))&amp;"","")</f>
        <v/>
      </c>
      <c r="K527" s="9" t="inlineStr">
        <is>
          <t>не начат</t>
        </is>
      </c>
      <c r="L527" s="9" t="inlineStr">
        <is>
          <t>Spotlight / 7 класс / Module 7 · In the spotlight / Comparatives &amp; Superlatives / Comparatives &amp; Superlatives: сравнительная степень — more (многосложные)</t>
        </is>
      </c>
    </row>
    <row r="528">
      <c r="A528" s="25" t="n">
        <v>7</v>
      </c>
      <c r="B528" s="9" t="inlineStr">
        <is>
          <t>Module 7 · In the spotlight</t>
        </is>
      </c>
      <c r="C528" s="9" t="inlineStr"/>
      <c r="D528" s="9" t="inlineStr">
        <is>
          <t>Comparatives &amp; Superlatives</t>
        </is>
      </c>
      <c r="E528" s="23" t="inlineStr">
        <is>
          <t>Comparatives &amp; Superlatives: орфография -er/-est (удвоение, -e, y → i)</t>
        </is>
      </c>
      <c r="F528" s="25" t="inlineStr">
        <is>
          <t>повторение</t>
        </is>
      </c>
      <c r="G528" s="9" t="inlineStr">
        <is>
          <t>wide – wider, big – bigger, ugly – uglier</t>
        </is>
      </c>
      <c r="H528" s="25" t="inlineStr">
        <is>
          <t>10+</t>
        </is>
      </c>
      <c r="I528" s="9">
        <f>IFERROR(INDEX('Темы × классы'!$R:$R,MATCH(E528,'Темы × классы'!$E:$E,0)),"")</f>
        <v/>
      </c>
      <c r="J528" s="9">
        <f>IFERROR(INDEX('Темы × классы'!$S:$S,MATCH(E528,'Темы × классы'!$E:$E,0))&amp;"","")</f>
        <v/>
      </c>
      <c r="K528" s="9" t="inlineStr">
        <is>
          <t>не начат</t>
        </is>
      </c>
      <c r="L528" s="9" t="inlineStr">
        <is>
          <t>Spotlight / 7 класс / Module 7 · In the spotlight / Comparatives &amp; Superlatives / Comparatives &amp; Superlatives: орфография -er/-est (удвоение, -e, y → i)</t>
        </is>
      </c>
    </row>
    <row r="529">
      <c r="A529" s="25" t="n">
        <v>7</v>
      </c>
      <c r="B529" s="9" t="inlineStr">
        <is>
          <t>Module 7 · In the spotlight</t>
        </is>
      </c>
      <c r="C529" s="9" t="inlineStr"/>
      <c r="D529" s="9" t="inlineStr">
        <is>
          <t>Comparatives &amp; Superlatives</t>
        </is>
      </c>
      <c r="E529" s="23" t="inlineStr">
        <is>
          <t>Comparatives &amp; Superlatives: превосходная степень — the -est + of/in</t>
        </is>
      </c>
      <c r="F529" s="25" t="inlineStr">
        <is>
          <t>повторение</t>
        </is>
      </c>
      <c r="G529" s="9" t="inlineStr"/>
      <c r="H529" s="25" t="inlineStr">
        <is>
          <t>10+</t>
        </is>
      </c>
      <c r="I529" s="9">
        <f>IFERROR(INDEX('Темы × классы'!$R:$R,MATCH(E529,'Темы × классы'!$E:$E,0)),"")</f>
        <v/>
      </c>
      <c r="J529" s="9">
        <f>IFERROR(INDEX('Темы × классы'!$S:$S,MATCH(E529,'Темы × классы'!$E:$E,0))&amp;"","")</f>
        <v/>
      </c>
      <c r="K529" s="9" t="inlineStr">
        <is>
          <t>не начат</t>
        </is>
      </c>
      <c r="L529" s="9" t="inlineStr">
        <is>
          <t>Spotlight / 7 класс / Module 7 · In the spotlight / Comparatives &amp; Superlatives / Comparatives &amp; Superlatives: превосходная степень — the -est + of/in</t>
        </is>
      </c>
    </row>
    <row r="530">
      <c r="A530" s="25" t="n">
        <v>7</v>
      </c>
      <c r="B530" s="9" t="inlineStr">
        <is>
          <t>Module 7 · In the spotlight</t>
        </is>
      </c>
      <c r="C530" s="9" t="inlineStr"/>
      <c r="D530" s="9" t="inlineStr">
        <is>
          <t>Comparatives &amp; Superlatives</t>
        </is>
      </c>
      <c r="E530" s="23" t="inlineStr">
        <is>
          <t>Comparatives &amp; Superlatives: превосходная степень — the most</t>
        </is>
      </c>
      <c r="F530" s="25" t="inlineStr">
        <is>
          <t>повторение</t>
        </is>
      </c>
      <c r="G530" s="9" t="inlineStr"/>
      <c r="H530" s="25" t="inlineStr">
        <is>
          <t>10+</t>
        </is>
      </c>
      <c r="I530" s="9">
        <f>IFERROR(INDEX('Темы × классы'!$R:$R,MATCH(E530,'Темы × классы'!$E:$E,0)),"")</f>
        <v/>
      </c>
      <c r="J530" s="9">
        <f>IFERROR(INDEX('Темы × классы'!$S:$S,MATCH(E530,'Темы × классы'!$E:$E,0))&amp;"","")</f>
        <v/>
      </c>
      <c r="K530" s="9" t="inlineStr">
        <is>
          <t>не начат</t>
        </is>
      </c>
      <c r="L530" s="9" t="inlineStr">
        <is>
          <t>Spotlight / 7 класс / Module 7 · In the spotlight / Comparatives &amp; Superlatives / Comparatives &amp; Superlatives: превосходная степень — the most</t>
        </is>
      </c>
    </row>
    <row r="531">
      <c r="A531" s="25" t="n">
        <v>7</v>
      </c>
      <c r="B531" s="9" t="inlineStr">
        <is>
          <t>Module 7 · In the spotlight</t>
        </is>
      </c>
      <c r="C531" s="9" t="inlineStr"/>
      <c r="D531" s="9" t="inlineStr">
        <is>
          <t>Comparatives &amp; Superlatives</t>
        </is>
      </c>
      <c r="E531" s="23" t="inlineStr">
        <is>
          <t>Comparatives &amp; Superlatives: неправильные прилагательные (good, bad, many/much, little)</t>
        </is>
      </c>
      <c r="F531" s="25" t="inlineStr">
        <is>
          <t>повторение</t>
        </is>
      </c>
      <c r="G531" s="9" t="inlineStr"/>
      <c r="H531" s="25" t="inlineStr">
        <is>
          <t>10+</t>
        </is>
      </c>
      <c r="I531" s="9">
        <f>IFERROR(INDEX('Темы × классы'!$R:$R,MATCH(E531,'Темы × классы'!$E:$E,0)),"")</f>
        <v/>
      </c>
      <c r="J531" s="9">
        <f>IFERROR(INDEX('Темы × классы'!$S:$S,MATCH(E531,'Темы × классы'!$E:$E,0))&amp;"","")</f>
        <v/>
      </c>
      <c r="K531" s="9" t="inlineStr">
        <is>
          <t>не начат</t>
        </is>
      </c>
      <c r="L531" s="9" t="inlineStr">
        <is>
          <t>Spotlight / 7 класс / Module 7 · In the spotlight / Comparatives &amp; Superlatives / Comparatives &amp; Superlatives: неправильные прилагательные (good, bad, many/much, little)</t>
        </is>
      </c>
    </row>
    <row r="532">
      <c r="A532" s="25" t="n">
        <v>7</v>
      </c>
      <c r="B532" s="9" t="inlineStr">
        <is>
          <t>Module 7 · In the spotlight</t>
        </is>
      </c>
      <c r="C532" s="9" t="inlineStr"/>
      <c r="D532" s="9" t="inlineStr">
        <is>
          <t>Comparatives &amp; Superlatives</t>
        </is>
      </c>
      <c r="E532" s="23" t="inlineStr">
        <is>
          <t>Comparatives &amp; Superlatives: двусложные на -y/-er/-ow — -er/-est</t>
        </is>
      </c>
      <c r="F532" s="27" t="inlineStr">
        <is>
          <t>расширение</t>
        </is>
      </c>
      <c r="G532" s="9" t="inlineStr">
        <is>
          <t>добавлены на -ow (narrow – narrower)</t>
        </is>
      </c>
      <c r="H532" s="25" t="inlineStr">
        <is>
          <t>10+</t>
        </is>
      </c>
      <c r="I532" s="9">
        <f>IFERROR(INDEX('Темы × классы'!$R:$R,MATCH(E532,'Темы × классы'!$E:$E,0)),"")</f>
        <v/>
      </c>
      <c r="J532" s="9">
        <f>IFERROR(INDEX('Темы × классы'!$S:$S,MATCH(E532,'Темы × классы'!$E:$E,0))&amp;"","")</f>
        <v/>
      </c>
      <c r="K532" s="9" t="inlineStr">
        <is>
          <t>не начат</t>
        </is>
      </c>
      <c r="L532" s="9" t="inlineStr">
        <is>
          <t>Spotlight / 7 класс / Module 7 · In the spotlight / Comparatives &amp; Superlatives / Comparatives &amp; Superlatives: двусложные на -y/-er/-ow — -er/-est</t>
        </is>
      </c>
    </row>
    <row r="533">
      <c r="A533" s="25" t="n">
        <v>7</v>
      </c>
      <c r="B533" s="9" t="inlineStr">
        <is>
          <t>Module 7 · In the spotlight</t>
        </is>
      </c>
      <c r="C533" s="9" t="inlineStr"/>
      <c r="D533" s="9" t="inlineStr">
        <is>
          <t>Comparatives &amp; Superlatives</t>
        </is>
      </c>
      <c r="E533" s="23" t="inlineStr">
        <is>
          <t>Comparatives &amp; Superlatives: прилагательные с двумя способами (clever, quiet, friendly…)</t>
        </is>
      </c>
      <c r="F533" s="26" t="inlineStr">
        <is>
          <t>новое</t>
        </is>
      </c>
      <c r="G533" s="9" t="inlineStr">
        <is>
          <t>clever, common, cruel, friendly, gentle, pleasant, polite, simple, stupid, quiet</t>
        </is>
      </c>
      <c r="H533" s="25" t="inlineStr">
        <is>
          <t>10+</t>
        </is>
      </c>
      <c r="I533" s="9">
        <f>IFERROR(INDEX('Темы × классы'!$R:$R,MATCH(E533,'Темы × классы'!$E:$E,0)),"")</f>
        <v/>
      </c>
      <c r="J533" s="9">
        <f>IFERROR(INDEX('Темы × классы'!$S:$S,MATCH(E533,'Темы × классы'!$E:$E,0))&amp;"","")</f>
        <v/>
      </c>
      <c r="K533" s="9" t="inlineStr">
        <is>
          <t>не начат</t>
        </is>
      </c>
      <c r="L533" s="9" t="inlineStr">
        <is>
          <t>Spotlight / 7 класс / Module 7 · In the spotlight / Comparatives &amp; Superlatives / Comparatives &amp; Superlatives: прилагательные с двумя способами (clever, quiet, friendly…)</t>
        </is>
      </c>
    </row>
    <row r="534">
      <c r="A534" s="25" t="n">
        <v>7</v>
      </c>
      <c r="B534" s="9" t="inlineStr">
        <is>
          <t>Module 7 · In the spotlight</t>
        </is>
      </c>
      <c r="C534" s="9" t="inlineStr"/>
      <c r="D534" s="9" t="inlineStr">
        <is>
          <t>Comparatives &amp; Superlatives</t>
        </is>
      </c>
      <c r="E534" s="23" t="inlineStr">
        <is>
          <t>Comparatives &amp; Superlatives: far — farther/further, old — elder/eldest</t>
        </is>
      </c>
      <c r="F534" s="26" t="inlineStr">
        <is>
          <t>новое</t>
        </is>
      </c>
      <c r="G534" s="9" t="inlineStr">
        <is>
          <t>far – farther/further; old – older/elder</t>
        </is>
      </c>
      <c r="H534" s="25" t="inlineStr">
        <is>
          <t>10+</t>
        </is>
      </c>
      <c r="I534" s="9">
        <f>IFERROR(INDEX('Темы × классы'!$R:$R,MATCH(E534,'Темы × классы'!$E:$E,0)),"")</f>
        <v/>
      </c>
      <c r="J534" s="9">
        <f>IFERROR(INDEX('Темы × классы'!$S:$S,MATCH(E534,'Темы × классы'!$E:$E,0))&amp;"","")</f>
        <v/>
      </c>
      <c r="K534" s="9" t="inlineStr">
        <is>
          <t>не начат</t>
        </is>
      </c>
      <c r="L534" s="9" t="inlineStr">
        <is>
          <t>Spotlight / 7 класс / Module 7 · In the spotlight / Comparatives &amp; Superlatives / Comparatives &amp; Superlatives: far — farther/further, old — elder/eldest</t>
        </is>
      </c>
    </row>
    <row r="535">
      <c r="A535" s="25" t="n">
        <v>7</v>
      </c>
      <c r="B535" s="9" t="inlineStr">
        <is>
          <t>Module 7 · In the spotlight</t>
        </is>
      </c>
      <c r="C535" s="9" t="inlineStr"/>
      <c r="D535" s="9" t="inlineStr">
        <is>
          <t>Comparatives &amp; Superlatives</t>
        </is>
      </c>
      <c r="E535" s="23" t="inlineStr">
        <is>
          <t>Comparatives &amp; Superlatives: наречия — -er/-est (hard, fast, early)</t>
        </is>
      </c>
      <c r="F535" s="27" t="inlineStr">
        <is>
          <t>расширение</t>
        </is>
      </c>
      <c r="G535" s="9" t="inlineStr">
        <is>
          <t>расширенный список: free, low, deep, long, right, wrong, straight</t>
        </is>
      </c>
      <c r="H535" s="25" t="inlineStr">
        <is>
          <t>10+</t>
        </is>
      </c>
      <c r="I535" s="9">
        <f>IFERROR(INDEX('Темы × классы'!$R:$R,MATCH(E535,'Темы × классы'!$E:$E,0)),"")</f>
        <v/>
      </c>
      <c r="J535" s="9">
        <f>IFERROR(INDEX('Темы × классы'!$S:$S,MATCH(E535,'Темы × классы'!$E:$E,0))&amp;"","")</f>
        <v/>
      </c>
      <c r="K535" s="9" t="inlineStr">
        <is>
          <t>не начат</t>
        </is>
      </c>
      <c r="L535" s="9" t="inlineStr">
        <is>
          <t>Spotlight / 7 класс / Module 7 · In the spotlight / Comparatives &amp; Superlatives / Comparatives &amp; Superlatives: наречия — -er/-est (hard, fast, early)</t>
        </is>
      </c>
    </row>
    <row r="536">
      <c r="A536" s="25" t="n">
        <v>7</v>
      </c>
      <c r="B536" s="9" t="inlineStr">
        <is>
          <t>Module 7 · In the spotlight</t>
        </is>
      </c>
      <c r="C536" s="9" t="inlineStr"/>
      <c r="D536" s="9" t="inlineStr">
        <is>
          <t>Comparatives &amp; Superlatives</t>
        </is>
      </c>
      <c r="E536" s="23" t="inlineStr">
        <is>
          <t>Comparatives &amp; Superlatives: наречия — more/most (slowly)</t>
        </is>
      </c>
      <c r="F536" s="25" t="inlineStr">
        <is>
          <t>повторение</t>
        </is>
      </c>
      <c r="G536" s="9" t="inlineStr">
        <is>
          <t>slowly</t>
        </is>
      </c>
      <c r="H536" s="25" t="inlineStr">
        <is>
          <t>10+</t>
        </is>
      </c>
      <c r="I536" s="9">
        <f>IFERROR(INDEX('Темы × классы'!$R:$R,MATCH(E536,'Темы × классы'!$E:$E,0)),"")</f>
        <v/>
      </c>
      <c r="J536" s="9">
        <f>IFERROR(INDEX('Темы × классы'!$S:$S,MATCH(E536,'Темы × классы'!$E:$E,0))&amp;"","")</f>
        <v/>
      </c>
      <c r="K536" s="9" t="inlineStr">
        <is>
          <t>не начат</t>
        </is>
      </c>
      <c r="L536" s="9" t="inlineStr">
        <is>
          <t>Spotlight / 7 класс / Module 7 · In the spotlight / Comparatives &amp; Superlatives / Comparatives &amp; Superlatives: наречия — more/most (slowly)</t>
        </is>
      </c>
    </row>
    <row r="537">
      <c r="A537" s="25" t="n">
        <v>7</v>
      </c>
      <c r="B537" s="9" t="inlineStr">
        <is>
          <t>Module 7 · In the spotlight</t>
        </is>
      </c>
      <c r="C537" s="9" t="inlineStr"/>
      <c r="D537" s="9" t="inlineStr">
        <is>
          <t>Comparatives &amp; Superlatives</t>
        </is>
      </c>
      <c r="E537" s="23" t="inlineStr">
        <is>
          <t>Comparatives &amp; Superlatives: неправильные наречия (well, badly)</t>
        </is>
      </c>
      <c r="F537" s="25" t="inlineStr">
        <is>
          <t>повторение</t>
        </is>
      </c>
      <c r="G537" s="9" t="inlineStr">
        <is>
          <t>good/well, bad/badly</t>
        </is>
      </c>
      <c r="H537" s="25" t="inlineStr">
        <is>
          <t>10+</t>
        </is>
      </c>
      <c r="I537" s="9">
        <f>IFERROR(INDEX('Темы × классы'!$R:$R,MATCH(E537,'Темы × классы'!$E:$E,0)),"")</f>
        <v/>
      </c>
      <c r="J537" s="9">
        <f>IFERROR(INDEX('Темы × классы'!$S:$S,MATCH(E537,'Темы × классы'!$E:$E,0))&amp;"","")</f>
        <v/>
      </c>
      <c r="K537" s="9" t="inlineStr">
        <is>
          <t>не начат</t>
        </is>
      </c>
      <c r="L537" s="9" t="inlineStr">
        <is>
          <t>Spotlight / 7 класс / Module 7 · In the spotlight / Comparatives &amp; Superlatives / Comparatives &amp; Superlatives: неправильные наречия (well, badly)</t>
        </is>
      </c>
    </row>
    <row r="538">
      <c r="A538" s="25" t="n">
        <v>7</v>
      </c>
      <c r="B538" s="9" t="inlineStr">
        <is>
          <t>Module 7 · In the spotlight</t>
        </is>
      </c>
      <c r="C538" s="9" t="inlineStr"/>
      <c r="D538" s="9" t="inlineStr">
        <is>
          <t>Comparative structures</t>
        </is>
      </c>
      <c r="E538" s="23" t="inlineStr">
        <is>
          <t>Comparative structures: as … as / not as (so) … as</t>
        </is>
      </c>
      <c r="F538" s="26" t="inlineStr">
        <is>
          <t>новое</t>
        </is>
      </c>
      <c r="G538" s="9" t="inlineStr">
        <is>
          <t>as … as, not as/so … as</t>
        </is>
      </c>
      <c r="H538" s="25" t="inlineStr">
        <is>
          <t>10+</t>
        </is>
      </c>
      <c r="I538" s="9">
        <f>IFERROR(INDEX('Темы × классы'!$R:$R,MATCH(E538,'Темы × классы'!$E:$E,0)),"")</f>
        <v/>
      </c>
      <c r="J538" s="9">
        <f>IFERROR(INDEX('Темы × классы'!$S:$S,MATCH(E538,'Темы × классы'!$E:$E,0))&amp;"","")</f>
        <v/>
      </c>
      <c r="K538" s="9" t="inlineStr">
        <is>
          <t>не начат</t>
        </is>
      </c>
      <c r="L538" s="9" t="inlineStr">
        <is>
          <t>Spotlight / 7 класс / Module 7 · In the spotlight / Comparative structures / Comparative structures: as … as / not as (so) … as</t>
        </is>
      </c>
    </row>
    <row r="539">
      <c r="A539" s="25" t="n">
        <v>7</v>
      </c>
      <c r="B539" s="9" t="inlineStr">
        <is>
          <t>Module 7 · In the spotlight</t>
        </is>
      </c>
      <c r="C539" s="9" t="inlineStr"/>
      <c r="D539" s="9" t="inlineStr">
        <is>
          <t>Comparative structures</t>
        </is>
      </c>
      <c r="E539" s="23" t="inlineStr">
        <is>
          <t>Comparative structures: less … than / the least … of/in</t>
        </is>
      </c>
      <c r="F539" s="26" t="inlineStr">
        <is>
          <t>новое</t>
        </is>
      </c>
      <c r="G539" s="9" t="inlineStr">
        <is>
          <t>less … than / more … than; the least / the most … of/in</t>
        </is>
      </c>
      <c r="H539" s="25" t="inlineStr">
        <is>
          <t>10+</t>
        </is>
      </c>
      <c r="I539" s="9">
        <f>IFERROR(INDEX('Темы × классы'!$R:$R,MATCH(E539,'Темы × классы'!$E:$E,0)),"")</f>
        <v/>
      </c>
      <c r="J539" s="9">
        <f>IFERROR(INDEX('Темы × классы'!$S:$S,MATCH(E539,'Темы × классы'!$E:$E,0))&amp;"","")</f>
        <v/>
      </c>
      <c r="K539" s="9" t="inlineStr">
        <is>
          <t>не начат</t>
        </is>
      </c>
      <c r="L539" s="9" t="inlineStr">
        <is>
          <t>Spotlight / 7 класс / Module 7 · In the spotlight / Comparative structures / Comparative structures: less … than / the least … of/in</t>
        </is>
      </c>
    </row>
    <row r="540">
      <c r="A540" s="25" t="n">
        <v>7</v>
      </c>
      <c r="B540" s="9" t="inlineStr">
        <is>
          <t>Module 7 · In the spotlight</t>
        </is>
      </c>
      <c r="C540" s="9" t="inlineStr"/>
      <c r="D540" s="9" t="inlineStr">
        <is>
          <t>Comparative structures</t>
        </is>
      </c>
      <c r="E540" s="23" t="inlineStr">
        <is>
          <t>Comparative structures: much/a lot/far/a bit/slightly + comparative</t>
        </is>
      </c>
      <c r="F540" s="26" t="inlineStr">
        <is>
          <t>новое</t>
        </is>
      </c>
      <c r="G540" s="9" t="inlineStr">
        <is>
          <t>much/a lot/far/a little/a bit/slightly</t>
        </is>
      </c>
      <c r="H540" s="25" t="inlineStr">
        <is>
          <t>10+</t>
        </is>
      </c>
      <c r="I540" s="9">
        <f>IFERROR(INDEX('Темы × классы'!$R:$R,MATCH(E540,'Темы × классы'!$E:$E,0)),"")</f>
        <v/>
      </c>
      <c r="J540" s="9">
        <f>IFERROR(INDEX('Темы × классы'!$S:$S,MATCH(E540,'Темы × классы'!$E:$E,0))&amp;"","")</f>
        <v/>
      </c>
      <c r="K540" s="9" t="inlineStr">
        <is>
          <t>не начат</t>
        </is>
      </c>
      <c r="L540" s="9" t="inlineStr">
        <is>
          <t>Spotlight / 7 класс / Module 7 · In the spotlight / Comparative structures / Comparative structures: much/a lot/far/a bit/slightly + comparative</t>
        </is>
      </c>
    </row>
    <row r="541">
      <c r="A541" s="25" t="n">
        <v>7</v>
      </c>
      <c r="B541" s="9" t="inlineStr">
        <is>
          <t>Module 7 · In the spotlight</t>
        </is>
      </c>
      <c r="C541" s="9" t="inlineStr"/>
      <c r="D541" s="9" t="inlineStr">
        <is>
          <t>Comparative structures</t>
        </is>
      </c>
      <c r="E541" s="23" t="inlineStr">
        <is>
          <t>Comparative structures: the + comparative …, the + comparative</t>
        </is>
      </c>
      <c r="F541" s="26" t="inlineStr">
        <is>
          <t>новое</t>
        </is>
      </c>
      <c r="G541" s="9" t="inlineStr">
        <is>
          <t>The harder she studies, the more easily…</t>
        </is>
      </c>
      <c r="H541" s="25" t="inlineStr">
        <is>
          <t>10+</t>
        </is>
      </c>
      <c r="I541" s="9">
        <f>IFERROR(INDEX('Темы × классы'!$R:$R,MATCH(E541,'Темы × классы'!$E:$E,0)),"")</f>
        <v/>
      </c>
      <c r="J541" s="9">
        <f>IFERROR(INDEX('Темы × классы'!$S:$S,MATCH(E541,'Темы × классы'!$E:$E,0))&amp;"","")</f>
        <v/>
      </c>
      <c r="K541" s="9" t="inlineStr">
        <is>
          <t>не начат</t>
        </is>
      </c>
      <c r="L541" s="9" t="inlineStr">
        <is>
          <t>Spotlight / 7 класс / Module 7 · In the spotlight / Comparative structures / Comparative structures: the + comparative …, the + comparative</t>
        </is>
      </c>
    </row>
    <row r="542">
      <c r="A542" s="25" t="n">
        <v>7</v>
      </c>
      <c r="B542" s="9" t="inlineStr">
        <is>
          <t>Module 7 · In the spotlight</t>
        </is>
      </c>
      <c r="C542" s="9" t="inlineStr"/>
      <c r="D542" s="9" t="inlineStr">
        <is>
          <t>Comparative structures</t>
        </is>
      </c>
      <c r="E542" s="23" t="inlineStr">
        <is>
          <t>Comparative structures: comparative and comparative (shorter and shorter)</t>
        </is>
      </c>
      <c r="F542" s="26" t="inlineStr">
        <is>
          <t>новое</t>
        </is>
      </c>
      <c r="G542" s="9" t="inlineStr">
        <is>
          <t>shorter and shorter</t>
        </is>
      </c>
      <c r="H542" s="25" t="inlineStr">
        <is>
          <t>10+</t>
        </is>
      </c>
      <c r="I542" s="9">
        <f>IFERROR(INDEX('Темы × классы'!$R:$R,MATCH(E542,'Темы × классы'!$E:$E,0)),"")</f>
        <v/>
      </c>
      <c r="J542" s="9">
        <f>IFERROR(INDEX('Темы × классы'!$S:$S,MATCH(E542,'Темы × классы'!$E:$E,0))&amp;"","")</f>
        <v/>
      </c>
      <c r="K542" s="9" t="inlineStr">
        <is>
          <t>не начат</t>
        </is>
      </c>
      <c r="L542" s="9" t="inlineStr">
        <is>
          <t>Spotlight / 7 класс / Module 7 · In the spotlight / Comparative structures / Comparative structures: comparative and comparative (shorter and shorter)</t>
        </is>
      </c>
    </row>
    <row r="543">
      <c r="A543" s="25" t="n">
        <v>7</v>
      </c>
      <c r="B543" s="9" t="inlineStr">
        <is>
          <t>Module 7 · In the spotlight</t>
        </is>
      </c>
      <c r="C543" s="9" t="inlineStr"/>
      <c r="D543" s="9" t="inlineStr">
        <is>
          <t>Comparative structures</t>
        </is>
      </c>
      <c r="E543" s="23" t="inlineStr">
        <is>
          <t>Comparative structures: by far + the superlative</t>
        </is>
      </c>
      <c r="F543" s="26" t="inlineStr">
        <is>
          <t>новое</t>
        </is>
      </c>
      <c r="G543" s="9" t="inlineStr">
        <is>
          <t>by far + the + superlative</t>
        </is>
      </c>
      <c r="H543" s="25" t="inlineStr">
        <is>
          <t>10+</t>
        </is>
      </c>
      <c r="I543" s="9">
        <f>IFERROR(INDEX('Темы × классы'!$R:$R,MATCH(E543,'Темы × классы'!$E:$E,0)),"")</f>
        <v/>
      </c>
      <c r="J543" s="9">
        <f>IFERROR(INDEX('Темы × классы'!$S:$S,MATCH(E543,'Темы × классы'!$E:$E,0))&amp;"","")</f>
        <v/>
      </c>
      <c r="K543" s="9" t="inlineStr">
        <is>
          <t>не начат</t>
        </is>
      </c>
      <c r="L543" s="9" t="inlineStr">
        <is>
          <t>Spotlight / 7 класс / Module 7 · In the spotlight / Comparative structures / Comparative structures: by far + the superlative</t>
        </is>
      </c>
    </row>
    <row r="544">
      <c r="A544" s="25" t="n">
        <v>7</v>
      </c>
      <c r="B544" s="9" t="inlineStr">
        <is>
          <t>Module 8 · Green issues</t>
        </is>
      </c>
      <c r="C544" s="9" t="inlineStr"/>
      <c r="D544" s="9" t="inlineStr">
        <is>
          <t>Present Perfect Continuous</t>
        </is>
      </c>
      <c r="E544" s="23" t="inlineStr">
        <is>
          <t>Present Perfect Continuous: значение — длительность до настоящего (since/for/how long)</t>
        </is>
      </c>
      <c r="F544" s="26" t="inlineStr">
        <is>
          <t>новое</t>
        </is>
      </c>
      <c r="G544" s="9" t="inlineStr">
        <is>
          <t>since, for, how long</t>
        </is>
      </c>
      <c r="H544" s="25" t="inlineStr">
        <is>
          <t>10+</t>
        </is>
      </c>
      <c r="I544" s="9">
        <f>IFERROR(INDEX('Темы × классы'!$R:$R,MATCH(E544,'Темы × классы'!$E:$E,0)),"")</f>
        <v/>
      </c>
      <c r="J544" s="9">
        <f>IFERROR(INDEX('Темы × классы'!$S:$S,MATCH(E544,'Темы × классы'!$E:$E,0))&amp;"","")</f>
        <v/>
      </c>
      <c r="K544" s="9" t="inlineStr">
        <is>
          <t>не начат</t>
        </is>
      </c>
      <c r="L544" s="9" t="inlineStr">
        <is>
          <t>Spotlight / 7 класс / Module 8 · Green issues / Present Perfect Continuous / Present Perfect Continuous: значение — длительность до настоящего (since/for/how long)</t>
        </is>
      </c>
    </row>
    <row r="545">
      <c r="A545" s="25" t="n">
        <v>7</v>
      </c>
      <c r="B545" s="9" t="inlineStr">
        <is>
          <t>Module 8 · Green issues</t>
        </is>
      </c>
      <c r="C545" s="9" t="inlineStr"/>
      <c r="D545" s="9" t="inlineStr">
        <is>
          <t>Present Perfect Continuous</t>
        </is>
      </c>
      <c r="E545" s="23" t="inlineStr">
        <is>
          <t>Present Perfect Continuous: значение — видимый результат длительного действия</t>
        </is>
      </c>
      <c r="F545" s="26" t="inlineStr">
        <is>
          <t>новое</t>
        </is>
      </c>
      <c r="G545" s="9" t="inlineStr">
        <is>
          <t>Your hands are dirty. Have you been painting?</t>
        </is>
      </c>
      <c r="H545" s="25" t="inlineStr">
        <is>
          <t>10+</t>
        </is>
      </c>
      <c r="I545" s="9">
        <f>IFERROR(INDEX('Темы × классы'!$R:$R,MATCH(E545,'Темы × классы'!$E:$E,0)),"")</f>
        <v/>
      </c>
      <c r="J545" s="9">
        <f>IFERROR(INDEX('Темы × классы'!$S:$S,MATCH(E545,'Темы × классы'!$E:$E,0))&amp;"","")</f>
        <v/>
      </c>
      <c r="K545" s="9" t="inlineStr">
        <is>
          <t>не начат</t>
        </is>
      </c>
      <c r="L545" s="9" t="inlineStr">
        <is>
          <t>Spotlight / 7 класс / Module 8 · Green issues / Present Perfect Continuous / Present Perfect Continuous: значение — видимый результат длительного действия</t>
        </is>
      </c>
    </row>
    <row r="546">
      <c r="A546" s="25" t="n">
        <v>7</v>
      </c>
      <c r="B546" s="9" t="inlineStr">
        <is>
          <t>Module 8 · Green issues</t>
        </is>
      </c>
      <c r="C546" s="9" t="inlineStr"/>
      <c r="D546" s="9" t="inlineStr">
        <is>
          <t>Present Perfect Continuous</t>
        </is>
      </c>
      <c r="E546" s="23" t="inlineStr">
        <is>
          <t>Present Perfect Continuous: live/work/teach/feel — без разницы с Present Perfect</t>
        </is>
      </c>
      <c r="F546" s="26" t="inlineStr">
        <is>
          <t>новое</t>
        </is>
      </c>
      <c r="G546" s="9" t="inlineStr">
        <is>
          <t>live, work, teach, feel; форма не расписана</t>
        </is>
      </c>
      <c r="H546" s="25" t="inlineStr">
        <is>
          <t>10+</t>
        </is>
      </c>
      <c r="I546" s="9">
        <f>IFERROR(INDEX('Темы × классы'!$R:$R,MATCH(E546,'Темы × классы'!$E:$E,0)),"")</f>
        <v/>
      </c>
      <c r="J546" s="9">
        <f>IFERROR(INDEX('Темы × классы'!$S:$S,MATCH(E546,'Темы × классы'!$E:$E,0))&amp;"","")</f>
        <v/>
      </c>
      <c r="K546" s="9" t="inlineStr">
        <is>
          <t>не начат</t>
        </is>
      </c>
      <c r="L546" s="9" t="inlineStr">
        <is>
          <t>Spotlight / 7 класс / Module 8 · Green issues / Present Perfect Continuous / Present Perfect Continuous: live/work/teach/feel — без разницы с Present Perfect</t>
        </is>
      </c>
    </row>
    <row r="547">
      <c r="A547" s="25" t="n">
        <v>7</v>
      </c>
      <c r="B547" s="9" t="inlineStr">
        <is>
          <t>Module 8 · Green issues</t>
        </is>
      </c>
      <c r="C547" s="9" t="inlineStr"/>
      <c r="D547" s="9" t="inlineStr">
        <is>
          <t>have to</t>
        </is>
      </c>
      <c r="E547" s="23" t="inlineStr">
        <is>
          <t>have to: значение — необходимость из-за обстоятельств (утверждение)</t>
        </is>
      </c>
      <c r="F547" s="25" t="inlineStr">
        <is>
          <t>повторение</t>
        </is>
      </c>
      <c r="G547" s="9" t="inlineStr">
        <is>
          <t>«приходится, нужно»</t>
        </is>
      </c>
      <c r="H547" s="25" t="inlineStr">
        <is>
          <t>10+</t>
        </is>
      </c>
      <c r="I547" s="9">
        <f>IFERROR(INDEX('Темы × классы'!$R:$R,MATCH(E547,'Темы × классы'!$E:$E,0)),"")</f>
        <v/>
      </c>
      <c r="J547" s="9">
        <f>IFERROR(INDEX('Темы × классы'!$S:$S,MATCH(E547,'Темы × классы'!$E:$E,0))&amp;"","")</f>
        <v/>
      </c>
      <c r="K547" s="9" t="inlineStr">
        <is>
          <t>не начат</t>
        </is>
      </c>
      <c r="L547" s="9" t="inlineStr">
        <is>
          <t>Spotlight / 7 класс / Module 8 · Green issues / have to / have to: значение — необходимость из-за обстоятельств (утверждение)</t>
        </is>
      </c>
    </row>
    <row r="548">
      <c r="A548" s="25" t="n">
        <v>7</v>
      </c>
      <c r="B548" s="9" t="inlineStr">
        <is>
          <t>Module 8 · Green issues</t>
        </is>
      </c>
      <c r="C548" s="9" t="inlineStr"/>
      <c r="D548" s="9" t="inlineStr">
        <is>
          <t>have to</t>
        </is>
      </c>
      <c r="E548" s="23" t="inlineStr">
        <is>
          <t>have to: don't / doesn't have to — отсутствие необходимости</t>
        </is>
      </c>
      <c r="F548" s="25" t="inlineStr">
        <is>
          <t>повторение</t>
        </is>
      </c>
      <c r="G548" s="9" t="inlineStr">
        <is>
          <t>don't/doesn't have to</t>
        </is>
      </c>
      <c r="H548" s="25" t="inlineStr">
        <is>
          <t>10+</t>
        </is>
      </c>
      <c r="I548" s="9">
        <f>IFERROR(INDEX('Темы × классы'!$R:$R,MATCH(E548,'Темы × классы'!$E:$E,0)),"")</f>
        <v/>
      </c>
      <c r="J548" s="9">
        <f>IFERROR(INDEX('Темы × классы'!$S:$S,MATCH(E548,'Темы × классы'!$E:$E,0))&amp;"","")</f>
        <v/>
      </c>
      <c r="K548" s="9" t="inlineStr">
        <is>
          <t>не начат</t>
        </is>
      </c>
      <c r="L548" s="9" t="inlineStr">
        <is>
          <t>Spotlight / 7 класс / Module 8 · Green issues / have to / have to: don't / doesn't have to — отсутствие необходимости</t>
        </is>
      </c>
    </row>
    <row r="549">
      <c r="A549" s="25" t="n">
        <v>7</v>
      </c>
      <c r="B549" s="9" t="inlineStr">
        <is>
          <t>Module 8 · Green issues</t>
        </is>
      </c>
      <c r="C549" s="9" t="inlineStr"/>
      <c r="D549" s="9" t="inlineStr">
        <is>
          <t>have to</t>
        </is>
      </c>
      <c r="E549" s="23" t="inlineStr">
        <is>
          <t>have to: had to — прошедшее время</t>
        </is>
      </c>
      <c r="F549" s="26" t="inlineStr">
        <is>
          <t>новое</t>
        </is>
      </c>
      <c r="G549" s="9" t="inlineStr">
        <is>
          <t>употребляется в разных временах (had to)</t>
        </is>
      </c>
      <c r="H549" s="25" t="inlineStr">
        <is>
          <t>10+</t>
        </is>
      </c>
      <c r="I549" s="9">
        <f>IFERROR(INDEX('Темы × классы'!$R:$R,MATCH(E549,'Темы × классы'!$E:$E,0)),"")</f>
        <v/>
      </c>
      <c r="J549" s="9">
        <f>IFERROR(INDEX('Темы × классы'!$S:$S,MATCH(E549,'Темы × классы'!$E:$E,0))&amp;"","")</f>
        <v/>
      </c>
      <c r="K549" s="9" t="inlineStr">
        <is>
          <t>не начат</t>
        </is>
      </c>
      <c r="L549" s="9" t="inlineStr">
        <is>
          <t>Spotlight / 7 класс / Module 8 · Green issues / have to / have to: had to — прошедшее время</t>
        </is>
      </c>
    </row>
    <row r="550">
      <c r="A550" s="25" t="n">
        <v>7</v>
      </c>
      <c r="B550" s="9" t="inlineStr">
        <is>
          <t>Module 8 · Green issues</t>
        </is>
      </c>
      <c r="C550" s="9" t="inlineStr"/>
      <c r="D550" s="9" t="inlineStr">
        <is>
          <t>must/mustn't</t>
        </is>
      </c>
      <c r="E550" s="23" t="inlineStr">
        <is>
          <t>must/mustn't: must — обязанность, необходимость</t>
        </is>
      </c>
      <c r="F550" s="25" t="inlineStr">
        <is>
          <t>повторение</t>
        </is>
      </c>
      <c r="G550" s="9" t="inlineStr">
        <is>
          <t>правила, обязанности, долг</t>
        </is>
      </c>
      <c r="H550" s="25" t="inlineStr">
        <is>
          <t>10+</t>
        </is>
      </c>
      <c r="I550" s="9">
        <f>IFERROR(INDEX('Темы × классы'!$R:$R,MATCH(E550,'Темы × классы'!$E:$E,0)),"")</f>
        <v/>
      </c>
      <c r="J550" s="9">
        <f>IFERROR(INDEX('Темы × классы'!$S:$S,MATCH(E550,'Темы × классы'!$E:$E,0))&amp;"","")</f>
        <v/>
      </c>
      <c r="K550" s="9" t="inlineStr">
        <is>
          <t>не начат</t>
        </is>
      </c>
      <c r="L550" s="9" t="inlineStr">
        <is>
          <t>Spotlight / 7 класс / Module 8 · Green issues / must/mustn't / must/mustn't: must — обязанность, необходимость</t>
        </is>
      </c>
    </row>
    <row r="551">
      <c r="A551" s="25" t="n">
        <v>7</v>
      </c>
      <c r="B551" s="9" t="inlineStr">
        <is>
          <t>Module 8 · Green issues</t>
        </is>
      </c>
      <c r="C551" s="9" t="inlineStr"/>
      <c r="D551" s="9" t="inlineStr">
        <is>
          <t>must/mustn't</t>
        </is>
      </c>
      <c r="E551" s="23" t="inlineStr">
        <is>
          <t>must/mustn't: mustn't — запрет</t>
        </is>
      </c>
      <c r="F551" s="25" t="inlineStr">
        <is>
          <t>повторение</t>
        </is>
      </c>
      <c r="G551" s="9" t="inlineStr"/>
      <c r="H551" s="25" t="inlineStr">
        <is>
          <t>10+</t>
        </is>
      </c>
      <c r="I551" s="9">
        <f>IFERROR(INDEX('Темы × классы'!$R:$R,MATCH(E551,'Темы × классы'!$E:$E,0)),"")</f>
        <v/>
      </c>
      <c r="J551" s="9">
        <f>IFERROR(INDEX('Темы × классы'!$S:$S,MATCH(E551,'Темы × классы'!$E:$E,0))&amp;"","")</f>
        <v/>
      </c>
      <c r="K551" s="9" t="inlineStr">
        <is>
          <t>не начат</t>
        </is>
      </c>
      <c r="L551" s="9" t="inlineStr">
        <is>
          <t>Spotlight / 7 класс / Module 8 · Green issues / must/mustn't / must/mustn't: mustn't — запрет</t>
        </is>
      </c>
    </row>
    <row r="552">
      <c r="A552" s="25" t="n">
        <v>7</v>
      </c>
      <c r="B552" s="9" t="inlineStr">
        <is>
          <t>Module 8 · Green issues</t>
        </is>
      </c>
      <c r="C552" s="9" t="inlineStr"/>
      <c r="D552" s="9" t="inlineStr">
        <is>
          <t>must/mustn't</t>
        </is>
      </c>
      <c r="E552" s="23" t="inlineStr">
        <is>
          <t>must/mustn't: must — настойчивый совет</t>
        </is>
      </c>
      <c r="F552" s="26" t="inlineStr">
        <is>
          <t>новое</t>
        </is>
      </c>
      <c r="G552" s="9" t="inlineStr">
        <is>
          <t>You must tell the truth</t>
        </is>
      </c>
      <c r="H552" s="25" t="inlineStr">
        <is>
          <t>10+</t>
        </is>
      </c>
      <c r="I552" s="9">
        <f>IFERROR(INDEX('Темы × классы'!$R:$R,MATCH(E552,'Темы × классы'!$E:$E,0)),"")</f>
        <v/>
      </c>
      <c r="J552" s="9">
        <f>IFERROR(INDEX('Темы × классы'!$S:$S,MATCH(E552,'Темы × классы'!$E:$E,0))&amp;"","")</f>
        <v/>
      </c>
      <c r="K552" s="9" t="inlineStr">
        <is>
          <t>не начат</t>
        </is>
      </c>
      <c r="L552" s="9" t="inlineStr">
        <is>
          <t>Spotlight / 7 класс / Module 8 · Green issues / must/mustn't / must/mustn't: must — настойчивый совет</t>
        </is>
      </c>
    </row>
    <row r="553">
      <c r="A553" s="25" t="n">
        <v>7</v>
      </c>
      <c r="B553" s="9" t="inlineStr">
        <is>
          <t>Module 8 · Green issues</t>
        </is>
      </c>
      <c r="C553" s="9" t="inlineStr"/>
      <c r="D553" s="9" t="inlineStr">
        <is>
          <t>must/mustn't</t>
        </is>
      </c>
      <c r="E553" s="23" t="inlineStr">
        <is>
          <t>must/mustn't: must только в настоящем; в других временах — have to / had to</t>
        </is>
      </c>
      <c r="F553" s="26" t="inlineStr">
        <is>
          <t>новое</t>
        </is>
      </c>
      <c r="G553" s="9" t="inlineStr">
        <is>
          <t>I had to go to the doctor yesterday</t>
        </is>
      </c>
      <c r="H553" s="25" t="inlineStr">
        <is>
          <t>10+</t>
        </is>
      </c>
      <c r="I553" s="9">
        <f>IFERROR(INDEX('Темы × классы'!$R:$R,MATCH(E553,'Темы × классы'!$E:$E,0)),"")</f>
        <v/>
      </c>
      <c r="J553" s="9">
        <f>IFERROR(INDEX('Темы × классы'!$S:$S,MATCH(E553,'Темы × классы'!$E:$E,0))&amp;"","")</f>
        <v/>
      </c>
      <c r="K553" s="9" t="inlineStr">
        <is>
          <t>не начат</t>
        </is>
      </c>
      <c r="L553" s="9" t="inlineStr">
        <is>
          <t>Spotlight / 7 класс / Module 8 · Green issues / must/mustn't / must/mustn't: must только в настоящем; в других временах — have to / had to</t>
        </is>
      </c>
    </row>
    <row r="554">
      <c r="A554" s="25" t="n">
        <v>7</v>
      </c>
      <c r="B554" s="9" t="inlineStr">
        <is>
          <t>Module 8 · Green issues</t>
        </is>
      </c>
      <c r="C554" s="9" t="inlineStr"/>
      <c r="D554" s="9" t="inlineStr">
        <is>
          <t>Question tags</t>
        </is>
      </c>
      <c r="E554" s="23" t="inlineStr">
        <is>
          <t>Question tags: образование — вспомогательный глагол + местоимение (do/does)</t>
        </is>
      </c>
      <c r="F554" s="25" t="inlineStr">
        <is>
          <t>повторение</t>
        </is>
      </c>
      <c r="G554" s="9" t="inlineStr">
        <is>
          <t>isn't he, haven't you</t>
        </is>
      </c>
      <c r="H554" s="25" t="inlineStr">
        <is>
          <t>10+</t>
        </is>
      </c>
      <c r="I554" s="9">
        <f>IFERROR(INDEX('Темы × классы'!$R:$R,MATCH(E554,'Темы × классы'!$E:$E,0)),"")</f>
        <v/>
      </c>
      <c r="J554" s="9">
        <f>IFERROR(INDEX('Темы × классы'!$S:$S,MATCH(E554,'Темы × классы'!$E:$E,0))&amp;"","")</f>
        <v/>
      </c>
      <c r="K554" s="9" t="inlineStr">
        <is>
          <t>не начат</t>
        </is>
      </c>
      <c r="L554" s="9" t="inlineStr">
        <is>
          <t>Spotlight / 7 класс / Module 8 · Green issues / Question tags / Question tags: образование — вспомогательный глагол + местоимение (do/does)</t>
        </is>
      </c>
    </row>
    <row r="555">
      <c r="A555" s="25" t="n">
        <v>7</v>
      </c>
      <c r="B555" s="9" t="inlineStr">
        <is>
          <t>Module 8 · Green issues</t>
        </is>
      </c>
      <c r="C555" s="9" t="inlineStr"/>
      <c r="D555" s="9" t="inlineStr">
        <is>
          <t>Question tags</t>
        </is>
      </c>
      <c r="E555" s="23" t="inlineStr">
        <is>
          <t>Question tags: с be и модальными глаголами (isn't she, can't she)</t>
        </is>
      </c>
      <c r="F555" s="25" t="inlineStr">
        <is>
          <t>повторение</t>
        </is>
      </c>
      <c r="G555" s="9" t="inlineStr">
        <is>
          <t>can't she</t>
        </is>
      </c>
      <c r="H555" s="25" t="inlineStr">
        <is>
          <t>10+</t>
        </is>
      </c>
      <c r="I555" s="9">
        <f>IFERROR(INDEX('Темы × классы'!$R:$R,MATCH(E555,'Темы × классы'!$E:$E,0)),"")</f>
        <v/>
      </c>
      <c r="J555" s="9">
        <f>IFERROR(INDEX('Темы × классы'!$S:$S,MATCH(E555,'Темы × классы'!$E:$E,0))&amp;"","")</f>
        <v/>
      </c>
      <c r="K555" s="9" t="inlineStr">
        <is>
          <t>не начат</t>
        </is>
      </c>
      <c r="L555" s="9" t="inlineStr">
        <is>
          <t>Spotlight / 7 класс / Module 8 · Green issues / Question tags / Question tags: с be и модальными глаголами (isn't she, can't she)</t>
        </is>
      </c>
    </row>
    <row r="556">
      <c r="A556" s="25" t="n">
        <v>7</v>
      </c>
      <c r="B556" s="9" t="inlineStr">
        <is>
          <t>Module 8 · Green issues</t>
        </is>
      </c>
      <c r="C556" s="9" t="inlineStr"/>
      <c r="D556" s="9" t="inlineStr">
        <is>
          <t>Question tags</t>
        </is>
      </c>
      <c r="E556" s="23" t="inlineStr">
        <is>
          <t>Question tags: утверждение → отрицательный хвост, отрицание → утвердительный</t>
        </is>
      </c>
      <c r="F556" s="25" t="inlineStr">
        <is>
          <t>повторение</t>
        </is>
      </c>
      <c r="G556" s="9" t="inlineStr"/>
      <c r="H556" s="25" t="inlineStr">
        <is>
          <t>10+</t>
        </is>
      </c>
      <c r="I556" s="9">
        <f>IFERROR(INDEX('Темы × классы'!$R:$R,MATCH(E556,'Темы × классы'!$E:$E,0)),"")</f>
        <v/>
      </c>
      <c r="J556" s="9">
        <f>IFERROR(INDEX('Темы × классы'!$S:$S,MATCH(E556,'Темы × классы'!$E:$E,0))&amp;"","")</f>
        <v/>
      </c>
      <c r="K556" s="9" t="inlineStr">
        <is>
          <t>не начат</t>
        </is>
      </c>
      <c r="L556" s="9" t="inlineStr">
        <is>
          <t>Spotlight / 7 класс / Module 8 · Green issues / Question tags / Question tags: утверждение → отрицательный хвост, отрицание → утвердительный</t>
        </is>
      </c>
    </row>
    <row r="557">
      <c r="A557" s="25" t="n">
        <v>7</v>
      </c>
      <c r="B557" s="9" t="inlineStr">
        <is>
          <t>Module 8 · Green issues</t>
        </is>
      </c>
      <c r="C557" s="9" t="inlineStr"/>
      <c r="D557" s="9" t="inlineStr">
        <is>
          <t>Question tags</t>
        </is>
      </c>
      <c r="E557" s="23" t="inlineStr">
        <is>
          <t>Question tags: never/hardly/seldom/rarely → утвердительный хвост</t>
        </is>
      </c>
      <c r="F557" s="26" t="inlineStr">
        <is>
          <t>новое</t>
        </is>
      </c>
      <c r="G557" s="9" t="inlineStr">
        <is>
          <t>You never listen…, do you?</t>
        </is>
      </c>
      <c r="H557" s="25" t="inlineStr">
        <is>
          <t>10+</t>
        </is>
      </c>
      <c r="I557" s="9">
        <f>IFERROR(INDEX('Темы × классы'!$R:$R,MATCH(E557,'Темы × классы'!$E:$E,0)),"")</f>
        <v/>
      </c>
      <c r="J557" s="9">
        <f>IFERROR(INDEX('Темы × классы'!$S:$S,MATCH(E557,'Темы × классы'!$E:$E,0))&amp;"","")</f>
        <v/>
      </c>
      <c r="K557" s="9" t="inlineStr">
        <is>
          <t>не начат</t>
        </is>
      </c>
      <c r="L557" s="9" t="inlineStr">
        <is>
          <t>Spotlight / 7 класс / Module 8 · Green issues / Question tags / Question tags: never/hardly/seldom/rarely → утвердительный хвост</t>
        </is>
      </c>
    </row>
    <row r="558">
      <c r="A558" s="25" t="n">
        <v>7</v>
      </c>
      <c r="B558" s="9" t="inlineStr">
        <is>
          <t>Module 9 · Shopping time</t>
        </is>
      </c>
      <c r="C558" s="9" t="inlineStr"/>
      <c r="D558" s="9" t="inlineStr">
        <is>
          <t>Present Perfect vs Present Perfect Continuous</t>
        </is>
      </c>
      <c r="E558" s="23" t="inlineStr">
        <is>
          <t>Present Perfect vs Present Perfect Continuous: результат vs длительность</t>
        </is>
      </c>
      <c r="F558" s="26" t="inlineStr">
        <is>
          <t>новое</t>
        </is>
      </c>
      <c r="G558" s="9" t="inlineStr">
        <is>
          <t>has just bought vs have been swimming all day</t>
        </is>
      </c>
      <c r="H558" s="25" t="inlineStr">
        <is>
          <t>10+</t>
        </is>
      </c>
      <c r="I558" s="9">
        <f>IFERROR(INDEX('Темы × классы'!$R:$R,MATCH(E558,'Темы × классы'!$E:$E,0)),"")</f>
        <v/>
      </c>
      <c r="J558" s="9">
        <f>IFERROR(INDEX('Темы × классы'!$S:$S,MATCH(E558,'Темы × классы'!$E:$E,0))&amp;"","")</f>
        <v/>
      </c>
      <c r="K558" s="9" t="inlineStr">
        <is>
          <t>не начат</t>
        </is>
      </c>
      <c r="L558" s="9" t="inlineStr">
        <is>
          <t>Spotlight / 7 класс / Module 9 · Shopping time / Present Perfect vs Present Perfect Continuous / Present Perfect vs Present Perfect Continuous: результат vs длительность</t>
        </is>
      </c>
    </row>
    <row r="559">
      <c r="A559" s="25" t="n">
        <v>7</v>
      </c>
      <c r="B559" s="9" t="inlineStr">
        <is>
          <t>Module 9 · Shopping time</t>
        </is>
      </c>
      <c r="C559" s="9" t="inlineStr"/>
      <c r="D559" s="9" t="inlineStr">
        <is>
          <t>Present Perfect vs Present Perfect Continuous</t>
        </is>
      </c>
      <c r="E559" s="23" t="inlineStr">
        <is>
          <t>Present Perfect vs Present Perfect Continuous: stative verbs — только Present Perfect</t>
        </is>
      </c>
      <c r="F559" s="26" t="inlineStr">
        <is>
          <t>новое</t>
        </is>
      </c>
      <c r="G559" s="9" t="inlineStr">
        <is>
          <t>like, know, have + for/since — Present Perfect</t>
        </is>
      </c>
      <c r="H559" s="25" t="inlineStr">
        <is>
          <t>10+</t>
        </is>
      </c>
      <c r="I559" s="9">
        <f>IFERROR(INDEX('Темы × классы'!$R:$R,MATCH(E559,'Темы × классы'!$E:$E,0)),"")</f>
        <v/>
      </c>
      <c r="J559" s="9">
        <f>IFERROR(INDEX('Темы × классы'!$S:$S,MATCH(E559,'Темы × классы'!$E:$E,0))&amp;"","")</f>
        <v/>
      </c>
      <c r="K559" s="9" t="inlineStr">
        <is>
          <t>не начат</t>
        </is>
      </c>
      <c r="L559" s="9" t="inlineStr">
        <is>
          <t>Spotlight / 7 класс / Module 9 · Shopping time / Present Perfect vs Present Perfect Continuous / Present Perfect vs Present Perfect Continuous: stative verbs — только Present Perfect</t>
        </is>
      </c>
    </row>
    <row r="560">
      <c r="A560" s="25" t="n">
        <v>7</v>
      </c>
      <c r="B560" s="9" t="inlineStr">
        <is>
          <t>Module 9 · Shopping time</t>
        </is>
      </c>
      <c r="C560" s="9" t="inlineStr"/>
      <c r="D560" s="9" t="inlineStr">
        <is>
          <t>Present Perfect vs Present Perfect Continuous</t>
        </is>
      </c>
      <c r="E560" s="23" t="inlineStr">
        <is>
          <t>Present Perfect vs Present Perfect Continuous: результат завершённого действия vs следы процесса</t>
        </is>
      </c>
      <c r="F560" s="26" t="inlineStr">
        <is>
          <t>новое</t>
        </is>
      </c>
      <c r="G560" s="9" t="inlineStr">
        <is>
          <t>has broken his leg vs He's been sunbathing</t>
        </is>
      </c>
      <c r="H560" s="25" t="inlineStr">
        <is>
          <t>10+</t>
        </is>
      </c>
      <c r="I560" s="9">
        <f>IFERROR(INDEX('Темы × классы'!$R:$R,MATCH(E560,'Темы × классы'!$E:$E,0)),"")</f>
        <v/>
      </c>
      <c r="J560" s="9">
        <f>IFERROR(INDEX('Темы × классы'!$S:$S,MATCH(E560,'Темы × классы'!$E:$E,0))&amp;"","")</f>
        <v/>
      </c>
      <c r="K560" s="9" t="inlineStr">
        <is>
          <t>не начат</t>
        </is>
      </c>
      <c r="L560" s="9" t="inlineStr">
        <is>
          <t>Spotlight / 7 класс / Module 9 · Shopping time / Present Perfect vs Present Perfect Continuous / Present Perfect vs Present Perfect Continuous: результат завершённого действия vs следы процесса</t>
        </is>
      </c>
    </row>
    <row r="561">
      <c r="A561" s="25" t="n">
        <v>7</v>
      </c>
      <c r="B561" s="9" t="inlineStr">
        <is>
          <t>Module 9 · Shopping time</t>
        </is>
      </c>
      <c r="C561" s="9" t="inlineStr"/>
      <c r="D561" s="9" t="inlineStr">
        <is>
          <t>Present Perfect vs Present Perfect Continuous</t>
        </is>
      </c>
      <c r="E561" s="23" t="inlineStr">
        <is>
          <t>Present Perfect vs Present Perfect Continuous: эмоциональная окраска Continuous (раздражение)</t>
        </is>
      </c>
      <c r="F561" s="26" t="inlineStr">
        <is>
          <t>новое</t>
        </is>
      </c>
      <c r="G561" s="9" t="inlineStr">
        <is>
          <t>Who has been using my computer?</t>
        </is>
      </c>
      <c r="H561" s="25" t="inlineStr">
        <is>
          <t>10+</t>
        </is>
      </c>
      <c r="I561" s="9">
        <f>IFERROR(INDEX('Темы × классы'!$R:$R,MATCH(E561,'Темы × классы'!$E:$E,0)),"")</f>
        <v/>
      </c>
      <c r="J561" s="9">
        <f>IFERROR(INDEX('Темы × классы'!$S:$S,MATCH(E561,'Темы × классы'!$E:$E,0))&amp;"","")</f>
        <v/>
      </c>
      <c r="K561" s="9" t="inlineStr">
        <is>
          <t>не начат</t>
        </is>
      </c>
      <c r="L561" s="9" t="inlineStr">
        <is>
          <t>Spotlight / 7 класс / Module 9 · Shopping time / Present Perfect vs Present Perfect Continuous / Present Perfect vs Present Perfect Continuous: эмоциональная окраска Continuous (раздражение)</t>
        </is>
      </c>
    </row>
    <row r="562">
      <c r="A562" s="25" t="n">
        <v>7</v>
      </c>
      <c r="B562" s="9" t="inlineStr">
        <is>
          <t>Module 9 · Shopping time</t>
        </is>
      </c>
      <c r="C562" s="9" t="inlineStr"/>
      <c r="D562" s="9" t="inlineStr">
        <is>
          <t>Countable / Uncountable nouns</t>
        </is>
      </c>
      <c r="E562" s="23" t="inlineStr">
        <is>
          <t>Countable / Uncountable: различие исчисляемых и неисчисляемых</t>
        </is>
      </c>
      <c r="F562" s="25" t="inlineStr">
        <is>
          <t>повторение</t>
        </is>
      </c>
      <c r="G562" s="9" t="inlineStr"/>
      <c r="H562" s="25" t="inlineStr">
        <is>
          <t>10+</t>
        </is>
      </c>
      <c r="I562" s="9">
        <f>IFERROR(INDEX('Темы × классы'!$R:$R,MATCH(E562,'Темы × классы'!$E:$E,0)),"")</f>
        <v/>
      </c>
      <c r="J562" s="9">
        <f>IFERROR(INDEX('Темы × классы'!$S:$S,MATCH(E562,'Темы × классы'!$E:$E,0))&amp;"","")</f>
        <v/>
      </c>
      <c r="K562" s="9" t="inlineStr">
        <is>
          <t>не начат</t>
        </is>
      </c>
      <c r="L562" s="9" t="inlineStr">
        <is>
          <t>Spotlight / 7 класс / Module 9 · Shopping time / Countable / Uncountable nouns / Countable / Uncountable: различие исчисляемых и неисчисляемых</t>
        </is>
      </c>
    </row>
    <row r="563">
      <c r="A563" s="25" t="n">
        <v>7</v>
      </c>
      <c r="B563" s="9" t="inlineStr">
        <is>
          <t>Module 9 · Shopping time</t>
        </is>
      </c>
      <c r="C563" s="9" t="inlineStr"/>
      <c r="D563" s="9" t="inlineStr">
        <is>
          <t>Countable / Uncountable nouns</t>
        </is>
      </c>
      <c r="E563" s="23" t="inlineStr">
        <is>
          <t>Countable / Uncountable: There is/are + исчисляемые/неисчисляемые — утверждение</t>
        </is>
      </c>
      <c r="F563" s="26" t="inlineStr">
        <is>
          <t>новое</t>
        </is>
      </c>
      <c r="G563" s="9" t="inlineStr">
        <is>
          <t>There is a book / There are some, a lot of, (a) few apples / There's some, (a) little butter</t>
        </is>
      </c>
      <c r="H563" s="25" t="inlineStr">
        <is>
          <t>10+</t>
        </is>
      </c>
      <c r="I563" s="9">
        <f>IFERROR(INDEX('Темы × классы'!$R:$R,MATCH(E563,'Темы × классы'!$E:$E,0)),"")</f>
        <v/>
      </c>
      <c r="J563" s="9">
        <f>IFERROR(INDEX('Темы × классы'!$S:$S,MATCH(E563,'Темы × классы'!$E:$E,0))&amp;"","")</f>
        <v/>
      </c>
      <c r="K563" s="9" t="inlineStr">
        <is>
          <t>не начат</t>
        </is>
      </c>
      <c r="L563" s="9" t="inlineStr">
        <is>
          <t>Spotlight / 7 класс / Module 9 · Shopping time / Countable / Uncountable nouns / Countable / Uncountable: There is/are + исчисляемые/неисчисляемые — утверждение</t>
        </is>
      </c>
    </row>
    <row r="564">
      <c r="A564" s="25" t="n">
        <v>7</v>
      </c>
      <c r="B564" s="9" t="inlineStr">
        <is>
          <t>Module 9 · Shopping time</t>
        </is>
      </c>
      <c r="C564" s="9" t="inlineStr"/>
      <c r="D564" s="9" t="inlineStr">
        <is>
          <t>Countable / Uncountable nouns</t>
        </is>
      </c>
      <c r="E564" s="23" t="inlineStr">
        <is>
          <t>Countable / Uncountable: There is/are + исчисляемые/неисчисляемые — отрицание</t>
        </is>
      </c>
      <c r="F564" s="26" t="inlineStr">
        <is>
          <t>новое</t>
        </is>
      </c>
      <c r="G564" s="9" t="inlineStr">
        <is>
          <t>There isn't a book / aren't any/many apples / isn't any/much butter</t>
        </is>
      </c>
      <c r="H564" s="25" t="inlineStr">
        <is>
          <t>10+</t>
        </is>
      </c>
      <c r="I564" s="9">
        <f>IFERROR(INDEX('Темы × классы'!$R:$R,MATCH(E564,'Темы × классы'!$E:$E,0)),"")</f>
        <v/>
      </c>
      <c r="J564" s="9">
        <f>IFERROR(INDEX('Темы × классы'!$S:$S,MATCH(E564,'Темы × классы'!$E:$E,0))&amp;"","")</f>
        <v/>
      </c>
      <c r="K564" s="9" t="inlineStr">
        <is>
          <t>не начат</t>
        </is>
      </c>
      <c r="L564" s="9" t="inlineStr">
        <is>
          <t>Spotlight / 7 класс / Module 9 · Shopping time / Countable / Uncountable nouns / Countable / Uncountable: There is/are + исчисляемые/неисчисляемые — отрицание</t>
        </is>
      </c>
    </row>
    <row r="565">
      <c r="A565" s="25" t="n">
        <v>7</v>
      </c>
      <c r="B565" s="9" t="inlineStr">
        <is>
          <t>Module 9 · Shopping time</t>
        </is>
      </c>
      <c r="C565" s="9" t="inlineStr"/>
      <c r="D565" s="9" t="inlineStr">
        <is>
          <t>Countable / Uncountable nouns</t>
        </is>
      </c>
      <c r="E565" s="23" t="inlineStr">
        <is>
          <t>Countable / Uncountable: There is/are + исчисляемые/неисчисляемые — вопрос</t>
        </is>
      </c>
      <c r="F565" s="26" t="inlineStr">
        <is>
          <t>новое</t>
        </is>
      </c>
      <c r="G565" s="9" t="inlineStr">
        <is>
          <t>Is there a book? Are there any apples? Is there any butter?</t>
        </is>
      </c>
      <c r="H565" s="25" t="inlineStr">
        <is>
          <t>10+</t>
        </is>
      </c>
      <c r="I565" s="9">
        <f>IFERROR(INDEX('Темы × классы'!$R:$R,MATCH(E565,'Темы × классы'!$E:$E,0)),"")</f>
        <v/>
      </c>
      <c r="J565" s="9">
        <f>IFERROR(INDEX('Темы × классы'!$S:$S,MATCH(E565,'Темы × классы'!$E:$E,0))&amp;"","")</f>
        <v/>
      </c>
      <c r="K565" s="9" t="inlineStr">
        <is>
          <t>не начат</t>
        </is>
      </c>
      <c r="L565" s="9" t="inlineStr">
        <is>
          <t>Spotlight / 7 класс / Module 9 · Shopping time / Countable / Uncountable nouns / Countable / Uncountable: There is/are + исчисляемые/неисчисляемые — вопрос</t>
        </is>
      </c>
    </row>
    <row r="566">
      <c r="A566" s="25" t="n">
        <v>7</v>
      </c>
      <c r="B566" s="9" t="inlineStr">
        <is>
          <t>Module 9 · Shopping time</t>
        </is>
      </c>
      <c r="C566" s="9" t="inlineStr"/>
      <c r="D566" s="9" t="inlineStr">
        <is>
          <t>a/an/some/any</t>
        </is>
      </c>
      <c r="E566" s="23" t="inlineStr">
        <is>
          <t>a/an/some/any: some — в утверждениях (неисчисляемые и мн. ч.)</t>
        </is>
      </c>
      <c r="F566" s="25" t="inlineStr">
        <is>
          <t>повторение</t>
        </is>
      </c>
      <c r="G566" s="9" t="inlineStr">
        <is>
          <t>We need some bananas and some milk</t>
        </is>
      </c>
      <c r="H566" s="25" t="inlineStr">
        <is>
          <t>10+</t>
        </is>
      </c>
      <c r="I566" s="9">
        <f>IFERROR(INDEX('Темы × классы'!$R:$R,MATCH(E566,'Темы × классы'!$E:$E,0)),"")</f>
        <v/>
      </c>
      <c r="J566" s="9">
        <f>IFERROR(INDEX('Темы × классы'!$S:$S,MATCH(E566,'Темы × классы'!$E:$E,0))&amp;"","")</f>
        <v/>
      </c>
      <c r="K566" s="9" t="inlineStr">
        <is>
          <t>не начат</t>
        </is>
      </c>
      <c r="L566" s="9" t="inlineStr">
        <is>
          <t>Spotlight / 7 класс / Module 9 · Shopping time / a/an/some/any / a/an/some/any: some — в утверждениях (неисчисляемые и мн. ч.)</t>
        </is>
      </c>
    </row>
    <row r="567">
      <c r="A567" s="25" t="n">
        <v>7</v>
      </c>
      <c r="B567" s="9" t="inlineStr">
        <is>
          <t>Module 9 · Shopping time</t>
        </is>
      </c>
      <c r="C567" s="9" t="inlineStr"/>
      <c r="D567" s="9" t="inlineStr">
        <is>
          <t>a/an/some/any</t>
        </is>
      </c>
      <c r="E567" s="23" t="inlineStr">
        <is>
          <t>a/an/some/any: any — в отрицаниях</t>
        </is>
      </c>
      <c r="F567" s="25" t="inlineStr">
        <is>
          <t>повторение</t>
        </is>
      </c>
      <c r="G567" s="9" t="inlineStr"/>
      <c r="H567" s="25" t="inlineStr">
        <is>
          <t>10+</t>
        </is>
      </c>
      <c r="I567" s="9">
        <f>IFERROR(INDEX('Темы × классы'!$R:$R,MATCH(E567,'Темы × классы'!$E:$E,0)),"")</f>
        <v/>
      </c>
      <c r="J567" s="9">
        <f>IFERROR(INDEX('Темы × классы'!$S:$S,MATCH(E567,'Темы × классы'!$E:$E,0))&amp;"","")</f>
        <v/>
      </c>
      <c r="K567" s="9" t="inlineStr">
        <is>
          <t>не начат</t>
        </is>
      </c>
      <c r="L567" s="9" t="inlineStr">
        <is>
          <t>Spotlight / 7 класс / Module 9 · Shopping time / a/an/some/any / a/an/some/any: any — в отрицаниях</t>
        </is>
      </c>
    </row>
    <row r="568">
      <c r="A568" s="25" t="n">
        <v>7</v>
      </c>
      <c r="B568" s="9" t="inlineStr">
        <is>
          <t>Module 9 · Shopping time</t>
        </is>
      </c>
      <c r="C568" s="9" t="inlineStr"/>
      <c r="D568" s="9" t="inlineStr">
        <is>
          <t>a/an/some/any</t>
        </is>
      </c>
      <c r="E568" s="23" t="inlineStr">
        <is>
          <t>a/an/some/any: any — в вопросах</t>
        </is>
      </c>
      <c r="F568" s="25" t="inlineStr">
        <is>
          <t>повторение</t>
        </is>
      </c>
      <c r="G568" s="9" t="inlineStr"/>
      <c r="H568" s="25" t="inlineStr">
        <is>
          <t>10+</t>
        </is>
      </c>
      <c r="I568" s="9">
        <f>IFERROR(INDEX('Темы × классы'!$R:$R,MATCH(E568,'Темы × классы'!$E:$E,0)),"")</f>
        <v/>
      </c>
      <c r="J568" s="9">
        <f>IFERROR(INDEX('Темы × классы'!$S:$S,MATCH(E568,'Темы × классы'!$E:$E,0))&amp;"","")</f>
        <v/>
      </c>
      <c r="K568" s="9" t="inlineStr">
        <is>
          <t>не начат</t>
        </is>
      </c>
      <c r="L568" s="9" t="inlineStr">
        <is>
          <t>Spotlight / 7 класс / Module 9 · Shopping time / a/an/some/any / a/an/some/any: any — в вопросах</t>
        </is>
      </c>
    </row>
    <row r="569">
      <c r="A569" s="25" t="n">
        <v>7</v>
      </c>
      <c r="B569" s="9" t="inlineStr">
        <is>
          <t>Module 9 · Shopping time</t>
        </is>
      </c>
      <c r="C569" s="9" t="inlineStr"/>
      <c r="D569" s="9" t="inlineStr">
        <is>
          <t>a/an/some/any</t>
        </is>
      </c>
      <c r="E569" s="23" t="inlineStr">
        <is>
          <t>a/an/some/any: some в вопросах — просьба и предложение</t>
        </is>
      </c>
      <c r="F569" s="25" t="inlineStr">
        <is>
          <t>повторение</t>
        </is>
      </c>
      <c r="G569" s="9" t="inlineStr">
        <is>
          <t>Would you like some tea? / Can I have some apple juice?</t>
        </is>
      </c>
      <c r="H569" s="25" t="inlineStr">
        <is>
          <t>10+</t>
        </is>
      </c>
      <c r="I569" s="9">
        <f>IFERROR(INDEX('Темы × классы'!$R:$R,MATCH(E569,'Темы × классы'!$E:$E,0)),"")</f>
        <v/>
      </c>
      <c r="J569" s="9">
        <f>IFERROR(INDEX('Темы × классы'!$S:$S,MATCH(E569,'Темы × классы'!$E:$E,0))&amp;"","")</f>
        <v/>
      </c>
      <c r="K569" s="9" t="inlineStr">
        <is>
          <t>не начат</t>
        </is>
      </c>
      <c r="L569" s="9" t="inlineStr">
        <is>
          <t>Spotlight / 7 класс / Module 9 · Shopping time / a/an/some/any / a/an/some/any: some в вопросах — просьба и предложение</t>
        </is>
      </c>
    </row>
    <row r="570">
      <c r="A570" s="25" t="n">
        <v>7</v>
      </c>
      <c r="B570" s="9" t="inlineStr">
        <is>
          <t>Module 9 · Shopping time</t>
        </is>
      </c>
      <c r="C570" s="9" t="inlineStr"/>
      <c r="D570" s="9" t="inlineStr">
        <is>
          <t>a/an/some/any</t>
        </is>
      </c>
      <c r="E570" s="23" t="inlineStr">
        <is>
          <t>a/an/some/any: a/an vs some/any — исчисляемые ед. ч. во всех типах предложений</t>
        </is>
      </c>
      <c r="F570" s="25" t="inlineStr">
        <is>
          <t>повторение</t>
        </is>
      </c>
      <c r="G570" s="9" t="inlineStr">
        <is>
          <t>a/an во всех типах предложений с исч. ед. ч.</t>
        </is>
      </c>
      <c r="H570" s="25" t="inlineStr">
        <is>
          <t>10+</t>
        </is>
      </c>
      <c r="I570" s="9">
        <f>IFERROR(INDEX('Темы × классы'!$R:$R,MATCH(E570,'Темы × классы'!$E:$E,0)),"")</f>
        <v/>
      </c>
      <c r="J570" s="9">
        <f>IFERROR(INDEX('Темы × классы'!$S:$S,MATCH(E570,'Темы × классы'!$E:$E,0))&amp;"","")</f>
        <v/>
      </c>
      <c r="K570" s="9" t="inlineStr">
        <is>
          <t>не начат</t>
        </is>
      </c>
      <c r="L570" s="9" t="inlineStr">
        <is>
          <t>Spotlight / 7 класс / Module 9 · Shopping time / a/an/some/any / a/an/some/any: a/an vs some/any — исчисляемые ед. ч. во всех типах предложений</t>
        </is>
      </c>
    </row>
    <row r="571">
      <c r="A571" s="25" t="n">
        <v>7</v>
      </c>
      <c r="B571" s="9" t="inlineStr">
        <is>
          <t>Module 9 · Shopping time</t>
        </is>
      </c>
      <c r="C571" s="9" t="inlineStr"/>
      <c r="D571" s="9" t="inlineStr">
        <is>
          <t>much/many/a lot of</t>
        </is>
      </c>
      <c r="E571" s="23" t="inlineStr">
        <is>
          <t>much/many/a lot of: a lot of / lots of — в утверждениях (исчисляемые и неисчисляемые)</t>
        </is>
      </c>
      <c r="F571" s="25" t="inlineStr">
        <is>
          <t>повторение</t>
        </is>
      </c>
      <c r="G571" s="9" t="inlineStr"/>
      <c r="H571" s="25" t="inlineStr">
        <is>
          <t>10+</t>
        </is>
      </c>
      <c r="I571" s="9">
        <f>IFERROR(INDEX('Темы × классы'!$R:$R,MATCH(E571,'Темы × классы'!$E:$E,0)),"")</f>
        <v/>
      </c>
      <c r="J571" s="9">
        <f>IFERROR(INDEX('Темы × классы'!$S:$S,MATCH(E571,'Темы × классы'!$E:$E,0))&amp;"","")</f>
        <v/>
      </c>
      <c r="K571" s="9" t="inlineStr">
        <is>
          <t>не начат</t>
        </is>
      </c>
      <c r="L571" s="9" t="inlineStr">
        <is>
          <t>Spotlight / 7 класс / Module 9 · Shopping time / much/many/a lot of / much/many/a lot of: a lot of / lots of — в утверждениях (исчисляемые и неисчисляемые)</t>
        </is>
      </c>
    </row>
    <row r="572">
      <c r="A572" s="25" t="n">
        <v>7</v>
      </c>
      <c r="B572" s="9" t="inlineStr">
        <is>
          <t>Module 9 · Shopping time</t>
        </is>
      </c>
      <c r="C572" s="9" t="inlineStr"/>
      <c r="D572" s="9" t="inlineStr">
        <is>
          <t>much/many/a lot of</t>
        </is>
      </c>
      <c r="E572" s="23" t="inlineStr">
        <is>
          <t>much/many/a lot of: much/many — отрицание</t>
        </is>
      </c>
      <c r="F572" s="25" t="inlineStr">
        <is>
          <t>повторение</t>
        </is>
      </c>
      <c r="G572" s="9" t="inlineStr"/>
      <c r="H572" s="25" t="inlineStr">
        <is>
          <t>10+</t>
        </is>
      </c>
      <c r="I572" s="9">
        <f>IFERROR(INDEX('Темы × классы'!$R:$R,MATCH(E572,'Темы × классы'!$E:$E,0)),"")</f>
        <v/>
      </c>
      <c r="J572" s="9">
        <f>IFERROR(INDEX('Темы × классы'!$S:$S,MATCH(E572,'Темы × классы'!$E:$E,0))&amp;"","")</f>
        <v/>
      </c>
      <c r="K572" s="9" t="inlineStr">
        <is>
          <t>не начат</t>
        </is>
      </c>
      <c r="L572" s="9" t="inlineStr">
        <is>
          <t>Spotlight / 7 класс / Module 9 · Shopping time / much/many/a lot of / much/many/a lot of: much/many — отрицание</t>
        </is>
      </c>
    </row>
    <row r="573">
      <c r="A573" s="25" t="n">
        <v>7</v>
      </c>
      <c r="B573" s="9" t="inlineStr">
        <is>
          <t>Module 9 · Shopping time</t>
        </is>
      </c>
      <c r="C573" s="9" t="inlineStr"/>
      <c r="D573" s="9" t="inlineStr">
        <is>
          <t>much/many/a lot of</t>
        </is>
      </c>
      <c r="E573" s="23" t="inlineStr">
        <is>
          <t>much/many/a lot of: much/many — вопросы</t>
        </is>
      </c>
      <c r="F573" s="25" t="inlineStr">
        <is>
          <t>повторение</t>
        </is>
      </c>
      <c r="G573" s="9" t="inlineStr"/>
      <c r="H573" s="25" t="inlineStr">
        <is>
          <t>10+</t>
        </is>
      </c>
      <c r="I573" s="9">
        <f>IFERROR(INDEX('Темы × классы'!$R:$R,MATCH(E573,'Темы × классы'!$E:$E,0)),"")</f>
        <v/>
      </c>
      <c r="J573" s="9">
        <f>IFERROR(INDEX('Темы × классы'!$S:$S,MATCH(E573,'Темы × классы'!$E:$E,0))&amp;"","")</f>
        <v/>
      </c>
      <c r="K573" s="9" t="inlineStr">
        <is>
          <t>не начат</t>
        </is>
      </c>
      <c r="L573" s="9" t="inlineStr">
        <is>
          <t>Spotlight / 7 класс / Module 9 · Shopping time / much/many/a lot of / much/many/a lot of: much/many — вопросы</t>
        </is>
      </c>
    </row>
    <row r="574">
      <c r="A574" s="25" t="n">
        <v>7</v>
      </c>
      <c r="B574" s="9" t="inlineStr">
        <is>
          <t>Module 9 · Shopping time</t>
        </is>
      </c>
      <c r="C574" s="9" t="inlineStr"/>
      <c r="D574" s="9" t="inlineStr">
        <is>
          <t>much/many/a lot of</t>
        </is>
      </c>
      <c r="E574" s="23" t="inlineStr">
        <is>
          <t>much/many/a lot of: краткие ответы и a lot / lots без существительного</t>
        </is>
      </c>
      <c r="F574" s="27" t="inlineStr">
        <is>
          <t>расширение</t>
        </is>
      </c>
      <c r="G574" s="9" t="inlineStr">
        <is>
          <t>добавлено: of опускается — Yes, there's a lot / lots</t>
        </is>
      </c>
      <c r="H574" s="25" t="inlineStr">
        <is>
          <t>10+</t>
        </is>
      </c>
      <c r="I574" s="9">
        <f>IFERROR(INDEX('Темы × классы'!$R:$R,MATCH(E574,'Темы × классы'!$E:$E,0)),"")</f>
        <v/>
      </c>
      <c r="J574" s="9">
        <f>IFERROR(INDEX('Темы × классы'!$S:$S,MATCH(E574,'Темы × классы'!$E:$E,0))&amp;"","")</f>
        <v/>
      </c>
      <c r="K574" s="9" t="inlineStr">
        <is>
          <t>не начат</t>
        </is>
      </c>
      <c r="L574" s="9" t="inlineStr">
        <is>
          <t>Spotlight / 7 класс / Module 9 · Shopping time / much/many/a lot of / much/many/a lot of: краткие ответы и a lot / lots без существительного</t>
        </is>
      </c>
    </row>
    <row r="575">
      <c r="A575" s="25" t="n">
        <v>7</v>
      </c>
      <c r="B575" s="9" t="inlineStr">
        <is>
          <t>Module 9 · Shopping time</t>
        </is>
      </c>
      <c r="C575" s="9" t="inlineStr"/>
      <c r="D575" s="9" t="inlineStr">
        <is>
          <t>a few/a little</t>
        </is>
      </c>
      <c r="E575" s="23" t="inlineStr">
        <is>
          <t>a few/a little: a few — с исчисляемыми мн. ч. («несколько»)</t>
        </is>
      </c>
      <c r="F575" s="25" t="inlineStr">
        <is>
          <t>повторение</t>
        </is>
      </c>
      <c r="G575" s="9" t="inlineStr"/>
      <c r="H575" s="25" t="inlineStr">
        <is>
          <t>10+</t>
        </is>
      </c>
      <c r="I575" s="9">
        <f>IFERROR(INDEX('Темы × классы'!$R:$R,MATCH(E575,'Темы × классы'!$E:$E,0)),"")</f>
        <v/>
      </c>
      <c r="J575" s="9">
        <f>IFERROR(INDEX('Темы × классы'!$S:$S,MATCH(E575,'Темы × классы'!$E:$E,0))&amp;"","")</f>
        <v/>
      </c>
      <c r="K575" s="9" t="inlineStr">
        <is>
          <t>не начат</t>
        </is>
      </c>
      <c r="L575" s="9" t="inlineStr">
        <is>
          <t>Spotlight / 7 класс / Module 9 · Shopping time / a few/a little / a few/a little: a few — с исчисляемыми мн. ч. («несколько»)</t>
        </is>
      </c>
    </row>
    <row r="576">
      <c r="A576" s="25" t="n">
        <v>7</v>
      </c>
      <c r="B576" s="9" t="inlineStr">
        <is>
          <t>Module 9 · Shopping time</t>
        </is>
      </c>
      <c r="C576" s="9" t="inlineStr"/>
      <c r="D576" s="9" t="inlineStr">
        <is>
          <t>a few/a little</t>
        </is>
      </c>
      <c r="E576" s="23" t="inlineStr">
        <is>
          <t>a few/a little: a little — с неисчисляемыми («немного»)</t>
        </is>
      </c>
      <c r="F576" s="25" t="inlineStr">
        <is>
          <t>повторение</t>
        </is>
      </c>
      <c r="G576" s="9" t="inlineStr"/>
      <c r="H576" s="25" t="inlineStr">
        <is>
          <t>10+</t>
        </is>
      </c>
      <c r="I576" s="9">
        <f>IFERROR(INDEX('Темы × классы'!$R:$R,MATCH(E576,'Темы × классы'!$E:$E,0)),"")</f>
        <v/>
      </c>
      <c r="J576" s="9">
        <f>IFERROR(INDEX('Темы × классы'!$S:$S,MATCH(E576,'Темы × классы'!$E:$E,0))&amp;"","")</f>
        <v/>
      </c>
      <c r="K576" s="9" t="inlineStr">
        <is>
          <t>не начат</t>
        </is>
      </c>
      <c r="L576" s="9" t="inlineStr">
        <is>
          <t>Spotlight / 7 класс / Module 9 · Shopping time / a few/a little / a few/a little: a little — с неисчисляемыми («немного»)</t>
        </is>
      </c>
    </row>
    <row r="577">
      <c r="A577" s="25" t="n">
        <v>7</v>
      </c>
      <c r="B577" s="9" t="inlineStr">
        <is>
          <t>Module 9 · Shopping time</t>
        </is>
      </c>
      <c r="C577" s="9" t="inlineStr"/>
      <c r="D577" s="9" t="inlineStr">
        <is>
          <t>a few/a little</t>
        </is>
      </c>
      <c r="E577" s="23" t="inlineStr">
        <is>
          <t>a few/a little: few / little — «мало»</t>
        </is>
      </c>
      <c r="F577" s="25" t="inlineStr">
        <is>
          <t>повторение</t>
        </is>
      </c>
      <c r="G577" s="9" t="inlineStr"/>
      <c r="H577" s="25" t="inlineStr">
        <is>
          <t>10+</t>
        </is>
      </c>
      <c r="I577" s="9">
        <f>IFERROR(INDEX('Темы × классы'!$R:$R,MATCH(E577,'Темы × классы'!$E:$E,0)),"")</f>
        <v/>
      </c>
      <c r="J577" s="9">
        <f>IFERROR(INDEX('Темы × классы'!$S:$S,MATCH(E577,'Темы × классы'!$E:$E,0))&amp;"","")</f>
        <v/>
      </c>
      <c r="K577" s="9" t="inlineStr">
        <is>
          <t>не начат</t>
        </is>
      </c>
      <c r="L577" s="9" t="inlineStr">
        <is>
          <t>Spotlight / 7 класс / Module 9 · Shopping time / a few/a little / a few/a little: few / little — «мало»</t>
        </is>
      </c>
    </row>
    <row r="578">
      <c r="A578" s="25" t="n">
        <v>7</v>
      </c>
      <c r="B578" s="9" t="inlineStr">
        <is>
          <t>Module 9 · Shopping time</t>
        </is>
      </c>
      <c r="C578" s="9" t="inlineStr"/>
      <c r="D578" s="9" t="inlineStr">
        <is>
          <t>a few/a little</t>
        </is>
      </c>
      <c r="E578" s="23" t="inlineStr">
        <is>
          <t>a few/a little: a few vs few, a little vs little — «немного, но достаточно» vs «почти нет»</t>
        </is>
      </c>
      <c r="F578" s="25" t="inlineStr">
        <is>
          <t>повторение</t>
        </is>
      </c>
      <c r="G578" s="9" t="inlineStr"/>
      <c r="H578" s="25" t="inlineStr">
        <is>
          <t>10+</t>
        </is>
      </c>
      <c r="I578" s="9">
        <f>IFERROR(INDEX('Темы × классы'!$R:$R,MATCH(E578,'Темы × классы'!$E:$E,0)),"")</f>
        <v/>
      </c>
      <c r="J578" s="9">
        <f>IFERROR(INDEX('Темы × классы'!$S:$S,MATCH(E578,'Темы × классы'!$E:$E,0))&amp;"","")</f>
        <v/>
      </c>
      <c r="K578" s="9" t="inlineStr">
        <is>
          <t>не начат</t>
        </is>
      </c>
      <c r="L578" s="9" t="inlineStr">
        <is>
          <t>Spotlight / 7 класс / Module 9 · Shopping time / a few/a little / a few/a little: a few vs few, a little vs little — «немного, но достаточно» vs «почти нет»</t>
        </is>
      </c>
    </row>
    <row r="579">
      <c r="A579" s="25" t="n">
        <v>7</v>
      </c>
      <c r="B579" s="9" t="inlineStr">
        <is>
          <t>Module 9 · Shopping time</t>
        </is>
      </c>
      <c r="C579" s="9" t="inlineStr"/>
      <c r="D579" s="9" t="inlineStr">
        <is>
          <t>Partitives (a bottle of…)</t>
        </is>
      </c>
      <c r="E579" s="23" t="inlineStr">
        <is>
          <t>Partitives: a bottle/glass/carton/cup/bowl/packet/slice/loaf/kilo/bar of</t>
        </is>
      </c>
      <c r="F579" s="26" t="inlineStr">
        <is>
          <t>новое</t>
        </is>
      </c>
      <c r="G579" s="9" t="inlineStr">
        <is>
          <t>a bottle of Coke, a glass of water, a loaf of bread…</t>
        </is>
      </c>
      <c r="H579" s="25" t="inlineStr">
        <is>
          <t>10+</t>
        </is>
      </c>
      <c r="I579" s="9">
        <f>IFERROR(INDEX('Темы × классы'!$R:$R,MATCH(E579,'Темы × классы'!$E:$E,0)),"")</f>
        <v/>
      </c>
      <c r="J579" s="9">
        <f>IFERROR(INDEX('Темы × классы'!$S:$S,MATCH(E579,'Темы × классы'!$E:$E,0))&amp;"","")</f>
        <v/>
      </c>
      <c r="K579" s="9" t="inlineStr">
        <is>
          <t>не начат</t>
        </is>
      </c>
      <c r="L579" s="9" t="inlineStr">
        <is>
          <t>Spotlight / 7 класс / Module 9 · Shopping time / Partitives (a bottle of…) / Partitives: a bottle/glass/carton/cup/bowl/packet/slice/loaf/kilo/bar of</t>
        </is>
      </c>
    </row>
    <row r="580">
      <c r="A580" s="25" t="n">
        <v>7</v>
      </c>
      <c r="B580" s="9" t="inlineStr">
        <is>
          <t>Module 9 · Shopping time</t>
        </is>
      </c>
      <c r="C580" s="9" t="inlineStr"/>
      <c r="D580" s="9" t="inlineStr">
        <is>
          <t>Partitives (a bottle of…)</t>
        </is>
      </c>
      <c r="E580" s="23" t="inlineStr">
        <is>
          <t>Partitives: мн. ч. — two bottles of, two loaves of</t>
        </is>
      </c>
      <c r="F580" s="26" t="inlineStr">
        <is>
          <t>новое</t>
        </is>
      </c>
      <c r="G580" s="9" t="inlineStr"/>
      <c r="H580" s="25" t="inlineStr">
        <is>
          <t>10+</t>
        </is>
      </c>
      <c r="I580" s="9">
        <f>IFERROR(INDEX('Темы × классы'!$R:$R,MATCH(E580,'Темы × классы'!$E:$E,0)),"")</f>
        <v/>
      </c>
      <c r="J580" s="9">
        <f>IFERROR(INDEX('Темы × классы'!$S:$S,MATCH(E580,'Темы × классы'!$E:$E,0))&amp;"","")</f>
        <v/>
      </c>
      <c r="K580" s="9" t="inlineStr">
        <is>
          <t>не начат</t>
        </is>
      </c>
      <c r="L580" s="9" t="inlineStr">
        <is>
          <t>Spotlight / 7 класс / Module 9 · Shopping time / Partitives (a bottle of…) / Partitives: мн. ч. — two bottles of, two loaves of</t>
        </is>
      </c>
    </row>
    <row r="581">
      <c r="A581" s="25" t="n">
        <v>7</v>
      </c>
      <c r="B581" s="9" t="inlineStr">
        <is>
          <t>Module 10 · Healthy body, healthy mind</t>
        </is>
      </c>
      <c r="C581" s="9" t="inlineStr"/>
      <c r="D581" s="9" t="inlineStr">
        <is>
          <t>Reflexive pronouns</t>
        </is>
      </c>
      <c r="E581" s="23" t="inlineStr">
        <is>
          <t>Reflexive pronouns: формы myself … themselves</t>
        </is>
      </c>
      <c r="F581" s="26" t="inlineStr">
        <is>
          <t>новое</t>
        </is>
      </c>
      <c r="G581" s="9" t="inlineStr"/>
      <c r="H581" s="25" t="inlineStr">
        <is>
          <t>10+</t>
        </is>
      </c>
      <c r="I581" s="9">
        <f>IFERROR(INDEX('Темы × классы'!$R:$R,MATCH(E581,'Темы × классы'!$E:$E,0)),"")</f>
        <v/>
      </c>
      <c r="J581" s="9">
        <f>IFERROR(INDEX('Темы × классы'!$S:$S,MATCH(E581,'Темы × классы'!$E:$E,0))&amp;"","")</f>
        <v/>
      </c>
      <c r="K581" s="9" t="inlineStr">
        <is>
          <t>не начат</t>
        </is>
      </c>
      <c r="L581" s="9" t="inlineStr">
        <is>
          <t>Spotlight / 7 класс / Module 10 · Healthy body, healthy mind / Reflexive pronouns / Reflexive pronouns: формы myself … themselves</t>
        </is>
      </c>
    </row>
    <row r="582">
      <c r="A582" s="25" t="n">
        <v>7</v>
      </c>
      <c r="B582" s="9" t="inlineStr">
        <is>
          <t>Module 10 · Healthy body, healthy mind</t>
        </is>
      </c>
      <c r="C582" s="9" t="inlineStr"/>
      <c r="D582" s="9" t="inlineStr">
        <is>
          <t>Reflexive pronouns</t>
        </is>
      </c>
      <c r="E582" s="23" t="inlineStr">
        <is>
          <t>Reflexive pronouns: подлежащее = дополнение (cut himself)</t>
        </is>
      </c>
      <c r="F582" s="26" t="inlineStr">
        <is>
          <t>новое</t>
        </is>
      </c>
      <c r="G582" s="9" t="inlineStr">
        <is>
          <t>Tim cut himself</t>
        </is>
      </c>
      <c r="H582" s="25" t="inlineStr">
        <is>
          <t>10+</t>
        </is>
      </c>
      <c r="I582" s="9">
        <f>IFERROR(INDEX('Темы × классы'!$R:$R,MATCH(E582,'Темы × классы'!$E:$E,0)),"")</f>
        <v/>
      </c>
      <c r="J582" s="9">
        <f>IFERROR(INDEX('Темы × классы'!$S:$S,MATCH(E582,'Темы × классы'!$E:$E,0))&amp;"","")</f>
        <v/>
      </c>
      <c r="K582" s="9" t="inlineStr">
        <is>
          <t>не начат</t>
        </is>
      </c>
      <c r="L582" s="9" t="inlineStr">
        <is>
          <t>Spotlight / 7 класс / Module 10 · Healthy body, healthy mind / Reflexive pronouns / Reflexive pronouns: подлежащее = дополнение (cut himself)</t>
        </is>
      </c>
    </row>
    <row r="583">
      <c r="A583" s="25" t="n">
        <v>7</v>
      </c>
      <c r="B583" s="9" t="inlineStr">
        <is>
          <t>Module 10 · Healthy body, healthy mind</t>
        </is>
      </c>
      <c r="C583" s="9" t="inlineStr"/>
      <c r="D583" s="9" t="inlineStr">
        <is>
          <t>Reflexive pronouns</t>
        </is>
      </c>
      <c r="E583" s="23" t="inlineStr">
        <is>
          <t>Reflexive pronouns: эмфатическое — «сам» (She will cut the cake herself)</t>
        </is>
      </c>
      <c r="F583" s="26" t="inlineStr">
        <is>
          <t>новое</t>
        </is>
      </c>
      <c r="G583" s="9" t="inlineStr">
        <is>
          <t>Karen will cut the cake herself</t>
        </is>
      </c>
      <c r="H583" s="25" t="inlineStr">
        <is>
          <t>10+</t>
        </is>
      </c>
      <c r="I583" s="9">
        <f>IFERROR(INDEX('Темы × классы'!$R:$R,MATCH(E583,'Темы × классы'!$E:$E,0)),"")</f>
        <v/>
      </c>
      <c r="J583" s="9">
        <f>IFERROR(INDEX('Темы × классы'!$S:$S,MATCH(E583,'Темы × классы'!$E:$E,0))&amp;"","")</f>
        <v/>
      </c>
      <c r="K583" s="9" t="inlineStr">
        <is>
          <t>не начат</t>
        </is>
      </c>
      <c r="L583" s="9" t="inlineStr">
        <is>
          <t>Spotlight / 7 класс / Module 10 · Healthy body, healthy mind / Reflexive pronouns / Reflexive pronouns: эмфатическое — «сам» (She will cut the cake herself)</t>
        </is>
      </c>
    </row>
    <row r="584">
      <c r="A584" s="25" t="n">
        <v>7</v>
      </c>
      <c r="B584" s="9" t="inlineStr">
        <is>
          <t>Module 10 · Healthy body, healthy mind</t>
        </is>
      </c>
      <c r="C584" s="9" t="inlineStr"/>
      <c r="D584" s="9" t="inlineStr">
        <is>
          <t>Reflexive pronouns</t>
        </is>
      </c>
      <c r="E584" s="23" t="inlineStr">
        <is>
          <t>Reflexive pronouns: by myself — «сам, в одиночку»</t>
        </is>
      </c>
      <c r="F584" s="26" t="inlineStr">
        <is>
          <t>новое</t>
        </is>
      </c>
      <c r="G584" s="9" t="inlineStr">
        <is>
          <t>He did the shopping by himself</t>
        </is>
      </c>
      <c r="H584" s="25" t="inlineStr">
        <is>
          <t>10+</t>
        </is>
      </c>
      <c r="I584" s="9">
        <f>IFERROR(INDEX('Темы × классы'!$R:$R,MATCH(E584,'Темы × классы'!$E:$E,0)),"")</f>
        <v/>
      </c>
      <c r="J584" s="9">
        <f>IFERROR(INDEX('Темы × классы'!$S:$S,MATCH(E584,'Темы × классы'!$E:$E,0))&amp;"","")</f>
        <v/>
      </c>
      <c r="K584" s="9" t="inlineStr">
        <is>
          <t>не начат</t>
        </is>
      </c>
      <c r="L584" s="9" t="inlineStr">
        <is>
          <t>Spotlight / 7 класс / Module 10 · Healthy body, healthy mind / Reflexive pronouns / Reflexive pronouns: by myself — «сам, в одиночку»</t>
        </is>
      </c>
    </row>
    <row r="585">
      <c r="A585" s="25" t="n">
        <v>7</v>
      </c>
      <c r="B585" s="9" t="inlineStr">
        <is>
          <t>Module 10 · Healthy body, healthy mind</t>
        </is>
      </c>
      <c r="C585" s="9" t="inlineStr"/>
      <c r="D585" s="9" t="inlineStr">
        <is>
          <t>Reflexive pronouns</t>
        </is>
      </c>
      <c r="E585" s="23" t="inlineStr">
        <is>
          <t>Reflexive pronouns: глаголы без возвратного местоимения (wash, dress, meet)</t>
        </is>
      </c>
      <c r="F585" s="26" t="inlineStr">
        <is>
          <t>новое</t>
        </is>
      </c>
      <c r="G585" s="9" t="inlineStr">
        <is>
          <t>dress, wash, hide</t>
        </is>
      </c>
      <c r="H585" s="25" t="inlineStr">
        <is>
          <t>10+</t>
        </is>
      </c>
      <c r="I585" s="9">
        <f>IFERROR(INDEX('Темы × классы'!$R:$R,MATCH(E585,'Темы × классы'!$E:$E,0)),"")</f>
        <v/>
      </c>
      <c r="J585" s="9">
        <f>IFERROR(INDEX('Темы × классы'!$S:$S,MATCH(E585,'Темы × классы'!$E:$E,0))&amp;"","")</f>
        <v/>
      </c>
      <c r="K585" s="9" t="inlineStr">
        <is>
          <t>не начат</t>
        </is>
      </c>
      <c r="L585" s="9" t="inlineStr">
        <is>
          <t>Spotlight / 7 класс / Module 10 · Healthy body, healthy mind / Reflexive pronouns / Reflexive pronouns: глаголы без возвратного местоимения (wash, dress, meet)</t>
        </is>
      </c>
    </row>
    <row r="586">
      <c r="A586" s="25" t="n">
        <v>8</v>
      </c>
      <c r="B586" s="9" t="inlineStr">
        <is>
          <t>Irregular Verbs</t>
        </is>
      </c>
      <c r="C586" s="9" t="inlineStr"/>
      <c r="D586" s="9" t="inlineStr">
        <is>
          <t>Irregular verbs (list)</t>
        </is>
      </c>
      <c r="E586" s="23" t="inlineStr">
        <is>
          <t>Irregular verbs: таблица Infinitive – Past – Past Participle</t>
        </is>
      </c>
      <c r="F586" s="25" t="inlineStr">
        <is>
          <t>повторение</t>
        </is>
      </c>
      <c r="G586" s="9" t="inlineStr">
        <is>
          <t>без перевода</t>
        </is>
      </c>
      <c r="H586" s="25" t="inlineStr">
        <is>
          <t>10+</t>
        </is>
      </c>
      <c r="I586" s="9">
        <f>IFERROR(INDEX('Темы × классы'!$R:$R,MATCH(E586,'Темы × классы'!$E:$E,0)),"")</f>
        <v/>
      </c>
      <c r="J586" s="9">
        <f>IFERROR(INDEX('Темы × классы'!$S:$S,MATCH(E586,'Темы × классы'!$E:$E,0))&amp;"","")</f>
        <v/>
      </c>
      <c r="K586" s="9" t="inlineStr">
        <is>
          <t>не начат</t>
        </is>
      </c>
      <c r="L586" s="9" t="inlineStr">
        <is>
          <t>Spotlight / 8 класс / Irregular Verbs / Irregular verbs (list) / Irregular verbs: таблица Infinitive – Past – Past Participle</t>
        </is>
      </c>
    </row>
    <row r="587">
      <c r="A587" s="25" t="n">
        <v>8</v>
      </c>
      <c r="B587" s="9" t="inlineStr">
        <is>
          <t>Irregular Verbs</t>
        </is>
      </c>
      <c r="C587" s="9" t="inlineStr"/>
      <c r="D587" s="9" t="inlineStr">
        <is>
          <t>Irregular verbs (list)</t>
        </is>
      </c>
      <c r="E587" s="23" t="inlineStr">
        <is>
          <t>Irregular verbs: двойные и особые формы (burnt/burned, got/gotten, can – could)</t>
        </is>
      </c>
      <c r="F587" s="27" t="inlineStr">
        <is>
          <t>расширение</t>
        </is>
      </c>
      <c r="G587" s="9" t="inlineStr">
        <is>
          <t>+ born(e)</t>
        </is>
      </c>
      <c r="H587" s="25" t="inlineStr">
        <is>
          <t>10+</t>
        </is>
      </c>
      <c r="I587" s="9">
        <f>IFERROR(INDEX('Темы × классы'!$R:$R,MATCH(E587,'Темы × классы'!$E:$E,0)),"")</f>
        <v/>
      </c>
      <c r="J587" s="9">
        <f>IFERROR(INDEX('Темы × классы'!$S:$S,MATCH(E587,'Темы × классы'!$E:$E,0))&amp;"","")</f>
        <v/>
      </c>
      <c r="K587" s="9" t="inlineStr">
        <is>
          <t>не начат</t>
        </is>
      </c>
      <c r="L587" s="9" t="inlineStr">
        <is>
          <t>Spotlight / 8 класс / Irregular Verbs / Irregular verbs (list) / Irregular verbs: двойные и особые формы (burnt/burned, got/gotten, can – could)</t>
        </is>
      </c>
    </row>
    <row r="588">
      <c r="A588" s="25" t="n">
        <v>8</v>
      </c>
      <c r="B588" s="9" t="inlineStr">
        <is>
          <t>Module 1 · Socialising</t>
        </is>
      </c>
      <c r="C588" s="9" t="inlineStr">
        <is>
          <t>1c</t>
        </is>
      </c>
      <c r="D588" s="9" t="inlineStr">
        <is>
          <t>Past Simple</t>
        </is>
      </c>
      <c r="E588" s="23" t="inlineStr">
        <is>
          <t>Past Simple: правильные глаголы — утверждение (-ed)</t>
        </is>
      </c>
      <c r="F588" s="25" t="inlineStr">
        <is>
          <t>повторение</t>
        </is>
      </c>
      <c r="G588" s="9" t="inlineStr"/>
      <c r="H588" s="25" t="inlineStr">
        <is>
          <t>10+</t>
        </is>
      </c>
      <c r="I588" s="9">
        <f>IFERROR(INDEX('Темы × классы'!$R:$R,MATCH(E588,'Темы × классы'!$E:$E,0)),"")</f>
        <v/>
      </c>
      <c r="J588" s="9">
        <f>IFERROR(INDEX('Темы × классы'!$S:$S,MATCH(E588,'Темы × классы'!$E:$E,0))&amp;"","")</f>
        <v/>
      </c>
      <c r="K588" s="9" t="inlineStr">
        <is>
          <t>не начат</t>
        </is>
      </c>
      <c r="L588" s="9" t="inlineStr">
        <is>
          <t>Spotlight / 8 класс / Module 1 · Socialising / Past Simple / Past Simple: правильные глаголы — утверждение (-ed)</t>
        </is>
      </c>
    </row>
    <row r="589">
      <c r="A589" s="25" t="n">
        <v>8</v>
      </c>
      <c r="B589" s="9" t="inlineStr">
        <is>
          <t>Module 1 · Socialising</t>
        </is>
      </c>
      <c r="C589" s="9" t="inlineStr">
        <is>
          <t>1c</t>
        </is>
      </c>
      <c r="D589" s="9" t="inlineStr">
        <is>
          <t>Past Simple</t>
        </is>
      </c>
      <c r="E589" s="23" t="inlineStr">
        <is>
          <t>Past Simple: правильные глаголы — отрицание (didn't + V)</t>
        </is>
      </c>
      <c r="F589" s="25" t="inlineStr">
        <is>
          <t>повторение</t>
        </is>
      </c>
      <c r="G589" s="9" t="inlineStr"/>
      <c r="H589" s="25" t="inlineStr">
        <is>
          <t>10+</t>
        </is>
      </c>
      <c r="I589" s="9">
        <f>IFERROR(INDEX('Темы × классы'!$R:$R,MATCH(E589,'Темы × классы'!$E:$E,0)),"")</f>
        <v/>
      </c>
      <c r="J589" s="9">
        <f>IFERROR(INDEX('Темы × классы'!$S:$S,MATCH(E589,'Темы × классы'!$E:$E,0))&amp;"","")</f>
        <v/>
      </c>
      <c r="K589" s="9" t="inlineStr">
        <is>
          <t>не начат</t>
        </is>
      </c>
      <c r="L589" s="9" t="inlineStr">
        <is>
          <t>Spotlight / 8 класс / Module 1 · Socialising / Past Simple / Past Simple: правильные глаголы — отрицание (didn't + V)</t>
        </is>
      </c>
    </row>
    <row r="590">
      <c r="A590" s="25" t="n">
        <v>8</v>
      </c>
      <c r="B590" s="9" t="inlineStr">
        <is>
          <t>Module 1 · Socialising</t>
        </is>
      </c>
      <c r="C590" s="9" t="inlineStr">
        <is>
          <t>1c</t>
        </is>
      </c>
      <c r="D590" s="9" t="inlineStr">
        <is>
          <t>Past Simple</t>
        </is>
      </c>
      <c r="E590" s="23" t="inlineStr">
        <is>
          <t>Past Simple: правильные глаголы — вопросы (Did …?)</t>
        </is>
      </c>
      <c r="F590" s="25" t="inlineStr">
        <is>
          <t>повторение</t>
        </is>
      </c>
      <c r="G590" s="9" t="inlineStr"/>
      <c r="H590" s="25" t="inlineStr">
        <is>
          <t>10+</t>
        </is>
      </c>
      <c r="I590" s="9">
        <f>IFERROR(INDEX('Темы × классы'!$R:$R,MATCH(E590,'Темы × классы'!$E:$E,0)),"")</f>
        <v/>
      </c>
      <c r="J590" s="9">
        <f>IFERROR(INDEX('Темы × классы'!$S:$S,MATCH(E590,'Темы × классы'!$E:$E,0))&amp;"","")</f>
        <v/>
      </c>
      <c r="K590" s="9" t="inlineStr">
        <is>
          <t>не начат</t>
        </is>
      </c>
      <c r="L590" s="9" t="inlineStr">
        <is>
          <t>Spotlight / 8 класс / Module 1 · Socialising / Past Simple / Past Simple: правильные глаголы — вопросы (Did …?)</t>
        </is>
      </c>
    </row>
    <row r="591">
      <c r="A591" s="25" t="n">
        <v>8</v>
      </c>
      <c r="B591" s="9" t="inlineStr">
        <is>
          <t>Module 1 · Socialising</t>
        </is>
      </c>
      <c r="C591" s="9" t="inlineStr">
        <is>
          <t>1c</t>
        </is>
      </c>
      <c r="D591" s="9" t="inlineStr">
        <is>
          <t>Past Simple</t>
        </is>
      </c>
      <c r="E591" s="23" t="inlineStr">
        <is>
          <t>Past Simple: краткие ответы (Yes, I did / No, I didn't)</t>
        </is>
      </c>
      <c r="F591" s="25" t="inlineStr">
        <is>
          <t>повторение</t>
        </is>
      </c>
      <c r="G591" s="9" t="inlineStr"/>
      <c r="H591" s="25" t="inlineStr">
        <is>
          <t>10+</t>
        </is>
      </c>
      <c r="I591" s="9">
        <f>IFERROR(INDEX('Темы × классы'!$R:$R,MATCH(E591,'Темы × классы'!$E:$E,0)),"")</f>
        <v/>
      </c>
      <c r="J591" s="9">
        <f>IFERROR(INDEX('Темы × классы'!$S:$S,MATCH(E591,'Темы × классы'!$E:$E,0))&amp;"","")</f>
        <v/>
      </c>
      <c r="K591" s="9" t="inlineStr">
        <is>
          <t>не начат</t>
        </is>
      </c>
      <c r="L591" s="9" t="inlineStr">
        <is>
          <t>Spotlight / 8 класс / Module 1 · Socialising / Past Simple / Past Simple: краткие ответы (Yes, I did / No, I didn't)</t>
        </is>
      </c>
    </row>
    <row r="592">
      <c r="A592" s="25" t="n">
        <v>8</v>
      </c>
      <c r="B592" s="9" t="inlineStr">
        <is>
          <t>Module 1 · Socialising</t>
        </is>
      </c>
      <c r="C592" s="9" t="inlineStr">
        <is>
          <t>1c</t>
        </is>
      </c>
      <c r="D592" s="9" t="inlineStr">
        <is>
          <t>Past Simple</t>
        </is>
      </c>
      <c r="E592" s="23" t="inlineStr">
        <is>
          <t>Past Simple: орфография -ed</t>
        </is>
      </c>
      <c r="F592" s="27" t="inlineStr">
        <is>
          <t>расширение</t>
        </is>
      </c>
      <c r="G592" s="9" t="inlineStr">
        <is>
          <t>новое: гласная + y + -ed (stay – stayed)</t>
        </is>
      </c>
      <c r="H592" s="25" t="inlineStr">
        <is>
          <t>10+</t>
        </is>
      </c>
      <c r="I592" s="9">
        <f>IFERROR(INDEX('Темы × классы'!$R:$R,MATCH(E592,'Темы × классы'!$E:$E,0)),"")</f>
        <v/>
      </c>
      <c r="J592" s="9">
        <f>IFERROR(INDEX('Темы × классы'!$S:$S,MATCH(E592,'Темы × классы'!$E:$E,0))&amp;"","")</f>
        <v/>
      </c>
      <c r="K592" s="9" t="inlineStr">
        <is>
          <t>не начат</t>
        </is>
      </c>
      <c r="L592" s="9" t="inlineStr">
        <is>
          <t>Spotlight / 8 класс / Module 1 · Socialising / Past Simple / Past Simple: орфография -ed</t>
        </is>
      </c>
    </row>
    <row r="593">
      <c r="A593" s="25" t="n">
        <v>8</v>
      </c>
      <c r="B593" s="9" t="inlineStr">
        <is>
          <t>Module 1 · Socialising</t>
        </is>
      </c>
      <c r="C593" s="9" t="inlineStr">
        <is>
          <t>1c</t>
        </is>
      </c>
      <c r="D593" s="9" t="inlineStr">
        <is>
          <t>Past Simple</t>
        </is>
      </c>
      <c r="E593" s="23" t="inlineStr">
        <is>
          <t>Past Simple: неправильные глаголы — утверждение</t>
        </is>
      </c>
      <c r="F593" s="25" t="inlineStr">
        <is>
          <t>повторение</t>
        </is>
      </c>
      <c r="G593" s="9" t="inlineStr"/>
      <c r="H593" s="25" t="inlineStr">
        <is>
          <t>10+</t>
        </is>
      </c>
      <c r="I593" s="9">
        <f>IFERROR(INDEX('Темы × классы'!$R:$R,MATCH(E593,'Темы × классы'!$E:$E,0)),"")</f>
        <v/>
      </c>
      <c r="J593" s="9">
        <f>IFERROR(INDEX('Темы × классы'!$S:$S,MATCH(E593,'Темы × классы'!$E:$E,0))&amp;"","")</f>
        <v/>
      </c>
      <c r="K593" s="9" t="inlineStr">
        <is>
          <t>не начат</t>
        </is>
      </c>
      <c r="L593" s="9" t="inlineStr">
        <is>
          <t>Spotlight / 8 класс / Module 1 · Socialising / Past Simple / Past Simple: неправильные глаголы — утверждение</t>
        </is>
      </c>
    </row>
    <row r="594">
      <c r="A594" s="25" t="n">
        <v>8</v>
      </c>
      <c r="B594" s="9" t="inlineStr">
        <is>
          <t>Module 1 · Socialising</t>
        </is>
      </c>
      <c r="C594" s="9" t="inlineStr">
        <is>
          <t>1c</t>
        </is>
      </c>
      <c r="D594" s="9" t="inlineStr">
        <is>
          <t>Past Simple</t>
        </is>
      </c>
      <c r="E594" s="23" t="inlineStr">
        <is>
          <t>Past Simple: одна форма для всех лиц, исключение was/were</t>
        </is>
      </c>
      <c r="F594" s="26" t="inlineStr">
        <is>
          <t>новое</t>
        </is>
      </c>
      <c r="G594" s="9" t="inlineStr"/>
      <c r="H594" s="25" t="inlineStr">
        <is>
          <t>10+</t>
        </is>
      </c>
      <c r="I594" s="9">
        <f>IFERROR(INDEX('Темы × классы'!$R:$R,MATCH(E594,'Темы × классы'!$E:$E,0)),"")</f>
        <v/>
      </c>
      <c r="J594" s="9">
        <f>IFERROR(INDEX('Темы × классы'!$S:$S,MATCH(E594,'Темы × классы'!$E:$E,0))&amp;"","")</f>
        <v/>
      </c>
      <c r="K594" s="9" t="inlineStr">
        <is>
          <t>не начат</t>
        </is>
      </c>
      <c r="L594" s="9" t="inlineStr">
        <is>
          <t>Spotlight / 8 класс / Module 1 · Socialising / Past Simple / Past Simple: одна форма для всех лиц, исключение was/were</t>
        </is>
      </c>
    </row>
    <row r="595">
      <c r="A595" s="25" t="n">
        <v>8</v>
      </c>
      <c r="B595" s="9" t="inlineStr">
        <is>
          <t>Module 1 · Socialising</t>
        </is>
      </c>
      <c r="C595" s="9" t="inlineStr">
        <is>
          <t>1c</t>
        </is>
      </c>
      <c r="D595" s="9" t="inlineStr">
        <is>
          <t>Past Simple</t>
        </is>
      </c>
      <c r="E595" s="23" t="inlineStr">
        <is>
          <t>Past Simple: значение — действие в прошлом (yesterday, ago)</t>
        </is>
      </c>
      <c r="F595" s="25" t="inlineStr">
        <is>
          <t>повторение</t>
        </is>
      </c>
      <c r="G595" s="9" t="inlineStr">
        <is>
          <t>yesterday morning, last night</t>
        </is>
      </c>
      <c r="H595" s="25" t="inlineStr">
        <is>
          <t>10+</t>
        </is>
      </c>
      <c r="I595" s="9">
        <f>IFERROR(INDEX('Темы × классы'!$R:$R,MATCH(E595,'Темы × классы'!$E:$E,0)),"")</f>
        <v/>
      </c>
      <c r="J595" s="9">
        <f>IFERROR(INDEX('Темы × классы'!$S:$S,MATCH(E595,'Темы × классы'!$E:$E,0))&amp;"","")</f>
        <v/>
      </c>
      <c r="K595" s="9" t="inlineStr">
        <is>
          <t>не начат</t>
        </is>
      </c>
      <c r="L595" s="9" t="inlineStr">
        <is>
          <t>Spotlight / 8 класс / Module 1 · Socialising / Past Simple / Past Simple: значение — действие в прошлом (yesterday, ago)</t>
        </is>
      </c>
    </row>
    <row r="596">
      <c r="A596" s="25" t="n">
        <v>8</v>
      </c>
      <c r="B596" s="9" t="inlineStr">
        <is>
          <t>Module 1 · Socialising</t>
        </is>
      </c>
      <c r="C596" s="9" t="inlineStr">
        <is>
          <t>1c</t>
        </is>
      </c>
      <c r="D596" s="9" t="inlineStr">
        <is>
          <t>Past Simple</t>
        </is>
      </c>
      <c r="E596" s="23" t="inlineStr">
        <is>
          <t>Past Simple: значение — действие в указанное время в прошлом</t>
        </is>
      </c>
      <c r="F596" s="26" t="inlineStr">
        <is>
          <t>новое</t>
        </is>
      </c>
      <c r="G596" s="9" t="inlineStr">
        <is>
          <t>с указанием точного времени</t>
        </is>
      </c>
      <c r="H596" s="25" t="inlineStr">
        <is>
          <t>10+</t>
        </is>
      </c>
      <c r="I596" s="9">
        <f>IFERROR(INDEX('Темы × классы'!$R:$R,MATCH(E596,'Темы × классы'!$E:$E,0)),"")</f>
        <v/>
      </c>
      <c r="J596" s="9">
        <f>IFERROR(INDEX('Темы × классы'!$S:$S,MATCH(E596,'Темы × классы'!$E:$E,0))&amp;"","")</f>
        <v/>
      </c>
      <c r="K596" s="9" t="inlineStr">
        <is>
          <t>не начат</t>
        </is>
      </c>
      <c r="L596" s="9" t="inlineStr">
        <is>
          <t>Spotlight / 8 класс / Module 1 · Socialising / Past Simple / Past Simple: значение — действие в указанное время в прошлом</t>
        </is>
      </c>
    </row>
    <row r="597">
      <c r="A597" s="25" t="n">
        <v>8</v>
      </c>
      <c r="B597" s="9" t="inlineStr">
        <is>
          <t>Module 1 · Socialising</t>
        </is>
      </c>
      <c r="C597" s="9" t="inlineStr">
        <is>
          <t>1c</t>
        </is>
      </c>
      <c r="D597" s="9" t="inlineStr">
        <is>
          <t>Past Simple</t>
        </is>
      </c>
      <c r="E597" s="23" t="inlineStr">
        <is>
          <t>Past Simple: значение — повторяющиеся действия и привычки в прошлом</t>
        </is>
      </c>
      <c r="F597" s="26" t="inlineStr">
        <is>
          <t>новое</t>
        </is>
      </c>
      <c r="G597" s="9" t="inlineStr"/>
      <c r="H597" s="25" t="inlineStr">
        <is>
          <t>10+</t>
        </is>
      </c>
      <c r="I597" s="9">
        <f>IFERROR(INDEX('Темы × классы'!$R:$R,MATCH(E597,'Темы × классы'!$E:$E,0)),"")</f>
        <v/>
      </c>
      <c r="J597" s="9">
        <f>IFERROR(INDEX('Темы × классы'!$S:$S,MATCH(E597,'Темы × классы'!$E:$E,0))&amp;"","")</f>
        <v/>
      </c>
      <c r="K597" s="9" t="inlineStr">
        <is>
          <t>не начат</t>
        </is>
      </c>
      <c r="L597" s="9" t="inlineStr">
        <is>
          <t>Spotlight / 8 класс / Module 1 · Socialising / Past Simple / Past Simple: значение — повторяющиеся действия и привычки в прошлом</t>
        </is>
      </c>
    </row>
    <row r="598">
      <c r="A598" s="25" t="n">
        <v>8</v>
      </c>
      <c r="B598" s="9" t="inlineStr">
        <is>
          <t>Module 1 · Socialising</t>
        </is>
      </c>
      <c r="C598" s="9" t="inlineStr">
        <is>
          <t>1c</t>
        </is>
      </c>
      <c r="D598" s="9" t="inlineStr">
        <is>
          <t>Past Simple</t>
        </is>
      </c>
      <c r="E598" s="23" t="inlineStr">
        <is>
          <t>Past Simple: значение — последовательные действия</t>
        </is>
      </c>
      <c r="F598" s="26" t="inlineStr">
        <is>
          <t>новое</t>
        </is>
      </c>
      <c r="G598" s="9" t="inlineStr">
        <is>
          <t>came home, changed and went out</t>
        </is>
      </c>
      <c r="H598" s="25" t="inlineStr">
        <is>
          <t>10+</t>
        </is>
      </c>
      <c r="I598" s="9">
        <f>IFERROR(INDEX('Темы × классы'!$R:$R,MATCH(E598,'Темы × классы'!$E:$E,0)),"")</f>
        <v/>
      </c>
      <c r="J598" s="9">
        <f>IFERROR(INDEX('Темы × классы'!$S:$S,MATCH(E598,'Темы × классы'!$E:$E,0))&amp;"","")</f>
        <v/>
      </c>
      <c r="K598" s="9" t="inlineStr">
        <is>
          <t>не начат</t>
        </is>
      </c>
      <c r="L598" s="9" t="inlineStr">
        <is>
          <t>Spotlight / 8 класс / Module 1 · Socialising / Past Simple / Past Simple: значение — последовательные действия</t>
        </is>
      </c>
    </row>
    <row r="599">
      <c r="A599" s="25" t="n">
        <v>8</v>
      </c>
      <c r="B599" s="9" t="inlineStr">
        <is>
          <t>Module 1 · Socialising</t>
        </is>
      </c>
      <c r="C599" s="9" t="inlineStr">
        <is>
          <t>1c</t>
        </is>
      </c>
      <c r="D599" s="9" t="inlineStr">
        <is>
          <t>Present Continuous</t>
        </is>
      </c>
      <c r="E599" s="23" t="inlineStr">
        <is>
          <t>Present Continuous: утверждение (am/is/are + V-ing)</t>
        </is>
      </c>
      <c r="F599" s="25" t="inlineStr">
        <is>
          <t>повторение</t>
        </is>
      </c>
      <c r="G599" s="9" t="inlineStr"/>
      <c r="H599" s="25" t="inlineStr">
        <is>
          <t>10+</t>
        </is>
      </c>
      <c r="I599" s="9">
        <f>IFERROR(INDEX('Темы × классы'!$R:$R,MATCH(E599,'Темы × классы'!$E:$E,0)),"")</f>
        <v/>
      </c>
      <c r="J599" s="9">
        <f>IFERROR(INDEX('Темы × классы'!$S:$S,MATCH(E599,'Темы × классы'!$E:$E,0))&amp;"","")</f>
        <v/>
      </c>
      <c r="K599" s="9" t="inlineStr">
        <is>
          <t>не начат</t>
        </is>
      </c>
      <c r="L599" s="9" t="inlineStr">
        <is>
          <t>Spotlight / 8 класс / Module 1 · Socialising / Present Continuous / Present Continuous: утверждение (am/is/are + V-ing)</t>
        </is>
      </c>
    </row>
    <row r="600">
      <c r="A600" s="25" t="n">
        <v>8</v>
      </c>
      <c r="B600" s="9" t="inlineStr">
        <is>
          <t>Module 1 · Socialising</t>
        </is>
      </c>
      <c r="C600" s="9" t="inlineStr">
        <is>
          <t>1c</t>
        </is>
      </c>
      <c r="D600" s="9" t="inlineStr">
        <is>
          <t>Present Continuous</t>
        </is>
      </c>
      <c r="E600" s="23" t="inlineStr">
        <is>
          <t>Present Continuous: отрицание (I'm not / isn't / aren't)</t>
        </is>
      </c>
      <c r="F600" s="25" t="inlineStr">
        <is>
          <t>повторение</t>
        </is>
      </c>
      <c r="G600" s="9" t="inlineStr"/>
      <c r="H600" s="25" t="inlineStr">
        <is>
          <t>10+</t>
        </is>
      </c>
      <c r="I600" s="9">
        <f>IFERROR(INDEX('Темы × классы'!$R:$R,MATCH(E600,'Темы × классы'!$E:$E,0)),"")</f>
        <v/>
      </c>
      <c r="J600" s="9">
        <f>IFERROR(INDEX('Темы × классы'!$S:$S,MATCH(E600,'Темы × классы'!$E:$E,0))&amp;"","")</f>
        <v/>
      </c>
      <c r="K600" s="9" t="inlineStr">
        <is>
          <t>не начат</t>
        </is>
      </c>
      <c r="L600" s="9" t="inlineStr">
        <is>
          <t>Spotlight / 8 класс / Module 1 · Socialising / Present Continuous / Present Continuous: отрицание (I'm not / isn't / aren't)</t>
        </is>
      </c>
    </row>
    <row r="601">
      <c r="A601" s="25" t="n">
        <v>8</v>
      </c>
      <c r="B601" s="9" t="inlineStr">
        <is>
          <t>Module 1 · Socialising</t>
        </is>
      </c>
      <c r="C601" s="9" t="inlineStr">
        <is>
          <t>1c</t>
        </is>
      </c>
      <c r="D601" s="9" t="inlineStr">
        <is>
          <t>Present Continuous</t>
        </is>
      </c>
      <c r="E601" s="23" t="inlineStr">
        <is>
          <t>Present Continuous: общие вопросы (Am/Is/Are …?)</t>
        </is>
      </c>
      <c r="F601" s="25" t="inlineStr">
        <is>
          <t>повторение</t>
        </is>
      </c>
      <c r="G601" s="9" t="inlineStr"/>
      <c r="H601" s="25" t="inlineStr">
        <is>
          <t>10+</t>
        </is>
      </c>
      <c r="I601" s="9">
        <f>IFERROR(INDEX('Темы × классы'!$R:$R,MATCH(E601,'Темы × классы'!$E:$E,0)),"")</f>
        <v/>
      </c>
      <c r="J601" s="9">
        <f>IFERROR(INDEX('Темы × классы'!$S:$S,MATCH(E601,'Темы × классы'!$E:$E,0))&amp;"","")</f>
        <v/>
      </c>
      <c r="K601" s="9" t="inlineStr">
        <is>
          <t>не начат</t>
        </is>
      </c>
      <c r="L601" s="9" t="inlineStr">
        <is>
          <t>Spotlight / 8 класс / Module 1 · Socialising / Present Continuous / Present Continuous: общие вопросы (Am/Is/Are …?)</t>
        </is>
      </c>
    </row>
    <row r="602">
      <c r="A602" s="25" t="n">
        <v>8</v>
      </c>
      <c r="B602" s="9" t="inlineStr">
        <is>
          <t>Module 1 · Socialising</t>
        </is>
      </c>
      <c r="C602" s="9" t="inlineStr">
        <is>
          <t>1c</t>
        </is>
      </c>
      <c r="D602" s="9" t="inlineStr">
        <is>
          <t>Present Continuous</t>
        </is>
      </c>
      <c r="E602" s="23" t="inlineStr">
        <is>
          <t>Present Continuous: краткие ответы (Yes, I am / No, he isn't)</t>
        </is>
      </c>
      <c r="F602" s="25" t="inlineStr">
        <is>
          <t>повторение</t>
        </is>
      </c>
      <c r="G602" s="9" t="inlineStr"/>
      <c r="H602" s="25" t="inlineStr">
        <is>
          <t>10+</t>
        </is>
      </c>
      <c r="I602" s="9">
        <f>IFERROR(INDEX('Темы × классы'!$R:$R,MATCH(E602,'Темы × классы'!$E:$E,0)),"")</f>
        <v/>
      </c>
      <c r="J602" s="9">
        <f>IFERROR(INDEX('Темы × классы'!$S:$S,MATCH(E602,'Темы × классы'!$E:$E,0))&amp;"","")</f>
        <v/>
      </c>
      <c r="K602" s="9" t="inlineStr">
        <is>
          <t>не начат</t>
        </is>
      </c>
      <c r="L602" s="9" t="inlineStr">
        <is>
          <t>Spotlight / 8 класс / Module 1 · Socialising / Present Continuous / Present Continuous: краткие ответы (Yes, I am / No, he isn't)</t>
        </is>
      </c>
    </row>
    <row r="603">
      <c r="A603" s="25" t="n">
        <v>8</v>
      </c>
      <c r="B603" s="9" t="inlineStr">
        <is>
          <t>Module 1 · Socialising</t>
        </is>
      </c>
      <c r="C603" s="9" t="inlineStr">
        <is>
          <t>1c</t>
        </is>
      </c>
      <c r="D603" s="9" t="inlineStr">
        <is>
          <t>Present Continuous</t>
        </is>
      </c>
      <c r="E603" s="23" t="inlineStr">
        <is>
          <t>Present Continuous: орфография -ing</t>
        </is>
      </c>
      <c r="F603" s="27" t="inlineStr">
        <is>
          <t>расширение</t>
        </is>
      </c>
      <c r="G603" s="9" t="inlineStr">
        <is>
          <t>новое: удвоение в ударном слоге (begin – beginning), но open – opening</t>
        </is>
      </c>
      <c r="H603" s="25" t="inlineStr">
        <is>
          <t>10+</t>
        </is>
      </c>
      <c r="I603" s="9">
        <f>IFERROR(INDEX('Темы × классы'!$R:$R,MATCH(E603,'Темы × классы'!$E:$E,0)),"")</f>
        <v/>
      </c>
      <c r="J603" s="9">
        <f>IFERROR(INDEX('Темы × классы'!$S:$S,MATCH(E603,'Темы × классы'!$E:$E,0))&amp;"","")</f>
        <v/>
      </c>
      <c r="K603" s="9" t="inlineStr">
        <is>
          <t>не начат</t>
        </is>
      </c>
      <c r="L603" s="9" t="inlineStr">
        <is>
          <t>Spotlight / 8 класс / Module 1 · Socialising / Present Continuous / Present Continuous: орфография -ing</t>
        </is>
      </c>
    </row>
    <row r="604">
      <c r="A604" s="25" t="n">
        <v>8</v>
      </c>
      <c r="B604" s="9" t="inlineStr">
        <is>
          <t>Module 1 · Socialising</t>
        </is>
      </c>
      <c r="C604" s="9" t="inlineStr">
        <is>
          <t>1c</t>
        </is>
      </c>
      <c r="D604" s="9" t="inlineStr">
        <is>
          <t>Present Continuous</t>
        </is>
      </c>
      <c r="E604" s="23" t="inlineStr">
        <is>
          <t>Present Continuous: значение — действие сейчас (now)</t>
        </is>
      </c>
      <c r="F604" s="25" t="inlineStr">
        <is>
          <t>повторение</t>
        </is>
      </c>
      <c r="G604" s="9" t="inlineStr"/>
      <c r="H604" s="25" t="inlineStr">
        <is>
          <t>10+</t>
        </is>
      </c>
      <c r="I604" s="9">
        <f>IFERROR(INDEX('Темы × классы'!$R:$R,MATCH(E604,'Темы × классы'!$E:$E,0)),"")</f>
        <v/>
      </c>
      <c r="J604" s="9">
        <f>IFERROR(INDEX('Темы × классы'!$S:$S,MATCH(E604,'Темы × классы'!$E:$E,0))&amp;"","")</f>
        <v/>
      </c>
      <c r="K604" s="9" t="inlineStr">
        <is>
          <t>не начат</t>
        </is>
      </c>
      <c r="L604" s="9" t="inlineStr">
        <is>
          <t>Spotlight / 8 класс / Module 1 · Socialising / Present Continuous / Present Continuous: значение — действие сейчас (now)</t>
        </is>
      </c>
    </row>
    <row r="605">
      <c r="A605" s="25" t="n">
        <v>8</v>
      </c>
      <c r="B605" s="9" t="inlineStr">
        <is>
          <t>Module 1 · Socialising</t>
        </is>
      </c>
      <c r="C605" s="9" t="inlineStr">
        <is>
          <t>1c</t>
        </is>
      </c>
      <c r="D605" s="9" t="inlineStr">
        <is>
          <t>Present Continuous</t>
        </is>
      </c>
      <c r="E605" s="23" t="inlineStr">
        <is>
          <t>Present Continuous: значение — запланированное будущее</t>
        </is>
      </c>
      <c r="F605" s="27" t="inlineStr">
        <is>
          <t>расширение</t>
        </is>
      </c>
      <c r="G605" s="9" t="inlineStr">
        <is>
          <t>известны время и место; tomorrow, next month</t>
        </is>
      </c>
      <c r="H605" s="25" t="inlineStr">
        <is>
          <t>10+</t>
        </is>
      </c>
      <c r="I605" s="9">
        <f>IFERROR(INDEX('Темы × классы'!$R:$R,MATCH(E605,'Темы × классы'!$E:$E,0)),"")</f>
        <v/>
      </c>
      <c r="J605" s="9">
        <f>IFERROR(INDEX('Темы × классы'!$S:$S,MATCH(E605,'Темы × классы'!$E:$E,0))&amp;"","")</f>
        <v/>
      </c>
      <c r="K605" s="9" t="inlineStr">
        <is>
          <t>не начат</t>
        </is>
      </c>
      <c r="L605" s="9" t="inlineStr">
        <is>
          <t>Spotlight / 8 класс / Module 1 · Socialising / Present Continuous / Present Continuous: значение — запланированное будущее</t>
        </is>
      </c>
    </row>
    <row r="606">
      <c r="A606" s="25" t="n">
        <v>8</v>
      </c>
      <c r="B606" s="9" t="inlineStr">
        <is>
          <t>Module 1 · Socialising</t>
        </is>
      </c>
      <c r="C606" s="9" t="inlineStr">
        <is>
          <t>1c</t>
        </is>
      </c>
      <c r="D606" s="9" t="inlineStr">
        <is>
          <t>Present Continuous</t>
        </is>
      </c>
      <c r="E606" s="23" t="inlineStr">
        <is>
          <t>Present Continuous: значение — временные ситуации</t>
        </is>
      </c>
      <c r="F606" s="26" t="inlineStr">
        <is>
          <t>новое</t>
        </is>
      </c>
      <c r="G606" s="9" t="inlineStr">
        <is>
          <t>I'm preparing for my exams this month</t>
        </is>
      </c>
      <c r="H606" s="25" t="inlineStr">
        <is>
          <t>10+</t>
        </is>
      </c>
      <c r="I606" s="9">
        <f>IFERROR(INDEX('Темы × классы'!$R:$R,MATCH(E606,'Темы × классы'!$E:$E,0)),"")</f>
        <v/>
      </c>
      <c r="J606" s="9">
        <f>IFERROR(INDEX('Темы × классы'!$S:$S,MATCH(E606,'Темы × классы'!$E:$E,0))&amp;"","")</f>
        <v/>
      </c>
      <c r="K606" s="9" t="inlineStr">
        <is>
          <t>не начат</t>
        </is>
      </c>
      <c r="L606" s="9" t="inlineStr">
        <is>
          <t>Spotlight / 8 класс / Module 1 · Socialising / Present Continuous / Present Continuous: значение — временные ситуации</t>
        </is>
      </c>
    </row>
    <row r="607">
      <c r="A607" s="25" t="n">
        <v>8</v>
      </c>
      <c r="B607" s="9" t="inlineStr">
        <is>
          <t>Module 1 · Socialising</t>
        </is>
      </c>
      <c r="C607" s="9" t="inlineStr">
        <is>
          <t>1c</t>
        </is>
      </c>
      <c r="D607" s="9" t="inlineStr">
        <is>
          <t>Present Continuous</t>
        </is>
      </c>
      <c r="E607" s="23" t="inlineStr">
        <is>
          <t>Present Continuous: значение — меняющиеся и развивающиеся ситуации</t>
        </is>
      </c>
      <c r="F607" s="25" t="inlineStr">
        <is>
          <t>повторение</t>
        </is>
      </c>
      <c r="G607" s="9" t="inlineStr">
        <is>
          <t>Her Spanish is improving</t>
        </is>
      </c>
      <c r="H607" s="25" t="inlineStr">
        <is>
          <t>10+</t>
        </is>
      </c>
      <c r="I607" s="9">
        <f>IFERROR(INDEX('Темы × классы'!$R:$R,MATCH(E607,'Темы × классы'!$E:$E,0)),"")</f>
        <v/>
      </c>
      <c r="J607" s="9">
        <f>IFERROR(INDEX('Темы × классы'!$S:$S,MATCH(E607,'Темы × классы'!$E:$E,0))&amp;"","")</f>
        <v/>
      </c>
      <c r="K607" s="9" t="inlineStr">
        <is>
          <t>не начат</t>
        </is>
      </c>
      <c r="L607" s="9" t="inlineStr">
        <is>
          <t>Spotlight / 8 класс / Module 1 · Socialising / Present Continuous / Present Continuous: значение — меняющиеся и развивающиеся ситуации</t>
        </is>
      </c>
    </row>
    <row r="608">
      <c r="A608" s="25" t="n">
        <v>8</v>
      </c>
      <c r="B608" s="9" t="inlineStr">
        <is>
          <t>Module 1 · Socialising</t>
        </is>
      </c>
      <c r="C608" s="9" t="inlineStr">
        <is>
          <t>1c</t>
        </is>
      </c>
      <c r="D608" s="9" t="inlineStr">
        <is>
          <t>Present Continuous</t>
        </is>
      </c>
      <c r="E608" s="23" t="inlineStr">
        <is>
          <t>Present Continuous: значение — always + раздражение</t>
        </is>
      </c>
      <c r="F608" s="27" t="inlineStr">
        <is>
          <t>расширение</t>
        </is>
      </c>
      <c r="G608" s="9" t="inlineStr">
        <is>
          <t>+ constantly, continually</t>
        </is>
      </c>
      <c r="H608" s="25" t="inlineStr">
        <is>
          <t>10+</t>
        </is>
      </c>
      <c r="I608" s="9">
        <f>IFERROR(INDEX('Темы × классы'!$R:$R,MATCH(E608,'Темы × классы'!$E:$E,0)),"")</f>
        <v/>
      </c>
      <c r="J608" s="9">
        <f>IFERROR(INDEX('Темы × классы'!$S:$S,MATCH(E608,'Темы × классы'!$E:$E,0))&amp;"","")</f>
        <v/>
      </c>
      <c r="K608" s="9" t="inlineStr">
        <is>
          <t>не начат</t>
        </is>
      </c>
      <c r="L608" s="9" t="inlineStr">
        <is>
          <t>Spotlight / 8 класс / Module 1 · Socialising / Present Continuous / Present Continuous: значение — always + раздражение</t>
        </is>
      </c>
    </row>
    <row r="609">
      <c r="A609" s="25" t="n">
        <v>8</v>
      </c>
      <c r="B609" s="9" t="inlineStr">
        <is>
          <t>Module 1 · Socialising</t>
        </is>
      </c>
      <c r="C609" s="9" t="inlineStr">
        <is>
          <t>1c</t>
        </is>
      </c>
      <c r="D609" s="9" t="inlineStr">
        <is>
          <t>Present Simple</t>
        </is>
      </c>
      <c r="E609" s="23" t="inlineStr">
        <is>
          <t>Present Simple: утверждение (I/you/we/they V, he/she/it V-s)</t>
        </is>
      </c>
      <c r="F609" s="25" t="inlineStr">
        <is>
          <t>повторение</t>
        </is>
      </c>
      <c r="G609" s="9" t="inlineStr"/>
      <c r="H609" s="25" t="inlineStr">
        <is>
          <t>10+</t>
        </is>
      </c>
      <c r="I609" s="9">
        <f>IFERROR(INDEX('Темы × классы'!$R:$R,MATCH(E609,'Темы × классы'!$E:$E,0)),"")</f>
        <v/>
      </c>
      <c r="J609" s="9">
        <f>IFERROR(INDEX('Темы × классы'!$S:$S,MATCH(E609,'Темы × классы'!$E:$E,0))&amp;"","")</f>
        <v/>
      </c>
      <c r="K609" s="9" t="inlineStr">
        <is>
          <t>не начат</t>
        </is>
      </c>
      <c r="L609" s="9" t="inlineStr">
        <is>
          <t>Spotlight / 8 класс / Module 1 · Socialising / Present Simple / Present Simple: утверждение (I/you/we/they V, he/she/it V-s)</t>
        </is>
      </c>
    </row>
    <row r="610">
      <c r="A610" s="25" t="n">
        <v>8</v>
      </c>
      <c r="B610" s="9" t="inlineStr">
        <is>
          <t>Module 1 · Socialising</t>
        </is>
      </c>
      <c r="C610" s="9" t="inlineStr">
        <is>
          <t>1c</t>
        </is>
      </c>
      <c r="D610" s="9" t="inlineStr">
        <is>
          <t>Present Simple</t>
        </is>
      </c>
      <c r="E610" s="23" t="inlineStr">
        <is>
          <t>Present Simple: отрицание (don't/doesn't)</t>
        </is>
      </c>
      <c r="F610" s="25" t="inlineStr">
        <is>
          <t>повторение</t>
        </is>
      </c>
      <c r="G610" s="9" t="inlineStr"/>
      <c r="H610" s="25" t="inlineStr">
        <is>
          <t>10+</t>
        </is>
      </c>
      <c r="I610" s="9">
        <f>IFERROR(INDEX('Темы × классы'!$R:$R,MATCH(E610,'Темы × классы'!$E:$E,0)),"")</f>
        <v/>
      </c>
      <c r="J610" s="9">
        <f>IFERROR(INDEX('Темы × классы'!$S:$S,MATCH(E610,'Темы × классы'!$E:$E,0))&amp;"","")</f>
        <v/>
      </c>
      <c r="K610" s="9" t="inlineStr">
        <is>
          <t>не начат</t>
        </is>
      </c>
      <c r="L610" s="9" t="inlineStr">
        <is>
          <t>Spotlight / 8 класс / Module 1 · Socialising / Present Simple / Present Simple: отрицание (don't/doesn't)</t>
        </is>
      </c>
    </row>
    <row r="611">
      <c r="A611" s="25" t="n">
        <v>8</v>
      </c>
      <c r="B611" s="9" t="inlineStr">
        <is>
          <t>Module 1 · Socialising</t>
        </is>
      </c>
      <c r="C611" s="9" t="inlineStr">
        <is>
          <t>1c</t>
        </is>
      </c>
      <c r="D611" s="9" t="inlineStr">
        <is>
          <t>Present Simple</t>
        </is>
      </c>
      <c r="E611" s="23" t="inlineStr">
        <is>
          <t>Present Simple: общие вопросы (Do/Does …?)</t>
        </is>
      </c>
      <c r="F611" s="25" t="inlineStr">
        <is>
          <t>повторение</t>
        </is>
      </c>
      <c r="G611" s="9" t="inlineStr"/>
      <c r="H611" s="25" t="inlineStr">
        <is>
          <t>10+</t>
        </is>
      </c>
      <c r="I611" s="9">
        <f>IFERROR(INDEX('Темы × классы'!$R:$R,MATCH(E611,'Темы × классы'!$E:$E,0)),"")</f>
        <v/>
      </c>
      <c r="J611" s="9">
        <f>IFERROR(INDEX('Темы × классы'!$S:$S,MATCH(E611,'Темы × классы'!$E:$E,0))&amp;"","")</f>
        <v/>
      </c>
      <c r="K611" s="9" t="inlineStr">
        <is>
          <t>не начат</t>
        </is>
      </c>
      <c r="L611" s="9" t="inlineStr">
        <is>
          <t>Spotlight / 8 класс / Module 1 · Socialising / Present Simple / Present Simple: общие вопросы (Do/Does …?)</t>
        </is>
      </c>
    </row>
    <row r="612">
      <c r="A612" s="25" t="n">
        <v>8</v>
      </c>
      <c r="B612" s="9" t="inlineStr">
        <is>
          <t>Module 1 · Socialising</t>
        </is>
      </c>
      <c r="C612" s="9" t="inlineStr">
        <is>
          <t>1c</t>
        </is>
      </c>
      <c r="D612" s="9" t="inlineStr">
        <is>
          <t>Present Simple</t>
        </is>
      </c>
      <c r="E612" s="23" t="inlineStr">
        <is>
          <t>Present Simple: краткие ответы (Yes, I do / No, he doesn't)</t>
        </is>
      </c>
      <c r="F612" s="25" t="inlineStr">
        <is>
          <t>повторение</t>
        </is>
      </c>
      <c r="G612" s="9" t="inlineStr"/>
      <c r="H612" s="25" t="inlineStr">
        <is>
          <t>10+</t>
        </is>
      </c>
      <c r="I612" s="9">
        <f>IFERROR(INDEX('Темы × классы'!$R:$R,MATCH(E612,'Темы × классы'!$E:$E,0)),"")</f>
        <v/>
      </c>
      <c r="J612" s="9">
        <f>IFERROR(INDEX('Темы × классы'!$S:$S,MATCH(E612,'Темы × классы'!$E:$E,0))&amp;"","")</f>
        <v/>
      </c>
      <c r="K612" s="9" t="inlineStr">
        <is>
          <t>не начат</t>
        </is>
      </c>
      <c r="L612" s="9" t="inlineStr">
        <is>
          <t>Spotlight / 8 класс / Module 1 · Socialising / Present Simple / Present Simple: краткие ответы (Yes, I do / No, he doesn't)</t>
        </is>
      </c>
    </row>
    <row r="613">
      <c r="A613" s="25" t="n">
        <v>8</v>
      </c>
      <c r="B613" s="9" t="inlineStr">
        <is>
          <t>Module 1 · Socialising</t>
        </is>
      </c>
      <c r="C613" s="9" t="inlineStr">
        <is>
          <t>1c</t>
        </is>
      </c>
      <c r="D613" s="9" t="inlineStr">
        <is>
          <t>Present Simple</t>
        </is>
      </c>
      <c r="E613" s="23" t="inlineStr">
        <is>
          <t>Present Simple: орфография окончания -s/-es (3 л. ед. ч.)</t>
        </is>
      </c>
      <c r="F613" s="25" t="inlineStr">
        <is>
          <t>повторение</t>
        </is>
      </c>
      <c r="G613" s="9" t="inlineStr">
        <is>
          <t>says, fixes</t>
        </is>
      </c>
      <c r="H613" s="25" t="inlineStr">
        <is>
          <t>10+</t>
        </is>
      </c>
      <c r="I613" s="9">
        <f>IFERROR(INDEX('Темы × классы'!$R:$R,MATCH(E613,'Темы × классы'!$E:$E,0)),"")</f>
        <v/>
      </c>
      <c r="J613" s="9">
        <f>IFERROR(INDEX('Темы × классы'!$S:$S,MATCH(E613,'Темы × классы'!$E:$E,0))&amp;"","")</f>
        <v/>
      </c>
      <c r="K613" s="9" t="inlineStr">
        <is>
          <t>не начат</t>
        </is>
      </c>
      <c r="L613" s="9" t="inlineStr">
        <is>
          <t>Spotlight / 8 класс / Module 1 · Socialising / Present Simple / Present Simple: орфография окончания -s/-es (3 л. ед. ч.)</t>
        </is>
      </c>
    </row>
    <row r="614">
      <c r="A614" s="25" t="n">
        <v>8</v>
      </c>
      <c r="B614" s="9" t="inlineStr">
        <is>
          <t>Module 1 · Socialising</t>
        </is>
      </c>
      <c r="C614" s="9" t="inlineStr">
        <is>
          <t>1c</t>
        </is>
      </c>
      <c r="D614" s="9" t="inlineStr">
        <is>
          <t>Present Simple</t>
        </is>
      </c>
      <c r="E614" s="23" t="inlineStr">
        <is>
          <t>Present Simple: значение — регулярные действия, распорядок дня, привычки</t>
        </is>
      </c>
      <c r="F614" s="25" t="inlineStr">
        <is>
          <t>повторение</t>
        </is>
      </c>
      <c r="G614" s="9" t="inlineStr">
        <is>
          <t>every day/month/hour…, usually, often</t>
        </is>
      </c>
      <c r="H614" s="25" t="inlineStr">
        <is>
          <t>10+</t>
        </is>
      </c>
      <c r="I614" s="9">
        <f>IFERROR(INDEX('Темы × классы'!$R:$R,MATCH(E614,'Темы × классы'!$E:$E,0)),"")</f>
        <v/>
      </c>
      <c r="J614" s="9">
        <f>IFERROR(INDEX('Темы × классы'!$S:$S,MATCH(E614,'Темы × классы'!$E:$E,0))&amp;"","")</f>
        <v/>
      </c>
      <c r="K614" s="9" t="inlineStr">
        <is>
          <t>не начат</t>
        </is>
      </c>
      <c r="L614" s="9" t="inlineStr">
        <is>
          <t>Spotlight / 8 класс / Module 1 · Socialising / Present Simple / Present Simple: значение — регулярные действия, распорядок дня, привычки</t>
        </is>
      </c>
    </row>
    <row r="615">
      <c r="A615" s="25" t="n">
        <v>8</v>
      </c>
      <c r="B615" s="9" t="inlineStr">
        <is>
          <t>Module 1 · Socialising</t>
        </is>
      </c>
      <c r="C615" s="9" t="inlineStr">
        <is>
          <t>1c</t>
        </is>
      </c>
      <c r="D615" s="9" t="inlineStr">
        <is>
          <t>Present Simple</t>
        </is>
      </c>
      <c r="E615" s="23" t="inlineStr">
        <is>
          <t>Present Simple: значение — постоянные состояния и действия</t>
        </is>
      </c>
      <c r="F615" s="25" t="inlineStr">
        <is>
          <t>повторение</t>
        </is>
      </c>
      <c r="G615" s="9" t="inlineStr">
        <is>
          <t>He lives in Moscow</t>
        </is>
      </c>
      <c r="H615" s="25" t="inlineStr">
        <is>
          <t>10+</t>
        </is>
      </c>
      <c r="I615" s="9">
        <f>IFERROR(INDEX('Темы × классы'!$R:$R,MATCH(E615,'Темы × классы'!$E:$E,0)),"")</f>
        <v/>
      </c>
      <c r="J615" s="9">
        <f>IFERROR(INDEX('Темы × классы'!$S:$S,MATCH(E615,'Темы × классы'!$E:$E,0))&amp;"","")</f>
        <v/>
      </c>
      <c r="K615" s="9" t="inlineStr">
        <is>
          <t>не начат</t>
        </is>
      </c>
      <c r="L615" s="9" t="inlineStr">
        <is>
          <t>Spotlight / 8 класс / Module 1 · Socialising / Present Simple / Present Simple: значение — постоянные состояния и действия</t>
        </is>
      </c>
    </row>
    <row r="616">
      <c r="A616" s="25" t="n">
        <v>8</v>
      </c>
      <c r="B616" s="9" t="inlineStr">
        <is>
          <t>Module 1 · Socialising</t>
        </is>
      </c>
      <c r="C616" s="9" t="inlineStr">
        <is>
          <t>1c</t>
        </is>
      </c>
      <c r="D616" s="9" t="inlineStr">
        <is>
          <t>Present Simple</t>
        </is>
      </c>
      <c r="E616" s="23" t="inlineStr">
        <is>
          <t>Present Simple: значение — расписания и программы (будущее по расписанию)</t>
        </is>
      </c>
      <c r="F616" s="27" t="inlineStr">
        <is>
          <t>расширение</t>
        </is>
      </c>
      <c r="G616" s="9" t="inlineStr">
        <is>
          <t>в т.ч. запланированное будущее: The train leaves at 9</t>
        </is>
      </c>
      <c r="H616" s="25" t="inlineStr">
        <is>
          <t>10+</t>
        </is>
      </c>
      <c r="I616" s="9">
        <f>IFERROR(INDEX('Темы × классы'!$R:$R,MATCH(E616,'Темы × классы'!$E:$E,0)),"")</f>
        <v/>
      </c>
      <c r="J616" s="9">
        <f>IFERROR(INDEX('Темы × классы'!$S:$S,MATCH(E616,'Темы × классы'!$E:$E,0))&amp;"","")</f>
        <v/>
      </c>
      <c r="K616" s="9" t="inlineStr">
        <is>
          <t>не начат</t>
        </is>
      </c>
      <c r="L616" s="9" t="inlineStr">
        <is>
          <t>Spotlight / 8 класс / Module 1 · Socialising / Present Simple / Present Simple: значение — расписания и программы (будущее по расписанию)</t>
        </is>
      </c>
    </row>
    <row r="617">
      <c r="A617" s="25" t="n">
        <v>8</v>
      </c>
      <c r="B617" s="9" t="inlineStr">
        <is>
          <t>Module 1 · Socialising</t>
        </is>
      </c>
      <c r="C617" s="9" t="inlineStr">
        <is>
          <t>1c</t>
        </is>
      </c>
      <c r="D617" s="9" t="inlineStr">
        <is>
          <t>Present Simple</t>
        </is>
      </c>
      <c r="E617" s="23" t="inlineStr">
        <is>
          <t>Present Simple: значение — последовательные действия в настоящем</t>
        </is>
      </c>
      <c r="F617" s="26" t="inlineStr">
        <is>
          <t>новое</t>
        </is>
      </c>
      <c r="G617" s="9" t="inlineStr"/>
      <c r="H617" s="25" t="inlineStr">
        <is>
          <t>10+</t>
        </is>
      </c>
      <c r="I617" s="9">
        <f>IFERROR(INDEX('Темы × классы'!$R:$R,MATCH(E617,'Темы × классы'!$E:$E,0)),"")</f>
        <v/>
      </c>
      <c r="J617" s="9">
        <f>IFERROR(INDEX('Темы × классы'!$S:$S,MATCH(E617,'Темы × классы'!$E:$E,0))&amp;"","")</f>
        <v/>
      </c>
      <c r="K617" s="9" t="inlineStr">
        <is>
          <t>не начат</t>
        </is>
      </c>
      <c r="L617" s="9" t="inlineStr">
        <is>
          <t>Spotlight / 8 класс / Module 1 · Socialising / Present Simple / Present Simple: значение — последовательные действия в настоящем</t>
        </is>
      </c>
    </row>
    <row r="618">
      <c r="A618" s="25" t="n">
        <v>8</v>
      </c>
      <c r="B618" s="9" t="inlineStr">
        <is>
          <t>Module 1 · Socialising</t>
        </is>
      </c>
      <c r="C618" s="9" t="inlineStr">
        <is>
          <t>1c</t>
        </is>
      </c>
      <c r="D618" s="9" t="inlineStr">
        <is>
          <t>Future Simple (will)</t>
        </is>
      </c>
      <c r="E618" s="23" t="inlineStr">
        <is>
          <t>Future Simple (will): утверждение (will/'ll + V)</t>
        </is>
      </c>
      <c r="F618" s="25" t="inlineStr">
        <is>
          <t>повторение</t>
        </is>
      </c>
      <c r="G618" s="9" t="inlineStr">
        <is>
          <t>will + V</t>
        </is>
      </c>
      <c r="H618" s="25" t="inlineStr">
        <is>
          <t>10+</t>
        </is>
      </c>
      <c r="I618" s="9">
        <f>IFERROR(INDEX('Темы × классы'!$R:$R,MATCH(E618,'Темы × классы'!$E:$E,0)),"")</f>
        <v/>
      </c>
      <c r="J618" s="9">
        <f>IFERROR(INDEX('Темы × классы'!$S:$S,MATCH(E618,'Темы × классы'!$E:$E,0))&amp;"","")</f>
        <v/>
      </c>
      <c r="K618" s="9" t="inlineStr">
        <is>
          <t>не начат</t>
        </is>
      </c>
      <c r="L618" s="9" t="inlineStr">
        <is>
          <t>Spotlight / 8 класс / Module 1 · Socialising / Future Simple (will) / Future Simple (will): утверждение (will/'ll + V)</t>
        </is>
      </c>
    </row>
    <row r="619">
      <c r="A619" s="25" t="n">
        <v>8</v>
      </c>
      <c r="B619" s="9" t="inlineStr">
        <is>
          <t>Module 1 · Socialising</t>
        </is>
      </c>
      <c r="C619" s="9" t="inlineStr">
        <is>
          <t>1c</t>
        </is>
      </c>
      <c r="D619" s="9" t="inlineStr">
        <is>
          <t>Future Simple (will)</t>
        </is>
      </c>
      <c r="E619" s="23" t="inlineStr">
        <is>
          <t>Future Simple (will): значение — предсказание/предположение</t>
        </is>
      </c>
      <c r="F619" s="27" t="inlineStr">
        <is>
          <t>расширение</t>
        </is>
      </c>
      <c r="G619" s="9" t="inlineStr">
        <is>
          <t>добавлены hope, imagine, maybe</t>
        </is>
      </c>
      <c r="H619" s="25" t="inlineStr">
        <is>
          <t>10+</t>
        </is>
      </c>
      <c r="I619" s="9">
        <f>IFERROR(INDEX('Темы × классы'!$R:$R,MATCH(E619,'Темы × классы'!$E:$E,0)),"")</f>
        <v/>
      </c>
      <c r="J619" s="9">
        <f>IFERROR(INDEX('Темы × классы'!$S:$S,MATCH(E619,'Темы × классы'!$E:$E,0))&amp;"","")</f>
        <v/>
      </c>
      <c r="K619" s="9" t="inlineStr">
        <is>
          <t>не начат</t>
        </is>
      </c>
      <c r="L619" s="9" t="inlineStr">
        <is>
          <t>Spotlight / 8 класс / Module 1 · Socialising / Future Simple (will) / Future Simple (will): значение — предсказание/предположение</t>
        </is>
      </c>
    </row>
    <row r="620">
      <c r="A620" s="25" t="n">
        <v>8</v>
      </c>
      <c r="B620" s="9" t="inlineStr">
        <is>
          <t>Module 1 · Socialising</t>
        </is>
      </c>
      <c r="C620" s="9" t="inlineStr">
        <is>
          <t>1c</t>
        </is>
      </c>
      <c r="D620" s="9" t="inlineStr">
        <is>
          <t>Future Simple (will)</t>
        </is>
      </c>
      <c r="E620" s="23" t="inlineStr">
        <is>
          <t>Future Simple (will): значение — решение в момент речи</t>
        </is>
      </c>
      <c r="F620" s="25" t="inlineStr">
        <is>
          <t>повторение</t>
        </is>
      </c>
      <c r="G620" s="9" t="inlineStr"/>
      <c r="H620" s="25" t="inlineStr">
        <is>
          <t>10+</t>
        </is>
      </c>
      <c r="I620" s="9">
        <f>IFERROR(INDEX('Темы × классы'!$R:$R,MATCH(E620,'Темы × классы'!$E:$E,0)),"")</f>
        <v/>
      </c>
      <c r="J620" s="9">
        <f>IFERROR(INDEX('Темы × классы'!$S:$S,MATCH(E620,'Темы × классы'!$E:$E,0))&amp;"","")</f>
        <v/>
      </c>
      <c r="K620" s="9" t="inlineStr">
        <is>
          <t>не начат</t>
        </is>
      </c>
      <c r="L620" s="9" t="inlineStr">
        <is>
          <t>Spotlight / 8 класс / Module 1 · Socialising / Future Simple (will) / Future Simple (will): значение — решение в момент речи</t>
        </is>
      </c>
    </row>
    <row r="621">
      <c r="A621" s="25" t="n">
        <v>8</v>
      </c>
      <c r="B621" s="9" t="inlineStr">
        <is>
          <t>Module 1 · Socialising</t>
        </is>
      </c>
      <c r="C621" s="9" t="inlineStr">
        <is>
          <t>1c</t>
        </is>
      </c>
      <c r="D621" s="9" t="inlineStr">
        <is>
          <t>Future Simple (will)</t>
        </is>
      </c>
      <c r="E621" s="23" t="inlineStr">
        <is>
          <t>Future Simple (will): значение — обещания</t>
        </is>
      </c>
      <c r="F621" s="25" t="inlineStr">
        <is>
          <t>повторение</t>
        </is>
      </c>
      <c r="G621" s="9" t="inlineStr"/>
      <c r="H621" s="25" t="inlineStr">
        <is>
          <t>10+</t>
        </is>
      </c>
      <c r="I621" s="9">
        <f>IFERROR(INDEX('Темы × классы'!$R:$R,MATCH(E621,'Темы × классы'!$E:$E,0)),"")</f>
        <v/>
      </c>
      <c r="J621" s="9">
        <f>IFERROR(INDEX('Темы × классы'!$S:$S,MATCH(E621,'Темы × классы'!$E:$E,0))&amp;"","")</f>
        <v/>
      </c>
      <c r="K621" s="9" t="inlineStr">
        <is>
          <t>не начат</t>
        </is>
      </c>
      <c r="L621" s="9" t="inlineStr">
        <is>
          <t>Spotlight / 8 класс / Module 1 · Socialising / Future Simple (will) / Future Simple (will): значение — обещания</t>
        </is>
      </c>
    </row>
    <row r="622">
      <c r="A622" s="25" t="n">
        <v>8</v>
      </c>
      <c r="B622" s="9" t="inlineStr">
        <is>
          <t>Module 1 · Socialising</t>
        </is>
      </c>
      <c r="C622" s="9" t="inlineStr">
        <is>
          <t>1c</t>
        </is>
      </c>
      <c r="D622" s="9" t="inlineStr">
        <is>
          <t>Future Simple (will)</t>
        </is>
      </c>
      <c r="E622" s="23" t="inlineStr">
        <is>
          <t>Future Simple (will): Shall I/we? — предложение, просьба о совете</t>
        </is>
      </c>
      <c r="F622" s="26" t="inlineStr">
        <is>
          <t>новое</t>
        </is>
      </c>
      <c r="G622" s="9" t="inlineStr">
        <is>
          <t>Shall we go to the museum today?</t>
        </is>
      </c>
      <c r="H622" s="25" t="inlineStr">
        <is>
          <t>10+</t>
        </is>
      </c>
      <c r="I622" s="9">
        <f>IFERROR(INDEX('Темы × классы'!$R:$R,MATCH(E622,'Темы × классы'!$E:$E,0)),"")</f>
        <v/>
      </c>
      <c r="J622" s="9">
        <f>IFERROR(INDEX('Темы × классы'!$S:$S,MATCH(E622,'Темы × классы'!$E:$E,0))&amp;"","")</f>
        <v/>
      </c>
      <c r="K622" s="9" t="inlineStr">
        <is>
          <t>не начат</t>
        </is>
      </c>
      <c r="L622" s="9" t="inlineStr">
        <is>
          <t>Spotlight / 8 класс / Module 1 · Socialising / Future Simple (will) / Future Simple (will): Shall I/we? — предложение, просьба о совете</t>
        </is>
      </c>
    </row>
    <row r="623">
      <c r="A623" s="25" t="n">
        <v>8</v>
      </c>
      <c r="B623" s="9" t="inlineStr">
        <is>
          <t>Module 1 · Socialising</t>
        </is>
      </c>
      <c r="C623" s="9" t="inlineStr">
        <is>
          <t>1c</t>
        </is>
      </c>
      <c r="D623" s="9" t="inlineStr">
        <is>
          <t>Present Simple vs Present Continuous</t>
        </is>
      </c>
      <c r="E623" s="23" t="inlineStr">
        <is>
          <t>Present Simple vs Present Continuous: постоянное состояние vs временная ситуация</t>
        </is>
      </c>
      <c r="F623" s="25" t="inlineStr">
        <is>
          <t>повторение</t>
        </is>
      </c>
      <c r="G623" s="9" t="inlineStr">
        <is>
          <t>Maria lives in Milan / She's working as a waitress this summer</t>
        </is>
      </c>
      <c r="H623" s="25" t="inlineStr">
        <is>
          <t>10+</t>
        </is>
      </c>
      <c r="I623" s="9">
        <f>IFERROR(INDEX('Темы × классы'!$R:$R,MATCH(E623,'Темы × классы'!$E:$E,0)),"")</f>
        <v/>
      </c>
      <c r="J623" s="9">
        <f>IFERROR(INDEX('Темы × классы'!$S:$S,MATCH(E623,'Темы × классы'!$E:$E,0))&amp;"","")</f>
        <v/>
      </c>
      <c r="K623" s="9" t="inlineStr">
        <is>
          <t>не начат</t>
        </is>
      </c>
      <c r="L623" s="9" t="inlineStr">
        <is>
          <t>Spotlight / 8 класс / Module 1 · Socialising / Present Simple vs Present Continuous / Present Simple vs Present Continuous: постоянное состояние vs временная ситуация</t>
        </is>
      </c>
    </row>
    <row r="624">
      <c r="A624" s="25" t="n">
        <v>8</v>
      </c>
      <c r="B624" s="9" t="inlineStr">
        <is>
          <t>Module 1 · Socialising</t>
        </is>
      </c>
      <c r="C624" s="9" t="inlineStr">
        <is>
          <t>1c</t>
        </is>
      </c>
      <c r="D624" s="9" t="inlineStr">
        <is>
          <t>Present Simple vs Present Continuous</t>
        </is>
      </c>
      <c r="E624" s="23" t="inlineStr">
        <is>
          <t>Present Simple vs Present Continuous: повторяющиеся действия vs настоящий период (these days)</t>
        </is>
      </c>
      <c r="F624" s="25" t="inlineStr">
        <is>
          <t>повторение</t>
        </is>
      </c>
      <c r="G624" s="9" t="inlineStr">
        <is>
          <t>Tom is riding a bike to work these days</t>
        </is>
      </c>
      <c r="H624" s="25" t="inlineStr">
        <is>
          <t>10+</t>
        </is>
      </c>
      <c r="I624" s="9">
        <f>IFERROR(INDEX('Темы × классы'!$R:$R,MATCH(E624,'Темы × классы'!$E:$E,0)),"")</f>
        <v/>
      </c>
      <c r="J624" s="9">
        <f>IFERROR(INDEX('Темы × классы'!$S:$S,MATCH(E624,'Темы × классы'!$E:$E,0))&amp;"","")</f>
        <v/>
      </c>
      <c r="K624" s="9" t="inlineStr">
        <is>
          <t>не начат</t>
        </is>
      </c>
      <c r="L624" s="9" t="inlineStr">
        <is>
          <t>Spotlight / 8 класс / Module 1 · Socialising / Present Simple vs Present Continuous / Present Simple vs Present Continuous: повторяющиеся действия vs настоящий период (these days)</t>
        </is>
      </c>
    </row>
    <row r="625">
      <c r="A625" s="25" t="n">
        <v>8</v>
      </c>
      <c r="B625" s="9" t="inlineStr">
        <is>
          <t>Module 1 · Socialising</t>
        </is>
      </c>
      <c r="C625" s="9" t="inlineStr">
        <is>
          <t>1c</t>
        </is>
      </c>
      <c r="D625" s="9" t="inlineStr">
        <is>
          <t>Present Simple vs Present Continuous</t>
        </is>
      </c>
      <c r="E625" s="23" t="inlineStr">
        <is>
          <t>Present Simple vs Present Continuous: будущее — расписание vs договорённость</t>
        </is>
      </c>
      <c r="F625" s="26" t="inlineStr">
        <is>
          <t>новое</t>
        </is>
      </c>
      <c r="G625" s="9" t="inlineStr">
        <is>
          <t>We are leaving on Monday / The train leaves at 9</t>
        </is>
      </c>
      <c r="H625" s="25" t="inlineStr">
        <is>
          <t>10+</t>
        </is>
      </c>
      <c r="I625" s="9">
        <f>IFERROR(INDEX('Темы × классы'!$R:$R,MATCH(E625,'Темы × классы'!$E:$E,0)),"")</f>
        <v/>
      </c>
      <c r="J625" s="9">
        <f>IFERROR(INDEX('Темы × классы'!$S:$S,MATCH(E625,'Темы × классы'!$E:$E,0))&amp;"","")</f>
        <v/>
      </c>
      <c r="K625" s="9" t="inlineStr">
        <is>
          <t>не начат</t>
        </is>
      </c>
      <c r="L625" s="9" t="inlineStr">
        <is>
          <t>Spotlight / 8 класс / Module 1 · Socialising / Present Simple vs Present Continuous / Present Simple vs Present Continuous: будущее — расписание vs договорённость</t>
        </is>
      </c>
    </row>
    <row r="626">
      <c r="A626" s="25" t="n">
        <v>8</v>
      </c>
      <c r="B626" s="9" t="inlineStr">
        <is>
          <t>Module 1 · Socialising</t>
        </is>
      </c>
      <c r="C626" s="9" t="inlineStr">
        <is>
          <t>1c</t>
        </is>
      </c>
      <c r="D626" s="9" t="inlineStr">
        <is>
          <t>be going to</t>
        </is>
      </c>
      <c r="E626" s="23" t="inlineStr">
        <is>
          <t>be going to: утверждение (am/is/are going to + V)</t>
        </is>
      </c>
      <c r="F626" s="25" t="inlineStr">
        <is>
          <t>повторение</t>
        </is>
      </c>
      <c r="G626" s="9" t="inlineStr">
        <is>
          <t>формула to be + going to + V</t>
        </is>
      </c>
      <c r="H626" s="25" t="inlineStr">
        <is>
          <t>10+</t>
        </is>
      </c>
      <c r="I626" s="9">
        <f>IFERROR(INDEX('Темы × классы'!$R:$R,MATCH(E626,'Темы × классы'!$E:$E,0)),"")</f>
        <v/>
      </c>
      <c r="J626" s="9">
        <f>IFERROR(INDEX('Темы × классы'!$S:$S,MATCH(E626,'Темы × классы'!$E:$E,0))&amp;"","")</f>
        <v/>
      </c>
      <c r="K626" s="9" t="inlineStr">
        <is>
          <t>не начат</t>
        </is>
      </c>
      <c r="L626" s="9" t="inlineStr">
        <is>
          <t>Spotlight / 8 класс / Module 1 · Socialising / be going to / be going to: утверждение (am/is/are going to + V)</t>
        </is>
      </c>
    </row>
    <row r="627">
      <c r="A627" s="25" t="n">
        <v>8</v>
      </c>
      <c r="B627" s="9" t="inlineStr">
        <is>
          <t>Module 1 · Socialising</t>
        </is>
      </c>
      <c r="C627" s="9" t="inlineStr">
        <is>
          <t>1c</t>
        </is>
      </c>
      <c r="D627" s="9" t="inlineStr">
        <is>
          <t>be going to</t>
        </is>
      </c>
      <c r="E627" s="23" t="inlineStr">
        <is>
          <t>be going to: значение — планы и намерения</t>
        </is>
      </c>
      <c r="F627" s="25" t="inlineStr">
        <is>
          <t>повторение</t>
        </is>
      </c>
      <c r="G627" s="9" t="inlineStr"/>
      <c r="H627" s="25" t="inlineStr">
        <is>
          <t>10+</t>
        </is>
      </c>
      <c r="I627" s="9">
        <f>IFERROR(INDEX('Темы × классы'!$R:$R,MATCH(E627,'Темы × классы'!$E:$E,0)),"")</f>
        <v/>
      </c>
      <c r="J627" s="9">
        <f>IFERROR(INDEX('Темы × классы'!$S:$S,MATCH(E627,'Темы × классы'!$E:$E,0))&amp;"","")</f>
        <v/>
      </c>
      <c r="K627" s="9" t="inlineStr">
        <is>
          <t>не начат</t>
        </is>
      </c>
      <c r="L627" s="9" t="inlineStr">
        <is>
          <t>Spotlight / 8 класс / Module 1 · Socialising / be going to / be going to: значение — планы и намерения</t>
        </is>
      </c>
    </row>
    <row r="628">
      <c r="A628" s="25" t="n">
        <v>8</v>
      </c>
      <c r="B628" s="9" t="inlineStr">
        <is>
          <t>Module 1 · Socialising</t>
        </is>
      </c>
      <c r="C628" s="9" t="inlineStr">
        <is>
          <t>1c</t>
        </is>
      </c>
      <c r="D628" s="9" t="inlineStr">
        <is>
          <t>be going to</t>
        </is>
      </c>
      <c r="E628" s="23" t="inlineStr">
        <is>
          <t>be going to: значение — уже принятое решение на ближайшее будущее</t>
        </is>
      </c>
      <c r="F628" s="26" t="inlineStr">
        <is>
          <t>новое</t>
        </is>
      </c>
      <c r="G628" s="9" t="inlineStr">
        <is>
          <t>принятые решения о ближайшем будущем</t>
        </is>
      </c>
      <c r="H628" s="25" t="inlineStr">
        <is>
          <t>10+</t>
        </is>
      </c>
      <c r="I628" s="9">
        <f>IFERROR(INDEX('Темы × классы'!$R:$R,MATCH(E628,'Темы × классы'!$E:$E,0)),"")</f>
        <v/>
      </c>
      <c r="J628" s="9">
        <f>IFERROR(INDEX('Темы × классы'!$S:$S,MATCH(E628,'Темы × классы'!$E:$E,0))&amp;"","")</f>
        <v/>
      </c>
      <c r="K628" s="9" t="inlineStr">
        <is>
          <t>не начат</t>
        </is>
      </c>
      <c r="L628" s="9" t="inlineStr">
        <is>
          <t>Spotlight / 8 класс / Module 1 · Socialising / be going to / be going to: значение — уже принятое решение на ближайшее будущее</t>
        </is>
      </c>
    </row>
    <row r="629">
      <c r="A629" s="25" t="n">
        <v>8</v>
      </c>
      <c r="B629" s="9" t="inlineStr">
        <is>
          <t>Module 1 · Socialising</t>
        </is>
      </c>
      <c r="C629" s="9" t="inlineStr">
        <is>
          <t>1c</t>
        </is>
      </c>
      <c r="D629" s="9" t="inlineStr">
        <is>
          <t>be going to</t>
        </is>
      </c>
      <c r="E629" s="23" t="inlineStr">
        <is>
          <t>be going to: значение — предсказание по очевидным признакам</t>
        </is>
      </c>
      <c r="F629" s="25" t="inlineStr">
        <is>
          <t>повторение</t>
        </is>
      </c>
      <c r="G629" s="9" t="inlineStr"/>
      <c r="H629" s="25" t="inlineStr">
        <is>
          <t>10+</t>
        </is>
      </c>
      <c r="I629" s="9">
        <f>IFERROR(INDEX('Темы × классы'!$R:$R,MATCH(E629,'Темы × классы'!$E:$E,0)),"")</f>
        <v/>
      </c>
      <c r="J629" s="9">
        <f>IFERROR(INDEX('Темы × классы'!$S:$S,MATCH(E629,'Темы × классы'!$E:$E,0))&amp;"","")</f>
        <v/>
      </c>
      <c r="K629" s="9" t="inlineStr">
        <is>
          <t>не начат</t>
        </is>
      </c>
      <c r="L629" s="9" t="inlineStr">
        <is>
          <t>Spotlight / 8 класс / Module 1 · Socialising / be going to / be going to: значение — предсказание по очевидным признакам</t>
        </is>
      </c>
    </row>
    <row r="630">
      <c r="A630" s="25" t="n">
        <v>8</v>
      </c>
      <c r="B630" s="9" t="inlineStr">
        <is>
          <t>Module 1 · Socialising</t>
        </is>
      </c>
      <c r="C630" s="9" t="inlineStr">
        <is>
          <t>1c</t>
        </is>
      </c>
      <c r="D630" s="9" t="inlineStr">
        <is>
          <t>be going to</t>
        </is>
      </c>
      <c r="E630" s="23" t="inlineStr">
        <is>
          <t>be going to vs will: план/признаки vs решение в момент речи/мнение</t>
        </is>
      </c>
      <c r="F630" s="26" t="inlineStr">
        <is>
          <t>новое</t>
        </is>
      </c>
      <c r="G630" s="9" t="inlineStr">
        <is>
          <t>решение в момент речи / прогноз-предположение — will</t>
        </is>
      </c>
      <c r="H630" s="25" t="inlineStr">
        <is>
          <t>10+</t>
        </is>
      </c>
      <c r="I630" s="9">
        <f>IFERROR(INDEX('Темы × классы'!$R:$R,MATCH(E630,'Темы × классы'!$E:$E,0)),"")</f>
        <v/>
      </c>
      <c r="J630" s="9">
        <f>IFERROR(INDEX('Темы × классы'!$S:$S,MATCH(E630,'Темы × классы'!$E:$E,0))&amp;"","")</f>
        <v/>
      </c>
      <c r="K630" s="9" t="inlineStr">
        <is>
          <t>не начат</t>
        </is>
      </c>
      <c r="L630" s="9" t="inlineStr">
        <is>
          <t>Spotlight / 8 класс / Module 1 · Socialising / be going to / be going to vs will: план/признаки vs решение в момент речи/мнение</t>
        </is>
      </c>
    </row>
    <row r="631">
      <c r="A631" s="25" t="n">
        <v>8</v>
      </c>
      <c r="B631" s="9" t="inlineStr">
        <is>
          <t>Module 1 · Socialising</t>
        </is>
      </c>
      <c r="C631" s="9" t="inlineStr">
        <is>
          <t>1c</t>
        </is>
      </c>
      <c r="D631" s="9" t="inlineStr">
        <is>
          <t>Stative verbs</t>
        </is>
      </c>
      <c r="E631" s="23" t="inlineStr">
        <is>
          <t>Stative verbs: глаголы состояния не употребляются в Continuous</t>
        </is>
      </c>
      <c r="F631" s="25" t="inlineStr">
        <is>
          <t>повторение</t>
        </is>
      </c>
      <c r="G631" s="9" t="inlineStr"/>
      <c r="H631" s="25" t="inlineStr">
        <is>
          <t>10+</t>
        </is>
      </c>
      <c r="I631" s="9">
        <f>IFERROR(INDEX('Темы × классы'!$R:$R,MATCH(E631,'Темы × классы'!$E:$E,0)),"")</f>
        <v/>
      </c>
      <c r="J631" s="9">
        <f>IFERROR(INDEX('Темы × классы'!$S:$S,MATCH(E631,'Темы × классы'!$E:$E,0))&amp;"","")</f>
        <v/>
      </c>
      <c r="K631" s="9" t="inlineStr">
        <is>
          <t>не начат</t>
        </is>
      </c>
      <c r="L631" s="9" t="inlineStr">
        <is>
          <t>Spotlight / 8 класс / Module 1 · Socialising / Stative verbs / Stative verbs: глаголы состояния не употребляются в Continuous</t>
        </is>
      </c>
    </row>
    <row r="632">
      <c r="A632" s="25" t="n">
        <v>8</v>
      </c>
      <c r="B632" s="9" t="inlineStr">
        <is>
          <t>Module 1 · Socialising</t>
        </is>
      </c>
      <c r="C632" s="9" t="inlineStr">
        <is>
          <t>1c</t>
        </is>
      </c>
      <c r="D632" s="9" t="inlineStr">
        <is>
          <t>Stative verbs</t>
        </is>
      </c>
      <c r="E632" s="23" t="inlineStr">
        <is>
          <t>Stative verbs: группы глаголов (восприятие, мышление, чувства, прочие)</t>
        </is>
      </c>
      <c r="F632" s="27" t="inlineStr">
        <is>
          <t>расширение</t>
        </is>
      </c>
      <c r="G632" s="9" t="inlineStr">
        <is>
          <t>новые: detest, keep, owe, weigh; feel, look в восприятии</t>
        </is>
      </c>
      <c r="H632" s="25" t="inlineStr">
        <is>
          <t>10+</t>
        </is>
      </c>
      <c r="I632" s="9">
        <f>IFERROR(INDEX('Темы × классы'!$R:$R,MATCH(E632,'Темы × классы'!$E:$E,0)),"")</f>
        <v/>
      </c>
      <c r="J632" s="9">
        <f>IFERROR(INDEX('Темы × классы'!$S:$S,MATCH(E632,'Темы × классы'!$E:$E,0))&amp;"","")</f>
        <v/>
      </c>
      <c r="K632" s="9" t="inlineStr">
        <is>
          <t>не начат</t>
        </is>
      </c>
      <c r="L632" s="9" t="inlineStr">
        <is>
          <t>Spotlight / 8 класс / Module 1 · Socialising / Stative verbs / Stative verbs: группы глаголов (восприятие, мышление, чувства, прочие)</t>
        </is>
      </c>
    </row>
    <row r="633">
      <c r="A633" s="25" t="n">
        <v>8</v>
      </c>
      <c r="B633" s="9" t="inlineStr">
        <is>
          <t>Module 1 · Socialising</t>
        </is>
      </c>
      <c r="C633" s="9" t="inlineStr">
        <is>
          <t>1c</t>
        </is>
      </c>
      <c r="D633" s="9" t="inlineStr">
        <is>
          <t>Stative verbs</t>
        </is>
      </c>
      <c r="E633" s="23" t="inlineStr">
        <is>
          <t>Stative verbs: разное значение в Simple и Continuous (think, have, see, taste…)</t>
        </is>
      </c>
      <c r="F633" s="25" t="inlineStr">
        <is>
          <t>повторение</t>
        </is>
      </c>
      <c r="G633" s="9" t="inlineStr"/>
      <c r="H633" s="25" t="inlineStr">
        <is>
          <t>10+</t>
        </is>
      </c>
      <c r="I633" s="9">
        <f>IFERROR(INDEX('Темы × классы'!$R:$R,MATCH(E633,'Темы × классы'!$E:$E,0)),"")</f>
        <v/>
      </c>
      <c r="J633" s="9">
        <f>IFERROR(INDEX('Темы × классы'!$S:$S,MATCH(E633,'Темы × классы'!$E:$E,0))&amp;"","")</f>
        <v/>
      </c>
      <c r="K633" s="9" t="inlineStr">
        <is>
          <t>не начат</t>
        </is>
      </c>
      <c r="L633" s="9" t="inlineStr">
        <is>
          <t>Spotlight / 8 класс / Module 1 · Socialising / Stative verbs / Stative verbs: разное значение в Simple и Continuous (think, have, see, taste…)</t>
        </is>
      </c>
    </row>
    <row r="634">
      <c r="A634" s="25" t="n">
        <v>8</v>
      </c>
      <c r="B634" s="9" t="inlineStr">
        <is>
          <t>Module 1 · Socialising</t>
        </is>
      </c>
      <c r="C634" s="9" t="inlineStr">
        <is>
          <t>1c</t>
        </is>
      </c>
      <c r="D634" s="9" t="inlineStr">
        <is>
          <t>Stative verbs</t>
        </is>
      </c>
      <c r="E634" s="23" t="inlineStr">
        <is>
          <t>Stative verbs: look, feel, hurt, ache — Simple = Continuous</t>
        </is>
      </c>
      <c r="F634" s="27" t="inlineStr">
        <is>
          <t>расширение</t>
        </is>
      </c>
      <c r="G634" s="9" t="inlineStr">
        <is>
          <t>+ hurt</t>
        </is>
      </c>
      <c r="H634" s="25" t="inlineStr">
        <is>
          <t>10+</t>
        </is>
      </c>
      <c r="I634" s="9">
        <f>IFERROR(INDEX('Темы × классы'!$R:$R,MATCH(E634,'Темы × классы'!$E:$E,0)),"")</f>
        <v/>
      </c>
      <c r="J634" s="9">
        <f>IFERROR(INDEX('Темы × классы'!$S:$S,MATCH(E634,'Темы × классы'!$E:$E,0))&amp;"","")</f>
        <v/>
      </c>
      <c r="K634" s="9" t="inlineStr">
        <is>
          <t>не начат</t>
        </is>
      </c>
      <c r="L634" s="9" t="inlineStr">
        <is>
          <t>Spotlight / 8 класс / Module 1 · Socialising / Stative verbs / Stative verbs: look, feel, hurt, ache — Simple = Continuous</t>
        </is>
      </c>
    </row>
    <row r="635">
      <c r="A635" s="25" t="n">
        <v>8</v>
      </c>
      <c r="B635" s="9" t="inlineStr">
        <is>
          <t>Module 1 · Socialising</t>
        </is>
      </c>
      <c r="C635" s="9" t="inlineStr">
        <is>
          <t>1c</t>
        </is>
      </c>
      <c r="D635" s="9" t="inlineStr">
        <is>
          <t>Stative verbs</t>
        </is>
      </c>
      <c r="E635" s="23" t="inlineStr">
        <is>
          <t>Stative verbs: enjoy в Continuous — конкретное удовольствие</t>
        </is>
      </c>
      <c r="F635" s="26" t="inlineStr">
        <is>
          <t>новое</t>
        </is>
      </c>
      <c r="G635" s="9" t="inlineStr">
        <is>
          <t>She's enjoying a glass of lemonade</t>
        </is>
      </c>
      <c r="H635" s="25" t="inlineStr">
        <is>
          <t>10+</t>
        </is>
      </c>
      <c r="I635" s="9">
        <f>IFERROR(INDEX('Темы × классы'!$R:$R,MATCH(E635,'Темы × классы'!$E:$E,0)),"")</f>
        <v/>
      </c>
      <c r="J635" s="9">
        <f>IFERROR(INDEX('Темы × классы'!$S:$S,MATCH(E635,'Темы × классы'!$E:$E,0))&amp;"","")</f>
        <v/>
      </c>
      <c r="K635" s="9" t="inlineStr">
        <is>
          <t>не начат</t>
        </is>
      </c>
      <c r="L635" s="9" t="inlineStr">
        <is>
          <t>Spotlight / 8 класс / Module 1 · Socialising / Stative verbs / Stative verbs: enjoy в Continuous — конкретное удовольствие</t>
        </is>
      </c>
    </row>
    <row r="636">
      <c r="A636" s="25" t="n">
        <v>8</v>
      </c>
      <c r="B636" s="9" t="inlineStr">
        <is>
          <t>Module 1 · Socialising</t>
        </is>
      </c>
      <c r="C636" s="9" t="inlineStr">
        <is>
          <t>1c</t>
        </is>
      </c>
      <c r="D636" s="9" t="inlineStr">
        <is>
          <t>Future forms (comparison)</t>
        </is>
      </c>
      <c r="E636" s="23" t="inlineStr">
        <is>
          <t>Future forms: Present Continuous — договорённости на ближайшее будущее</t>
        </is>
      </c>
      <c r="F636" s="25" t="inlineStr">
        <is>
          <t>повторение</t>
        </is>
      </c>
      <c r="G636" s="9" t="inlineStr">
        <is>
          <t>We're having a meeting on Tuesday</t>
        </is>
      </c>
      <c r="H636" s="25" t="inlineStr">
        <is>
          <t>10+</t>
        </is>
      </c>
      <c r="I636" s="9">
        <f>IFERROR(INDEX('Темы × классы'!$R:$R,MATCH(E636,'Темы × классы'!$E:$E,0)),"")</f>
        <v/>
      </c>
      <c r="J636" s="9">
        <f>IFERROR(INDEX('Темы × классы'!$S:$S,MATCH(E636,'Темы × классы'!$E:$E,0))&amp;"","")</f>
        <v/>
      </c>
      <c r="K636" s="9" t="inlineStr">
        <is>
          <t>не начат</t>
        </is>
      </c>
      <c r="L636" s="9" t="inlineStr">
        <is>
          <t>Spotlight / 8 класс / Module 1 · Socialising / Future forms (comparison) / Future forms: Present Continuous — договорённости на ближайшее будущее</t>
        </is>
      </c>
    </row>
    <row r="637">
      <c r="A637" s="25" t="n">
        <v>8</v>
      </c>
      <c r="B637" s="9" t="inlineStr">
        <is>
          <t>Module 1 · Socialising</t>
        </is>
      </c>
      <c r="C637" s="9" t="inlineStr">
        <is>
          <t>1c</t>
        </is>
      </c>
      <c r="D637" s="9" t="inlineStr">
        <is>
          <t>Future forms (comparison)</t>
        </is>
      </c>
      <c r="E637" s="23" t="inlineStr">
        <is>
          <t>Future forms: Present Simple — расписания и программы</t>
        </is>
      </c>
      <c r="F637" s="25" t="inlineStr">
        <is>
          <t>повторение</t>
        </is>
      </c>
      <c r="G637" s="9" t="inlineStr">
        <is>
          <t>транспорт/расписание</t>
        </is>
      </c>
      <c r="H637" s="25" t="inlineStr">
        <is>
          <t>10+</t>
        </is>
      </c>
      <c r="I637" s="9">
        <f>IFERROR(INDEX('Темы × классы'!$R:$R,MATCH(E637,'Темы × классы'!$E:$E,0)),"")</f>
        <v/>
      </c>
      <c r="J637" s="9">
        <f>IFERROR(INDEX('Темы × классы'!$S:$S,MATCH(E637,'Темы × классы'!$E:$E,0))&amp;"","")</f>
        <v/>
      </c>
      <c r="K637" s="9" t="inlineStr">
        <is>
          <t>не начат</t>
        </is>
      </c>
      <c r="L637" s="9" t="inlineStr">
        <is>
          <t>Spotlight / 8 класс / Module 1 · Socialising / Future forms (comparison) / Future forms: Present Simple — расписания и программы</t>
        </is>
      </c>
    </row>
    <row r="638">
      <c r="A638" s="25" t="n">
        <v>8</v>
      </c>
      <c r="B638" s="9" t="inlineStr">
        <is>
          <t>Module 1 · Socialising</t>
        </is>
      </c>
      <c r="C638" s="9" t="inlineStr">
        <is>
          <t>1c</t>
        </is>
      </c>
      <c r="D638" s="9" t="inlineStr">
        <is>
          <t>Future forms (comparison)</t>
        </is>
      </c>
      <c r="E638" s="23" t="inlineStr">
        <is>
          <t>Future forms: will vs be going to — решение в момент речи vs план</t>
        </is>
      </c>
      <c r="F638" s="25" t="inlineStr">
        <is>
          <t>повторение</t>
        </is>
      </c>
      <c r="G638" s="9" t="inlineStr"/>
      <c r="H638" s="25" t="inlineStr">
        <is>
          <t>10+</t>
        </is>
      </c>
      <c r="I638" s="9">
        <f>IFERROR(INDEX('Темы × классы'!$R:$R,MATCH(E638,'Темы × классы'!$E:$E,0)),"")</f>
        <v/>
      </c>
      <c r="J638" s="9">
        <f>IFERROR(INDEX('Темы × классы'!$S:$S,MATCH(E638,'Темы × классы'!$E:$E,0))&amp;"","")</f>
        <v/>
      </c>
      <c r="K638" s="9" t="inlineStr">
        <is>
          <t>не начат</t>
        </is>
      </c>
      <c r="L638" s="9" t="inlineStr">
        <is>
          <t>Spotlight / 8 класс / Module 1 · Socialising / Future forms (comparison) / Future forms: will vs be going to — решение в момент речи vs план</t>
        </is>
      </c>
    </row>
    <row r="639">
      <c r="A639" s="25" t="n">
        <v>8</v>
      </c>
      <c r="B639" s="9" t="inlineStr">
        <is>
          <t>Module 1 · Socialising</t>
        </is>
      </c>
      <c r="C639" s="9" t="inlineStr">
        <is>
          <t>1c</t>
        </is>
      </c>
      <c r="D639" s="9" t="inlineStr">
        <is>
          <t>Future forms (comparison)</t>
        </is>
      </c>
      <c r="E639" s="23" t="inlineStr">
        <is>
          <t>Future forms: will vs be going to — прогноз-мнение vs прогноз по признакам</t>
        </is>
      </c>
      <c r="F639" s="25" t="inlineStr">
        <is>
          <t>повторение</t>
        </is>
      </c>
      <c r="G639" s="9" t="inlineStr"/>
      <c r="H639" s="25" t="inlineStr">
        <is>
          <t>10+</t>
        </is>
      </c>
      <c r="I639" s="9">
        <f>IFERROR(INDEX('Темы × классы'!$R:$R,MATCH(E639,'Темы × классы'!$E:$E,0)),"")</f>
        <v/>
      </c>
      <c r="J639" s="9">
        <f>IFERROR(INDEX('Темы × классы'!$S:$S,MATCH(E639,'Темы × классы'!$E:$E,0))&amp;"","")</f>
        <v/>
      </c>
      <c r="K639" s="9" t="inlineStr">
        <is>
          <t>не начат</t>
        </is>
      </c>
      <c r="L639" s="9" t="inlineStr">
        <is>
          <t>Spotlight / 8 класс / Module 1 · Socialising / Future forms (comparison) / Future forms: will vs be going to — прогноз-мнение vs прогноз по признакам</t>
        </is>
      </c>
    </row>
    <row r="640">
      <c r="A640" s="25" t="n">
        <v>8</v>
      </c>
      <c r="B640" s="9" t="inlineStr">
        <is>
          <t>Module 1 · Socialising</t>
        </is>
      </c>
      <c r="C640" s="9" t="inlineStr">
        <is>
          <t>1c</t>
        </is>
      </c>
      <c r="D640" s="9" t="inlineStr">
        <is>
          <t>Future forms (comparison)</t>
        </is>
      </c>
      <c r="E640" s="23" t="inlineStr">
        <is>
          <t>Future forms: обзор всех способов выражения будущего</t>
        </is>
      </c>
      <c r="F640" s="25" t="inlineStr">
        <is>
          <t>повторение</t>
        </is>
      </c>
      <c r="G640" s="9" t="inlineStr"/>
      <c r="H640" s="25" t="inlineStr">
        <is>
          <t>10+</t>
        </is>
      </c>
      <c r="I640" s="9">
        <f>IFERROR(INDEX('Темы × классы'!$R:$R,MATCH(E640,'Темы × классы'!$E:$E,0)),"")</f>
        <v/>
      </c>
      <c r="J640" s="9">
        <f>IFERROR(INDEX('Темы × классы'!$S:$S,MATCH(E640,'Темы × классы'!$E:$E,0))&amp;"","")</f>
        <v/>
      </c>
      <c r="K640" s="9" t="inlineStr">
        <is>
          <t>не начат</t>
        </is>
      </c>
      <c r="L640" s="9" t="inlineStr">
        <is>
          <t>Spotlight / 8 класс / Module 1 · Socialising / Future forms (comparison) / Future forms: обзор всех способов выражения будущего</t>
        </is>
      </c>
    </row>
    <row r="641">
      <c r="A641" s="25" t="n">
        <v>8</v>
      </c>
      <c r="B641" s="9" t="inlineStr">
        <is>
          <t>Module 1 · Socialising</t>
        </is>
      </c>
      <c r="C641" s="9" t="inlineStr">
        <is>
          <t>1c</t>
        </is>
      </c>
      <c r="D641" s="9" t="inlineStr">
        <is>
          <t>Past Continuous</t>
        </is>
      </c>
      <c r="E641" s="23" t="inlineStr">
        <is>
          <t>Past Continuous: утверждение (was/were + V-ing)</t>
        </is>
      </c>
      <c r="F641" s="26" t="inlineStr">
        <is>
          <t>новое</t>
        </is>
      </c>
      <c r="G641" s="9" t="inlineStr">
        <is>
          <t>was/were + V-ing; −/? не расписаны</t>
        </is>
      </c>
      <c r="H641" s="25" t="inlineStr">
        <is>
          <t>10+</t>
        </is>
      </c>
      <c r="I641" s="9">
        <f>IFERROR(INDEX('Темы × классы'!$R:$R,MATCH(E641,'Темы × классы'!$E:$E,0)),"")</f>
        <v/>
      </c>
      <c r="J641" s="9">
        <f>IFERROR(INDEX('Темы × классы'!$S:$S,MATCH(E641,'Темы × классы'!$E:$E,0))&amp;"","")</f>
        <v/>
      </c>
      <c r="K641" s="9" t="inlineStr">
        <is>
          <t>не начат</t>
        </is>
      </c>
      <c r="L641" s="9" t="inlineStr">
        <is>
          <t>Spotlight / 8 класс / Module 1 · Socialising / Past Continuous / Past Continuous: утверждение (was/were + V-ing)</t>
        </is>
      </c>
    </row>
    <row r="642">
      <c r="A642" s="25" t="n">
        <v>8</v>
      </c>
      <c r="B642" s="9" t="inlineStr">
        <is>
          <t>Module 1 · Socialising</t>
        </is>
      </c>
      <c r="C642" s="9" t="inlineStr">
        <is>
          <t>1c</t>
        </is>
      </c>
      <c r="D642" s="9" t="inlineStr">
        <is>
          <t>Past Continuous</t>
        </is>
      </c>
      <c r="E642" s="23" t="inlineStr">
        <is>
          <t>Past Continuous: значение — действие в процессе в момент прошлого</t>
        </is>
      </c>
      <c r="F642" s="25" t="inlineStr">
        <is>
          <t>повторение</t>
        </is>
      </c>
      <c r="G642" s="9" t="inlineStr"/>
      <c r="H642" s="25" t="inlineStr">
        <is>
          <t>10+</t>
        </is>
      </c>
      <c r="I642" s="9">
        <f>IFERROR(INDEX('Темы × классы'!$R:$R,MATCH(E642,'Темы × классы'!$E:$E,0)),"")</f>
        <v/>
      </c>
      <c r="J642" s="9">
        <f>IFERROR(INDEX('Темы × классы'!$S:$S,MATCH(E642,'Темы × классы'!$E:$E,0))&amp;"","")</f>
        <v/>
      </c>
      <c r="K642" s="9" t="inlineStr">
        <is>
          <t>не начат</t>
        </is>
      </c>
      <c r="L642" s="9" t="inlineStr">
        <is>
          <t>Spotlight / 8 класс / Module 1 · Socialising / Past Continuous / Past Continuous: значение — действие в процессе в момент прошлого</t>
        </is>
      </c>
    </row>
    <row r="643">
      <c r="A643" s="25" t="n">
        <v>8</v>
      </c>
      <c r="B643" s="9" t="inlineStr">
        <is>
          <t>Module 1 · Socialising</t>
        </is>
      </c>
      <c r="C643" s="9" t="inlineStr">
        <is>
          <t>1c</t>
        </is>
      </c>
      <c r="D643" s="9" t="inlineStr">
        <is>
          <t>Past Continuous</t>
        </is>
      </c>
      <c r="E643" s="23" t="inlineStr">
        <is>
          <t>Past Continuous: значение — длительное действие, прерванное другим (when)</t>
        </is>
      </c>
      <c r="F643" s="25" t="inlineStr">
        <is>
          <t>повторение</t>
        </is>
      </c>
      <c r="G643" s="9" t="inlineStr"/>
      <c r="H643" s="25" t="inlineStr">
        <is>
          <t>10+</t>
        </is>
      </c>
      <c r="I643" s="9">
        <f>IFERROR(INDEX('Темы × классы'!$R:$R,MATCH(E643,'Темы × классы'!$E:$E,0)),"")</f>
        <v/>
      </c>
      <c r="J643" s="9">
        <f>IFERROR(INDEX('Темы × классы'!$S:$S,MATCH(E643,'Темы × классы'!$E:$E,0))&amp;"","")</f>
        <v/>
      </c>
      <c r="K643" s="9" t="inlineStr">
        <is>
          <t>не начат</t>
        </is>
      </c>
      <c r="L643" s="9" t="inlineStr">
        <is>
          <t>Spotlight / 8 класс / Module 1 · Socialising / Past Continuous / Past Continuous: значение — длительное действие, прерванное другим (when)</t>
        </is>
      </c>
    </row>
    <row r="644">
      <c r="A644" s="25" t="n">
        <v>8</v>
      </c>
      <c r="B644" s="9" t="inlineStr">
        <is>
          <t>Module 1 · Socialising</t>
        </is>
      </c>
      <c r="C644" s="9" t="inlineStr">
        <is>
          <t>1c</t>
        </is>
      </c>
      <c r="D644" s="9" t="inlineStr">
        <is>
          <t>Past Continuous</t>
        </is>
      </c>
      <c r="E644" s="23" t="inlineStr">
        <is>
          <t>Past Continuous: значение — одновременные действия (while)</t>
        </is>
      </c>
      <c r="F644" s="25" t="inlineStr">
        <is>
          <t>повторение</t>
        </is>
      </c>
      <c r="G644" s="9" t="inlineStr">
        <is>
          <t>разных людей</t>
        </is>
      </c>
      <c r="H644" s="25" t="inlineStr">
        <is>
          <t>10+</t>
        </is>
      </c>
      <c r="I644" s="9">
        <f>IFERROR(INDEX('Темы × классы'!$R:$R,MATCH(E644,'Темы × классы'!$E:$E,0)),"")</f>
        <v/>
      </c>
      <c r="J644" s="9">
        <f>IFERROR(INDEX('Темы × классы'!$S:$S,MATCH(E644,'Темы × классы'!$E:$E,0))&amp;"","")</f>
        <v/>
      </c>
      <c r="K644" s="9" t="inlineStr">
        <is>
          <t>не начат</t>
        </is>
      </c>
      <c r="L644" s="9" t="inlineStr">
        <is>
          <t>Spotlight / 8 класс / Module 1 · Socialising / Past Continuous / Past Continuous: значение — одновременные действия (while)</t>
        </is>
      </c>
    </row>
    <row r="645">
      <c r="A645" s="25" t="n">
        <v>8</v>
      </c>
      <c r="B645" s="9" t="inlineStr">
        <is>
          <t>Module 1 · Socialising</t>
        </is>
      </c>
      <c r="C645" s="9" t="inlineStr">
        <is>
          <t>1c</t>
        </is>
      </c>
      <c r="D645" s="9" t="inlineStr">
        <is>
          <t>Past Simple vs Past Continuous</t>
        </is>
      </c>
      <c r="E645" s="23" t="inlineStr">
        <is>
          <t>Past Simple vs Past Continuous: указанное время — завершённое vs в процессе</t>
        </is>
      </c>
      <c r="F645" s="25" t="inlineStr">
        <is>
          <t>повторение</t>
        </is>
      </c>
      <c r="G645" s="9" t="inlineStr"/>
      <c r="H645" s="25" t="inlineStr">
        <is>
          <t>10+</t>
        </is>
      </c>
      <c r="I645" s="9">
        <f>IFERROR(INDEX('Темы × классы'!$R:$R,MATCH(E645,'Темы × классы'!$E:$E,0)),"")</f>
        <v/>
      </c>
      <c r="J645" s="9">
        <f>IFERROR(INDEX('Темы × классы'!$S:$S,MATCH(E645,'Темы × классы'!$E:$E,0))&amp;"","")</f>
        <v/>
      </c>
      <c r="K645" s="9" t="inlineStr">
        <is>
          <t>не начат</t>
        </is>
      </c>
      <c r="L645" s="9" t="inlineStr">
        <is>
          <t>Spotlight / 8 класс / Module 1 · Socialising / Past Simple vs Past Continuous / Past Simple vs Past Continuous: указанное время — завершённое vs в процессе</t>
        </is>
      </c>
    </row>
    <row r="646">
      <c r="A646" s="25" t="n">
        <v>8</v>
      </c>
      <c r="B646" s="9" t="inlineStr">
        <is>
          <t>Module 1 · Socialising</t>
        </is>
      </c>
      <c r="C646" s="9" t="inlineStr">
        <is>
          <t>1c</t>
        </is>
      </c>
      <c r="D646" s="9" t="inlineStr">
        <is>
          <t>Past Simple vs Past Continuous</t>
        </is>
      </c>
      <c r="E646" s="23" t="inlineStr">
        <is>
          <t>Past Simple vs Past Continuous: последовательные vs одновременные действия</t>
        </is>
      </c>
      <c r="F646" s="25" t="inlineStr">
        <is>
          <t>повторение</t>
        </is>
      </c>
      <c r="G646" s="9" t="inlineStr">
        <is>
          <t>одновременные действия разных людей</t>
        </is>
      </c>
      <c r="H646" s="25" t="inlineStr">
        <is>
          <t>10+</t>
        </is>
      </c>
      <c r="I646" s="9">
        <f>IFERROR(INDEX('Темы × классы'!$R:$R,MATCH(E646,'Темы × классы'!$E:$E,0)),"")</f>
        <v/>
      </c>
      <c r="J646" s="9">
        <f>IFERROR(INDEX('Темы × классы'!$S:$S,MATCH(E646,'Темы × классы'!$E:$E,0))&amp;"","")</f>
        <v/>
      </c>
      <c r="K646" s="9" t="inlineStr">
        <is>
          <t>не начат</t>
        </is>
      </c>
      <c r="L646" s="9" t="inlineStr">
        <is>
          <t>Spotlight / 8 класс / Module 1 · Socialising / Past Simple vs Past Continuous / Past Simple vs Past Continuous: последовательные vs одновременные действия</t>
        </is>
      </c>
    </row>
    <row r="647">
      <c r="A647" s="25" t="n">
        <v>8</v>
      </c>
      <c r="B647" s="9" t="inlineStr">
        <is>
          <t>Module 1 · Socialising</t>
        </is>
      </c>
      <c r="C647" s="9" t="inlineStr">
        <is>
          <t>1c</t>
        </is>
      </c>
      <c r="D647" s="9" t="inlineStr">
        <is>
          <t>Past Simple vs Past Continuous</t>
        </is>
      </c>
      <c r="E647" s="23" t="inlineStr">
        <is>
          <t>Past Simple vs Past Continuous: прерванное (PC) и прерывающее (PS) действие</t>
        </is>
      </c>
      <c r="F647" s="25" t="inlineStr">
        <is>
          <t>повторение</t>
        </is>
      </c>
      <c r="G647" s="9" t="inlineStr"/>
      <c r="H647" s="25" t="inlineStr">
        <is>
          <t>10+</t>
        </is>
      </c>
      <c r="I647" s="9">
        <f>IFERROR(INDEX('Темы × классы'!$R:$R,MATCH(E647,'Темы × классы'!$E:$E,0)),"")</f>
        <v/>
      </c>
      <c r="J647" s="9">
        <f>IFERROR(INDEX('Темы × классы'!$S:$S,MATCH(E647,'Темы × классы'!$E:$E,0))&amp;"","")</f>
        <v/>
      </c>
      <c r="K647" s="9" t="inlineStr">
        <is>
          <t>не начат</t>
        </is>
      </c>
      <c r="L647" s="9" t="inlineStr">
        <is>
          <t>Spotlight / 8 класс / Module 1 · Socialising / Past Simple vs Past Continuous / Past Simple vs Past Continuous: прерванное (PC) и прерывающее (PS) действие</t>
        </is>
      </c>
    </row>
    <row r="648">
      <c r="A648" s="25" t="n">
        <v>8</v>
      </c>
      <c r="B648" s="9" t="inlineStr">
        <is>
          <t>Module 1 · Socialising</t>
        </is>
      </c>
      <c r="C648" s="9" t="inlineStr">
        <is>
          <t>1c</t>
        </is>
      </c>
      <c r="D648" s="9" t="inlineStr">
        <is>
          <t>Adverbs of frequency</t>
        </is>
      </c>
      <c r="E648" s="23" t="inlineStr">
        <is>
          <t>Adverbs of frequency: место — перед смысловым глаголом, после be</t>
        </is>
      </c>
      <c r="F648" s="25" t="inlineStr">
        <is>
          <t>повторение</t>
        </is>
      </c>
      <c r="G648" s="9" t="inlineStr"/>
      <c r="H648" s="25" t="inlineStr">
        <is>
          <t>10+</t>
        </is>
      </c>
      <c r="I648" s="9">
        <f>IFERROR(INDEX('Темы × классы'!$R:$R,MATCH(E648,'Темы × классы'!$E:$E,0)),"")</f>
        <v/>
      </c>
      <c r="J648" s="9">
        <f>IFERROR(INDEX('Темы × классы'!$S:$S,MATCH(E648,'Темы × классы'!$E:$E,0))&amp;"","")</f>
        <v/>
      </c>
      <c r="K648" s="9" t="inlineStr">
        <is>
          <t>не начат</t>
        </is>
      </c>
      <c r="L648" s="9" t="inlineStr">
        <is>
          <t>Spotlight / 8 класс / Module 1 · Socialising / Adverbs of frequency / Adverbs of frequency: место — перед смысловым глаголом, после be</t>
        </is>
      </c>
    </row>
    <row r="649">
      <c r="A649" s="25" t="n">
        <v>8</v>
      </c>
      <c r="B649" s="9" t="inlineStr">
        <is>
          <t>Module 1 · Socialising</t>
        </is>
      </c>
      <c r="C649" s="9" t="inlineStr">
        <is>
          <t>1c</t>
        </is>
      </c>
      <c r="D649" s="9" t="inlineStr">
        <is>
          <t>Adverbs of frequency</t>
        </is>
      </c>
      <c r="E649" s="23" t="inlineStr">
        <is>
          <t>Adverbs of frequency: место — после вспомогательных и модальных глаголов</t>
        </is>
      </c>
      <c r="F649" s="25" t="inlineStr">
        <is>
          <t>повторение</t>
        </is>
      </c>
      <c r="G649" s="9" t="inlineStr">
        <is>
          <t>после вспомогательных</t>
        </is>
      </c>
      <c r="H649" s="25" t="inlineStr">
        <is>
          <t>10+</t>
        </is>
      </c>
      <c r="I649" s="9">
        <f>IFERROR(INDEX('Темы × классы'!$R:$R,MATCH(E649,'Темы × классы'!$E:$E,0)),"")</f>
        <v/>
      </c>
      <c r="J649" s="9">
        <f>IFERROR(INDEX('Темы × классы'!$S:$S,MATCH(E649,'Темы × классы'!$E:$E,0))&amp;"","")</f>
        <v/>
      </c>
      <c r="K649" s="9" t="inlineStr">
        <is>
          <t>не начат</t>
        </is>
      </c>
      <c r="L649" s="9" t="inlineStr">
        <is>
          <t>Spotlight / 8 класс / Module 1 · Socialising / Adverbs of frequency / Adverbs of frequency: место — после вспомогательных и модальных глаголов</t>
        </is>
      </c>
    </row>
    <row r="650">
      <c r="A650" s="25" t="n">
        <v>8</v>
      </c>
      <c r="B650" s="9" t="inlineStr">
        <is>
          <t>Module 1 · Socialising</t>
        </is>
      </c>
      <c r="C650" s="9" t="inlineStr">
        <is>
          <t>1c</t>
        </is>
      </c>
      <c r="D650" s="9" t="inlineStr">
        <is>
          <t>Adverbs of frequency</t>
        </is>
      </c>
      <c r="E650" s="23" t="inlineStr">
        <is>
          <t>Adverbs of frequency: шкала частотности в % (always 100% … never 0%)</t>
        </is>
      </c>
      <c r="F650" s="26" t="inlineStr">
        <is>
          <t>новое</t>
        </is>
      </c>
      <c r="G650" s="9" t="inlineStr">
        <is>
          <t>always 100%, usually 75%, often 50%, sometimes 25%, never 0%</t>
        </is>
      </c>
      <c r="H650" s="25" t="inlineStr">
        <is>
          <t>10+</t>
        </is>
      </c>
      <c r="I650" s="9">
        <f>IFERROR(INDEX('Темы × классы'!$R:$R,MATCH(E650,'Темы × классы'!$E:$E,0)),"")</f>
        <v/>
      </c>
      <c r="J650" s="9">
        <f>IFERROR(INDEX('Темы × классы'!$S:$S,MATCH(E650,'Темы × классы'!$E:$E,0))&amp;"","")</f>
        <v/>
      </c>
      <c r="K650" s="9" t="inlineStr">
        <is>
          <t>не начат</t>
        </is>
      </c>
      <c r="L650" s="9" t="inlineStr">
        <is>
          <t>Spotlight / 8 класс / Module 1 · Socialising / Adverbs of frequency / Adverbs of frequency: шкала частотности в % (always 100% … never 0%)</t>
        </is>
      </c>
    </row>
    <row r="651">
      <c r="A651" s="25" t="n">
        <v>8</v>
      </c>
      <c r="B651" s="9" t="inlineStr">
        <is>
          <t>Module 1 · Socialising</t>
        </is>
      </c>
      <c r="C651" s="9" t="inlineStr">
        <is>
          <t>1d</t>
        </is>
      </c>
      <c r="D651" s="9" t="inlineStr">
        <is>
          <t>Comparatives &amp; Superlatives</t>
        </is>
      </c>
      <c r="E651" s="23" t="inlineStr">
        <is>
          <t>Comparatives &amp; Superlatives: сравнительная степень — -er + than</t>
        </is>
      </c>
      <c r="F651" s="25" t="inlineStr">
        <is>
          <t>повторение</t>
        </is>
      </c>
      <c r="G651" s="9" t="inlineStr"/>
      <c r="H651" s="25" t="inlineStr">
        <is>
          <t>10+</t>
        </is>
      </c>
      <c r="I651" s="9">
        <f>IFERROR(INDEX('Темы × классы'!$R:$R,MATCH(E651,'Темы × классы'!$E:$E,0)),"")</f>
        <v/>
      </c>
      <c r="J651" s="9">
        <f>IFERROR(INDEX('Темы × классы'!$S:$S,MATCH(E651,'Темы × классы'!$E:$E,0))&amp;"","")</f>
        <v/>
      </c>
      <c r="K651" s="9" t="inlineStr">
        <is>
          <t>не начат</t>
        </is>
      </c>
      <c r="L651" s="9" t="inlineStr">
        <is>
          <t>Spotlight / 8 класс / Module 1 · Socialising / Comparatives &amp; Superlatives / Comparatives &amp; Superlatives: сравнительная степень — -er + than</t>
        </is>
      </c>
    </row>
    <row r="652">
      <c r="A652" s="25" t="n">
        <v>8</v>
      </c>
      <c r="B652" s="9" t="inlineStr">
        <is>
          <t>Module 1 · Socialising</t>
        </is>
      </c>
      <c r="C652" s="9" t="inlineStr">
        <is>
          <t>1d</t>
        </is>
      </c>
      <c r="D652" s="9" t="inlineStr">
        <is>
          <t>Comparatives &amp; Superlatives</t>
        </is>
      </c>
      <c r="E652" s="23" t="inlineStr">
        <is>
          <t>Comparatives &amp; Superlatives: сравнительная степень — more (многосложные)</t>
        </is>
      </c>
      <c r="F652" s="25" t="inlineStr">
        <is>
          <t>повторение</t>
        </is>
      </c>
      <c r="G652" s="9" t="inlineStr">
        <is>
          <t>sociable</t>
        </is>
      </c>
      <c r="H652" s="25" t="inlineStr">
        <is>
          <t>10+</t>
        </is>
      </c>
      <c r="I652" s="9">
        <f>IFERROR(INDEX('Темы × классы'!$R:$R,MATCH(E652,'Темы × классы'!$E:$E,0)),"")</f>
        <v/>
      </c>
      <c r="J652" s="9">
        <f>IFERROR(INDEX('Темы × классы'!$S:$S,MATCH(E652,'Темы × классы'!$E:$E,0))&amp;"","")</f>
        <v/>
      </c>
      <c r="K652" s="9" t="inlineStr">
        <is>
          <t>не начат</t>
        </is>
      </c>
      <c r="L652" s="9" t="inlineStr">
        <is>
          <t>Spotlight / 8 класс / Module 1 · Socialising / Comparatives &amp; Superlatives / Comparatives &amp; Superlatives: сравнительная степень — more (многосложные)</t>
        </is>
      </c>
    </row>
    <row r="653">
      <c r="A653" s="25" t="n">
        <v>8</v>
      </c>
      <c r="B653" s="9" t="inlineStr">
        <is>
          <t>Module 1 · Socialising</t>
        </is>
      </c>
      <c r="C653" s="9" t="inlineStr">
        <is>
          <t>1d</t>
        </is>
      </c>
      <c r="D653" s="9" t="inlineStr">
        <is>
          <t>Comparatives &amp; Superlatives</t>
        </is>
      </c>
      <c r="E653" s="23" t="inlineStr">
        <is>
          <t>Comparatives &amp; Superlatives: орфография -er/-est (удвоение, -e, y → i)</t>
        </is>
      </c>
      <c r="F653" s="25" t="inlineStr">
        <is>
          <t>повторение</t>
        </is>
      </c>
      <c r="G653" s="9" t="inlineStr">
        <is>
          <t>hot – hotter, easy – easier</t>
        </is>
      </c>
      <c r="H653" s="25" t="inlineStr">
        <is>
          <t>10+</t>
        </is>
      </c>
      <c r="I653" s="9">
        <f>IFERROR(INDEX('Темы × классы'!$R:$R,MATCH(E653,'Темы × классы'!$E:$E,0)),"")</f>
        <v/>
      </c>
      <c r="J653" s="9">
        <f>IFERROR(INDEX('Темы × классы'!$S:$S,MATCH(E653,'Темы × классы'!$E:$E,0))&amp;"","")</f>
        <v/>
      </c>
      <c r="K653" s="9" t="inlineStr">
        <is>
          <t>не начат</t>
        </is>
      </c>
      <c r="L653" s="9" t="inlineStr">
        <is>
          <t>Spotlight / 8 класс / Module 1 · Socialising / Comparatives &amp; Superlatives / Comparatives &amp; Superlatives: орфография -er/-est (удвоение, -e, y → i)</t>
        </is>
      </c>
    </row>
    <row r="654">
      <c r="A654" s="25" t="n">
        <v>8</v>
      </c>
      <c r="B654" s="9" t="inlineStr">
        <is>
          <t>Module 1 · Socialising</t>
        </is>
      </c>
      <c r="C654" s="9" t="inlineStr">
        <is>
          <t>1d</t>
        </is>
      </c>
      <c r="D654" s="9" t="inlineStr">
        <is>
          <t>Comparatives &amp; Superlatives</t>
        </is>
      </c>
      <c r="E654" s="23" t="inlineStr">
        <is>
          <t>Comparatives &amp; Superlatives: превосходная степень — the -est + of/in</t>
        </is>
      </c>
      <c r="F654" s="25" t="inlineStr">
        <is>
          <t>повторение</t>
        </is>
      </c>
      <c r="G654" s="9" t="inlineStr">
        <is>
          <t>the youngest of…, the funniest … in</t>
        </is>
      </c>
      <c r="H654" s="25" t="inlineStr">
        <is>
          <t>10+</t>
        </is>
      </c>
      <c r="I654" s="9">
        <f>IFERROR(INDEX('Темы × классы'!$R:$R,MATCH(E654,'Темы × классы'!$E:$E,0)),"")</f>
        <v/>
      </c>
      <c r="J654" s="9">
        <f>IFERROR(INDEX('Темы × классы'!$S:$S,MATCH(E654,'Темы × классы'!$E:$E,0))&amp;"","")</f>
        <v/>
      </c>
      <c r="K654" s="9" t="inlineStr">
        <is>
          <t>не начат</t>
        </is>
      </c>
      <c r="L654" s="9" t="inlineStr">
        <is>
          <t>Spotlight / 8 класс / Module 1 · Socialising / Comparatives &amp; Superlatives / Comparatives &amp; Superlatives: превосходная степень — the -est + of/in</t>
        </is>
      </c>
    </row>
    <row r="655">
      <c r="A655" s="25" t="n">
        <v>8</v>
      </c>
      <c r="B655" s="9" t="inlineStr">
        <is>
          <t>Module 1 · Socialising</t>
        </is>
      </c>
      <c r="C655" s="9" t="inlineStr">
        <is>
          <t>1d</t>
        </is>
      </c>
      <c r="D655" s="9" t="inlineStr">
        <is>
          <t>Comparatives &amp; Superlatives</t>
        </is>
      </c>
      <c r="E655" s="23" t="inlineStr">
        <is>
          <t>Comparatives &amp; Superlatives: превосходная степень — the most</t>
        </is>
      </c>
      <c r="F655" s="25" t="inlineStr">
        <is>
          <t>повторение</t>
        </is>
      </c>
      <c r="G655" s="9" t="inlineStr"/>
      <c r="H655" s="25" t="inlineStr">
        <is>
          <t>10+</t>
        </is>
      </c>
      <c r="I655" s="9">
        <f>IFERROR(INDEX('Темы × классы'!$R:$R,MATCH(E655,'Темы × классы'!$E:$E,0)),"")</f>
        <v/>
      </c>
      <c r="J655" s="9">
        <f>IFERROR(INDEX('Темы × классы'!$S:$S,MATCH(E655,'Темы × классы'!$E:$E,0))&amp;"","")</f>
        <v/>
      </c>
      <c r="K655" s="9" t="inlineStr">
        <is>
          <t>не начат</t>
        </is>
      </c>
      <c r="L655" s="9" t="inlineStr">
        <is>
          <t>Spotlight / 8 класс / Module 1 · Socialising / Comparatives &amp; Superlatives / Comparatives &amp; Superlatives: превосходная степень — the most</t>
        </is>
      </c>
    </row>
    <row r="656">
      <c r="A656" s="25" t="n">
        <v>8</v>
      </c>
      <c r="B656" s="9" t="inlineStr">
        <is>
          <t>Module 1 · Socialising</t>
        </is>
      </c>
      <c r="C656" s="9" t="inlineStr">
        <is>
          <t>1d</t>
        </is>
      </c>
      <c r="D656" s="9" t="inlineStr">
        <is>
          <t>Comparatives &amp; Superlatives</t>
        </is>
      </c>
      <c r="E656" s="23" t="inlineStr">
        <is>
          <t>Comparatives &amp; Superlatives: неправильные прилагательные (good, bad, many/much, little)</t>
        </is>
      </c>
      <c r="F656" s="25" t="inlineStr">
        <is>
          <t>повторение</t>
        </is>
      </c>
      <c r="G656" s="9" t="inlineStr"/>
      <c r="H656" s="25" t="inlineStr">
        <is>
          <t>10+</t>
        </is>
      </c>
      <c r="I656" s="9">
        <f>IFERROR(INDEX('Темы × классы'!$R:$R,MATCH(E656,'Темы × классы'!$E:$E,0)),"")</f>
        <v/>
      </c>
      <c r="J656" s="9">
        <f>IFERROR(INDEX('Темы × классы'!$S:$S,MATCH(E656,'Темы × классы'!$E:$E,0))&amp;"","")</f>
        <v/>
      </c>
      <c r="K656" s="9" t="inlineStr">
        <is>
          <t>не начат</t>
        </is>
      </c>
      <c r="L656" s="9" t="inlineStr">
        <is>
          <t>Spotlight / 8 класс / Module 1 · Socialising / Comparatives &amp; Superlatives / Comparatives &amp; Superlatives: неправильные прилагательные (good, bad, many/much, little)</t>
        </is>
      </c>
    </row>
    <row r="657">
      <c r="A657" s="25" t="n">
        <v>8</v>
      </c>
      <c r="B657" s="9" t="inlineStr">
        <is>
          <t>Module 1 · Socialising</t>
        </is>
      </c>
      <c r="C657" s="9" t="inlineStr">
        <is>
          <t>1d</t>
        </is>
      </c>
      <c r="D657" s="9" t="inlineStr">
        <is>
          <t>Comparatives &amp; Superlatives</t>
        </is>
      </c>
      <c r="E657" s="23" t="inlineStr">
        <is>
          <t>Comparatives &amp; Superlatives: прилагательные с двумя способами (clever, quiet, friendly…)</t>
        </is>
      </c>
      <c r="F657" s="25" t="inlineStr">
        <is>
          <t>повторение</t>
        </is>
      </c>
      <c r="G657" s="9" t="inlineStr">
        <is>
          <t>clever, cruel, friendly, gentle, narrow, quiet, shallow, simple</t>
        </is>
      </c>
      <c r="H657" s="25" t="inlineStr">
        <is>
          <t>10+</t>
        </is>
      </c>
      <c r="I657" s="9">
        <f>IFERROR(INDEX('Темы × классы'!$R:$R,MATCH(E657,'Темы × классы'!$E:$E,0)),"")</f>
        <v/>
      </c>
      <c r="J657" s="9">
        <f>IFERROR(INDEX('Темы × классы'!$S:$S,MATCH(E657,'Темы × классы'!$E:$E,0))&amp;"","")</f>
        <v/>
      </c>
      <c r="K657" s="9" t="inlineStr">
        <is>
          <t>не начат</t>
        </is>
      </c>
      <c r="L657" s="9" t="inlineStr">
        <is>
          <t>Spotlight / 8 класс / Module 1 · Socialising / Comparatives &amp; Superlatives / Comparatives &amp; Superlatives: прилагательные с двумя способами (clever, quiet, friendly…)</t>
        </is>
      </c>
    </row>
    <row r="658">
      <c r="A658" s="25" t="n">
        <v>8</v>
      </c>
      <c r="B658" s="9" t="inlineStr">
        <is>
          <t>Module 1 · Socialising</t>
        </is>
      </c>
      <c r="C658" s="9" t="inlineStr">
        <is>
          <t>1d</t>
        </is>
      </c>
      <c r="D658" s="9" t="inlineStr">
        <is>
          <t>Comparatives &amp; Superlatives</t>
        </is>
      </c>
      <c r="E658" s="23" t="inlineStr">
        <is>
          <t>Comparatives &amp; Superlatives: far — farther/further, old — elder/eldest</t>
        </is>
      </c>
      <c r="F658" s="27" t="inlineStr">
        <is>
          <t>расширение</t>
        </is>
      </c>
      <c r="G658" s="9" t="inlineStr">
        <is>
          <t>farther — расстояние / further — время (further information); elder/eldest — члены семьи</t>
        </is>
      </c>
      <c r="H658" s="25" t="inlineStr">
        <is>
          <t>10+</t>
        </is>
      </c>
      <c r="I658" s="9">
        <f>IFERROR(INDEX('Темы × классы'!$R:$R,MATCH(E658,'Темы × классы'!$E:$E,0)),"")</f>
        <v/>
      </c>
      <c r="J658" s="9">
        <f>IFERROR(INDEX('Темы × классы'!$S:$S,MATCH(E658,'Темы × классы'!$E:$E,0))&amp;"","")</f>
        <v/>
      </c>
      <c r="K658" s="9" t="inlineStr">
        <is>
          <t>не начат</t>
        </is>
      </c>
      <c r="L658" s="9" t="inlineStr">
        <is>
          <t>Spotlight / 8 класс / Module 1 · Socialising / Comparatives &amp; Superlatives / Comparatives &amp; Superlatives: far — farther/further, old — elder/eldest</t>
        </is>
      </c>
    </row>
    <row r="659">
      <c r="A659" s="25" t="n">
        <v>8</v>
      </c>
      <c r="B659" s="9" t="inlineStr">
        <is>
          <t>Module 1 · Socialising</t>
        </is>
      </c>
      <c r="C659" s="9" t="inlineStr">
        <is>
          <t>1d</t>
        </is>
      </c>
      <c r="D659" s="9" t="inlineStr">
        <is>
          <t>Comparatives &amp; Superlatives</t>
        </is>
      </c>
      <c r="E659" s="23" t="inlineStr">
        <is>
          <t>Comparatives &amp; Superlatives: наречия — -er/-est (hard, fast, early)</t>
        </is>
      </c>
      <c r="F659" s="25" t="inlineStr">
        <is>
          <t>повторение</t>
        </is>
      </c>
      <c r="G659" s="9" t="inlineStr">
        <is>
          <t>hard, fast, early, late…</t>
        </is>
      </c>
      <c r="H659" s="25" t="inlineStr">
        <is>
          <t>10+</t>
        </is>
      </c>
      <c r="I659" s="9">
        <f>IFERROR(INDEX('Темы × классы'!$R:$R,MATCH(E659,'Темы × классы'!$E:$E,0)),"")</f>
        <v/>
      </c>
      <c r="J659" s="9">
        <f>IFERROR(INDEX('Темы × классы'!$S:$S,MATCH(E659,'Темы × классы'!$E:$E,0))&amp;"","")</f>
        <v/>
      </c>
      <c r="K659" s="9" t="inlineStr">
        <is>
          <t>не начат</t>
        </is>
      </c>
      <c r="L659" s="9" t="inlineStr">
        <is>
          <t>Spotlight / 8 класс / Module 1 · Socialising / Comparatives &amp; Superlatives / Comparatives &amp; Superlatives: наречия — -er/-est (hard, fast, early)</t>
        </is>
      </c>
    </row>
    <row r="660">
      <c r="A660" s="25" t="n">
        <v>8</v>
      </c>
      <c r="B660" s="9" t="inlineStr">
        <is>
          <t>Module 1 · Socialising</t>
        </is>
      </c>
      <c r="C660" s="9" t="inlineStr">
        <is>
          <t>1d</t>
        </is>
      </c>
      <c r="D660" s="9" t="inlineStr">
        <is>
          <t>Comparatives &amp; Superlatives</t>
        </is>
      </c>
      <c r="E660" s="23" t="inlineStr">
        <is>
          <t>Comparatives &amp; Superlatives: наречия — more/most (slowly)</t>
        </is>
      </c>
      <c r="F660" s="25" t="inlineStr">
        <is>
          <t>повторение</t>
        </is>
      </c>
      <c r="G660" s="9" t="inlineStr">
        <is>
          <t>quickly, slowly, easily</t>
        </is>
      </c>
      <c r="H660" s="25" t="inlineStr">
        <is>
          <t>10+</t>
        </is>
      </c>
      <c r="I660" s="9">
        <f>IFERROR(INDEX('Темы × классы'!$R:$R,MATCH(E660,'Темы × классы'!$E:$E,0)),"")</f>
        <v/>
      </c>
      <c r="J660" s="9">
        <f>IFERROR(INDEX('Темы × классы'!$S:$S,MATCH(E660,'Темы × классы'!$E:$E,0))&amp;"","")</f>
        <v/>
      </c>
      <c r="K660" s="9" t="inlineStr">
        <is>
          <t>не начат</t>
        </is>
      </c>
      <c r="L660" s="9" t="inlineStr">
        <is>
          <t>Spotlight / 8 класс / Module 1 · Socialising / Comparatives &amp; Superlatives / Comparatives &amp; Superlatives: наречия — more/most (slowly)</t>
        </is>
      </c>
    </row>
    <row r="661">
      <c r="A661" s="25" t="n">
        <v>8</v>
      </c>
      <c r="B661" s="9" t="inlineStr">
        <is>
          <t>Module 1 · Socialising</t>
        </is>
      </c>
      <c r="C661" s="9" t="inlineStr">
        <is>
          <t>1d</t>
        </is>
      </c>
      <c r="D661" s="9" t="inlineStr">
        <is>
          <t>Comparatives &amp; Superlatives</t>
        </is>
      </c>
      <c r="E661" s="23" t="inlineStr">
        <is>
          <t>Comparatives &amp; Superlatives: неправильные наречия (well, badly)</t>
        </is>
      </c>
      <c r="F661" s="25" t="inlineStr">
        <is>
          <t>повторение</t>
        </is>
      </c>
      <c r="G661" s="9" t="inlineStr"/>
      <c r="H661" s="25" t="inlineStr">
        <is>
          <t>10+</t>
        </is>
      </c>
      <c r="I661" s="9">
        <f>IFERROR(INDEX('Темы × классы'!$R:$R,MATCH(E661,'Темы × классы'!$E:$E,0)),"")</f>
        <v/>
      </c>
      <c r="J661" s="9">
        <f>IFERROR(INDEX('Темы × классы'!$S:$S,MATCH(E661,'Темы × классы'!$E:$E,0))&amp;"","")</f>
        <v/>
      </c>
      <c r="K661" s="9" t="inlineStr">
        <is>
          <t>не начат</t>
        </is>
      </c>
      <c r="L661" s="9" t="inlineStr">
        <is>
          <t>Spotlight / 8 класс / Module 1 · Socialising / Comparatives &amp; Superlatives / Comparatives &amp; Superlatives: неправильные наречия (well, badly)</t>
        </is>
      </c>
    </row>
    <row r="662">
      <c r="A662" s="25" t="n">
        <v>8</v>
      </c>
      <c r="B662" s="9" t="inlineStr">
        <is>
          <t>Module 1 · Socialising</t>
        </is>
      </c>
      <c r="C662" s="9" t="inlineStr">
        <is>
          <t>1d</t>
        </is>
      </c>
      <c r="D662" s="9" t="inlineStr">
        <is>
          <t>Adverbs of degree</t>
        </is>
      </c>
      <c r="E662" s="23" t="inlineStr">
        <is>
          <t>Adverbs of degree: сильная степень — really, very, extremely</t>
        </is>
      </c>
      <c r="F662" s="26" t="inlineStr">
        <is>
          <t>новое</t>
        </is>
      </c>
      <c r="G662" s="9" t="inlineStr">
        <is>
          <t>место — перед прил./нареч.; really, very, extremely</t>
        </is>
      </c>
      <c r="H662" s="25" t="inlineStr">
        <is>
          <t>10+</t>
        </is>
      </c>
      <c r="I662" s="9">
        <f>IFERROR(INDEX('Темы × классы'!$R:$R,MATCH(E662,'Темы × классы'!$E:$E,0)),"")</f>
        <v/>
      </c>
      <c r="J662" s="9">
        <f>IFERROR(INDEX('Темы × классы'!$S:$S,MATCH(E662,'Темы × классы'!$E:$E,0))&amp;"","")</f>
        <v/>
      </c>
      <c r="K662" s="9" t="inlineStr">
        <is>
          <t>не начат</t>
        </is>
      </c>
      <c r="L662" s="9" t="inlineStr">
        <is>
          <t>Spotlight / 8 класс / Module 1 · Socialising / Adverbs of degree / Adverbs of degree: сильная степень — really, very, extremely</t>
        </is>
      </c>
    </row>
    <row r="663">
      <c r="A663" s="25" t="n">
        <v>8</v>
      </c>
      <c r="B663" s="9" t="inlineStr">
        <is>
          <t>Module 1 · Socialising</t>
        </is>
      </c>
      <c r="C663" s="9" t="inlineStr">
        <is>
          <t>1d</t>
        </is>
      </c>
      <c r="D663" s="9" t="inlineStr">
        <is>
          <t>Adverbs of degree</t>
        </is>
      </c>
      <c r="E663" s="23" t="inlineStr">
        <is>
          <t>Adverbs of degree: средняя степень — pretty, quite, rather</t>
        </is>
      </c>
      <c r="F663" s="26" t="inlineStr">
        <is>
          <t>новое</t>
        </is>
      </c>
      <c r="G663" s="9" t="inlineStr">
        <is>
          <t>pretty, quite, rather</t>
        </is>
      </c>
      <c r="H663" s="25" t="inlineStr">
        <is>
          <t>10+</t>
        </is>
      </c>
      <c r="I663" s="9">
        <f>IFERROR(INDEX('Темы × классы'!$R:$R,MATCH(E663,'Темы × классы'!$E:$E,0)),"")</f>
        <v/>
      </c>
      <c r="J663" s="9">
        <f>IFERROR(INDEX('Темы × классы'!$S:$S,MATCH(E663,'Темы × классы'!$E:$E,0))&amp;"","")</f>
        <v/>
      </c>
      <c r="K663" s="9" t="inlineStr">
        <is>
          <t>не начат</t>
        </is>
      </c>
      <c r="L663" s="9" t="inlineStr">
        <is>
          <t>Spotlight / 8 класс / Module 1 · Socialising / Adverbs of degree / Adverbs of degree: средняя степень — pretty, quite, rather</t>
        </is>
      </c>
    </row>
    <row r="664">
      <c r="A664" s="25" t="n">
        <v>8</v>
      </c>
      <c r="B664" s="9" t="inlineStr">
        <is>
          <t>Module 1 · Socialising</t>
        </is>
      </c>
      <c r="C664" s="9" t="inlineStr">
        <is>
          <t>1d</t>
        </is>
      </c>
      <c r="D664" s="9" t="inlineStr">
        <is>
          <t>Adverbs of degree</t>
        </is>
      </c>
      <c r="E664" s="23" t="inlineStr">
        <is>
          <t>Adverbs of degree: слабая степень — a little, a bit</t>
        </is>
      </c>
      <c r="F664" s="26" t="inlineStr">
        <is>
          <t>новое</t>
        </is>
      </c>
      <c r="G664" s="9" t="inlineStr">
        <is>
          <t>a little, a bit</t>
        </is>
      </c>
      <c r="H664" s="25" t="inlineStr">
        <is>
          <t>10+</t>
        </is>
      </c>
      <c r="I664" s="9">
        <f>IFERROR(INDEX('Темы × классы'!$R:$R,MATCH(E664,'Темы × классы'!$E:$E,0)),"")</f>
        <v/>
      </c>
      <c r="J664" s="9">
        <f>IFERROR(INDEX('Темы × классы'!$S:$S,MATCH(E664,'Темы × классы'!$E:$E,0))&amp;"","")</f>
        <v/>
      </c>
      <c r="K664" s="9" t="inlineStr">
        <is>
          <t>не начат</t>
        </is>
      </c>
      <c r="L664" s="9" t="inlineStr">
        <is>
          <t>Spotlight / 8 класс / Module 1 · Socialising / Adverbs of degree / Adverbs of degree: слабая степень — a little, a bit</t>
        </is>
      </c>
    </row>
    <row r="665">
      <c r="A665" s="25" t="n">
        <v>8</v>
      </c>
      <c r="B665" s="9" t="inlineStr">
        <is>
          <t>Module 1 · Socialising</t>
        </is>
      </c>
      <c r="C665" s="9" t="inlineStr">
        <is>
          <t>1f</t>
        </is>
      </c>
      <c r="D665" s="9" t="inlineStr">
        <is>
          <t>Phrasal verbs</t>
        </is>
      </c>
      <c r="E665" s="23" t="inlineStr">
        <is>
          <t>Phrasal verbs: get</t>
        </is>
      </c>
      <c r="F665" s="26" t="inlineStr">
        <is>
          <t>новое</t>
        </is>
      </c>
      <c r="G665" s="9" t="inlineStr">
        <is>
          <t>get: get across (донести идеи до слушателя), get along with (ладить, поддерживать хорошие отношения), get somebody down (расстраивать), get over (поправиться, преодолеть), get over with (закончить, справиться).</t>
        </is>
      </c>
      <c r="H665" s="25" t="inlineStr">
        <is>
          <t>10+</t>
        </is>
      </c>
      <c r="I665" s="9">
        <f>IFERROR(INDEX('Темы × классы'!$R:$R,MATCH(E665,'Темы × классы'!$E:$E,0)),"")</f>
        <v/>
      </c>
      <c r="J665" s="9">
        <f>IFERROR(INDEX('Темы × классы'!$S:$S,MATCH(E665,'Темы × классы'!$E:$E,0))&amp;"","")</f>
        <v/>
      </c>
      <c r="K665" s="9" t="inlineStr">
        <is>
          <t>не начат</t>
        </is>
      </c>
      <c r="L665" s="9" t="inlineStr">
        <is>
          <t>Spotlight / 8 класс / Module 1 · Socialising / Phrasal verbs / Phrasal verbs: get</t>
        </is>
      </c>
    </row>
    <row r="666">
      <c r="A666" s="25" t="n">
        <v>8</v>
      </c>
      <c r="B666" s="9" t="inlineStr">
        <is>
          <t>Module 1 · Socialising</t>
        </is>
      </c>
      <c r="C666" s="9" t="inlineStr">
        <is>
          <t>1f</t>
        </is>
      </c>
      <c r="D666" s="9" t="inlineStr">
        <is>
          <t>Word formation</t>
        </is>
      </c>
      <c r="E666" s="23" t="inlineStr">
        <is>
          <t>Word formation: -ful, -able</t>
        </is>
      </c>
      <c r="F666" s="26" t="inlineStr">
        <is>
          <t>новое</t>
        </is>
      </c>
      <c r="G666" s="9" t="inlineStr">
        <is>
          <t>Образование прилагательных: -ful, -able.</t>
        </is>
      </c>
      <c r="H666" s="25" t="inlineStr">
        <is>
          <t>10+</t>
        </is>
      </c>
      <c r="I666" s="9">
        <f>IFERROR(INDEX('Темы × классы'!$R:$R,MATCH(E666,'Темы × классы'!$E:$E,0)),"")</f>
        <v/>
      </c>
      <c r="J666" s="9">
        <f>IFERROR(INDEX('Темы × классы'!$S:$S,MATCH(E666,'Темы × классы'!$E:$E,0))&amp;"","")</f>
        <v/>
      </c>
      <c r="K666" s="9" t="inlineStr">
        <is>
          <t>не начат</t>
        </is>
      </c>
      <c r="L666" s="9" t="inlineStr">
        <is>
          <t>Spotlight / 8 класс / Module 1 · Socialising / Word formation / Word formation: -ful, -able</t>
        </is>
      </c>
    </row>
    <row r="667">
      <c r="A667" s="25" t="n">
        <v>8</v>
      </c>
      <c r="B667" s="9" t="inlineStr">
        <is>
          <t>Module 1 · Socialising</t>
        </is>
      </c>
      <c r="C667" s="9" t="inlineStr">
        <is>
          <t>1f</t>
        </is>
      </c>
      <c r="D667" s="9" t="inlineStr">
        <is>
          <t>Dependent prepositions</t>
        </is>
      </c>
      <c r="E667" s="23" t="inlineStr">
        <is>
          <t>Dependent prepositions</t>
        </is>
      </c>
      <c r="F667" s="26" t="inlineStr">
        <is>
          <t>новое</t>
        </is>
      </c>
      <c r="G667" s="9" t="inlineStr">
        <is>
          <t>Предлоги (prepositions) — тема English in Use 1f.</t>
        </is>
      </c>
      <c r="H667" s="25" t="inlineStr">
        <is>
          <t>10+</t>
        </is>
      </c>
      <c r="I667" s="9">
        <f>IFERROR(INDEX('Темы × классы'!$R:$R,MATCH(E667,'Темы × классы'!$E:$E,0)),"")</f>
        <v/>
      </c>
      <c r="J667" s="9">
        <f>IFERROR(INDEX('Темы × классы'!$S:$S,MATCH(E667,'Темы × классы'!$E:$E,0))&amp;"","")</f>
        <v/>
      </c>
      <c r="K667" s="9" t="inlineStr">
        <is>
          <t>не начат</t>
        </is>
      </c>
      <c r="L667" s="9" t="inlineStr">
        <is>
          <t>Spotlight / 8 класс / Module 1 · Socialising / Dependent prepositions / Dependent prepositions</t>
        </is>
      </c>
    </row>
    <row r="668">
      <c r="A668" s="25" t="n">
        <v>8</v>
      </c>
      <c r="B668" s="9" t="inlineStr">
        <is>
          <t>Module 2 · Food &amp; Shopping</t>
        </is>
      </c>
      <c r="C668" s="9" t="inlineStr">
        <is>
          <t>2c</t>
        </is>
      </c>
      <c r="D668" s="9" t="inlineStr">
        <is>
          <t>Present Perfect</t>
        </is>
      </c>
      <c r="E668" s="23" t="inlineStr">
        <is>
          <t>Present Perfect: утверждение (have/has + V3)</t>
        </is>
      </c>
      <c r="F668" s="25" t="inlineStr">
        <is>
          <t>повторение</t>
        </is>
      </c>
      <c r="G668" s="9" t="inlineStr">
        <is>
          <t>have/has + V3</t>
        </is>
      </c>
      <c r="H668" s="25" t="inlineStr">
        <is>
          <t>10+</t>
        </is>
      </c>
      <c r="I668" s="9">
        <f>IFERROR(INDEX('Темы × классы'!$R:$R,MATCH(E668,'Темы × классы'!$E:$E,0)),"")</f>
        <v/>
      </c>
      <c r="J668" s="9">
        <f>IFERROR(INDEX('Темы × классы'!$S:$S,MATCH(E668,'Темы × классы'!$E:$E,0))&amp;"","")</f>
        <v/>
      </c>
      <c r="K668" s="9" t="inlineStr">
        <is>
          <t>не начат</t>
        </is>
      </c>
      <c r="L668" s="9" t="inlineStr">
        <is>
          <t>Spotlight / 8 класс / Module 2 · Food &amp; Shopping / Present Perfect / Present Perfect: утверждение (have/has + V3)</t>
        </is>
      </c>
    </row>
    <row r="669">
      <c r="A669" s="25" t="n">
        <v>8</v>
      </c>
      <c r="B669" s="9" t="inlineStr">
        <is>
          <t>Module 2 · Food &amp; Shopping</t>
        </is>
      </c>
      <c r="C669" s="9" t="inlineStr">
        <is>
          <t>2c</t>
        </is>
      </c>
      <c r="D669" s="9" t="inlineStr">
        <is>
          <t>Present Perfect</t>
        </is>
      </c>
      <c r="E669" s="23" t="inlineStr">
        <is>
          <t>Present Perfect: V3 правильных глаголов (-ed, орфография)</t>
        </is>
      </c>
      <c r="F669" s="25" t="inlineStr">
        <is>
          <t>повторение</t>
        </is>
      </c>
      <c r="G669" s="9" t="inlineStr">
        <is>
          <t>explain – explained</t>
        </is>
      </c>
      <c r="H669" s="25" t="inlineStr">
        <is>
          <t>10+</t>
        </is>
      </c>
      <c r="I669" s="9">
        <f>IFERROR(INDEX('Темы × классы'!$R:$R,MATCH(E669,'Темы × классы'!$E:$E,0)),"")</f>
        <v/>
      </c>
      <c r="J669" s="9">
        <f>IFERROR(INDEX('Темы × классы'!$S:$S,MATCH(E669,'Темы × классы'!$E:$E,0))&amp;"","")</f>
        <v/>
      </c>
      <c r="K669" s="9" t="inlineStr">
        <is>
          <t>не начат</t>
        </is>
      </c>
      <c r="L669" s="9" t="inlineStr">
        <is>
          <t>Spotlight / 8 класс / Module 2 · Food &amp; Shopping / Present Perfect / Present Perfect: V3 правильных глаголов (-ed, орфография)</t>
        </is>
      </c>
    </row>
    <row r="670">
      <c r="A670" s="25" t="n">
        <v>8</v>
      </c>
      <c r="B670" s="9" t="inlineStr">
        <is>
          <t>Module 2 · Food &amp; Shopping</t>
        </is>
      </c>
      <c r="C670" s="9" t="inlineStr">
        <is>
          <t>2c</t>
        </is>
      </c>
      <c r="D670" s="9" t="inlineStr">
        <is>
          <t>Present Perfect</t>
        </is>
      </c>
      <c r="E670" s="23" t="inlineStr">
        <is>
          <t>Present Perfect: значение — жизненный опыт, перемены (ever/never)</t>
        </is>
      </c>
      <c r="F670" s="27" t="inlineStr">
        <is>
          <t>расширение</t>
        </is>
      </c>
      <c r="G670" s="9" t="inlineStr">
        <is>
          <t>добавлены перемены</t>
        </is>
      </c>
      <c r="H670" s="25" t="inlineStr">
        <is>
          <t>10+</t>
        </is>
      </c>
      <c r="I670" s="9">
        <f>IFERROR(INDEX('Темы × классы'!$R:$R,MATCH(E670,'Темы × классы'!$E:$E,0)),"")</f>
        <v/>
      </c>
      <c r="J670" s="9">
        <f>IFERROR(INDEX('Темы × классы'!$S:$S,MATCH(E670,'Темы × классы'!$E:$E,0))&amp;"","")</f>
        <v/>
      </c>
      <c r="K670" s="9" t="inlineStr">
        <is>
          <t>не начат</t>
        </is>
      </c>
      <c r="L670" s="9" t="inlineStr">
        <is>
          <t>Spotlight / 8 класс / Module 2 · Food &amp; Shopping / Present Perfect / Present Perfect: значение — жизненный опыт, перемены (ever/never)</t>
        </is>
      </c>
    </row>
    <row r="671">
      <c r="A671" s="25" t="n">
        <v>8</v>
      </c>
      <c r="B671" s="9" t="inlineStr">
        <is>
          <t>Module 2 · Food &amp; Shopping</t>
        </is>
      </c>
      <c r="C671" s="9" t="inlineStr">
        <is>
          <t>2c</t>
        </is>
      </c>
      <c r="D671" s="9" t="inlineStr">
        <is>
          <t>Present Perfect</t>
        </is>
      </c>
      <c r="E671" s="23" t="inlineStr">
        <is>
          <t>Present Perfect: значение — результат в настоящем</t>
        </is>
      </c>
      <c r="F671" s="25" t="inlineStr">
        <is>
          <t>повторение</t>
        </is>
      </c>
      <c r="G671" s="9" t="inlineStr">
        <is>
          <t>Tina has cut her hair</t>
        </is>
      </c>
      <c r="H671" s="25" t="inlineStr">
        <is>
          <t>10+</t>
        </is>
      </c>
      <c r="I671" s="9">
        <f>IFERROR(INDEX('Темы × классы'!$R:$R,MATCH(E671,'Темы × классы'!$E:$E,0)),"")</f>
        <v/>
      </c>
      <c r="J671" s="9">
        <f>IFERROR(INDEX('Темы × классы'!$S:$S,MATCH(E671,'Темы × классы'!$E:$E,0))&amp;"","")</f>
        <v/>
      </c>
      <c r="K671" s="9" t="inlineStr">
        <is>
          <t>не начат</t>
        </is>
      </c>
      <c r="L671" s="9" t="inlineStr">
        <is>
          <t>Spotlight / 8 класс / Module 2 · Food &amp; Shopping / Present Perfect / Present Perfect: значение — результат в настоящем</t>
        </is>
      </c>
    </row>
    <row r="672">
      <c r="A672" s="25" t="n">
        <v>8</v>
      </c>
      <c r="B672" s="9" t="inlineStr">
        <is>
          <t>Module 2 · Food &amp; Shopping</t>
        </is>
      </c>
      <c r="C672" s="9" t="inlineStr">
        <is>
          <t>2c</t>
        </is>
      </c>
      <c r="D672" s="9" t="inlineStr">
        <is>
          <t>Present Perfect</t>
        </is>
      </c>
      <c r="E672" s="23" t="inlineStr">
        <is>
          <t>Present Perfect: значение — недавно завершённое действие (just)</t>
        </is>
      </c>
      <c r="F672" s="26" t="inlineStr">
        <is>
          <t>новое</t>
        </is>
      </c>
      <c r="G672" s="9" t="inlineStr"/>
      <c r="H672" s="25" t="inlineStr">
        <is>
          <t>10+</t>
        </is>
      </c>
      <c r="I672" s="9">
        <f>IFERROR(INDEX('Темы × классы'!$R:$R,MATCH(E672,'Темы × классы'!$E:$E,0)),"")</f>
        <v/>
      </c>
      <c r="J672" s="9">
        <f>IFERROR(INDEX('Темы × классы'!$S:$S,MATCH(E672,'Темы × классы'!$E:$E,0))&amp;"","")</f>
        <v/>
      </c>
      <c r="K672" s="9" t="inlineStr">
        <is>
          <t>не начат</t>
        </is>
      </c>
      <c r="L672" s="9" t="inlineStr">
        <is>
          <t>Spotlight / 8 класс / Module 2 · Food &amp; Shopping / Present Perfect / Present Perfect: значение — недавно завершённое действие (just)</t>
        </is>
      </c>
    </row>
    <row r="673">
      <c r="A673" s="25" t="n">
        <v>8</v>
      </c>
      <c r="B673" s="9" t="inlineStr">
        <is>
          <t>Module 2 · Food &amp; Shopping</t>
        </is>
      </c>
      <c r="C673" s="9" t="inlineStr">
        <is>
          <t>2c</t>
        </is>
      </c>
      <c r="D673" s="9" t="inlineStr">
        <is>
          <t>Present Perfect</t>
        </is>
      </c>
      <c r="E673" s="23" t="inlineStr">
        <is>
          <t>Present Perfect: значение — с прошлого до настоящего (stative verbs, for/since)</t>
        </is>
      </c>
      <c r="F673" s="25" t="inlineStr">
        <is>
          <t>повторение</t>
        </is>
      </c>
      <c r="G673" s="9" t="inlineStr">
        <is>
          <t>в основном stative verbs</t>
        </is>
      </c>
      <c r="H673" s="25" t="inlineStr">
        <is>
          <t>10+</t>
        </is>
      </c>
      <c r="I673" s="9">
        <f>IFERROR(INDEX('Темы × классы'!$R:$R,MATCH(E673,'Темы × классы'!$E:$E,0)),"")</f>
        <v/>
      </c>
      <c r="J673" s="9">
        <f>IFERROR(INDEX('Темы × классы'!$S:$S,MATCH(E673,'Темы × классы'!$E:$E,0))&amp;"","")</f>
        <v/>
      </c>
      <c r="K673" s="9" t="inlineStr">
        <is>
          <t>не начат</t>
        </is>
      </c>
      <c r="L673" s="9" t="inlineStr">
        <is>
          <t>Spotlight / 8 класс / Module 2 · Food &amp; Shopping / Present Perfect / Present Perfect: значение — с прошлого до настоящего (stative verbs, for/since)</t>
        </is>
      </c>
    </row>
    <row r="674">
      <c r="A674" s="25" t="n">
        <v>8</v>
      </c>
      <c r="B674" s="9" t="inlineStr">
        <is>
          <t>Module 2 · Food &amp; Shopping</t>
        </is>
      </c>
      <c r="C674" s="9" t="inlineStr">
        <is>
          <t>2c</t>
        </is>
      </c>
      <c r="D674" s="9" t="inlineStr">
        <is>
          <t>Present Perfect</t>
        </is>
      </c>
      <c r="E674" s="23" t="inlineStr">
        <is>
          <t>Present Perfect: значение — незаконченный период (today, this week, so far)</t>
        </is>
      </c>
      <c r="F674" s="26" t="inlineStr">
        <is>
          <t>новое</t>
        </is>
      </c>
      <c r="G674" s="9" t="inlineStr">
        <is>
          <t>today, this morning/week, so far</t>
        </is>
      </c>
      <c r="H674" s="25" t="inlineStr">
        <is>
          <t>10+</t>
        </is>
      </c>
      <c r="I674" s="9">
        <f>IFERROR(INDEX('Темы × классы'!$R:$R,MATCH(E674,'Темы × классы'!$E:$E,0)),"")</f>
        <v/>
      </c>
      <c r="J674" s="9">
        <f>IFERROR(INDEX('Темы × классы'!$S:$S,MATCH(E674,'Темы × классы'!$E:$E,0))&amp;"","")</f>
        <v/>
      </c>
      <c r="K674" s="9" t="inlineStr">
        <is>
          <t>не начат</t>
        </is>
      </c>
      <c r="L674" s="9" t="inlineStr">
        <is>
          <t>Spotlight / 8 класс / Module 2 · Food &amp; Shopping / Present Perfect / Present Perfect: значение — незаконченный период (today, this week, so far)</t>
        </is>
      </c>
    </row>
    <row r="675">
      <c r="A675" s="25" t="n">
        <v>8</v>
      </c>
      <c r="B675" s="9" t="inlineStr">
        <is>
          <t>Module 2 · Food &amp; Shopping</t>
        </is>
      </c>
      <c r="C675" s="9" t="inlineStr">
        <is>
          <t>2c</t>
        </is>
      </c>
      <c r="D675" s="9" t="inlineStr">
        <is>
          <t>Present Perfect</t>
        </is>
      </c>
      <c r="E675" s="23" t="inlineStr">
        <is>
          <t>Present Perfect: слова-маркеры already / yet / just / ever / never</t>
        </is>
      </c>
      <c r="F675" s="25" t="inlineStr">
        <is>
          <t>повторение</t>
        </is>
      </c>
      <c r="G675" s="9" t="inlineStr">
        <is>
          <t>just, already, yet, ever, never, for, since</t>
        </is>
      </c>
      <c r="H675" s="25" t="inlineStr">
        <is>
          <t>10+</t>
        </is>
      </c>
      <c r="I675" s="9">
        <f>IFERROR(INDEX('Темы × классы'!$R:$R,MATCH(E675,'Темы × классы'!$E:$E,0)),"")</f>
        <v/>
      </c>
      <c r="J675" s="9">
        <f>IFERROR(INDEX('Темы × классы'!$S:$S,MATCH(E675,'Темы × классы'!$E:$E,0))&amp;"","")</f>
        <v/>
      </c>
      <c r="K675" s="9" t="inlineStr">
        <is>
          <t>не начат</t>
        </is>
      </c>
      <c r="L675" s="9" t="inlineStr">
        <is>
          <t>Spotlight / 8 класс / Module 2 · Food &amp; Shopping / Present Perfect / Present Perfect: слова-маркеры already / yet / just / ever / never</t>
        </is>
      </c>
    </row>
    <row r="676">
      <c r="A676" s="25" t="n">
        <v>8</v>
      </c>
      <c r="B676" s="9" t="inlineStr">
        <is>
          <t>Module 2 · Food &amp; Shopping</t>
        </is>
      </c>
      <c r="C676" s="9" t="inlineStr">
        <is>
          <t>2c</t>
        </is>
      </c>
      <c r="D676" s="9" t="inlineStr">
        <is>
          <t>Present Perfect Continuous</t>
        </is>
      </c>
      <c r="E676" s="23" t="inlineStr">
        <is>
          <t>Present Perfect Continuous: образование (have/has been + V-ing)</t>
        </is>
      </c>
      <c r="F676" s="26" t="inlineStr">
        <is>
          <t>новое</t>
        </is>
      </c>
      <c r="G676" s="9" t="inlineStr">
        <is>
          <t>have/has + been + V-ing</t>
        </is>
      </c>
      <c r="H676" s="25" t="inlineStr">
        <is>
          <t>10+</t>
        </is>
      </c>
      <c r="I676" s="9">
        <f>IFERROR(INDEX('Темы × классы'!$R:$R,MATCH(E676,'Темы × классы'!$E:$E,0)),"")</f>
        <v/>
      </c>
      <c r="J676" s="9">
        <f>IFERROR(INDEX('Темы × классы'!$S:$S,MATCH(E676,'Темы × классы'!$E:$E,0))&amp;"","")</f>
        <v/>
      </c>
      <c r="K676" s="9" t="inlineStr">
        <is>
          <t>не начат</t>
        </is>
      </c>
      <c r="L676" s="9" t="inlineStr">
        <is>
          <t>Spotlight / 8 класс / Module 2 · Food &amp; Shopping / Present Perfect Continuous / Present Perfect Continuous: образование (have/has been + V-ing)</t>
        </is>
      </c>
    </row>
    <row r="677">
      <c r="A677" s="25" t="n">
        <v>8</v>
      </c>
      <c r="B677" s="9" t="inlineStr">
        <is>
          <t>Module 2 · Food &amp; Shopping</t>
        </is>
      </c>
      <c r="C677" s="9" t="inlineStr">
        <is>
          <t>2c</t>
        </is>
      </c>
      <c r="D677" s="9" t="inlineStr">
        <is>
          <t>Present Perfect Continuous</t>
        </is>
      </c>
      <c r="E677" s="23" t="inlineStr">
        <is>
          <t>Present Perfect Continuous: значение — длительность до настоящего (since/for/how long)</t>
        </is>
      </c>
      <c r="F677" s="25" t="inlineStr">
        <is>
          <t>повторение</t>
        </is>
      </c>
      <c r="G677" s="9" t="inlineStr">
        <is>
          <t>since, for, how long</t>
        </is>
      </c>
      <c r="H677" s="25" t="inlineStr">
        <is>
          <t>10+</t>
        </is>
      </c>
      <c r="I677" s="9">
        <f>IFERROR(INDEX('Темы × классы'!$R:$R,MATCH(E677,'Темы × классы'!$E:$E,0)),"")</f>
        <v/>
      </c>
      <c r="J677" s="9">
        <f>IFERROR(INDEX('Темы × классы'!$S:$S,MATCH(E677,'Темы × классы'!$E:$E,0))&amp;"","")</f>
        <v/>
      </c>
      <c r="K677" s="9" t="inlineStr">
        <is>
          <t>не начат</t>
        </is>
      </c>
      <c r="L677" s="9" t="inlineStr">
        <is>
          <t>Spotlight / 8 класс / Module 2 · Food &amp; Shopping / Present Perfect Continuous / Present Perfect Continuous: значение — длительность до настоящего (since/for/how long)</t>
        </is>
      </c>
    </row>
    <row r="678">
      <c r="A678" s="25" t="n">
        <v>8</v>
      </c>
      <c r="B678" s="9" t="inlineStr">
        <is>
          <t>Module 2 · Food &amp; Shopping</t>
        </is>
      </c>
      <c r="C678" s="9" t="inlineStr">
        <is>
          <t>2c</t>
        </is>
      </c>
      <c r="D678" s="9" t="inlineStr">
        <is>
          <t>Present Perfect Continuous</t>
        </is>
      </c>
      <c r="E678" s="23" t="inlineStr">
        <is>
          <t>Present Perfect Continuous: значение — видимый результат длительного действия</t>
        </is>
      </c>
      <c r="F678" s="25" t="inlineStr">
        <is>
          <t>повторение</t>
        </is>
      </c>
      <c r="G678" s="9" t="inlineStr">
        <is>
          <t>clothes are dirty — repairing his car</t>
        </is>
      </c>
      <c r="H678" s="25" t="inlineStr">
        <is>
          <t>10+</t>
        </is>
      </c>
      <c r="I678" s="9">
        <f>IFERROR(INDEX('Темы × классы'!$R:$R,MATCH(E678,'Темы × классы'!$E:$E,0)),"")</f>
        <v/>
      </c>
      <c r="J678" s="9">
        <f>IFERROR(INDEX('Темы × классы'!$S:$S,MATCH(E678,'Темы × классы'!$E:$E,0))&amp;"","")</f>
        <v/>
      </c>
      <c r="K678" s="9" t="inlineStr">
        <is>
          <t>не начат</t>
        </is>
      </c>
      <c r="L678" s="9" t="inlineStr">
        <is>
          <t>Spotlight / 8 класс / Module 2 · Food &amp; Shopping / Present Perfect Continuous / Present Perfect Continuous: значение — видимый результат длительного действия</t>
        </is>
      </c>
    </row>
    <row r="679">
      <c r="A679" s="25" t="n">
        <v>8</v>
      </c>
      <c r="B679" s="9" t="inlineStr">
        <is>
          <t>Module 2 · Food &amp; Shopping</t>
        </is>
      </c>
      <c r="C679" s="9" t="inlineStr">
        <is>
          <t>2c</t>
        </is>
      </c>
      <c r="D679" s="9" t="inlineStr">
        <is>
          <t>Present Perfect vs Past Simple</t>
        </is>
      </c>
      <c r="E679" s="23" t="inlineStr">
        <is>
          <t>Present Perfect vs Past Simple: указанное время vs неуказанное время</t>
        </is>
      </c>
      <c r="F679" s="25" t="inlineStr">
        <is>
          <t>повторение</t>
        </is>
      </c>
      <c r="G679" s="9" t="inlineStr">
        <is>
          <t>Chris went jogging yesterday vs They have bought a new car</t>
        </is>
      </c>
      <c r="H679" s="25" t="inlineStr">
        <is>
          <t>10+</t>
        </is>
      </c>
      <c r="I679" s="9">
        <f>IFERROR(INDEX('Темы × классы'!$R:$R,MATCH(E679,'Темы × классы'!$E:$E,0)),"")</f>
        <v/>
      </c>
      <c r="J679" s="9">
        <f>IFERROR(INDEX('Темы × классы'!$S:$S,MATCH(E679,'Темы × классы'!$E:$E,0))&amp;"","")</f>
        <v/>
      </c>
      <c r="K679" s="9" t="inlineStr">
        <is>
          <t>не начат</t>
        </is>
      </c>
      <c r="L679" s="9" t="inlineStr">
        <is>
          <t>Spotlight / 8 класс / Module 2 · Food &amp; Shopping / Present Perfect vs Past Simple / Present Perfect vs Past Simple: указанное время vs неуказанное время</t>
        </is>
      </c>
    </row>
    <row r="680">
      <c r="A680" s="25" t="n">
        <v>8</v>
      </c>
      <c r="B680" s="9" t="inlineStr">
        <is>
          <t>Module 2 · Food &amp; Shopping</t>
        </is>
      </c>
      <c r="C680" s="9" t="inlineStr">
        <is>
          <t>2c</t>
        </is>
      </c>
      <c r="D680" s="9" t="inlineStr">
        <is>
          <t>Present Perfect vs Past Simple</t>
        </is>
      </c>
      <c r="E680" s="23" t="inlineStr">
        <is>
          <t>Present Perfect vs Past Simple: закончилось в прошлом vs длится до сих пор</t>
        </is>
      </c>
      <c r="F680" s="25" t="inlineStr">
        <is>
          <t>повторение</t>
        </is>
      </c>
      <c r="G680" s="9" t="inlineStr">
        <is>
          <t>finished in an hour vs has lived here for ten years</t>
        </is>
      </c>
      <c r="H680" s="25" t="inlineStr">
        <is>
          <t>10+</t>
        </is>
      </c>
      <c r="I680" s="9">
        <f>IFERROR(INDEX('Темы × классы'!$R:$R,MATCH(E680,'Темы × классы'!$E:$E,0)),"")</f>
        <v/>
      </c>
      <c r="J680" s="9">
        <f>IFERROR(INDEX('Темы × классы'!$S:$S,MATCH(E680,'Темы × классы'!$E:$E,0))&amp;"","")</f>
        <v/>
      </c>
      <c r="K680" s="9" t="inlineStr">
        <is>
          <t>не начат</t>
        </is>
      </c>
      <c r="L680" s="9" t="inlineStr">
        <is>
          <t>Spotlight / 8 класс / Module 2 · Food &amp; Shopping / Present Perfect vs Past Simple / Present Perfect vs Past Simple: закончилось в прошлом vs длится до сих пор</t>
        </is>
      </c>
    </row>
    <row r="681">
      <c r="A681" s="25" t="n">
        <v>8</v>
      </c>
      <c r="B681" s="9" t="inlineStr">
        <is>
          <t>Module 2 · Food &amp; Shopping</t>
        </is>
      </c>
      <c r="C681" s="9" t="inlineStr">
        <is>
          <t>2c</t>
        </is>
      </c>
      <c r="D681" s="9" t="inlineStr">
        <is>
          <t>have gone to / have been to / have been in</t>
        </is>
      </c>
      <c r="E681" s="23" t="inlineStr">
        <is>
          <t>have gone to vs have been to: уехал и не вернулся vs побывал</t>
        </is>
      </c>
      <c r="F681" s="26" t="inlineStr">
        <is>
          <t>новое</t>
        </is>
      </c>
      <c r="G681" s="9" t="inlineStr"/>
      <c r="H681" s="25" t="inlineStr">
        <is>
          <t>10+</t>
        </is>
      </c>
      <c r="I681" s="9">
        <f>IFERROR(INDEX('Темы × классы'!$R:$R,MATCH(E681,'Темы × классы'!$E:$E,0)),"")</f>
        <v/>
      </c>
      <c r="J681" s="9">
        <f>IFERROR(INDEX('Темы × классы'!$S:$S,MATCH(E681,'Темы × классы'!$E:$E,0))&amp;"","")</f>
        <v/>
      </c>
      <c r="K681" s="9" t="inlineStr">
        <is>
          <t>не начат</t>
        </is>
      </c>
      <c r="L681" s="9" t="inlineStr">
        <is>
          <t>Spotlight / 8 класс / Module 2 · Food &amp; Shopping / have gone to / have been to / have been in / have gone to vs have been to: уехал и не вернулся vs побывал</t>
        </is>
      </c>
    </row>
    <row r="682">
      <c r="A682" s="25" t="n">
        <v>8</v>
      </c>
      <c r="B682" s="9" t="inlineStr">
        <is>
          <t>Module 2 · Food &amp; Shopping</t>
        </is>
      </c>
      <c r="C682" s="9" t="inlineStr">
        <is>
          <t>2c</t>
        </is>
      </c>
      <c r="D682" s="9" t="inlineStr">
        <is>
          <t>have gone to / have been to / have been in</t>
        </is>
      </c>
      <c r="E682" s="23" t="inlineStr">
        <is>
          <t>have been in: находится там (в течение периода)</t>
        </is>
      </c>
      <c r="F682" s="26" t="inlineStr">
        <is>
          <t>новое</t>
        </is>
      </c>
      <c r="G682" s="9" t="inlineStr"/>
      <c r="H682" s="25" t="inlineStr">
        <is>
          <t>10+</t>
        </is>
      </c>
      <c r="I682" s="9">
        <f>IFERROR(INDEX('Темы × классы'!$R:$R,MATCH(E682,'Темы × классы'!$E:$E,0)),"")</f>
        <v/>
      </c>
      <c r="J682" s="9">
        <f>IFERROR(INDEX('Темы × классы'!$S:$S,MATCH(E682,'Темы × классы'!$E:$E,0))&amp;"","")</f>
        <v/>
      </c>
      <c r="K682" s="9" t="inlineStr">
        <is>
          <t>не начат</t>
        </is>
      </c>
      <c r="L682" s="9" t="inlineStr">
        <is>
          <t>Spotlight / 8 класс / Module 2 · Food &amp; Shopping / have gone to / have been to / have been in / have been in: находится там (в течение периода)</t>
        </is>
      </c>
    </row>
    <row r="683">
      <c r="A683" s="25" t="n">
        <v>8</v>
      </c>
      <c r="B683" s="9" t="inlineStr">
        <is>
          <t>Module 2 · Food &amp; Shopping</t>
        </is>
      </c>
      <c r="C683" s="9" t="inlineStr">
        <is>
          <t>2d</t>
        </is>
      </c>
      <c r="D683" s="9" t="inlineStr">
        <is>
          <t>Countable / Uncountable nouns</t>
        </is>
      </c>
      <c r="E683" s="23" t="inlineStr">
        <is>
          <t>Countable / Uncountable: различие исчисляемых и неисчисляемых</t>
        </is>
      </c>
      <c r="F683" s="25" t="inlineStr">
        <is>
          <t>повторение</t>
        </is>
      </c>
      <c r="G683" s="9" t="inlineStr">
        <is>
          <t>1 child, 2 children / sugar, heat</t>
        </is>
      </c>
      <c r="H683" s="25" t="inlineStr">
        <is>
          <t>10+</t>
        </is>
      </c>
      <c r="I683" s="9">
        <f>IFERROR(INDEX('Темы × классы'!$R:$R,MATCH(E683,'Темы × классы'!$E:$E,0)),"")</f>
        <v/>
      </c>
      <c r="J683" s="9">
        <f>IFERROR(INDEX('Темы × классы'!$S:$S,MATCH(E683,'Темы × классы'!$E:$E,0))&amp;"","")</f>
        <v/>
      </c>
      <c r="K683" s="9" t="inlineStr">
        <is>
          <t>не начат</t>
        </is>
      </c>
      <c r="L683" s="9" t="inlineStr">
        <is>
          <t>Spotlight / 8 класс / Module 2 · Food &amp; Shopping / Countable / Uncountable nouns / Countable / Uncountable: различие исчисляемых и неисчисляемых</t>
        </is>
      </c>
    </row>
    <row r="684">
      <c r="A684" s="25" t="n">
        <v>8</v>
      </c>
      <c r="B684" s="9" t="inlineStr">
        <is>
          <t>Module 2 · Food &amp; Shopping</t>
        </is>
      </c>
      <c r="C684" s="9" t="inlineStr">
        <is>
          <t>2d</t>
        </is>
      </c>
      <c r="D684" s="9" t="inlineStr">
        <is>
          <t>Countable / Uncountable nouns</t>
        </is>
      </c>
      <c r="E684" s="23" t="inlineStr">
        <is>
          <t>Countable / Uncountable: неисчисляемые — еда и жидкости</t>
        </is>
      </c>
      <c r="F684" s="27" t="inlineStr">
        <is>
          <t>расширение</t>
        </is>
      </c>
      <c r="G684" s="9" t="inlineStr">
        <is>
          <t>вещества: lemonade, blood, butter, oxygen</t>
        </is>
      </c>
      <c r="H684" s="25" t="inlineStr">
        <is>
          <t>10+</t>
        </is>
      </c>
      <c r="I684" s="9">
        <f>IFERROR(INDEX('Темы × классы'!$R:$R,MATCH(E684,'Темы × классы'!$E:$E,0)),"")</f>
        <v/>
      </c>
      <c r="J684" s="9">
        <f>IFERROR(INDEX('Темы × классы'!$S:$S,MATCH(E684,'Темы × классы'!$E:$E,0))&amp;"","")</f>
        <v/>
      </c>
      <c r="K684" s="9" t="inlineStr">
        <is>
          <t>не начат</t>
        </is>
      </c>
      <c r="L684" s="9" t="inlineStr">
        <is>
          <t>Spotlight / 8 класс / Module 2 · Food &amp; Shopping / Countable / Uncountable nouns / Countable / Uncountable: неисчисляемые — еда и жидкости</t>
        </is>
      </c>
    </row>
    <row r="685">
      <c r="A685" s="25" t="n">
        <v>8</v>
      </c>
      <c r="B685" s="9" t="inlineStr">
        <is>
          <t>Module 2 · Food &amp; Shopping</t>
        </is>
      </c>
      <c r="C685" s="9" t="inlineStr">
        <is>
          <t>2d</t>
        </is>
      </c>
      <c r="D685" s="9" t="inlineStr">
        <is>
          <t>Countable / Uncountable nouns</t>
        </is>
      </c>
      <c r="E685" s="23" t="inlineStr">
        <is>
          <t>Countable / Uncountable: неисчисляемые без a/an, глагол в ед. ч.</t>
        </is>
      </c>
      <c r="F685" s="26" t="inlineStr">
        <is>
          <t>новое</t>
        </is>
      </c>
      <c r="G685" s="9" t="inlineStr"/>
      <c r="H685" s="25" t="inlineStr">
        <is>
          <t>10+</t>
        </is>
      </c>
      <c r="I685" s="9">
        <f>IFERROR(INDEX('Темы × классы'!$R:$R,MATCH(E685,'Темы × классы'!$E:$E,0)),"")</f>
        <v/>
      </c>
      <c r="J685" s="9">
        <f>IFERROR(INDEX('Темы × классы'!$S:$S,MATCH(E685,'Темы × классы'!$E:$E,0))&amp;"","")</f>
        <v/>
      </c>
      <c r="K685" s="9" t="inlineStr">
        <is>
          <t>не начат</t>
        </is>
      </c>
      <c r="L685" s="9" t="inlineStr">
        <is>
          <t>Spotlight / 8 класс / Module 2 · Food &amp; Shopping / Countable / Uncountable nouns / Countable / Uncountable: неисчисляемые без a/an, глагол в ед. ч.</t>
        </is>
      </c>
    </row>
    <row r="686">
      <c r="A686" s="25" t="n">
        <v>8</v>
      </c>
      <c r="B686" s="9" t="inlineStr">
        <is>
          <t>Module 2 · Food &amp; Shopping</t>
        </is>
      </c>
      <c r="C686" s="9" t="inlineStr">
        <is>
          <t>2d</t>
        </is>
      </c>
      <c r="D686" s="9" t="inlineStr">
        <is>
          <t>Countable / Uncountable nouns</t>
        </is>
      </c>
      <c r="E686" s="23" t="inlineStr">
        <is>
          <t>Countable / Uncountable: группы неисчисляемых — предметы, языки, игры, болезни, явления природы</t>
        </is>
      </c>
      <c r="F686" s="26" t="inlineStr">
        <is>
          <t>новое</t>
        </is>
      </c>
      <c r="G686" s="9" t="inlineStr">
        <is>
          <t>maths, chemistry; языки; baseball, darts; flu, measles; fog, snow</t>
        </is>
      </c>
      <c r="H686" s="25" t="inlineStr">
        <is>
          <t>10+</t>
        </is>
      </c>
      <c r="I686" s="9">
        <f>IFERROR(INDEX('Темы × классы'!$R:$R,MATCH(E686,'Темы × классы'!$E:$E,0)),"")</f>
        <v/>
      </c>
      <c r="J686" s="9">
        <f>IFERROR(INDEX('Темы × классы'!$S:$S,MATCH(E686,'Темы × классы'!$E:$E,0))&amp;"","")</f>
        <v/>
      </c>
      <c r="K686" s="9" t="inlineStr">
        <is>
          <t>не начат</t>
        </is>
      </c>
      <c r="L686" s="9" t="inlineStr">
        <is>
          <t>Spotlight / 8 класс / Module 2 · Food &amp; Shopping / Countable / Uncountable nouns / Countable / Uncountable: группы неисчисляемых — предметы, языки, игры, болезни, явления природы</t>
        </is>
      </c>
    </row>
    <row r="687">
      <c r="A687" s="25" t="n">
        <v>8</v>
      </c>
      <c r="B687" s="9" t="inlineStr">
        <is>
          <t>Module 2 · Food &amp; Shopping</t>
        </is>
      </c>
      <c r="C687" s="9" t="inlineStr">
        <is>
          <t>2d</t>
        </is>
      </c>
      <c r="D687" s="9" t="inlineStr">
        <is>
          <t>Countable / Uncountable nouns</t>
        </is>
      </c>
      <c r="E687" s="23" t="inlineStr">
        <is>
          <t>Countable / Uncountable: «ловушки» — advice, information, news, furniture, luggage, money</t>
        </is>
      </c>
      <c r="F687" s="26" t="inlineStr">
        <is>
          <t>новое</t>
        </is>
      </c>
      <c r="G687" s="9" t="inlineStr">
        <is>
          <t>advice, knowledge, progress, information, news, work; baggage, furniture, luggage, money…</t>
        </is>
      </c>
      <c r="H687" s="25" t="inlineStr">
        <is>
          <t>10+</t>
        </is>
      </c>
      <c r="I687" s="9">
        <f>IFERROR(INDEX('Темы × классы'!$R:$R,MATCH(E687,'Темы × классы'!$E:$E,0)),"")</f>
        <v/>
      </c>
      <c r="J687" s="9">
        <f>IFERROR(INDEX('Темы × классы'!$S:$S,MATCH(E687,'Темы × классы'!$E:$E,0))&amp;"","")</f>
        <v/>
      </c>
      <c r="K687" s="9" t="inlineStr">
        <is>
          <t>не начат</t>
        </is>
      </c>
      <c r="L687" s="9" t="inlineStr">
        <is>
          <t>Spotlight / 8 класс / Module 2 · Food &amp; Shopping / Countable / Uncountable nouns / Countable / Uncountable: «ловушки» — advice, information, news, furniture, luggage, money</t>
        </is>
      </c>
    </row>
    <row r="688">
      <c r="A688" s="25" t="n">
        <v>8</v>
      </c>
      <c r="B688" s="9" t="inlineStr">
        <is>
          <t>Module 2 · Food &amp; Shopping</t>
        </is>
      </c>
      <c r="C688" s="9" t="inlineStr">
        <is>
          <t>2b</t>
        </is>
      </c>
      <c r="D688" s="9" t="inlineStr">
        <is>
          <t>Articles (a/an/the/zero)</t>
        </is>
      </c>
      <c r="E688" s="23" t="inlineStr">
        <is>
          <t>Articles: a/an — первое упоминание, значение «один»</t>
        </is>
      </c>
      <c r="F688" s="25" t="inlineStr">
        <is>
          <t>повторение</t>
        </is>
      </c>
      <c r="G688" s="9" t="inlineStr">
        <is>
          <t>неизвестное/неупомянутое ранее</t>
        </is>
      </c>
      <c r="H688" s="25" t="inlineStr">
        <is>
          <t>10+</t>
        </is>
      </c>
      <c r="I688" s="9">
        <f>IFERROR(INDEX('Темы × классы'!$R:$R,MATCH(E688,'Темы × классы'!$E:$E,0)),"")</f>
        <v/>
      </c>
      <c r="J688" s="9">
        <f>IFERROR(INDEX('Темы × классы'!$S:$S,MATCH(E688,'Темы × классы'!$E:$E,0))&amp;"","")</f>
        <v/>
      </c>
      <c r="K688" s="9" t="inlineStr">
        <is>
          <t>не начат</t>
        </is>
      </c>
      <c r="L688" s="9" t="inlineStr">
        <is>
          <t>Spotlight / 8 класс / Module 2 · Food &amp; Shopping / Articles (a/an/the/zero) / Articles: a/an — первое упоминание, значение «один»</t>
        </is>
      </c>
    </row>
    <row r="689">
      <c r="A689" s="25" t="n">
        <v>8</v>
      </c>
      <c r="B689" s="9" t="inlineStr">
        <is>
          <t>Module 2 · Food &amp; Shopping</t>
        </is>
      </c>
      <c r="C689" s="9" t="inlineStr">
        <is>
          <t>2b</t>
        </is>
      </c>
      <c r="D689" s="9" t="inlineStr">
        <is>
          <t>Articles (a/an/the/zero)</t>
        </is>
      </c>
      <c r="E689" s="23" t="inlineStr">
        <is>
          <t>Articles: the — известный, упомянутый ранее предмет</t>
        </is>
      </c>
      <c r="F689" s="27" t="inlineStr">
        <is>
          <t>расширение</t>
        </is>
      </c>
      <c r="G689" s="9" t="inlineStr">
        <is>
          <t>добавлено: ясно из контекста; ед./мн., исч./неисч.</t>
        </is>
      </c>
      <c r="H689" s="25" t="inlineStr">
        <is>
          <t>10+</t>
        </is>
      </c>
      <c r="I689" s="9">
        <f>IFERROR(INDEX('Темы × классы'!$R:$R,MATCH(E689,'Темы × классы'!$E:$E,0)),"")</f>
        <v/>
      </c>
      <c r="J689" s="9">
        <f>IFERROR(INDEX('Темы × классы'!$S:$S,MATCH(E689,'Темы × классы'!$E:$E,0))&amp;"","")</f>
        <v/>
      </c>
      <c r="K689" s="9" t="inlineStr">
        <is>
          <t>не начат</t>
        </is>
      </c>
      <c r="L689" s="9" t="inlineStr">
        <is>
          <t>Spotlight / 8 класс / Module 2 · Food &amp; Shopping / Articles (a/an/the/zero) / Articles: the — известный, упомянутый ранее предмет</t>
        </is>
      </c>
    </row>
    <row r="690">
      <c r="A690" s="25" t="n">
        <v>8</v>
      </c>
      <c r="B690" s="9" t="inlineStr">
        <is>
          <t>Module 2 · Food &amp; Shopping</t>
        </is>
      </c>
      <c r="C690" s="9" t="inlineStr">
        <is>
          <t>2b</t>
        </is>
      </c>
      <c r="D690" s="9" t="inlineStr">
        <is>
          <t>Articles (a/an/the/zero)</t>
        </is>
      </c>
      <c r="E690" s="23" t="inlineStr">
        <is>
          <t>Articles: нулевой артикль — мн. ч. и неисчисляемые в общем значении</t>
        </is>
      </c>
      <c r="F690" s="25" t="inlineStr">
        <is>
          <t>повторение</t>
        </is>
      </c>
      <c r="G690" s="9" t="inlineStr">
        <is>
          <t>the не с мн. ч. в значении группы вообще</t>
        </is>
      </c>
      <c r="H690" s="25" t="inlineStr">
        <is>
          <t>10+</t>
        </is>
      </c>
      <c r="I690" s="9">
        <f>IFERROR(INDEX('Темы × классы'!$R:$R,MATCH(E690,'Темы × классы'!$E:$E,0)),"")</f>
        <v/>
      </c>
      <c r="J690" s="9">
        <f>IFERROR(INDEX('Темы × классы'!$S:$S,MATCH(E690,'Темы × классы'!$E:$E,0))&amp;"","")</f>
        <v/>
      </c>
      <c r="K690" s="9" t="inlineStr">
        <is>
          <t>не начат</t>
        </is>
      </c>
      <c r="L690" s="9" t="inlineStr">
        <is>
          <t>Spotlight / 8 класс / Module 2 · Food &amp; Shopping / Articles (a/an/the/zero) / Articles: нулевой артикль — мн. ч. и неисчисляемые в общем значении</t>
        </is>
      </c>
    </row>
    <row r="691">
      <c r="A691" s="25" t="n">
        <v>8</v>
      </c>
      <c r="B691" s="9" t="inlineStr">
        <is>
          <t>Module 2 · Food &amp; Shopping</t>
        </is>
      </c>
      <c r="C691" s="9" t="inlineStr">
        <is>
          <t>2b</t>
        </is>
      </c>
      <c r="D691" s="9" t="inlineStr">
        <is>
          <t>Articles (a/an/the/zero)</t>
        </is>
      </c>
      <c r="E691" s="23" t="inlineStr">
        <is>
          <t>Articles: a/an = per; деньги, дроби, меры, частота, скорость</t>
        </is>
      </c>
      <c r="F691" s="26" t="inlineStr">
        <is>
          <t>новое</t>
        </is>
      </c>
      <c r="G691" s="9" t="inlineStr">
        <is>
          <t>three times a day, a pound, a third, 60 km an hour</t>
        </is>
      </c>
      <c r="H691" s="25" t="inlineStr">
        <is>
          <t>10+</t>
        </is>
      </c>
      <c r="I691" s="9">
        <f>IFERROR(INDEX('Темы × классы'!$R:$R,MATCH(E691,'Темы × классы'!$E:$E,0)),"")</f>
        <v/>
      </c>
      <c r="J691" s="9">
        <f>IFERROR(INDEX('Темы × классы'!$S:$S,MATCH(E691,'Темы × классы'!$E:$E,0))&amp;"","")</f>
        <v/>
      </c>
      <c r="K691" s="9" t="inlineStr">
        <is>
          <t>не начат</t>
        </is>
      </c>
      <c r="L691" s="9" t="inlineStr">
        <is>
          <t>Spotlight / 8 класс / Module 2 · Food &amp; Shopping / Articles (a/an/the/zero) / Articles: a/an = per; деньги, дроби, меры, частота, скорость</t>
        </is>
      </c>
    </row>
    <row r="692">
      <c r="A692" s="25" t="n">
        <v>8</v>
      </c>
      <c r="B692" s="9" t="inlineStr">
        <is>
          <t>Module 2 · Food &amp; Shopping</t>
        </is>
      </c>
      <c r="C692" s="9" t="inlineStr">
        <is>
          <t>2b</t>
        </is>
      </c>
      <c r="D692" s="9" t="inlineStr">
        <is>
          <t>Articles (a/an/the/zero)</t>
        </is>
      </c>
      <c r="E692" s="23" t="inlineStr">
        <is>
          <t>Articles: a/an с болезнями (a cold, но flu)</t>
        </is>
      </c>
      <c r="F692" s="26" t="inlineStr">
        <is>
          <t>новое</t>
        </is>
      </c>
      <c r="G692" s="9" t="inlineStr">
        <is>
          <t>a cold, a fever, a headache; но не flu, pneumonia, tonsillitis</t>
        </is>
      </c>
      <c r="H692" s="25" t="inlineStr">
        <is>
          <t>10+</t>
        </is>
      </c>
      <c r="I692" s="9">
        <f>IFERROR(INDEX('Темы × классы'!$R:$R,MATCH(E692,'Темы × классы'!$E:$E,0)),"")</f>
        <v/>
      </c>
      <c r="J692" s="9">
        <f>IFERROR(INDEX('Темы × классы'!$S:$S,MATCH(E692,'Темы × классы'!$E:$E,0))&amp;"","")</f>
        <v/>
      </c>
      <c r="K692" s="9" t="inlineStr">
        <is>
          <t>не начат</t>
        </is>
      </c>
      <c r="L692" s="9" t="inlineStr">
        <is>
          <t>Spotlight / 8 класс / Module 2 · Food &amp; Shopping / Articles (a/an/the/zero) / Articles: a/an с болезнями (a cold, но flu)</t>
        </is>
      </c>
    </row>
    <row r="693">
      <c r="A693" s="25" t="n">
        <v>8</v>
      </c>
      <c r="B693" s="9" t="inlineStr">
        <is>
          <t>Module 2 · Food &amp; Shopping</t>
        </is>
      </c>
      <c r="C693" s="9" t="inlineStr">
        <is>
          <t>2b</t>
        </is>
      </c>
      <c r="D693" s="9" t="inlineStr">
        <is>
          <t>Articles (a/an/the/zero)</t>
        </is>
      </c>
      <c r="E693" s="23" t="inlineStr">
        <is>
          <t>Articles: the — уникальные объекты, музыкальные инструменты, исторические события</t>
        </is>
      </c>
      <c r="F693" s="26" t="inlineStr">
        <is>
          <t>новое</t>
        </is>
      </c>
      <c r="G693" s="9" t="inlineStr">
        <is>
          <t>the moon, the sky, play the guitar</t>
        </is>
      </c>
      <c r="H693" s="25" t="inlineStr">
        <is>
          <t>10+</t>
        </is>
      </c>
      <c r="I693" s="9">
        <f>IFERROR(INDEX('Темы × классы'!$R:$R,MATCH(E693,'Темы × классы'!$E:$E,0)),"")</f>
        <v/>
      </c>
      <c r="J693" s="9">
        <f>IFERROR(INDEX('Темы × классы'!$S:$S,MATCH(E693,'Темы × классы'!$E:$E,0))&amp;"","")</f>
        <v/>
      </c>
      <c r="K693" s="9" t="inlineStr">
        <is>
          <t>не начат</t>
        </is>
      </c>
      <c r="L693" s="9" t="inlineStr">
        <is>
          <t>Spotlight / 8 класс / Module 2 · Food &amp; Shopping / Articles (a/an/the/zero) / Articles: the — уникальные объекты, музыкальные инструменты, исторические события</t>
        </is>
      </c>
    </row>
    <row r="694">
      <c r="A694" s="25" t="n">
        <v>8</v>
      </c>
      <c r="B694" s="9" t="inlineStr">
        <is>
          <t>Module 2 · Food &amp; Shopping</t>
        </is>
      </c>
      <c r="C694" s="9" t="inlineStr">
        <is>
          <t>2b</t>
        </is>
      </c>
      <c r="D694" s="9" t="inlineStr">
        <is>
          <t>Articles (a/an/the/zero)</t>
        </is>
      </c>
      <c r="E694" s="23" t="inlineStr">
        <is>
          <t>Articles: the и нулевой — географические названия</t>
        </is>
      </c>
      <c r="F694" s="26" t="inlineStr">
        <is>
          <t>новое</t>
        </is>
      </c>
      <c r="G694" s="9" t="inlineStr">
        <is>
          <t>the: реки, моря, океаны, горные цепи, группы островов, пустыни; без: страны, города, улицы, горы, острова, континенты, озёра (Lake Baikal / the Baikal)</t>
        </is>
      </c>
      <c r="H694" s="25" t="inlineStr">
        <is>
          <t>10+</t>
        </is>
      </c>
      <c r="I694" s="9">
        <f>IFERROR(INDEX('Темы × классы'!$R:$R,MATCH(E694,'Темы × классы'!$E:$E,0)),"")</f>
        <v/>
      </c>
      <c r="J694" s="9">
        <f>IFERROR(INDEX('Темы × классы'!$S:$S,MATCH(E694,'Темы × классы'!$E:$E,0))&amp;"","")</f>
        <v/>
      </c>
      <c r="K694" s="9" t="inlineStr">
        <is>
          <t>не начат</t>
        </is>
      </c>
      <c r="L694" s="9" t="inlineStr">
        <is>
          <t>Spotlight / 8 класс / Module 2 · Food &amp; Shopping / Articles (a/an/the/zero) / Articles: the и нулевой — географические названия</t>
        </is>
      </c>
    </row>
    <row r="695">
      <c r="A695" s="25" t="n">
        <v>8</v>
      </c>
      <c r="B695" s="9" t="inlineStr">
        <is>
          <t>Module 2 · Food &amp; Shopping</t>
        </is>
      </c>
      <c r="C695" s="9" t="inlineStr">
        <is>
          <t>2b</t>
        </is>
      </c>
      <c r="D695" s="9" t="inlineStr">
        <is>
          <t>Articles (a/an/the/zero)</t>
        </is>
      </c>
      <c r="E695" s="23" t="inlineStr">
        <is>
          <t>Articles: the и нулевой — театры, отели, музеи, газеты; названия с именем (Victoria Station, Harrods)</t>
        </is>
      </c>
      <c r="F695" s="26" t="inlineStr">
        <is>
          <t>новое</t>
        </is>
      </c>
      <c r="G695" s="9" t="inlineStr">
        <is>
          <t>Barclays Bank, but the Black Swan Hotel</t>
        </is>
      </c>
      <c r="H695" s="25" t="inlineStr">
        <is>
          <t>10+</t>
        </is>
      </c>
      <c r="I695" s="9">
        <f>IFERROR(INDEX('Темы × классы'!$R:$R,MATCH(E695,'Темы × классы'!$E:$E,0)),"")</f>
        <v/>
      </c>
      <c r="J695" s="9">
        <f>IFERROR(INDEX('Темы × классы'!$S:$S,MATCH(E695,'Темы × классы'!$E:$E,0))&amp;"","")</f>
        <v/>
      </c>
      <c r="K695" s="9" t="inlineStr">
        <is>
          <t>не начат</t>
        </is>
      </c>
      <c r="L695" s="9" t="inlineStr">
        <is>
          <t>Spotlight / 8 класс / Module 2 · Food &amp; Shopping / Articles (a/an/the/zero) / Articles: the и нулевой — театры, отели, музеи, газеты; названия с именем (Victoria Station, Harrods)</t>
        </is>
      </c>
    </row>
    <row r="696">
      <c r="A696" s="25" t="n">
        <v>8</v>
      </c>
      <c r="B696" s="9" t="inlineStr">
        <is>
          <t>Module 2 · Food &amp; Shopping</t>
        </is>
      </c>
      <c r="C696" s="9" t="inlineStr">
        <is>
          <t>2b</t>
        </is>
      </c>
      <c r="D696" s="9" t="inlineStr">
        <is>
          <t>Articles (a/an/the/zero)</t>
        </is>
      </c>
      <c r="E696" s="23" t="inlineStr">
        <is>
          <t>Articles: the — люди: фамилии, титулы, the + прилагательное (the rich)</t>
        </is>
      </c>
      <c r="F696" s="26" t="inlineStr">
        <is>
          <t>новое</t>
        </is>
      </c>
      <c r="G696" s="9" t="inlineStr">
        <is>
          <t>the Jacksons, the President (но King Henry VIII), the young, the poor</t>
        </is>
      </c>
      <c r="H696" s="25" t="inlineStr">
        <is>
          <t>10+</t>
        </is>
      </c>
      <c r="I696" s="9">
        <f>IFERROR(INDEX('Темы × классы'!$R:$R,MATCH(E696,'Темы × классы'!$E:$E,0)),"")</f>
        <v/>
      </c>
      <c r="J696" s="9">
        <f>IFERROR(INDEX('Темы × классы'!$S:$S,MATCH(E696,'Темы × классы'!$E:$E,0))&amp;"","")</f>
        <v/>
      </c>
      <c r="K696" s="9" t="inlineStr">
        <is>
          <t>не начат</t>
        </is>
      </c>
      <c r="L696" s="9" t="inlineStr">
        <is>
          <t>Spotlight / 8 класс / Module 2 · Food &amp; Shopping / Articles (a/an/the/zero) / Articles: the — люди: фамилии, титулы, the + прилагательное (the rich)</t>
        </is>
      </c>
    </row>
    <row r="697">
      <c r="A697" s="25" t="n">
        <v>8</v>
      </c>
      <c r="B697" s="9" t="inlineStr">
        <is>
          <t>Module 2 · Food &amp; Shopping</t>
        </is>
      </c>
      <c r="C697" s="9" t="inlineStr">
        <is>
          <t>2b</t>
        </is>
      </c>
      <c r="D697" s="9" t="inlineStr">
        <is>
          <t>Articles (a/an/the/zero)</t>
        </is>
      </c>
      <c r="E697" s="23" t="inlineStr">
        <is>
          <t>Articles: нулевой артикль — имена, спорт, дни, месяцы, праздники, цвета, напитки, еда, языки</t>
        </is>
      </c>
      <c r="F697" s="26" t="inlineStr">
        <is>
          <t>новое</t>
        </is>
      </c>
      <c r="G697" s="9" t="inlineStr"/>
      <c r="H697" s="25" t="inlineStr">
        <is>
          <t>10+</t>
        </is>
      </c>
      <c r="I697" s="9">
        <f>IFERROR(INDEX('Темы × классы'!$R:$R,MATCH(E697,'Темы × классы'!$E:$E,0)),"")</f>
        <v/>
      </c>
      <c r="J697" s="9">
        <f>IFERROR(INDEX('Темы × классы'!$S:$S,MATCH(E697,'Темы × классы'!$E:$E,0))&amp;"","")</f>
        <v/>
      </c>
      <c r="K697" s="9" t="inlineStr">
        <is>
          <t>не начат</t>
        </is>
      </c>
      <c r="L697" s="9" t="inlineStr">
        <is>
          <t>Spotlight / 8 класс / Module 2 · Food &amp; Shopping / Articles (a/an/the/zero) / Articles: нулевой артикль — имена, спорт, дни, месяцы, праздники, цвета, напитки, еда, языки</t>
        </is>
      </c>
    </row>
    <row r="698">
      <c r="A698" s="25" t="n">
        <v>8</v>
      </c>
      <c r="B698" s="9" t="inlineStr">
        <is>
          <t>Module 2 · Food &amp; Shopping</t>
        </is>
      </c>
      <c r="C698" s="9" t="inlineStr">
        <is>
          <t>2b</t>
        </is>
      </c>
      <c r="D698" s="9" t="inlineStr">
        <is>
          <t>Articles (a/an/the/zero)</t>
        </is>
      </c>
      <c r="E698" s="23" t="inlineStr">
        <is>
          <t>Articles: нулевой артикль — school, hospital, church, bed по назначению</t>
        </is>
      </c>
      <c r="F698" s="26" t="inlineStr">
        <is>
          <t>новое</t>
        </is>
      </c>
      <c r="G698" s="9" t="inlineStr"/>
      <c r="H698" s="25" t="inlineStr">
        <is>
          <t>10+</t>
        </is>
      </c>
      <c r="I698" s="9">
        <f>IFERROR(INDEX('Темы × классы'!$R:$R,MATCH(E698,'Темы × классы'!$E:$E,0)),"")</f>
        <v/>
      </c>
      <c r="J698" s="9">
        <f>IFERROR(INDEX('Темы × классы'!$S:$S,MATCH(E698,'Темы × классы'!$E:$E,0))&amp;"","")</f>
        <v/>
      </c>
      <c r="K698" s="9" t="inlineStr">
        <is>
          <t>не начат</t>
        </is>
      </c>
      <c r="L698" s="9" t="inlineStr">
        <is>
          <t>Spotlight / 8 класс / Module 2 · Food &amp; Shopping / Articles (a/an/the/zero) / Articles: нулевой артикль — school, hospital, church, bed по назначению</t>
        </is>
      </c>
    </row>
    <row r="699">
      <c r="A699" s="25" t="n">
        <v>8</v>
      </c>
      <c r="B699" s="9" t="inlineStr">
        <is>
          <t>Module 2 · Food &amp; Shopping</t>
        </is>
      </c>
      <c r="C699" s="9" t="inlineStr">
        <is>
          <t>2d</t>
        </is>
      </c>
      <c r="D699" s="9" t="inlineStr">
        <is>
          <t>Plurals (only plural / collective nouns)</t>
        </is>
      </c>
      <c r="E699" s="23" t="inlineStr">
        <is>
          <t>Plurals (only plural / collective nouns): только мн. ч. — одежда, приборы, инструменты, people, stairs</t>
        </is>
      </c>
      <c r="F699" s="26" t="inlineStr">
        <is>
          <t>новое</t>
        </is>
      </c>
      <c r="G699" s="9" t="inlineStr">
        <is>
          <t>clothes, jeans, binoculars, pliers, scissors, arms, congratulations, people, stairs, surroundings</t>
        </is>
      </c>
      <c r="H699" s="25" t="inlineStr">
        <is>
          <t>10+</t>
        </is>
      </c>
      <c r="I699" s="9">
        <f>IFERROR(INDEX('Темы × классы'!$R:$R,MATCH(E699,'Темы × классы'!$E:$E,0)),"")</f>
        <v/>
      </c>
      <c r="J699" s="9">
        <f>IFERROR(INDEX('Темы × классы'!$S:$S,MATCH(E699,'Темы × классы'!$E:$E,0))&amp;"","")</f>
        <v/>
      </c>
      <c r="K699" s="9" t="inlineStr">
        <is>
          <t>не начат</t>
        </is>
      </c>
      <c r="L699" s="9" t="inlineStr">
        <is>
          <t>Spotlight / 8 класс / Module 2 · Food &amp; Shopping / Plurals (only plural / collective nouns) / Plurals (only plural / collective nouns): только мн. ч. — одежда, приборы, инструменты, people, stairs</t>
        </is>
      </c>
    </row>
    <row r="700">
      <c r="A700" s="25" t="n">
        <v>8</v>
      </c>
      <c r="B700" s="9" t="inlineStr">
        <is>
          <t>Module 2 · Food &amp; Shopping</t>
        </is>
      </c>
      <c r="C700" s="9" t="inlineStr">
        <is>
          <t>2d</t>
        </is>
      </c>
      <c r="D700" s="9" t="inlineStr">
        <is>
          <t>Plurals (only plural / collective nouns)</t>
        </is>
      </c>
      <c r="E700" s="23" t="inlineStr">
        <is>
          <t>Plurals (only plural / collective nouns): собирательные (team, family, police) — глагол в ед. или мн. ч.</t>
        </is>
      </c>
      <c r="F700" s="26" t="inlineStr">
        <is>
          <t>новое</t>
        </is>
      </c>
      <c r="G700" s="9" t="inlineStr">
        <is>
          <t>The team were… / The team was…</t>
        </is>
      </c>
      <c r="H700" s="25" t="inlineStr">
        <is>
          <t>10+</t>
        </is>
      </c>
      <c r="I700" s="9">
        <f>IFERROR(INDEX('Темы × классы'!$R:$R,MATCH(E700,'Темы × классы'!$E:$E,0)),"")</f>
        <v/>
      </c>
      <c r="J700" s="9">
        <f>IFERROR(INDEX('Темы × классы'!$S:$S,MATCH(E700,'Темы × классы'!$E:$E,0))&amp;"","")</f>
        <v/>
      </c>
      <c r="K700" s="9" t="inlineStr">
        <is>
          <t>не начат</t>
        </is>
      </c>
      <c r="L700" s="9" t="inlineStr">
        <is>
          <t>Spotlight / 8 класс / Module 2 · Food &amp; Shopping / Plurals (only plural / collective nouns) / Plurals (only plural / collective nouns): собирательные (team, family, police) — глагол в ед. или мн. ч.</t>
        </is>
      </c>
    </row>
    <row r="701">
      <c r="A701" s="25" t="n">
        <v>8</v>
      </c>
      <c r="B701" s="9" t="inlineStr">
        <is>
          <t>Module 2 · Food &amp; Shopping</t>
        </is>
      </c>
      <c r="C701" s="9" t="inlineStr">
        <is>
          <t>2b</t>
        </is>
      </c>
      <c r="D701" s="9" t="inlineStr">
        <is>
          <t>Quantifiers</t>
        </is>
      </c>
      <c r="E701" s="23" t="inlineStr">
        <is>
          <t>Quantifiers: a few/few vs a little/little</t>
        </is>
      </c>
      <c r="F701" s="26" t="inlineStr">
        <is>
          <t>новое</t>
        </is>
      </c>
      <c r="G701" s="9" t="inlineStr">
        <is>
          <t>исч. мн. ч. / неисч.; very few, very little</t>
        </is>
      </c>
      <c r="H701" s="25" t="inlineStr">
        <is>
          <t>10+</t>
        </is>
      </c>
      <c r="I701" s="9">
        <f>IFERROR(INDEX('Темы × классы'!$R:$R,MATCH(E701,'Темы × классы'!$E:$E,0)),"")</f>
        <v/>
      </c>
      <c r="J701" s="9">
        <f>IFERROR(INDEX('Темы × классы'!$S:$S,MATCH(E701,'Темы × классы'!$E:$E,0))&amp;"","")</f>
        <v/>
      </c>
      <c r="K701" s="9" t="inlineStr">
        <is>
          <t>не начат</t>
        </is>
      </c>
      <c r="L701" s="9" t="inlineStr">
        <is>
          <t>Spotlight / 8 класс / Module 2 · Food &amp; Shopping / Quantifiers / Quantifiers: a few/few vs a little/little</t>
        </is>
      </c>
    </row>
    <row r="702">
      <c r="A702" s="25" t="n">
        <v>8</v>
      </c>
      <c r="B702" s="9" t="inlineStr">
        <is>
          <t>Module 2 · Food &amp; Shopping</t>
        </is>
      </c>
      <c r="C702" s="9" t="inlineStr">
        <is>
          <t>2b</t>
        </is>
      </c>
      <c r="D702" s="9" t="inlineStr">
        <is>
          <t>Quantifiers</t>
        </is>
      </c>
      <c r="E702" s="23" t="inlineStr">
        <is>
          <t>Quantifiers: a lot of / lots of</t>
        </is>
      </c>
      <c r="F702" s="26" t="inlineStr">
        <is>
          <t>новое</t>
        </is>
      </c>
      <c r="G702" s="9" t="inlineStr">
        <is>
          <t>исч. мн. ч. и неисч., обычно в утверждениях</t>
        </is>
      </c>
      <c r="H702" s="25" t="inlineStr">
        <is>
          <t>10+</t>
        </is>
      </c>
      <c r="I702" s="9">
        <f>IFERROR(INDEX('Темы × классы'!$R:$R,MATCH(E702,'Темы × классы'!$E:$E,0)),"")</f>
        <v/>
      </c>
      <c r="J702" s="9">
        <f>IFERROR(INDEX('Темы × классы'!$S:$S,MATCH(E702,'Темы × классы'!$E:$E,0))&amp;"","")</f>
        <v/>
      </c>
      <c r="K702" s="9" t="inlineStr">
        <is>
          <t>не начат</t>
        </is>
      </c>
      <c r="L702" s="9" t="inlineStr">
        <is>
          <t>Spotlight / 8 класс / Module 2 · Food &amp; Shopping / Quantifiers / Quantifiers: a lot of / lots of</t>
        </is>
      </c>
    </row>
    <row r="703">
      <c r="A703" s="25" t="n">
        <v>8</v>
      </c>
      <c r="B703" s="9" t="inlineStr">
        <is>
          <t>Module 2 · Food &amp; Shopping</t>
        </is>
      </c>
      <c r="C703" s="9" t="inlineStr">
        <is>
          <t>2b</t>
        </is>
      </c>
      <c r="D703" s="9" t="inlineStr">
        <is>
          <t>Quantifiers</t>
        </is>
      </c>
      <c r="E703" s="23" t="inlineStr">
        <is>
          <t>Quantifiers: much/many — отрицания и вопросы</t>
        </is>
      </c>
      <c r="F703" s="26" t="inlineStr">
        <is>
          <t>новое</t>
        </is>
      </c>
      <c r="G703" s="9" t="inlineStr"/>
      <c r="H703" s="25" t="inlineStr">
        <is>
          <t>10+</t>
        </is>
      </c>
      <c r="I703" s="9">
        <f>IFERROR(INDEX('Темы × классы'!$R:$R,MATCH(E703,'Темы × классы'!$E:$E,0)),"")</f>
        <v/>
      </c>
      <c r="J703" s="9">
        <f>IFERROR(INDEX('Темы × классы'!$S:$S,MATCH(E703,'Темы × классы'!$E:$E,0))&amp;"","")</f>
        <v/>
      </c>
      <c r="K703" s="9" t="inlineStr">
        <is>
          <t>не начат</t>
        </is>
      </c>
      <c r="L703" s="9" t="inlineStr">
        <is>
          <t>Spotlight / 8 класс / Module 2 · Food &amp; Shopping / Quantifiers / Quantifiers: much/many — отрицания и вопросы</t>
        </is>
      </c>
    </row>
    <row r="704">
      <c r="A704" s="25" t="n">
        <v>8</v>
      </c>
      <c r="B704" s="9" t="inlineStr">
        <is>
          <t>Module 2 · Food &amp; Shopping</t>
        </is>
      </c>
      <c r="C704" s="9" t="inlineStr">
        <is>
          <t>2e</t>
        </is>
      </c>
      <c r="D704" s="9" t="inlineStr">
        <is>
          <t>Adjectives (order)</t>
        </is>
      </c>
      <c r="E704" s="23" t="inlineStr">
        <is>
          <t>Adjectives (order): мнение перед объективными характеристиками</t>
        </is>
      </c>
      <c r="F704" s="25" t="inlineStr">
        <is>
          <t>повторение</t>
        </is>
      </c>
      <c r="G704" s="9" t="inlineStr">
        <is>
          <t>nice, strange; good, practical, bad</t>
        </is>
      </c>
      <c r="H704" s="25" t="inlineStr">
        <is>
          <t>10+</t>
        </is>
      </c>
      <c r="I704" s="9">
        <f>IFERROR(INDEX('Темы × классы'!$R:$R,MATCH(E704,'Темы × классы'!$E:$E,0)),"")</f>
        <v/>
      </c>
      <c r="J704" s="9">
        <f>IFERROR(INDEX('Темы × классы'!$S:$S,MATCH(E704,'Темы × классы'!$E:$E,0))&amp;"","")</f>
        <v/>
      </c>
      <c r="K704" s="9" t="inlineStr">
        <is>
          <t>не начат</t>
        </is>
      </c>
      <c r="L704" s="9" t="inlineStr">
        <is>
          <t>Spotlight / 8 класс / Module 2 · Food &amp; Shopping / Adjectives (order) / Adjectives (order): мнение перед объективными характеристиками</t>
        </is>
      </c>
    </row>
    <row r="705">
      <c r="A705" s="25" t="n">
        <v>8</v>
      </c>
      <c r="B705" s="9" t="inlineStr">
        <is>
          <t>Module 2 · Food &amp; Shopping</t>
        </is>
      </c>
      <c r="C705" s="9" t="inlineStr">
        <is>
          <t>2e</t>
        </is>
      </c>
      <c r="D705" s="9" t="inlineStr">
        <is>
          <t>Adjectives (order)</t>
        </is>
      </c>
      <c r="E705" s="23" t="inlineStr">
        <is>
          <t>Adjectives (order): размер – возраст – форма – цвет – происхождение – материал</t>
        </is>
      </c>
      <c r="F705" s="25" t="inlineStr">
        <is>
          <t>повторение</t>
        </is>
      </c>
      <c r="G705" s="9" t="inlineStr">
        <is>
          <t>huge, old, round, dark pink, Italian, leather</t>
        </is>
      </c>
      <c r="H705" s="25" t="inlineStr">
        <is>
          <t>10+</t>
        </is>
      </c>
      <c r="I705" s="9">
        <f>IFERROR(INDEX('Темы × классы'!$R:$R,MATCH(E705,'Темы × классы'!$E:$E,0)),"")</f>
        <v/>
      </c>
      <c r="J705" s="9">
        <f>IFERROR(INDEX('Темы × классы'!$S:$S,MATCH(E705,'Темы × классы'!$E:$E,0))&amp;"","")</f>
        <v/>
      </c>
      <c r="K705" s="9" t="inlineStr">
        <is>
          <t>не начат</t>
        </is>
      </c>
      <c r="L705" s="9" t="inlineStr">
        <is>
          <t>Spotlight / 8 класс / Module 2 · Food &amp; Shopping / Adjectives (order) / Adjectives (order): размер – возраст – форма – цвет – происхождение – материал</t>
        </is>
      </c>
    </row>
    <row r="706">
      <c r="A706" s="25" t="n">
        <v>8</v>
      </c>
      <c r="B706" s="9" t="inlineStr">
        <is>
          <t>Module 2 · Food &amp; Shopping</t>
        </is>
      </c>
      <c r="C706" s="9" t="inlineStr">
        <is>
          <t>2e</t>
        </is>
      </c>
      <c r="D706" s="9" t="inlineStr">
        <is>
          <t>Adjectives (order)</t>
        </is>
      </c>
      <c r="E706" s="23" t="inlineStr">
        <is>
          <t>Adjectives (order): узор (pattern) в порядке прилагательных</t>
        </is>
      </c>
      <c r="F706" s="26" t="inlineStr">
        <is>
          <t>новое</t>
        </is>
      </c>
      <c r="G706" s="9" t="inlineStr">
        <is>
          <t>striped, checked, floral — между цветом и происхождением</t>
        </is>
      </c>
      <c r="H706" s="25" t="inlineStr">
        <is>
          <t>10+</t>
        </is>
      </c>
      <c r="I706" s="9">
        <f>IFERROR(INDEX('Темы × классы'!$R:$R,MATCH(E706,'Темы × классы'!$E:$E,0)),"")</f>
        <v/>
      </c>
      <c r="J706" s="9">
        <f>IFERROR(INDEX('Темы × классы'!$S:$S,MATCH(E706,'Темы × классы'!$E:$E,0))&amp;"","")</f>
        <v/>
      </c>
      <c r="K706" s="9" t="inlineStr">
        <is>
          <t>не начат</t>
        </is>
      </c>
      <c r="L706" s="9" t="inlineStr">
        <is>
          <t>Spotlight / 8 класс / Module 2 · Food &amp; Shopping / Adjectives (order) / Adjectives (order): узор (pattern) в порядке прилагательных</t>
        </is>
      </c>
    </row>
    <row r="707">
      <c r="A707" s="25" t="n">
        <v>8</v>
      </c>
      <c r="B707" s="9" t="inlineStr">
        <is>
          <t>Module 2 · Food &amp; Shopping</t>
        </is>
      </c>
      <c r="C707" s="9" t="inlineStr">
        <is>
          <t>2f</t>
        </is>
      </c>
      <c r="D707" s="9" t="inlineStr">
        <is>
          <t>Phrasal verbs</t>
        </is>
      </c>
      <c r="E707" s="23" t="inlineStr">
        <is>
          <t>Phrasal verbs: go</t>
        </is>
      </c>
      <c r="F707" s="26" t="inlineStr">
        <is>
          <t>новое</t>
        </is>
      </c>
      <c r="G707" s="9" t="inlineStr">
        <is>
          <t>go: go after (преследовать), go down with (заболеть чем-либо), go off (выйти из строя, сломаться), go through (пережить, получить опыт), go up (повышаться, увеличиваться), go with (подходить — об одежде), go without (обходиться без; в приложении — «выживать, справляться»).</t>
        </is>
      </c>
      <c r="H707" s="25" t="inlineStr">
        <is>
          <t>10+</t>
        </is>
      </c>
      <c r="I707" s="9">
        <f>IFERROR(INDEX('Темы × классы'!$R:$R,MATCH(E707,'Темы × классы'!$E:$E,0)),"")</f>
        <v/>
      </c>
      <c r="J707" s="9">
        <f>IFERROR(INDEX('Темы × классы'!$S:$S,MATCH(E707,'Темы × классы'!$E:$E,0))&amp;"","")</f>
        <v/>
      </c>
      <c r="K707" s="9" t="inlineStr">
        <is>
          <t>не начат</t>
        </is>
      </c>
      <c r="L707" s="9" t="inlineStr">
        <is>
          <t>Spotlight / 8 класс / Module 2 · Food &amp; Shopping / Phrasal verbs / Phrasal verbs: go</t>
        </is>
      </c>
    </row>
    <row r="708">
      <c r="A708" s="25" t="n">
        <v>8</v>
      </c>
      <c r="B708" s="9" t="inlineStr">
        <is>
          <t>Module 2 · Food &amp; Shopping</t>
        </is>
      </c>
      <c r="C708" s="9" t="inlineStr">
        <is>
          <t>2f</t>
        </is>
      </c>
      <c r="D708" s="9" t="inlineStr">
        <is>
          <t>Word formation</t>
        </is>
      </c>
      <c r="E708" s="23" t="inlineStr">
        <is>
          <t>Word formation: negative adjectives</t>
        </is>
      </c>
      <c r="F708" s="26" t="inlineStr">
        <is>
          <t>новое</t>
        </is>
      </c>
      <c r="G708" s="9" t="inlineStr">
        <is>
          <t>Образование отрицательных прилагательных (forming negative adjectives).</t>
        </is>
      </c>
      <c r="H708" s="25" t="inlineStr">
        <is>
          <t>10+</t>
        </is>
      </c>
      <c r="I708" s="9">
        <f>IFERROR(INDEX('Темы × классы'!$R:$R,MATCH(E708,'Темы × классы'!$E:$E,0)),"")</f>
        <v/>
      </c>
      <c r="J708" s="9">
        <f>IFERROR(INDEX('Темы × классы'!$S:$S,MATCH(E708,'Темы × классы'!$E:$E,0))&amp;"","")</f>
        <v/>
      </c>
      <c r="K708" s="9" t="inlineStr">
        <is>
          <t>не начат</t>
        </is>
      </c>
      <c r="L708" s="9" t="inlineStr">
        <is>
          <t>Spotlight / 8 класс / Module 2 · Food &amp; Shopping / Word formation / Word formation: negative adjectives</t>
        </is>
      </c>
    </row>
    <row r="709">
      <c r="A709" s="25" t="n">
        <v>8</v>
      </c>
      <c r="B709" s="9" t="inlineStr">
        <is>
          <t>Module 2 · Food &amp; Shopping</t>
        </is>
      </c>
      <c r="C709" s="9" t="inlineStr">
        <is>
          <t>2f</t>
        </is>
      </c>
      <c r="D709" s="9" t="inlineStr">
        <is>
          <t>Dependent prepositions</t>
        </is>
      </c>
      <c r="E709" s="23" t="inlineStr">
        <is>
          <t>Dependent prepositions</t>
        </is>
      </c>
      <c r="F709" s="25" t="inlineStr">
        <is>
          <t>повторение</t>
        </is>
      </c>
      <c r="G709" s="9" t="inlineStr">
        <is>
          <t>Предлоги (prepositions) — тема English in Use 2f.</t>
        </is>
      </c>
      <c r="H709" s="25" t="inlineStr">
        <is>
          <t>10+</t>
        </is>
      </c>
      <c r="I709" s="9">
        <f>IFERROR(INDEX('Темы × классы'!$R:$R,MATCH(E709,'Темы × классы'!$E:$E,0)),"")</f>
        <v/>
      </c>
      <c r="J709" s="9">
        <f>IFERROR(INDEX('Темы × классы'!$S:$S,MATCH(E709,'Темы × классы'!$E:$E,0))&amp;"","")</f>
        <v/>
      </c>
      <c r="K709" s="9" t="inlineStr">
        <is>
          <t>не начат</t>
        </is>
      </c>
      <c r="L709" s="9" t="inlineStr">
        <is>
          <t>Spotlight / 8 класс / Module 2 · Food &amp; Shopping / Dependent prepositions / Dependent prepositions</t>
        </is>
      </c>
    </row>
    <row r="710">
      <c r="A710" s="25" t="n">
        <v>8</v>
      </c>
      <c r="B710" s="9" t="inlineStr">
        <is>
          <t>Appendix 2 · Dependent Prepositions</t>
        </is>
      </c>
      <c r="C710" s="9" t="inlineStr"/>
      <c r="D710" s="9" t="inlineStr">
        <is>
          <t>Dependent prepositions</t>
        </is>
      </c>
      <c r="E710" s="23" t="inlineStr">
        <is>
          <t>Dependent prepositions</t>
        </is>
      </c>
      <c r="F710" s="25" t="inlineStr">
        <is>
          <t>повторение</t>
        </is>
      </c>
      <c r="G710" s="9" t="inlineStr">
        <is>
          <t>Сводный список (без привязки к модулям). Прилагательные + предлог: absent from, close to, fond of, good at, jealous of, keen on, nervous about, patient with, popular with, proud of. Глаголы + предлог: blame someone for, care about, come from, worry about. Существительное + предлог: career in. Предло</t>
        </is>
      </c>
      <c r="H710" s="25" t="inlineStr">
        <is>
          <t>10+</t>
        </is>
      </c>
      <c r="I710" s="9">
        <f>IFERROR(INDEX('Темы × классы'!$R:$R,MATCH(E710,'Темы × классы'!$E:$E,0)),"")</f>
        <v/>
      </c>
      <c r="J710" s="9">
        <f>IFERROR(INDEX('Темы × классы'!$S:$S,MATCH(E710,'Темы × классы'!$E:$E,0))&amp;"","")</f>
        <v/>
      </c>
      <c r="K710" s="9" t="inlineStr">
        <is>
          <t>не начат</t>
        </is>
      </c>
      <c r="L710" s="9" t="inlineStr">
        <is>
          <t>Spotlight / 8 класс / Appendix 2 · Dependent Prepositions / Dependent prepositions / Dependent prepositions</t>
        </is>
      </c>
    </row>
    <row r="711">
      <c r="A711" s="25" t="n">
        <v>8</v>
      </c>
      <c r="B711" s="9" t="inlineStr">
        <is>
          <t>Module 3 · Great Minds</t>
        </is>
      </c>
      <c r="C711" s="9" t="inlineStr">
        <is>
          <t>3c</t>
        </is>
      </c>
      <c r="D711" s="9" t="inlineStr">
        <is>
          <t>Past Perfect</t>
        </is>
      </c>
      <c r="E711" s="23" t="inlineStr">
        <is>
          <t>Past Perfect: образование (had + V3)</t>
        </is>
      </c>
      <c r="F711" s="26" t="inlineStr">
        <is>
          <t>новое</t>
        </is>
      </c>
      <c r="G711" s="9" t="inlineStr">
        <is>
          <t>had + V3</t>
        </is>
      </c>
      <c r="H711" s="25" t="inlineStr">
        <is>
          <t>10+</t>
        </is>
      </c>
      <c r="I711" s="9">
        <f>IFERROR(INDEX('Темы × классы'!$R:$R,MATCH(E711,'Темы × классы'!$E:$E,0)),"")</f>
        <v/>
      </c>
      <c r="J711" s="9">
        <f>IFERROR(INDEX('Темы × классы'!$S:$S,MATCH(E711,'Темы × классы'!$E:$E,0))&amp;"","")</f>
        <v/>
      </c>
      <c r="K711" s="9" t="inlineStr">
        <is>
          <t>не начат</t>
        </is>
      </c>
      <c r="L711" s="9" t="inlineStr">
        <is>
          <t>Spotlight / 8 класс / Module 3 · Great Minds / Past Perfect / Past Perfect: образование (had + V3)</t>
        </is>
      </c>
    </row>
    <row r="712">
      <c r="A712" s="25" t="n">
        <v>8</v>
      </c>
      <c r="B712" s="9" t="inlineStr">
        <is>
          <t>Module 3 · Great Minds</t>
        </is>
      </c>
      <c r="C712" s="9" t="inlineStr">
        <is>
          <t>3c</t>
        </is>
      </c>
      <c r="D712" s="9" t="inlineStr">
        <is>
          <t>Past Perfect</t>
        </is>
      </c>
      <c r="E712" s="23" t="inlineStr">
        <is>
          <t>Past Perfect: значение — действие до другого действия/момента в прошлом</t>
        </is>
      </c>
      <c r="F712" s="26" t="inlineStr">
        <is>
          <t>новое</t>
        </is>
      </c>
      <c r="G712" s="9" t="inlineStr">
        <is>
          <t>before, after, already, just, till/until, when, by, by the time, never, for, since</t>
        </is>
      </c>
      <c r="H712" s="25" t="inlineStr">
        <is>
          <t>10+</t>
        </is>
      </c>
      <c r="I712" s="9">
        <f>IFERROR(INDEX('Темы × классы'!$R:$R,MATCH(E712,'Темы × классы'!$E:$E,0)),"")</f>
        <v/>
      </c>
      <c r="J712" s="9">
        <f>IFERROR(INDEX('Темы × классы'!$S:$S,MATCH(E712,'Темы × классы'!$E:$E,0))&amp;"","")</f>
        <v/>
      </c>
      <c r="K712" s="9" t="inlineStr">
        <is>
          <t>не начат</t>
        </is>
      </c>
      <c r="L712" s="9" t="inlineStr">
        <is>
          <t>Spotlight / 8 класс / Module 3 · Great Minds / Past Perfect / Past Perfect: значение — действие до другого действия/момента в прошлом</t>
        </is>
      </c>
    </row>
    <row r="713">
      <c r="A713" s="25" t="n">
        <v>8</v>
      </c>
      <c r="B713" s="9" t="inlineStr">
        <is>
          <t>Module 3 · Great Minds</t>
        </is>
      </c>
      <c r="C713" s="9" t="inlineStr">
        <is>
          <t>3c</t>
        </is>
      </c>
      <c r="D713" s="9" t="inlineStr">
        <is>
          <t>Past Perfect</t>
        </is>
      </c>
      <c r="E713" s="23" t="inlineStr">
        <is>
          <t>Past Perfect: значение — завершённое действие с результатом в прошлом</t>
        </is>
      </c>
      <c r="F713" s="26" t="inlineStr">
        <is>
          <t>новое</t>
        </is>
      </c>
      <c r="G713" s="9" t="inlineStr"/>
      <c r="H713" s="25" t="inlineStr">
        <is>
          <t>10+</t>
        </is>
      </c>
      <c r="I713" s="9">
        <f>IFERROR(INDEX('Темы × классы'!$R:$R,MATCH(E713,'Темы × классы'!$E:$E,0)),"")</f>
        <v/>
      </c>
      <c r="J713" s="9">
        <f>IFERROR(INDEX('Темы × классы'!$S:$S,MATCH(E713,'Темы × классы'!$E:$E,0))&amp;"","")</f>
        <v/>
      </c>
      <c r="K713" s="9" t="inlineStr">
        <is>
          <t>не начат</t>
        </is>
      </c>
      <c r="L713" s="9" t="inlineStr">
        <is>
          <t>Spotlight / 8 класс / Module 3 · Great Minds / Past Perfect / Past Perfect: значение — завершённое действие с результатом в прошлом</t>
        </is>
      </c>
    </row>
    <row r="714">
      <c r="A714" s="25" t="n">
        <v>8</v>
      </c>
      <c r="B714" s="9" t="inlineStr">
        <is>
          <t>Module 3 · Great Minds</t>
        </is>
      </c>
      <c r="C714" s="9" t="inlineStr">
        <is>
          <t>3c</t>
        </is>
      </c>
      <c r="D714" s="9" t="inlineStr">
        <is>
          <t>Past Perfect Continuous</t>
        </is>
      </c>
      <c r="E714" s="23" t="inlineStr">
        <is>
          <t>Past Perfect Continuous: образование (had been + V-ing)</t>
        </is>
      </c>
      <c r="F714" s="26" t="inlineStr">
        <is>
          <t>новое</t>
        </is>
      </c>
      <c r="G714" s="9" t="inlineStr">
        <is>
          <t>had + been + V-ing</t>
        </is>
      </c>
      <c r="H714" s="25" t="inlineStr">
        <is>
          <t>10+</t>
        </is>
      </c>
      <c r="I714" s="9">
        <f>IFERROR(INDEX('Темы × классы'!$R:$R,MATCH(E714,'Темы × классы'!$E:$E,0)),"")</f>
        <v/>
      </c>
      <c r="J714" s="9">
        <f>IFERROR(INDEX('Темы × классы'!$S:$S,MATCH(E714,'Темы × классы'!$E:$E,0))&amp;"","")</f>
        <v/>
      </c>
      <c r="K714" s="9" t="inlineStr">
        <is>
          <t>не начат</t>
        </is>
      </c>
      <c r="L714" s="9" t="inlineStr">
        <is>
          <t>Spotlight / 8 класс / Module 3 · Great Minds / Past Perfect Continuous / Past Perfect Continuous: образование (had been + V-ing)</t>
        </is>
      </c>
    </row>
    <row r="715">
      <c r="A715" s="25" t="n">
        <v>8</v>
      </c>
      <c r="B715" s="9" t="inlineStr">
        <is>
          <t>Module 3 · Great Minds</t>
        </is>
      </c>
      <c r="C715" s="9" t="inlineStr">
        <is>
          <t>3c</t>
        </is>
      </c>
      <c r="D715" s="9" t="inlineStr">
        <is>
          <t>Past Perfect Continuous</t>
        </is>
      </c>
      <c r="E715" s="23" t="inlineStr">
        <is>
          <t>Past Perfect Continuous: значение — длительность до другого прошлого действия</t>
        </is>
      </c>
      <c r="F715" s="26" t="inlineStr">
        <is>
          <t>новое</t>
        </is>
      </c>
      <c r="G715" s="9" t="inlineStr">
        <is>
          <t>since, for, how long, before, till/until</t>
        </is>
      </c>
      <c r="H715" s="25" t="inlineStr">
        <is>
          <t>10+</t>
        </is>
      </c>
      <c r="I715" s="9">
        <f>IFERROR(INDEX('Темы × классы'!$R:$R,MATCH(E715,'Темы × классы'!$E:$E,0)),"")</f>
        <v/>
      </c>
      <c r="J715" s="9">
        <f>IFERROR(INDEX('Темы × классы'!$S:$S,MATCH(E715,'Темы × классы'!$E:$E,0))&amp;"","")</f>
        <v/>
      </c>
      <c r="K715" s="9" t="inlineStr">
        <is>
          <t>не начат</t>
        </is>
      </c>
      <c r="L715" s="9" t="inlineStr">
        <is>
          <t>Spotlight / 8 класс / Module 3 · Great Minds / Past Perfect Continuous / Past Perfect Continuous: значение — длительность до другого прошлого действия</t>
        </is>
      </c>
    </row>
    <row r="716">
      <c r="A716" s="25" t="n">
        <v>8</v>
      </c>
      <c r="B716" s="9" t="inlineStr">
        <is>
          <t>Module 3 · Great Minds</t>
        </is>
      </c>
      <c r="C716" s="9" t="inlineStr">
        <is>
          <t>3c</t>
        </is>
      </c>
      <c r="D716" s="9" t="inlineStr">
        <is>
          <t>Past Perfect Continuous</t>
        </is>
      </c>
      <c r="E716" s="23" t="inlineStr">
        <is>
          <t>Past Perfect Continuous: значение — длительное действие с видимым результатом в прошлом</t>
        </is>
      </c>
      <c r="F716" s="26" t="inlineStr">
        <is>
          <t>новое</t>
        </is>
      </c>
      <c r="G716" s="9" t="inlineStr"/>
      <c r="H716" s="25" t="inlineStr">
        <is>
          <t>10+</t>
        </is>
      </c>
      <c r="I716" s="9">
        <f>IFERROR(INDEX('Темы × классы'!$R:$R,MATCH(E716,'Темы × классы'!$E:$E,0)),"")</f>
        <v/>
      </c>
      <c r="J716" s="9">
        <f>IFERROR(INDEX('Темы × классы'!$S:$S,MATCH(E716,'Темы × классы'!$E:$E,0))&amp;"","")</f>
        <v/>
      </c>
      <c r="K716" s="9" t="inlineStr">
        <is>
          <t>не начат</t>
        </is>
      </c>
      <c r="L716" s="9" t="inlineStr">
        <is>
          <t>Spotlight / 8 класс / Module 3 · Great Minds / Past Perfect Continuous / Past Perfect Continuous: значение — длительное действие с видимым результатом в прошлом</t>
        </is>
      </c>
    </row>
    <row r="717">
      <c r="A717" s="25" t="n">
        <v>8</v>
      </c>
      <c r="B717" s="9" t="inlineStr">
        <is>
          <t>Module 3 · Great Minds</t>
        </is>
      </c>
      <c r="C717" s="9" t="inlineStr">
        <is>
          <t>3f</t>
        </is>
      </c>
      <c r="D717" s="9" t="inlineStr">
        <is>
          <t>Phrasal verbs</t>
        </is>
      </c>
      <c r="E717" s="23" t="inlineStr">
        <is>
          <t>Phrasal verbs: bring</t>
        </is>
      </c>
      <c r="F717" s="26" t="inlineStr">
        <is>
          <t>новое</t>
        </is>
      </c>
      <c r="G717" s="9" t="inlineStr">
        <is>
          <t>bring: bring about (осуществлять), bring back (напоминать, вспоминать), bring in (приносить деньги, вносить), bring out (выпускать на продажу), bring round (приводить в сознание), bring up (растить, воспитывать).</t>
        </is>
      </c>
      <c r="H717" s="25" t="inlineStr">
        <is>
          <t>10+</t>
        </is>
      </c>
      <c r="I717" s="9">
        <f>IFERROR(INDEX('Темы × классы'!$R:$R,MATCH(E717,'Темы × классы'!$E:$E,0)),"")</f>
        <v/>
      </c>
      <c r="J717" s="9">
        <f>IFERROR(INDEX('Темы × классы'!$S:$S,MATCH(E717,'Темы × классы'!$E:$E,0))&amp;"","")</f>
        <v/>
      </c>
      <c r="K717" s="9" t="inlineStr">
        <is>
          <t>не начат</t>
        </is>
      </c>
      <c r="L717" s="9" t="inlineStr">
        <is>
          <t>Spotlight / 8 класс / Module 3 · Great Minds / Phrasal verbs / Phrasal verbs: bring</t>
        </is>
      </c>
    </row>
    <row r="718">
      <c r="A718" s="25" t="n">
        <v>8</v>
      </c>
      <c r="B718" s="9" t="inlineStr">
        <is>
          <t>Module 3 · Great Minds</t>
        </is>
      </c>
      <c r="C718" s="9" t="inlineStr">
        <is>
          <t>3f</t>
        </is>
      </c>
      <c r="D718" s="9" t="inlineStr">
        <is>
          <t>Word formation</t>
        </is>
      </c>
      <c r="E718" s="23" t="inlineStr">
        <is>
          <t>Word formation: -ise, -ize</t>
        </is>
      </c>
      <c r="F718" s="26" t="inlineStr">
        <is>
          <t>новое</t>
        </is>
      </c>
      <c r="G718" s="9" t="inlineStr">
        <is>
          <t>Образование глаголов: -ise/-ize.</t>
        </is>
      </c>
      <c r="H718" s="25" t="inlineStr">
        <is>
          <t>10+</t>
        </is>
      </c>
      <c r="I718" s="9">
        <f>IFERROR(INDEX('Темы × классы'!$R:$R,MATCH(E718,'Темы × классы'!$E:$E,0)),"")</f>
        <v/>
      </c>
      <c r="J718" s="9">
        <f>IFERROR(INDEX('Темы × классы'!$S:$S,MATCH(E718,'Темы × классы'!$E:$E,0))&amp;"","")</f>
        <v/>
      </c>
      <c r="K718" s="9" t="inlineStr">
        <is>
          <t>не начат</t>
        </is>
      </c>
      <c r="L718" s="9" t="inlineStr">
        <is>
          <t>Spotlight / 8 класс / Module 3 · Great Minds / Word formation / Word formation: -ise, -ize</t>
        </is>
      </c>
    </row>
    <row r="719">
      <c r="A719" s="25" t="n">
        <v>8</v>
      </c>
      <c r="B719" s="9" t="inlineStr">
        <is>
          <t>Module 3 · Great Minds</t>
        </is>
      </c>
      <c r="C719" s="9" t="inlineStr">
        <is>
          <t>3f</t>
        </is>
      </c>
      <c r="D719" s="9" t="inlineStr">
        <is>
          <t>Dependent prepositions</t>
        </is>
      </c>
      <c r="E719" s="23" t="inlineStr">
        <is>
          <t>Dependent prepositions</t>
        </is>
      </c>
      <c r="F719" s="25" t="inlineStr">
        <is>
          <t>повторение</t>
        </is>
      </c>
      <c r="G719" s="9" t="inlineStr">
        <is>
          <t>Предлоги (prepositions) — тема English in Use.</t>
        </is>
      </c>
      <c r="H719" s="25" t="inlineStr">
        <is>
          <t>10+</t>
        </is>
      </c>
      <c r="I719" s="9">
        <f>IFERROR(INDEX('Темы × классы'!$R:$R,MATCH(E719,'Темы × классы'!$E:$E,0)),"")</f>
        <v/>
      </c>
      <c r="J719" s="9">
        <f>IFERROR(INDEX('Темы × классы'!$S:$S,MATCH(E719,'Темы × классы'!$E:$E,0))&amp;"","")</f>
        <v/>
      </c>
      <c r="K719" s="9" t="inlineStr">
        <is>
          <t>не начат</t>
        </is>
      </c>
      <c r="L719" s="9" t="inlineStr">
        <is>
          <t>Spotlight / 8 класс / Module 3 · Great Minds / Dependent prepositions / Dependent prepositions</t>
        </is>
      </c>
    </row>
    <row r="720">
      <c r="A720" s="25" t="n">
        <v>8</v>
      </c>
      <c r="B720" s="9" t="inlineStr">
        <is>
          <t>Appendix 3 · Idioms</t>
        </is>
      </c>
      <c r="C720" s="9" t="inlineStr"/>
      <c r="D720" s="9" t="inlineStr">
        <is>
          <t>Idioms &amp; collocations</t>
        </is>
      </c>
      <c r="E720" s="23" t="inlineStr">
        <is>
          <t>Idioms &amp; collocations</t>
        </is>
      </c>
      <c r="F720" s="26" t="inlineStr">
        <is>
          <t>новое</t>
        </is>
      </c>
      <c r="G720" s="9" t="inlineStr">
        <is>
          <t>Идиомы (сводный список): a piece of cake, again and again, all in all, (be) a bolt from the blue, be a pain in the neck, be bad news, be in the same boat, be on cloud nine, (not) be one's cup of tea, break the ice, cry over spilt milk, drive someone crazy, drive someone up the wall, feel under the w</t>
        </is>
      </c>
      <c r="H720" s="25" t="inlineStr">
        <is>
          <t>10+</t>
        </is>
      </c>
      <c r="I720" s="9">
        <f>IFERROR(INDEX('Темы × классы'!$R:$R,MATCH(E720,'Темы × классы'!$E:$E,0)),"")</f>
        <v/>
      </c>
      <c r="J720" s="9">
        <f>IFERROR(INDEX('Темы × классы'!$S:$S,MATCH(E720,'Темы × классы'!$E:$E,0))&amp;"","")</f>
        <v/>
      </c>
      <c r="K720" s="9" t="inlineStr">
        <is>
          <t>не начат</t>
        </is>
      </c>
      <c r="L720" s="9" t="inlineStr">
        <is>
          <t>Spotlight / 8 класс / Appendix 3 · Idioms / Idioms &amp; collocations / Idioms &amp; collocations</t>
        </is>
      </c>
    </row>
    <row r="721">
      <c r="A721" s="25" t="n">
        <v>8</v>
      </c>
      <c r="B721" s="9" t="inlineStr">
        <is>
          <t>Module 3 · Great Minds</t>
        </is>
      </c>
      <c r="C721" s="9" t="inlineStr">
        <is>
          <t>3f</t>
        </is>
      </c>
      <c r="D721" s="9" t="inlineStr">
        <is>
          <t>Words often confused</t>
        </is>
      </c>
      <c r="E721" s="23" t="inlineStr">
        <is>
          <t>Words often confused</t>
        </is>
      </c>
      <c r="F721" s="26" t="inlineStr">
        <is>
          <t>новое</t>
        </is>
      </c>
      <c r="G721" s="9" t="inlineStr">
        <is>
          <t>Слова, которые часто путают — тема English in Use 3f.</t>
        </is>
      </c>
      <c r="H721" s="25" t="inlineStr">
        <is>
          <t>10+</t>
        </is>
      </c>
      <c r="I721" s="9">
        <f>IFERROR(INDEX('Темы × классы'!$R:$R,MATCH(E721,'Темы × классы'!$E:$E,0)),"")</f>
        <v/>
      </c>
      <c r="J721" s="9">
        <f>IFERROR(INDEX('Темы × классы'!$S:$S,MATCH(E721,'Темы × классы'!$E:$E,0))&amp;"","")</f>
        <v/>
      </c>
      <c r="K721" s="9" t="inlineStr">
        <is>
          <t>не начат</t>
        </is>
      </c>
      <c r="L721" s="9" t="inlineStr">
        <is>
          <t>Spotlight / 8 класс / Module 3 · Great Minds / Words often confused / Words often confused</t>
        </is>
      </c>
    </row>
    <row r="722">
      <c r="A722" s="25" t="n">
        <v>8</v>
      </c>
      <c r="B722" s="9" t="inlineStr">
        <is>
          <t>Module 4 · Be Yourself</t>
        </is>
      </c>
      <c r="C722" s="9" t="inlineStr">
        <is>
          <t>4d</t>
        </is>
      </c>
      <c r="D722" s="9" t="inlineStr">
        <is>
          <t>Causative (have something done)</t>
        </is>
      </c>
      <c r="E722" s="23" t="inlineStr">
        <is>
          <t>Causative: форма have + object + V3</t>
        </is>
      </c>
      <c r="F722" s="26" t="inlineStr">
        <is>
          <t>новое</t>
        </is>
      </c>
      <c r="G722" s="9" t="inlineStr"/>
      <c r="H722" s="25" t="inlineStr">
        <is>
          <t>10+</t>
        </is>
      </c>
      <c r="I722" s="9">
        <f>IFERROR(INDEX('Темы × классы'!$R:$R,MATCH(E722,'Темы × классы'!$E:$E,0)),"")</f>
        <v/>
      </c>
      <c r="J722" s="9">
        <f>IFERROR(INDEX('Темы × классы'!$S:$S,MATCH(E722,'Темы × классы'!$E:$E,0))&amp;"","")</f>
        <v/>
      </c>
      <c r="K722" s="9" t="inlineStr">
        <is>
          <t>не начат</t>
        </is>
      </c>
      <c r="L722" s="9" t="inlineStr">
        <is>
          <t>Spotlight / 8 класс / Module 4 · Be Yourself / Causative (have something done) / Causative: форма have + object + V3</t>
        </is>
      </c>
    </row>
    <row r="723">
      <c r="A723" s="25" t="n">
        <v>8</v>
      </c>
      <c r="B723" s="9" t="inlineStr">
        <is>
          <t>Module 4 · Be Yourself</t>
        </is>
      </c>
      <c r="C723" s="9" t="inlineStr">
        <is>
          <t>4d</t>
        </is>
      </c>
      <c r="D723" s="9" t="inlineStr">
        <is>
          <t>Causative (have something done)</t>
        </is>
      </c>
      <c r="E723" s="23" t="inlineStr">
        <is>
          <t>Causative: значение — действие выполняет кто-то другой для подлежащего</t>
        </is>
      </c>
      <c r="F723" s="26" t="inlineStr">
        <is>
          <t>новое</t>
        </is>
      </c>
      <c r="G723" s="9" t="inlineStr">
        <is>
          <t>исполнитель обычно не упоминается</t>
        </is>
      </c>
      <c r="H723" s="25" t="inlineStr">
        <is>
          <t>10+</t>
        </is>
      </c>
      <c r="I723" s="9">
        <f>IFERROR(INDEX('Темы × классы'!$R:$R,MATCH(E723,'Темы × классы'!$E:$E,0)),"")</f>
        <v/>
      </c>
      <c r="J723" s="9">
        <f>IFERROR(INDEX('Темы × классы'!$S:$S,MATCH(E723,'Темы × классы'!$E:$E,0))&amp;"","")</f>
        <v/>
      </c>
      <c r="K723" s="9" t="inlineStr">
        <is>
          <t>не начат</t>
        </is>
      </c>
      <c r="L723" s="9" t="inlineStr">
        <is>
          <t>Spotlight / 8 класс / Module 4 · Be Yourself / Causative (have something done) / Causative: значение — действие выполняет кто-то другой для подлежащего</t>
        </is>
      </c>
    </row>
    <row r="724">
      <c r="A724" s="25" t="n">
        <v>8</v>
      </c>
      <c r="B724" s="9" t="inlineStr">
        <is>
          <t>Module 4 · Be Yourself</t>
        </is>
      </c>
      <c r="C724" s="9" t="inlineStr">
        <is>
          <t>4d</t>
        </is>
      </c>
      <c r="D724" s="9" t="inlineStr">
        <is>
          <t>Causative (have something done)</t>
        </is>
      </c>
      <c r="E724" s="23" t="inlineStr">
        <is>
          <t>Causative: have sth done в разных временах (Continuous, Perfect, Future)</t>
        </is>
      </c>
      <c r="F724" s="26" t="inlineStr">
        <is>
          <t>новое</t>
        </is>
      </c>
      <c r="G724" s="9" t="inlineStr">
        <is>
          <t>has/is having/had/was having/has had/had had/has been having/had been having/will have</t>
        </is>
      </c>
      <c r="H724" s="25" t="inlineStr">
        <is>
          <t>10+</t>
        </is>
      </c>
      <c r="I724" s="9">
        <f>IFERROR(INDEX('Темы × классы'!$R:$R,MATCH(E724,'Темы × классы'!$E:$E,0)),"")</f>
        <v/>
      </c>
      <c r="J724" s="9">
        <f>IFERROR(INDEX('Темы × классы'!$S:$S,MATCH(E724,'Темы × классы'!$E:$E,0))&amp;"","")</f>
        <v/>
      </c>
      <c r="K724" s="9" t="inlineStr">
        <is>
          <t>не начат</t>
        </is>
      </c>
      <c r="L724" s="9" t="inlineStr">
        <is>
          <t>Spotlight / 8 класс / Module 4 · Be Yourself / Causative (have something done) / Causative: have sth done в разных временах (Continuous, Perfect, Future)</t>
        </is>
      </c>
    </row>
    <row r="725">
      <c r="A725" s="25" t="n">
        <v>8</v>
      </c>
      <c r="B725" s="9" t="inlineStr">
        <is>
          <t>Module 4 · Be Yourself</t>
        </is>
      </c>
      <c r="C725" s="9" t="inlineStr">
        <is>
          <t>4d</t>
        </is>
      </c>
      <c r="D725" s="9" t="inlineStr">
        <is>
          <t>Causative (have something done)</t>
        </is>
      </c>
      <c r="E725" s="23" t="inlineStr">
        <is>
          <t>Causative: инфинитив, -ing и модальные (to have / having sth done)</t>
        </is>
      </c>
      <c r="F725" s="26" t="inlineStr">
        <is>
          <t>новое</t>
        </is>
      </c>
      <c r="G725" s="9" t="inlineStr">
        <is>
          <t>to have, having; should have her room painted</t>
        </is>
      </c>
      <c r="H725" s="25" t="inlineStr">
        <is>
          <t>10+</t>
        </is>
      </c>
      <c r="I725" s="9">
        <f>IFERROR(INDEX('Темы × классы'!$R:$R,MATCH(E725,'Темы × классы'!$E:$E,0)),"")</f>
        <v/>
      </c>
      <c r="J725" s="9">
        <f>IFERROR(INDEX('Темы × классы'!$S:$S,MATCH(E725,'Темы × классы'!$E:$E,0))&amp;"","")</f>
        <v/>
      </c>
      <c r="K725" s="9" t="inlineStr">
        <is>
          <t>не начат</t>
        </is>
      </c>
      <c r="L725" s="9" t="inlineStr">
        <is>
          <t>Spotlight / 8 класс / Module 4 · Be Yourself / Causative (have something done) / Causative: инфинитив, -ing и модальные (to have / having sth done)</t>
        </is>
      </c>
    </row>
    <row r="726">
      <c r="A726" s="25" t="n">
        <v>8</v>
      </c>
      <c r="B726" s="9" t="inlineStr">
        <is>
          <t>Module 4 · Be Yourself</t>
        </is>
      </c>
      <c r="C726" s="9" t="inlineStr">
        <is>
          <t>4c</t>
        </is>
      </c>
      <c r="D726" s="9" t="inlineStr">
        <is>
          <t>Passive Voice</t>
        </is>
      </c>
      <c r="E726" s="23" t="inlineStr">
        <is>
          <t>Passive Voice: форма be + V3 — Present Simple и Past Simple</t>
        </is>
      </c>
      <c r="F726" s="26" t="inlineStr">
        <is>
          <t>новое</t>
        </is>
      </c>
      <c r="G726" s="9" t="inlineStr">
        <is>
          <t>is cooked / was cooked</t>
        </is>
      </c>
      <c r="H726" s="25" t="inlineStr">
        <is>
          <t>10+</t>
        </is>
      </c>
      <c r="I726" s="9">
        <f>IFERROR(INDEX('Темы × классы'!$R:$R,MATCH(E726,'Темы × классы'!$E:$E,0)),"")</f>
        <v/>
      </c>
      <c r="J726" s="9">
        <f>IFERROR(INDEX('Темы × классы'!$S:$S,MATCH(E726,'Темы × классы'!$E:$E,0))&amp;"","")</f>
        <v/>
      </c>
      <c r="K726" s="9" t="inlineStr">
        <is>
          <t>не начат</t>
        </is>
      </c>
      <c r="L726" s="9" t="inlineStr">
        <is>
          <t>Spotlight / 8 класс / Module 4 · Be Yourself / Passive Voice / Passive Voice: форма be + V3 — Present Simple и Past Simple</t>
        </is>
      </c>
    </row>
    <row r="727">
      <c r="A727" s="25" t="n">
        <v>8</v>
      </c>
      <c r="B727" s="9" t="inlineStr">
        <is>
          <t>Module 4 · Be Yourself</t>
        </is>
      </c>
      <c r="C727" s="9" t="inlineStr">
        <is>
          <t>4c</t>
        </is>
      </c>
      <c r="D727" s="9" t="inlineStr">
        <is>
          <t>Passive Voice</t>
        </is>
      </c>
      <c r="E727" s="23" t="inlineStr">
        <is>
          <t>Passive Voice: Continuous (is/was being + V3)</t>
        </is>
      </c>
      <c r="F727" s="26" t="inlineStr">
        <is>
          <t>новое</t>
        </is>
      </c>
      <c r="G727" s="9" t="inlineStr">
        <is>
          <t>is being / was being cooked</t>
        </is>
      </c>
      <c r="H727" s="25" t="inlineStr">
        <is>
          <t>10+</t>
        </is>
      </c>
      <c r="I727" s="9">
        <f>IFERROR(INDEX('Темы × классы'!$R:$R,MATCH(E727,'Темы × классы'!$E:$E,0)),"")</f>
        <v/>
      </c>
      <c r="J727" s="9">
        <f>IFERROR(INDEX('Темы × классы'!$S:$S,MATCH(E727,'Темы × классы'!$E:$E,0))&amp;"","")</f>
        <v/>
      </c>
      <c r="K727" s="9" t="inlineStr">
        <is>
          <t>не начат</t>
        </is>
      </c>
      <c r="L727" s="9" t="inlineStr">
        <is>
          <t>Spotlight / 8 класс / Module 4 · Be Yourself / Passive Voice / Passive Voice: Continuous (is/was being + V3)</t>
        </is>
      </c>
    </row>
    <row r="728">
      <c r="A728" s="25" t="n">
        <v>8</v>
      </c>
      <c r="B728" s="9" t="inlineStr">
        <is>
          <t>Module 4 · Be Yourself</t>
        </is>
      </c>
      <c r="C728" s="9" t="inlineStr">
        <is>
          <t>4c</t>
        </is>
      </c>
      <c r="D728" s="9" t="inlineStr">
        <is>
          <t>Passive Voice</t>
        </is>
      </c>
      <c r="E728" s="23" t="inlineStr">
        <is>
          <t>Passive Voice: Present/Past Perfect (has/had been + V3)</t>
        </is>
      </c>
      <c r="F728" s="26" t="inlineStr">
        <is>
          <t>новое</t>
        </is>
      </c>
      <c r="G728" s="9" t="inlineStr">
        <is>
          <t>has been / had been cooked</t>
        </is>
      </c>
      <c r="H728" s="25" t="inlineStr">
        <is>
          <t>10+</t>
        </is>
      </c>
      <c r="I728" s="9">
        <f>IFERROR(INDEX('Темы × классы'!$R:$R,MATCH(E728,'Темы × классы'!$E:$E,0)),"")</f>
        <v/>
      </c>
      <c r="J728" s="9">
        <f>IFERROR(INDEX('Темы × классы'!$S:$S,MATCH(E728,'Темы × классы'!$E:$E,0))&amp;"","")</f>
        <v/>
      </c>
      <c r="K728" s="9" t="inlineStr">
        <is>
          <t>не начат</t>
        </is>
      </c>
      <c r="L728" s="9" t="inlineStr">
        <is>
          <t>Spotlight / 8 класс / Module 4 · Be Yourself / Passive Voice / Passive Voice: Present/Past Perfect (has/had been + V3)</t>
        </is>
      </c>
    </row>
    <row r="729">
      <c r="A729" s="25" t="n">
        <v>8</v>
      </c>
      <c r="B729" s="9" t="inlineStr">
        <is>
          <t>Module 4 · Be Yourself</t>
        </is>
      </c>
      <c r="C729" s="9" t="inlineStr">
        <is>
          <t>4c</t>
        </is>
      </c>
      <c r="D729" s="9" t="inlineStr">
        <is>
          <t>Passive Voice</t>
        </is>
      </c>
      <c r="E729" s="23" t="inlineStr">
        <is>
          <t>Passive Voice: Future Simple (will be + V3)</t>
        </is>
      </c>
      <c r="F729" s="26" t="inlineStr">
        <is>
          <t>новое</t>
        </is>
      </c>
      <c r="G729" s="9" t="inlineStr">
        <is>
          <t>will be cooked</t>
        </is>
      </c>
      <c r="H729" s="25" t="inlineStr">
        <is>
          <t>10+</t>
        </is>
      </c>
      <c r="I729" s="9">
        <f>IFERROR(INDEX('Темы × классы'!$R:$R,MATCH(E729,'Темы × классы'!$E:$E,0)),"")</f>
        <v/>
      </c>
      <c r="J729" s="9">
        <f>IFERROR(INDEX('Темы × классы'!$S:$S,MATCH(E729,'Темы × классы'!$E:$E,0))&amp;"","")</f>
        <v/>
      </c>
      <c r="K729" s="9" t="inlineStr">
        <is>
          <t>не начат</t>
        </is>
      </c>
      <c r="L729" s="9" t="inlineStr">
        <is>
          <t>Spotlight / 8 класс / Module 4 · Be Yourself / Passive Voice / Passive Voice: Future Simple (will be + V3)</t>
        </is>
      </c>
    </row>
    <row r="730">
      <c r="A730" s="25" t="n">
        <v>8</v>
      </c>
      <c r="B730" s="9" t="inlineStr">
        <is>
          <t>Module 4 · Be Yourself</t>
        </is>
      </c>
      <c r="C730" s="9" t="inlineStr">
        <is>
          <t>4c</t>
        </is>
      </c>
      <c r="D730" s="9" t="inlineStr">
        <is>
          <t>Passive Voice</t>
        </is>
      </c>
      <c r="E730" s="23" t="inlineStr">
        <is>
          <t>Passive Voice: инфинитив и модальные (has to be / can be + V3)</t>
        </is>
      </c>
      <c r="F730" s="26" t="inlineStr">
        <is>
          <t>новое</t>
        </is>
      </c>
      <c r="G730" s="9" t="inlineStr">
        <is>
          <t>has to be cooked; can be cooked</t>
        </is>
      </c>
      <c r="H730" s="25" t="inlineStr">
        <is>
          <t>10+</t>
        </is>
      </c>
      <c r="I730" s="9">
        <f>IFERROR(INDEX('Темы × классы'!$R:$R,MATCH(E730,'Темы × классы'!$E:$E,0)),"")</f>
        <v/>
      </c>
      <c r="J730" s="9">
        <f>IFERROR(INDEX('Темы × классы'!$S:$S,MATCH(E730,'Темы × классы'!$E:$E,0))&amp;"","")</f>
        <v/>
      </c>
      <c r="K730" s="9" t="inlineStr">
        <is>
          <t>не начат</t>
        </is>
      </c>
      <c r="L730" s="9" t="inlineStr">
        <is>
          <t>Spotlight / 8 класс / Module 4 · Be Yourself / Passive Voice / Passive Voice: инфинитив и модальные (has to be / can be + V3)</t>
        </is>
      </c>
    </row>
    <row r="731">
      <c r="A731" s="25" t="n">
        <v>8</v>
      </c>
      <c r="B731" s="9" t="inlineStr">
        <is>
          <t>Module 4 · Be Yourself</t>
        </is>
      </c>
      <c r="C731" s="9" t="inlineStr">
        <is>
          <t>4c</t>
        </is>
      </c>
      <c r="D731" s="9" t="inlineStr">
        <is>
          <t>Passive Voice</t>
        </is>
      </c>
      <c r="E731" s="23" t="inlineStr">
        <is>
          <t>Passive Voice: преобразование active → passive</t>
        </is>
      </c>
      <c r="F731" s="26" t="inlineStr">
        <is>
          <t>новое</t>
        </is>
      </c>
      <c r="G731" s="9" t="inlineStr">
        <is>
          <t>дополнение → подлежащее; by + агент или опускается</t>
        </is>
      </c>
      <c r="H731" s="25" t="inlineStr">
        <is>
          <t>10+</t>
        </is>
      </c>
      <c r="I731" s="9">
        <f>IFERROR(INDEX('Темы × классы'!$R:$R,MATCH(E731,'Темы × классы'!$E:$E,0)),"")</f>
        <v/>
      </c>
      <c r="J731" s="9">
        <f>IFERROR(INDEX('Темы × классы'!$S:$S,MATCH(E731,'Темы × классы'!$E:$E,0))&amp;"","")</f>
        <v/>
      </c>
      <c r="K731" s="9" t="inlineStr">
        <is>
          <t>не начат</t>
        </is>
      </c>
      <c r="L731" s="9" t="inlineStr">
        <is>
          <t>Spotlight / 8 класс / Module 4 · Be Yourself / Passive Voice / Passive Voice: преобразование active → passive</t>
        </is>
      </c>
    </row>
    <row r="732">
      <c r="A732" s="25" t="n">
        <v>8</v>
      </c>
      <c r="B732" s="9" t="inlineStr">
        <is>
          <t>Module 4 · Be Yourself</t>
        </is>
      </c>
      <c r="C732" s="9" t="inlineStr">
        <is>
          <t>4c</t>
        </is>
      </c>
      <c r="D732" s="9" t="inlineStr">
        <is>
          <t>Passive Voice</t>
        </is>
      </c>
      <c r="E732" s="23" t="inlineStr">
        <is>
          <t>Passive Voice: значение — исполнитель неизвестен/неважен/очевиден</t>
        </is>
      </c>
      <c r="F732" s="26" t="inlineStr">
        <is>
          <t>новое</t>
        </is>
      </c>
      <c r="G732" s="9" t="inlineStr">
        <is>
          <t>очевиден или неважен</t>
        </is>
      </c>
      <c r="H732" s="25" t="inlineStr">
        <is>
          <t>10+</t>
        </is>
      </c>
      <c r="I732" s="9">
        <f>IFERROR(INDEX('Темы × классы'!$R:$R,MATCH(E732,'Темы × классы'!$E:$E,0)),"")</f>
        <v/>
      </c>
      <c r="J732" s="9">
        <f>IFERROR(INDEX('Темы × классы'!$S:$S,MATCH(E732,'Темы × классы'!$E:$E,0))&amp;"","")</f>
        <v/>
      </c>
      <c r="K732" s="9" t="inlineStr">
        <is>
          <t>не начат</t>
        </is>
      </c>
      <c r="L732" s="9" t="inlineStr">
        <is>
          <t>Spotlight / 8 класс / Module 4 · Be Yourself / Passive Voice / Passive Voice: значение — исполнитель неизвестен/неважен/очевиден</t>
        </is>
      </c>
    </row>
    <row r="733">
      <c r="A733" s="25" t="n">
        <v>8</v>
      </c>
      <c r="B733" s="9" t="inlineStr">
        <is>
          <t>Module 4 · Be Yourself</t>
        </is>
      </c>
      <c r="C733" s="9" t="inlineStr">
        <is>
          <t>4c</t>
        </is>
      </c>
      <c r="D733" s="9" t="inlineStr">
        <is>
          <t>Passive Voice</t>
        </is>
      </c>
      <c r="E733" s="23" t="inlineStr">
        <is>
          <t>Passive Voice: значение — действие важнее исполнителя (новости, инструкции, реклама)</t>
        </is>
      </c>
      <c r="F733" s="26" t="inlineStr">
        <is>
          <t>новое</t>
        </is>
      </c>
      <c r="G733" s="9" t="inlineStr">
        <is>
          <t>новости, объявления, инструкции, реклама</t>
        </is>
      </c>
      <c r="H733" s="25" t="inlineStr">
        <is>
          <t>10+</t>
        </is>
      </c>
      <c r="I733" s="9">
        <f>IFERROR(INDEX('Темы × классы'!$R:$R,MATCH(E733,'Темы × классы'!$E:$E,0)),"")</f>
        <v/>
      </c>
      <c r="J733" s="9">
        <f>IFERROR(INDEX('Темы × классы'!$S:$S,MATCH(E733,'Темы × классы'!$E:$E,0))&amp;"","")</f>
        <v/>
      </c>
      <c r="K733" s="9" t="inlineStr">
        <is>
          <t>не начат</t>
        </is>
      </c>
      <c r="L733" s="9" t="inlineStr">
        <is>
          <t>Spotlight / 8 класс / Module 4 · Be Yourself / Passive Voice / Passive Voice: значение — действие важнее исполнителя (новости, инструкции, реклама)</t>
        </is>
      </c>
    </row>
    <row r="734">
      <c r="A734" s="25" t="n">
        <v>8</v>
      </c>
      <c r="B734" s="9" t="inlineStr">
        <is>
          <t>Module 4 · Be Yourself</t>
        </is>
      </c>
      <c r="C734" s="9" t="inlineStr">
        <is>
          <t>4c</t>
        </is>
      </c>
      <c r="D734" s="9" t="inlineStr">
        <is>
          <t>Passive Voice</t>
        </is>
      </c>
      <c r="E734" s="23" t="inlineStr">
        <is>
          <t>Passive Voice: значение — уход от ответственности</t>
        </is>
      </c>
      <c r="F734" s="26" t="inlineStr">
        <is>
          <t>новое</t>
        </is>
      </c>
      <c r="G734" s="9" t="inlineStr"/>
      <c r="H734" s="25" t="inlineStr">
        <is>
          <t>10+</t>
        </is>
      </c>
      <c r="I734" s="9">
        <f>IFERROR(INDEX('Темы × классы'!$R:$R,MATCH(E734,'Темы × классы'!$E:$E,0)),"")</f>
        <v/>
      </c>
      <c r="J734" s="9">
        <f>IFERROR(INDEX('Темы × классы'!$S:$S,MATCH(E734,'Темы × классы'!$E:$E,0))&amp;"","")</f>
        <v/>
      </c>
      <c r="K734" s="9" t="inlineStr">
        <is>
          <t>не начат</t>
        </is>
      </c>
      <c r="L734" s="9" t="inlineStr">
        <is>
          <t>Spotlight / 8 класс / Module 4 · Be Yourself / Passive Voice / Passive Voice: значение — уход от ответственности</t>
        </is>
      </c>
    </row>
    <row r="735">
      <c r="A735" s="25" t="n">
        <v>8</v>
      </c>
      <c r="B735" s="9" t="inlineStr">
        <is>
          <t>Module 4 · Be Yourself</t>
        </is>
      </c>
      <c r="C735" s="9" t="inlineStr">
        <is>
          <t>4c</t>
        </is>
      </c>
      <c r="D735" s="9" t="inlineStr">
        <is>
          <t>Passive Voice</t>
        </is>
      </c>
      <c r="E735" s="23" t="inlineStr">
        <is>
          <t>Passive Voice: значение — акцент на исполнителе</t>
        </is>
      </c>
      <c r="F735" s="26" t="inlineStr">
        <is>
          <t>новое</t>
        </is>
      </c>
      <c r="G735" s="9" t="inlineStr">
        <is>
          <t>by the president himself</t>
        </is>
      </c>
      <c r="H735" s="25" t="inlineStr">
        <is>
          <t>10+</t>
        </is>
      </c>
      <c r="I735" s="9">
        <f>IFERROR(INDEX('Темы × классы'!$R:$R,MATCH(E735,'Темы × классы'!$E:$E,0)),"")</f>
        <v/>
      </c>
      <c r="J735" s="9">
        <f>IFERROR(INDEX('Темы × классы'!$S:$S,MATCH(E735,'Темы × классы'!$E:$E,0))&amp;"","")</f>
        <v/>
      </c>
      <c r="K735" s="9" t="inlineStr">
        <is>
          <t>не начат</t>
        </is>
      </c>
      <c r="L735" s="9" t="inlineStr">
        <is>
          <t>Spotlight / 8 класс / Module 4 · Be Yourself / Passive Voice / Passive Voice: значение — акцент на исполнителе</t>
        </is>
      </c>
    </row>
    <row r="736">
      <c r="A736" s="25" t="n">
        <v>8</v>
      </c>
      <c r="B736" s="9" t="inlineStr">
        <is>
          <t>Module 4 · Be Yourself</t>
        </is>
      </c>
      <c r="C736" s="9" t="inlineStr">
        <is>
          <t>4c</t>
        </is>
      </c>
      <c r="D736" s="9" t="inlineStr">
        <is>
          <t>Passive Voice</t>
        </is>
      </c>
      <c r="E736" s="23" t="inlineStr">
        <is>
          <t>Passive Voice: значение — формальность, вежливость</t>
        </is>
      </c>
      <c r="F736" s="26" t="inlineStr">
        <is>
          <t>новое</t>
        </is>
      </c>
      <c r="G736" s="9" t="inlineStr"/>
      <c r="H736" s="25" t="inlineStr">
        <is>
          <t>10+</t>
        </is>
      </c>
      <c r="I736" s="9">
        <f>IFERROR(INDEX('Темы × классы'!$R:$R,MATCH(E736,'Темы × классы'!$E:$E,0)),"")</f>
        <v/>
      </c>
      <c r="J736" s="9">
        <f>IFERROR(INDEX('Темы × классы'!$S:$S,MATCH(E736,'Темы × классы'!$E:$E,0))&amp;"","")</f>
        <v/>
      </c>
      <c r="K736" s="9" t="inlineStr">
        <is>
          <t>не начат</t>
        </is>
      </c>
      <c r="L736" s="9" t="inlineStr">
        <is>
          <t>Spotlight / 8 класс / Module 4 · Be Yourself / Passive Voice / Passive Voice: значение — формальность, вежливость</t>
        </is>
      </c>
    </row>
    <row r="737">
      <c r="A737" s="25" t="n">
        <v>8</v>
      </c>
      <c r="B737" s="9" t="inlineStr">
        <is>
          <t>Module 4 · Be Yourself</t>
        </is>
      </c>
      <c r="C737" s="9" t="inlineStr">
        <is>
          <t>4c</t>
        </is>
      </c>
      <c r="D737" s="9" t="inlineStr">
        <is>
          <t>Passive Voice</t>
        </is>
      </c>
      <c r="E737" s="23" t="inlineStr">
        <is>
          <t>Passive Voice: by + исполнитель vs with + инструмент/материал</t>
        </is>
      </c>
      <c r="F737" s="26" t="inlineStr">
        <is>
          <t>новое</t>
        </is>
      </c>
      <c r="G737" s="9" t="inlineStr"/>
      <c r="H737" s="25" t="inlineStr">
        <is>
          <t>10+</t>
        </is>
      </c>
      <c r="I737" s="9">
        <f>IFERROR(INDEX('Темы × классы'!$R:$R,MATCH(E737,'Темы × классы'!$E:$E,0)),"")</f>
        <v/>
      </c>
      <c r="J737" s="9">
        <f>IFERROR(INDEX('Темы × классы'!$S:$S,MATCH(E737,'Темы × классы'!$E:$E,0))&amp;"","")</f>
        <v/>
      </c>
      <c r="K737" s="9" t="inlineStr">
        <is>
          <t>не начат</t>
        </is>
      </c>
      <c r="L737" s="9" t="inlineStr">
        <is>
          <t>Spotlight / 8 класс / Module 4 · Be Yourself / Passive Voice / Passive Voice: by + исполнитель vs with + инструмент/материал</t>
        </is>
      </c>
    </row>
    <row r="738">
      <c r="A738" s="25" t="n">
        <v>8</v>
      </c>
      <c r="B738" s="9" t="inlineStr">
        <is>
          <t>Module 4 · Be Yourself</t>
        </is>
      </c>
      <c r="C738" s="9" t="inlineStr">
        <is>
          <t>4c</t>
        </is>
      </c>
      <c r="D738" s="9" t="inlineStr">
        <is>
          <t>Passive Voice</t>
        </is>
      </c>
      <c r="E738" s="23" t="inlineStr">
        <is>
          <t>Passive Voice: когда агент опускается (they, people, someone…)</t>
        </is>
      </c>
      <c r="F738" s="26" t="inlineStr">
        <is>
          <t>новое</t>
        </is>
      </c>
      <c r="G738" s="9" t="inlineStr">
        <is>
          <t>they, he, someone, people, one; не опускается, если важен</t>
        </is>
      </c>
      <c r="H738" s="25" t="inlineStr">
        <is>
          <t>10+</t>
        </is>
      </c>
      <c r="I738" s="9">
        <f>IFERROR(INDEX('Темы × классы'!$R:$R,MATCH(E738,'Темы × классы'!$E:$E,0)),"")</f>
        <v/>
      </c>
      <c r="J738" s="9">
        <f>IFERROR(INDEX('Темы × классы'!$S:$S,MATCH(E738,'Темы × классы'!$E:$E,0))&amp;"","")</f>
        <v/>
      </c>
      <c r="K738" s="9" t="inlineStr">
        <is>
          <t>не начат</t>
        </is>
      </c>
      <c r="L738" s="9" t="inlineStr">
        <is>
          <t>Spotlight / 8 класс / Module 4 · Be Yourself / Passive Voice / Passive Voice: когда агент опускается (they, people, someone…)</t>
        </is>
      </c>
    </row>
    <row r="739">
      <c r="A739" s="25" t="n">
        <v>8</v>
      </c>
      <c r="B739" s="9" t="inlineStr">
        <is>
          <t>Module 4 · Be Yourself</t>
        </is>
      </c>
      <c r="C739" s="9" t="inlineStr">
        <is>
          <t>4c</t>
        </is>
      </c>
      <c r="D739" s="9" t="inlineStr">
        <is>
          <t>Passive Voice</t>
        </is>
      </c>
      <c r="E739" s="23" t="inlineStr">
        <is>
          <t>Passive Voice: глаголы без пассива (непереходные; have, fit, suit, resemble…)</t>
        </is>
      </c>
      <c r="F739" s="26" t="inlineStr">
        <is>
          <t>новое</t>
        </is>
      </c>
      <c r="G739" s="9" t="inlineStr">
        <is>
          <t>только переходные; have, fit, suit, resemble</t>
        </is>
      </c>
      <c r="H739" s="25" t="inlineStr">
        <is>
          <t>10+</t>
        </is>
      </c>
      <c r="I739" s="9">
        <f>IFERROR(INDEX('Темы × классы'!$R:$R,MATCH(E739,'Темы × классы'!$E:$E,0)),"")</f>
        <v/>
      </c>
      <c r="J739" s="9">
        <f>IFERROR(INDEX('Темы × классы'!$S:$S,MATCH(E739,'Темы × классы'!$E:$E,0))&amp;"","")</f>
        <v/>
      </c>
      <c r="K739" s="9" t="inlineStr">
        <is>
          <t>не начат</t>
        </is>
      </c>
      <c r="L739" s="9" t="inlineStr">
        <is>
          <t>Spotlight / 8 класс / Module 4 · Be Yourself / Passive Voice / Passive Voice: глаголы без пассива (непереходные; have, fit, suit, resemble…)</t>
        </is>
      </c>
    </row>
    <row r="740">
      <c r="A740" s="25" t="n">
        <v>8</v>
      </c>
      <c r="B740" s="9" t="inlineStr">
        <is>
          <t>Module 4 · Be Yourself</t>
        </is>
      </c>
      <c r="C740" s="9" t="inlineStr">
        <is>
          <t>4c</t>
        </is>
      </c>
      <c r="D740" s="9" t="inlineStr">
        <is>
          <t>Passive Voice</t>
        </is>
      </c>
      <c r="E740" s="23" t="inlineStr">
        <is>
          <t>Passive Voice: get вместо be</t>
        </is>
      </c>
      <c r="F740" s="26" t="inlineStr">
        <is>
          <t>новое</t>
        </is>
      </c>
      <c r="G740" s="9" t="inlineStr">
        <is>
          <t>неожиданные события: The cheque got lost</t>
        </is>
      </c>
      <c r="H740" s="25" t="inlineStr">
        <is>
          <t>10+</t>
        </is>
      </c>
      <c r="I740" s="9">
        <f>IFERROR(INDEX('Темы × классы'!$R:$R,MATCH(E740,'Темы × классы'!$E:$E,0)),"")</f>
        <v/>
      </c>
      <c r="J740" s="9">
        <f>IFERROR(INDEX('Темы × классы'!$S:$S,MATCH(E740,'Темы × классы'!$E:$E,0))&amp;"","")</f>
        <v/>
      </c>
      <c r="K740" s="9" t="inlineStr">
        <is>
          <t>не начат</t>
        </is>
      </c>
      <c r="L740" s="9" t="inlineStr">
        <is>
          <t>Spotlight / 8 класс / Module 4 · Be Yourself / Passive Voice / Passive Voice: get вместо be</t>
        </is>
      </c>
    </row>
    <row r="741">
      <c r="A741" s="25" t="n">
        <v>8</v>
      </c>
      <c r="B741" s="9" t="inlineStr">
        <is>
          <t>Module 4 · Be Yourself</t>
        </is>
      </c>
      <c r="C741" s="9" t="inlineStr">
        <is>
          <t>4c</t>
        </is>
      </c>
      <c r="D741" s="9" t="inlineStr">
        <is>
          <t>Passive Voice</t>
        </is>
      </c>
      <c r="E741" s="23" t="inlineStr">
        <is>
          <t>Passive Voice: глаголы с двумя дополнениями (give, offer, send…)</t>
        </is>
      </c>
      <c r="F741" s="26" t="inlineStr">
        <is>
          <t>новое</t>
        </is>
      </c>
      <c r="G741" s="9" t="inlineStr">
        <is>
          <t>bring, tell, send, show, teach, promise, sell, read, offer, give, lend — две модели; explain, announce, dictate, write — одна</t>
        </is>
      </c>
      <c r="H741" s="25" t="inlineStr">
        <is>
          <t>10+</t>
        </is>
      </c>
      <c r="I741" s="9">
        <f>IFERROR(INDEX('Темы × классы'!$R:$R,MATCH(E741,'Темы × классы'!$E:$E,0)),"")</f>
        <v/>
      </c>
      <c r="J741" s="9">
        <f>IFERROR(INDEX('Темы × классы'!$S:$S,MATCH(E741,'Темы × классы'!$E:$E,0))&amp;"","")</f>
        <v/>
      </c>
      <c r="K741" s="9" t="inlineStr">
        <is>
          <t>не начат</t>
        </is>
      </c>
      <c r="L741" s="9" t="inlineStr">
        <is>
          <t>Spotlight / 8 класс / Module 4 · Be Yourself / Passive Voice / Passive Voice: глаголы с двумя дополнениями (give, offer, send…)</t>
        </is>
      </c>
    </row>
    <row r="742">
      <c r="A742" s="25" t="n">
        <v>8</v>
      </c>
      <c r="B742" s="9" t="inlineStr">
        <is>
          <t>Module 4 · Be Yourself</t>
        </is>
      </c>
      <c r="C742" s="9" t="inlineStr">
        <is>
          <t>4c</t>
        </is>
      </c>
      <c r="D742" s="9" t="inlineStr">
        <is>
          <t>Passive Voice</t>
        </is>
      </c>
      <c r="E742" s="23" t="inlineStr">
        <is>
          <t>Passive Voice: by в вопросах с who/whom/which</t>
        </is>
      </c>
      <c r="F742" s="26" t="inlineStr">
        <is>
          <t>новое</t>
        </is>
      </c>
      <c r="G742" s="9" t="inlineStr">
        <is>
          <t>Who will the tickets be booked by?</t>
        </is>
      </c>
      <c r="H742" s="25" t="inlineStr">
        <is>
          <t>10+</t>
        </is>
      </c>
      <c r="I742" s="9">
        <f>IFERROR(INDEX('Темы × классы'!$R:$R,MATCH(E742,'Темы × классы'!$E:$E,0)),"")</f>
        <v/>
      </c>
      <c r="J742" s="9">
        <f>IFERROR(INDEX('Темы × классы'!$S:$S,MATCH(E742,'Темы × классы'!$E:$E,0))&amp;"","")</f>
        <v/>
      </c>
      <c r="K742" s="9" t="inlineStr">
        <is>
          <t>не начат</t>
        </is>
      </c>
      <c r="L742" s="9" t="inlineStr">
        <is>
          <t>Spotlight / 8 класс / Module 4 · Be Yourself / Passive Voice / Passive Voice: by в вопросах с who/whom/which</t>
        </is>
      </c>
    </row>
    <row r="743">
      <c r="A743" s="25" t="n">
        <v>8</v>
      </c>
      <c r="B743" s="9" t="inlineStr">
        <is>
          <t>Module 4 · Be Yourself</t>
        </is>
      </c>
      <c r="C743" s="9" t="inlineStr">
        <is>
          <t>4b</t>
        </is>
      </c>
      <c r="D743" s="9" t="inlineStr">
        <is>
          <t>too / enough</t>
        </is>
      </c>
      <c r="E743" s="23" t="inlineStr">
        <is>
          <t>too / enough: too + прил./нареч. — чрезмерность</t>
        </is>
      </c>
      <c r="F743" s="26" t="inlineStr">
        <is>
          <t>новое</t>
        </is>
      </c>
      <c r="G743" s="9" t="inlineStr">
        <is>
          <t>too busy</t>
        </is>
      </c>
      <c r="H743" s="25" t="inlineStr">
        <is>
          <t>10+</t>
        </is>
      </c>
      <c r="I743" s="9">
        <f>IFERROR(INDEX('Темы × классы'!$R:$R,MATCH(E743,'Темы × классы'!$E:$E,0)),"")</f>
        <v/>
      </c>
      <c r="J743" s="9">
        <f>IFERROR(INDEX('Темы × классы'!$S:$S,MATCH(E743,'Темы × классы'!$E:$E,0))&amp;"","")</f>
        <v/>
      </c>
      <c r="K743" s="9" t="inlineStr">
        <is>
          <t>не начат</t>
        </is>
      </c>
      <c r="L743" s="9" t="inlineStr">
        <is>
          <t>Spotlight / 8 класс / Module 4 · Be Yourself / too / enough / too / enough: too + прил./нареч. — чрезмерность</t>
        </is>
      </c>
    </row>
    <row r="744">
      <c r="A744" s="25" t="n">
        <v>8</v>
      </c>
      <c r="B744" s="9" t="inlineStr">
        <is>
          <t>Module 4 · Be Yourself</t>
        </is>
      </c>
      <c r="C744" s="9" t="inlineStr">
        <is>
          <t>4b</t>
        </is>
      </c>
      <c r="D744" s="9" t="inlineStr">
        <is>
          <t>too / enough</t>
        </is>
      </c>
      <c r="E744" s="23" t="inlineStr">
        <is>
          <t>too / enough: прил./нареч. + enough — достаточность</t>
        </is>
      </c>
      <c r="F744" s="26" t="inlineStr">
        <is>
          <t>новое</t>
        </is>
      </c>
      <c r="G744" s="9" t="inlineStr">
        <is>
          <t>well enough, not old enough</t>
        </is>
      </c>
      <c r="H744" s="25" t="inlineStr">
        <is>
          <t>10+</t>
        </is>
      </c>
      <c r="I744" s="9">
        <f>IFERROR(INDEX('Темы × классы'!$R:$R,MATCH(E744,'Темы × классы'!$E:$E,0)),"")</f>
        <v/>
      </c>
      <c r="J744" s="9">
        <f>IFERROR(INDEX('Темы × классы'!$S:$S,MATCH(E744,'Темы × классы'!$E:$E,0))&amp;"","")</f>
        <v/>
      </c>
      <c r="K744" s="9" t="inlineStr">
        <is>
          <t>не начат</t>
        </is>
      </c>
      <c r="L744" s="9" t="inlineStr">
        <is>
          <t>Spotlight / 8 класс / Module 4 · Be Yourself / too / enough / too / enough: прил./нареч. + enough — достаточность</t>
        </is>
      </c>
    </row>
    <row r="745">
      <c r="A745" s="25" t="n">
        <v>8</v>
      </c>
      <c r="B745" s="9" t="inlineStr">
        <is>
          <t>Module 4 · Be Yourself</t>
        </is>
      </c>
      <c r="C745" s="9" t="inlineStr">
        <is>
          <t>4b</t>
        </is>
      </c>
      <c r="D745" s="9" t="inlineStr">
        <is>
          <t>too / enough</t>
        </is>
      </c>
      <c r="E745" s="23" t="inlineStr">
        <is>
          <t>too / enough: enough / not enough + существительное</t>
        </is>
      </c>
      <c r="F745" s="26" t="inlineStr">
        <is>
          <t>новое</t>
        </is>
      </c>
      <c r="G745" s="9" t="inlineStr">
        <is>
          <t>enough time, not enough chairs</t>
        </is>
      </c>
      <c r="H745" s="25" t="inlineStr">
        <is>
          <t>10+</t>
        </is>
      </c>
      <c r="I745" s="9">
        <f>IFERROR(INDEX('Темы × классы'!$R:$R,MATCH(E745,'Темы × классы'!$E:$E,0)),"")</f>
        <v/>
      </c>
      <c r="J745" s="9">
        <f>IFERROR(INDEX('Темы × классы'!$S:$S,MATCH(E745,'Темы × классы'!$E:$E,0))&amp;"","")</f>
        <v/>
      </c>
      <c r="K745" s="9" t="inlineStr">
        <is>
          <t>не начат</t>
        </is>
      </c>
      <c r="L745" s="9" t="inlineStr">
        <is>
          <t>Spotlight / 8 класс / Module 4 · Be Yourself / too / enough / too / enough: enough / not enough + существительное</t>
        </is>
      </c>
    </row>
    <row r="746">
      <c r="A746" s="25" t="n">
        <v>8</v>
      </c>
      <c r="B746" s="9" t="inlineStr">
        <is>
          <t>Module 4 · Be Yourself</t>
        </is>
      </c>
      <c r="C746" s="9" t="inlineStr">
        <is>
          <t>4b</t>
        </is>
      </c>
      <c r="D746" s="9" t="inlineStr">
        <is>
          <t>too / enough</t>
        </is>
      </c>
      <c r="E746" s="23" t="inlineStr">
        <is>
          <t>too / enough: too … / … enough + to-infinitive</t>
        </is>
      </c>
      <c r="F746" s="26" t="inlineStr">
        <is>
          <t>новое</t>
        </is>
      </c>
      <c r="G746" s="9" t="inlineStr">
        <is>
          <t>только в примерах: too busy to see you, not old enough to drive</t>
        </is>
      </c>
      <c r="H746" s="25" t="inlineStr">
        <is>
          <t>10+</t>
        </is>
      </c>
      <c r="I746" s="9">
        <f>IFERROR(INDEX('Темы × классы'!$R:$R,MATCH(E746,'Темы × классы'!$E:$E,0)),"")</f>
        <v/>
      </c>
      <c r="J746" s="9">
        <f>IFERROR(INDEX('Темы × классы'!$S:$S,MATCH(E746,'Темы × классы'!$E:$E,0))&amp;"","")</f>
        <v/>
      </c>
      <c r="K746" s="9" t="inlineStr">
        <is>
          <t>не начат</t>
        </is>
      </c>
      <c r="L746" s="9" t="inlineStr">
        <is>
          <t>Spotlight / 8 класс / Module 4 · Be Yourself / too / enough / too / enough: too … / … enough + to-infinitive</t>
        </is>
      </c>
    </row>
    <row r="747">
      <c r="A747" s="25" t="n">
        <v>8</v>
      </c>
      <c r="B747" s="9" t="inlineStr">
        <is>
          <t>Module 4 · Be Yourself</t>
        </is>
      </c>
      <c r="C747" s="9" t="inlineStr">
        <is>
          <t>4f</t>
        </is>
      </c>
      <c r="D747" s="9" t="inlineStr">
        <is>
          <t>Phrasal verbs</t>
        </is>
      </c>
      <c r="E747" s="23" t="inlineStr">
        <is>
          <t>Phrasal verbs: put</t>
        </is>
      </c>
      <c r="F747" s="26" t="inlineStr">
        <is>
          <t>новое</t>
        </is>
      </c>
      <c r="G747" s="9" t="inlineStr">
        <is>
          <t>put: put away (откладывать, убирать), put off (отсрочивать, откладывать), put on (надевать), put out (потушить огонь), put (sb) through (to sb) (соединить по телефону), put up with (мириться с чем-либо).</t>
        </is>
      </c>
      <c r="H747" s="25" t="inlineStr">
        <is>
          <t>10+</t>
        </is>
      </c>
      <c r="I747" s="9">
        <f>IFERROR(INDEX('Темы × классы'!$R:$R,MATCH(E747,'Темы × классы'!$E:$E,0)),"")</f>
        <v/>
      </c>
      <c r="J747" s="9">
        <f>IFERROR(INDEX('Темы × классы'!$S:$S,MATCH(E747,'Темы × классы'!$E:$E,0))&amp;"","")</f>
        <v/>
      </c>
      <c r="K747" s="9" t="inlineStr">
        <is>
          <t>не начат</t>
        </is>
      </c>
      <c r="L747" s="9" t="inlineStr">
        <is>
          <t>Spotlight / 8 класс / Module 4 · Be Yourself / Phrasal verbs / Phrasal verbs: put</t>
        </is>
      </c>
    </row>
    <row r="748">
      <c r="A748" s="25" t="n">
        <v>8</v>
      </c>
      <c r="B748" s="9" t="inlineStr">
        <is>
          <t>Module 4 · Be Yourself</t>
        </is>
      </c>
      <c r="C748" s="9" t="inlineStr">
        <is>
          <t>4f</t>
        </is>
      </c>
      <c r="D748" s="9" t="inlineStr">
        <is>
          <t>Word formation</t>
        </is>
      </c>
      <c r="E748" s="23" t="inlineStr">
        <is>
          <t>Word formation: il-, im-, in-, ir-</t>
        </is>
      </c>
      <c r="F748" s="26" t="inlineStr">
        <is>
          <t>новое</t>
        </is>
      </c>
      <c r="G748" s="9" t="inlineStr">
        <is>
          <t>Образование прилагательных с противоположным значением: приставки il-, im-, in-, ir-.</t>
        </is>
      </c>
      <c r="H748" s="25" t="inlineStr">
        <is>
          <t>10+</t>
        </is>
      </c>
      <c r="I748" s="9">
        <f>IFERROR(INDEX('Темы × классы'!$R:$R,MATCH(E748,'Темы × классы'!$E:$E,0)),"")</f>
        <v/>
      </c>
      <c r="J748" s="9">
        <f>IFERROR(INDEX('Темы × классы'!$S:$S,MATCH(E748,'Темы × классы'!$E:$E,0))&amp;"","")</f>
        <v/>
      </c>
      <c r="K748" s="9" t="inlineStr">
        <is>
          <t>не начат</t>
        </is>
      </c>
      <c r="L748" s="9" t="inlineStr">
        <is>
          <t>Spotlight / 8 класс / Module 4 · Be Yourself / Word formation / Word formation: il-, im-, in-, ir-</t>
        </is>
      </c>
    </row>
    <row r="749">
      <c r="A749" s="25" t="n">
        <v>8</v>
      </c>
      <c r="B749" s="9" t="inlineStr">
        <is>
          <t>Module 4 · Be Yourself</t>
        </is>
      </c>
      <c r="C749" s="9" t="inlineStr">
        <is>
          <t>4f</t>
        </is>
      </c>
      <c r="D749" s="9" t="inlineStr">
        <is>
          <t>Dependent prepositions</t>
        </is>
      </c>
      <c r="E749" s="23" t="inlineStr">
        <is>
          <t>Dependent prepositions</t>
        </is>
      </c>
      <c r="F749" s="25" t="inlineStr">
        <is>
          <t>повторение</t>
        </is>
      </c>
      <c r="G749" s="9" t="inlineStr">
        <is>
          <t>Предлоги (prepositions) — тема English in Use 4f.</t>
        </is>
      </c>
      <c r="H749" s="25" t="inlineStr">
        <is>
          <t>10+</t>
        </is>
      </c>
      <c r="I749" s="9">
        <f>IFERROR(INDEX('Темы × классы'!$R:$R,MATCH(E749,'Темы × классы'!$E:$E,0)),"")</f>
        <v/>
      </c>
      <c r="J749" s="9">
        <f>IFERROR(INDEX('Темы × классы'!$S:$S,MATCH(E749,'Темы × классы'!$E:$E,0))&amp;"","")</f>
        <v/>
      </c>
      <c r="K749" s="9" t="inlineStr">
        <is>
          <t>не начат</t>
        </is>
      </c>
      <c r="L749" s="9" t="inlineStr">
        <is>
          <t>Spotlight / 8 класс / Module 4 · Be Yourself / Dependent prepositions / Dependent prepositions</t>
        </is>
      </c>
    </row>
    <row r="750">
      <c r="A750" s="25" t="n">
        <v>8</v>
      </c>
      <c r="B750" s="9" t="inlineStr">
        <is>
          <t>Module 4 · Be Yourself</t>
        </is>
      </c>
      <c r="C750" s="9" t="inlineStr">
        <is>
          <t>4f</t>
        </is>
      </c>
      <c r="D750" s="9" t="inlineStr">
        <is>
          <t>Words often confused</t>
        </is>
      </c>
      <c r="E750" s="23" t="inlineStr">
        <is>
          <t>Words often confused</t>
        </is>
      </c>
      <c r="F750" s="25" t="inlineStr">
        <is>
          <t>повторение</t>
        </is>
      </c>
      <c r="G750" s="9" t="inlineStr">
        <is>
          <t>Слова, которые часто путают — тема English in Use 4f.</t>
        </is>
      </c>
      <c r="H750" s="25" t="inlineStr">
        <is>
          <t>10+</t>
        </is>
      </c>
      <c r="I750" s="9">
        <f>IFERROR(INDEX('Темы × классы'!$R:$R,MATCH(E750,'Темы × классы'!$E:$E,0)),"")</f>
        <v/>
      </c>
      <c r="J750" s="9">
        <f>IFERROR(INDEX('Темы × классы'!$S:$S,MATCH(E750,'Темы × классы'!$E:$E,0))&amp;"","")</f>
        <v/>
      </c>
      <c r="K750" s="9" t="inlineStr">
        <is>
          <t>не начат</t>
        </is>
      </c>
      <c r="L750" s="9" t="inlineStr">
        <is>
          <t>Spotlight / 8 класс / Module 4 · Be Yourself / Words often confused / Words often confused</t>
        </is>
      </c>
    </row>
    <row r="751">
      <c r="A751" s="25" t="n">
        <v>8</v>
      </c>
      <c r="B751" s="9" t="inlineStr">
        <is>
          <t>Module 5 · Global Issues</t>
        </is>
      </c>
      <c r="C751" s="9" t="inlineStr">
        <is>
          <t>5c</t>
        </is>
      </c>
      <c r="D751" s="9" t="inlineStr">
        <is>
          <t>Infinitive / -ing form</t>
        </is>
      </c>
      <c r="E751" s="23" t="inlineStr">
        <is>
          <t>-ing form: в роли подлежащего</t>
        </is>
      </c>
      <c r="F751" s="26" t="inlineStr">
        <is>
          <t>новое</t>
        </is>
      </c>
      <c r="G751" s="9" t="inlineStr"/>
      <c r="H751" s="25" t="inlineStr">
        <is>
          <t>10+</t>
        </is>
      </c>
      <c r="I751" s="9">
        <f>IFERROR(INDEX('Темы × классы'!$R:$R,MATCH(E751,'Темы × классы'!$E:$E,0)),"")</f>
        <v/>
      </c>
      <c r="J751" s="9">
        <f>IFERROR(INDEX('Темы × классы'!$S:$S,MATCH(E751,'Темы × классы'!$E:$E,0))&amp;"","")</f>
        <v/>
      </c>
      <c r="K751" s="9" t="inlineStr">
        <is>
          <t>не начат</t>
        </is>
      </c>
      <c r="L751" s="9" t="inlineStr">
        <is>
          <t>Spotlight / 8 класс / Module 5 · Global Issues / Infinitive / -ing form / -ing form: в роли подлежащего</t>
        </is>
      </c>
    </row>
    <row r="752">
      <c r="A752" s="25" t="n">
        <v>8</v>
      </c>
      <c r="B752" s="9" t="inlineStr">
        <is>
          <t>Module 5 · Global Issues</t>
        </is>
      </c>
      <c r="C752" s="9" t="inlineStr">
        <is>
          <t>5c</t>
        </is>
      </c>
      <c r="D752" s="9" t="inlineStr">
        <is>
          <t>Infinitive / -ing form</t>
        </is>
      </c>
      <c r="E752" s="23" t="inlineStr">
        <is>
          <t>-ing form: после глаголов admit, avoid, consider, deny, fancy, go, imagine, mind, miss, practise, suggest…</t>
        </is>
      </c>
      <c r="F752" s="26" t="inlineStr">
        <is>
          <t>новое</t>
        </is>
      </c>
      <c r="G752" s="9" t="inlineStr">
        <is>
          <t>admit, appreciate, avoid, consider, continue, deny, fancy, go, imagine, mind, miss, practise, prevent, quit, save, suggest</t>
        </is>
      </c>
      <c r="H752" s="25" t="inlineStr">
        <is>
          <t>10+</t>
        </is>
      </c>
      <c r="I752" s="9">
        <f>IFERROR(INDEX('Темы × классы'!$R:$R,MATCH(E752,'Темы × классы'!$E:$E,0)),"")</f>
        <v/>
      </c>
      <c r="J752" s="9">
        <f>IFERROR(INDEX('Темы × классы'!$S:$S,MATCH(E752,'Темы × классы'!$E:$E,0))&amp;"","")</f>
        <v/>
      </c>
      <c r="K752" s="9" t="inlineStr">
        <is>
          <t>не начат</t>
        </is>
      </c>
      <c r="L752" s="9" t="inlineStr">
        <is>
          <t>Spotlight / 8 класс / Module 5 · Global Issues / Infinitive / -ing form / -ing form: после глаголов admit, avoid, consider, deny, fancy, go, imagine, mind, miss, practise, suggest…</t>
        </is>
      </c>
    </row>
    <row r="753">
      <c r="A753" s="25" t="n">
        <v>8</v>
      </c>
      <c r="B753" s="9" t="inlineStr">
        <is>
          <t>Module 5 · Global Issues</t>
        </is>
      </c>
      <c r="C753" s="9" t="inlineStr">
        <is>
          <t>5c</t>
        </is>
      </c>
      <c r="D753" s="9" t="inlineStr">
        <is>
          <t>Infinitive / -ing form</t>
        </is>
      </c>
      <c r="E753" s="23" t="inlineStr">
        <is>
          <t>-ing form: после like, love, enjoy, prefer, dislike, hate — общее предпочтение</t>
        </is>
      </c>
      <c r="F753" s="26" t="inlineStr">
        <is>
          <t>новое</t>
        </is>
      </c>
      <c r="G753" s="9" t="inlineStr"/>
      <c r="H753" s="25" t="inlineStr">
        <is>
          <t>10+</t>
        </is>
      </c>
      <c r="I753" s="9">
        <f>IFERROR(INDEX('Темы × классы'!$R:$R,MATCH(E753,'Темы × классы'!$E:$E,0)),"")</f>
        <v/>
      </c>
      <c r="J753" s="9">
        <f>IFERROR(INDEX('Темы × классы'!$S:$S,MATCH(E753,'Темы × классы'!$E:$E,0))&amp;"","")</f>
        <v/>
      </c>
      <c r="K753" s="9" t="inlineStr">
        <is>
          <t>не начат</t>
        </is>
      </c>
      <c r="L753" s="9" t="inlineStr">
        <is>
          <t>Spotlight / 8 класс / Module 5 · Global Issues / Infinitive / -ing form / -ing form: после like, love, enjoy, prefer, dislike, hate — общее предпочтение</t>
        </is>
      </c>
    </row>
    <row r="754">
      <c r="A754" s="25" t="n">
        <v>8</v>
      </c>
      <c r="B754" s="9" t="inlineStr">
        <is>
          <t>Module 5 · Global Issues</t>
        </is>
      </c>
      <c r="C754" s="9" t="inlineStr">
        <is>
          <t>5c</t>
        </is>
      </c>
      <c r="D754" s="9" t="inlineStr">
        <is>
          <t>Infinitive / -ing form</t>
        </is>
      </c>
      <c r="E754" s="23" t="inlineStr">
        <is>
          <t>-ing form: после выражений it's no use, it's (not) worth, can't help, there's no point…</t>
        </is>
      </c>
      <c r="F754" s="26" t="inlineStr">
        <is>
          <t>новое</t>
        </is>
      </c>
      <c r="G754" s="9" t="inlineStr">
        <is>
          <t>be busy, it's no use/good, it's (not) worth, what's the use of, can't help, there's no point, can't stand, have difficulty/trouble</t>
        </is>
      </c>
      <c r="H754" s="25" t="inlineStr">
        <is>
          <t>10+</t>
        </is>
      </c>
      <c r="I754" s="9">
        <f>IFERROR(INDEX('Темы × классы'!$R:$R,MATCH(E754,'Темы × классы'!$E:$E,0)),"")</f>
        <v/>
      </c>
      <c r="J754" s="9">
        <f>IFERROR(INDEX('Темы × классы'!$S:$S,MATCH(E754,'Темы × классы'!$E:$E,0))&amp;"","")</f>
        <v/>
      </c>
      <c r="K754" s="9" t="inlineStr">
        <is>
          <t>не начат</t>
        </is>
      </c>
      <c r="L754" s="9" t="inlineStr">
        <is>
          <t>Spotlight / 8 класс / Module 5 · Global Issues / Infinitive / -ing form / -ing form: после выражений it's no use, it's (not) worth, can't help, there's no point…</t>
        </is>
      </c>
    </row>
    <row r="755">
      <c r="A755" s="25" t="n">
        <v>8</v>
      </c>
      <c r="B755" s="9" t="inlineStr">
        <is>
          <t>Module 5 · Global Issues</t>
        </is>
      </c>
      <c r="C755" s="9" t="inlineStr">
        <is>
          <t>5c</t>
        </is>
      </c>
      <c r="D755" s="9" t="inlineStr">
        <is>
          <t>Infinitive / -ing form</t>
        </is>
      </c>
      <c r="E755" s="23" t="inlineStr">
        <is>
          <t>-ing form: после spend/waste/lose + время/деньги</t>
        </is>
      </c>
      <c r="F755" s="26" t="inlineStr">
        <is>
          <t>новое</t>
        </is>
      </c>
      <c r="G755" s="9" t="inlineStr"/>
      <c r="H755" s="25" t="inlineStr">
        <is>
          <t>10+</t>
        </is>
      </c>
      <c r="I755" s="9">
        <f>IFERROR(INDEX('Темы × классы'!$R:$R,MATCH(E755,'Темы × классы'!$E:$E,0)),"")</f>
        <v/>
      </c>
      <c r="J755" s="9">
        <f>IFERROR(INDEX('Темы × классы'!$S:$S,MATCH(E755,'Темы × классы'!$E:$E,0))&amp;"","")</f>
        <v/>
      </c>
      <c r="K755" s="9" t="inlineStr">
        <is>
          <t>не начат</t>
        </is>
      </c>
      <c r="L755" s="9" t="inlineStr">
        <is>
          <t>Spotlight / 8 класс / Module 5 · Global Issues / Infinitive / -ing form / -ing form: после spend/waste/lose + время/деньги</t>
        </is>
      </c>
    </row>
    <row r="756">
      <c r="A756" s="25" t="n">
        <v>8</v>
      </c>
      <c r="B756" s="9" t="inlineStr">
        <is>
          <t>Module 5 · Global Issues</t>
        </is>
      </c>
      <c r="C756" s="9" t="inlineStr">
        <is>
          <t>5c</t>
        </is>
      </c>
      <c r="D756" s="9" t="inlineStr">
        <is>
          <t>Infinitive / -ing form</t>
        </is>
      </c>
      <c r="E756" s="23" t="inlineStr">
        <is>
          <t>-ing form: после предлогов (look forward to, be used to, object to…)</t>
        </is>
      </c>
      <c r="F756" s="26" t="inlineStr">
        <is>
          <t>новое</t>
        </is>
      </c>
      <c r="G756" s="9" t="inlineStr">
        <is>
          <t>look forward to, be/get used to, in addition to, object to; другие предлоги</t>
        </is>
      </c>
      <c r="H756" s="25" t="inlineStr">
        <is>
          <t>10+</t>
        </is>
      </c>
      <c r="I756" s="9">
        <f>IFERROR(INDEX('Темы × классы'!$R:$R,MATCH(E756,'Темы × классы'!$E:$E,0)),"")</f>
        <v/>
      </c>
      <c r="J756" s="9">
        <f>IFERROR(INDEX('Темы × классы'!$S:$S,MATCH(E756,'Темы × классы'!$E:$E,0))&amp;"","")</f>
        <v/>
      </c>
      <c r="K756" s="9" t="inlineStr">
        <is>
          <t>не начат</t>
        </is>
      </c>
      <c r="L756" s="9" t="inlineStr">
        <is>
          <t>Spotlight / 8 класс / Module 5 · Global Issues / Infinitive / -ing form / -ing form: после предлогов (look forward to, be used to, object to…)</t>
        </is>
      </c>
    </row>
    <row r="757">
      <c r="A757" s="25" t="n">
        <v>8</v>
      </c>
      <c r="B757" s="9" t="inlineStr">
        <is>
          <t>Module 5 · Global Issues</t>
        </is>
      </c>
      <c r="C757" s="9" t="inlineStr">
        <is>
          <t>5c</t>
        </is>
      </c>
      <c r="D757" s="9" t="inlineStr">
        <is>
          <t>Infinitive / -ing form</t>
        </is>
      </c>
      <c r="E757" s="23" t="inlineStr">
        <is>
          <t>-ing vs bare infinitive после see, hear, watch, feel — незавершённое vs завершённое</t>
        </is>
      </c>
      <c r="F757" s="26" t="inlineStr">
        <is>
          <t>новое</t>
        </is>
      </c>
      <c r="G757" s="9" t="inlineStr">
        <is>
          <t>hear, listen to, notice, see, watch, feel</t>
        </is>
      </c>
      <c r="H757" s="25" t="inlineStr">
        <is>
          <t>10+</t>
        </is>
      </c>
      <c r="I757" s="9">
        <f>IFERROR(INDEX('Темы × классы'!$R:$R,MATCH(E757,'Темы × классы'!$E:$E,0)),"")</f>
        <v/>
      </c>
      <c r="J757" s="9">
        <f>IFERROR(INDEX('Темы × классы'!$S:$S,MATCH(E757,'Темы × классы'!$E:$E,0))&amp;"","")</f>
        <v/>
      </c>
      <c r="K757" s="9" t="inlineStr">
        <is>
          <t>не начат</t>
        </is>
      </c>
      <c r="L757" s="9" t="inlineStr">
        <is>
          <t>Spotlight / 8 класс / Module 5 · Global Issues / Infinitive / -ing form / -ing vs bare infinitive после see, hear, watch, feel — незавершённое vs завершённое</t>
        </is>
      </c>
    </row>
    <row r="758">
      <c r="A758" s="25" t="n">
        <v>8</v>
      </c>
      <c r="B758" s="9" t="inlineStr">
        <is>
          <t>Module 5 · Global Issues</t>
        </is>
      </c>
      <c r="C758" s="9" t="inlineStr">
        <is>
          <t>5c</t>
        </is>
      </c>
      <c r="D758" s="9" t="inlineStr">
        <is>
          <t>Infinitive / -ing form</t>
        </is>
      </c>
      <c r="E758" s="23" t="inlineStr">
        <is>
          <t>to-infinitive: цель</t>
        </is>
      </c>
      <c r="F758" s="26" t="inlineStr">
        <is>
          <t>новое</t>
        </is>
      </c>
      <c r="G758" s="9" t="inlineStr"/>
      <c r="H758" s="25" t="inlineStr">
        <is>
          <t>10+</t>
        </is>
      </c>
      <c r="I758" s="9">
        <f>IFERROR(INDEX('Темы × классы'!$R:$R,MATCH(E758,'Темы × классы'!$E:$E,0)),"")</f>
        <v/>
      </c>
      <c r="J758" s="9">
        <f>IFERROR(INDEX('Темы × классы'!$S:$S,MATCH(E758,'Темы × классы'!$E:$E,0))&amp;"","")</f>
        <v/>
      </c>
      <c r="K758" s="9" t="inlineStr">
        <is>
          <t>не начат</t>
        </is>
      </c>
      <c r="L758" s="9" t="inlineStr">
        <is>
          <t>Spotlight / 8 класс / Module 5 · Global Issues / Infinitive / -ing form / to-infinitive: цель</t>
        </is>
      </c>
    </row>
    <row r="759">
      <c r="A759" s="25" t="n">
        <v>8</v>
      </c>
      <c r="B759" s="9" t="inlineStr">
        <is>
          <t>Module 5 · Global Issues</t>
        </is>
      </c>
      <c r="C759" s="9" t="inlineStr">
        <is>
          <t>5c</t>
        </is>
      </c>
      <c r="D759" s="9" t="inlineStr">
        <is>
          <t>Infinitive / -ing form</t>
        </is>
      </c>
      <c r="E759" s="23" t="inlineStr">
        <is>
          <t>to-infinitive: после agree, decide, expect, hope, plan, promise, refuse, want</t>
        </is>
      </c>
      <c r="F759" s="26" t="inlineStr">
        <is>
          <t>новое</t>
        </is>
      </c>
      <c r="G759" s="9" t="inlineStr"/>
      <c r="H759" s="25" t="inlineStr">
        <is>
          <t>10+</t>
        </is>
      </c>
      <c r="I759" s="9">
        <f>IFERROR(INDEX('Темы × классы'!$R:$R,MATCH(E759,'Темы × классы'!$E:$E,0)),"")</f>
        <v/>
      </c>
      <c r="J759" s="9">
        <f>IFERROR(INDEX('Темы × классы'!$S:$S,MATCH(E759,'Темы × классы'!$E:$E,0))&amp;"","")</f>
        <v/>
      </c>
      <c r="K759" s="9" t="inlineStr">
        <is>
          <t>не начат</t>
        </is>
      </c>
      <c r="L759" s="9" t="inlineStr">
        <is>
          <t>Spotlight / 8 класс / Module 5 · Global Issues / Infinitive / -ing form / to-infinitive: после agree, decide, expect, hope, plan, promise, refuse, want</t>
        </is>
      </c>
    </row>
    <row r="760">
      <c r="A760" s="25" t="n">
        <v>8</v>
      </c>
      <c r="B760" s="9" t="inlineStr">
        <is>
          <t>Module 5 · Global Issues</t>
        </is>
      </c>
      <c r="C760" s="9" t="inlineStr">
        <is>
          <t>5c</t>
        </is>
      </c>
      <c r="D760" s="9" t="inlineStr">
        <is>
          <t>Infinitive / -ing form</t>
        </is>
      </c>
      <c r="E760" s="23" t="inlineStr">
        <is>
          <t>to-infinitive: после would like/prefer/love — конкретное предпочтение</t>
        </is>
      </c>
      <c r="F760" s="26" t="inlineStr">
        <is>
          <t>новое</t>
        </is>
      </c>
      <c r="G760" s="9" t="inlineStr"/>
      <c r="H760" s="25" t="inlineStr">
        <is>
          <t>10+</t>
        </is>
      </c>
      <c r="I760" s="9">
        <f>IFERROR(INDEX('Темы × классы'!$R:$R,MATCH(E760,'Темы × классы'!$E:$E,0)),"")</f>
        <v/>
      </c>
      <c r="J760" s="9">
        <f>IFERROR(INDEX('Темы × классы'!$S:$S,MATCH(E760,'Темы × классы'!$E:$E,0))&amp;"","")</f>
        <v/>
      </c>
      <c r="K760" s="9" t="inlineStr">
        <is>
          <t>не начат</t>
        </is>
      </c>
      <c r="L760" s="9" t="inlineStr">
        <is>
          <t>Spotlight / 8 класс / Module 5 · Global Issues / Infinitive / -ing form / to-infinitive: после would like/prefer/love — конкретное предпочтение</t>
        </is>
      </c>
    </row>
    <row r="761">
      <c r="A761" s="25" t="n">
        <v>8</v>
      </c>
      <c r="B761" s="9" t="inlineStr">
        <is>
          <t>Module 5 · Global Issues</t>
        </is>
      </c>
      <c r="C761" s="9" t="inlineStr">
        <is>
          <t>5c</t>
        </is>
      </c>
      <c r="D761" s="9" t="inlineStr">
        <is>
          <t>Infinitive / -ing form</t>
        </is>
      </c>
      <c r="E761" s="23" t="inlineStr">
        <is>
          <t>to-infinitive: после прилагательных (happy, eager, kind, lucky…); It was kind of you to…</t>
        </is>
      </c>
      <c r="F761" s="26" t="inlineStr">
        <is>
          <t>новое</t>
        </is>
      </c>
      <c r="G761" s="9" t="inlineStr">
        <is>
          <t>чувства, желание, характер, lucky/fortunate; It was kind of them to…</t>
        </is>
      </c>
      <c r="H761" s="25" t="inlineStr">
        <is>
          <t>10+</t>
        </is>
      </c>
      <c r="I761" s="9">
        <f>IFERROR(INDEX('Темы × классы'!$R:$R,MATCH(E761,'Темы × классы'!$E:$E,0)),"")</f>
        <v/>
      </c>
      <c r="J761" s="9">
        <f>IFERROR(INDEX('Темы × классы'!$S:$S,MATCH(E761,'Темы × классы'!$E:$E,0))&amp;"","")</f>
        <v/>
      </c>
      <c r="K761" s="9" t="inlineStr">
        <is>
          <t>не начат</t>
        </is>
      </c>
      <c r="L761" s="9" t="inlineStr">
        <is>
          <t>Spotlight / 8 класс / Module 5 · Global Issues / Infinitive / -ing form / to-infinitive: после прилагательных (happy, eager, kind, lucky…); It was kind of you to…</t>
        </is>
      </c>
    </row>
    <row r="762">
      <c r="A762" s="25" t="n">
        <v>8</v>
      </c>
      <c r="B762" s="9" t="inlineStr">
        <is>
          <t>Module 5 · Global Issues</t>
        </is>
      </c>
      <c r="C762" s="9" t="inlineStr">
        <is>
          <t>5c</t>
        </is>
      </c>
      <c r="D762" s="9" t="inlineStr">
        <is>
          <t>Infinitive / -ing form</t>
        </is>
      </c>
      <c r="E762" s="23" t="inlineStr">
        <is>
          <t>to-infinitive: после too/enough</t>
        </is>
      </c>
      <c r="F762" s="26" t="inlineStr">
        <is>
          <t>новое</t>
        </is>
      </c>
      <c r="G762" s="9" t="inlineStr"/>
      <c r="H762" s="25" t="inlineStr">
        <is>
          <t>10+</t>
        </is>
      </c>
      <c r="I762" s="9">
        <f>IFERROR(INDEX('Темы × классы'!$R:$R,MATCH(E762,'Темы × классы'!$E:$E,0)),"")</f>
        <v/>
      </c>
      <c r="J762" s="9">
        <f>IFERROR(INDEX('Темы × классы'!$S:$S,MATCH(E762,'Темы × классы'!$E:$E,0))&amp;"","")</f>
        <v/>
      </c>
      <c r="K762" s="9" t="inlineStr">
        <is>
          <t>не начат</t>
        </is>
      </c>
      <c r="L762" s="9" t="inlineStr">
        <is>
          <t>Spotlight / 8 класс / Module 5 · Global Issues / Infinitive / -ing form / to-infinitive: после too/enough</t>
        </is>
      </c>
    </row>
    <row r="763">
      <c r="A763" s="25" t="n">
        <v>8</v>
      </c>
      <c r="B763" s="9" t="inlineStr">
        <is>
          <t>Module 5 · Global Issues</t>
        </is>
      </c>
      <c r="C763" s="9" t="inlineStr">
        <is>
          <t>5c</t>
        </is>
      </c>
      <c r="D763" s="9" t="inlineStr">
        <is>
          <t>Infinitive / -ing form</t>
        </is>
      </c>
      <c r="E763" s="23" t="inlineStr">
        <is>
          <t>to-infinitive: после be the first/next/last</t>
        </is>
      </c>
      <c r="F763" s="26" t="inlineStr">
        <is>
          <t>новое</t>
        </is>
      </c>
      <c r="G763" s="9" t="inlineStr"/>
      <c r="H763" s="25" t="inlineStr">
        <is>
          <t>10+</t>
        </is>
      </c>
      <c r="I763" s="9">
        <f>IFERROR(INDEX('Темы × классы'!$R:$R,MATCH(E763,'Темы × классы'!$E:$E,0)),"")</f>
        <v/>
      </c>
      <c r="J763" s="9">
        <f>IFERROR(INDEX('Темы × классы'!$S:$S,MATCH(E763,'Темы × классы'!$E:$E,0))&amp;"","")</f>
        <v/>
      </c>
      <c r="K763" s="9" t="inlineStr">
        <is>
          <t>не начат</t>
        </is>
      </c>
      <c r="L763" s="9" t="inlineStr">
        <is>
          <t>Spotlight / 8 класс / Module 5 · Global Issues / Infinitive / -ing form / to-infinitive: после be the first/next/last</t>
        </is>
      </c>
    </row>
    <row r="764">
      <c r="A764" s="25" t="n">
        <v>8</v>
      </c>
      <c r="B764" s="9" t="inlineStr">
        <is>
          <t>Module 5 · Global Issues</t>
        </is>
      </c>
      <c r="C764" s="9" t="inlineStr">
        <is>
          <t>5c</t>
        </is>
      </c>
      <c r="D764" s="9" t="inlineStr">
        <is>
          <t>Infinitive / -ing form</t>
        </is>
      </c>
      <c r="E764" s="23" t="inlineStr">
        <is>
          <t>to-infinitive: устойчивые выражения (to tell you the truth, to be honest, to sum up…)</t>
        </is>
      </c>
      <c r="F764" s="26" t="inlineStr">
        <is>
          <t>новое</t>
        </is>
      </c>
      <c r="G764" s="9" t="inlineStr">
        <is>
          <t>to tell you the truth, to be honest, to sum up, to begin with</t>
        </is>
      </c>
      <c r="H764" s="25" t="inlineStr">
        <is>
          <t>10+</t>
        </is>
      </c>
      <c r="I764" s="9">
        <f>IFERROR(INDEX('Темы × классы'!$R:$R,MATCH(E764,'Темы × классы'!$E:$E,0)),"")</f>
        <v/>
      </c>
      <c r="J764" s="9">
        <f>IFERROR(INDEX('Темы × классы'!$S:$S,MATCH(E764,'Темы × классы'!$E:$E,0))&amp;"","")</f>
        <v/>
      </c>
      <c r="K764" s="9" t="inlineStr">
        <is>
          <t>не начат</t>
        </is>
      </c>
      <c r="L764" s="9" t="inlineStr">
        <is>
          <t>Spotlight / 8 класс / Module 5 · Global Issues / Infinitive / -ing form / to-infinitive: устойчивые выражения (to tell you the truth, to be honest, to sum up…)</t>
        </is>
      </c>
    </row>
    <row r="765">
      <c r="A765" s="25" t="n">
        <v>8</v>
      </c>
      <c r="B765" s="9" t="inlineStr">
        <is>
          <t>Module 5 · Global Issues</t>
        </is>
      </c>
      <c r="C765" s="9" t="inlineStr">
        <is>
          <t>5c</t>
        </is>
      </c>
      <c r="D765" s="9" t="inlineStr">
        <is>
          <t>Infinitive / -ing form</t>
        </is>
      </c>
      <c r="E765" s="23" t="inlineStr">
        <is>
          <t>to-infinitive: второй инфинитив после and/or без to</t>
        </is>
      </c>
      <c r="F765" s="26" t="inlineStr">
        <is>
          <t>новое</t>
        </is>
      </c>
      <c r="G765" s="9" t="inlineStr">
        <is>
          <t>дано при цели</t>
        </is>
      </c>
      <c r="H765" s="25" t="inlineStr">
        <is>
          <t>10+</t>
        </is>
      </c>
      <c r="I765" s="9">
        <f>IFERROR(INDEX('Темы × классы'!$R:$R,MATCH(E765,'Темы × классы'!$E:$E,0)),"")</f>
        <v/>
      </c>
      <c r="J765" s="9">
        <f>IFERROR(INDEX('Темы × классы'!$S:$S,MATCH(E765,'Темы × классы'!$E:$E,0))&amp;"","")</f>
        <v/>
      </c>
      <c r="K765" s="9" t="inlineStr">
        <is>
          <t>не начат</t>
        </is>
      </c>
      <c r="L765" s="9" t="inlineStr">
        <is>
          <t>Spotlight / 8 класс / Module 5 · Global Issues / Infinitive / -ing form / to-infinitive: второй инфинитив после and/or без to</t>
        </is>
      </c>
    </row>
    <row r="766">
      <c r="A766" s="25" t="n">
        <v>8</v>
      </c>
      <c r="B766" s="9" t="inlineStr">
        <is>
          <t>Module 5 · Global Issues</t>
        </is>
      </c>
      <c r="C766" s="9" t="inlineStr">
        <is>
          <t>5c</t>
        </is>
      </c>
      <c r="D766" s="9" t="inlineStr">
        <is>
          <t>Infinitive / -ing form</t>
        </is>
      </c>
      <c r="E766" s="23" t="inlineStr">
        <is>
          <t>Bare infinitive: после модальных, had better, would rather</t>
        </is>
      </c>
      <c r="F766" s="26" t="inlineStr">
        <is>
          <t>новое</t>
        </is>
      </c>
      <c r="G766" s="9" t="inlineStr"/>
      <c r="H766" s="25" t="inlineStr">
        <is>
          <t>10+</t>
        </is>
      </c>
      <c r="I766" s="9">
        <f>IFERROR(INDEX('Темы × классы'!$R:$R,MATCH(E766,'Темы × классы'!$E:$E,0)),"")</f>
        <v/>
      </c>
      <c r="J766" s="9">
        <f>IFERROR(INDEX('Темы × классы'!$S:$S,MATCH(E766,'Темы × классы'!$E:$E,0))&amp;"","")</f>
        <v/>
      </c>
      <c r="K766" s="9" t="inlineStr">
        <is>
          <t>не начат</t>
        </is>
      </c>
      <c r="L766" s="9" t="inlineStr">
        <is>
          <t>Spotlight / 8 класс / Module 5 · Global Issues / Infinitive / -ing form / Bare infinitive: после модальных, had better, would rather</t>
        </is>
      </c>
    </row>
    <row r="767">
      <c r="A767" s="25" t="n">
        <v>8</v>
      </c>
      <c r="B767" s="9" t="inlineStr">
        <is>
          <t>Module 5 · Global Issues</t>
        </is>
      </c>
      <c r="C767" s="9" t="inlineStr">
        <is>
          <t>5c</t>
        </is>
      </c>
      <c r="D767" s="9" t="inlineStr">
        <is>
          <t>Infinitive / -ing form</t>
        </is>
      </c>
      <c r="E767" s="23" t="inlineStr">
        <is>
          <t>Bare infinitive: let/make/see/hear/feel + object + V; в пассиве + to (was made to)</t>
        </is>
      </c>
      <c r="F767" s="26" t="inlineStr">
        <is>
          <t>новое</t>
        </is>
      </c>
      <c r="G767" s="9" t="inlineStr">
        <is>
          <t>let, make, see, hear, feel; be made/heard/seen + to</t>
        </is>
      </c>
      <c r="H767" s="25" t="inlineStr">
        <is>
          <t>10+</t>
        </is>
      </c>
      <c r="I767" s="9">
        <f>IFERROR(INDEX('Темы × классы'!$R:$R,MATCH(E767,'Темы × классы'!$E:$E,0)),"")</f>
        <v/>
      </c>
      <c r="J767" s="9">
        <f>IFERROR(INDEX('Темы × классы'!$S:$S,MATCH(E767,'Темы × классы'!$E:$E,0))&amp;"","")</f>
        <v/>
      </c>
      <c r="K767" s="9" t="inlineStr">
        <is>
          <t>не начат</t>
        </is>
      </c>
      <c r="L767" s="9" t="inlineStr">
        <is>
          <t>Spotlight / 8 класс / Module 5 · Global Issues / Infinitive / -ing form / Bare infinitive: let/make/see/hear/feel + object + V; в пассиве + to (was made to)</t>
        </is>
      </c>
    </row>
    <row r="768">
      <c r="A768" s="25" t="n">
        <v>8</v>
      </c>
      <c r="B768" s="9" t="inlineStr">
        <is>
          <t>Module 5 · Global Issues</t>
        </is>
      </c>
      <c r="C768" s="9" t="inlineStr">
        <is>
          <t>5c</t>
        </is>
      </c>
      <c r="D768" s="9" t="inlineStr">
        <is>
          <t>Infinitive / -ing form</t>
        </is>
      </c>
      <c r="E768" s="23" t="inlineStr">
        <is>
          <t>Bare infinitive: help + (to) V</t>
        </is>
      </c>
      <c r="F768" s="26" t="inlineStr">
        <is>
          <t>новое</t>
        </is>
      </c>
      <c r="G768" s="9" t="inlineStr"/>
      <c r="H768" s="25" t="inlineStr">
        <is>
          <t>10+</t>
        </is>
      </c>
      <c r="I768" s="9">
        <f>IFERROR(INDEX('Темы × классы'!$R:$R,MATCH(E768,'Темы × классы'!$E:$E,0)),"")</f>
        <v/>
      </c>
      <c r="J768" s="9">
        <f>IFERROR(INDEX('Темы × классы'!$S:$S,MATCH(E768,'Темы × классы'!$E:$E,0))&amp;"","")</f>
        <v/>
      </c>
      <c r="K768" s="9" t="inlineStr">
        <is>
          <t>не начат</t>
        </is>
      </c>
      <c r="L768" s="9" t="inlineStr">
        <is>
          <t>Spotlight / 8 класс / Module 5 · Global Issues / Infinitive / -ing form / Bare infinitive: help + (to) V</t>
        </is>
      </c>
    </row>
    <row r="769">
      <c r="A769" s="25" t="n">
        <v>8</v>
      </c>
      <c r="B769" s="9" t="inlineStr">
        <is>
          <t>Module 5 · Global Issues</t>
        </is>
      </c>
      <c r="C769" s="9" t="inlineStr">
        <is>
          <t>5c</t>
        </is>
      </c>
      <c r="D769" s="9" t="inlineStr">
        <is>
          <t>Infinitive / -ing form (difference in meaning)</t>
        </is>
      </c>
      <c r="E769" s="23" t="inlineStr">
        <is>
          <t>Infinitive vs -ing: forget/remember</t>
        </is>
      </c>
      <c r="F769" s="26" t="inlineStr">
        <is>
          <t>новое</t>
        </is>
      </c>
      <c r="G769" s="9" t="inlineStr">
        <is>
          <t>обзорно в теме Infinitive / -ing form</t>
        </is>
      </c>
      <c r="H769" s="25" t="inlineStr">
        <is>
          <t>10+</t>
        </is>
      </c>
      <c r="I769" s="9">
        <f>IFERROR(INDEX('Темы × классы'!$R:$R,MATCH(E769,'Темы × классы'!$E:$E,0)),"")</f>
        <v/>
      </c>
      <c r="J769" s="9">
        <f>IFERROR(INDEX('Темы × классы'!$S:$S,MATCH(E769,'Темы × классы'!$E:$E,0))&amp;"","")</f>
        <v/>
      </c>
      <c r="K769" s="9" t="inlineStr">
        <is>
          <t>не начат</t>
        </is>
      </c>
      <c r="L769" s="9" t="inlineStr">
        <is>
          <t>Spotlight / 8 класс / Module 5 · Global Issues / Infinitive / -ing form (difference in meaning) / Infinitive vs -ing: forget/remember</t>
        </is>
      </c>
    </row>
    <row r="770">
      <c r="A770" s="25" t="n">
        <v>8</v>
      </c>
      <c r="B770" s="9" t="inlineStr">
        <is>
          <t>Module 5 · Global Issues</t>
        </is>
      </c>
      <c r="C770" s="9" t="inlineStr">
        <is>
          <t>5c</t>
        </is>
      </c>
      <c r="D770" s="9" t="inlineStr">
        <is>
          <t>Infinitive / -ing form (difference in meaning)</t>
        </is>
      </c>
      <c r="E770" s="23" t="inlineStr">
        <is>
          <t>Infinitive vs -ing: stop</t>
        </is>
      </c>
      <c r="F770" s="26" t="inlineStr">
        <is>
          <t>новое</t>
        </is>
      </c>
      <c r="G770" s="9" t="inlineStr">
        <is>
          <t>обзорно</t>
        </is>
      </c>
      <c r="H770" s="25" t="inlineStr">
        <is>
          <t>10+</t>
        </is>
      </c>
      <c r="I770" s="9">
        <f>IFERROR(INDEX('Темы × классы'!$R:$R,MATCH(E770,'Темы × классы'!$E:$E,0)),"")</f>
        <v/>
      </c>
      <c r="J770" s="9">
        <f>IFERROR(INDEX('Темы × классы'!$S:$S,MATCH(E770,'Темы × классы'!$E:$E,0))&amp;"","")</f>
        <v/>
      </c>
      <c r="K770" s="9" t="inlineStr">
        <is>
          <t>не начат</t>
        </is>
      </c>
      <c r="L770" s="9" t="inlineStr">
        <is>
          <t>Spotlight / 8 класс / Module 5 · Global Issues / Infinitive / -ing form (difference in meaning) / Infinitive vs -ing: stop</t>
        </is>
      </c>
    </row>
    <row r="771">
      <c r="A771" s="25" t="n">
        <v>8</v>
      </c>
      <c r="B771" s="9" t="inlineStr">
        <is>
          <t>Module 5 · Global Issues</t>
        </is>
      </c>
      <c r="C771" s="9" t="inlineStr">
        <is>
          <t>5c</t>
        </is>
      </c>
      <c r="D771" s="9" t="inlineStr">
        <is>
          <t>Infinitive / -ing form (difference in meaning)</t>
        </is>
      </c>
      <c r="E771" s="23" t="inlineStr">
        <is>
          <t>Infinitive vs -ing: try</t>
        </is>
      </c>
      <c r="F771" s="26" t="inlineStr">
        <is>
          <t>новое</t>
        </is>
      </c>
      <c r="G771" s="9" t="inlineStr">
        <is>
          <t>обзорно</t>
        </is>
      </c>
      <c r="H771" s="25" t="inlineStr">
        <is>
          <t>10+</t>
        </is>
      </c>
      <c r="I771" s="9">
        <f>IFERROR(INDEX('Темы × классы'!$R:$R,MATCH(E771,'Темы × классы'!$E:$E,0)),"")</f>
        <v/>
      </c>
      <c r="J771" s="9">
        <f>IFERROR(INDEX('Темы × классы'!$S:$S,MATCH(E771,'Темы × классы'!$E:$E,0))&amp;"","")</f>
        <v/>
      </c>
      <c r="K771" s="9" t="inlineStr">
        <is>
          <t>не начат</t>
        </is>
      </c>
      <c r="L771" s="9" t="inlineStr">
        <is>
          <t>Spotlight / 8 класс / Module 5 · Global Issues / Infinitive / -ing form (difference in meaning) / Infinitive vs -ing: try</t>
        </is>
      </c>
    </row>
    <row r="772">
      <c r="A772" s="25" t="n">
        <v>8</v>
      </c>
      <c r="B772" s="9" t="inlineStr">
        <is>
          <t>Module 5 · Global Issues</t>
        </is>
      </c>
      <c r="C772" s="9" t="inlineStr">
        <is>
          <t>5c</t>
        </is>
      </c>
      <c r="D772" s="9" t="inlineStr">
        <is>
          <t>Infinitive / -ing form (difference in meaning)</t>
        </is>
      </c>
      <c r="E772" s="23" t="inlineStr">
        <is>
          <t>Infinitive vs -ing: regret</t>
        </is>
      </c>
      <c r="F772" s="26" t="inlineStr">
        <is>
          <t>новое</t>
        </is>
      </c>
      <c r="G772" s="9" t="inlineStr">
        <is>
          <t>обзорно</t>
        </is>
      </c>
      <c r="H772" s="25" t="inlineStr">
        <is>
          <t>10+</t>
        </is>
      </c>
      <c r="I772" s="9">
        <f>IFERROR(INDEX('Темы × классы'!$R:$R,MATCH(E772,'Темы × классы'!$E:$E,0)),"")</f>
        <v/>
      </c>
      <c r="J772" s="9">
        <f>IFERROR(INDEX('Темы × классы'!$S:$S,MATCH(E772,'Темы × классы'!$E:$E,0))&amp;"","")</f>
        <v/>
      </c>
      <c r="K772" s="9" t="inlineStr">
        <is>
          <t>не начат</t>
        </is>
      </c>
      <c r="L772" s="9" t="inlineStr">
        <is>
          <t>Spotlight / 8 класс / Module 5 · Global Issues / Infinitive / -ing form (difference in meaning) / Infinitive vs -ing: regret</t>
        </is>
      </c>
    </row>
    <row r="773">
      <c r="A773" s="25" t="n">
        <v>8</v>
      </c>
      <c r="B773" s="9" t="inlineStr">
        <is>
          <t>Module 5 · Global Issues</t>
        </is>
      </c>
      <c r="C773" s="9" t="inlineStr">
        <is>
          <t>5c</t>
        </is>
      </c>
      <c r="D773" s="9" t="inlineStr">
        <is>
          <t>Infinitive / -ing form (difference in meaning)</t>
        </is>
      </c>
      <c r="E773" s="23" t="inlineStr">
        <is>
          <t>Infinitive vs -ing: mean</t>
        </is>
      </c>
      <c r="F773" s="26" t="inlineStr">
        <is>
          <t>новое</t>
        </is>
      </c>
      <c r="G773" s="9" t="inlineStr">
        <is>
          <t>обзорно</t>
        </is>
      </c>
      <c r="H773" s="25" t="inlineStr">
        <is>
          <t>10+</t>
        </is>
      </c>
      <c r="I773" s="9">
        <f>IFERROR(INDEX('Темы × классы'!$R:$R,MATCH(E773,'Темы × классы'!$E:$E,0)),"")</f>
        <v/>
      </c>
      <c r="J773" s="9">
        <f>IFERROR(INDEX('Темы × классы'!$S:$S,MATCH(E773,'Темы × классы'!$E:$E,0))&amp;"","")</f>
        <v/>
      </c>
      <c r="K773" s="9" t="inlineStr">
        <is>
          <t>не начат</t>
        </is>
      </c>
      <c r="L773" s="9" t="inlineStr">
        <is>
          <t>Spotlight / 8 класс / Module 5 · Global Issues / Infinitive / -ing form (difference in meaning) / Infinitive vs -ing: mean</t>
        </is>
      </c>
    </row>
    <row r="774">
      <c r="A774" s="25" t="n">
        <v>8</v>
      </c>
      <c r="B774" s="9" t="inlineStr">
        <is>
          <t>Module 5 · Global Issues</t>
        </is>
      </c>
      <c r="C774" s="9" t="inlineStr">
        <is>
          <t>5c</t>
        </is>
      </c>
      <c r="D774" s="9" t="inlineStr">
        <is>
          <t>Infinitive / -ing form (difference in meaning)</t>
        </is>
      </c>
      <c r="E774" s="23" t="inlineStr">
        <is>
          <t>Infinitive vs -ing: go on</t>
        </is>
      </c>
      <c r="F774" s="26" t="inlineStr">
        <is>
          <t>новое</t>
        </is>
      </c>
      <c r="G774" s="9" t="inlineStr">
        <is>
          <t>обзорно</t>
        </is>
      </c>
      <c r="H774" s="25" t="inlineStr">
        <is>
          <t>10+</t>
        </is>
      </c>
      <c r="I774" s="9">
        <f>IFERROR(INDEX('Темы × классы'!$R:$R,MATCH(E774,'Темы × классы'!$E:$E,0)),"")</f>
        <v/>
      </c>
      <c r="J774" s="9">
        <f>IFERROR(INDEX('Темы × классы'!$S:$S,MATCH(E774,'Темы × классы'!$E:$E,0))&amp;"","")</f>
        <v/>
      </c>
      <c r="K774" s="9" t="inlineStr">
        <is>
          <t>не начат</t>
        </is>
      </c>
      <c r="L774" s="9" t="inlineStr">
        <is>
          <t>Spotlight / 8 класс / Module 5 · Global Issues / Infinitive / -ing form (difference in meaning) / Infinitive vs -ing: go on</t>
        </is>
      </c>
    </row>
    <row r="775">
      <c r="A775" s="25" t="n">
        <v>8</v>
      </c>
      <c r="B775" s="9" t="inlineStr">
        <is>
          <t>Module 5 · Global Issues</t>
        </is>
      </c>
      <c r="C775" s="9" t="inlineStr">
        <is>
          <t>5c</t>
        </is>
      </c>
      <c r="D775" s="9" t="inlineStr">
        <is>
          <t>Infinitive / -ing form (difference in meaning)</t>
        </is>
      </c>
      <c r="E775" s="23" t="inlineStr">
        <is>
          <t>Infinitive vs -ing: hate</t>
        </is>
      </c>
      <c r="F775" s="26" t="inlineStr">
        <is>
          <t>новое</t>
        </is>
      </c>
      <c r="G775" s="9" t="inlineStr">
        <is>
          <t>обзорно</t>
        </is>
      </c>
      <c r="H775" s="25" t="inlineStr">
        <is>
          <t>10+</t>
        </is>
      </c>
      <c r="I775" s="9">
        <f>IFERROR(INDEX('Темы × классы'!$R:$R,MATCH(E775,'Темы × классы'!$E:$E,0)),"")</f>
        <v/>
      </c>
      <c r="J775" s="9">
        <f>IFERROR(INDEX('Темы × классы'!$S:$S,MATCH(E775,'Темы × классы'!$E:$E,0))&amp;"","")</f>
        <v/>
      </c>
      <c r="K775" s="9" t="inlineStr">
        <is>
          <t>не начат</t>
        </is>
      </c>
      <c r="L775" s="9" t="inlineStr">
        <is>
          <t>Spotlight / 8 класс / Module 5 · Global Issues / Infinitive / -ing form (difference in meaning) / Infinitive vs -ing: hate</t>
        </is>
      </c>
    </row>
    <row r="776">
      <c r="A776" s="25" t="n">
        <v>8</v>
      </c>
      <c r="B776" s="9" t="inlineStr">
        <is>
          <t>Module 5 · Global Issues</t>
        </is>
      </c>
      <c r="C776" s="9" t="inlineStr">
        <is>
          <t>5c</t>
        </is>
      </c>
      <c r="D776" s="9" t="inlineStr">
        <is>
          <t>be/get used to</t>
        </is>
      </c>
      <c r="E776" s="23" t="inlineStr">
        <is>
          <t>be/get used to: be used to + -ing — привык</t>
        </is>
      </c>
      <c r="F776" s="26" t="inlineStr">
        <is>
          <t>новое</t>
        </is>
      </c>
      <c r="G776" s="9" t="inlineStr">
        <is>
          <t>to — предлог</t>
        </is>
      </c>
      <c r="H776" s="25" t="inlineStr">
        <is>
          <t>10+</t>
        </is>
      </c>
      <c r="I776" s="9">
        <f>IFERROR(INDEX('Темы × классы'!$R:$R,MATCH(E776,'Темы × классы'!$E:$E,0)),"")</f>
        <v/>
      </c>
      <c r="J776" s="9">
        <f>IFERROR(INDEX('Темы × классы'!$S:$S,MATCH(E776,'Темы × классы'!$E:$E,0))&amp;"","")</f>
        <v/>
      </c>
      <c r="K776" s="9" t="inlineStr">
        <is>
          <t>не начат</t>
        </is>
      </c>
      <c r="L776" s="9" t="inlineStr">
        <is>
          <t>Spotlight / 8 класс / Module 5 · Global Issues / be/get used to / be/get used to: be used to + -ing — привык</t>
        </is>
      </c>
    </row>
    <row r="777">
      <c r="A777" s="25" t="n">
        <v>8</v>
      </c>
      <c r="B777" s="9" t="inlineStr">
        <is>
          <t>Module 5 · Global Issues</t>
        </is>
      </c>
      <c r="C777" s="9" t="inlineStr">
        <is>
          <t>5c</t>
        </is>
      </c>
      <c r="D777" s="9" t="inlineStr">
        <is>
          <t>be/get used to</t>
        </is>
      </c>
      <c r="E777" s="23" t="inlineStr">
        <is>
          <t>be/get used to: get used to + -ing — привыкаю</t>
        </is>
      </c>
      <c r="F777" s="26" t="inlineStr">
        <is>
          <t>новое</t>
        </is>
      </c>
      <c r="G777" s="9" t="inlineStr">
        <is>
          <t>процесс привыкания</t>
        </is>
      </c>
      <c r="H777" s="25" t="inlineStr">
        <is>
          <t>10+</t>
        </is>
      </c>
      <c r="I777" s="9">
        <f>IFERROR(INDEX('Темы × классы'!$R:$R,MATCH(E777,'Темы × классы'!$E:$E,0)),"")</f>
        <v/>
      </c>
      <c r="J777" s="9">
        <f>IFERROR(INDEX('Темы × классы'!$S:$S,MATCH(E777,'Темы × классы'!$E:$E,0))&amp;"","")</f>
        <v/>
      </c>
      <c r="K777" s="9" t="inlineStr">
        <is>
          <t>не начат</t>
        </is>
      </c>
      <c r="L777" s="9" t="inlineStr">
        <is>
          <t>Spotlight / 8 класс / Module 5 · Global Issues / be/get used to / be/get used to: get used to + -ing — привыкаю</t>
        </is>
      </c>
    </row>
    <row r="778">
      <c r="A778" s="25" t="n">
        <v>8</v>
      </c>
      <c r="B778" s="9" t="inlineStr">
        <is>
          <t>Module 5 · Global Issues</t>
        </is>
      </c>
      <c r="C778" s="9" t="inlineStr">
        <is>
          <t>5c</t>
        </is>
      </c>
      <c r="D778" s="9" t="inlineStr">
        <is>
          <t>be/get used to</t>
        </is>
      </c>
      <c r="E778" s="23" t="inlineStr">
        <is>
          <t>be/get used to vs used to + V (to — предлог vs частица)</t>
        </is>
      </c>
      <c r="F778" s="26" t="inlineStr">
        <is>
          <t>новое</t>
        </is>
      </c>
      <c r="G778" s="9" t="inlineStr">
        <is>
          <t>used to + V: to — частица</t>
        </is>
      </c>
      <c r="H778" s="25" t="inlineStr">
        <is>
          <t>10+</t>
        </is>
      </c>
      <c r="I778" s="9">
        <f>IFERROR(INDEX('Темы × классы'!$R:$R,MATCH(E778,'Темы × классы'!$E:$E,0)),"")</f>
        <v/>
      </c>
      <c r="J778" s="9">
        <f>IFERROR(INDEX('Темы × классы'!$S:$S,MATCH(E778,'Темы × классы'!$E:$E,0))&amp;"","")</f>
        <v/>
      </c>
      <c r="K778" s="9" t="inlineStr">
        <is>
          <t>не начат</t>
        </is>
      </c>
      <c r="L778" s="9" t="inlineStr">
        <is>
          <t>Spotlight / 8 класс / Module 5 · Global Issues / be/get used to / be/get used to vs used to + V (to — предлог vs частица)</t>
        </is>
      </c>
    </row>
    <row r="779">
      <c r="A779" s="25" t="n">
        <v>8</v>
      </c>
      <c r="B779" s="9" t="inlineStr">
        <is>
          <t>Module 5 · Global Issues</t>
        </is>
      </c>
      <c r="C779" s="9" t="inlineStr">
        <is>
          <t>5f</t>
        </is>
      </c>
      <c r="D779" s="9" t="inlineStr">
        <is>
          <t>Phrasal verbs</t>
        </is>
      </c>
      <c r="E779" s="23" t="inlineStr">
        <is>
          <t>Phrasal verbs: call</t>
        </is>
      </c>
      <c r="F779" s="26" t="inlineStr">
        <is>
          <t>новое</t>
        </is>
      </c>
      <c r="G779" s="9" t="inlineStr">
        <is>
          <t>call: call for (звать; заходить за), call in (заходить, наносить визит), call off (отменять), call on (навещать), call out (звать на помощь).</t>
        </is>
      </c>
      <c r="H779" s="25" t="inlineStr">
        <is>
          <t>10+</t>
        </is>
      </c>
      <c r="I779" s="9">
        <f>IFERROR(INDEX('Темы × классы'!$R:$R,MATCH(E779,'Темы × классы'!$E:$E,0)),"")</f>
        <v/>
      </c>
      <c r="J779" s="9">
        <f>IFERROR(INDEX('Темы × классы'!$S:$S,MATCH(E779,'Темы × классы'!$E:$E,0))&amp;"","")</f>
        <v/>
      </c>
      <c r="K779" s="9" t="inlineStr">
        <is>
          <t>не начат</t>
        </is>
      </c>
      <c r="L779" s="9" t="inlineStr">
        <is>
          <t>Spotlight / 8 класс / Module 5 · Global Issues / Phrasal verbs / Phrasal verbs: call</t>
        </is>
      </c>
    </row>
    <row r="780">
      <c r="A780" s="25" t="n">
        <v>8</v>
      </c>
      <c r="B780" s="9" t="inlineStr">
        <is>
          <t>Module 5 · Global Issues</t>
        </is>
      </c>
      <c r="C780" s="9" t="inlineStr">
        <is>
          <t>5f</t>
        </is>
      </c>
      <c r="D780" s="9" t="inlineStr">
        <is>
          <t>Word formation</t>
        </is>
      </c>
      <c r="E780" s="23" t="inlineStr">
        <is>
          <t>Word formation: -ion, -tion, -ance</t>
        </is>
      </c>
      <c r="F780" s="26" t="inlineStr">
        <is>
          <t>новое</t>
        </is>
      </c>
      <c r="G780" s="9" t="inlineStr">
        <is>
          <t>Образование существительных от глаголов: -ion, -tion, -ance.</t>
        </is>
      </c>
      <c r="H780" s="25" t="inlineStr">
        <is>
          <t>10+</t>
        </is>
      </c>
      <c r="I780" s="9">
        <f>IFERROR(INDEX('Темы × классы'!$R:$R,MATCH(E780,'Темы × классы'!$E:$E,0)),"")</f>
        <v/>
      </c>
      <c r="J780" s="9">
        <f>IFERROR(INDEX('Темы × классы'!$S:$S,MATCH(E780,'Темы × классы'!$E:$E,0))&amp;"","")</f>
        <v/>
      </c>
      <c r="K780" s="9" t="inlineStr">
        <is>
          <t>не начат</t>
        </is>
      </c>
      <c r="L780" s="9" t="inlineStr">
        <is>
          <t>Spotlight / 8 класс / Module 5 · Global Issues / Word formation / Word formation: -ion, -tion, -ance</t>
        </is>
      </c>
    </row>
    <row r="781">
      <c r="A781" s="25" t="n">
        <v>8</v>
      </c>
      <c r="B781" s="9" t="inlineStr">
        <is>
          <t>Module 5 · Global Issues</t>
        </is>
      </c>
      <c r="C781" s="9" t="inlineStr">
        <is>
          <t>5f</t>
        </is>
      </c>
      <c r="D781" s="9" t="inlineStr">
        <is>
          <t>Words often confused</t>
        </is>
      </c>
      <c r="E781" s="23" t="inlineStr">
        <is>
          <t>Words often confused</t>
        </is>
      </c>
      <c r="F781" s="25" t="inlineStr">
        <is>
          <t>повторение</t>
        </is>
      </c>
      <c r="G781" s="9" t="inlineStr">
        <is>
          <t>Слова, которые часто путают — тема English in Use 5f.</t>
        </is>
      </c>
      <c r="H781" s="25" t="inlineStr">
        <is>
          <t>10+</t>
        </is>
      </c>
      <c r="I781" s="9">
        <f>IFERROR(INDEX('Темы × классы'!$R:$R,MATCH(E781,'Темы × классы'!$E:$E,0)),"")</f>
        <v/>
      </c>
      <c r="J781" s="9">
        <f>IFERROR(INDEX('Темы × классы'!$S:$S,MATCH(E781,'Темы × классы'!$E:$E,0))&amp;"","")</f>
        <v/>
      </c>
      <c r="K781" s="9" t="inlineStr">
        <is>
          <t>не начат</t>
        </is>
      </c>
      <c r="L781" s="9" t="inlineStr">
        <is>
          <t>Spotlight / 8 класс / Module 5 · Global Issues / Words often confused / Words often confused</t>
        </is>
      </c>
    </row>
    <row r="782">
      <c r="A782" s="25" t="n">
        <v>8</v>
      </c>
      <c r="B782" s="9" t="inlineStr">
        <is>
          <t>Module 6 · Culture Exchanges</t>
        </is>
      </c>
      <c r="C782" s="9" t="inlineStr">
        <is>
          <t>6c</t>
        </is>
      </c>
      <c r="D782" s="9" t="inlineStr">
        <is>
          <t>Reported Speech: modal verbs</t>
        </is>
      </c>
      <c r="E782" s="23" t="inlineStr">
        <is>
          <t>Reported Speech: modal verbs: will/shall → would</t>
        </is>
      </c>
      <c r="F782" s="26" t="inlineStr">
        <is>
          <t>новое</t>
        </is>
      </c>
      <c r="G782" s="9" t="inlineStr"/>
      <c r="H782" s="25" t="inlineStr">
        <is>
          <t>10+</t>
        </is>
      </c>
      <c r="I782" s="9">
        <f>IFERROR(INDEX('Темы × классы'!$R:$R,MATCH(E782,'Темы × классы'!$E:$E,0)),"")</f>
        <v/>
      </c>
      <c r="J782" s="9">
        <f>IFERROR(INDEX('Темы × классы'!$S:$S,MATCH(E782,'Темы × классы'!$E:$E,0))&amp;"","")</f>
        <v/>
      </c>
      <c r="K782" s="9" t="inlineStr">
        <is>
          <t>не начат</t>
        </is>
      </c>
      <c r="L782" s="9" t="inlineStr">
        <is>
          <t>Spotlight / 8 класс / Module 6 · Culture Exchanges / Reported Speech: modal verbs / Reported Speech: modal verbs: will/shall → would</t>
        </is>
      </c>
    </row>
    <row r="783">
      <c r="A783" s="25" t="n">
        <v>8</v>
      </c>
      <c r="B783" s="9" t="inlineStr">
        <is>
          <t>Module 6 · Culture Exchanges</t>
        </is>
      </c>
      <c r="C783" s="9" t="inlineStr">
        <is>
          <t>6c</t>
        </is>
      </c>
      <c r="D783" s="9" t="inlineStr">
        <is>
          <t>Reported Speech: modal verbs</t>
        </is>
      </c>
      <c r="E783" s="23" t="inlineStr">
        <is>
          <t>Reported Speech: modal verbs: can → could / would be able to</t>
        </is>
      </c>
      <c r="F783" s="26" t="inlineStr">
        <is>
          <t>новое</t>
        </is>
      </c>
      <c r="G783" s="9" t="inlineStr"/>
      <c r="H783" s="25" t="inlineStr">
        <is>
          <t>10+</t>
        </is>
      </c>
      <c r="I783" s="9">
        <f>IFERROR(INDEX('Темы × классы'!$R:$R,MATCH(E783,'Темы × классы'!$E:$E,0)),"")</f>
        <v/>
      </c>
      <c r="J783" s="9">
        <f>IFERROR(INDEX('Темы × классы'!$S:$S,MATCH(E783,'Темы × классы'!$E:$E,0))&amp;"","")</f>
        <v/>
      </c>
      <c r="K783" s="9" t="inlineStr">
        <is>
          <t>не начат</t>
        </is>
      </c>
      <c r="L783" s="9" t="inlineStr">
        <is>
          <t>Spotlight / 8 класс / Module 6 · Culture Exchanges / Reported Speech: modal verbs / Reported Speech: modal verbs: can → could / would be able to</t>
        </is>
      </c>
    </row>
    <row r="784">
      <c r="A784" s="25" t="n">
        <v>8</v>
      </c>
      <c r="B784" s="9" t="inlineStr">
        <is>
          <t>Module 6 · Culture Exchanges</t>
        </is>
      </c>
      <c r="C784" s="9" t="inlineStr">
        <is>
          <t>6c</t>
        </is>
      </c>
      <c r="D784" s="9" t="inlineStr">
        <is>
          <t>Reported Speech: modal verbs</t>
        </is>
      </c>
      <c r="E784" s="23" t="inlineStr">
        <is>
          <t>Reported Speech: modal verbs: may → might/could</t>
        </is>
      </c>
      <c r="F784" s="26" t="inlineStr">
        <is>
          <t>новое</t>
        </is>
      </c>
      <c r="G784" s="9" t="inlineStr"/>
      <c r="H784" s="25" t="inlineStr">
        <is>
          <t>10+</t>
        </is>
      </c>
      <c r="I784" s="9">
        <f>IFERROR(INDEX('Темы × классы'!$R:$R,MATCH(E784,'Темы × классы'!$E:$E,0)),"")</f>
        <v/>
      </c>
      <c r="J784" s="9">
        <f>IFERROR(INDEX('Темы × классы'!$S:$S,MATCH(E784,'Темы × классы'!$E:$E,0))&amp;"","")</f>
        <v/>
      </c>
      <c r="K784" s="9" t="inlineStr">
        <is>
          <t>не начат</t>
        </is>
      </c>
      <c r="L784" s="9" t="inlineStr">
        <is>
          <t>Spotlight / 8 класс / Module 6 · Culture Exchanges / Reported Speech: modal verbs / Reported Speech: modal verbs: may → might/could</t>
        </is>
      </c>
    </row>
    <row r="785">
      <c r="A785" s="25" t="n">
        <v>8</v>
      </c>
      <c r="B785" s="9" t="inlineStr">
        <is>
          <t>Module 6 · Culture Exchanges</t>
        </is>
      </c>
      <c r="C785" s="9" t="inlineStr">
        <is>
          <t>6c</t>
        </is>
      </c>
      <c r="D785" s="9" t="inlineStr">
        <is>
          <t>Reported Speech: modal verbs</t>
        </is>
      </c>
      <c r="E785" s="23" t="inlineStr">
        <is>
          <t>Reported Speech: modal verbs: shall → should / would / offered</t>
        </is>
      </c>
      <c r="F785" s="26" t="inlineStr">
        <is>
          <t>новое</t>
        </is>
      </c>
      <c r="G785" s="9" t="inlineStr"/>
      <c r="H785" s="25" t="inlineStr">
        <is>
          <t>10+</t>
        </is>
      </c>
      <c r="I785" s="9">
        <f>IFERROR(INDEX('Темы × классы'!$R:$R,MATCH(E785,'Темы × классы'!$E:$E,0)),"")</f>
        <v/>
      </c>
      <c r="J785" s="9">
        <f>IFERROR(INDEX('Темы × классы'!$S:$S,MATCH(E785,'Темы × классы'!$E:$E,0))&amp;"","")</f>
        <v/>
      </c>
      <c r="K785" s="9" t="inlineStr">
        <is>
          <t>не начат</t>
        </is>
      </c>
      <c r="L785" s="9" t="inlineStr">
        <is>
          <t>Spotlight / 8 класс / Module 6 · Culture Exchanges / Reported Speech: modal verbs / Reported Speech: modal verbs: shall → should / would / offered</t>
        </is>
      </c>
    </row>
    <row r="786">
      <c r="A786" s="25" t="n">
        <v>8</v>
      </c>
      <c r="B786" s="9" t="inlineStr">
        <is>
          <t>Module 6 · Culture Exchanges</t>
        </is>
      </c>
      <c r="C786" s="9" t="inlineStr">
        <is>
          <t>6c</t>
        </is>
      </c>
      <c r="D786" s="9" t="inlineStr">
        <is>
          <t>Reported Speech: modal verbs</t>
        </is>
      </c>
      <c r="E786" s="23" t="inlineStr">
        <is>
          <t>Reported Speech: modal verbs: must → had to (обязанность) / must (вывод)</t>
        </is>
      </c>
      <c r="F786" s="26" t="inlineStr">
        <is>
          <t>новое</t>
        </is>
      </c>
      <c r="G786" s="9" t="inlineStr"/>
      <c r="H786" s="25" t="inlineStr">
        <is>
          <t>10+</t>
        </is>
      </c>
      <c r="I786" s="9">
        <f>IFERROR(INDEX('Темы × классы'!$R:$R,MATCH(E786,'Темы × классы'!$E:$E,0)),"")</f>
        <v/>
      </c>
      <c r="J786" s="9">
        <f>IFERROR(INDEX('Темы × классы'!$S:$S,MATCH(E786,'Темы × классы'!$E:$E,0))&amp;"","")</f>
        <v/>
      </c>
      <c r="K786" s="9" t="inlineStr">
        <is>
          <t>не начат</t>
        </is>
      </c>
      <c r="L786" s="9" t="inlineStr">
        <is>
          <t>Spotlight / 8 класс / Module 6 · Culture Exchanges / Reported Speech: modal verbs / Reported Speech: modal verbs: must → had to (обязанность) / must (вывод)</t>
        </is>
      </c>
    </row>
    <row r="787">
      <c r="A787" s="25" t="n">
        <v>8</v>
      </c>
      <c r="B787" s="9" t="inlineStr">
        <is>
          <t>Module 6 · Culture Exchanges</t>
        </is>
      </c>
      <c r="C787" s="9" t="inlineStr">
        <is>
          <t>6c</t>
        </is>
      </c>
      <c r="D787" s="9" t="inlineStr">
        <is>
          <t>Reported Speech: modal verbs</t>
        </is>
      </c>
      <c r="E787" s="23" t="inlineStr">
        <is>
          <t>Reported Speech: modal verbs: needn't → didn't need to / didn't have to / wouldn't have to</t>
        </is>
      </c>
      <c r="F787" s="26" t="inlineStr">
        <is>
          <t>новое</t>
        </is>
      </c>
      <c r="G787" s="9" t="inlineStr"/>
      <c r="H787" s="25" t="inlineStr">
        <is>
          <t>10+</t>
        </is>
      </c>
      <c r="I787" s="9">
        <f>IFERROR(INDEX('Темы × классы'!$R:$R,MATCH(E787,'Темы × классы'!$E:$E,0)),"")</f>
        <v/>
      </c>
      <c r="J787" s="9">
        <f>IFERROR(INDEX('Темы × классы'!$S:$S,MATCH(E787,'Темы × классы'!$E:$E,0))&amp;"","")</f>
        <v/>
      </c>
      <c r="K787" s="9" t="inlineStr">
        <is>
          <t>не начат</t>
        </is>
      </c>
      <c r="L787" s="9" t="inlineStr">
        <is>
          <t>Spotlight / 8 класс / Module 6 · Culture Exchanges / Reported Speech: modal verbs / Reported Speech: modal verbs: needn't → didn't need to / didn't have to / wouldn't have to</t>
        </is>
      </c>
    </row>
    <row r="788">
      <c r="A788" s="25" t="n">
        <v>8</v>
      </c>
      <c r="B788" s="9" t="inlineStr">
        <is>
          <t>Module 6 · Culture Exchanges</t>
        </is>
      </c>
      <c r="C788" s="9" t="inlineStr">
        <is>
          <t>6c</t>
        </is>
      </c>
      <c r="D788" s="9" t="inlineStr">
        <is>
          <t>Reported Speech: modal verbs</t>
        </is>
      </c>
      <c r="E788" s="23" t="inlineStr">
        <is>
          <t>Reported Speech: modal verbs: не меняются (would, could, used to, mustn't, should, might, ought to, had better)</t>
        </is>
      </c>
      <c r="F788" s="26" t="inlineStr">
        <is>
          <t>новое</t>
        </is>
      </c>
      <c r="G788" s="9" t="inlineStr"/>
      <c r="H788" s="25" t="inlineStr">
        <is>
          <t>10+</t>
        </is>
      </c>
      <c r="I788" s="9">
        <f>IFERROR(INDEX('Темы × классы'!$R:$R,MATCH(E788,'Темы × классы'!$E:$E,0)),"")</f>
        <v/>
      </c>
      <c r="J788" s="9">
        <f>IFERROR(INDEX('Темы × классы'!$S:$S,MATCH(E788,'Темы × классы'!$E:$E,0))&amp;"","")</f>
        <v/>
      </c>
      <c r="K788" s="9" t="inlineStr">
        <is>
          <t>не начат</t>
        </is>
      </c>
      <c r="L788" s="9" t="inlineStr">
        <is>
          <t>Spotlight / 8 класс / Module 6 · Culture Exchanges / Reported Speech: modal verbs / Reported Speech: modal verbs: не меняются (would, could, used to, mustn't, should, might, ought to, had better)</t>
        </is>
      </c>
    </row>
    <row r="789">
      <c r="A789" s="25" t="n">
        <v>8</v>
      </c>
      <c r="B789" s="9" t="inlineStr">
        <is>
          <t>Module 6 · Culture Exchanges</t>
        </is>
      </c>
      <c r="C789" s="9" t="inlineStr">
        <is>
          <t>6c</t>
        </is>
      </c>
      <c r="D789" s="9" t="inlineStr">
        <is>
          <t>Reported Speech</t>
        </is>
      </c>
      <c r="E789" s="23" t="inlineStr">
        <is>
          <t>Reported Speech: прямая vs косвенная речь, that можно опустить</t>
        </is>
      </c>
      <c r="F789" s="26" t="inlineStr">
        <is>
          <t>новое</t>
        </is>
      </c>
      <c r="G789" s="9" t="inlineStr">
        <is>
          <t>that после say/tell можно опустить</t>
        </is>
      </c>
      <c r="H789" s="25" t="inlineStr">
        <is>
          <t>10+</t>
        </is>
      </c>
      <c r="I789" s="9">
        <f>IFERROR(INDEX('Темы × классы'!$R:$R,MATCH(E789,'Темы × классы'!$E:$E,0)),"")</f>
        <v/>
      </c>
      <c r="J789" s="9">
        <f>IFERROR(INDEX('Темы × классы'!$S:$S,MATCH(E789,'Темы × классы'!$E:$E,0))&amp;"","")</f>
        <v/>
      </c>
      <c r="K789" s="9" t="inlineStr">
        <is>
          <t>не начат</t>
        </is>
      </c>
      <c r="L789" s="9" t="inlineStr">
        <is>
          <t>Spotlight / 8 класс / Module 6 · Culture Exchanges / Reported Speech / Reported Speech: прямая vs косвенная речь, that можно опустить</t>
        </is>
      </c>
    </row>
    <row r="790">
      <c r="A790" s="25" t="n">
        <v>8</v>
      </c>
      <c r="B790" s="9" t="inlineStr">
        <is>
          <t>Module 6 · Culture Exchanges</t>
        </is>
      </c>
      <c r="C790" s="9" t="inlineStr">
        <is>
          <t>6c</t>
        </is>
      </c>
      <c r="D790" s="9" t="inlineStr">
        <is>
          <t>Reported Speech</t>
        </is>
      </c>
      <c r="E790" s="23" t="inlineStr">
        <is>
          <t>Reported Speech: say vs tell (say to sb, tell sb)</t>
        </is>
      </c>
      <c r="F790" s="26" t="inlineStr">
        <is>
          <t>новое</t>
        </is>
      </c>
      <c r="G790" s="9" t="inlineStr"/>
      <c r="H790" s="25" t="inlineStr">
        <is>
          <t>10+</t>
        </is>
      </c>
      <c r="I790" s="9">
        <f>IFERROR(INDEX('Темы × классы'!$R:$R,MATCH(E790,'Темы × классы'!$E:$E,0)),"")</f>
        <v/>
      </c>
      <c r="J790" s="9">
        <f>IFERROR(INDEX('Темы × классы'!$S:$S,MATCH(E790,'Темы × классы'!$E:$E,0))&amp;"","")</f>
        <v/>
      </c>
      <c r="K790" s="9" t="inlineStr">
        <is>
          <t>не начат</t>
        </is>
      </c>
      <c r="L790" s="9" t="inlineStr">
        <is>
          <t>Spotlight / 8 класс / Module 6 · Culture Exchanges / Reported Speech / Reported Speech: say vs tell (say to sb, tell sb)</t>
        </is>
      </c>
    </row>
    <row r="791">
      <c r="A791" s="25" t="n">
        <v>8</v>
      </c>
      <c r="B791" s="9" t="inlineStr">
        <is>
          <t>Module 6 · Culture Exchanges</t>
        </is>
      </c>
      <c r="C791" s="9" t="inlineStr">
        <is>
          <t>6c</t>
        </is>
      </c>
      <c r="D791" s="9" t="inlineStr">
        <is>
          <t>Reported Speech</t>
        </is>
      </c>
      <c r="E791" s="23" t="inlineStr">
        <is>
          <t>Reported Speech: устойчивые сочетания с say/tell/ask</t>
        </is>
      </c>
      <c r="F791" s="26" t="inlineStr">
        <is>
          <t>новое</t>
        </is>
      </c>
      <c r="G791" s="9" t="inlineStr">
        <is>
          <t>SAY/TELL/ASK</t>
        </is>
      </c>
      <c r="H791" s="25" t="inlineStr">
        <is>
          <t>10+</t>
        </is>
      </c>
      <c r="I791" s="9">
        <f>IFERROR(INDEX('Темы × классы'!$R:$R,MATCH(E791,'Темы × классы'!$E:$E,0)),"")</f>
        <v/>
      </c>
      <c r="J791" s="9">
        <f>IFERROR(INDEX('Темы × классы'!$S:$S,MATCH(E791,'Темы × классы'!$E:$E,0))&amp;"","")</f>
        <v/>
      </c>
      <c r="K791" s="9" t="inlineStr">
        <is>
          <t>не начат</t>
        </is>
      </c>
      <c r="L791" s="9" t="inlineStr">
        <is>
          <t>Spotlight / 8 класс / Module 6 · Culture Exchanges / Reported Speech / Reported Speech: устойчивые сочетания с say/tell/ask</t>
        </is>
      </c>
    </row>
    <row r="792">
      <c r="A792" s="25" t="n">
        <v>8</v>
      </c>
      <c r="B792" s="9" t="inlineStr">
        <is>
          <t>Module 6 · Culture Exchanges</t>
        </is>
      </c>
      <c r="C792" s="9" t="inlineStr">
        <is>
          <t>6c</t>
        </is>
      </c>
      <c r="D792" s="9" t="inlineStr">
        <is>
          <t>Reported Speech</t>
        </is>
      </c>
      <c r="E792" s="23" t="inlineStr">
        <is>
          <t>Reported Speech: смена местоимений</t>
        </is>
      </c>
      <c r="F792" s="26" t="inlineStr">
        <is>
          <t>новое</t>
        </is>
      </c>
      <c r="G792" s="9" t="inlineStr"/>
      <c r="H792" s="25" t="inlineStr">
        <is>
          <t>10+</t>
        </is>
      </c>
      <c r="I792" s="9">
        <f>IFERROR(INDEX('Темы × классы'!$R:$R,MATCH(E792,'Темы × классы'!$E:$E,0)),"")</f>
        <v/>
      </c>
      <c r="J792" s="9">
        <f>IFERROR(INDEX('Темы × классы'!$S:$S,MATCH(E792,'Темы × классы'!$E:$E,0))&amp;"","")</f>
        <v/>
      </c>
      <c r="K792" s="9" t="inlineStr">
        <is>
          <t>не начат</t>
        </is>
      </c>
      <c r="L792" s="9" t="inlineStr">
        <is>
          <t>Spotlight / 8 класс / Module 6 · Culture Exchanges / Reported Speech / Reported Speech: смена местоимений</t>
        </is>
      </c>
    </row>
    <row r="793">
      <c r="A793" s="25" t="n">
        <v>8</v>
      </c>
      <c r="B793" s="9" t="inlineStr">
        <is>
          <t>Module 6 · Culture Exchanges</t>
        </is>
      </c>
      <c r="C793" s="9" t="inlineStr">
        <is>
          <t>6c</t>
        </is>
      </c>
      <c r="D793" s="9" t="inlineStr">
        <is>
          <t>Reported Speech</t>
        </is>
      </c>
      <c r="E793" s="23" t="inlineStr">
        <is>
          <t>Reported Speech: без сдвига времён — вводящий глагол в настоящем (up-to-date reporting)</t>
        </is>
      </c>
      <c r="F793" s="26" t="inlineStr">
        <is>
          <t>новое</t>
        </is>
      </c>
      <c r="G793" s="9" t="inlineStr">
        <is>
          <t>только: вводящий глагол в Present Simple</t>
        </is>
      </c>
      <c r="H793" s="25" t="inlineStr">
        <is>
          <t>10+</t>
        </is>
      </c>
      <c r="I793" s="9">
        <f>IFERROR(INDEX('Темы × классы'!$R:$R,MATCH(E793,'Темы × классы'!$E:$E,0)),"")</f>
        <v/>
      </c>
      <c r="J793" s="9">
        <f>IFERROR(INDEX('Темы × классы'!$S:$S,MATCH(E793,'Темы × классы'!$E:$E,0))&amp;"","")</f>
        <v/>
      </c>
      <c r="K793" s="9" t="inlineStr">
        <is>
          <t>не начат</t>
        </is>
      </c>
      <c r="L793" s="9" t="inlineStr">
        <is>
          <t>Spotlight / 8 класс / Module 6 · Culture Exchanges / Reported Speech / Reported Speech: без сдвига времён — вводящий глагол в настоящем (up-to-date reporting)</t>
        </is>
      </c>
    </row>
    <row r="794">
      <c r="A794" s="25" t="n">
        <v>8</v>
      </c>
      <c r="B794" s="9" t="inlineStr">
        <is>
          <t>Module 6 · Culture Exchanges</t>
        </is>
      </c>
      <c r="C794" s="9" t="inlineStr">
        <is>
          <t>6c</t>
        </is>
      </c>
      <c r="D794" s="9" t="inlineStr">
        <is>
          <t>Reported Speech</t>
        </is>
      </c>
      <c r="E794" s="23" t="inlineStr">
        <is>
          <t>Reported Speech: сдвиг времён (Present → Past, Past → Past Perfect, will → would)</t>
        </is>
      </c>
      <c r="F794" s="26" t="inlineStr">
        <is>
          <t>новое</t>
        </is>
      </c>
      <c r="G794" s="9" t="inlineStr">
        <is>
          <t>Past Continuous → Past Perfect Continuous или Past Continuous</t>
        </is>
      </c>
      <c r="H794" s="25" t="inlineStr">
        <is>
          <t>10+</t>
        </is>
      </c>
      <c r="I794" s="9">
        <f>IFERROR(INDEX('Темы × классы'!$R:$R,MATCH(E794,'Темы × классы'!$E:$E,0)),"")</f>
        <v/>
      </c>
      <c r="J794" s="9">
        <f>IFERROR(INDEX('Темы × классы'!$S:$S,MATCH(E794,'Темы × классы'!$E:$E,0))&amp;"","")</f>
        <v/>
      </c>
      <c r="K794" s="9" t="inlineStr">
        <is>
          <t>не начат</t>
        </is>
      </c>
      <c r="L794" s="9" t="inlineStr">
        <is>
          <t>Spotlight / 8 класс / Module 6 · Culture Exchanges / Reported Speech / Reported Speech: сдвиг времён (Present → Past, Past → Past Perfect, will → would)</t>
        </is>
      </c>
    </row>
    <row r="795">
      <c r="A795" s="25" t="n">
        <v>8</v>
      </c>
      <c r="B795" s="9" t="inlineStr">
        <is>
          <t>Module 6 · Culture Exchanges</t>
        </is>
      </c>
      <c r="C795" s="9" t="inlineStr">
        <is>
          <t>6c</t>
        </is>
      </c>
      <c r="D795" s="9" t="inlineStr">
        <is>
          <t>Reported Speech</t>
        </is>
      </c>
      <c r="E795" s="23" t="inlineStr">
        <is>
          <t>Reported Speech: слова времени и места (now → then, yesterday → the day before…)</t>
        </is>
      </c>
      <c r="F795" s="26" t="inlineStr">
        <is>
          <t>новое</t>
        </is>
      </c>
      <c r="G795" s="9" t="inlineStr">
        <is>
          <t>now → then; today → that day; ago → before; here → there</t>
        </is>
      </c>
      <c r="H795" s="25" t="inlineStr">
        <is>
          <t>10+</t>
        </is>
      </c>
      <c r="I795" s="9">
        <f>IFERROR(INDEX('Темы × классы'!$R:$R,MATCH(E795,'Темы × классы'!$E:$E,0)),"")</f>
        <v/>
      </c>
      <c r="J795" s="9">
        <f>IFERROR(INDEX('Темы × классы'!$S:$S,MATCH(E795,'Темы × классы'!$E:$E,0))&amp;"","")</f>
        <v/>
      </c>
      <c r="K795" s="9" t="inlineStr">
        <is>
          <t>не начат</t>
        </is>
      </c>
      <c r="L795" s="9" t="inlineStr">
        <is>
          <t>Spotlight / 8 класс / Module 6 · Culture Exchanges / Reported Speech / Reported Speech: слова времени и места (now → then, yesterday → the day before…)</t>
        </is>
      </c>
    </row>
    <row r="796">
      <c r="A796" s="25" t="n">
        <v>8</v>
      </c>
      <c r="B796" s="9" t="inlineStr">
        <is>
          <t>Module 6 · Culture Exchanges</t>
        </is>
      </c>
      <c r="C796" s="9" t="inlineStr">
        <is>
          <t>6c</t>
        </is>
      </c>
      <c r="D796" s="9" t="inlineStr">
        <is>
          <t>Reported commands/requests</t>
        </is>
      </c>
      <c r="E796" s="23" t="inlineStr">
        <is>
          <t>Reported commands: приказы — order/tell + sb + (not) to-inf</t>
        </is>
      </c>
      <c r="F796" s="26" t="inlineStr">
        <is>
          <t>новое</t>
        </is>
      </c>
      <c r="G796" s="9" t="inlineStr">
        <is>
          <t>order/tell</t>
        </is>
      </c>
      <c r="H796" s="25" t="inlineStr">
        <is>
          <t>10+</t>
        </is>
      </c>
      <c r="I796" s="9">
        <f>IFERROR(INDEX('Темы × классы'!$R:$R,MATCH(E796,'Темы × классы'!$E:$E,0)),"")</f>
        <v/>
      </c>
      <c r="J796" s="9">
        <f>IFERROR(INDEX('Темы × классы'!$S:$S,MATCH(E796,'Темы × классы'!$E:$E,0))&amp;"","")</f>
        <v/>
      </c>
      <c r="K796" s="9" t="inlineStr">
        <is>
          <t>не начат</t>
        </is>
      </c>
      <c r="L796" s="9" t="inlineStr">
        <is>
          <t>Spotlight / 8 класс / Module 6 · Culture Exchanges / Reported commands/requests / Reported commands: приказы — order/tell + sb + (not) to-inf</t>
        </is>
      </c>
    </row>
    <row r="797">
      <c r="A797" s="25" t="n">
        <v>8</v>
      </c>
      <c r="B797" s="9" t="inlineStr">
        <is>
          <t>Module 6 · Culture Exchanges</t>
        </is>
      </c>
      <c r="C797" s="9" t="inlineStr">
        <is>
          <t>6c</t>
        </is>
      </c>
      <c r="D797" s="9" t="inlineStr">
        <is>
          <t>Reported commands/requests</t>
        </is>
      </c>
      <c r="E797" s="23" t="inlineStr">
        <is>
          <t>Reported requests: ask/beg + sb + (not) to-inf</t>
        </is>
      </c>
      <c r="F797" s="26" t="inlineStr">
        <is>
          <t>новое</t>
        </is>
      </c>
      <c r="G797" s="9" t="inlineStr">
        <is>
          <t>ask, beg (She begged me not to tease her)</t>
        </is>
      </c>
      <c r="H797" s="25" t="inlineStr">
        <is>
          <t>10+</t>
        </is>
      </c>
      <c r="I797" s="9">
        <f>IFERROR(INDEX('Темы × классы'!$R:$R,MATCH(E797,'Темы × классы'!$E:$E,0)),"")</f>
        <v/>
      </c>
      <c r="J797" s="9">
        <f>IFERROR(INDEX('Темы × классы'!$S:$S,MATCH(E797,'Темы × классы'!$E:$E,0))&amp;"","")</f>
        <v/>
      </c>
      <c r="K797" s="9" t="inlineStr">
        <is>
          <t>не начат</t>
        </is>
      </c>
      <c r="L797" s="9" t="inlineStr">
        <is>
          <t>Spotlight / 8 класс / Module 6 · Culture Exchanges / Reported commands/requests / Reported requests: ask/beg + sb + (not) to-inf</t>
        </is>
      </c>
    </row>
    <row r="798">
      <c r="A798" s="25" t="n">
        <v>8</v>
      </c>
      <c r="B798" s="9" t="inlineStr">
        <is>
          <t>Module 6 · Culture Exchanges</t>
        </is>
      </c>
      <c r="C798" s="9" t="inlineStr">
        <is>
          <t>6c</t>
        </is>
      </c>
      <c r="D798" s="9" t="inlineStr">
        <is>
          <t>Reported commands/requests</t>
        </is>
      </c>
      <c r="E798" s="23" t="inlineStr">
        <is>
          <t>Reported suggestions: suggest + -ing / that sb (should) …</t>
        </is>
      </c>
      <c r="F798" s="26" t="inlineStr">
        <is>
          <t>новое</t>
        </is>
      </c>
      <c r="G798" s="9" t="inlineStr">
        <is>
          <t>suggested watching / suggested that I (should) see</t>
        </is>
      </c>
      <c r="H798" s="25" t="inlineStr">
        <is>
          <t>10+</t>
        </is>
      </c>
      <c r="I798" s="9">
        <f>IFERROR(INDEX('Темы × классы'!$R:$R,MATCH(E798,'Темы × классы'!$E:$E,0)),"")</f>
        <v/>
      </c>
      <c r="J798" s="9">
        <f>IFERROR(INDEX('Темы × классы'!$S:$S,MATCH(E798,'Темы × классы'!$E:$E,0))&amp;"","")</f>
        <v/>
      </c>
      <c r="K798" s="9" t="inlineStr">
        <is>
          <t>не начат</t>
        </is>
      </c>
      <c r="L798" s="9" t="inlineStr">
        <is>
          <t>Spotlight / 8 класс / Module 6 · Culture Exchanges / Reported commands/requests / Reported suggestions: suggest + -ing / that sb (should) …</t>
        </is>
      </c>
    </row>
    <row r="799">
      <c r="A799" s="25" t="n">
        <v>8</v>
      </c>
      <c r="B799" s="9" t="inlineStr">
        <is>
          <t>Module 6 · Culture Exchanges</t>
        </is>
      </c>
      <c r="C799" s="9" t="inlineStr">
        <is>
          <t>6c</t>
        </is>
      </c>
      <c r="D799" s="9" t="inlineStr">
        <is>
          <t>Reported commands/requests</t>
        </is>
      </c>
      <c r="E799" s="23" t="inlineStr">
        <is>
          <t>Reported advice: advise + sb + (not) to-inf</t>
        </is>
      </c>
      <c r="F799" s="26" t="inlineStr">
        <is>
          <t>новое</t>
        </is>
      </c>
      <c r="G799" s="9" t="inlineStr">
        <is>
          <t>She advised me to watch my step</t>
        </is>
      </c>
      <c r="H799" s="25" t="inlineStr">
        <is>
          <t>10+</t>
        </is>
      </c>
      <c r="I799" s="9">
        <f>IFERROR(INDEX('Темы × классы'!$R:$R,MATCH(E799,'Темы × классы'!$E:$E,0)),"")</f>
        <v/>
      </c>
      <c r="J799" s="9">
        <f>IFERROR(INDEX('Темы × классы'!$S:$S,MATCH(E799,'Темы × классы'!$E:$E,0))&amp;"","")</f>
        <v/>
      </c>
      <c r="K799" s="9" t="inlineStr">
        <is>
          <t>не начат</t>
        </is>
      </c>
      <c r="L799" s="9" t="inlineStr">
        <is>
          <t>Spotlight / 8 класс / Module 6 · Culture Exchanges / Reported commands/requests / Reported advice: advise + sb + (not) to-inf</t>
        </is>
      </c>
    </row>
    <row r="800">
      <c r="A800" s="25" t="n">
        <v>8</v>
      </c>
      <c r="B800" s="9" t="inlineStr">
        <is>
          <t>Module 6 · Culture Exchanges</t>
        </is>
      </c>
      <c r="C800" s="9" t="inlineStr">
        <is>
          <t>6c</t>
        </is>
      </c>
      <c r="D800" s="9" t="inlineStr">
        <is>
          <t>Indirect questions</t>
        </is>
      </c>
      <c r="E800" s="23" t="inlineStr">
        <is>
          <t>Indirect questions: Could you tell me…? / Do you know…? — прямой порядок слов</t>
        </is>
      </c>
      <c r="F800" s="26" t="inlineStr">
        <is>
          <t>новое</t>
        </is>
      </c>
      <c r="G800" s="9" t="inlineStr">
        <is>
          <t>Could you tell me…? Do you know…?</t>
        </is>
      </c>
      <c r="H800" s="25" t="inlineStr">
        <is>
          <t>10+</t>
        </is>
      </c>
      <c r="I800" s="9">
        <f>IFERROR(INDEX('Темы × классы'!$R:$R,MATCH(E800,'Темы × классы'!$E:$E,0)),"")</f>
        <v/>
      </c>
      <c r="J800" s="9">
        <f>IFERROR(INDEX('Темы × классы'!$S:$S,MATCH(E800,'Темы × классы'!$E:$E,0))&amp;"","")</f>
        <v/>
      </c>
      <c r="K800" s="9" t="inlineStr">
        <is>
          <t>не начат</t>
        </is>
      </c>
      <c r="L800" s="9" t="inlineStr">
        <is>
          <t>Spotlight / 8 класс / Module 6 · Culture Exchanges / Indirect questions / Indirect questions: Could you tell me…? / Do you know…? — прямой порядок слов</t>
        </is>
      </c>
    </row>
    <row r="801">
      <c r="A801" s="25" t="n">
        <v>8</v>
      </c>
      <c r="B801" s="9" t="inlineStr">
        <is>
          <t>Module 6 · Culture Exchanges</t>
        </is>
      </c>
      <c r="C801" s="9" t="inlineStr">
        <is>
          <t>6c</t>
        </is>
      </c>
      <c r="D801" s="9" t="inlineStr">
        <is>
          <t>Indirect questions</t>
        </is>
      </c>
      <c r="E801" s="23" t="inlineStr">
        <is>
          <t>Indirect questions: I wonder / I want to know / I doubt — без вопросительного знака</t>
        </is>
      </c>
      <c r="F801" s="26" t="inlineStr">
        <is>
          <t>новое</t>
        </is>
      </c>
      <c r="G801" s="9" t="inlineStr">
        <is>
          <t>I wonder, I want to know, I doubt</t>
        </is>
      </c>
      <c r="H801" s="25" t="inlineStr">
        <is>
          <t>10+</t>
        </is>
      </c>
      <c r="I801" s="9">
        <f>IFERROR(INDEX('Темы × классы'!$R:$R,MATCH(E801,'Темы × классы'!$E:$E,0)),"")</f>
        <v/>
      </c>
      <c r="J801" s="9">
        <f>IFERROR(INDEX('Темы × классы'!$S:$S,MATCH(E801,'Темы × классы'!$E:$E,0))&amp;"","")</f>
        <v/>
      </c>
      <c r="K801" s="9" t="inlineStr">
        <is>
          <t>не начат</t>
        </is>
      </c>
      <c r="L801" s="9" t="inlineStr">
        <is>
          <t>Spotlight / 8 класс / Module 6 · Culture Exchanges / Indirect questions / Indirect questions: I wonder / I want to know / I doubt — без вопросительного знака</t>
        </is>
      </c>
    </row>
    <row r="802">
      <c r="A802" s="25" t="n">
        <v>8</v>
      </c>
      <c r="B802" s="9" t="inlineStr">
        <is>
          <t>Module 6 · Culture Exchanges</t>
        </is>
      </c>
      <c r="C802" s="9" t="inlineStr">
        <is>
          <t>6c</t>
        </is>
      </c>
      <c r="D802" s="9" t="inlineStr">
        <is>
          <t>Reported questions</t>
        </is>
      </c>
      <c r="E802" s="23" t="inlineStr">
        <is>
          <t>Reported questions: вводящие глаголы ask, inquire, wonder, want to know</t>
        </is>
      </c>
      <c r="F802" s="26" t="inlineStr">
        <is>
          <t>новое</t>
        </is>
      </c>
      <c r="G802" s="9" t="inlineStr">
        <is>
          <t>ask, inquire, wonder, want/would like to know</t>
        </is>
      </c>
      <c r="H802" s="25" t="inlineStr">
        <is>
          <t>10+</t>
        </is>
      </c>
      <c r="I802" s="9">
        <f>IFERROR(INDEX('Темы × классы'!$R:$R,MATCH(E802,'Темы × классы'!$E:$E,0)),"")</f>
        <v/>
      </c>
      <c r="J802" s="9">
        <f>IFERROR(INDEX('Темы × классы'!$S:$S,MATCH(E802,'Темы × классы'!$E:$E,0))&amp;"","")</f>
        <v/>
      </c>
      <c r="K802" s="9" t="inlineStr">
        <is>
          <t>не начат</t>
        </is>
      </c>
      <c r="L802" s="9" t="inlineStr">
        <is>
          <t>Spotlight / 8 класс / Module 6 · Culture Exchanges / Reported questions / Reported questions: вводящие глаголы ask, inquire, wonder, want to know</t>
        </is>
      </c>
    </row>
    <row r="803">
      <c r="A803" s="25" t="n">
        <v>8</v>
      </c>
      <c r="B803" s="9" t="inlineStr">
        <is>
          <t>Module 6 · Culture Exchanges</t>
        </is>
      </c>
      <c r="C803" s="9" t="inlineStr">
        <is>
          <t>6c</t>
        </is>
      </c>
      <c r="D803" s="9" t="inlineStr">
        <is>
          <t>Reported questions</t>
        </is>
      </c>
      <c r="E803" s="23" t="inlineStr">
        <is>
          <t>Reported questions: специальные вопросы — то же вопросительное слово</t>
        </is>
      </c>
      <c r="F803" s="26" t="inlineStr">
        <is>
          <t>новое</t>
        </is>
      </c>
      <c r="G803" s="9" t="inlineStr"/>
      <c r="H803" s="25" t="inlineStr">
        <is>
          <t>10+</t>
        </is>
      </c>
      <c r="I803" s="9">
        <f>IFERROR(INDEX('Темы × классы'!$R:$R,MATCH(E803,'Темы × классы'!$E:$E,0)),"")</f>
        <v/>
      </c>
      <c r="J803" s="9">
        <f>IFERROR(INDEX('Темы × классы'!$S:$S,MATCH(E803,'Темы × классы'!$E:$E,0))&amp;"","")</f>
        <v/>
      </c>
      <c r="K803" s="9" t="inlineStr">
        <is>
          <t>не начат</t>
        </is>
      </c>
      <c r="L803" s="9" t="inlineStr">
        <is>
          <t>Spotlight / 8 класс / Module 6 · Culture Exchanges / Reported questions / Reported questions: специальные вопросы — то же вопросительное слово</t>
        </is>
      </c>
    </row>
    <row r="804">
      <c r="A804" s="25" t="n">
        <v>8</v>
      </c>
      <c r="B804" s="9" t="inlineStr">
        <is>
          <t>Module 6 · Culture Exchanges</t>
        </is>
      </c>
      <c r="C804" s="9" t="inlineStr">
        <is>
          <t>6c</t>
        </is>
      </c>
      <c r="D804" s="9" t="inlineStr">
        <is>
          <t>Reported questions</t>
        </is>
      </c>
      <c r="E804" s="23" t="inlineStr">
        <is>
          <t>Reported questions: общие вопросы — if/whether</t>
        </is>
      </c>
      <c r="F804" s="26" t="inlineStr">
        <is>
          <t>новое</t>
        </is>
      </c>
      <c r="G804" s="9" t="inlineStr"/>
      <c r="H804" s="25" t="inlineStr">
        <is>
          <t>10+</t>
        </is>
      </c>
      <c r="I804" s="9">
        <f>IFERROR(INDEX('Темы × классы'!$R:$R,MATCH(E804,'Темы × классы'!$E:$E,0)),"")</f>
        <v/>
      </c>
      <c r="J804" s="9">
        <f>IFERROR(INDEX('Темы × классы'!$S:$S,MATCH(E804,'Темы × классы'!$E:$E,0))&amp;"","")</f>
        <v/>
      </c>
      <c r="K804" s="9" t="inlineStr">
        <is>
          <t>не начат</t>
        </is>
      </c>
      <c r="L804" s="9" t="inlineStr">
        <is>
          <t>Spotlight / 8 класс / Module 6 · Culture Exchanges / Reported questions / Reported questions: общие вопросы — if/whether</t>
        </is>
      </c>
    </row>
    <row r="805">
      <c r="A805" s="25" t="n">
        <v>8</v>
      </c>
      <c r="B805" s="9" t="inlineStr">
        <is>
          <t>Module 6 · Culture Exchanges</t>
        </is>
      </c>
      <c r="C805" s="9" t="inlineStr">
        <is>
          <t>6c</t>
        </is>
      </c>
      <c r="D805" s="9" t="inlineStr">
        <is>
          <t>Reported questions</t>
        </is>
      </c>
      <c r="E805" s="23" t="inlineStr">
        <is>
          <t>Reported questions: прямой порядок слов, без «?», без please/well/oh</t>
        </is>
      </c>
      <c r="F805" s="26" t="inlineStr">
        <is>
          <t>новое</t>
        </is>
      </c>
      <c r="G805" s="9" t="inlineStr"/>
      <c r="H805" s="25" t="inlineStr">
        <is>
          <t>10+</t>
        </is>
      </c>
      <c r="I805" s="9">
        <f>IFERROR(INDEX('Темы × классы'!$R:$R,MATCH(E805,'Темы × классы'!$E:$E,0)),"")</f>
        <v/>
      </c>
      <c r="J805" s="9">
        <f>IFERROR(INDEX('Темы × классы'!$S:$S,MATCH(E805,'Темы × классы'!$E:$E,0))&amp;"","")</f>
        <v/>
      </c>
      <c r="K805" s="9" t="inlineStr">
        <is>
          <t>не начат</t>
        </is>
      </c>
      <c r="L805" s="9" t="inlineStr">
        <is>
          <t>Spotlight / 8 класс / Module 6 · Culture Exchanges / Reported questions / Reported questions: прямой порядок слов, без «?», без please/well/oh</t>
        </is>
      </c>
    </row>
    <row r="806">
      <c r="A806" s="25" t="n">
        <v>8</v>
      </c>
      <c r="B806" s="9" t="inlineStr">
        <is>
          <t>Module 6 · Culture Exchanges</t>
        </is>
      </c>
      <c r="C806" s="9" t="inlineStr">
        <is>
          <t>6c</t>
        </is>
      </c>
      <c r="D806" s="9" t="inlineStr">
        <is>
          <t>Reported questions</t>
        </is>
      </c>
      <c r="E806" s="23" t="inlineStr">
        <is>
          <t>Reported questions: сдвиг времён, местоимений и слов времени</t>
        </is>
      </c>
      <c r="F806" s="26" t="inlineStr">
        <is>
          <t>новое</t>
        </is>
      </c>
      <c r="G806" s="9" t="inlineStr"/>
      <c r="H806" s="25" t="inlineStr">
        <is>
          <t>10+</t>
        </is>
      </c>
      <c r="I806" s="9">
        <f>IFERROR(INDEX('Темы × классы'!$R:$R,MATCH(E806,'Темы × классы'!$E:$E,0)),"")</f>
        <v/>
      </c>
      <c r="J806" s="9">
        <f>IFERROR(INDEX('Темы × классы'!$S:$S,MATCH(E806,'Темы × классы'!$E:$E,0))&amp;"","")</f>
        <v/>
      </c>
      <c r="K806" s="9" t="inlineStr">
        <is>
          <t>не начат</t>
        </is>
      </c>
      <c r="L806" s="9" t="inlineStr">
        <is>
          <t>Spotlight / 8 класс / Module 6 · Culture Exchanges / Reported questions / Reported questions: сдвиг времён, местоимений и слов времени</t>
        </is>
      </c>
    </row>
    <row r="807">
      <c r="A807" s="25" t="n">
        <v>8</v>
      </c>
      <c r="B807" s="9" t="inlineStr">
        <is>
          <t>Module 6 · Culture Exchanges</t>
        </is>
      </c>
      <c r="C807" s="9" t="inlineStr">
        <is>
          <t>6f</t>
        </is>
      </c>
      <c r="D807" s="9" t="inlineStr">
        <is>
          <t>Phrasal verbs</t>
        </is>
      </c>
      <c r="E807" s="23" t="inlineStr">
        <is>
          <t>Phrasal verbs: set</t>
        </is>
      </c>
      <c r="F807" s="26" t="inlineStr">
        <is>
          <t>новое</t>
        </is>
      </c>
      <c r="G807" s="9" t="inlineStr">
        <is>
          <t>set: set aside (отставлять, откладывать), set back (задерживать), set in (наступать, начинаться; в приложении — «устанавливать»), set off (отправляться).</t>
        </is>
      </c>
      <c r="H807" s="25" t="inlineStr">
        <is>
          <t>10+</t>
        </is>
      </c>
      <c r="I807" s="9">
        <f>IFERROR(INDEX('Темы × классы'!$R:$R,MATCH(E807,'Темы × классы'!$E:$E,0)),"")</f>
        <v/>
      </c>
      <c r="J807" s="9">
        <f>IFERROR(INDEX('Темы × классы'!$S:$S,MATCH(E807,'Темы × классы'!$E:$E,0))&amp;"","")</f>
        <v/>
      </c>
      <c r="K807" s="9" t="inlineStr">
        <is>
          <t>не начат</t>
        </is>
      </c>
      <c r="L807" s="9" t="inlineStr">
        <is>
          <t>Spotlight / 8 класс / Module 6 · Culture Exchanges / Phrasal verbs / Phrasal verbs: set</t>
        </is>
      </c>
    </row>
    <row r="808">
      <c r="A808" s="25" t="n">
        <v>8</v>
      </c>
      <c r="B808" s="9" t="inlineStr">
        <is>
          <t>Module 6 · Culture Exchanges</t>
        </is>
      </c>
      <c r="C808" s="9" t="inlineStr">
        <is>
          <t>6f</t>
        </is>
      </c>
      <c r="D808" s="9" t="inlineStr">
        <is>
          <t>Word formation</t>
        </is>
      </c>
      <c r="E808" s="23" t="inlineStr">
        <is>
          <t>Word formation: -ness, -ment</t>
        </is>
      </c>
      <c r="F808" s="26" t="inlineStr">
        <is>
          <t>новое</t>
        </is>
      </c>
      <c r="G808" s="9" t="inlineStr">
        <is>
          <t>Образование существительных: -ness, -ment.</t>
        </is>
      </c>
      <c r="H808" s="25" t="inlineStr">
        <is>
          <t>10+</t>
        </is>
      </c>
      <c r="I808" s="9">
        <f>IFERROR(INDEX('Темы × классы'!$R:$R,MATCH(E808,'Темы × классы'!$E:$E,0)),"")</f>
        <v/>
      </c>
      <c r="J808" s="9">
        <f>IFERROR(INDEX('Темы × классы'!$S:$S,MATCH(E808,'Темы × классы'!$E:$E,0))&amp;"","")</f>
        <v/>
      </c>
      <c r="K808" s="9" t="inlineStr">
        <is>
          <t>не начат</t>
        </is>
      </c>
      <c r="L808" s="9" t="inlineStr">
        <is>
          <t>Spotlight / 8 класс / Module 6 · Culture Exchanges / Word formation / Word formation: -ness, -ment</t>
        </is>
      </c>
    </row>
    <row r="809">
      <c r="A809" s="25" t="n">
        <v>8</v>
      </c>
      <c r="B809" s="9" t="inlineStr">
        <is>
          <t>Module 6 · Culture Exchanges</t>
        </is>
      </c>
      <c r="C809" s="9" t="inlineStr">
        <is>
          <t>6f</t>
        </is>
      </c>
      <c r="D809" s="9" t="inlineStr">
        <is>
          <t>Dependent prepositions</t>
        </is>
      </c>
      <c r="E809" s="23" t="inlineStr">
        <is>
          <t>Dependent prepositions</t>
        </is>
      </c>
      <c r="F809" s="25" t="inlineStr">
        <is>
          <t>повторение</t>
        </is>
      </c>
      <c r="G809" s="9" t="inlineStr">
        <is>
          <t>Предлоги (prepositions) — тема English in Use 6f.</t>
        </is>
      </c>
      <c r="H809" s="25" t="inlineStr">
        <is>
          <t>10+</t>
        </is>
      </c>
      <c r="I809" s="9">
        <f>IFERROR(INDEX('Темы × классы'!$R:$R,MATCH(E809,'Темы × классы'!$E:$E,0)),"")</f>
        <v/>
      </c>
      <c r="J809" s="9">
        <f>IFERROR(INDEX('Темы × классы'!$S:$S,MATCH(E809,'Темы × классы'!$E:$E,0))&amp;"","")</f>
        <v/>
      </c>
      <c r="K809" s="9" t="inlineStr">
        <is>
          <t>не начат</t>
        </is>
      </c>
      <c r="L809" s="9" t="inlineStr">
        <is>
          <t>Spotlight / 8 класс / Module 6 · Culture Exchanges / Dependent prepositions / Dependent prepositions</t>
        </is>
      </c>
    </row>
    <row r="810">
      <c r="A810" s="25" t="n">
        <v>8</v>
      </c>
      <c r="B810" s="9" t="inlineStr">
        <is>
          <t>Module 6 · Culture Exchanges</t>
        </is>
      </c>
      <c r="C810" s="9" t="inlineStr">
        <is>
          <t>6f</t>
        </is>
      </c>
      <c r="D810" s="9" t="inlineStr">
        <is>
          <t>Words often confused</t>
        </is>
      </c>
      <c r="E810" s="23" t="inlineStr">
        <is>
          <t>Words often confused</t>
        </is>
      </c>
      <c r="F810" s="25" t="inlineStr">
        <is>
          <t>повторение</t>
        </is>
      </c>
      <c r="G810" s="9" t="inlineStr">
        <is>
          <t>Слова, которые часто путают — тема English in Use 6f.</t>
        </is>
      </c>
      <c r="H810" s="25" t="inlineStr">
        <is>
          <t>10+</t>
        </is>
      </c>
      <c r="I810" s="9">
        <f>IFERROR(INDEX('Темы × классы'!$R:$R,MATCH(E810,'Темы × классы'!$E:$E,0)),"")</f>
        <v/>
      </c>
      <c r="J810" s="9">
        <f>IFERROR(INDEX('Темы × классы'!$S:$S,MATCH(E810,'Темы × классы'!$E:$E,0))&amp;"","")</f>
        <v/>
      </c>
      <c r="K810" s="9" t="inlineStr">
        <is>
          <t>не начат</t>
        </is>
      </c>
      <c r="L810" s="9" t="inlineStr">
        <is>
          <t>Spotlight / 8 класс / Module 6 · Culture Exchanges / Words often confused / Words often confused</t>
        </is>
      </c>
    </row>
    <row r="811">
      <c r="A811" s="25" t="n">
        <v>8</v>
      </c>
      <c r="B811" s="9" t="inlineStr">
        <is>
          <t>Module 7 · Education</t>
        </is>
      </c>
      <c r="C811" s="9" t="inlineStr">
        <is>
          <t>7c</t>
        </is>
      </c>
      <c r="D811" s="9" t="inlineStr">
        <is>
          <t>have to</t>
        </is>
      </c>
      <c r="E811" s="23" t="inlineStr">
        <is>
          <t>have to: значение — необходимость из-за обстоятельств (утверждение)</t>
        </is>
      </c>
      <c r="F811" s="25" t="inlineStr">
        <is>
          <t>повторение</t>
        </is>
      </c>
      <c r="G811" s="9" t="inlineStr"/>
      <c r="H811" s="25" t="inlineStr">
        <is>
          <t>10+</t>
        </is>
      </c>
      <c r="I811" s="9">
        <f>IFERROR(INDEX('Темы × классы'!$R:$R,MATCH(E811,'Темы × классы'!$E:$E,0)),"")</f>
        <v/>
      </c>
      <c r="J811" s="9">
        <f>IFERROR(INDEX('Темы × классы'!$S:$S,MATCH(E811,'Темы × классы'!$E:$E,0))&amp;"","")</f>
        <v/>
      </c>
      <c r="K811" s="9" t="inlineStr">
        <is>
          <t>не начат</t>
        </is>
      </c>
      <c r="L811" s="9" t="inlineStr">
        <is>
          <t>Spotlight / 8 класс / Module 7 · Education / have to / have to: значение — необходимость из-за обстоятельств (утверждение)</t>
        </is>
      </c>
    </row>
    <row r="812">
      <c r="A812" s="25" t="n">
        <v>8</v>
      </c>
      <c r="B812" s="9" t="inlineStr">
        <is>
          <t>Module 7 · Education</t>
        </is>
      </c>
      <c r="C812" s="9" t="inlineStr">
        <is>
          <t>7c</t>
        </is>
      </c>
      <c r="D812" s="9" t="inlineStr">
        <is>
          <t>have to</t>
        </is>
      </c>
      <c r="E812" s="23" t="inlineStr">
        <is>
          <t>have to: don't / doesn't have to — отсутствие необходимости</t>
        </is>
      </c>
      <c r="F812" s="25" t="inlineStr">
        <is>
          <t>повторение</t>
        </is>
      </c>
      <c r="G812" s="9" t="inlineStr">
        <is>
          <t>нет необходимости в настоящем/будущем</t>
        </is>
      </c>
      <c r="H812" s="25" t="inlineStr">
        <is>
          <t>10+</t>
        </is>
      </c>
      <c r="I812" s="9">
        <f>IFERROR(INDEX('Темы × классы'!$R:$R,MATCH(E812,'Темы × классы'!$E:$E,0)),"")</f>
        <v/>
      </c>
      <c r="J812" s="9">
        <f>IFERROR(INDEX('Темы × классы'!$S:$S,MATCH(E812,'Темы × классы'!$E:$E,0))&amp;"","")</f>
        <v/>
      </c>
      <c r="K812" s="9" t="inlineStr">
        <is>
          <t>не начат</t>
        </is>
      </c>
      <c r="L812" s="9" t="inlineStr">
        <is>
          <t>Spotlight / 8 класс / Module 7 · Education / have to / have to: don't / doesn't have to — отсутствие необходимости</t>
        </is>
      </c>
    </row>
    <row r="813">
      <c r="A813" s="25" t="n">
        <v>8</v>
      </c>
      <c r="B813" s="9" t="inlineStr">
        <is>
          <t>Module 7 · Education</t>
        </is>
      </c>
      <c r="C813" s="9" t="inlineStr">
        <is>
          <t>7c</t>
        </is>
      </c>
      <c r="D813" s="9" t="inlineStr">
        <is>
          <t>have to</t>
        </is>
      </c>
      <c r="E813" s="23" t="inlineStr">
        <is>
          <t>have to: had to — прошедшее время</t>
        </is>
      </c>
      <c r="F813" s="25" t="inlineStr">
        <is>
          <t>повторение</t>
        </is>
      </c>
      <c r="G813" s="9" t="inlineStr"/>
      <c r="H813" s="25" t="inlineStr">
        <is>
          <t>10+</t>
        </is>
      </c>
      <c r="I813" s="9">
        <f>IFERROR(INDEX('Темы × классы'!$R:$R,MATCH(E813,'Темы × классы'!$E:$E,0)),"")</f>
        <v/>
      </c>
      <c r="J813" s="9">
        <f>IFERROR(INDEX('Темы × классы'!$S:$S,MATCH(E813,'Темы × классы'!$E:$E,0))&amp;"","")</f>
        <v/>
      </c>
      <c r="K813" s="9" t="inlineStr">
        <is>
          <t>не начат</t>
        </is>
      </c>
      <c r="L813" s="9" t="inlineStr">
        <is>
          <t>Spotlight / 8 класс / Module 7 · Education / have to / have to: had to — прошедшее время</t>
        </is>
      </c>
    </row>
    <row r="814">
      <c r="A814" s="25" t="n">
        <v>8</v>
      </c>
      <c r="B814" s="9" t="inlineStr">
        <is>
          <t>Module 7 · Education</t>
        </is>
      </c>
      <c r="C814" s="9" t="inlineStr">
        <is>
          <t>7c</t>
        </is>
      </c>
      <c r="D814" s="9" t="inlineStr">
        <is>
          <t>have to</t>
        </is>
      </c>
      <c r="E814" s="23" t="inlineStr">
        <is>
          <t>have to: didn't have to — не было необходимости в прошлом</t>
        </is>
      </c>
      <c r="F814" s="26" t="inlineStr">
        <is>
          <t>новое</t>
        </is>
      </c>
      <c r="G814" s="9" t="inlineStr">
        <is>
          <t>неизвестно, сделано ли</t>
        </is>
      </c>
      <c r="H814" s="25" t="inlineStr">
        <is>
          <t>10+</t>
        </is>
      </c>
      <c r="I814" s="9">
        <f>IFERROR(INDEX('Темы × классы'!$R:$R,MATCH(E814,'Темы × классы'!$E:$E,0)),"")</f>
        <v/>
      </c>
      <c r="J814" s="9">
        <f>IFERROR(INDEX('Темы × классы'!$S:$S,MATCH(E814,'Темы × классы'!$E:$E,0))&amp;"","")</f>
        <v/>
      </c>
      <c r="K814" s="9" t="inlineStr">
        <is>
          <t>не начат</t>
        </is>
      </c>
      <c r="L814" s="9" t="inlineStr">
        <is>
          <t>Spotlight / 8 класс / Module 7 · Education / have to / have to: didn't have to — не было необходимости в прошлом</t>
        </is>
      </c>
    </row>
    <row r="815">
      <c r="A815" s="25" t="n">
        <v>8</v>
      </c>
      <c r="B815" s="9" t="inlineStr">
        <is>
          <t>Module 7 · Education</t>
        </is>
      </c>
      <c r="C815" s="9" t="inlineStr">
        <is>
          <t>7c</t>
        </is>
      </c>
      <c r="D815" s="9" t="inlineStr">
        <is>
          <t>may/might</t>
        </is>
      </c>
      <c r="E815" s="23" t="inlineStr">
        <is>
          <t>may/might: can — общая (теоретическая) возможность</t>
        </is>
      </c>
      <c r="F815" s="26" t="inlineStr">
        <is>
          <t>новое</t>
        </is>
      </c>
      <c r="G815" s="9" t="inlineStr">
        <is>
          <t>It can get pretty cold up here</t>
        </is>
      </c>
      <c r="H815" s="25" t="inlineStr">
        <is>
          <t>10+</t>
        </is>
      </c>
      <c r="I815" s="9">
        <f>IFERROR(INDEX('Темы × классы'!$R:$R,MATCH(E815,'Темы × классы'!$E:$E,0)),"")</f>
        <v/>
      </c>
      <c r="J815" s="9">
        <f>IFERROR(INDEX('Темы × классы'!$S:$S,MATCH(E815,'Темы × классы'!$E:$E,0))&amp;"","")</f>
        <v/>
      </c>
      <c r="K815" s="9" t="inlineStr">
        <is>
          <t>не начат</t>
        </is>
      </c>
      <c r="L815" s="9" t="inlineStr">
        <is>
          <t>Spotlight / 8 класс / Module 7 · Education / may/might / may/might: can — общая (теоретическая) возможность</t>
        </is>
      </c>
    </row>
    <row r="816">
      <c r="A816" s="25" t="n">
        <v>8</v>
      </c>
      <c r="B816" s="9" t="inlineStr">
        <is>
          <t>Module 7 · Education</t>
        </is>
      </c>
      <c r="C816" s="9" t="inlineStr">
        <is>
          <t>7c</t>
        </is>
      </c>
      <c r="D816" s="9" t="inlineStr">
        <is>
          <t>may/might</t>
        </is>
      </c>
      <c r="E816" s="23" t="inlineStr">
        <is>
          <t>may/might: could/may/might — возможность в конкретной ситуации</t>
        </is>
      </c>
      <c r="F816" s="26" t="inlineStr">
        <is>
          <t>новое</t>
        </is>
      </c>
      <c r="G816" s="9" t="inlineStr">
        <is>
          <t>It might be cold today</t>
        </is>
      </c>
      <c r="H816" s="25" t="inlineStr">
        <is>
          <t>10+</t>
        </is>
      </c>
      <c r="I816" s="9">
        <f>IFERROR(INDEX('Темы × классы'!$R:$R,MATCH(E816,'Темы × классы'!$E:$E,0)),"")</f>
        <v/>
      </c>
      <c r="J816" s="9">
        <f>IFERROR(INDEX('Темы × классы'!$S:$S,MATCH(E816,'Темы × классы'!$E:$E,0))&amp;"","")</f>
        <v/>
      </c>
      <c r="K816" s="9" t="inlineStr">
        <is>
          <t>не начат</t>
        </is>
      </c>
      <c r="L816" s="9" t="inlineStr">
        <is>
          <t>Spotlight / 8 класс / Module 7 · Education / may/might / may/might: could/may/might — возможность в конкретной ситуации</t>
        </is>
      </c>
    </row>
    <row r="817">
      <c r="A817" s="25" t="n">
        <v>8</v>
      </c>
      <c r="B817" s="9" t="inlineStr">
        <is>
          <t>Module 7 · Education</t>
        </is>
      </c>
      <c r="C817" s="9" t="inlineStr">
        <is>
          <t>7c</t>
        </is>
      </c>
      <c r="D817" s="9" t="inlineStr">
        <is>
          <t>may/might</t>
        </is>
      </c>
      <c r="E817" s="23" t="inlineStr">
        <is>
          <t>may/might: возможность в вопросах — can/could/might, но не may</t>
        </is>
      </c>
      <c r="F817" s="26" t="inlineStr">
        <is>
          <t>новое</t>
        </is>
      </c>
      <c r="G817" s="9" t="inlineStr">
        <is>
          <t>Where could I buy a good coat?</t>
        </is>
      </c>
      <c r="H817" s="25" t="inlineStr">
        <is>
          <t>10+</t>
        </is>
      </c>
      <c r="I817" s="9">
        <f>IFERROR(INDEX('Темы × классы'!$R:$R,MATCH(E817,'Темы × классы'!$E:$E,0)),"")</f>
        <v/>
      </c>
      <c r="J817" s="9">
        <f>IFERROR(INDEX('Темы × классы'!$S:$S,MATCH(E817,'Темы × классы'!$E:$E,0))&amp;"","")</f>
        <v/>
      </c>
      <c r="K817" s="9" t="inlineStr">
        <is>
          <t>не начат</t>
        </is>
      </c>
      <c r="L817" s="9" t="inlineStr">
        <is>
          <t>Spotlight / 8 класс / Module 7 · Education / may/might / may/might: возможность в вопросах — can/could/might, но не may</t>
        </is>
      </c>
    </row>
    <row r="818">
      <c r="A818" s="25" t="n">
        <v>8</v>
      </c>
      <c r="B818" s="9" t="inlineStr">
        <is>
          <t>Module 7 · Education</t>
        </is>
      </c>
      <c r="C818" s="9" t="inlineStr">
        <is>
          <t>7c</t>
        </is>
      </c>
      <c r="D818" s="9" t="inlineStr">
        <is>
          <t>may/might</t>
        </is>
      </c>
      <c r="E818" s="23" t="inlineStr">
        <is>
          <t>may/might: could/might/would + have V3 — было возможно, но не случилось</t>
        </is>
      </c>
      <c r="F818" s="26" t="inlineStr">
        <is>
          <t>новое</t>
        </is>
      </c>
      <c r="G818" s="9" t="inlineStr">
        <is>
          <t>I could have lent you some money</t>
        </is>
      </c>
      <c r="H818" s="25" t="inlineStr">
        <is>
          <t>10+</t>
        </is>
      </c>
      <c r="I818" s="9">
        <f>IFERROR(INDEX('Темы × классы'!$R:$R,MATCH(E818,'Темы × классы'!$E:$E,0)),"")</f>
        <v/>
      </c>
      <c r="J818" s="9">
        <f>IFERROR(INDEX('Темы × классы'!$S:$S,MATCH(E818,'Темы × классы'!$E:$E,0))&amp;"","")</f>
        <v/>
      </c>
      <c r="K818" s="9" t="inlineStr">
        <is>
          <t>не начат</t>
        </is>
      </c>
      <c r="L818" s="9" t="inlineStr">
        <is>
          <t>Spotlight / 8 класс / Module 7 · Education / may/might / may/might: could/might/would + have V3 — было возможно, но не случилось</t>
        </is>
      </c>
    </row>
    <row r="819">
      <c r="A819" s="25" t="n">
        <v>8</v>
      </c>
      <c r="B819" s="9" t="inlineStr">
        <is>
          <t>Module 7 · Education</t>
        </is>
      </c>
      <c r="C819" s="9" t="inlineStr">
        <is>
          <t>7c</t>
        </is>
      </c>
      <c r="D819" s="9" t="inlineStr">
        <is>
          <t>must/mustn't</t>
        </is>
      </c>
      <c r="E819" s="23" t="inlineStr">
        <is>
          <t>must/mustn't: must — обязанность, необходимость</t>
        </is>
      </c>
      <c r="F819" s="25" t="inlineStr">
        <is>
          <t>повторение</t>
        </is>
      </c>
      <c r="G819" s="9" t="inlineStr">
        <is>
          <t>долг, строгое обязательство, крайняя необходимость</t>
        </is>
      </c>
      <c r="H819" s="25" t="inlineStr">
        <is>
          <t>10+</t>
        </is>
      </c>
      <c r="I819" s="9">
        <f>IFERROR(INDEX('Темы × классы'!$R:$R,MATCH(E819,'Темы × классы'!$E:$E,0)),"")</f>
        <v/>
      </c>
      <c r="J819" s="9">
        <f>IFERROR(INDEX('Темы × классы'!$S:$S,MATCH(E819,'Темы × классы'!$E:$E,0))&amp;"","")</f>
        <v/>
      </c>
      <c r="K819" s="9" t="inlineStr">
        <is>
          <t>не начат</t>
        </is>
      </c>
      <c r="L819" s="9" t="inlineStr">
        <is>
          <t>Spotlight / 8 класс / Module 7 · Education / must/mustn't / must/mustn't: must — обязанность, необходимость</t>
        </is>
      </c>
    </row>
    <row r="820">
      <c r="A820" s="25" t="n">
        <v>8</v>
      </c>
      <c r="B820" s="9" t="inlineStr">
        <is>
          <t>Module 7 · Education</t>
        </is>
      </c>
      <c r="C820" s="9" t="inlineStr">
        <is>
          <t>7c</t>
        </is>
      </c>
      <c r="D820" s="9" t="inlineStr">
        <is>
          <t>must/mustn't</t>
        </is>
      </c>
      <c r="E820" s="23" t="inlineStr">
        <is>
          <t>must/mustn't: can't как запрет (= mustn't)</t>
        </is>
      </c>
      <c r="F820" s="25" t="inlineStr">
        <is>
          <t>повторение</t>
        </is>
      </c>
      <c r="G820" s="9" t="inlineStr">
        <is>
          <t>mustn't/can't — запрет правилами, законом</t>
        </is>
      </c>
      <c r="H820" s="25" t="inlineStr">
        <is>
          <t>10+</t>
        </is>
      </c>
      <c r="I820" s="9">
        <f>IFERROR(INDEX('Темы × классы'!$R:$R,MATCH(E820,'Темы × классы'!$E:$E,0)),"")</f>
        <v/>
      </c>
      <c r="J820" s="9">
        <f>IFERROR(INDEX('Темы × классы'!$S:$S,MATCH(E820,'Темы × классы'!$E:$E,0))&amp;"","")</f>
        <v/>
      </c>
      <c r="K820" s="9" t="inlineStr">
        <is>
          <t>не начат</t>
        </is>
      </c>
      <c r="L820" s="9" t="inlineStr">
        <is>
          <t>Spotlight / 8 класс / Module 7 · Education / must/mustn't / must/mustn't: can't как запрет (= mustn't)</t>
        </is>
      </c>
    </row>
    <row r="821">
      <c r="A821" s="25" t="n">
        <v>8</v>
      </c>
      <c r="B821" s="9" t="inlineStr">
        <is>
          <t>Module 7 · Education</t>
        </is>
      </c>
      <c r="C821" s="9" t="inlineStr">
        <is>
          <t>7c</t>
        </is>
      </c>
      <c r="D821" s="9" t="inlineStr">
        <is>
          <t>must/mustn't</t>
        </is>
      </c>
      <c r="E821" s="23" t="inlineStr">
        <is>
          <t>must/mustn't: must только в настоящем; в других временах — have to / had to</t>
        </is>
      </c>
      <c r="F821" s="25" t="inlineStr">
        <is>
          <t>повторение</t>
        </is>
      </c>
      <c r="G821" s="9" t="inlineStr">
        <is>
          <t>had to — прошедшее для must и have to</t>
        </is>
      </c>
      <c r="H821" s="25" t="inlineStr">
        <is>
          <t>10+</t>
        </is>
      </c>
      <c r="I821" s="9">
        <f>IFERROR(INDEX('Темы × классы'!$R:$R,MATCH(E821,'Темы × классы'!$E:$E,0)),"")</f>
        <v/>
      </c>
      <c r="J821" s="9">
        <f>IFERROR(INDEX('Темы × классы'!$S:$S,MATCH(E821,'Темы × классы'!$E:$E,0))&amp;"","")</f>
        <v/>
      </c>
      <c r="K821" s="9" t="inlineStr">
        <is>
          <t>не начат</t>
        </is>
      </c>
      <c r="L821" s="9" t="inlineStr">
        <is>
          <t>Spotlight / 8 класс / Module 7 · Education / must/mustn't / must/mustn't: must только в настоящем; в других временах — have to / had to</t>
        </is>
      </c>
    </row>
    <row r="822">
      <c r="A822" s="25" t="n">
        <v>8</v>
      </c>
      <c r="B822" s="9" t="inlineStr">
        <is>
          <t>Module 7 · Education</t>
        </is>
      </c>
      <c r="C822" s="9" t="inlineStr">
        <is>
          <t>7c</t>
        </is>
      </c>
      <c r="D822" s="9" t="inlineStr">
        <is>
          <t>can (permission/request)</t>
        </is>
      </c>
      <c r="E822" s="23" t="inlineStr">
        <is>
          <t>can (permission/request): can vs may — разрешение (may формальнее)</t>
        </is>
      </c>
      <c r="F822" s="26" t="inlineStr">
        <is>
          <t>новое</t>
        </is>
      </c>
      <c r="G822" s="9" t="inlineStr">
        <is>
          <t>Can/May I…? — Yes, you can/may</t>
        </is>
      </c>
      <c r="H822" s="25" t="inlineStr">
        <is>
          <t>10+</t>
        </is>
      </c>
      <c r="I822" s="9">
        <f>IFERROR(INDEX('Темы × классы'!$R:$R,MATCH(E822,'Темы × классы'!$E:$E,0)),"")</f>
        <v/>
      </c>
      <c r="J822" s="9">
        <f>IFERROR(INDEX('Темы × классы'!$S:$S,MATCH(E822,'Темы × классы'!$E:$E,0))&amp;"","")</f>
        <v/>
      </c>
      <c r="K822" s="9" t="inlineStr">
        <is>
          <t>не начат</t>
        </is>
      </c>
      <c r="L822" s="9" t="inlineStr">
        <is>
          <t>Spotlight / 8 класс / Module 7 · Education / can (permission/request) / can (permission/request): can vs may — разрешение (may формальнее)</t>
        </is>
      </c>
    </row>
    <row r="823">
      <c r="A823" s="25" t="n">
        <v>8</v>
      </c>
      <c r="B823" s="9" t="inlineStr">
        <is>
          <t>Module 7 · Education</t>
        </is>
      </c>
      <c r="C823" s="9" t="inlineStr">
        <is>
          <t>7c</t>
        </is>
      </c>
      <c r="D823" s="9" t="inlineStr">
        <is>
          <t>can (permission/request)</t>
        </is>
      </c>
      <c r="E823" s="23" t="inlineStr">
        <is>
          <t>can (permission/request): предложения (offers/suggestions) — can, could, would, shall</t>
        </is>
      </c>
      <c r="F823" s="26" t="inlineStr">
        <is>
          <t>новое</t>
        </is>
      </c>
      <c r="G823" s="9" t="inlineStr">
        <is>
          <t>Can I bring…? What else would you like? Shall I…? We could…</t>
        </is>
      </c>
      <c r="H823" s="25" t="inlineStr">
        <is>
          <t>10+</t>
        </is>
      </c>
      <c r="I823" s="9">
        <f>IFERROR(INDEX('Темы × классы'!$R:$R,MATCH(E823,'Темы × классы'!$E:$E,0)),"")</f>
        <v/>
      </c>
      <c r="J823" s="9">
        <f>IFERROR(INDEX('Темы × классы'!$S:$S,MATCH(E823,'Темы × классы'!$E:$E,0))&amp;"","")</f>
        <v/>
      </c>
      <c r="K823" s="9" t="inlineStr">
        <is>
          <t>не начат</t>
        </is>
      </c>
      <c r="L823" s="9" t="inlineStr">
        <is>
          <t>Spotlight / 8 класс / Module 7 · Education / can (permission/request) / can (permission/request): предложения (offers/suggestions) — can, could, would, shall</t>
        </is>
      </c>
    </row>
    <row r="824">
      <c r="A824" s="25" t="n">
        <v>8</v>
      </c>
      <c r="B824" s="9" t="inlineStr">
        <is>
          <t>Module 7 · Education</t>
        </is>
      </c>
      <c r="C824" s="9" t="inlineStr">
        <is>
          <t>7c</t>
        </is>
      </c>
      <c r="D824" s="9" t="inlineStr">
        <is>
          <t>need/needn't</t>
        </is>
      </c>
      <c r="E824" s="23" t="inlineStr">
        <is>
          <t>need/needn't: needn't / don't need to — нет необходимости (наст./буд.)</t>
        </is>
      </c>
      <c r="F824" s="27" t="inlineStr">
        <is>
          <t>расширение</t>
        </is>
      </c>
      <c r="G824" s="9" t="inlineStr">
        <is>
          <t>don't need to / needn't</t>
        </is>
      </c>
      <c r="H824" s="25" t="inlineStr">
        <is>
          <t>10+</t>
        </is>
      </c>
      <c r="I824" s="9">
        <f>IFERROR(INDEX('Темы × классы'!$R:$R,MATCH(E824,'Темы × классы'!$E:$E,0)),"")</f>
        <v/>
      </c>
      <c r="J824" s="9">
        <f>IFERROR(INDEX('Темы × классы'!$S:$S,MATCH(E824,'Темы × классы'!$E:$E,0))&amp;"","")</f>
        <v/>
      </c>
      <c r="K824" s="9" t="inlineStr">
        <is>
          <t>не начат</t>
        </is>
      </c>
      <c r="L824" s="9" t="inlineStr">
        <is>
          <t>Spotlight / 8 класс / Module 7 · Education / need/needn't / need/needn't: needn't / don't need to — нет необходимости (наст./буд.)</t>
        </is>
      </c>
    </row>
    <row r="825">
      <c r="A825" s="25" t="n">
        <v>8</v>
      </c>
      <c r="B825" s="9" t="inlineStr">
        <is>
          <t>Module 7 · Education</t>
        </is>
      </c>
      <c r="C825" s="9" t="inlineStr">
        <is>
          <t>7c</t>
        </is>
      </c>
      <c r="D825" s="9" t="inlineStr">
        <is>
          <t>should/shouldn't</t>
        </is>
      </c>
      <c r="E825" s="23" t="inlineStr">
        <is>
          <t>should/shouldn't: значение — совет, рекомендация; утверждение should + глагол без to</t>
        </is>
      </c>
      <c r="F825" s="25" t="inlineStr">
        <is>
          <t>повторение</t>
        </is>
      </c>
      <c r="G825" s="9" t="inlineStr">
        <is>
          <t>обычный совет, рекомендация</t>
        </is>
      </c>
      <c r="H825" s="25" t="inlineStr">
        <is>
          <t>10+</t>
        </is>
      </c>
      <c r="I825" s="9">
        <f>IFERROR(INDEX('Темы × классы'!$R:$R,MATCH(E825,'Темы × классы'!$E:$E,0)),"")</f>
        <v/>
      </c>
      <c r="J825" s="9">
        <f>IFERROR(INDEX('Темы × классы'!$S:$S,MATCH(E825,'Темы × классы'!$E:$E,0))&amp;"","")</f>
        <v/>
      </c>
      <c r="K825" s="9" t="inlineStr">
        <is>
          <t>не начат</t>
        </is>
      </c>
      <c r="L825" s="9" t="inlineStr">
        <is>
          <t>Spotlight / 8 класс / Module 7 · Education / should/shouldn't / should/shouldn't: значение — совет, рекомендация; утверждение should + глагол без to</t>
        </is>
      </c>
    </row>
    <row r="826">
      <c r="A826" s="25" t="n">
        <v>8</v>
      </c>
      <c r="B826" s="9" t="inlineStr">
        <is>
          <t>Module 7 · Education</t>
        </is>
      </c>
      <c r="C826" s="9" t="inlineStr">
        <is>
          <t>7c</t>
        </is>
      </c>
      <c r="D826" s="9" t="inlineStr">
        <is>
          <t>should/shouldn't</t>
        </is>
      </c>
      <c r="E826" s="23" t="inlineStr">
        <is>
          <t>should/shouldn't: ought to (= should)</t>
        </is>
      </c>
      <c r="F826" s="26" t="inlineStr">
        <is>
          <t>новое</t>
        </is>
      </c>
      <c r="G826" s="9" t="inlineStr">
        <is>
          <t>ought to — тоже обычный совет</t>
        </is>
      </c>
      <c r="H826" s="25" t="inlineStr">
        <is>
          <t>10+</t>
        </is>
      </c>
      <c r="I826" s="9">
        <f>IFERROR(INDEX('Темы × классы'!$R:$R,MATCH(E826,'Темы × классы'!$E:$E,0)),"")</f>
        <v/>
      </c>
      <c r="J826" s="9">
        <f>IFERROR(INDEX('Темы × классы'!$S:$S,MATCH(E826,'Темы × классы'!$E:$E,0))&amp;"","")</f>
        <v/>
      </c>
      <c r="K826" s="9" t="inlineStr">
        <is>
          <t>не начат</t>
        </is>
      </c>
      <c r="L826" s="9" t="inlineStr">
        <is>
          <t>Spotlight / 8 класс / Module 7 · Education / should/shouldn't / should/shouldn't: ought to (= should)</t>
        </is>
      </c>
    </row>
    <row r="827">
      <c r="A827" s="25" t="n">
        <v>8</v>
      </c>
      <c r="B827" s="9" t="inlineStr">
        <is>
          <t>Module 7 · Education</t>
        </is>
      </c>
      <c r="C827" s="9" t="inlineStr">
        <is>
          <t>7c</t>
        </is>
      </c>
      <c r="D827" s="9" t="inlineStr">
        <is>
          <t>should/shouldn't</t>
        </is>
      </c>
      <c r="E827" s="23" t="inlineStr">
        <is>
          <t>should/shouldn't: значение — обязательство, долг (слабая обязанность)</t>
        </is>
      </c>
      <c r="F827" s="26" t="inlineStr">
        <is>
          <t>новое</t>
        </is>
      </c>
      <c r="G827" s="9" t="inlineStr">
        <is>
          <t>обязательство</t>
        </is>
      </c>
      <c r="H827" s="25" t="inlineStr">
        <is>
          <t>10+</t>
        </is>
      </c>
      <c r="I827" s="9">
        <f>IFERROR(INDEX('Темы × классы'!$R:$R,MATCH(E827,'Темы × классы'!$E:$E,0)),"")</f>
        <v/>
      </c>
      <c r="J827" s="9">
        <f>IFERROR(INDEX('Темы × классы'!$S:$S,MATCH(E827,'Темы × классы'!$E:$E,0))&amp;"","")</f>
        <v/>
      </c>
      <c r="K827" s="9" t="inlineStr">
        <is>
          <t>не начат</t>
        </is>
      </c>
      <c r="L827" s="9" t="inlineStr">
        <is>
          <t>Spotlight / 8 класс / Module 7 · Education / should/shouldn't / should/shouldn't: значение — обязательство, долг (слабая обязанность)</t>
        </is>
      </c>
    </row>
    <row r="828">
      <c r="A828" s="25" t="n">
        <v>8</v>
      </c>
      <c r="B828" s="9" t="inlineStr">
        <is>
          <t>Module 7 · Education</t>
        </is>
      </c>
      <c r="C828" s="9" t="inlineStr">
        <is>
          <t>7c</t>
        </is>
      </c>
      <c r="D828" s="9" t="inlineStr">
        <is>
          <t>should/shouldn't</t>
        </is>
      </c>
      <c r="E828" s="23" t="inlineStr">
        <is>
          <t>should/shouldn't: значение — критика (should / should have V3)</t>
        </is>
      </c>
      <c r="F828" s="26" t="inlineStr">
        <is>
          <t>новое</t>
        </is>
      </c>
      <c r="G828" s="9" t="inlineStr">
        <is>
          <t>He should be more patient; She should have apologised</t>
        </is>
      </c>
      <c r="H828" s="25" t="inlineStr">
        <is>
          <t>10+</t>
        </is>
      </c>
      <c r="I828" s="9">
        <f>IFERROR(INDEX('Темы × классы'!$R:$R,MATCH(E828,'Темы × классы'!$E:$E,0)),"")</f>
        <v/>
      </c>
      <c r="J828" s="9">
        <f>IFERROR(INDEX('Темы × классы'!$S:$S,MATCH(E828,'Темы × классы'!$E:$E,0))&amp;"","")</f>
        <v/>
      </c>
      <c r="K828" s="9" t="inlineStr">
        <is>
          <t>не начат</t>
        </is>
      </c>
      <c r="L828" s="9" t="inlineStr">
        <is>
          <t>Spotlight / 8 класс / Module 7 · Education / should/shouldn't / should/shouldn't: значение — критика (should / should have V3)</t>
        </is>
      </c>
    </row>
    <row r="829">
      <c r="A829" s="25" t="n">
        <v>8</v>
      </c>
      <c r="B829" s="9" t="inlineStr">
        <is>
          <t>Module 7 · Education</t>
        </is>
      </c>
      <c r="C829" s="9" t="inlineStr">
        <is>
          <t>7c</t>
        </is>
      </c>
      <c r="D829" s="9" t="inlineStr">
        <is>
          <t>should/shouldn't</t>
        </is>
      </c>
      <c r="E829" s="23" t="inlineStr">
        <is>
          <t>should/shouldn't: значение — вероятность ~90% (о будущем)</t>
        </is>
      </c>
      <c r="F829" s="26" t="inlineStr">
        <is>
          <t>новое</t>
        </is>
      </c>
      <c r="G829" s="9" t="inlineStr">
        <is>
          <t>They should/ought to be here soon</t>
        </is>
      </c>
      <c r="H829" s="25" t="inlineStr">
        <is>
          <t>10+</t>
        </is>
      </c>
      <c r="I829" s="9">
        <f>IFERROR(INDEX('Темы × классы'!$R:$R,MATCH(E829,'Темы × классы'!$E:$E,0)),"")</f>
        <v/>
      </c>
      <c r="J829" s="9">
        <f>IFERROR(INDEX('Темы × классы'!$S:$S,MATCH(E829,'Темы × классы'!$E:$E,0))&amp;"","")</f>
        <v/>
      </c>
      <c r="K829" s="9" t="inlineStr">
        <is>
          <t>не начат</t>
        </is>
      </c>
      <c r="L829" s="9" t="inlineStr">
        <is>
          <t>Spotlight / 8 класс / Module 7 · Education / should/shouldn't / should/shouldn't: значение — вероятность ~90% (о будущем)</t>
        </is>
      </c>
    </row>
    <row r="830">
      <c r="A830" s="25" t="n">
        <v>8</v>
      </c>
      <c r="B830" s="9" t="inlineStr">
        <is>
          <t>Module 7 · Education</t>
        </is>
      </c>
      <c r="C830" s="9" t="inlineStr">
        <is>
          <t>7c</t>
        </is>
      </c>
      <c r="D830" s="9" t="inlineStr">
        <is>
          <t>Modal verbs (deduction)</t>
        </is>
      </c>
      <c r="E830" s="23" t="inlineStr">
        <is>
          <t>Modal verbs (deduction): must — уверенность (о настоящем)</t>
        </is>
      </c>
      <c r="F830" s="26" t="inlineStr">
        <is>
          <t>новое</t>
        </is>
      </c>
      <c r="G830" s="9" t="inlineStr">
        <is>
          <t>must be</t>
        </is>
      </c>
      <c r="H830" s="25" t="inlineStr">
        <is>
          <t>10+</t>
        </is>
      </c>
      <c r="I830" s="9">
        <f>IFERROR(INDEX('Темы × классы'!$R:$R,MATCH(E830,'Темы × классы'!$E:$E,0)),"")</f>
        <v/>
      </c>
      <c r="J830" s="9">
        <f>IFERROR(INDEX('Темы × классы'!$S:$S,MATCH(E830,'Темы × классы'!$E:$E,0))&amp;"","")</f>
        <v/>
      </c>
      <c r="K830" s="9" t="inlineStr">
        <is>
          <t>не начат</t>
        </is>
      </c>
      <c r="L830" s="9" t="inlineStr">
        <is>
          <t>Spotlight / 8 класс / Module 7 · Education / Modal verbs (deduction) / Modal verbs (deduction): must — уверенность (о настоящем)</t>
        </is>
      </c>
    </row>
    <row r="831">
      <c r="A831" s="25" t="n">
        <v>8</v>
      </c>
      <c r="B831" s="9" t="inlineStr">
        <is>
          <t>Module 7 · Education</t>
        </is>
      </c>
      <c r="C831" s="9" t="inlineStr">
        <is>
          <t>7c</t>
        </is>
      </c>
      <c r="D831" s="9" t="inlineStr">
        <is>
          <t>Modal verbs (deduction)</t>
        </is>
      </c>
      <c r="E831" s="23" t="inlineStr">
        <is>
          <t>Modal verbs (deduction): may/might/could — вероятность (о настоящем)</t>
        </is>
      </c>
      <c r="F831" s="26" t="inlineStr">
        <is>
          <t>новое</t>
        </is>
      </c>
      <c r="G831" s="9" t="inlineStr">
        <is>
          <t>might be late</t>
        </is>
      </c>
      <c r="H831" s="25" t="inlineStr">
        <is>
          <t>10+</t>
        </is>
      </c>
      <c r="I831" s="9">
        <f>IFERROR(INDEX('Темы × классы'!$R:$R,MATCH(E831,'Темы × классы'!$E:$E,0)),"")</f>
        <v/>
      </c>
      <c r="J831" s="9">
        <f>IFERROR(INDEX('Темы × классы'!$S:$S,MATCH(E831,'Темы × классы'!$E:$E,0))&amp;"","")</f>
        <v/>
      </c>
      <c r="K831" s="9" t="inlineStr">
        <is>
          <t>не начат</t>
        </is>
      </c>
      <c r="L831" s="9" t="inlineStr">
        <is>
          <t>Spotlight / 8 класс / Module 7 · Education / Modal verbs (deduction) / Modal verbs (deduction): may/might/could — вероятность (о настоящем)</t>
        </is>
      </c>
    </row>
    <row r="832">
      <c r="A832" s="25" t="n">
        <v>8</v>
      </c>
      <c r="B832" s="9" t="inlineStr">
        <is>
          <t>Module 7 · Education</t>
        </is>
      </c>
      <c r="C832" s="9" t="inlineStr">
        <is>
          <t>7c</t>
        </is>
      </c>
      <c r="D832" s="9" t="inlineStr">
        <is>
          <t>Modal verbs (deduction)</t>
        </is>
      </c>
      <c r="E832" s="23" t="inlineStr">
        <is>
          <t>Modal verbs (deduction): can't/couldn't — невозможность (о настоящем)</t>
        </is>
      </c>
      <c r="F832" s="26" t="inlineStr">
        <is>
          <t>новое</t>
        </is>
      </c>
      <c r="G832" s="9" t="inlineStr">
        <is>
          <t>can't be broken</t>
        </is>
      </c>
      <c r="H832" s="25" t="inlineStr">
        <is>
          <t>10+</t>
        </is>
      </c>
      <c r="I832" s="9">
        <f>IFERROR(INDEX('Темы × классы'!$R:$R,MATCH(E832,'Темы × классы'!$E:$E,0)),"")</f>
        <v/>
      </c>
      <c r="J832" s="9">
        <f>IFERROR(INDEX('Темы × классы'!$S:$S,MATCH(E832,'Темы × классы'!$E:$E,0))&amp;"","")</f>
        <v/>
      </c>
      <c r="K832" s="9" t="inlineStr">
        <is>
          <t>не начат</t>
        </is>
      </c>
      <c r="L832" s="9" t="inlineStr">
        <is>
          <t>Spotlight / 8 класс / Module 7 · Education / Modal verbs (deduction) / Modal verbs (deduction): can't/couldn't — невозможность (о настоящем)</t>
        </is>
      </c>
    </row>
    <row r="833">
      <c r="A833" s="25" t="n">
        <v>8</v>
      </c>
      <c r="B833" s="9" t="inlineStr">
        <is>
          <t>Module 7 · Education</t>
        </is>
      </c>
      <c r="C833" s="9" t="inlineStr">
        <is>
          <t>7c</t>
        </is>
      </c>
      <c r="D833" s="9" t="inlineStr">
        <is>
          <t>Modal verbs (deduction)</t>
        </is>
      </c>
      <c r="E833" s="23" t="inlineStr">
        <is>
          <t>Modal verbs (deduction): выводы о прошлом — must/may/might/could/can't + have V3</t>
        </is>
      </c>
      <c r="F833" s="26" t="inlineStr">
        <is>
          <t>новое</t>
        </is>
      </c>
      <c r="G833" s="9" t="inlineStr">
        <is>
          <t>must have done, may have returned, couldn't have said</t>
        </is>
      </c>
      <c r="H833" s="25" t="inlineStr">
        <is>
          <t>10+</t>
        </is>
      </c>
      <c r="I833" s="9">
        <f>IFERROR(INDEX('Темы × классы'!$R:$R,MATCH(E833,'Темы × классы'!$E:$E,0)),"")</f>
        <v/>
      </c>
      <c r="J833" s="9">
        <f>IFERROR(INDEX('Темы × классы'!$S:$S,MATCH(E833,'Темы × классы'!$E:$E,0))&amp;"","")</f>
        <v/>
      </c>
      <c r="K833" s="9" t="inlineStr">
        <is>
          <t>не начат</t>
        </is>
      </c>
      <c r="L833" s="9" t="inlineStr">
        <is>
          <t>Spotlight / 8 класс / Module 7 · Education / Modal verbs (deduction) / Modal verbs (deduction): выводы о прошлом — must/may/might/could/can't + have V3</t>
        </is>
      </c>
    </row>
    <row r="834">
      <c r="A834" s="25" t="n">
        <v>8</v>
      </c>
      <c r="B834" s="9" t="inlineStr">
        <is>
          <t>Module 7 · Education</t>
        </is>
      </c>
      <c r="C834" s="9" t="inlineStr">
        <is>
          <t>7c</t>
        </is>
      </c>
      <c r="D834" s="9" t="inlineStr">
        <is>
          <t>Modal verbs (functions)</t>
        </is>
      </c>
      <c r="E834" s="23" t="inlineStr">
        <is>
          <t>Modal verbs: общие правила формы — без -s/-ing/-ed, + инфинитив без to</t>
        </is>
      </c>
      <c r="F834" s="26" t="inlineStr">
        <is>
          <t>новое</t>
        </is>
      </c>
      <c r="G834" s="9" t="inlineStr">
        <is>
          <t>кроме have to, ought to</t>
        </is>
      </c>
      <c r="H834" s="25" t="inlineStr">
        <is>
          <t>10+</t>
        </is>
      </c>
      <c r="I834" s="9">
        <f>IFERROR(INDEX('Темы × классы'!$R:$R,MATCH(E834,'Темы × классы'!$E:$E,0)),"")</f>
        <v/>
      </c>
      <c r="J834" s="9">
        <f>IFERROR(INDEX('Темы × классы'!$S:$S,MATCH(E834,'Темы × классы'!$E:$E,0))&amp;"","")</f>
        <v/>
      </c>
      <c r="K834" s="9" t="inlineStr">
        <is>
          <t>не начат</t>
        </is>
      </c>
      <c r="L834" s="9" t="inlineStr">
        <is>
          <t>Spotlight / 8 класс / Module 7 · Education / Modal verbs (functions) / Modal verbs: общие правила формы — без -s/-ing/-ed, + инфинитив без to</t>
        </is>
      </c>
    </row>
    <row r="835">
      <c r="A835" s="25" t="n">
        <v>8</v>
      </c>
      <c r="B835" s="9" t="inlineStr">
        <is>
          <t>Module 7 · Education</t>
        </is>
      </c>
      <c r="C835" s="9" t="inlineStr">
        <is>
          <t>7c</t>
        </is>
      </c>
      <c r="D835" s="9" t="inlineStr">
        <is>
          <t>Modal verbs (functions)</t>
        </is>
      </c>
      <c r="E835" s="23" t="inlineStr">
        <is>
          <t>Modal verbs: вопрос и отрицание (инверсия, not)</t>
        </is>
      </c>
      <c r="F835" s="26" t="inlineStr">
        <is>
          <t>новое</t>
        </is>
      </c>
      <c r="G835" s="9" t="inlineStr"/>
      <c r="H835" s="25" t="inlineStr">
        <is>
          <t>10+</t>
        </is>
      </c>
      <c r="I835" s="9">
        <f>IFERROR(INDEX('Темы × классы'!$R:$R,MATCH(E835,'Темы × классы'!$E:$E,0)),"")</f>
        <v/>
      </c>
      <c r="J835" s="9">
        <f>IFERROR(INDEX('Темы × классы'!$S:$S,MATCH(E835,'Темы × классы'!$E:$E,0))&amp;"","")</f>
        <v/>
      </c>
      <c r="K835" s="9" t="inlineStr">
        <is>
          <t>не начат</t>
        </is>
      </c>
      <c r="L835" s="9" t="inlineStr">
        <is>
          <t>Spotlight / 8 класс / Module 7 · Education / Modal verbs (functions) / Modal verbs: вопрос и отрицание (инверсия, not)</t>
        </is>
      </c>
    </row>
    <row r="836">
      <c r="A836" s="25" t="n">
        <v>8</v>
      </c>
      <c r="B836" s="9" t="inlineStr">
        <is>
          <t>Module 7 · Education</t>
        </is>
      </c>
      <c r="C836" s="9" t="inlineStr">
        <is>
          <t>7c</t>
        </is>
      </c>
      <c r="D836" s="9" t="inlineStr">
        <is>
          <t>Modal verbs (functions)</t>
        </is>
      </c>
      <c r="E836" s="23" t="inlineStr">
        <is>
          <t>Modal verbs: + простой инфинитив (наст./буд.) vs + перфектный инфинитив (прошлое)</t>
        </is>
      </c>
      <c r="F836" s="26" t="inlineStr">
        <is>
          <t>новое</t>
        </is>
      </c>
      <c r="G836" s="9" t="inlineStr">
        <is>
          <t>He should have washed his car</t>
        </is>
      </c>
      <c r="H836" s="25" t="inlineStr">
        <is>
          <t>10+</t>
        </is>
      </c>
      <c r="I836" s="9">
        <f>IFERROR(INDEX('Темы × классы'!$R:$R,MATCH(E836,'Темы × классы'!$E:$E,0)),"")</f>
        <v/>
      </c>
      <c r="J836" s="9">
        <f>IFERROR(INDEX('Темы × классы'!$S:$S,MATCH(E836,'Темы × классы'!$E:$E,0))&amp;"","")</f>
        <v/>
      </c>
      <c r="K836" s="9" t="inlineStr">
        <is>
          <t>не начат</t>
        </is>
      </c>
      <c r="L836" s="9" t="inlineStr">
        <is>
          <t>Spotlight / 8 класс / Module 7 · Education / Modal verbs (functions) / Modal verbs: + простой инфинитив (наст./буд.) vs + перфектный инфинитив (прошлое)</t>
        </is>
      </c>
    </row>
    <row r="837">
      <c r="A837" s="25" t="n">
        <v>8</v>
      </c>
      <c r="B837" s="9" t="inlineStr">
        <is>
          <t>Module 7 · Education</t>
        </is>
      </c>
      <c r="C837" s="9" t="inlineStr">
        <is>
          <t>7c</t>
        </is>
      </c>
      <c r="D837" s="9" t="inlineStr">
        <is>
          <t>Modal verbs (functions)</t>
        </is>
      </c>
      <c r="E837" s="23" t="inlineStr">
        <is>
          <t>Modal verbs: формы инфинитива — simple / continuous / perfect / perfect continuous</t>
        </is>
      </c>
      <c r="F837" s="26" t="inlineStr">
        <is>
          <t>новое</t>
        </is>
      </c>
      <c r="G837" s="9" t="inlineStr"/>
      <c r="H837" s="25" t="inlineStr">
        <is>
          <t>10+</t>
        </is>
      </c>
      <c r="I837" s="9">
        <f>IFERROR(INDEX('Темы × классы'!$R:$R,MATCH(E837,'Темы × классы'!$E:$E,0)),"")</f>
        <v/>
      </c>
      <c r="J837" s="9">
        <f>IFERROR(INDEX('Темы × классы'!$S:$S,MATCH(E837,'Темы × классы'!$E:$E,0))&amp;"","")</f>
        <v/>
      </c>
      <c r="K837" s="9" t="inlineStr">
        <is>
          <t>не начат</t>
        </is>
      </c>
      <c r="L837" s="9" t="inlineStr">
        <is>
          <t>Spotlight / 8 класс / Module 7 · Education / Modal verbs (functions) / Modal verbs: формы инфинитива — simple / continuous / perfect / perfect continuous</t>
        </is>
      </c>
    </row>
    <row r="838">
      <c r="A838" s="25" t="n">
        <v>8</v>
      </c>
      <c r="B838" s="9" t="inlineStr">
        <is>
          <t>Module 7 · Education</t>
        </is>
      </c>
      <c r="C838" s="9" t="inlineStr">
        <is>
          <t>7c</t>
        </is>
      </c>
      <c r="D838" s="9" t="inlineStr">
        <is>
          <t>Modal verbs (functions)</t>
        </is>
      </c>
      <c r="E838" s="23" t="inlineStr">
        <is>
          <t>Modal verbs: значение — критика (could / should / ought to)</t>
        </is>
      </c>
      <c r="F838" s="26" t="inlineStr">
        <is>
          <t>новое</t>
        </is>
      </c>
      <c r="G838" s="9" t="inlineStr">
        <is>
          <t>You could at least be polite / could have waited</t>
        </is>
      </c>
      <c r="H838" s="25" t="inlineStr">
        <is>
          <t>10+</t>
        </is>
      </c>
      <c r="I838" s="9">
        <f>IFERROR(INDEX('Темы × классы'!$R:$R,MATCH(E838,'Темы × классы'!$E:$E,0)),"")</f>
        <v/>
      </c>
      <c r="J838" s="9">
        <f>IFERROR(INDEX('Темы × классы'!$S:$S,MATCH(E838,'Темы × классы'!$E:$E,0))&amp;"","")</f>
        <v/>
      </c>
      <c r="K838" s="9" t="inlineStr">
        <is>
          <t>не начат</t>
        </is>
      </c>
      <c r="L838" s="9" t="inlineStr">
        <is>
          <t>Spotlight / 8 класс / Module 7 · Education / Modal verbs (functions) / Modal verbs: значение — критика (could / should / ought to)</t>
        </is>
      </c>
    </row>
    <row r="839">
      <c r="A839" s="25" t="n">
        <v>8</v>
      </c>
      <c r="B839" s="9" t="inlineStr">
        <is>
          <t>Module 7 · Education</t>
        </is>
      </c>
      <c r="C839" s="9" t="inlineStr">
        <is>
          <t>7c</t>
        </is>
      </c>
      <c r="D839" s="9" t="inlineStr">
        <is>
          <t>Modal verbs (functions)</t>
        </is>
      </c>
      <c r="E839" s="23" t="inlineStr">
        <is>
          <t>Modal verbs: значение — вероятность (will 100% vs should/ought to 90%)</t>
        </is>
      </c>
      <c r="F839" s="26" t="inlineStr">
        <is>
          <t>новое</t>
        </is>
      </c>
      <c r="G839" s="9" t="inlineStr"/>
      <c r="H839" s="25" t="inlineStr">
        <is>
          <t>10+</t>
        </is>
      </c>
      <c r="I839" s="9">
        <f>IFERROR(INDEX('Темы × классы'!$R:$R,MATCH(E839,'Темы × классы'!$E:$E,0)),"")</f>
        <v/>
      </c>
      <c r="J839" s="9">
        <f>IFERROR(INDEX('Темы × классы'!$S:$S,MATCH(E839,'Темы × классы'!$E:$E,0))&amp;"","")</f>
        <v/>
      </c>
      <c r="K839" s="9" t="inlineStr">
        <is>
          <t>не начат</t>
        </is>
      </c>
      <c r="L839" s="9" t="inlineStr">
        <is>
          <t>Spotlight / 8 класс / Module 7 · Education / Modal verbs (functions) / Modal verbs: значение — вероятность (will 100% vs should/ought to 90%)</t>
        </is>
      </c>
    </row>
    <row r="840">
      <c r="A840" s="25" t="n">
        <v>8</v>
      </c>
      <c r="B840" s="9" t="inlineStr">
        <is>
          <t>Module 7 · Education</t>
        </is>
      </c>
      <c r="C840" s="9" t="inlineStr">
        <is>
          <t>7c</t>
        </is>
      </c>
      <c r="D840" s="9" t="inlineStr">
        <is>
          <t>Modal verbs (functions)</t>
        </is>
      </c>
      <c r="E840" s="23" t="inlineStr">
        <is>
          <t>Modal verbs: значение — совет (should / ought to / shall)</t>
        </is>
      </c>
      <c r="F840" s="26" t="inlineStr">
        <is>
          <t>новое</t>
        </is>
      </c>
      <c r="G840" s="9" t="inlineStr">
        <is>
          <t>shall — просьба о совете</t>
        </is>
      </c>
      <c r="H840" s="25" t="inlineStr">
        <is>
          <t>10+</t>
        </is>
      </c>
      <c r="I840" s="9">
        <f>IFERROR(INDEX('Темы × классы'!$R:$R,MATCH(E840,'Темы × классы'!$E:$E,0)),"")</f>
        <v/>
      </c>
      <c r="J840" s="9">
        <f>IFERROR(INDEX('Темы × классы'!$S:$S,MATCH(E840,'Темы × классы'!$E:$E,0))&amp;"","")</f>
        <v/>
      </c>
      <c r="K840" s="9" t="inlineStr">
        <is>
          <t>не начат</t>
        </is>
      </c>
      <c r="L840" s="9" t="inlineStr">
        <is>
          <t>Spotlight / 8 класс / Module 7 · Education / Modal verbs (functions) / Modal verbs: значение — совет (should / ought to / shall)</t>
        </is>
      </c>
    </row>
    <row r="841">
      <c r="A841" s="25" t="n">
        <v>8</v>
      </c>
      <c r="B841" s="9" t="inlineStr">
        <is>
          <t>Module 7 · Education</t>
        </is>
      </c>
      <c r="C841" s="9" t="inlineStr">
        <is>
          <t>7c</t>
        </is>
      </c>
      <c r="D841" s="9" t="inlineStr">
        <is>
          <t>Modal verbs (functions)</t>
        </is>
      </c>
      <c r="E841" s="23" t="inlineStr">
        <is>
          <t>Modal verbs: обзор значений модальных (систематизация)</t>
        </is>
      </c>
      <c r="F841" s="26" t="inlineStr">
        <is>
          <t>новое</t>
        </is>
      </c>
      <c r="G841" s="9" t="inlineStr">
        <is>
          <t>обязательство, отсутствие необходимости, разрешение, возможность, способность, выводы, критика, предложения, вероятность, совет</t>
        </is>
      </c>
      <c r="H841" s="25" t="inlineStr">
        <is>
          <t>10+</t>
        </is>
      </c>
      <c r="I841" s="9">
        <f>IFERROR(INDEX('Темы × классы'!$R:$R,MATCH(E841,'Темы × классы'!$E:$E,0)),"")</f>
        <v/>
      </c>
      <c r="J841" s="9">
        <f>IFERROR(INDEX('Темы × классы'!$S:$S,MATCH(E841,'Темы × классы'!$E:$E,0))&amp;"","")</f>
        <v/>
      </c>
      <c r="K841" s="9" t="inlineStr">
        <is>
          <t>не начат</t>
        </is>
      </c>
      <c r="L841" s="9" t="inlineStr">
        <is>
          <t>Spotlight / 8 класс / Module 7 · Education / Modal verbs (functions) / Modal verbs: обзор значений модальных (систематизация)</t>
        </is>
      </c>
    </row>
    <row r="842">
      <c r="A842" s="25" t="n">
        <v>8</v>
      </c>
      <c r="B842" s="9" t="inlineStr">
        <is>
          <t>Module 7 · Education</t>
        </is>
      </c>
      <c r="C842" s="9" t="inlineStr">
        <is>
          <t>7c</t>
        </is>
      </c>
      <c r="D842" s="9" t="inlineStr">
        <is>
          <t>can/could (ability past)</t>
        </is>
      </c>
      <c r="E842" s="23" t="inlineStr">
        <is>
          <t>can/could (ability past): could — общая способность в прошлом</t>
        </is>
      </c>
      <c r="F842" s="26" t="inlineStr">
        <is>
          <t>новое</t>
        </is>
      </c>
      <c r="G842" s="9" t="inlineStr">
        <is>
          <t>Daniel could swim when he was three</t>
        </is>
      </c>
      <c r="H842" s="25" t="inlineStr">
        <is>
          <t>10+</t>
        </is>
      </c>
      <c r="I842" s="9">
        <f>IFERROR(INDEX('Темы × классы'!$R:$R,MATCH(E842,'Темы × классы'!$E:$E,0)),"")</f>
        <v/>
      </c>
      <c r="J842" s="9">
        <f>IFERROR(INDEX('Темы × классы'!$S:$S,MATCH(E842,'Темы × классы'!$E:$E,0))&amp;"","")</f>
        <v/>
      </c>
      <c r="K842" s="9" t="inlineStr">
        <is>
          <t>не начат</t>
        </is>
      </c>
      <c r="L842" s="9" t="inlineStr">
        <is>
          <t>Spotlight / 8 класс / Module 7 · Education / can/could (ability past) / can/could (ability past): could — общая способность в прошлом</t>
        </is>
      </c>
    </row>
    <row r="843">
      <c r="A843" s="25" t="n">
        <v>8</v>
      </c>
      <c r="B843" s="9" t="inlineStr">
        <is>
          <t>Module 7 · Education</t>
        </is>
      </c>
      <c r="C843" s="9" t="inlineStr">
        <is>
          <t>7c</t>
        </is>
      </c>
      <c r="D843" s="9" t="inlineStr">
        <is>
          <t>can/could (ability past)</t>
        </is>
      </c>
      <c r="E843" s="23" t="inlineStr">
        <is>
          <t>can/could (ability past): was/were able to — способность в конкретной ситуации</t>
        </is>
      </c>
      <c r="F843" s="26" t="inlineStr">
        <is>
          <t>новое</t>
        </is>
      </c>
      <c r="G843" s="9" t="inlineStr">
        <is>
          <t>He was(n't) able to attend yesterday's meeting</t>
        </is>
      </c>
      <c r="H843" s="25" t="inlineStr">
        <is>
          <t>10+</t>
        </is>
      </c>
      <c r="I843" s="9">
        <f>IFERROR(INDEX('Темы × классы'!$R:$R,MATCH(E843,'Темы × классы'!$E:$E,0)),"")</f>
        <v/>
      </c>
      <c r="J843" s="9">
        <f>IFERROR(INDEX('Темы × классы'!$S:$S,MATCH(E843,'Темы × классы'!$E:$E,0))&amp;"","")</f>
        <v/>
      </c>
      <c r="K843" s="9" t="inlineStr">
        <is>
          <t>не начат</t>
        </is>
      </c>
      <c r="L843" s="9" t="inlineStr">
        <is>
          <t>Spotlight / 8 класс / Module 7 · Education / can/could (ability past) / can/could (ability past): was/were able to — способность в конкретной ситуации</t>
        </is>
      </c>
    </row>
    <row r="844">
      <c r="A844" s="25" t="n">
        <v>8</v>
      </c>
      <c r="B844" s="9" t="inlineStr">
        <is>
          <t>Module 7 · Education</t>
        </is>
      </c>
      <c r="C844" s="9" t="inlineStr">
        <is>
          <t>7c</t>
        </is>
      </c>
      <c r="D844" s="9" t="inlineStr">
        <is>
          <t>can/could (ability past)</t>
        </is>
      </c>
      <c r="E844" s="23" t="inlineStr">
        <is>
          <t>can/could (ability past): couldn't — неспособность в прошлом</t>
        </is>
      </c>
      <c r="F844" s="26" t="inlineStr">
        <is>
          <t>новое</t>
        </is>
      </c>
      <c r="G844" s="9" t="inlineStr">
        <is>
          <t>couldn't = wasn't able to</t>
        </is>
      </c>
      <c r="H844" s="25" t="inlineStr">
        <is>
          <t>10+</t>
        </is>
      </c>
      <c r="I844" s="9">
        <f>IFERROR(INDEX('Темы × классы'!$R:$R,MATCH(E844,'Темы × классы'!$E:$E,0)),"")</f>
        <v/>
      </c>
      <c r="J844" s="9">
        <f>IFERROR(INDEX('Темы × классы'!$S:$S,MATCH(E844,'Темы × классы'!$E:$E,0))&amp;"","")</f>
        <v/>
      </c>
      <c r="K844" s="9" t="inlineStr">
        <is>
          <t>не начат</t>
        </is>
      </c>
      <c r="L844" s="9" t="inlineStr">
        <is>
          <t>Spotlight / 8 класс / Module 7 · Education / can/could (ability past) / can/could (ability past): couldn't — неспособность в прошлом</t>
        </is>
      </c>
    </row>
    <row r="845">
      <c r="A845" s="25" t="n">
        <v>8</v>
      </c>
      <c r="B845" s="9" t="inlineStr">
        <is>
          <t>Module 7 · Education</t>
        </is>
      </c>
      <c r="C845" s="9" t="inlineStr">
        <is>
          <t>7f</t>
        </is>
      </c>
      <c r="D845" s="9" t="inlineStr">
        <is>
          <t>Phrasal verbs</t>
        </is>
      </c>
      <c r="E845" s="23" t="inlineStr">
        <is>
          <t>Phrasal verbs: give</t>
        </is>
      </c>
      <c r="F845" s="26" t="inlineStr">
        <is>
          <t>новое</t>
        </is>
      </c>
      <c r="G845" s="9" t="inlineStr">
        <is>
          <t>give: give away (1) выдать секрет, 2) отдавать), give back (возвращать), give out (раздавать), give up (сдаваться, прекращать попытки).</t>
        </is>
      </c>
      <c r="H845" s="25" t="inlineStr">
        <is>
          <t>10+</t>
        </is>
      </c>
      <c r="I845" s="9">
        <f>IFERROR(INDEX('Темы × классы'!$R:$R,MATCH(E845,'Темы × классы'!$E:$E,0)),"")</f>
        <v/>
      </c>
      <c r="J845" s="9">
        <f>IFERROR(INDEX('Темы × классы'!$S:$S,MATCH(E845,'Темы × классы'!$E:$E,0))&amp;"","")</f>
        <v/>
      </c>
      <c r="K845" s="9" t="inlineStr">
        <is>
          <t>не начат</t>
        </is>
      </c>
      <c r="L845" s="9" t="inlineStr">
        <is>
          <t>Spotlight / 8 класс / Module 7 · Education / Phrasal verbs / Phrasal verbs: give</t>
        </is>
      </c>
    </row>
    <row r="846">
      <c r="A846" s="25" t="n">
        <v>8</v>
      </c>
      <c r="B846" s="9" t="inlineStr">
        <is>
          <t>Module 7 · Education</t>
        </is>
      </c>
      <c r="C846" s="9" t="inlineStr">
        <is>
          <t>7f</t>
        </is>
      </c>
      <c r="D846" s="9" t="inlineStr">
        <is>
          <t>Word formation</t>
        </is>
      </c>
      <c r="E846" s="23" t="inlineStr">
        <is>
          <t>Word formation: compound nouns</t>
        </is>
      </c>
      <c r="F846" s="25" t="inlineStr">
        <is>
          <t>повторение</t>
        </is>
      </c>
      <c r="G846" s="9" t="inlineStr">
        <is>
          <t>Сложные существительные (compound nouns).</t>
        </is>
      </c>
      <c r="H846" s="25" t="inlineStr">
        <is>
          <t>10+</t>
        </is>
      </c>
      <c r="I846" s="9">
        <f>IFERROR(INDEX('Темы × классы'!$R:$R,MATCH(E846,'Темы × классы'!$E:$E,0)),"")</f>
        <v/>
      </c>
      <c r="J846" s="9">
        <f>IFERROR(INDEX('Темы × классы'!$S:$S,MATCH(E846,'Темы × классы'!$E:$E,0))&amp;"","")</f>
        <v/>
      </c>
      <c r="K846" s="9" t="inlineStr">
        <is>
          <t>не начат</t>
        </is>
      </c>
      <c r="L846" s="9" t="inlineStr">
        <is>
          <t>Spotlight / 8 класс / Module 7 · Education / Word formation / Word formation: compound nouns</t>
        </is>
      </c>
    </row>
    <row r="847">
      <c r="A847" s="25" t="n">
        <v>8</v>
      </c>
      <c r="B847" s="9" t="inlineStr">
        <is>
          <t>Module 7 · Education</t>
        </is>
      </c>
      <c r="C847" s="9" t="inlineStr">
        <is>
          <t>7f</t>
        </is>
      </c>
      <c r="D847" s="9" t="inlineStr">
        <is>
          <t>Words often confused</t>
        </is>
      </c>
      <c r="E847" s="23" t="inlineStr">
        <is>
          <t>Words often confused</t>
        </is>
      </c>
      <c r="F847" s="25" t="inlineStr">
        <is>
          <t>повторение</t>
        </is>
      </c>
      <c r="G847" s="9" t="inlineStr">
        <is>
          <t>Слова, которые часто путают — тема English in Use 7f.</t>
        </is>
      </c>
      <c r="H847" s="25" t="inlineStr">
        <is>
          <t>10+</t>
        </is>
      </c>
      <c r="I847" s="9">
        <f>IFERROR(INDEX('Темы × классы'!$R:$R,MATCH(E847,'Темы × классы'!$E:$E,0)),"")</f>
        <v/>
      </c>
      <c r="J847" s="9">
        <f>IFERROR(INDEX('Темы × классы'!$S:$S,MATCH(E847,'Темы × классы'!$E:$E,0))&amp;"","")</f>
        <v/>
      </c>
      <c r="K847" s="9" t="inlineStr">
        <is>
          <t>не начат</t>
        </is>
      </c>
      <c r="L847" s="9" t="inlineStr">
        <is>
          <t>Spotlight / 8 класс / Module 7 · Education / Words often confused / Words often confused</t>
        </is>
      </c>
    </row>
    <row r="848">
      <c r="A848" s="25" t="n">
        <v>8</v>
      </c>
      <c r="B848" s="9" t="inlineStr">
        <is>
          <t>Module 8 · Pastimes</t>
        </is>
      </c>
      <c r="C848" s="9" t="inlineStr">
        <is>
          <t>8c</t>
        </is>
      </c>
      <c r="D848" s="9" t="inlineStr">
        <is>
          <t>Conditionals (Type 0)</t>
        </is>
      </c>
      <c r="E848" s="23" t="inlineStr">
        <is>
          <t>Conditionals Type 0: форма If/When + Present Simple — Present Simple</t>
        </is>
      </c>
      <c r="F848" s="25" t="inlineStr">
        <is>
          <t>повторение</t>
        </is>
      </c>
      <c r="G848" s="9" t="inlineStr"/>
      <c r="H848" s="25" t="inlineStr">
        <is>
          <t>10+</t>
        </is>
      </c>
      <c r="I848" s="9">
        <f>IFERROR(INDEX('Темы × классы'!$R:$R,MATCH(E848,'Темы × классы'!$E:$E,0)),"")</f>
        <v/>
      </c>
      <c r="J848" s="9">
        <f>IFERROR(INDEX('Темы × классы'!$S:$S,MATCH(E848,'Темы × классы'!$E:$E,0))&amp;"","")</f>
        <v/>
      </c>
      <c r="K848" s="9" t="inlineStr">
        <is>
          <t>не начат</t>
        </is>
      </c>
      <c r="L848" s="9" t="inlineStr">
        <is>
          <t>Spotlight / 8 класс / Module 8 · Pastimes / Conditionals (Type 0) / Conditionals Type 0: форма If/When + Present Simple — Present Simple</t>
        </is>
      </c>
    </row>
    <row r="849">
      <c r="A849" s="25" t="n">
        <v>8</v>
      </c>
      <c r="B849" s="9" t="inlineStr">
        <is>
          <t>Module 8 · Pastimes</t>
        </is>
      </c>
      <c r="C849" s="9" t="inlineStr">
        <is>
          <t>8c</t>
        </is>
      </c>
      <c r="D849" s="9" t="inlineStr">
        <is>
          <t>Conditionals (Type 0)</t>
        </is>
      </c>
      <c r="E849" s="23" t="inlineStr">
        <is>
          <t>Conditionals Type 0: значение — общие истины, научные факты</t>
        </is>
      </c>
      <c r="F849" s="25" t="inlineStr">
        <is>
          <t>повторение</t>
        </is>
      </c>
      <c r="G849" s="9" t="inlineStr"/>
      <c r="H849" s="25" t="inlineStr">
        <is>
          <t>10+</t>
        </is>
      </c>
      <c r="I849" s="9">
        <f>IFERROR(INDEX('Темы × классы'!$R:$R,MATCH(E849,'Темы × классы'!$E:$E,0)),"")</f>
        <v/>
      </c>
      <c r="J849" s="9">
        <f>IFERROR(INDEX('Темы × классы'!$S:$S,MATCH(E849,'Темы × классы'!$E:$E,0))&amp;"","")</f>
        <v/>
      </c>
      <c r="K849" s="9" t="inlineStr">
        <is>
          <t>не начат</t>
        </is>
      </c>
      <c r="L849" s="9" t="inlineStr">
        <is>
          <t>Spotlight / 8 класс / Module 8 · Pastimes / Conditionals (Type 0) / Conditionals Type 0: значение — общие истины, научные факты</t>
        </is>
      </c>
    </row>
    <row r="850">
      <c r="A850" s="25" t="n">
        <v>8</v>
      </c>
      <c r="B850" s="9" t="inlineStr">
        <is>
          <t>Module 8 · Pastimes</t>
        </is>
      </c>
      <c r="C850" s="9" t="inlineStr">
        <is>
          <t>8c</t>
        </is>
      </c>
      <c r="D850" s="9" t="inlineStr">
        <is>
          <t>Conditionals (Type 0)</t>
        </is>
      </c>
      <c r="E850" s="23" t="inlineStr">
        <is>
          <t>Conditionals Type 0: when вместо if</t>
        </is>
      </c>
      <c r="F850" s="25" t="inlineStr">
        <is>
          <t>повторение</t>
        </is>
      </c>
      <c r="G850" s="9" t="inlineStr"/>
      <c r="H850" s="25" t="inlineStr">
        <is>
          <t>10+</t>
        </is>
      </c>
      <c r="I850" s="9">
        <f>IFERROR(INDEX('Темы × классы'!$R:$R,MATCH(E850,'Темы × классы'!$E:$E,0)),"")</f>
        <v/>
      </c>
      <c r="J850" s="9">
        <f>IFERROR(INDEX('Темы × классы'!$S:$S,MATCH(E850,'Темы × классы'!$E:$E,0))&amp;"","")</f>
        <v/>
      </c>
      <c r="K850" s="9" t="inlineStr">
        <is>
          <t>не начат</t>
        </is>
      </c>
      <c r="L850" s="9" t="inlineStr">
        <is>
          <t>Spotlight / 8 класс / Module 8 · Pastimes / Conditionals (Type 0) / Conditionals Type 0: when вместо if</t>
        </is>
      </c>
    </row>
    <row r="851">
      <c r="A851" s="25" t="n">
        <v>8</v>
      </c>
      <c r="B851" s="9" t="inlineStr">
        <is>
          <t>Module 8 · Pastimes</t>
        </is>
      </c>
      <c r="C851" s="9" t="inlineStr">
        <is>
          <t>8c</t>
        </is>
      </c>
      <c r="D851" s="9" t="inlineStr">
        <is>
          <t>Conditionals (Type 1)</t>
        </is>
      </c>
      <c r="E851" s="23" t="inlineStr">
        <is>
          <t>Conditionals Type 1: форма If + Present Simple — will + V</t>
        </is>
      </c>
      <c r="F851" s="25" t="inlineStr">
        <is>
          <t>повторение</t>
        </is>
      </c>
      <c r="G851" s="9" t="inlineStr"/>
      <c r="H851" s="25" t="inlineStr">
        <is>
          <t>10+</t>
        </is>
      </c>
      <c r="I851" s="9">
        <f>IFERROR(INDEX('Темы × классы'!$R:$R,MATCH(E851,'Темы × классы'!$E:$E,0)),"")</f>
        <v/>
      </c>
      <c r="J851" s="9">
        <f>IFERROR(INDEX('Темы × классы'!$S:$S,MATCH(E851,'Темы × классы'!$E:$E,0))&amp;"","")</f>
        <v/>
      </c>
      <c r="K851" s="9" t="inlineStr">
        <is>
          <t>не начат</t>
        </is>
      </c>
      <c r="L851" s="9" t="inlineStr">
        <is>
          <t>Spotlight / 8 класс / Module 8 · Pastimes / Conditionals (Type 1) / Conditionals Type 1: форма If + Present Simple — will + V</t>
        </is>
      </c>
    </row>
    <row r="852">
      <c r="A852" s="25" t="n">
        <v>8</v>
      </c>
      <c r="B852" s="9" t="inlineStr">
        <is>
          <t>Module 8 · Pastimes</t>
        </is>
      </c>
      <c r="C852" s="9" t="inlineStr">
        <is>
          <t>8c</t>
        </is>
      </c>
      <c r="D852" s="9" t="inlineStr">
        <is>
          <t>Conditionals (Type 1)</t>
        </is>
      </c>
      <c r="E852" s="23" t="inlineStr">
        <is>
          <t>Conditionals Type 1: главная часть с Imperative / can, must, may</t>
        </is>
      </c>
      <c r="F852" s="25" t="inlineStr">
        <is>
          <t>повторение</t>
        </is>
      </c>
      <c r="G852" s="9" t="inlineStr"/>
      <c r="H852" s="25" t="inlineStr">
        <is>
          <t>10+</t>
        </is>
      </c>
      <c r="I852" s="9">
        <f>IFERROR(INDEX('Темы × классы'!$R:$R,MATCH(E852,'Темы × классы'!$E:$E,0)),"")</f>
        <v/>
      </c>
      <c r="J852" s="9">
        <f>IFERROR(INDEX('Темы × классы'!$S:$S,MATCH(E852,'Темы × классы'!$E:$E,0))&amp;"","")</f>
        <v/>
      </c>
      <c r="K852" s="9" t="inlineStr">
        <is>
          <t>не начат</t>
        </is>
      </c>
      <c r="L852" s="9" t="inlineStr">
        <is>
          <t>Spotlight / 8 класс / Module 8 · Pastimes / Conditionals (Type 1) / Conditionals Type 1: главная часть с Imperative / can, must, may</t>
        </is>
      </c>
    </row>
    <row r="853">
      <c r="A853" s="25" t="n">
        <v>8</v>
      </c>
      <c r="B853" s="9" t="inlineStr">
        <is>
          <t>Module 8 · Pastimes</t>
        </is>
      </c>
      <c r="C853" s="9" t="inlineStr">
        <is>
          <t>8c</t>
        </is>
      </c>
      <c r="D853" s="9" t="inlineStr">
        <is>
          <t>Conditionals (Type 1)</t>
        </is>
      </c>
      <c r="E853" s="23" t="inlineStr">
        <is>
          <t>Conditionals Type 1: значение — реальная/вероятная ситуация в настоящем/будущем</t>
        </is>
      </c>
      <c r="F853" s="25" t="inlineStr">
        <is>
          <t>повторение</t>
        </is>
      </c>
      <c r="G853" s="9" t="inlineStr"/>
      <c r="H853" s="25" t="inlineStr">
        <is>
          <t>10+</t>
        </is>
      </c>
      <c r="I853" s="9">
        <f>IFERROR(INDEX('Темы × классы'!$R:$R,MATCH(E853,'Темы × классы'!$E:$E,0)),"")</f>
        <v/>
      </c>
      <c r="J853" s="9">
        <f>IFERROR(INDEX('Темы × классы'!$S:$S,MATCH(E853,'Темы × классы'!$E:$E,0))&amp;"","")</f>
        <v/>
      </c>
      <c r="K853" s="9" t="inlineStr">
        <is>
          <t>не начат</t>
        </is>
      </c>
      <c r="L853" s="9" t="inlineStr">
        <is>
          <t>Spotlight / 8 класс / Module 8 · Pastimes / Conditionals (Type 1) / Conditionals Type 1: значение — реальная/вероятная ситуация в настоящем/будущем</t>
        </is>
      </c>
    </row>
    <row r="854">
      <c r="A854" s="25" t="n">
        <v>8</v>
      </c>
      <c r="B854" s="9" t="inlineStr">
        <is>
          <t>Module 8 · Pastimes</t>
        </is>
      </c>
      <c r="C854" s="9" t="inlineStr">
        <is>
          <t>8c</t>
        </is>
      </c>
      <c r="D854" s="9" t="inlineStr">
        <is>
          <t>Conditionals (Type 1)</t>
        </is>
      </c>
      <c r="E854" s="23" t="inlineStr">
        <is>
          <t>Conditionals Type 1: запятая, если if-часть впереди</t>
        </is>
      </c>
      <c r="F854" s="25" t="inlineStr">
        <is>
          <t>повторение</t>
        </is>
      </c>
      <c r="G854" s="9" t="inlineStr"/>
      <c r="H854" s="25" t="inlineStr">
        <is>
          <t>10+</t>
        </is>
      </c>
      <c r="I854" s="9">
        <f>IFERROR(INDEX('Темы × классы'!$R:$R,MATCH(E854,'Темы × классы'!$E:$E,0)),"")</f>
        <v/>
      </c>
      <c r="J854" s="9">
        <f>IFERROR(INDEX('Темы × классы'!$S:$S,MATCH(E854,'Темы × классы'!$E:$E,0))&amp;"","")</f>
        <v/>
      </c>
      <c r="K854" s="9" t="inlineStr">
        <is>
          <t>не начат</t>
        </is>
      </c>
      <c r="L854" s="9" t="inlineStr">
        <is>
          <t>Spotlight / 8 класс / Module 8 · Pastimes / Conditionals (Type 1) / Conditionals Type 1: запятая, если if-часть впереди</t>
        </is>
      </c>
    </row>
    <row r="855">
      <c r="A855" s="25" t="n">
        <v>8</v>
      </c>
      <c r="B855" s="9" t="inlineStr">
        <is>
          <t>Module 8 · Pastimes</t>
        </is>
      </c>
      <c r="C855" s="9" t="inlineStr">
        <is>
          <t>8c</t>
        </is>
      </c>
      <c r="D855" s="9" t="inlineStr">
        <is>
          <t>Conditionals (Type 1)</t>
        </is>
      </c>
      <c r="E855" s="23" t="inlineStr">
        <is>
          <t>Conditionals Type 1: unless = if not</t>
        </is>
      </c>
      <c r="F855" s="25" t="inlineStr">
        <is>
          <t>повторение</t>
        </is>
      </c>
      <c r="G855" s="9" t="inlineStr"/>
      <c r="H855" s="25" t="inlineStr">
        <is>
          <t>10+</t>
        </is>
      </c>
      <c r="I855" s="9">
        <f>IFERROR(INDEX('Темы × классы'!$R:$R,MATCH(E855,'Темы × классы'!$E:$E,0)),"")</f>
        <v/>
      </c>
      <c r="J855" s="9">
        <f>IFERROR(INDEX('Темы × классы'!$S:$S,MATCH(E855,'Темы × классы'!$E:$E,0))&amp;"","")</f>
        <v/>
      </c>
      <c r="K855" s="9" t="inlineStr">
        <is>
          <t>не начат</t>
        </is>
      </c>
      <c r="L855" s="9" t="inlineStr">
        <is>
          <t>Spotlight / 8 класс / Module 8 · Pastimes / Conditionals (Type 1) / Conditionals Type 1: unless = if not</t>
        </is>
      </c>
    </row>
    <row r="856">
      <c r="A856" s="25" t="n">
        <v>8</v>
      </c>
      <c r="B856" s="9" t="inlineStr">
        <is>
          <t>Module 8 · Pastimes</t>
        </is>
      </c>
      <c r="C856" s="9" t="inlineStr">
        <is>
          <t>8c</t>
        </is>
      </c>
      <c r="D856" s="9" t="inlineStr">
        <is>
          <t>Conditionals (Type 2)</t>
        </is>
      </c>
      <c r="E856" s="23" t="inlineStr">
        <is>
          <t>Conditionals Type 2: форма If + Past Simple — would/could/might + V</t>
        </is>
      </c>
      <c r="F856" s="26" t="inlineStr">
        <is>
          <t>новое</t>
        </is>
      </c>
      <c r="G856" s="9" t="inlineStr"/>
      <c r="H856" s="25" t="inlineStr">
        <is>
          <t>10+</t>
        </is>
      </c>
      <c r="I856" s="9">
        <f>IFERROR(INDEX('Темы × классы'!$R:$R,MATCH(E856,'Темы × классы'!$E:$E,0)),"")</f>
        <v/>
      </c>
      <c r="J856" s="9">
        <f>IFERROR(INDEX('Темы × классы'!$S:$S,MATCH(E856,'Темы × классы'!$E:$E,0))&amp;"","")</f>
        <v/>
      </c>
      <c r="K856" s="9" t="inlineStr">
        <is>
          <t>не начат</t>
        </is>
      </c>
      <c r="L856" s="9" t="inlineStr">
        <is>
          <t>Spotlight / 8 класс / Module 8 · Pastimes / Conditionals (Type 2) / Conditionals Type 2: форма If + Past Simple — would/could/might + V</t>
        </is>
      </c>
    </row>
    <row r="857">
      <c r="A857" s="25" t="n">
        <v>8</v>
      </c>
      <c r="B857" s="9" t="inlineStr">
        <is>
          <t>Module 8 · Pastimes</t>
        </is>
      </c>
      <c r="C857" s="9" t="inlineStr">
        <is>
          <t>8c</t>
        </is>
      </c>
      <c r="D857" s="9" t="inlineStr">
        <is>
          <t>Conditionals (Type 2)</t>
        </is>
      </c>
      <c r="E857" s="23" t="inlineStr">
        <is>
          <t>Conditionals Type 2: If + Past Continuous</t>
        </is>
      </c>
      <c r="F857" s="26" t="inlineStr">
        <is>
          <t>новое</t>
        </is>
      </c>
      <c r="G857" s="9" t="inlineStr"/>
      <c r="H857" s="25" t="inlineStr">
        <is>
          <t>10+</t>
        </is>
      </c>
      <c r="I857" s="9">
        <f>IFERROR(INDEX('Темы × классы'!$R:$R,MATCH(E857,'Темы × классы'!$E:$E,0)),"")</f>
        <v/>
      </c>
      <c r="J857" s="9">
        <f>IFERROR(INDEX('Темы × классы'!$S:$S,MATCH(E857,'Темы × классы'!$E:$E,0))&amp;"","")</f>
        <v/>
      </c>
      <c r="K857" s="9" t="inlineStr">
        <is>
          <t>не начат</t>
        </is>
      </c>
      <c r="L857" s="9" t="inlineStr">
        <is>
          <t>Spotlight / 8 класс / Module 8 · Pastimes / Conditionals (Type 2) / Conditionals Type 2: If + Past Continuous</t>
        </is>
      </c>
    </row>
    <row r="858">
      <c r="A858" s="25" t="n">
        <v>8</v>
      </c>
      <c r="B858" s="9" t="inlineStr">
        <is>
          <t>Module 8 · Pastimes</t>
        </is>
      </c>
      <c r="C858" s="9" t="inlineStr">
        <is>
          <t>8c</t>
        </is>
      </c>
      <c r="D858" s="9" t="inlineStr">
        <is>
          <t>Conditionals (Type 2)</t>
        </is>
      </c>
      <c r="E858" s="23" t="inlineStr">
        <is>
          <t>Conditionals Type 2: значение — воображаемая/маловероятная ситуация в настоящем/будущем</t>
        </is>
      </c>
      <c r="F858" s="26" t="inlineStr">
        <is>
          <t>новое</t>
        </is>
      </c>
      <c r="G858" s="9" t="inlineStr"/>
      <c r="H858" s="25" t="inlineStr">
        <is>
          <t>10+</t>
        </is>
      </c>
      <c r="I858" s="9">
        <f>IFERROR(INDEX('Темы × классы'!$R:$R,MATCH(E858,'Темы × классы'!$E:$E,0)),"")</f>
        <v/>
      </c>
      <c r="J858" s="9">
        <f>IFERROR(INDEX('Темы × классы'!$S:$S,MATCH(E858,'Темы × классы'!$E:$E,0))&amp;"","")</f>
        <v/>
      </c>
      <c r="K858" s="9" t="inlineStr">
        <is>
          <t>не начат</t>
        </is>
      </c>
      <c r="L858" s="9" t="inlineStr">
        <is>
          <t>Spotlight / 8 класс / Module 8 · Pastimes / Conditionals (Type 2) / Conditionals Type 2: значение — воображаемая/маловероятная ситуация в настоящем/будущем</t>
        </is>
      </c>
    </row>
    <row r="859">
      <c r="A859" s="25" t="n">
        <v>8</v>
      </c>
      <c r="B859" s="9" t="inlineStr">
        <is>
          <t>Module 8 · Pastimes</t>
        </is>
      </c>
      <c r="C859" s="9" t="inlineStr">
        <is>
          <t>8c</t>
        </is>
      </c>
      <c r="D859" s="9" t="inlineStr">
        <is>
          <t>Conditionals (Type 2)</t>
        </is>
      </c>
      <c r="E859" s="23" t="inlineStr">
        <is>
          <t>Conditionals Type 2: were/was для I, he, she, it</t>
        </is>
      </c>
      <c r="F859" s="26" t="inlineStr">
        <is>
          <t>новое</t>
        </is>
      </c>
      <c r="G859" s="9" t="inlineStr">
        <is>
          <t>were или was</t>
        </is>
      </c>
      <c r="H859" s="25" t="inlineStr">
        <is>
          <t>10+</t>
        </is>
      </c>
      <c r="I859" s="9">
        <f>IFERROR(INDEX('Темы × классы'!$R:$R,MATCH(E859,'Темы × классы'!$E:$E,0)),"")</f>
        <v/>
      </c>
      <c r="J859" s="9">
        <f>IFERROR(INDEX('Темы × классы'!$S:$S,MATCH(E859,'Темы × классы'!$E:$E,0))&amp;"","")</f>
        <v/>
      </c>
      <c r="K859" s="9" t="inlineStr">
        <is>
          <t>не начат</t>
        </is>
      </c>
      <c r="L859" s="9" t="inlineStr">
        <is>
          <t>Spotlight / 8 класс / Module 8 · Pastimes / Conditionals (Type 2) / Conditionals Type 2: were/was для I, he, she, it</t>
        </is>
      </c>
    </row>
    <row r="860">
      <c r="A860" s="25" t="n">
        <v>8</v>
      </c>
      <c r="B860" s="9" t="inlineStr">
        <is>
          <t>Module 8 · Pastimes</t>
        </is>
      </c>
      <c r="C860" s="9" t="inlineStr">
        <is>
          <t>8c</t>
        </is>
      </c>
      <c r="D860" s="9" t="inlineStr">
        <is>
          <t>Conditionals (Type 2)</t>
        </is>
      </c>
      <c r="E860" s="23" t="inlineStr">
        <is>
          <t>Conditionals Type 2: If I were you — совет</t>
        </is>
      </c>
      <c r="F860" s="26" t="inlineStr">
        <is>
          <t>новое</t>
        </is>
      </c>
      <c r="G860" s="9" t="inlineStr"/>
      <c r="H860" s="25" t="inlineStr">
        <is>
          <t>10+</t>
        </is>
      </c>
      <c r="I860" s="9">
        <f>IFERROR(INDEX('Темы × классы'!$R:$R,MATCH(E860,'Темы × классы'!$E:$E,0)),"")</f>
        <v/>
      </c>
      <c r="J860" s="9">
        <f>IFERROR(INDEX('Темы × классы'!$S:$S,MATCH(E860,'Темы × классы'!$E:$E,0))&amp;"","")</f>
        <v/>
      </c>
      <c r="K860" s="9" t="inlineStr">
        <is>
          <t>не начат</t>
        </is>
      </c>
      <c r="L860" s="9" t="inlineStr">
        <is>
          <t>Spotlight / 8 класс / Module 8 · Pastimes / Conditionals (Type 2) / Conditionals Type 2: If I were you — совет</t>
        </is>
      </c>
    </row>
    <row r="861">
      <c r="A861" s="25" t="n">
        <v>8</v>
      </c>
      <c r="B861" s="9" t="inlineStr">
        <is>
          <t>Module 8 · Pastimes</t>
        </is>
      </c>
      <c r="C861" s="9" t="inlineStr">
        <is>
          <t>8c</t>
        </is>
      </c>
      <c r="D861" s="9" t="inlineStr">
        <is>
          <t>Conditionals (Type 3)</t>
        </is>
      </c>
      <c r="E861" s="23" t="inlineStr">
        <is>
          <t>Conditionals Type 3: форма If + Past Perfect — would/could/might have + V3</t>
        </is>
      </c>
      <c r="F861" s="26" t="inlineStr">
        <is>
          <t>новое</t>
        </is>
      </c>
      <c r="G861" s="9" t="inlineStr">
        <is>
          <t>bare perfect infinitive</t>
        </is>
      </c>
      <c r="H861" s="25" t="inlineStr">
        <is>
          <t>10+</t>
        </is>
      </c>
      <c r="I861" s="9">
        <f>IFERROR(INDEX('Темы × классы'!$R:$R,MATCH(E861,'Темы × классы'!$E:$E,0)),"")</f>
        <v/>
      </c>
      <c r="J861" s="9">
        <f>IFERROR(INDEX('Темы × классы'!$S:$S,MATCH(E861,'Темы × классы'!$E:$E,0))&amp;"","")</f>
        <v/>
      </c>
      <c r="K861" s="9" t="inlineStr">
        <is>
          <t>не начат</t>
        </is>
      </c>
      <c r="L861" s="9" t="inlineStr">
        <is>
          <t>Spotlight / 8 класс / Module 8 · Pastimes / Conditionals (Type 3) / Conditionals Type 3: форма If + Past Perfect — would/could/might have + V3</t>
        </is>
      </c>
    </row>
    <row r="862">
      <c r="A862" s="25" t="n">
        <v>8</v>
      </c>
      <c r="B862" s="9" t="inlineStr">
        <is>
          <t>Module 8 · Pastimes</t>
        </is>
      </c>
      <c r="C862" s="9" t="inlineStr">
        <is>
          <t>8c</t>
        </is>
      </c>
      <c r="D862" s="9" t="inlineStr">
        <is>
          <t>Conditionals (Type 3)</t>
        </is>
      </c>
      <c r="E862" s="23" t="inlineStr">
        <is>
          <t>Conditionals Type 3: If + Past Perfect Continuous</t>
        </is>
      </c>
      <c r="F862" s="26" t="inlineStr">
        <is>
          <t>новое</t>
        </is>
      </c>
      <c r="G862" s="9" t="inlineStr"/>
      <c r="H862" s="25" t="inlineStr">
        <is>
          <t>10+</t>
        </is>
      </c>
      <c r="I862" s="9">
        <f>IFERROR(INDEX('Темы × классы'!$R:$R,MATCH(E862,'Темы × классы'!$E:$E,0)),"")</f>
        <v/>
      </c>
      <c r="J862" s="9">
        <f>IFERROR(INDEX('Темы × классы'!$S:$S,MATCH(E862,'Темы × классы'!$E:$E,0))&amp;"","")</f>
        <v/>
      </c>
      <c r="K862" s="9" t="inlineStr">
        <is>
          <t>не начат</t>
        </is>
      </c>
      <c r="L862" s="9" t="inlineStr">
        <is>
          <t>Spotlight / 8 класс / Module 8 · Pastimes / Conditionals (Type 3) / Conditionals Type 3: If + Past Perfect Continuous</t>
        </is>
      </c>
    </row>
    <row r="863">
      <c r="A863" s="25" t="n">
        <v>8</v>
      </c>
      <c r="B863" s="9" t="inlineStr">
        <is>
          <t>Module 8 · Pastimes</t>
        </is>
      </c>
      <c r="C863" s="9" t="inlineStr">
        <is>
          <t>8c</t>
        </is>
      </c>
      <c r="D863" s="9" t="inlineStr">
        <is>
          <t>Conditionals (Type 3)</t>
        </is>
      </c>
      <c r="E863" s="23" t="inlineStr">
        <is>
          <t>Conditionals Type 3: значение — нереальная ситуация в прошлом</t>
        </is>
      </c>
      <c r="F863" s="26" t="inlineStr">
        <is>
          <t>новое</t>
        </is>
      </c>
      <c r="G863" s="9" t="inlineStr"/>
      <c r="H863" s="25" t="inlineStr">
        <is>
          <t>10+</t>
        </is>
      </c>
      <c r="I863" s="9">
        <f>IFERROR(INDEX('Темы × классы'!$R:$R,MATCH(E863,'Темы × классы'!$E:$E,0)),"")</f>
        <v/>
      </c>
      <c r="J863" s="9">
        <f>IFERROR(INDEX('Темы × классы'!$S:$S,MATCH(E863,'Темы × классы'!$E:$E,0))&amp;"","")</f>
        <v/>
      </c>
      <c r="K863" s="9" t="inlineStr">
        <is>
          <t>не начат</t>
        </is>
      </c>
      <c r="L863" s="9" t="inlineStr">
        <is>
          <t>Spotlight / 8 класс / Module 8 · Pastimes / Conditionals (Type 3) / Conditionals Type 3: значение — нереальная ситуация в прошлом</t>
        </is>
      </c>
    </row>
    <row r="864">
      <c r="A864" s="25" t="n">
        <v>8</v>
      </c>
      <c r="B864" s="9" t="inlineStr">
        <is>
          <t>Module 8 · Pastimes</t>
        </is>
      </c>
      <c r="C864" s="9" t="inlineStr">
        <is>
          <t>8c</t>
        </is>
      </c>
      <c r="D864" s="9" t="inlineStr">
        <is>
          <t>Conditionals (Type 3)</t>
        </is>
      </c>
      <c r="E864" s="23" t="inlineStr">
        <is>
          <t>Conditionals Type 3: значение — сожаление, критика</t>
        </is>
      </c>
      <c r="F864" s="26" t="inlineStr">
        <is>
          <t>новое</t>
        </is>
      </c>
      <c r="G864" s="9" t="inlineStr"/>
      <c r="H864" s="25" t="inlineStr">
        <is>
          <t>10+</t>
        </is>
      </c>
      <c r="I864" s="9">
        <f>IFERROR(INDEX('Темы × классы'!$R:$R,MATCH(E864,'Темы × классы'!$E:$E,0)),"")</f>
        <v/>
      </c>
      <c r="J864" s="9">
        <f>IFERROR(INDEX('Темы × классы'!$S:$S,MATCH(E864,'Темы × классы'!$E:$E,0))&amp;"","")</f>
        <v/>
      </c>
      <c r="K864" s="9" t="inlineStr">
        <is>
          <t>не начат</t>
        </is>
      </c>
      <c r="L864" s="9" t="inlineStr">
        <is>
          <t>Spotlight / 8 класс / Module 8 · Pastimes / Conditionals (Type 3) / Conditionals Type 3: значение — сожаление, критика</t>
        </is>
      </c>
    </row>
    <row r="865">
      <c r="A865" s="25" t="n">
        <v>8</v>
      </c>
      <c r="B865" s="9" t="inlineStr">
        <is>
          <t>Module 8 · Pastimes</t>
        </is>
      </c>
      <c r="C865" s="9" t="inlineStr">
        <is>
          <t>8f</t>
        </is>
      </c>
      <c r="D865" s="9" t="inlineStr">
        <is>
          <t>Phrasal verbs</t>
        </is>
      </c>
      <c r="E865" s="23" t="inlineStr">
        <is>
          <t>Phrasal verbs: take</t>
        </is>
      </c>
      <c r="F865" s="26" t="inlineStr">
        <is>
          <t>новое</t>
        </is>
      </c>
      <c r="G865" s="9" t="inlineStr">
        <is>
          <t>take: take after (быть похожим на), take off (1) взлетать, 2) снимать, убирать), take to (полюбить, пристраститься), take up (1) увлечься, заняться, 2) занимать время).</t>
        </is>
      </c>
      <c r="H865" s="25" t="inlineStr">
        <is>
          <t>10+</t>
        </is>
      </c>
      <c r="I865" s="9">
        <f>IFERROR(INDEX('Темы × классы'!$R:$R,MATCH(E865,'Темы × классы'!$E:$E,0)),"")</f>
        <v/>
      </c>
      <c r="J865" s="9">
        <f>IFERROR(INDEX('Темы × классы'!$S:$S,MATCH(E865,'Темы × классы'!$E:$E,0))&amp;"","")</f>
        <v/>
      </c>
      <c r="K865" s="9" t="inlineStr">
        <is>
          <t>не начат</t>
        </is>
      </c>
      <c r="L865" s="9" t="inlineStr">
        <is>
          <t>Spotlight / 8 класс / Module 8 · Pastimes / Phrasal verbs / Phrasal verbs: take</t>
        </is>
      </c>
    </row>
    <row r="866">
      <c r="A866" s="25" t="n">
        <v>8</v>
      </c>
      <c r="B866" s="9" t="inlineStr">
        <is>
          <t>Module 8 · Pastimes</t>
        </is>
      </c>
      <c r="C866" s="9" t="inlineStr">
        <is>
          <t>8f</t>
        </is>
      </c>
      <c r="D866" s="9" t="inlineStr">
        <is>
          <t>Word formation</t>
        </is>
      </c>
      <c r="E866" s="23" t="inlineStr">
        <is>
          <t>Word formation: compound adjectives</t>
        </is>
      </c>
      <c r="F866" s="26" t="inlineStr">
        <is>
          <t>новое</t>
        </is>
      </c>
      <c r="G866" s="9" t="inlineStr">
        <is>
          <t>Сложные прилагательные (compound adjectives).</t>
        </is>
      </c>
      <c r="H866" s="25" t="inlineStr">
        <is>
          <t>10+</t>
        </is>
      </c>
      <c r="I866" s="9">
        <f>IFERROR(INDEX('Темы × классы'!$R:$R,MATCH(E866,'Темы × классы'!$E:$E,0)),"")</f>
        <v/>
      </c>
      <c r="J866" s="9">
        <f>IFERROR(INDEX('Темы × классы'!$S:$S,MATCH(E866,'Темы × классы'!$E:$E,0))&amp;"","")</f>
        <v/>
      </c>
      <c r="K866" s="9" t="inlineStr">
        <is>
          <t>не начат</t>
        </is>
      </c>
      <c r="L866" s="9" t="inlineStr">
        <is>
          <t>Spotlight / 8 класс / Module 8 · Pastimes / Word formation / Word formation: compound adjectives</t>
        </is>
      </c>
    </row>
    <row r="867">
      <c r="A867" s="25" t="n">
        <v>8</v>
      </c>
      <c r="B867" s="9" t="inlineStr">
        <is>
          <t>Module 8 · Pastimes</t>
        </is>
      </c>
      <c r="C867" s="9" t="inlineStr">
        <is>
          <t>8f</t>
        </is>
      </c>
      <c r="D867" s="9" t="inlineStr">
        <is>
          <t>Dependent prepositions</t>
        </is>
      </c>
      <c r="E867" s="23" t="inlineStr">
        <is>
          <t>Dependent prepositions</t>
        </is>
      </c>
      <c r="F867" s="25" t="inlineStr">
        <is>
          <t>повторение</t>
        </is>
      </c>
      <c r="G867" s="9" t="inlineStr">
        <is>
          <t>Предлоги (prepositions) — тема English in Use 8f.</t>
        </is>
      </c>
      <c r="H867" s="25" t="inlineStr">
        <is>
          <t>10+</t>
        </is>
      </c>
      <c r="I867" s="9">
        <f>IFERROR(INDEX('Темы × классы'!$R:$R,MATCH(E867,'Темы × классы'!$E:$E,0)),"")</f>
        <v/>
      </c>
      <c r="J867" s="9">
        <f>IFERROR(INDEX('Темы × классы'!$S:$S,MATCH(E867,'Темы × классы'!$E:$E,0))&amp;"","")</f>
        <v/>
      </c>
      <c r="K867" s="9" t="inlineStr">
        <is>
          <t>не начат</t>
        </is>
      </c>
      <c r="L867" s="9" t="inlineStr">
        <is>
          <t>Spotlight / 8 класс / Module 8 · Pastimes / Dependent prepositions / Dependent prepositions</t>
        </is>
      </c>
    </row>
    <row r="868">
      <c r="A868" s="25" t="n">
        <v>9</v>
      </c>
      <c r="B868" s="9" t="inlineStr">
        <is>
          <t>Irregular Verbs</t>
        </is>
      </c>
      <c r="C868" s="9" t="inlineStr"/>
      <c r="D868" s="9" t="inlineStr">
        <is>
          <t>Irregular verbs (list)</t>
        </is>
      </c>
      <c r="E868" s="23" t="inlineStr">
        <is>
          <t>Irregular verbs: таблица Infinitive – Past – Past Participle</t>
        </is>
      </c>
      <c r="F868" s="25" t="inlineStr">
        <is>
          <t>повторение</t>
        </is>
      </c>
      <c r="G868" s="9" t="inlineStr">
        <is>
          <t>103 глагола</t>
        </is>
      </c>
      <c r="H868" s="25" t="inlineStr">
        <is>
          <t>10+</t>
        </is>
      </c>
      <c r="I868" s="9">
        <f>IFERROR(INDEX('Темы × классы'!$R:$R,MATCH(E868,'Темы × классы'!$E:$E,0)),"")</f>
        <v/>
      </c>
      <c r="J868" s="9">
        <f>IFERROR(INDEX('Темы × классы'!$S:$S,MATCH(E868,'Темы × классы'!$E:$E,0))&amp;"","")</f>
        <v/>
      </c>
      <c r="K868" s="9" t="inlineStr">
        <is>
          <t>не начат</t>
        </is>
      </c>
      <c r="L868" s="9" t="inlineStr">
        <is>
          <t>Spotlight / 9 класс / Irregular Verbs / Irregular verbs (list) / Irregular verbs: таблица Infinitive – Past – Past Participle</t>
        </is>
      </c>
    </row>
    <row r="869">
      <c r="A869" s="25" t="n">
        <v>9</v>
      </c>
      <c r="B869" s="9" t="inlineStr">
        <is>
          <t>Irregular Verbs</t>
        </is>
      </c>
      <c r="C869" s="9" t="inlineStr"/>
      <c r="D869" s="9" t="inlineStr">
        <is>
          <t>Irregular verbs (list)</t>
        </is>
      </c>
      <c r="E869" s="23" t="inlineStr">
        <is>
          <t>Irregular verbs: двойные и особые формы (burnt/burned, got/gotten, can – could)</t>
        </is>
      </c>
      <c r="F869" s="25" t="inlineStr">
        <is>
          <t>повторение</t>
        </is>
      </c>
      <c r="G869" s="9" t="inlineStr"/>
      <c r="H869" s="25" t="inlineStr">
        <is>
          <t>10+</t>
        </is>
      </c>
      <c r="I869" s="9">
        <f>IFERROR(INDEX('Темы × классы'!$R:$R,MATCH(E869,'Темы × классы'!$E:$E,0)),"")</f>
        <v/>
      </c>
      <c r="J869" s="9">
        <f>IFERROR(INDEX('Темы × классы'!$S:$S,MATCH(E869,'Темы × классы'!$E:$E,0))&amp;"","")</f>
        <v/>
      </c>
      <c r="K869" s="9" t="inlineStr">
        <is>
          <t>не начат</t>
        </is>
      </c>
      <c r="L869" s="9" t="inlineStr">
        <is>
          <t>Spotlight / 9 класс / Irregular Verbs / Irregular verbs (list) / Irregular verbs: двойные и особые формы (burnt/burned, got/gotten, can – could)</t>
        </is>
      </c>
    </row>
    <row r="870">
      <c r="A870" s="25" t="n">
        <v>9</v>
      </c>
      <c r="B870" s="9" t="inlineStr">
        <is>
          <t>Module 1 · Celebrations</t>
        </is>
      </c>
      <c r="C870" s="9" t="inlineStr">
        <is>
          <t>1c</t>
        </is>
      </c>
      <c r="D870" s="9" t="inlineStr">
        <is>
          <t>Present Continuous</t>
        </is>
      </c>
      <c r="E870" s="23" t="inlineStr">
        <is>
          <t>Present Continuous: утверждение (am/is/are + V-ing)</t>
        </is>
      </c>
      <c r="F870" s="25" t="inlineStr">
        <is>
          <t>повторение</t>
        </is>
      </c>
      <c r="G870" s="9" t="inlineStr"/>
      <c r="H870" s="25" t="inlineStr">
        <is>
          <t>10+</t>
        </is>
      </c>
      <c r="I870" s="9">
        <f>IFERROR(INDEX('Темы × классы'!$R:$R,MATCH(E870,'Темы × классы'!$E:$E,0)),"")</f>
        <v/>
      </c>
      <c r="J870" s="9">
        <f>IFERROR(INDEX('Темы × классы'!$S:$S,MATCH(E870,'Темы × классы'!$E:$E,0))&amp;"","")</f>
        <v/>
      </c>
      <c r="K870" s="9" t="inlineStr">
        <is>
          <t>не начат</t>
        </is>
      </c>
      <c r="L870" s="9" t="inlineStr">
        <is>
          <t>Spotlight / 9 класс / Module 1 · Celebrations / Present Continuous / Present Continuous: утверждение (am/is/are + V-ing)</t>
        </is>
      </c>
    </row>
    <row r="871">
      <c r="A871" s="25" t="n">
        <v>9</v>
      </c>
      <c r="B871" s="9" t="inlineStr">
        <is>
          <t>Module 1 · Celebrations</t>
        </is>
      </c>
      <c r="C871" s="9" t="inlineStr">
        <is>
          <t>1c</t>
        </is>
      </c>
      <c r="D871" s="9" t="inlineStr">
        <is>
          <t>Present Continuous</t>
        </is>
      </c>
      <c r="E871" s="23" t="inlineStr">
        <is>
          <t>Present Continuous: орфография -ing</t>
        </is>
      </c>
      <c r="F871" s="25" t="inlineStr">
        <is>
          <t>повторение</t>
        </is>
      </c>
      <c r="G871" s="9" t="inlineStr">
        <is>
          <t>occur – occurring, discover – discovering</t>
        </is>
      </c>
      <c r="H871" s="25" t="inlineStr">
        <is>
          <t>10+</t>
        </is>
      </c>
      <c r="I871" s="9">
        <f>IFERROR(INDEX('Темы × классы'!$R:$R,MATCH(E871,'Темы × классы'!$E:$E,0)),"")</f>
        <v/>
      </c>
      <c r="J871" s="9">
        <f>IFERROR(INDEX('Темы × классы'!$S:$S,MATCH(E871,'Темы × классы'!$E:$E,0))&amp;"","")</f>
        <v/>
      </c>
      <c r="K871" s="9" t="inlineStr">
        <is>
          <t>не начат</t>
        </is>
      </c>
      <c r="L871" s="9" t="inlineStr">
        <is>
          <t>Spotlight / 9 класс / Module 1 · Celebrations / Present Continuous / Present Continuous: орфография -ing</t>
        </is>
      </c>
    </row>
    <row r="872">
      <c r="A872" s="25" t="n">
        <v>9</v>
      </c>
      <c r="B872" s="9" t="inlineStr">
        <is>
          <t>Module 1 · Celebrations</t>
        </is>
      </c>
      <c r="C872" s="9" t="inlineStr">
        <is>
          <t>1c</t>
        </is>
      </c>
      <c r="D872" s="9" t="inlineStr">
        <is>
          <t>Present Continuous</t>
        </is>
      </c>
      <c r="E872" s="23" t="inlineStr">
        <is>
          <t>Present Continuous: значение — действие сейчас (now)</t>
        </is>
      </c>
      <c r="F872" s="25" t="inlineStr">
        <is>
          <t>повторение</t>
        </is>
      </c>
      <c r="G872" s="9" t="inlineStr"/>
      <c r="H872" s="25" t="inlineStr">
        <is>
          <t>10+</t>
        </is>
      </c>
      <c r="I872" s="9">
        <f>IFERROR(INDEX('Темы × классы'!$R:$R,MATCH(E872,'Темы × классы'!$E:$E,0)),"")</f>
        <v/>
      </c>
      <c r="J872" s="9">
        <f>IFERROR(INDEX('Темы × классы'!$S:$S,MATCH(E872,'Темы × классы'!$E:$E,0))&amp;"","")</f>
        <v/>
      </c>
      <c r="K872" s="9" t="inlineStr">
        <is>
          <t>не начат</t>
        </is>
      </c>
      <c r="L872" s="9" t="inlineStr">
        <is>
          <t>Spotlight / 9 класс / Module 1 · Celebrations / Present Continuous / Present Continuous: значение — действие сейчас (now)</t>
        </is>
      </c>
    </row>
    <row r="873">
      <c r="A873" s="25" t="n">
        <v>9</v>
      </c>
      <c r="B873" s="9" t="inlineStr">
        <is>
          <t>Module 1 · Celebrations</t>
        </is>
      </c>
      <c r="C873" s="9" t="inlineStr">
        <is>
          <t>1c</t>
        </is>
      </c>
      <c r="D873" s="9" t="inlineStr">
        <is>
          <t>Present Continuous</t>
        </is>
      </c>
      <c r="E873" s="23" t="inlineStr">
        <is>
          <t>Present Continuous: значение — действие в настоящий период (these days)</t>
        </is>
      </c>
      <c r="F873" s="25" t="inlineStr">
        <is>
          <t>повторение</t>
        </is>
      </c>
      <c r="G873" s="9" t="inlineStr">
        <is>
          <t>today, these days</t>
        </is>
      </c>
      <c r="H873" s="25" t="inlineStr">
        <is>
          <t>10+</t>
        </is>
      </c>
      <c r="I873" s="9">
        <f>IFERROR(INDEX('Темы × классы'!$R:$R,MATCH(E873,'Темы × классы'!$E:$E,0)),"")</f>
        <v/>
      </c>
      <c r="J873" s="9">
        <f>IFERROR(INDEX('Темы × классы'!$S:$S,MATCH(E873,'Темы × классы'!$E:$E,0))&amp;"","")</f>
        <v/>
      </c>
      <c r="K873" s="9" t="inlineStr">
        <is>
          <t>не начат</t>
        </is>
      </c>
      <c r="L873" s="9" t="inlineStr">
        <is>
          <t>Spotlight / 9 класс / Module 1 · Celebrations / Present Continuous / Present Continuous: значение — действие в настоящий период (these days)</t>
        </is>
      </c>
    </row>
    <row r="874">
      <c r="A874" s="25" t="n">
        <v>9</v>
      </c>
      <c r="B874" s="9" t="inlineStr">
        <is>
          <t>Module 1 · Celebrations</t>
        </is>
      </c>
      <c r="C874" s="9" t="inlineStr">
        <is>
          <t>1c</t>
        </is>
      </c>
      <c r="D874" s="9" t="inlineStr">
        <is>
          <t>Present Continuous</t>
        </is>
      </c>
      <c r="E874" s="23" t="inlineStr">
        <is>
          <t>Present Continuous: значение — запланированное будущее</t>
        </is>
      </c>
      <c r="F874" s="25" t="inlineStr">
        <is>
          <t>повторение</t>
        </is>
      </c>
      <c r="G874" s="9" t="inlineStr"/>
      <c r="H874" s="25" t="inlineStr">
        <is>
          <t>10+</t>
        </is>
      </c>
      <c r="I874" s="9">
        <f>IFERROR(INDEX('Темы × классы'!$R:$R,MATCH(E874,'Темы × классы'!$E:$E,0)),"")</f>
        <v/>
      </c>
      <c r="J874" s="9">
        <f>IFERROR(INDEX('Темы × классы'!$S:$S,MATCH(E874,'Темы × классы'!$E:$E,0))&amp;"","")</f>
        <v/>
      </c>
      <c r="K874" s="9" t="inlineStr">
        <is>
          <t>не начат</t>
        </is>
      </c>
      <c r="L874" s="9" t="inlineStr">
        <is>
          <t>Spotlight / 9 класс / Module 1 · Celebrations / Present Continuous / Present Continuous: значение — запланированное будущее</t>
        </is>
      </c>
    </row>
    <row r="875">
      <c r="A875" s="25" t="n">
        <v>9</v>
      </c>
      <c r="B875" s="9" t="inlineStr">
        <is>
          <t>Module 1 · Celebrations</t>
        </is>
      </c>
      <c r="C875" s="9" t="inlineStr">
        <is>
          <t>1c</t>
        </is>
      </c>
      <c r="D875" s="9" t="inlineStr">
        <is>
          <t>Present Continuous</t>
        </is>
      </c>
      <c r="E875" s="23" t="inlineStr">
        <is>
          <t>Present Continuous: значение — временные ситуации</t>
        </is>
      </c>
      <c r="F875" s="25" t="inlineStr">
        <is>
          <t>повторение</t>
        </is>
      </c>
      <c r="G875" s="9" t="inlineStr"/>
      <c r="H875" s="25" t="inlineStr">
        <is>
          <t>10+</t>
        </is>
      </c>
      <c r="I875" s="9">
        <f>IFERROR(INDEX('Темы × классы'!$R:$R,MATCH(E875,'Темы × классы'!$E:$E,0)),"")</f>
        <v/>
      </c>
      <c r="J875" s="9">
        <f>IFERROR(INDEX('Темы × классы'!$S:$S,MATCH(E875,'Темы × классы'!$E:$E,0))&amp;"","")</f>
        <v/>
      </c>
      <c r="K875" s="9" t="inlineStr">
        <is>
          <t>не начат</t>
        </is>
      </c>
      <c r="L875" s="9" t="inlineStr">
        <is>
          <t>Spotlight / 9 класс / Module 1 · Celebrations / Present Continuous / Present Continuous: значение — временные ситуации</t>
        </is>
      </c>
    </row>
    <row r="876">
      <c r="A876" s="25" t="n">
        <v>9</v>
      </c>
      <c r="B876" s="9" t="inlineStr">
        <is>
          <t>Module 1 · Celebrations</t>
        </is>
      </c>
      <c r="C876" s="9" t="inlineStr">
        <is>
          <t>1c</t>
        </is>
      </c>
      <c r="D876" s="9" t="inlineStr">
        <is>
          <t>Present Continuous</t>
        </is>
      </c>
      <c r="E876" s="23" t="inlineStr">
        <is>
          <t>Present Continuous: значение — меняющиеся и развивающиеся ситуации</t>
        </is>
      </c>
      <c r="F876" s="25" t="inlineStr">
        <is>
          <t>повторение</t>
        </is>
      </c>
      <c r="G876" s="9" t="inlineStr">
        <is>
          <t>getting thinner and thinner</t>
        </is>
      </c>
      <c r="H876" s="25" t="inlineStr">
        <is>
          <t>10+</t>
        </is>
      </c>
      <c r="I876" s="9">
        <f>IFERROR(INDEX('Темы × классы'!$R:$R,MATCH(E876,'Темы × классы'!$E:$E,0)),"")</f>
        <v/>
      </c>
      <c r="J876" s="9">
        <f>IFERROR(INDEX('Темы × классы'!$S:$S,MATCH(E876,'Темы × классы'!$E:$E,0))&amp;"","")</f>
        <v/>
      </c>
      <c r="K876" s="9" t="inlineStr">
        <is>
          <t>не начат</t>
        </is>
      </c>
      <c r="L876" s="9" t="inlineStr">
        <is>
          <t>Spotlight / 9 класс / Module 1 · Celebrations / Present Continuous / Present Continuous: значение — меняющиеся и развивающиеся ситуации</t>
        </is>
      </c>
    </row>
    <row r="877">
      <c r="A877" s="25" t="n">
        <v>9</v>
      </c>
      <c r="B877" s="9" t="inlineStr">
        <is>
          <t>Module 1 · Celebrations</t>
        </is>
      </c>
      <c r="C877" s="9" t="inlineStr">
        <is>
          <t>1c</t>
        </is>
      </c>
      <c r="D877" s="9" t="inlineStr">
        <is>
          <t>Present Continuous</t>
        </is>
      </c>
      <c r="E877" s="23" t="inlineStr">
        <is>
          <t>Present Continuous: значение — always + раздражение</t>
        </is>
      </c>
      <c r="F877" s="25" t="inlineStr">
        <is>
          <t>повторение</t>
        </is>
      </c>
      <c r="G877" s="9" t="inlineStr"/>
      <c r="H877" s="25" t="inlineStr">
        <is>
          <t>10+</t>
        </is>
      </c>
      <c r="I877" s="9">
        <f>IFERROR(INDEX('Темы × классы'!$R:$R,MATCH(E877,'Темы × классы'!$E:$E,0)),"")</f>
        <v/>
      </c>
      <c r="J877" s="9">
        <f>IFERROR(INDEX('Темы × классы'!$S:$S,MATCH(E877,'Темы × классы'!$E:$E,0))&amp;"","")</f>
        <v/>
      </c>
      <c r="K877" s="9" t="inlineStr">
        <is>
          <t>не начат</t>
        </is>
      </c>
      <c r="L877" s="9" t="inlineStr">
        <is>
          <t>Spotlight / 9 класс / Module 1 · Celebrations / Present Continuous / Present Continuous: значение — always + раздражение</t>
        </is>
      </c>
    </row>
    <row r="878">
      <c r="A878" s="25" t="n">
        <v>9</v>
      </c>
      <c r="B878" s="9" t="inlineStr">
        <is>
          <t>Module 1 · Celebrations</t>
        </is>
      </c>
      <c r="C878" s="9" t="inlineStr">
        <is>
          <t>1c</t>
        </is>
      </c>
      <c r="D878" s="9" t="inlineStr">
        <is>
          <t>Present Simple</t>
        </is>
      </c>
      <c r="E878" s="23" t="inlineStr">
        <is>
          <t>Present Simple: утверждение (I/you/we/they V, he/she/it V-s)</t>
        </is>
      </c>
      <c r="F878" s="25" t="inlineStr">
        <is>
          <t>повторение</t>
        </is>
      </c>
      <c r="G878" s="9" t="inlineStr">
        <is>
          <t>только V/V-s; −/? не расписаны</t>
        </is>
      </c>
      <c r="H878" s="25" t="inlineStr">
        <is>
          <t>10+</t>
        </is>
      </c>
      <c r="I878" s="9">
        <f>IFERROR(INDEX('Темы × классы'!$R:$R,MATCH(E878,'Темы × классы'!$E:$E,0)),"")</f>
        <v/>
      </c>
      <c r="J878" s="9">
        <f>IFERROR(INDEX('Темы × классы'!$S:$S,MATCH(E878,'Темы × классы'!$E:$E,0))&amp;"","")</f>
        <v/>
      </c>
      <c r="K878" s="9" t="inlineStr">
        <is>
          <t>не начат</t>
        </is>
      </c>
      <c r="L878" s="9" t="inlineStr">
        <is>
          <t>Spotlight / 9 класс / Module 1 · Celebrations / Present Simple / Present Simple: утверждение (I/you/we/they V, he/she/it V-s)</t>
        </is>
      </c>
    </row>
    <row r="879">
      <c r="A879" s="25" t="n">
        <v>9</v>
      </c>
      <c r="B879" s="9" t="inlineStr">
        <is>
          <t>Module 1 · Celebrations</t>
        </is>
      </c>
      <c r="C879" s="9" t="inlineStr">
        <is>
          <t>1c</t>
        </is>
      </c>
      <c r="D879" s="9" t="inlineStr">
        <is>
          <t>Present Simple</t>
        </is>
      </c>
      <c r="E879" s="23" t="inlineStr">
        <is>
          <t>Present Simple: орфография окончания -s/-es (3 л. ед. ч.)</t>
        </is>
      </c>
      <c r="F879" s="25" t="inlineStr">
        <is>
          <t>повторение</t>
        </is>
      </c>
      <c r="G879" s="9" t="inlineStr"/>
      <c r="H879" s="25" t="inlineStr">
        <is>
          <t>10+</t>
        </is>
      </c>
      <c r="I879" s="9">
        <f>IFERROR(INDEX('Темы × классы'!$R:$R,MATCH(E879,'Темы × классы'!$E:$E,0)),"")</f>
        <v/>
      </c>
      <c r="J879" s="9">
        <f>IFERROR(INDEX('Темы × классы'!$S:$S,MATCH(E879,'Темы × классы'!$E:$E,0))&amp;"","")</f>
        <v/>
      </c>
      <c r="K879" s="9" t="inlineStr">
        <is>
          <t>не начат</t>
        </is>
      </c>
      <c r="L879" s="9" t="inlineStr">
        <is>
          <t>Spotlight / 9 класс / Module 1 · Celebrations / Present Simple / Present Simple: орфография окончания -s/-es (3 л. ед. ч.)</t>
        </is>
      </c>
    </row>
    <row r="880">
      <c r="A880" s="25" t="n">
        <v>9</v>
      </c>
      <c r="B880" s="9" t="inlineStr">
        <is>
          <t>Module 1 · Celebrations</t>
        </is>
      </c>
      <c r="C880" s="9" t="inlineStr">
        <is>
          <t>1c</t>
        </is>
      </c>
      <c r="D880" s="9" t="inlineStr">
        <is>
          <t>Present Simple</t>
        </is>
      </c>
      <c r="E880" s="23" t="inlineStr">
        <is>
          <t>Present Simple: значение — регулярные действия, распорядок дня, привычки</t>
        </is>
      </c>
      <c r="F880" s="25" t="inlineStr">
        <is>
          <t>повторение</t>
        </is>
      </c>
      <c r="G880" s="9" t="inlineStr">
        <is>
          <t>every hour/day…, at the weekend</t>
        </is>
      </c>
      <c r="H880" s="25" t="inlineStr">
        <is>
          <t>10+</t>
        </is>
      </c>
      <c r="I880" s="9">
        <f>IFERROR(INDEX('Темы × классы'!$R:$R,MATCH(E880,'Темы × классы'!$E:$E,0)),"")</f>
        <v/>
      </c>
      <c r="J880" s="9">
        <f>IFERROR(INDEX('Темы × классы'!$S:$S,MATCH(E880,'Темы × классы'!$E:$E,0))&amp;"","")</f>
        <v/>
      </c>
      <c r="K880" s="9" t="inlineStr">
        <is>
          <t>не начат</t>
        </is>
      </c>
      <c r="L880" s="9" t="inlineStr">
        <is>
          <t>Spotlight / 9 класс / Module 1 · Celebrations / Present Simple / Present Simple: значение — регулярные действия, распорядок дня, привычки</t>
        </is>
      </c>
    </row>
    <row r="881">
      <c r="A881" s="25" t="n">
        <v>9</v>
      </c>
      <c r="B881" s="9" t="inlineStr">
        <is>
          <t>Module 1 · Celebrations</t>
        </is>
      </c>
      <c r="C881" s="9" t="inlineStr">
        <is>
          <t>1c</t>
        </is>
      </c>
      <c r="D881" s="9" t="inlineStr">
        <is>
          <t>Present Simple</t>
        </is>
      </c>
      <c r="E881" s="23" t="inlineStr">
        <is>
          <t>Present Simple: значение — постоянные состояния и действия</t>
        </is>
      </c>
      <c r="F881" s="25" t="inlineStr">
        <is>
          <t>повторение</t>
        </is>
      </c>
      <c r="G881" s="9" t="inlineStr">
        <is>
          <t>He teaches Law at the university</t>
        </is>
      </c>
      <c r="H881" s="25" t="inlineStr">
        <is>
          <t>10+</t>
        </is>
      </c>
      <c r="I881" s="9">
        <f>IFERROR(INDEX('Темы × классы'!$R:$R,MATCH(E881,'Темы × классы'!$E:$E,0)),"")</f>
        <v/>
      </c>
      <c r="J881" s="9">
        <f>IFERROR(INDEX('Темы × классы'!$S:$S,MATCH(E881,'Темы × классы'!$E:$E,0))&amp;"","")</f>
        <v/>
      </c>
      <c r="K881" s="9" t="inlineStr">
        <is>
          <t>не начат</t>
        </is>
      </c>
      <c r="L881" s="9" t="inlineStr">
        <is>
          <t>Spotlight / 9 класс / Module 1 · Celebrations / Present Simple / Present Simple: значение — постоянные состояния и действия</t>
        </is>
      </c>
    </row>
    <row r="882">
      <c r="A882" s="25" t="n">
        <v>9</v>
      </c>
      <c r="B882" s="9" t="inlineStr">
        <is>
          <t>Module 1 · Celebrations</t>
        </is>
      </c>
      <c r="C882" s="9" t="inlineStr">
        <is>
          <t>1c</t>
        </is>
      </c>
      <c r="D882" s="9" t="inlineStr">
        <is>
          <t>Present Simple</t>
        </is>
      </c>
      <c r="E882" s="23" t="inlineStr">
        <is>
          <t>Present Simple: значение — расписания и программы (будущее по расписанию)</t>
        </is>
      </c>
      <c r="F882" s="25" t="inlineStr">
        <is>
          <t>повторение</t>
        </is>
      </c>
      <c r="G882" s="9" t="inlineStr">
        <is>
          <t>The play starts at 8:00</t>
        </is>
      </c>
      <c r="H882" s="25" t="inlineStr">
        <is>
          <t>10+</t>
        </is>
      </c>
      <c r="I882" s="9">
        <f>IFERROR(INDEX('Темы × классы'!$R:$R,MATCH(E882,'Темы × классы'!$E:$E,0)),"")</f>
        <v/>
      </c>
      <c r="J882" s="9">
        <f>IFERROR(INDEX('Темы × классы'!$S:$S,MATCH(E882,'Темы × классы'!$E:$E,0))&amp;"","")</f>
        <v/>
      </c>
      <c r="K882" s="9" t="inlineStr">
        <is>
          <t>не начат</t>
        </is>
      </c>
      <c r="L882" s="9" t="inlineStr">
        <is>
          <t>Spotlight / 9 класс / Module 1 · Celebrations / Present Simple / Present Simple: значение — расписания и программы (будущее по расписанию)</t>
        </is>
      </c>
    </row>
    <row r="883">
      <c r="A883" s="25" t="n">
        <v>9</v>
      </c>
      <c r="B883" s="9" t="inlineStr">
        <is>
          <t>Module 1 · Celebrations</t>
        </is>
      </c>
      <c r="C883" s="9" t="inlineStr">
        <is>
          <t>1c</t>
        </is>
      </c>
      <c r="D883" s="9" t="inlineStr">
        <is>
          <t>Present Simple</t>
        </is>
      </c>
      <c r="E883" s="23" t="inlineStr">
        <is>
          <t>Present Simple: значение — обзоры, спортивные комментарии, повествование</t>
        </is>
      </c>
      <c r="F883" s="25" t="inlineStr">
        <is>
          <t>повторение</t>
        </is>
      </c>
      <c r="G883" s="9" t="inlineStr">
        <is>
          <t>Meryl Streep acts beautifully</t>
        </is>
      </c>
      <c r="H883" s="25" t="inlineStr">
        <is>
          <t>10+</t>
        </is>
      </c>
      <c r="I883" s="9">
        <f>IFERROR(INDEX('Темы × классы'!$R:$R,MATCH(E883,'Темы × классы'!$E:$E,0)),"")</f>
        <v/>
      </c>
      <c r="J883" s="9">
        <f>IFERROR(INDEX('Темы × классы'!$S:$S,MATCH(E883,'Темы × классы'!$E:$E,0))&amp;"","")</f>
        <v/>
      </c>
      <c r="K883" s="9" t="inlineStr">
        <is>
          <t>не начат</t>
        </is>
      </c>
      <c r="L883" s="9" t="inlineStr">
        <is>
          <t>Spotlight / 9 класс / Module 1 · Celebrations / Present Simple / Present Simple: значение — обзоры, спортивные комментарии, повествование</t>
        </is>
      </c>
    </row>
    <row r="884">
      <c r="A884" s="25" t="n">
        <v>9</v>
      </c>
      <c r="B884" s="9" t="inlineStr">
        <is>
          <t>Module 1 · Celebrations</t>
        </is>
      </c>
      <c r="C884" s="9" t="inlineStr">
        <is>
          <t>1c</t>
        </is>
      </c>
      <c r="D884" s="9" t="inlineStr">
        <is>
          <t>Present Simple</t>
        </is>
      </c>
      <c r="E884" s="23" t="inlineStr">
        <is>
          <t>Present Simple: значение — восклицания (Here comes …!)</t>
        </is>
      </c>
      <c r="F884" s="26" t="inlineStr">
        <is>
          <t>новое</t>
        </is>
      </c>
      <c r="G884" s="9" t="inlineStr">
        <is>
          <t>Here comes Elaine!</t>
        </is>
      </c>
      <c r="H884" s="25" t="inlineStr">
        <is>
          <t>10+</t>
        </is>
      </c>
      <c r="I884" s="9">
        <f>IFERROR(INDEX('Темы × классы'!$R:$R,MATCH(E884,'Темы × классы'!$E:$E,0)),"")</f>
        <v/>
      </c>
      <c r="J884" s="9">
        <f>IFERROR(INDEX('Темы × классы'!$S:$S,MATCH(E884,'Темы × классы'!$E:$E,0))&amp;"","")</f>
        <v/>
      </c>
      <c r="K884" s="9" t="inlineStr">
        <is>
          <t>не начат</t>
        </is>
      </c>
      <c r="L884" s="9" t="inlineStr">
        <is>
          <t>Spotlight / 9 класс / Module 1 · Celebrations / Present Simple / Present Simple: значение — восклицания (Here comes …!)</t>
        </is>
      </c>
    </row>
    <row r="885">
      <c r="A885" s="25" t="n">
        <v>9</v>
      </c>
      <c r="B885" s="9" t="inlineStr">
        <is>
          <t>Module 1 · Celebrations</t>
        </is>
      </c>
      <c r="C885" s="9" t="inlineStr">
        <is>
          <t>1c</t>
        </is>
      </c>
      <c r="D885" s="9" t="inlineStr">
        <is>
          <t>Present Simple vs Present Continuous</t>
        </is>
      </c>
      <c r="E885" s="23" t="inlineStr">
        <is>
          <t>Present Simple vs Present Continuous: постоянное состояние vs временная ситуация</t>
        </is>
      </c>
      <c r="F885" s="25" t="inlineStr">
        <is>
          <t>повторение</t>
        </is>
      </c>
      <c r="G885" s="9" t="inlineStr"/>
      <c r="H885" s="25" t="inlineStr">
        <is>
          <t>10+</t>
        </is>
      </c>
      <c r="I885" s="9">
        <f>IFERROR(INDEX('Темы × классы'!$R:$R,MATCH(E885,'Темы × классы'!$E:$E,0)),"")</f>
        <v/>
      </c>
      <c r="J885" s="9">
        <f>IFERROR(INDEX('Темы × классы'!$S:$S,MATCH(E885,'Темы × классы'!$E:$E,0))&amp;"","")</f>
        <v/>
      </c>
      <c r="K885" s="9" t="inlineStr">
        <is>
          <t>не начат</t>
        </is>
      </c>
      <c r="L885" s="9" t="inlineStr">
        <is>
          <t>Spotlight / 9 класс / Module 1 · Celebrations / Present Simple vs Present Continuous / Present Simple vs Present Continuous: постоянное состояние vs временная ситуация</t>
        </is>
      </c>
    </row>
    <row r="886">
      <c r="A886" s="25" t="n">
        <v>9</v>
      </c>
      <c r="B886" s="9" t="inlineStr">
        <is>
          <t>Module 1 · Celebrations</t>
        </is>
      </c>
      <c r="C886" s="9" t="inlineStr">
        <is>
          <t>1c</t>
        </is>
      </c>
      <c r="D886" s="9" t="inlineStr">
        <is>
          <t>Present Simple vs Present Continuous</t>
        </is>
      </c>
      <c r="E886" s="23" t="inlineStr">
        <is>
          <t>Present Simple vs Present Continuous: повторяющиеся действия vs настоящий период (these days)</t>
        </is>
      </c>
      <c r="F886" s="25" t="inlineStr">
        <is>
          <t>повторение</t>
        </is>
      </c>
      <c r="G886" s="9" t="inlineStr"/>
      <c r="H886" s="25" t="inlineStr">
        <is>
          <t>10+</t>
        </is>
      </c>
      <c r="I886" s="9">
        <f>IFERROR(INDEX('Темы × классы'!$R:$R,MATCH(E886,'Темы × классы'!$E:$E,0)),"")</f>
        <v/>
      </c>
      <c r="J886" s="9">
        <f>IFERROR(INDEX('Темы × классы'!$S:$S,MATCH(E886,'Темы × классы'!$E:$E,0))&amp;"","")</f>
        <v/>
      </c>
      <c r="K886" s="9" t="inlineStr">
        <is>
          <t>не начат</t>
        </is>
      </c>
      <c r="L886" s="9" t="inlineStr">
        <is>
          <t>Spotlight / 9 класс / Module 1 · Celebrations / Present Simple vs Present Continuous / Present Simple vs Present Continuous: повторяющиеся действия vs настоящий период (these days)</t>
        </is>
      </c>
    </row>
    <row r="887">
      <c r="A887" s="25" t="n">
        <v>9</v>
      </c>
      <c r="B887" s="9" t="inlineStr">
        <is>
          <t>Module 1 · Celebrations</t>
        </is>
      </c>
      <c r="C887" s="9" t="inlineStr">
        <is>
          <t>1c</t>
        </is>
      </c>
      <c r="D887" s="9" t="inlineStr">
        <is>
          <t>Present Simple vs Present Continuous</t>
        </is>
      </c>
      <c r="E887" s="23" t="inlineStr">
        <is>
          <t>Present Simple vs Present Continuous: будущее — расписание vs договорённость</t>
        </is>
      </c>
      <c r="F887" s="25" t="inlineStr">
        <is>
          <t>повторение</t>
        </is>
      </c>
      <c r="G887" s="9" t="inlineStr"/>
      <c r="H887" s="25" t="inlineStr">
        <is>
          <t>10+</t>
        </is>
      </c>
      <c r="I887" s="9">
        <f>IFERROR(INDEX('Темы × классы'!$R:$R,MATCH(E887,'Темы × классы'!$E:$E,0)),"")</f>
        <v/>
      </c>
      <c r="J887" s="9">
        <f>IFERROR(INDEX('Темы × классы'!$S:$S,MATCH(E887,'Темы × классы'!$E:$E,0))&amp;"","")</f>
        <v/>
      </c>
      <c r="K887" s="9" t="inlineStr">
        <is>
          <t>не начат</t>
        </is>
      </c>
      <c r="L887" s="9" t="inlineStr">
        <is>
          <t>Spotlight / 9 класс / Module 1 · Celebrations / Present Simple vs Present Continuous / Present Simple vs Present Continuous: будущее — расписание vs договорённость</t>
        </is>
      </c>
    </row>
    <row r="888">
      <c r="A888" s="25" t="n">
        <v>9</v>
      </c>
      <c r="B888" s="9" t="inlineStr">
        <is>
          <t>Module 1 · Celebrations</t>
        </is>
      </c>
      <c r="C888" s="9" t="inlineStr">
        <is>
          <t>1c</t>
        </is>
      </c>
      <c r="D888" s="9" t="inlineStr">
        <is>
          <t>Present Perfect</t>
        </is>
      </c>
      <c r="E888" s="23" t="inlineStr">
        <is>
          <t>Present Perfect: утверждение (have/has + V3)</t>
        </is>
      </c>
      <c r="F888" s="25" t="inlineStr">
        <is>
          <t>повторение</t>
        </is>
      </c>
      <c r="G888" s="9" t="inlineStr"/>
      <c r="H888" s="25" t="inlineStr">
        <is>
          <t>10+</t>
        </is>
      </c>
      <c r="I888" s="9">
        <f>IFERROR(INDEX('Темы × классы'!$R:$R,MATCH(E888,'Темы × классы'!$E:$E,0)),"")</f>
        <v/>
      </c>
      <c r="J888" s="9">
        <f>IFERROR(INDEX('Темы × классы'!$S:$S,MATCH(E888,'Темы × классы'!$E:$E,0))&amp;"","")</f>
        <v/>
      </c>
      <c r="K888" s="9" t="inlineStr">
        <is>
          <t>не начат</t>
        </is>
      </c>
      <c r="L888" s="9" t="inlineStr">
        <is>
          <t>Spotlight / 9 класс / Module 1 · Celebrations / Present Perfect / Present Perfect: утверждение (have/has + V3)</t>
        </is>
      </c>
    </row>
    <row r="889">
      <c r="A889" s="25" t="n">
        <v>9</v>
      </c>
      <c r="B889" s="9" t="inlineStr">
        <is>
          <t>Module 1 · Celebrations</t>
        </is>
      </c>
      <c r="C889" s="9" t="inlineStr">
        <is>
          <t>1c</t>
        </is>
      </c>
      <c r="D889" s="9" t="inlineStr">
        <is>
          <t>Present Perfect</t>
        </is>
      </c>
      <c r="E889" s="23" t="inlineStr">
        <is>
          <t>Present Perfect: V3 правильных глаголов (-ed, орфография)</t>
        </is>
      </c>
      <c r="F889" s="25" t="inlineStr">
        <is>
          <t>повторение</t>
        </is>
      </c>
      <c r="G889" s="9" t="inlineStr">
        <is>
          <t>-ed</t>
        </is>
      </c>
      <c r="H889" s="25" t="inlineStr">
        <is>
          <t>10+</t>
        </is>
      </c>
      <c r="I889" s="9">
        <f>IFERROR(INDEX('Темы × классы'!$R:$R,MATCH(E889,'Темы × классы'!$E:$E,0)),"")</f>
        <v/>
      </c>
      <c r="J889" s="9">
        <f>IFERROR(INDEX('Темы × классы'!$S:$S,MATCH(E889,'Темы × классы'!$E:$E,0))&amp;"","")</f>
        <v/>
      </c>
      <c r="K889" s="9" t="inlineStr">
        <is>
          <t>не начат</t>
        </is>
      </c>
      <c r="L889" s="9" t="inlineStr">
        <is>
          <t>Spotlight / 9 класс / Module 1 · Celebrations / Present Perfect / Present Perfect: V3 правильных глаголов (-ed, орфография)</t>
        </is>
      </c>
    </row>
    <row r="890">
      <c r="A890" s="25" t="n">
        <v>9</v>
      </c>
      <c r="B890" s="9" t="inlineStr">
        <is>
          <t>Module 1 · Celebrations</t>
        </is>
      </c>
      <c r="C890" s="9" t="inlineStr">
        <is>
          <t>1c</t>
        </is>
      </c>
      <c r="D890" s="9" t="inlineStr">
        <is>
          <t>Present Perfect</t>
        </is>
      </c>
      <c r="E890" s="23" t="inlineStr">
        <is>
          <t>Present Perfect: V3 неправильных глаголов</t>
        </is>
      </c>
      <c r="F890" s="25" t="inlineStr">
        <is>
          <t>повторение</t>
        </is>
      </c>
      <c r="G890" s="9" t="inlineStr">
        <is>
          <t>3-я форма по таблице</t>
        </is>
      </c>
      <c r="H890" s="25" t="inlineStr">
        <is>
          <t>10+</t>
        </is>
      </c>
      <c r="I890" s="9">
        <f>IFERROR(INDEX('Темы × классы'!$R:$R,MATCH(E890,'Темы × классы'!$E:$E,0)),"")</f>
        <v/>
      </c>
      <c r="J890" s="9">
        <f>IFERROR(INDEX('Темы × классы'!$S:$S,MATCH(E890,'Темы × классы'!$E:$E,0))&amp;"","")</f>
        <v/>
      </c>
      <c r="K890" s="9" t="inlineStr">
        <is>
          <t>не начат</t>
        </is>
      </c>
      <c r="L890" s="9" t="inlineStr">
        <is>
          <t>Spotlight / 9 класс / Module 1 · Celebrations / Present Perfect / Present Perfect: V3 неправильных глаголов</t>
        </is>
      </c>
    </row>
    <row r="891">
      <c r="A891" s="25" t="n">
        <v>9</v>
      </c>
      <c r="B891" s="9" t="inlineStr">
        <is>
          <t>Module 1 · Celebrations</t>
        </is>
      </c>
      <c r="C891" s="9" t="inlineStr">
        <is>
          <t>1c</t>
        </is>
      </c>
      <c r="D891" s="9" t="inlineStr">
        <is>
          <t>Present Perfect</t>
        </is>
      </c>
      <c r="E891" s="23" t="inlineStr">
        <is>
          <t>Present Perfect: значение — жизненный опыт, перемены (ever/never)</t>
        </is>
      </c>
      <c r="F891" s="25" t="inlineStr">
        <is>
          <t>повторение</t>
        </is>
      </c>
      <c r="G891" s="9" t="inlineStr">
        <is>
          <t>личный опыт, перемены</t>
        </is>
      </c>
      <c r="H891" s="25" t="inlineStr">
        <is>
          <t>10+</t>
        </is>
      </c>
      <c r="I891" s="9">
        <f>IFERROR(INDEX('Темы × классы'!$R:$R,MATCH(E891,'Темы × классы'!$E:$E,0)),"")</f>
        <v/>
      </c>
      <c r="J891" s="9">
        <f>IFERROR(INDEX('Темы × классы'!$S:$S,MATCH(E891,'Темы × классы'!$E:$E,0))&amp;"","")</f>
        <v/>
      </c>
      <c r="K891" s="9" t="inlineStr">
        <is>
          <t>не начат</t>
        </is>
      </c>
      <c r="L891" s="9" t="inlineStr">
        <is>
          <t>Spotlight / 9 класс / Module 1 · Celebrations / Present Perfect / Present Perfect: значение — жизненный опыт, перемены (ever/never)</t>
        </is>
      </c>
    </row>
    <row r="892">
      <c r="A892" s="25" t="n">
        <v>9</v>
      </c>
      <c r="B892" s="9" t="inlineStr">
        <is>
          <t>Module 1 · Celebrations</t>
        </is>
      </c>
      <c r="C892" s="9" t="inlineStr">
        <is>
          <t>1c</t>
        </is>
      </c>
      <c r="D892" s="9" t="inlineStr">
        <is>
          <t>Present Perfect</t>
        </is>
      </c>
      <c r="E892" s="23" t="inlineStr">
        <is>
          <t>Present Perfect: значение — результат в настоящем</t>
        </is>
      </c>
      <c r="F892" s="25" t="inlineStr">
        <is>
          <t>повторение</t>
        </is>
      </c>
      <c r="G892" s="9" t="inlineStr"/>
      <c r="H892" s="25" t="inlineStr">
        <is>
          <t>10+</t>
        </is>
      </c>
      <c r="I892" s="9">
        <f>IFERROR(INDEX('Темы × классы'!$R:$R,MATCH(E892,'Темы × классы'!$E:$E,0)),"")</f>
        <v/>
      </c>
      <c r="J892" s="9">
        <f>IFERROR(INDEX('Темы × классы'!$S:$S,MATCH(E892,'Темы × классы'!$E:$E,0))&amp;"","")</f>
        <v/>
      </c>
      <c r="K892" s="9" t="inlineStr">
        <is>
          <t>не начат</t>
        </is>
      </c>
      <c r="L892" s="9" t="inlineStr">
        <is>
          <t>Spotlight / 9 класс / Module 1 · Celebrations / Present Perfect / Present Perfect: значение — результат в настоящем</t>
        </is>
      </c>
    </row>
    <row r="893">
      <c r="A893" s="25" t="n">
        <v>9</v>
      </c>
      <c r="B893" s="9" t="inlineStr">
        <is>
          <t>Module 1 · Celebrations</t>
        </is>
      </c>
      <c r="C893" s="9" t="inlineStr">
        <is>
          <t>1c</t>
        </is>
      </c>
      <c r="D893" s="9" t="inlineStr">
        <is>
          <t>Present Perfect</t>
        </is>
      </c>
      <c r="E893" s="23" t="inlineStr">
        <is>
          <t>Present Perfect: значение — недавно завершённое действие (just)</t>
        </is>
      </c>
      <c r="F893" s="25" t="inlineStr">
        <is>
          <t>повторение</t>
        </is>
      </c>
      <c r="G893" s="9" t="inlineStr"/>
      <c r="H893" s="25" t="inlineStr">
        <is>
          <t>10+</t>
        </is>
      </c>
      <c r="I893" s="9">
        <f>IFERROR(INDEX('Темы × классы'!$R:$R,MATCH(E893,'Темы × классы'!$E:$E,0)),"")</f>
        <v/>
      </c>
      <c r="J893" s="9">
        <f>IFERROR(INDEX('Темы × классы'!$S:$S,MATCH(E893,'Темы × классы'!$E:$E,0))&amp;"","")</f>
        <v/>
      </c>
      <c r="K893" s="9" t="inlineStr">
        <is>
          <t>не начат</t>
        </is>
      </c>
      <c r="L893" s="9" t="inlineStr">
        <is>
          <t>Spotlight / 9 класс / Module 1 · Celebrations / Present Perfect / Present Perfect: значение — недавно завершённое действие (just)</t>
        </is>
      </c>
    </row>
    <row r="894">
      <c r="A894" s="25" t="n">
        <v>9</v>
      </c>
      <c r="B894" s="9" t="inlineStr">
        <is>
          <t>Module 1 · Celebrations</t>
        </is>
      </c>
      <c r="C894" s="9" t="inlineStr">
        <is>
          <t>1c</t>
        </is>
      </c>
      <c r="D894" s="9" t="inlineStr">
        <is>
          <t>Present Perfect</t>
        </is>
      </c>
      <c r="E894" s="23" t="inlineStr">
        <is>
          <t>Present Perfect: значение — неуказанное время в прошлом</t>
        </is>
      </c>
      <c r="F894" s="25" t="inlineStr">
        <is>
          <t>повторение</t>
        </is>
      </c>
      <c r="G894" s="9" t="inlineStr">
        <is>
          <t>важно действие, а не время</t>
        </is>
      </c>
      <c r="H894" s="25" t="inlineStr">
        <is>
          <t>10+</t>
        </is>
      </c>
      <c r="I894" s="9">
        <f>IFERROR(INDEX('Темы × классы'!$R:$R,MATCH(E894,'Темы × классы'!$E:$E,0)),"")</f>
        <v/>
      </c>
      <c r="J894" s="9">
        <f>IFERROR(INDEX('Темы × классы'!$S:$S,MATCH(E894,'Темы × классы'!$E:$E,0))&amp;"","")</f>
        <v/>
      </c>
      <c r="K894" s="9" t="inlineStr">
        <is>
          <t>не начат</t>
        </is>
      </c>
      <c r="L894" s="9" t="inlineStr">
        <is>
          <t>Spotlight / 9 класс / Module 1 · Celebrations / Present Perfect / Present Perfect: значение — неуказанное время в прошлом</t>
        </is>
      </c>
    </row>
    <row r="895">
      <c r="A895" s="25" t="n">
        <v>9</v>
      </c>
      <c r="B895" s="9" t="inlineStr">
        <is>
          <t>Module 1 · Celebrations</t>
        </is>
      </c>
      <c r="C895" s="9" t="inlineStr">
        <is>
          <t>1c</t>
        </is>
      </c>
      <c r="D895" s="9" t="inlineStr">
        <is>
          <t>Present Perfect</t>
        </is>
      </c>
      <c r="E895" s="23" t="inlineStr">
        <is>
          <t>Present Perfect: значение — с прошлого до настоящего (stative verbs, for/since)</t>
        </is>
      </c>
      <c r="F895" s="25" t="inlineStr">
        <is>
          <t>повторение</t>
        </is>
      </c>
      <c r="G895" s="9" t="inlineStr">
        <is>
          <t>know, be, have, possess, own</t>
        </is>
      </c>
      <c r="H895" s="25" t="inlineStr">
        <is>
          <t>10+</t>
        </is>
      </c>
      <c r="I895" s="9">
        <f>IFERROR(INDEX('Темы × классы'!$R:$R,MATCH(E895,'Темы × классы'!$E:$E,0)),"")</f>
        <v/>
      </c>
      <c r="J895" s="9">
        <f>IFERROR(INDEX('Темы × классы'!$S:$S,MATCH(E895,'Темы × классы'!$E:$E,0))&amp;"","")</f>
        <v/>
      </c>
      <c r="K895" s="9" t="inlineStr">
        <is>
          <t>не начат</t>
        </is>
      </c>
      <c r="L895" s="9" t="inlineStr">
        <is>
          <t>Spotlight / 9 класс / Module 1 · Celebrations / Present Perfect / Present Perfect: значение — с прошлого до настоящего (stative verbs, for/since)</t>
        </is>
      </c>
    </row>
    <row r="896">
      <c r="A896" s="25" t="n">
        <v>9</v>
      </c>
      <c r="B896" s="9" t="inlineStr">
        <is>
          <t>Module 1 · Celebrations</t>
        </is>
      </c>
      <c r="C896" s="9" t="inlineStr">
        <is>
          <t>1c</t>
        </is>
      </c>
      <c r="D896" s="9" t="inlineStr">
        <is>
          <t>Present Perfect</t>
        </is>
      </c>
      <c r="E896" s="23" t="inlineStr">
        <is>
          <t>Present Perfect: значение — незаконченный период (today, this week, so far)</t>
        </is>
      </c>
      <c r="F896" s="25" t="inlineStr">
        <is>
          <t>повторение</t>
        </is>
      </c>
      <c r="G896" s="9" t="inlineStr">
        <is>
          <t>today, this morning/week, so far</t>
        </is>
      </c>
      <c r="H896" s="25" t="inlineStr">
        <is>
          <t>10+</t>
        </is>
      </c>
      <c r="I896" s="9">
        <f>IFERROR(INDEX('Темы × классы'!$R:$R,MATCH(E896,'Темы × классы'!$E:$E,0)),"")</f>
        <v/>
      </c>
      <c r="J896" s="9">
        <f>IFERROR(INDEX('Темы × классы'!$S:$S,MATCH(E896,'Темы × классы'!$E:$E,0))&amp;"","")</f>
        <v/>
      </c>
      <c r="K896" s="9" t="inlineStr">
        <is>
          <t>не начат</t>
        </is>
      </c>
      <c r="L896" s="9" t="inlineStr">
        <is>
          <t>Spotlight / 9 класс / Module 1 · Celebrations / Present Perfect / Present Perfect: значение — незаконченный период (today, this week, so far)</t>
        </is>
      </c>
    </row>
    <row r="897">
      <c r="A897" s="25" t="n">
        <v>9</v>
      </c>
      <c r="B897" s="9" t="inlineStr">
        <is>
          <t>Module 1 · Celebrations</t>
        </is>
      </c>
      <c r="C897" s="9" t="inlineStr">
        <is>
          <t>1c</t>
        </is>
      </c>
      <c r="D897" s="9" t="inlineStr">
        <is>
          <t>Present Perfect</t>
        </is>
      </c>
      <c r="E897" s="23" t="inlineStr">
        <is>
          <t>Present Perfect: значение — акцент на количестве (seven times this week)</t>
        </is>
      </c>
      <c r="F897" s="26" t="inlineStr">
        <is>
          <t>новое</t>
        </is>
      </c>
      <c r="G897" s="9" t="inlineStr">
        <is>
          <t>two cups of coffee today; seven times this week</t>
        </is>
      </c>
      <c r="H897" s="25" t="inlineStr">
        <is>
          <t>10+</t>
        </is>
      </c>
      <c r="I897" s="9">
        <f>IFERROR(INDEX('Темы × классы'!$R:$R,MATCH(E897,'Темы × классы'!$E:$E,0)),"")</f>
        <v/>
      </c>
      <c r="J897" s="9">
        <f>IFERROR(INDEX('Темы × классы'!$S:$S,MATCH(E897,'Темы × классы'!$E:$E,0))&amp;"","")</f>
        <v/>
      </c>
      <c r="K897" s="9" t="inlineStr">
        <is>
          <t>не начат</t>
        </is>
      </c>
      <c r="L897" s="9" t="inlineStr">
        <is>
          <t>Spotlight / 9 класс / Module 1 · Celebrations / Present Perfect / Present Perfect: значение — акцент на количестве (seven times this week)</t>
        </is>
      </c>
    </row>
    <row r="898">
      <c r="A898" s="25" t="n">
        <v>9</v>
      </c>
      <c r="B898" s="9" t="inlineStr">
        <is>
          <t>Module 1 · Celebrations</t>
        </is>
      </c>
      <c r="C898" s="9" t="inlineStr">
        <is>
          <t>1c</t>
        </is>
      </c>
      <c r="D898" s="9" t="inlineStr">
        <is>
          <t>Present Perfect</t>
        </is>
      </c>
      <c r="E898" s="23" t="inlineStr">
        <is>
          <t>Present Perfect: слова-маркеры already / yet / just / ever / never</t>
        </is>
      </c>
      <c r="F898" s="25" t="inlineStr">
        <is>
          <t>повторение</t>
        </is>
      </c>
      <c r="G898" s="9" t="inlineStr">
        <is>
          <t>just, already, yet, ever, never, for, since</t>
        </is>
      </c>
      <c r="H898" s="25" t="inlineStr">
        <is>
          <t>10+</t>
        </is>
      </c>
      <c r="I898" s="9">
        <f>IFERROR(INDEX('Темы × классы'!$R:$R,MATCH(E898,'Темы × классы'!$E:$E,0)),"")</f>
        <v/>
      </c>
      <c r="J898" s="9">
        <f>IFERROR(INDEX('Темы × классы'!$S:$S,MATCH(E898,'Темы × классы'!$E:$E,0))&amp;"","")</f>
        <v/>
      </c>
      <c r="K898" s="9" t="inlineStr">
        <is>
          <t>не начат</t>
        </is>
      </c>
      <c r="L898" s="9" t="inlineStr">
        <is>
          <t>Spotlight / 9 класс / Module 1 · Celebrations / Present Perfect / Present Perfect: слова-маркеры already / yet / just / ever / never</t>
        </is>
      </c>
    </row>
    <row r="899">
      <c r="A899" s="25" t="n">
        <v>9</v>
      </c>
      <c r="B899" s="9" t="inlineStr">
        <is>
          <t>Module 1 · Celebrations</t>
        </is>
      </c>
      <c r="C899" s="9" t="inlineStr">
        <is>
          <t>1c</t>
        </is>
      </c>
      <c r="D899" s="9" t="inlineStr">
        <is>
          <t>Stative verbs</t>
        </is>
      </c>
      <c r="E899" s="23" t="inlineStr">
        <is>
          <t>Stative verbs: группы глаголов (восприятие, мышление, чувства, прочие)</t>
        </is>
      </c>
      <c r="F899" s="25" t="inlineStr">
        <is>
          <t>повторение</t>
        </is>
      </c>
      <c r="G899" s="9" t="inlineStr"/>
      <c r="H899" s="25" t="inlineStr">
        <is>
          <t>10+</t>
        </is>
      </c>
      <c r="I899" s="9">
        <f>IFERROR(INDEX('Темы × классы'!$R:$R,MATCH(E899,'Темы × классы'!$E:$E,0)),"")</f>
        <v/>
      </c>
      <c r="J899" s="9">
        <f>IFERROR(INDEX('Темы × классы'!$S:$S,MATCH(E899,'Темы × классы'!$E:$E,0))&amp;"","")</f>
        <v/>
      </c>
      <c r="K899" s="9" t="inlineStr">
        <is>
          <t>не начат</t>
        </is>
      </c>
      <c r="L899" s="9" t="inlineStr">
        <is>
          <t>Spotlight / 9 класс / Module 1 · Celebrations / Stative verbs / Stative verbs: группы глаголов (восприятие, мышление, чувства, прочие)</t>
        </is>
      </c>
    </row>
    <row r="900">
      <c r="A900" s="25" t="n">
        <v>9</v>
      </c>
      <c r="B900" s="9" t="inlineStr">
        <is>
          <t>Module 1 · Celebrations</t>
        </is>
      </c>
      <c r="C900" s="9" t="inlineStr">
        <is>
          <t>1c</t>
        </is>
      </c>
      <c r="D900" s="9" t="inlineStr">
        <is>
          <t>Stative verbs</t>
        </is>
      </c>
      <c r="E900" s="23" t="inlineStr">
        <is>
          <t>Stative verbs: разное значение в Simple и Continuous (think, have, see, taste…)</t>
        </is>
      </c>
      <c r="F900" s="25" t="inlineStr">
        <is>
          <t>повторение</t>
        </is>
      </c>
      <c r="G900" s="9" t="inlineStr"/>
      <c r="H900" s="25" t="inlineStr">
        <is>
          <t>10+</t>
        </is>
      </c>
      <c r="I900" s="9">
        <f>IFERROR(INDEX('Темы × классы'!$R:$R,MATCH(E900,'Темы × классы'!$E:$E,0)),"")</f>
        <v/>
      </c>
      <c r="J900" s="9">
        <f>IFERROR(INDEX('Темы × классы'!$S:$S,MATCH(E900,'Темы × классы'!$E:$E,0))&amp;"","")</f>
        <v/>
      </c>
      <c r="K900" s="9" t="inlineStr">
        <is>
          <t>не начат</t>
        </is>
      </c>
      <c r="L900" s="9" t="inlineStr">
        <is>
          <t>Spotlight / 9 класс / Module 1 · Celebrations / Stative verbs / Stative verbs: разное значение в Simple и Continuous (think, have, see, taste…)</t>
        </is>
      </c>
    </row>
    <row r="901">
      <c r="A901" s="25" t="n">
        <v>9</v>
      </c>
      <c r="B901" s="9" t="inlineStr">
        <is>
          <t>Module 1 · Celebrations</t>
        </is>
      </c>
      <c r="C901" s="9" t="inlineStr">
        <is>
          <t>1c</t>
        </is>
      </c>
      <c r="D901" s="9" t="inlineStr">
        <is>
          <t>Stative verbs</t>
        </is>
      </c>
      <c r="E901" s="23" t="inlineStr">
        <is>
          <t>Stative verbs: look, feel, hurt, ache — Simple = Continuous</t>
        </is>
      </c>
      <c r="F901" s="25" t="inlineStr">
        <is>
          <t>повторение</t>
        </is>
      </c>
      <c r="G901" s="9" t="inlineStr"/>
      <c r="H901" s="25" t="inlineStr">
        <is>
          <t>10+</t>
        </is>
      </c>
      <c r="I901" s="9">
        <f>IFERROR(INDEX('Темы × классы'!$R:$R,MATCH(E901,'Темы × классы'!$E:$E,0)),"")</f>
        <v/>
      </c>
      <c r="J901" s="9">
        <f>IFERROR(INDEX('Темы × классы'!$S:$S,MATCH(E901,'Темы × классы'!$E:$E,0))&amp;"","")</f>
        <v/>
      </c>
      <c r="K901" s="9" t="inlineStr">
        <is>
          <t>не начат</t>
        </is>
      </c>
      <c r="L901" s="9" t="inlineStr">
        <is>
          <t>Spotlight / 9 класс / Module 1 · Celebrations / Stative verbs / Stative verbs: look, feel, hurt, ache — Simple = Continuous</t>
        </is>
      </c>
    </row>
    <row r="902">
      <c r="A902" s="25" t="n">
        <v>9</v>
      </c>
      <c r="B902" s="9" t="inlineStr">
        <is>
          <t>Module 1 · Celebrations</t>
        </is>
      </c>
      <c r="C902" s="9" t="inlineStr">
        <is>
          <t>1c</t>
        </is>
      </c>
      <c r="D902" s="9" t="inlineStr">
        <is>
          <t>Stative verbs</t>
        </is>
      </c>
      <c r="E902" s="23" t="inlineStr">
        <is>
          <t>Stative verbs: enjoy в Continuous — конкретное удовольствие</t>
        </is>
      </c>
      <c r="F902" s="25" t="inlineStr">
        <is>
          <t>повторение</t>
        </is>
      </c>
      <c r="G902" s="9" t="inlineStr"/>
      <c r="H902" s="25" t="inlineStr">
        <is>
          <t>10+</t>
        </is>
      </c>
      <c r="I902" s="9">
        <f>IFERROR(INDEX('Темы × классы'!$R:$R,MATCH(E902,'Темы × классы'!$E:$E,0)),"")</f>
        <v/>
      </c>
      <c r="J902" s="9">
        <f>IFERROR(INDEX('Темы × классы'!$S:$S,MATCH(E902,'Темы × классы'!$E:$E,0))&amp;"","")</f>
        <v/>
      </c>
      <c r="K902" s="9" t="inlineStr">
        <is>
          <t>не начат</t>
        </is>
      </c>
      <c r="L902" s="9" t="inlineStr">
        <is>
          <t>Spotlight / 9 класс / Module 1 · Celebrations / Stative verbs / Stative verbs: enjoy в Continuous — конкретное удовольствие</t>
        </is>
      </c>
    </row>
    <row r="903">
      <c r="A903" s="25" t="n">
        <v>9</v>
      </c>
      <c r="B903" s="9" t="inlineStr">
        <is>
          <t>Module 1 · Celebrations</t>
        </is>
      </c>
      <c r="C903" s="9" t="inlineStr">
        <is>
          <t>1c</t>
        </is>
      </c>
      <c r="D903" s="9" t="inlineStr">
        <is>
          <t>Present Perfect Continuous</t>
        </is>
      </c>
      <c r="E903" s="23" t="inlineStr">
        <is>
          <t>Present Perfect Continuous: образование (have/has been + V-ing)</t>
        </is>
      </c>
      <c r="F903" s="25" t="inlineStr">
        <is>
          <t>повторение</t>
        </is>
      </c>
      <c r="G903" s="9" t="inlineStr"/>
      <c r="H903" s="25" t="inlineStr">
        <is>
          <t>10+</t>
        </is>
      </c>
      <c r="I903" s="9">
        <f>IFERROR(INDEX('Темы × классы'!$R:$R,MATCH(E903,'Темы × классы'!$E:$E,0)),"")</f>
        <v/>
      </c>
      <c r="J903" s="9">
        <f>IFERROR(INDEX('Темы × классы'!$S:$S,MATCH(E903,'Темы × классы'!$E:$E,0))&amp;"","")</f>
        <v/>
      </c>
      <c r="K903" s="9" t="inlineStr">
        <is>
          <t>не начат</t>
        </is>
      </c>
      <c r="L903" s="9" t="inlineStr">
        <is>
          <t>Spotlight / 9 класс / Module 1 · Celebrations / Present Perfect Continuous / Present Perfect Continuous: образование (have/has been + V-ing)</t>
        </is>
      </c>
    </row>
    <row r="904">
      <c r="A904" s="25" t="n">
        <v>9</v>
      </c>
      <c r="B904" s="9" t="inlineStr">
        <is>
          <t>Module 1 · Celebrations</t>
        </is>
      </c>
      <c r="C904" s="9" t="inlineStr">
        <is>
          <t>1c</t>
        </is>
      </c>
      <c r="D904" s="9" t="inlineStr">
        <is>
          <t>Present Perfect Continuous</t>
        </is>
      </c>
      <c r="E904" s="23" t="inlineStr">
        <is>
          <t>Present Perfect Continuous: значение — длительность до настоящего (since/for/how long)</t>
        </is>
      </c>
      <c r="F904" s="25" t="inlineStr">
        <is>
          <t>повторение</t>
        </is>
      </c>
      <c r="G904" s="9" t="inlineStr">
        <is>
          <t>since, for, how long</t>
        </is>
      </c>
      <c r="H904" s="25" t="inlineStr">
        <is>
          <t>10+</t>
        </is>
      </c>
      <c r="I904" s="9">
        <f>IFERROR(INDEX('Темы × классы'!$R:$R,MATCH(E904,'Темы × классы'!$E:$E,0)),"")</f>
        <v/>
      </c>
      <c r="J904" s="9">
        <f>IFERROR(INDEX('Темы × классы'!$S:$S,MATCH(E904,'Темы × классы'!$E:$E,0))&amp;"","")</f>
        <v/>
      </c>
      <c r="K904" s="9" t="inlineStr">
        <is>
          <t>не начат</t>
        </is>
      </c>
      <c r="L904" s="9" t="inlineStr">
        <is>
          <t>Spotlight / 9 класс / Module 1 · Celebrations / Present Perfect Continuous / Present Perfect Continuous: значение — длительность до настоящего (since/for/how long)</t>
        </is>
      </c>
    </row>
    <row r="905">
      <c r="A905" s="25" t="n">
        <v>9</v>
      </c>
      <c r="B905" s="9" t="inlineStr">
        <is>
          <t>Module 1 · Celebrations</t>
        </is>
      </c>
      <c r="C905" s="9" t="inlineStr">
        <is>
          <t>1c</t>
        </is>
      </c>
      <c r="D905" s="9" t="inlineStr">
        <is>
          <t>Present Perfect Continuous</t>
        </is>
      </c>
      <c r="E905" s="23" t="inlineStr">
        <is>
          <t>Present Perfect Continuous: значение — видимый результат длительного действия</t>
        </is>
      </c>
      <c r="F905" s="25" t="inlineStr">
        <is>
          <t>повторение</t>
        </is>
      </c>
      <c r="G905" s="9" t="inlineStr">
        <is>
          <t>может быть завершено</t>
        </is>
      </c>
      <c r="H905" s="25" t="inlineStr">
        <is>
          <t>10+</t>
        </is>
      </c>
      <c r="I905" s="9">
        <f>IFERROR(INDEX('Темы × классы'!$R:$R,MATCH(E905,'Темы × классы'!$E:$E,0)),"")</f>
        <v/>
      </c>
      <c r="J905" s="9">
        <f>IFERROR(INDEX('Темы × классы'!$S:$S,MATCH(E905,'Темы × классы'!$E:$E,0))&amp;"","")</f>
        <v/>
      </c>
      <c r="K905" s="9" t="inlineStr">
        <is>
          <t>не начат</t>
        </is>
      </c>
      <c r="L905" s="9" t="inlineStr">
        <is>
          <t>Spotlight / 9 класс / Module 1 · Celebrations / Present Perfect Continuous / Present Perfect Continuous: значение — видимый результат длительного действия</t>
        </is>
      </c>
    </row>
    <row r="906">
      <c r="A906" s="25" t="n">
        <v>9</v>
      </c>
      <c r="B906" s="9" t="inlineStr">
        <is>
          <t>Module 1 · Celebrations</t>
        </is>
      </c>
      <c r="C906" s="9" t="inlineStr">
        <is>
          <t>1c</t>
        </is>
      </c>
      <c r="D906" s="9" t="inlineStr">
        <is>
          <t>Present Perfect Continuous</t>
        </is>
      </c>
      <c r="E906" s="23" t="inlineStr">
        <is>
          <t>Present Perfect Continuous: значение — раздражение/критика</t>
        </is>
      </c>
      <c r="F906" s="26" t="inlineStr">
        <is>
          <t>новое</t>
        </is>
      </c>
      <c r="G906" s="9" t="inlineStr">
        <is>
          <t>раздражение/критика повторяющимся действием</t>
        </is>
      </c>
      <c r="H906" s="25" t="inlineStr">
        <is>
          <t>10+</t>
        </is>
      </c>
      <c r="I906" s="9">
        <f>IFERROR(INDEX('Темы × классы'!$R:$R,MATCH(E906,'Темы × классы'!$E:$E,0)),"")</f>
        <v/>
      </c>
      <c r="J906" s="9">
        <f>IFERROR(INDEX('Темы × классы'!$S:$S,MATCH(E906,'Темы × классы'!$E:$E,0))&amp;"","")</f>
        <v/>
      </c>
      <c r="K906" s="9" t="inlineStr">
        <is>
          <t>не начат</t>
        </is>
      </c>
      <c r="L906" s="9" t="inlineStr">
        <is>
          <t>Spotlight / 9 класс / Module 1 · Celebrations / Present Perfect Continuous / Present Perfect Continuous: значение — раздражение/критика</t>
        </is>
      </c>
    </row>
    <row r="907">
      <c r="A907" s="25" t="n">
        <v>9</v>
      </c>
      <c r="B907" s="9" t="inlineStr">
        <is>
          <t>Module 1 · Celebrations</t>
        </is>
      </c>
      <c r="C907" s="9" t="inlineStr">
        <is>
          <t>1c</t>
        </is>
      </c>
      <c r="D907" s="9" t="inlineStr">
        <is>
          <t>Present Perfect Continuous</t>
        </is>
      </c>
      <c r="E907" s="23" t="inlineStr">
        <is>
          <t>Present Perfect Continuous: значение — повторяющиеся действия до настоящего</t>
        </is>
      </c>
      <c r="F907" s="26" t="inlineStr">
        <is>
          <t>новое</t>
        </is>
      </c>
      <c r="G907" s="9" t="inlineStr"/>
      <c r="H907" s="25" t="inlineStr">
        <is>
          <t>10+</t>
        </is>
      </c>
      <c r="I907" s="9">
        <f>IFERROR(INDEX('Темы × классы'!$R:$R,MATCH(E907,'Темы × классы'!$E:$E,0)),"")</f>
        <v/>
      </c>
      <c r="J907" s="9">
        <f>IFERROR(INDEX('Темы × классы'!$S:$S,MATCH(E907,'Темы × классы'!$E:$E,0))&amp;"","")</f>
        <v/>
      </c>
      <c r="K907" s="9" t="inlineStr">
        <is>
          <t>не начат</t>
        </is>
      </c>
      <c r="L907" s="9" t="inlineStr">
        <is>
          <t>Spotlight / 9 класс / Module 1 · Celebrations / Present Perfect Continuous / Present Perfect Continuous: значение — повторяющиеся действия до настоящего</t>
        </is>
      </c>
    </row>
    <row r="908">
      <c r="A908" s="25" t="n">
        <v>9</v>
      </c>
      <c r="B908" s="9" t="inlineStr">
        <is>
          <t>Module 1 · Celebrations</t>
        </is>
      </c>
      <c r="C908" s="9" t="inlineStr">
        <is>
          <t>1c</t>
        </is>
      </c>
      <c r="D908" s="9" t="inlineStr">
        <is>
          <t>Present Perfect vs Past Simple</t>
        </is>
      </c>
      <c r="E908" s="23" t="inlineStr">
        <is>
          <t>Present Perfect vs Past Simple: указанное время vs неуказанное время</t>
        </is>
      </c>
      <c r="F908" s="25" t="inlineStr">
        <is>
          <t>повторение</t>
        </is>
      </c>
      <c r="G908" s="9" t="inlineStr"/>
      <c r="H908" s="25" t="inlineStr">
        <is>
          <t>10+</t>
        </is>
      </c>
      <c r="I908" s="9">
        <f>IFERROR(INDEX('Темы × классы'!$R:$R,MATCH(E908,'Темы × классы'!$E:$E,0)),"")</f>
        <v/>
      </c>
      <c r="J908" s="9">
        <f>IFERROR(INDEX('Темы × классы'!$S:$S,MATCH(E908,'Темы × классы'!$E:$E,0))&amp;"","")</f>
        <v/>
      </c>
      <c r="K908" s="9" t="inlineStr">
        <is>
          <t>не начат</t>
        </is>
      </c>
      <c r="L908" s="9" t="inlineStr">
        <is>
          <t>Spotlight / 9 класс / Module 1 · Celebrations / Present Perfect vs Past Simple / Present Perfect vs Past Simple: указанное время vs неуказанное время</t>
        </is>
      </c>
    </row>
    <row r="909">
      <c r="A909" s="25" t="n">
        <v>9</v>
      </c>
      <c r="B909" s="9" t="inlineStr">
        <is>
          <t>Module 1 · Celebrations</t>
        </is>
      </c>
      <c r="C909" s="9" t="inlineStr">
        <is>
          <t>1c</t>
        </is>
      </c>
      <c r="D909" s="9" t="inlineStr">
        <is>
          <t>Present Perfect vs Past Simple</t>
        </is>
      </c>
      <c r="E909" s="23" t="inlineStr">
        <is>
          <t>Present Perfect vs Past Simple: закончилось в прошлом vs длится до сих пор</t>
        </is>
      </c>
      <c r="F909" s="25" t="inlineStr">
        <is>
          <t>повторение</t>
        </is>
      </c>
      <c r="G909" s="9" t="inlineStr"/>
      <c r="H909" s="25" t="inlineStr">
        <is>
          <t>10+</t>
        </is>
      </c>
      <c r="I909" s="9">
        <f>IFERROR(INDEX('Темы × классы'!$R:$R,MATCH(E909,'Темы × классы'!$E:$E,0)),"")</f>
        <v/>
      </c>
      <c r="J909" s="9">
        <f>IFERROR(INDEX('Темы × классы'!$S:$S,MATCH(E909,'Темы × классы'!$E:$E,0))&amp;"","")</f>
        <v/>
      </c>
      <c r="K909" s="9" t="inlineStr">
        <is>
          <t>не начат</t>
        </is>
      </c>
      <c r="L909" s="9" t="inlineStr">
        <is>
          <t>Spotlight / 9 класс / Module 1 · Celebrations / Present Perfect vs Past Simple / Present Perfect vs Past Simple: закончилось в прошлом vs длится до сих пор</t>
        </is>
      </c>
    </row>
    <row r="910">
      <c r="A910" s="25" t="n">
        <v>9</v>
      </c>
      <c r="B910" s="9" t="inlineStr">
        <is>
          <t>Module 1 · Celebrations</t>
        </is>
      </c>
      <c r="C910" s="9" t="inlineStr">
        <is>
          <t>1c</t>
        </is>
      </c>
      <c r="D910" s="9" t="inlineStr">
        <is>
          <t>have gone to / have been to / have been in</t>
        </is>
      </c>
      <c r="E910" s="23" t="inlineStr">
        <is>
          <t>have gone to vs have been to: уехал и не вернулся vs побывал</t>
        </is>
      </c>
      <c r="F910" s="25" t="inlineStr">
        <is>
          <t>повторение</t>
        </is>
      </c>
      <c r="G910" s="9" t="inlineStr">
        <is>
          <t>в 9 кл. дано внутри Present Perfect / PP vs Past Simple</t>
        </is>
      </c>
      <c r="H910" s="25" t="inlineStr">
        <is>
          <t>10+</t>
        </is>
      </c>
      <c r="I910" s="9">
        <f>IFERROR(INDEX('Темы × классы'!$R:$R,MATCH(E910,'Темы × классы'!$E:$E,0)),"")</f>
        <v/>
      </c>
      <c r="J910" s="9">
        <f>IFERROR(INDEX('Темы × классы'!$S:$S,MATCH(E910,'Темы × классы'!$E:$E,0))&amp;"","")</f>
        <v/>
      </c>
      <c r="K910" s="9" t="inlineStr">
        <is>
          <t>не начат</t>
        </is>
      </c>
      <c r="L910" s="9" t="inlineStr">
        <is>
          <t>Spotlight / 9 класс / Module 1 · Celebrations / have gone to / have been to / have been in / have gone to vs have been to: уехал и не вернулся vs побывал</t>
        </is>
      </c>
    </row>
    <row r="911">
      <c r="A911" s="25" t="n">
        <v>9</v>
      </c>
      <c r="B911" s="9" t="inlineStr">
        <is>
          <t>Module 1 · Celebrations</t>
        </is>
      </c>
      <c r="C911" s="9" t="inlineStr">
        <is>
          <t>1c</t>
        </is>
      </c>
      <c r="D911" s="9" t="inlineStr">
        <is>
          <t>have gone to / have been to / have been in</t>
        </is>
      </c>
      <c r="E911" s="23" t="inlineStr">
        <is>
          <t>have been in: находится там (в течение периода)</t>
        </is>
      </c>
      <c r="F911" s="25" t="inlineStr">
        <is>
          <t>повторение</t>
        </is>
      </c>
      <c r="G911" s="9" t="inlineStr"/>
      <c r="H911" s="25" t="inlineStr">
        <is>
          <t>10+</t>
        </is>
      </c>
      <c r="I911" s="9">
        <f>IFERROR(INDEX('Темы × классы'!$R:$R,MATCH(E911,'Темы × классы'!$E:$E,0)),"")</f>
        <v/>
      </c>
      <c r="J911" s="9">
        <f>IFERROR(INDEX('Темы × классы'!$S:$S,MATCH(E911,'Темы × классы'!$E:$E,0))&amp;"","")</f>
        <v/>
      </c>
      <c r="K911" s="9" t="inlineStr">
        <is>
          <t>не начат</t>
        </is>
      </c>
      <c r="L911" s="9" t="inlineStr">
        <is>
          <t>Spotlight / 9 класс / Module 1 · Celebrations / have gone to / have been to / have been in / have been in: находится там (в течение периода)</t>
        </is>
      </c>
    </row>
    <row r="912">
      <c r="A912" s="25" t="n">
        <v>9</v>
      </c>
      <c r="B912" s="9" t="inlineStr">
        <is>
          <t>Module 1 · Celebrations</t>
        </is>
      </c>
      <c r="C912" s="9" t="inlineStr">
        <is>
          <t>1c</t>
        </is>
      </c>
      <c r="D912" s="9" t="inlineStr">
        <is>
          <t>Adverbs of frequency</t>
        </is>
      </c>
      <c r="E912" s="23" t="inlineStr">
        <is>
          <t>Adverbs of frequency: место — перед смысловым глаголом, после be</t>
        </is>
      </c>
      <c r="F912" s="25" t="inlineStr">
        <is>
          <t>повторение</t>
        </is>
      </c>
      <c r="G912" s="9" t="inlineStr"/>
      <c r="H912" s="25" t="inlineStr">
        <is>
          <t>10+</t>
        </is>
      </c>
      <c r="I912" s="9">
        <f>IFERROR(INDEX('Темы × классы'!$R:$R,MATCH(E912,'Темы × классы'!$E:$E,0)),"")</f>
        <v/>
      </c>
      <c r="J912" s="9">
        <f>IFERROR(INDEX('Темы × классы'!$S:$S,MATCH(E912,'Темы × классы'!$E:$E,0))&amp;"","")</f>
        <v/>
      </c>
      <c r="K912" s="9" t="inlineStr">
        <is>
          <t>не начат</t>
        </is>
      </c>
      <c r="L912" s="9" t="inlineStr">
        <is>
          <t>Spotlight / 9 класс / Module 1 · Celebrations / Adverbs of frequency / Adverbs of frequency: место — перед смысловым глаголом, после be</t>
        </is>
      </c>
    </row>
    <row r="913">
      <c r="A913" s="25" t="n">
        <v>9</v>
      </c>
      <c r="B913" s="9" t="inlineStr">
        <is>
          <t>Module 1 · Celebrations</t>
        </is>
      </c>
      <c r="C913" s="9" t="inlineStr">
        <is>
          <t>1c</t>
        </is>
      </c>
      <c r="D913" s="9" t="inlineStr">
        <is>
          <t>Adverbs of frequency</t>
        </is>
      </c>
      <c r="E913" s="23" t="inlineStr">
        <is>
          <t>Adverbs of frequency: место — после вспомогательных и модальных глаголов</t>
        </is>
      </c>
      <c r="F913" s="25" t="inlineStr">
        <is>
          <t>повторение</t>
        </is>
      </c>
      <c r="G913" s="9" t="inlineStr">
        <is>
          <t>He has never travelled abroad</t>
        </is>
      </c>
      <c r="H913" s="25" t="inlineStr">
        <is>
          <t>10+</t>
        </is>
      </c>
      <c r="I913" s="9">
        <f>IFERROR(INDEX('Темы × классы'!$R:$R,MATCH(E913,'Темы × классы'!$E:$E,0)),"")</f>
        <v/>
      </c>
      <c r="J913" s="9">
        <f>IFERROR(INDEX('Темы × классы'!$S:$S,MATCH(E913,'Темы × классы'!$E:$E,0))&amp;"","")</f>
        <v/>
      </c>
      <c r="K913" s="9" t="inlineStr">
        <is>
          <t>не начат</t>
        </is>
      </c>
      <c r="L913" s="9" t="inlineStr">
        <is>
          <t>Spotlight / 9 класс / Module 1 · Celebrations / Adverbs of frequency / Adverbs of frequency: место — после вспомогательных и модальных глаголов</t>
        </is>
      </c>
    </row>
    <row r="914">
      <c r="A914" s="25" t="n">
        <v>9</v>
      </c>
      <c r="B914" s="9" t="inlineStr">
        <is>
          <t>Module 1 · Celebrations</t>
        </is>
      </c>
      <c r="C914" s="9" t="inlineStr">
        <is>
          <t>1c</t>
        </is>
      </c>
      <c r="D914" s="9" t="inlineStr">
        <is>
          <t>Adverbs of frequency</t>
        </is>
      </c>
      <c r="E914" s="23" t="inlineStr">
        <is>
          <t>Adverbs of frequency: шкала частотности в % (always 100% … never 0%)</t>
        </is>
      </c>
      <c r="F914" s="25" t="inlineStr">
        <is>
          <t>повторение</t>
        </is>
      </c>
      <c r="G914" s="9" t="inlineStr"/>
      <c r="H914" s="25" t="inlineStr">
        <is>
          <t>10+</t>
        </is>
      </c>
      <c r="I914" s="9">
        <f>IFERROR(INDEX('Темы × классы'!$R:$R,MATCH(E914,'Темы × классы'!$E:$E,0)),"")</f>
        <v/>
      </c>
      <c r="J914" s="9">
        <f>IFERROR(INDEX('Темы × классы'!$S:$S,MATCH(E914,'Темы × классы'!$E:$E,0))&amp;"","")</f>
        <v/>
      </c>
      <c r="K914" s="9" t="inlineStr">
        <is>
          <t>не начат</t>
        </is>
      </c>
      <c r="L914" s="9" t="inlineStr">
        <is>
          <t>Spotlight / 9 класс / Module 1 · Celebrations / Adverbs of frequency / Adverbs of frequency: шкала частотности в % (always 100% … never 0%)</t>
        </is>
      </c>
    </row>
    <row r="915">
      <c r="A915" s="25" t="n">
        <v>9</v>
      </c>
      <c r="B915" s="9" t="inlineStr">
        <is>
          <t>Module 1 · Celebrations</t>
        </is>
      </c>
      <c r="C915" s="9" t="inlineStr">
        <is>
          <t>1d</t>
        </is>
      </c>
      <c r="D915" s="9" t="inlineStr">
        <is>
          <t>Relative pronouns / Relative clauses</t>
        </is>
      </c>
      <c r="E915" s="23" t="inlineStr">
        <is>
          <t>Relative clauses: who(m) / which / that — люди и предметы</t>
        </is>
      </c>
      <c r="F915" s="25" t="inlineStr">
        <is>
          <t>повторение</t>
        </is>
      </c>
      <c r="G915" s="9" t="inlineStr"/>
      <c r="H915" s="25" t="inlineStr">
        <is>
          <t>10+</t>
        </is>
      </c>
      <c r="I915" s="9">
        <f>IFERROR(INDEX('Темы × классы'!$R:$R,MATCH(E915,'Темы × классы'!$E:$E,0)),"")</f>
        <v/>
      </c>
      <c r="J915" s="9">
        <f>IFERROR(INDEX('Темы × классы'!$S:$S,MATCH(E915,'Темы × классы'!$E:$E,0))&amp;"","")</f>
        <v/>
      </c>
      <c r="K915" s="9" t="inlineStr">
        <is>
          <t>не начат</t>
        </is>
      </c>
      <c r="L915" s="9" t="inlineStr">
        <is>
          <t>Spotlight / 9 класс / Module 1 · Celebrations / Relative pronouns / Relative clauses / Relative clauses: who(m) / which / that — люди и предметы</t>
        </is>
      </c>
    </row>
    <row r="916">
      <c r="A916" s="25" t="n">
        <v>9</v>
      </c>
      <c r="B916" s="9" t="inlineStr">
        <is>
          <t>Module 1 · Celebrations</t>
        </is>
      </c>
      <c r="C916" s="9" t="inlineStr">
        <is>
          <t>1d</t>
        </is>
      </c>
      <c r="D916" s="9" t="inlineStr">
        <is>
          <t>Relative pronouns / Relative clauses</t>
        </is>
      </c>
      <c r="E916" s="23" t="inlineStr">
        <is>
          <t>Relative clauses: whose — принадлежность</t>
        </is>
      </c>
      <c r="F916" s="25" t="inlineStr">
        <is>
          <t>повторение</t>
        </is>
      </c>
      <c r="G916" s="9" t="inlineStr"/>
      <c r="H916" s="25" t="inlineStr">
        <is>
          <t>10+</t>
        </is>
      </c>
      <c r="I916" s="9">
        <f>IFERROR(INDEX('Темы × классы'!$R:$R,MATCH(E916,'Темы × классы'!$E:$E,0)),"")</f>
        <v/>
      </c>
      <c r="J916" s="9">
        <f>IFERROR(INDEX('Темы × классы'!$S:$S,MATCH(E916,'Темы × классы'!$E:$E,0))&amp;"","")</f>
        <v/>
      </c>
      <c r="K916" s="9" t="inlineStr">
        <is>
          <t>не начат</t>
        </is>
      </c>
      <c r="L916" s="9" t="inlineStr">
        <is>
          <t>Spotlight / 9 класс / Module 1 · Celebrations / Relative pronouns / Relative clauses / Relative clauses: whose — принадлежность</t>
        </is>
      </c>
    </row>
    <row r="917">
      <c r="A917" s="25" t="n">
        <v>9</v>
      </c>
      <c r="B917" s="9" t="inlineStr">
        <is>
          <t>Module 1 · Celebrations</t>
        </is>
      </c>
      <c r="C917" s="9" t="inlineStr">
        <is>
          <t>1d</t>
        </is>
      </c>
      <c r="D917" s="9" t="inlineStr">
        <is>
          <t>Relative pronouns / Relative clauses</t>
        </is>
      </c>
      <c r="E917" s="23" t="inlineStr">
        <is>
          <t>Relative clauses: опущение who/which/that (дополнение vs подлежащее)</t>
        </is>
      </c>
      <c r="F917" s="25" t="inlineStr">
        <is>
          <t>повторение</t>
        </is>
      </c>
      <c r="G917" s="9" t="inlineStr">
        <is>
          <t>The woman (who) you met…</t>
        </is>
      </c>
      <c r="H917" s="25" t="inlineStr">
        <is>
          <t>10+</t>
        </is>
      </c>
      <c r="I917" s="9">
        <f>IFERROR(INDEX('Темы × классы'!$R:$R,MATCH(E917,'Темы × классы'!$E:$E,0)),"")</f>
        <v/>
      </c>
      <c r="J917" s="9">
        <f>IFERROR(INDEX('Темы × классы'!$S:$S,MATCH(E917,'Темы × классы'!$E:$E,0))&amp;"","")</f>
        <v/>
      </c>
      <c r="K917" s="9" t="inlineStr">
        <is>
          <t>не начат</t>
        </is>
      </c>
      <c r="L917" s="9" t="inlineStr">
        <is>
          <t>Spotlight / 9 класс / Module 1 · Celebrations / Relative pronouns / Relative clauses / Relative clauses: опущение who/which/that (дополнение vs подлежащее)</t>
        </is>
      </c>
    </row>
    <row r="918">
      <c r="A918" s="25" t="n">
        <v>9</v>
      </c>
      <c r="B918" s="9" t="inlineStr">
        <is>
          <t>Module 1 · Celebrations</t>
        </is>
      </c>
      <c r="C918" s="9" t="inlineStr">
        <is>
          <t>1d</t>
        </is>
      </c>
      <c r="D918" s="9" t="inlineStr">
        <is>
          <t>Relative pronouns / Relative clauses</t>
        </is>
      </c>
      <c r="E918" s="23" t="inlineStr">
        <is>
          <t>Relative clauses: относительные наречия when / where / why</t>
        </is>
      </c>
      <c r="F918" s="25" t="inlineStr">
        <is>
          <t>повторение</t>
        </is>
      </c>
      <c r="G918" s="9" t="inlineStr">
        <is>
          <t>when/that, where, why</t>
        </is>
      </c>
      <c r="H918" s="25" t="inlineStr">
        <is>
          <t>10+</t>
        </is>
      </c>
      <c r="I918" s="9">
        <f>IFERROR(INDEX('Темы × классы'!$R:$R,MATCH(E918,'Темы × классы'!$E:$E,0)),"")</f>
        <v/>
      </c>
      <c r="J918" s="9">
        <f>IFERROR(INDEX('Темы × классы'!$S:$S,MATCH(E918,'Темы × классы'!$E:$E,0))&amp;"","")</f>
        <v/>
      </c>
      <c r="K918" s="9" t="inlineStr">
        <is>
          <t>не начат</t>
        </is>
      </c>
      <c r="L918" s="9" t="inlineStr">
        <is>
          <t>Spotlight / 9 класс / Module 1 · Celebrations / Relative pronouns / Relative clauses / Relative clauses: относительные наречия when / where / why</t>
        </is>
      </c>
    </row>
    <row r="919">
      <c r="A919" s="25" t="n">
        <v>9</v>
      </c>
      <c r="B919" s="9" t="inlineStr">
        <is>
          <t>Module 1 · Celebrations</t>
        </is>
      </c>
      <c r="C919" s="9" t="inlineStr">
        <is>
          <t>1d</t>
        </is>
      </c>
      <c r="D919" s="9" t="inlineStr">
        <is>
          <t>Relative pronouns / Relative clauses</t>
        </is>
      </c>
      <c r="E919" s="23" t="inlineStr">
        <is>
          <t>Relative clauses: defining vs non-defining (запятые, без that)</t>
        </is>
      </c>
      <c r="F919" s="26" t="inlineStr">
        <is>
          <t>новое</t>
        </is>
      </c>
      <c r="G919" s="9" t="inlineStr">
        <is>
          <t>с запятыми / без, that только в defining</t>
        </is>
      </c>
      <c r="H919" s="25" t="inlineStr">
        <is>
          <t>10+</t>
        </is>
      </c>
      <c r="I919" s="9">
        <f>IFERROR(INDEX('Темы × классы'!$R:$R,MATCH(E919,'Темы × классы'!$E:$E,0)),"")</f>
        <v/>
      </c>
      <c r="J919" s="9">
        <f>IFERROR(INDEX('Темы × классы'!$S:$S,MATCH(E919,'Темы × классы'!$E:$E,0))&amp;"","")</f>
        <v/>
      </c>
      <c r="K919" s="9" t="inlineStr">
        <is>
          <t>не начат</t>
        </is>
      </c>
      <c r="L919" s="9" t="inlineStr">
        <is>
          <t>Spotlight / 9 класс / Module 1 · Celebrations / Relative pronouns / Relative clauses / Relative clauses: defining vs non-defining (запятые, без that)</t>
        </is>
      </c>
    </row>
    <row r="920">
      <c r="A920" s="25" t="n">
        <v>9</v>
      </c>
      <c r="B920" s="9" t="inlineStr">
        <is>
          <t>Module 1 · Celebrations</t>
        </is>
      </c>
      <c r="C920" s="9" t="inlineStr">
        <is>
          <t>1d</t>
        </is>
      </c>
      <c r="D920" s="9" t="inlineStr">
        <is>
          <t>Relative pronouns / Relative clauses</t>
        </is>
      </c>
      <c r="E920" s="23" t="inlineStr">
        <is>
          <t>Relative clauses: which, относящееся ко всему предложению</t>
        </is>
      </c>
      <c r="F920" s="26" t="inlineStr">
        <is>
          <t>новое</t>
        </is>
      </c>
      <c r="G920" s="9" t="inlineStr">
        <is>
          <t>…, which she doesn't like</t>
        </is>
      </c>
      <c r="H920" s="25" t="inlineStr">
        <is>
          <t>10+</t>
        </is>
      </c>
      <c r="I920" s="9">
        <f>IFERROR(INDEX('Темы × классы'!$R:$R,MATCH(E920,'Темы × классы'!$E:$E,0)),"")</f>
        <v/>
      </c>
      <c r="J920" s="9">
        <f>IFERROR(INDEX('Темы × классы'!$S:$S,MATCH(E920,'Темы × классы'!$E:$E,0))&amp;"","")</f>
        <v/>
      </c>
      <c r="K920" s="9" t="inlineStr">
        <is>
          <t>не начат</t>
        </is>
      </c>
      <c r="L920" s="9" t="inlineStr">
        <is>
          <t>Spotlight / 9 класс / Module 1 · Celebrations / Relative pronouns / Relative clauses / Relative clauses: which, относящееся ко всему предложению</t>
        </is>
      </c>
    </row>
    <row r="921">
      <c r="A921" s="25" t="n">
        <v>9</v>
      </c>
      <c r="B921" s="9" t="inlineStr">
        <is>
          <t>Module 1 · Celebrations</t>
        </is>
      </c>
      <c r="C921" s="9" t="inlineStr">
        <is>
          <t>1d</t>
        </is>
      </c>
      <c r="D921" s="9" t="inlineStr">
        <is>
          <t>Relative pronouns / Relative clauses</t>
        </is>
      </c>
      <c r="E921" s="23" t="inlineStr">
        <is>
          <t>Relative clauses: of which / whose для предметов</t>
        </is>
      </c>
      <c r="F921" s="26" t="inlineStr">
        <is>
          <t>новое</t>
        </is>
      </c>
      <c r="G921" s="9" t="inlineStr">
        <is>
          <t>That's the book of which/whose (the) first page is missing</t>
        </is>
      </c>
      <c r="H921" s="25" t="inlineStr">
        <is>
          <t>10+</t>
        </is>
      </c>
      <c r="I921" s="9">
        <f>IFERROR(INDEX('Темы × классы'!$R:$R,MATCH(E921,'Темы × классы'!$E:$E,0)),"")</f>
        <v/>
      </c>
      <c r="J921" s="9">
        <f>IFERROR(INDEX('Темы × классы'!$S:$S,MATCH(E921,'Темы × классы'!$E:$E,0))&amp;"","")</f>
        <v/>
      </c>
      <c r="K921" s="9" t="inlineStr">
        <is>
          <t>не начат</t>
        </is>
      </c>
      <c r="L921" s="9" t="inlineStr">
        <is>
          <t>Spotlight / 9 класс / Module 1 · Celebrations / Relative pronouns / Relative clauses / Relative clauses: of which / whose для предметов</t>
        </is>
      </c>
    </row>
    <row r="922">
      <c r="A922" s="25" t="n">
        <v>9</v>
      </c>
      <c r="B922" s="9" t="inlineStr">
        <is>
          <t>Module 1 · Celebrations</t>
        </is>
      </c>
      <c r="C922" s="9" t="inlineStr">
        <is>
          <t>1d</t>
        </is>
      </c>
      <c r="D922" s="9" t="inlineStr">
        <is>
          <t>Relative pronouns / Relative clauses</t>
        </is>
      </c>
      <c r="E922" s="23" t="inlineStr">
        <is>
          <t>Relative clauses: some of / most of + whom/which/whose</t>
        </is>
      </c>
      <c r="F922" s="26" t="inlineStr">
        <is>
          <t>новое</t>
        </is>
      </c>
      <c r="G922" s="9" t="inlineStr">
        <is>
          <t>some of / many of / most of / half of</t>
        </is>
      </c>
      <c r="H922" s="25" t="inlineStr">
        <is>
          <t>10+</t>
        </is>
      </c>
      <c r="I922" s="9">
        <f>IFERROR(INDEX('Темы × классы'!$R:$R,MATCH(E922,'Темы × классы'!$E:$E,0)),"")</f>
        <v/>
      </c>
      <c r="J922" s="9">
        <f>IFERROR(INDEX('Темы × классы'!$S:$S,MATCH(E922,'Темы × классы'!$E:$E,0))&amp;"","")</f>
        <v/>
      </c>
      <c r="K922" s="9" t="inlineStr">
        <is>
          <t>не начат</t>
        </is>
      </c>
      <c r="L922" s="9" t="inlineStr">
        <is>
          <t>Spotlight / 9 класс / Module 1 · Celebrations / Relative pronouns / Relative clauses / Relative clauses: some of / most of + whom/which/whose</t>
        </is>
      </c>
    </row>
    <row r="923">
      <c r="A923" s="25" t="n">
        <v>9</v>
      </c>
      <c r="B923" s="9" t="inlineStr">
        <is>
          <t>Module 1 · Celebrations</t>
        </is>
      </c>
      <c r="C923" s="9" t="inlineStr">
        <is>
          <t>1d</t>
        </is>
      </c>
      <c r="D923" s="9" t="inlineStr">
        <is>
          <t>Relative pronouns / Relative clauses</t>
        </is>
      </c>
      <c r="E923" s="23" t="inlineStr">
        <is>
          <t>Relative clauses: that не после запятой и не после предлога</t>
        </is>
      </c>
      <c r="F923" s="26" t="inlineStr">
        <is>
          <t>новое</t>
        </is>
      </c>
      <c r="G923" s="9" t="inlineStr">
        <is>
          <t>The person to whom you were speaking…</t>
        </is>
      </c>
      <c r="H923" s="25" t="inlineStr">
        <is>
          <t>10+</t>
        </is>
      </c>
      <c r="I923" s="9">
        <f>IFERROR(INDEX('Темы × классы'!$R:$R,MATCH(E923,'Темы × классы'!$E:$E,0)),"")</f>
        <v/>
      </c>
      <c r="J923" s="9">
        <f>IFERROR(INDEX('Темы × классы'!$S:$S,MATCH(E923,'Темы × классы'!$E:$E,0))&amp;"","")</f>
        <v/>
      </c>
      <c r="K923" s="9" t="inlineStr">
        <is>
          <t>не начат</t>
        </is>
      </c>
      <c r="L923" s="9" t="inlineStr">
        <is>
          <t>Spotlight / 9 класс / Module 1 · Celebrations / Relative pronouns / Relative clauses / Relative clauses: that не после запятой и не после предлога</t>
        </is>
      </c>
    </row>
    <row r="924">
      <c r="A924" s="25" t="n">
        <v>9</v>
      </c>
      <c r="B924" s="9" t="inlineStr">
        <is>
          <t>Module 1 · Celebrations</t>
        </is>
      </c>
      <c r="C924" s="9" t="inlineStr">
        <is>
          <t>1c</t>
        </is>
      </c>
      <c r="D924" s="9" t="inlineStr">
        <is>
          <t>Exclamations</t>
        </is>
      </c>
      <c r="E924" s="23" t="inlineStr">
        <is>
          <t>Exclamations: How + прил./нареч.!</t>
        </is>
      </c>
      <c r="F924" s="26" t="inlineStr">
        <is>
          <t>новое</t>
        </is>
      </c>
      <c r="G924" s="9" t="inlineStr">
        <is>
          <t>How tall she is! How carefully he drives!</t>
        </is>
      </c>
      <c r="H924" s="25" t="inlineStr">
        <is>
          <t>10+</t>
        </is>
      </c>
      <c r="I924" s="9">
        <f>IFERROR(INDEX('Темы × классы'!$R:$R,MATCH(E924,'Темы × классы'!$E:$E,0)),"")</f>
        <v/>
      </c>
      <c r="J924" s="9">
        <f>IFERROR(INDEX('Темы × классы'!$S:$S,MATCH(E924,'Темы × классы'!$E:$E,0))&amp;"","")</f>
        <v/>
      </c>
      <c r="K924" s="9" t="inlineStr">
        <is>
          <t>не начат</t>
        </is>
      </c>
      <c r="L924" s="9" t="inlineStr">
        <is>
          <t>Spotlight / 9 класс / Module 1 · Celebrations / Exclamations / Exclamations: How + прил./нареч.!</t>
        </is>
      </c>
    </row>
    <row r="925">
      <c r="A925" s="25" t="n">
        <v>9</v>
      </c>
      <c r="B925" s="9" t="inlineStr">
        <is>
          <t>Module 1 · Celebrations</t>
        </is>
      </c>
      <c r="C925" s="9" t="inlineStr">
        <is>
          <t>1c</t>
        </is>
      </c>
      <c r="D925" s="9" t="inlineStr">
        <is>
          <t>Exclamations</t>
        </is>
      </c>
      <c r="E925" s="23" t="inlineStr">
        <is>
          <t>Exclamations: What a/an (+ прил.) + исчисл. сущ. ед. ч.!</t>
        </is>
      </c>
      <c r="F925" s="26" t="inlineStr">
        <is>
          <t>новое</t>
        </is>
      </c>
      <c r="G925" s="9" t="inlineStr">
        <is>
          <t>What a pretty baby! What an amazing story!</t>
        </is>
      </c>
      <c r="H925" s="25" t="inlineStr">
        <is>
          <t>10+</t>
        </is>
      </c>
      <c r="I925" s="9">
        <f>IFERROR(INDEX('Темы × классы'!$R:$R,MATCH(E925,'Темы × классы'!$E:$E,0)),"")</f>
        <v/>
      </c>
      <c r="J925" s="9">
        <f>IFERROR(INDEX('Темы × классы'!$S:$S,MATCH(E925,'Темы × классы'!$E:$E,0))&amp;"","")</f>
        <v/>
      </c>
      <c r="K925" s="9" t="inlineStr">
        <is>
          <t>не начат</t>
        </is>
      </c>
      <c r="L925" s="9" t="inlineStr">
        <is>
          <t>Spotlight / 9 класс / Module 1 · Celebrations / Exclamations / Exclamations: What a/an (+ прил.) + исчисл. сущ. ед. ч.!</t>
        </is>
      </c>
    </row>
    <row r="926">
      <c r="A926" s="25" t="n">
        <v>9</v>
      </c>
      <c r="B926" s="9" t="inlineStr">
        <is>
          <t>Module 1 · Celebrations</t>
        </is>
      </c>
      <c r="C926" s="9" t="inlineStr">
        <is>
          <t>1c</t>
        </is>
      </c>
      <c r="D926" s="9" t="inlineStr">
        <is>
          <t>Exclamations</t>
        </is>
      </c>
      <c r="E926" s="23" t="inlineStr">
        <is>
          <t>Exclamations: What (+ прил.) + неисчисл. / мн. ч.!</t>
        </is>
      </c>
      <c r="F926" s="26" t="inlineStr">
        <is>
          <t>новое</t>
        </is>
      </c>
      <c r="G926" s="9" t="inlineStr">
        <is>
          <t>What horrible weather! (NOT What a horrible weather)</t>
        </is>
      </c>
      <c r="H926" s="25" t="inlineStr">
        <is>
          <t>10+</t>
        </is>
      </c>
      <c r="I926" s="9">
        <f>IFERROR(INDEX('Темы × классы'!$R:$R,MATCH(E926,'Темы × классы'!$E:$E,0)),"")</f>
        <v/>
      </c>
      <c r="J926" s="9">
        <f>IFERROR(INDEX('Темы × классы'!$S:$S,MATCH(E926,'Темы × классы'!$E:$E,0))&amp;"","")</f>
        <v/>
      </c>
      <c r="K926" s="9" t="inlineStr">
        <is>
          <t>не начат</t>
        </is>
      </c>
      <c r="L926" s="9" t="inlineStr">
        <is>
          <t>Spotlight / 9 класс / Module 1 · Celebrations / Exclamations / Exclamations: What (+ прил.) + неисчисл. / мн. ч.!</t>
        </is>
      </c>
    </row>
    <row r="927">
      <c r="A927" s="25" t="n">
        <v>9</v>
      </c>
      <c r="B927" s="9" t="inlineStr">
        <is>
          <t>Module 1 · Celebrations</t>
        </is>
      </c>
      <c r="C927" s="9" t="inlineStr">
        <is>
          <t>1c</t>
        </is>
      </c>
      <c r="D927" s="9" t="inlineStr">
        <is>
          <t>Exclamations</t>
        </is>
      </c>
      <c r="E927" s="23" t="inlineStr">
        <is>
          <t>Exclamations: отрицательный вопрос (Isn't it great…!)</t>
        </is>
      </c>
      <c r="F927" s="26" t="inlineStr">
        <is>
          <t>новое</t>
        </is>
      </c>
      <c r="G927" s="9" t="inlineStr">
        <is>
          <t>Isn't it great to be here!</t>
        </is>
      </c>
      <c r="H927" s="25" t="inlineStr">
        <is>
          <t>10+</t>
        </is>
      </c>
      <c r="I927" s="9">
        <f>IFERROR(INDEX('Темы × классы'!$R:$R,MATCH(E927,'Темы × классы'!$E:$E,0)),"")</f>
        <v/>
      </c>
      <c r="J927" s="9">
        <f>IFERROR(INDEX('Темы × классы'!$S:$S,MATCH(E927,'Темы × классы'!$E:$E,0))&amp;"","")</f>
        <v/>
      </c>
      <c r="K927" s="9" t="inlineStr">
        <is>
          <t>не начат</t>
        </is>
      </c>
      <c r="L927" s="9" t="inlineStr">
        <is>
          <t>Spotlight / 9 класс / Module 1 · Celebrations / Exclamations / Exclamations: отрицательный вопрос (Isn't it great…!)</t>
        </is>
      </c>
    </row>
    <row r="928">
      <c r="A928" s="25" t="n">
        <v>9</v>
      </c>
      <c r="B928" s="9" t="inlineStr">
        <is>
          <t>Module 1 · Celebrations</t>
        </is>
      </c>
      <c r="C928" s="9" t="inlineStr">
        <is>
          <t>1f</t>
        </is>
      </c>
      <c r="D928" s="9" t="inlineStr">
        <is>
          <t>Phrasal verbs</t>
        </is>
      </c>
      <c r="E928" s="23" t="inlineStr">
        <is>
          <t>Phrasal verbs: turn</t>
        </is>
      </c>
      <c r="F928" s="26" t="inlineStr">
        <is>
          <t>новое</t>
        </is>
      </c>
      <c r="G928" s="9" t="inlineStr">
        <is>
          <t>turn: turn back (возвращаться), turn down (отказываться), turn into (становиться, превращаться), turn off (выключать), turn up (1) увеличивать звук, 2) появляться).</t>
        </is>
      </c>
      <c r="H928" s="25" t="inlineStr">
        <is>
          <t>10+</t>
        </is>
      </c>
      <c r="I928" s="9">
        <f>IFERROR(INDEX('Темы × классы'!$R:$R,MATCH(E928,'Темы × классы'!$E:$E,0)),"")</f>
        <v/>
      </c>
      <c r="J928" s="9">
        <f>IFERROR(INDEX('Темы × классы'!$S:$S,MATCH(E928,'Темы × классы'!$E:$E,0))&amp;"","")</f>
        <v/>
      </c>
      <c r="K928" s="9" t="inlineStr">
        <is>
          <t>не начат</t>
        </is>
      </c>
      <c r="L928" s="9" t="inlineStr">
        <is>
          <t>Spotlight / 9 класс / Module 1 · Celebrations / Phrasal verbs / Phrasal verbs: turn</t>
        </is>
      </c>
    </row>
    <row r="929">
      <c r="A929" s="25" t="n">
        <v>9</v>
      </c>
      <c r="B929" s="9" t="inlineStr">
        <is>
          <t>Module 1 · Celebrations</t>
        </is>
      </c>
      <c r="C929" s="9" t="inlineStr">
        <is>
          <t>1f</t>
        </is>
      </c>
      <c r="D929" s="9" t="inlineStr">
        <is>
          <t>Word formation</t>
        </is>
      </c>
      <c r="E929" s="23" t="inlineStr">
        <is>
          <t>Word formation: participle adjectives -ed/-ing</t>
        </is>
      </c>
      <c r="F929" s="26" t="inlineStr">
        <is>
          <t>новое</t>
        </is>
      </c>
      <c r="G929" s="9" t="inlineStr">
        <is>
          <t>Word formation: образование причастий/прилагательных на -ed и -ing (past/present participles).</t>
        </is>
      </c>
      <c r="H929" s="25" t="inlineStr">
        <is>
          <t>10+</t>
        </is>
      </c>
      <c r="I929" s="9">
        <f>IFERROR(INDEX('Темы × классы'!$R:$R,MATCH(E929,'Темы × классы'!$E:$E,0)),"")</f>
        <v/>
      </c>
      <c r="J929" s="9">
        <f>IFERROR(INDEX('Темы × классы'!$S:$S,MATCH(E929,'Темы × классы'!$E:$E,0))&amp;"","")</f>
        <v/>
      </c>
      <c r="K929" s="9" t="inlineStr">
        <is>
          <t>не начат</t>
        </is>
      </c>
      <c r="L929" s="9" t="inlineStr">
        <is>
          <t>Spotlight / 9 класс / Module 1 · Celebrations / Word formation / Word formation: participle adjectives -ed/-ing</t>
        </is>
      </c>
    </row>
    <row r="930">
      <c r="A930" s="25" t="n">
        <v>9</v>
      </c>
      <c r="B930" s="9" t="inlineStr">
        <is>
          <t>Module 1 · Celebrations</t>
        </is>
      </c>
      <c r="C930" s="9" t="inlineStr">
        <is>
          <t>1f</t>
        </is>
      </c>
      <c r="D930" s="9" t="inlineStr">
        <is>
          <t>Dependent prepositions</t>
        </is>
      </c>
      <c r="E930" s="23" t="inlineStr">
        <is>
          <t>Dependent prepositions</t>
        </is>
      </c>
      <c r="F930" s="25" t="inlineStr">
        <is>
          <t>повторение</t>
        </is>
      </c>
      <c r="G930" s="9" t="inlineStr">
        <is>
          <t>Prepositions (заголовок раздела English in Use).</t>
        </is>
      </c>
      <c r="H930" s="25" t="inlineStr">
        <is>
          <t>10+</t>
        </is>
      </c>
      <c r="I930" s="9">
        <f>IFERROR(INDEX('Темы × классы'!$R:$R,MATCH(E930,'Темы × классы'!$E:$E,0)),"")</f>
        <v/>
      </c>
      <c r="J930" s="9">
        <f>IFERROR(INDEX('Темы × классы'!$S:$S,MATCH(E930,'Темы × классы'!$E:$E,0))&amp;"","")</f>
        <v/>
      </c>
      <c r="K930" s="9" t="inlineStr">
        <is>
          <t>не начат</t>
        </is>
      </c>
      <c r="L930" s="9" t="inlineStr">
        <is>
          <t>Spotlight / 9 класс / Module 1 · Celebrations / Dependent prepositions / Dependent prepositions</t>
        </is>
      </c>
    </row>
    <row r="931">
      <c r="A931" s="25" t="n">
        <v>9</v>
      </c>
      <c r="B931" s="9" t="inlineStr">
        <is>
          <t>Module 2 · Life &amp; Living</t>
        </is>
      </c>
      <c r="C931" s="9" t="inlineStr">
        <is>
          <t>2c</t>
        </is>
      </c>
      <c r="D931" s="9" t="inlineStr">
        <is>
          <t>Infinitive / -ing form</t>
        </is>
      </c>
      <c r="E931" s="23" t="inlineStr">
        <is>
          <t>-ing form: в роли подлежащего</t>
        </is>
      </c>
      <c r="F931" s="25" t="inlineStr">
        <is>
          <t>повторение</t>
        </is>
      </c>
      <c r="G931" s="9" t="inlineStr"/>
      <c r="H931" s="25" t="inlineStr">
        <is>
          <t>10+</t>
        </is>
      </c>
      <c r="I931" s="9">
        <f>IFERROR(INDEX('Темы × классы'!$R:$R,MATCH(E931,'Темы × классы'!$E:$E,0)),"")</f>
        <v/>
      </c>
      <c r="J931" s="9">
        <f>IFERROR(INDEX('Темы × классы'!$S:$S,MATCH(E931,'Темы × классы'!$E:$E,0))&amp;"","")</f>
        <v/>
      </c>
      <c r="K931" s="9" t="inlineStr">
        <is>
          <t>не начат</t>
        </is>
      </c>
      <c r="L931" s="9" t="inlineStr">
        <is>
          <t>Spotlight / 9 класс / Module 2 · Life &amp; Living / Infinitive / -ing form / -ing form: в роли подлежащего</t>
        </is>
      </c>
    </row>
    <row r="932">
      <c r="A932" s="25" t="n">
        <v>9</v>
      </c>
      <c r="B932" s="9" t="inlineStr">
        <is>
          <t>Module 2 · Life &amp; Living</t>
        </is>
      </c>
      <c r="C932" s="9" t="inlineStr">
        <is>
          <t>2c</t>
        </is>
      </c>
      <c r="D932" s="9" t="inlineStr">
        <is>
          <t>Infinitive / -ing form</t>
        </is>
      </c>
      <c r="E932" s="23" t="inlineStr">
        <is>
          <t>-ing form: после глаголов admit, avoid, consider, deny, fancy, go, imagine, mind, miss, practise, suggest…</t>
        </is>
      </c>
      <c r="F932" s="25" t="inlineStr">
        <is>
          <t>повторение</t>
        </is>
      </c>
      <c r="G932" s="9" t="inlineStr"/>
      <c r="H932" s="25" t="inlineStr">
        <is>
          <t>10+</t>
        </is>
      </c>
      <c r="I932" s="9">
        <f>IFERROR(INDEX('Темы × классы'!$R:$R,MATCH(E932,'Темы × классы'!$E:$E,0)),"")</f>
        <v/>
      </c>
      <c r="J932" s="9">
        <f>IFERROR(INDEX('Темы × классы'!$S:$S,MATCH(E932,'Темы × классы'!$E:$E,0))&amp;"","")</f>
        <v/>
      </c>
      <c r="K932" s="9" t="inlineStr">
        <is>
          <t>не начат</t>
        </is>
      </c>
      <c r="L932" s="9" t="inlineStr">
        <is>
          <t>Spotlight / 9 класс / Module 2 · Life &amp; Living / Infinitive / -ing form / -ing form: после глаголов admit, avoid, consider, deny, fancy, go, imagine, mind, miss, practise, suggest…</t>
        </is>
      </c>
    </row>
    <row r="933">
      <c r="A933" s="25" t="n">
        <v>9</v>
      </c>
      <c r="B933" s="9" t="inlineStr">
        <is>
          <t>Module 2 · Life &amp; Living</t>
        </is>
      </c>
      <c r="C933" s="9" t="inlineStr">
        <is>
          <t>2c</t>
        </is>
      </c>
      <c r="D933" s="9" t="inlineStr">
        <is>
          <t>Infinitive / -ing form</t>
        </is>
      </c>
      <c r="E933" s="23" t="inlineStr">
        <is>
          <t>-ing form: после like, love, enjoy, prefer, dislike, hate — общее предпочтение</t>
        </is>
      </c>
      <c r="F933" s="25" t="inlineStr">
        <is>
          <t>повторение</t>
        </is>
      </c>
      <c r="G933" s="9" t="inlineStr"/>
      <c r="H933" s="25" t="inlineStr">
        <is>
          <t>10+</t>
        </is>
      </c>
      <c r="I933" s="9">
        <f>IFERROR(INDEX('Темы × классы'!$R:$R,MATCH(E933,'Темы × классы'!$E:$E,0)),"")</f>
        <v/>
      </c>
      <c r="J933" s="9">
        <f>IFERROR(INDEX('Темы × классы'!$S:$S,MATCH(E933,'Темы × классы'!$E:$E,0))&amp;"","")</f>
        <v/>
      </c>
      <c r="K933" s="9" t="inlineStr">
        <is>
          <t>не начат</t>
        </is>
      </c>
      <c r="L933" s="9" t="inlineStr">
        <is>
          <t>Spotlight / 9 класс / Module 2 · Life &amp; Living / Infinitive / -ing form / -ing form: после like, love, enjoy, prefer, dislike, hate — общее предпочтение</t>
        </is>
      </c>
    </row>
    <row r="934">
      <c r="A934" s="25" t="n">
        <v>9</v>
      </c>
      <c r="B934" s="9" t="inlineStr">
        <is>
          <t>Module 2 · Life &amp; Living</t>
        </is>
      </c>
      <c r="C934" s="9" t="inlineStr">
        <is>
          <t>2c</t>
        </is>
      </c>
      <c r="D934" s="9" t="inlineStr">
        <is>
          <t>Infinitive / -ing form</t>
        </is>
      </c>
      <c r="E934" s="23" t="inlineStr">
        <is>
          <t>-ing form: после выражений it's no use, it's (not) worth, can't help, there's no point…</t>
        </is>
      </c>
      <c r="F934" s="25" t="inlineStr">
        <is>
          <t>повторение</t>
        </is>
      </c>
      <c r="G934" s="9" t="inlineStr"/>
      <c r="H934" s="25" t="inlineStr">
        <is>
          <t>10+</t>
        </is>
      </c>
      <c r="I934" s="9">
        <f>IFERROR(INDEX('Темы × классы'!$R:$R,MATCH(E934,'Темы × классы'!$E:$E,0)),"")</f>
        <v/>
      </c>
      <c r="J934" s="9">
        <f>IFERROR(INDEX('Темы × классы'!$S:$S,MATCH(E934,'Темы × классы'!$E:$E,0))&amp;"","")</f>
        <v/>
      </c>
      <c r="K934" s="9" t="inlineStr">
        <is>
          <t>не начат</t>
        </is>
      </c>
      <c r="L934" s="9" t="inlineStr">
        <is>
          <t>Spotlight / 9 класс / Module 2 · Life &amp; Living / Infinitive / -ing form / -ing form: после выражений it's no use, it's (not) worth, can't help, there's no point…</t>
        </is>
      </c>
    </row>
    <row r="935">
      <c r="A935" s="25" t="n">
        <v>9</v>
      </c>
      <c r="B935" s="9" t="inlineStr">
        <is>
          <t>Module 2 · Life &amp; Living</t>
        </is>
      </c>
      <c r="C935" s="9" t="inlineStr">
        <is>
          <t>2c</t>
        </is>
      </c>
      <c r="D935" s="9" t="inlineStr">
        <is>
          <t>Infinitive / -ing form</t>
        </is>
      </c>
      <c r="E935" s="23" t="inlineStr">
        <is>
          <t>-ing form: после spend/waste/lose + время/деньги</t>
        </is>
      </c>
      <c r="F935" s="25" t="inlineStr">
        <is>
          <t>повторение</t>
        </is>
      </c>
      <c r="G935" s="9" t="inlineStr"/>
      <c r="H935" s="25" t="inlineStr">
        <is>
          <t>10+</t>
        </is>
      </c>
      <c r="I935" s="9">
        <f>IFERROR(INDEX('Темы × классы'!$R:$R,MATCH(E935,'Темы × классы'!$E:$E,0)),"")</f>
        <v/>
      </c>
      <c r="J935" s="9">
        <f>IFERROR(INDEX('Темы × классы'!$S:$S,MATCH(E935,'Темы × классы'!$E:$E,0))&amp;"","")</f>
        <v/>
      </c>
      <c r="K935" s="9" t="inlineStr">
        <is>
          <t>не начат</t>
        </is>
      </c>
      <c r="L935" s="9" t="inlineStr">
        <is>
          <t>Spotlight / 9 класс / Module 2 · Life &amp; Living / Infinitive / -ing form / -ing form: после spend/waste/lose + время/деньги</t>
        </is>
      </c>
    </row>
    <row r="936">
      <c r="A936" s="25" t="n">
        <v>9</v>
      </c>
      <c r="B936" s="9" t="inlineStr">
        <is>
          <t>Module 2 · Life &amp; Living</t>
        </is>
      </c>
      <c r="C936" s="9" t="inlineStr">
        <is>
          <t>2c</t>
        </is>
      </c>
      <c r="D936" s="9" t="inlineStr">
        <is>
          <t>Infinitive / -ing form</t>
        </is>
      </c>
      <c r="E936" s="23" t="inlineStr">
        <is>
          <t>-ing form: после предлогов (look forward to, be used to, object to…)</t>
        </is>
      </c>
      <c r="F936" s="27" t="inlineStr">
        <is>
          <t>расширение</t>
        </is>
      </c>
      <c r="G936" s="9" t="inlineStr">
        <is>
          <t>+ think of, apologise for; prefer … to</t>
        </is>
      </c>
      <c r="H936" s="25" t="inlineStr">
        <is>
          <t>10+</t>
        </is>
      </c>
      <c r="I936" s="9">
        <f>IFERROR(INDEX('Темы × классы'!$R:$R,MATCH(E936,'Темы × классы'!$E:$E,0)),"")</f>
        <v/>
      </c>
      <c r="J936" s="9">
        <f>IFERROR(INDEX('Темы × классы'!$S:$S,MATCH(E936,'Темы × классы'!$E:$E,0))&amp;"","")</f>
        <v/>
      </c>
      <c r="K936" s="9" t="inlineStr">
        <is>
          <t>не начат</t>
        </is>
      </c>
      <c r="L936" s="9" t="inlineStr">
        <is>
          <t>Spotlight / 9 класс / Module 2 · Life &amp; Living / Infinitive / -ing form / -ing form: после предлогов (look forward to, be used to, object to…)</t>
        </is>
      </c>
    </row>
    <row r="937">
      <c r="A937" s="25" t="n">
        <v>9</v>
      </c>
      <c r="B937" s="9" t="inlineStr">
        <is>
          <t>Module 2 · Life &amp; Living</t>
        </is>
      </c>
      <c r="C937" s="9" t="inlineStr">
        <is>
          <t>2c</t>
        </is>
      </c>
      <c r="D937" s="9" t="inlineStr">
        <is>
          <t>Infinitive / -ing form</t>
        </is>
      </c>
      <c r="E937" s="23" t="inlineStr">
        <is>
          <t>-ing vs bare infinitive после see, hear, watch, feel — незавершённое vs завершённое</t>
        </is>
      </c>
      <c r="F937" s="25" t="inlineStr">
        <is>
          <t>повторение</t>
        </is>
      </c>
      <c r="G937" s="9" t="inlineStr"/>
      <c r="H937" s="25" t="inlineStr">
        <is>
          <t>10+</t>
        </is>
      </c>
      <c r="I937" s="9">
        <f>IFERROR(INDEX('Темы × классы'!$R:$R,MATCH(E937,'Темы × классы'!$E:$E,0)),"")</f>
        <v/>
      </c>
      <c r="J937" s="9">
        <f>IFERROR(INDEX('Темы × классы'!$S:$S,MATCH(E937,'Темы × классы'!$E:$E,0))&amp;"","")</f>
        <v/>
      </c>
      <c r="K937" s="9" t="inlineStr">
        <is>
          <t>не начат</t>
        </is>
      </c>
      <c r="L937" s="9" t="inlineStr">
        <is>
          <t>Spotlight / 9 класс / Module 2 · Life &amp; Living / Infinitive / -ing form / -ing vs bare infinitive после see, hear, watch, feel — незавершённое vs завершённое</t>
        </is>
      </c>
    </row>
    <row r="938">
      <c r="A938" s="25" t="n">
        <v>9</v>
      </c>
      <c r="B938" s="9" t="inlineStr">
        <is>
          <t>Module 2 · Life &amp; Living</t>
        </is>
      </c>
      <c r="C938" s="9" t="inlineStr">
        <is>
          <t>2c</t>
        </is>
      </c>
      <c r="D938" s="9" t="inlineStr">
        <is>
          <t>Infinitive / -ing form</t>
        </is>
      </c>
      <c r="E938" s="23" t="inlineStr">
        <is>
          <t>-ing form: be/get used to + -ing vs used to + V</t>
        </is>
      </c>
      <c r="F938" s="26" t="inlineStr">
        <is>
          <t>новое</t>
        </is>
      </c>
      <c r="G938" s="9" t="inlineStr"/>
      <c r="H938" s="25" t="inlineStr">
        <is>
          <t>10+</t>
        </is>
      </c>
      <c r="I938" s="9">
        <f>IFERROR(INDEX('Темы × классы'!$R:$R,MATCH(E938,'Темы × классы'!$E:$E,0)),"")</f>
        <v/>
      </c>
      <c r="J938" s="9">
        <f>IFERROR(INDEX('Темы × классы'!$S:$S,MATCH(E938,'Темы × классы'!$E:$E,0))&amp;"","")</f>
        <v/>
      </c>
      <c r="K938" s="9" t="inlineStr">
        <is>
          <t>не начат</t>
        </is>
      </c>
      <c r="L938" s="9" t="inlineStr">
        <is>
          <t>Spotlight / 9 класс / Module 2 · Life &amp; Living / Infinitive / -ing form / -ing form: be/get used to + -ing vs used to + V</t>
        </is>
      </c>
    </row>
    <row r="939">
      <c r="A939" s="25" t="n">
        <v>9</v>
      </c>
      <c r="B939" s="9" t="inlineStr">
        <is>
          <t>Module 2 · Life &amp; Living</t>
        </is>
      </c>
      <c r="C939" s="9" t="inlineStr">
        <is>
          <t>2c</t>
        </is>
      </c>
      <c r="D939" s="9" t="inlineStr">
        <is>
          <t>Infinitive / -ing form</t>
        </is>
      </c>
      <c r="E939" s="23" t="inlineStr">
        <is>
          <t>to-infinitive: цель</t>
        </is>
      </c>
      <c r="F939" s="25" t="inlineStr">
        <is>
          <t>повторение</t>
        </is>
      </c>
      <c r="G939" s="9" t="inlineStr">
        <is>
          <t>went to buy</t>
        </is>
      </c>
      <c r="H939" s="25" t="inlineStr">
        <is>
          <t>10+</t>
        </is>
      </c>
      <c r="I939" s="9">
        <f>IFERROR(INDEX('Темы × классы'!$R:$R,MATCH(E939,'Темы × классы'!$E:$E,0)),"")</f>
        <v/>
      </c>
      <c r="J939" s="9">
        <f>IFERROR(INDEX('Темы × классы'!$S:$S,MATCH(E939,'Темы × классы'!$E:$E,0))&amp;"","")</f>
        <v/>
      </c>
      <c r="K939" s="9" t="inlineStr">
        <is>
          <t>не начат</t>
        </is>
      </c>
      <c r="L939" s="9" t="inlineStr">
        <is>
          <t>Spotlight / 9 класс / Module 2 · Life &amp; Living / Infinitive / -ing form / to-infinitive: цель</t>
        </is>
      </c>
    </row>
    <row r="940">
      <c r="A940" s="25" t="n">
        <v>9</v>
      </c>
      <c r="B940" s="9" t="inlineStr">
        <is>
          <t>Module 2 · Life &amp; Living</t>
        </is>
      </c>
      <c r="C940" s="9" t="inlineStr">
        <is>
          <t>2c</t>
        </is>
      </c>
      <c r="D940" s="9" t="inlineStr">
        <is>
          <t>Infinitive / -ing form</t>
        </is>
      </c>
      <c r="E940" s="23" t="inlineStr">
        <is>
          <t>to-infinitive: после agree, decide, expect, hope, plan, promise, refuse, want</t>
        </is>
      </c>
      <c r="F940" s="27" t="inlineStr">
        <is>
          <t>расширение</t>
        </is>
      </c>
      <c r="G940" s="9" t="inlineStr">
        <is>
          <t>+ want sb to do (I want you to come)</t>
        </is>
      </c>
      <c r="H940" s="25" t="inlineStr">
        <is>
          <t>10+</t>
        </is>
      </c>
      <c r="I940" s="9">
        <f>IFERROR(INDEX('Темы × классы'!$R:$R,MATCH(E940,'Темы × классы'!$E:$E,0)),"")</f>
        <v/>
      </c>
      <c r="J940" s="9">
        <f>IFERROR(INDEX('Темы × классы'!$S:$S,MATCH(E940,'Темы × классы'!$E:$E,0))&amp;"","")</f>
        <v/>
      </c>
      <c r="K940" s="9" t="inlineStr">
        <is>
          <t>не начат</t>
        </is>
      </c>
      <c r="L940" s="9" t="inlineStr">
        <is>
          <t>Spotlight / 9 класс / Module 2 · Life &amp; Living / Infinitive / -ing form / to-infinitive: после agree, decide, expect, hope, plan, promise, refuse, want</t>
        </is>
      </c>
    </row>
    <row r="941">
      <c r="A941" s="25" t="n">
        <v>9</v>
      </c>
      <c r="B941" s="9" t="inlineStr">
        <is>
          <t>Module 2 · Life &amp; Living</t>
        </is>
      </c>
      <c r="C941" s="9" t="inlineStr">
        <is>
          <t>2c</t>
        </is>
      </c>
      <c r="D941" s="9" t="inlineStr">
        <is>
          <t>Infinitive / -ing form</t>
        </is>
      </c>
      <c r="E941" s="23" t="inlineStr">
        <is>
          <t>to-infinitive: после would like/prefer/love — конкретное предпочтение</t>
        </is>
      </c>
      <c r="F941" s="25" t="inlineStr">
        <is>
          <t>повторение</t>
        </is>
      </c>
      <c r="G941" s="9" t="inlineStr"/>
      <c r="H941" s="25" t="inlineStr">
        <is>
          <t>10+</t>
        </is>
      </c>
      <c r="I941" s="9">
        <f>IFERROR(INDEX('Темы × классы'!$R:$R,MATCH(E941,'Темы × классы'!$E:$E,0)),"")</f>
        <v/>
      </c>
      <c r="J941" s="9">
        <f>IFERROR(INDEX('Темы × классы'!$S:$S,MATCH(E941,'Темы × классы'!$E:$E,0))&amp;"","")</f>
        <v/>
      </c>
      <c r="K941" s="9" t="inlineStr">
        <is>
          <t>не начат</t>
        </is>
      </c>
      <c r="L941" s="9" t="inlineStr">
        <is>
          <t>Spotlight / 9 класс / Module 2 · Life &amp; Living / Infinitive / -ing form / to-infinitive: после would like/prefer/love — конкретное предпочтение</t>
        </is>
      </c>
    </row>
    <row r="942">
      <c r="A942" s="25" t="n">
        <v>9</v>
      </c>
      <c r="B942" s="9" t="inlineStr">
        <is>
          <t>Module 2 · Life &amp; Living</t>
        </is>
      </c>
      <c r="C942" s="9" t="inlineStr">
        <is>
          <t>2c</t>
        </is>
      </c>
      <c r="D942" s="9" t="inlineStr">
        <is>
          <t>Infinitive / -ing form</t>
        </is>
      </c>
      <c r="E942" s="23" t="inlineStr">
        <is>
          <t>to-infinitive: после прилагательных (happy, eager, kind, lucky…); It was kind of you to…</t>
        </is>
      </c>
      <c r="F942" s="25" t="inlineStr">
        <is>
          <t>повторение</t>
        </is>
      </c>
      <c r="G942" s="9" t="inlineStr"/>
      <c r="H942" s="25" t="inlineStr">
        <is>
          <t>10+</t>
        </is>
      </c>
      <c r="I942" s="9">
        <f>IFERROR(INDEX('Темы × классы'!$R:$R,MATCH(E942,'Темы × классы'!$E:$E,0)),"")</f>
        <v/>
      </c>
      <c r="J942" s="9">
        <f>IFERROR(INDEX('Темы × классы'!$S:$S,MATCH(E942,'Темы × классы'!$E:$E,0))&amp;"","")</f>
        <v/>
      </c>
      <c r="K942" s="9" t="inlineStr">
        <is>
          <t>не начат</t>
        </is>
      </c>
      <c r="L942" s="9" t="inlineStr">
        <is>
          <t>Spotlight / 9 класс / Module 2 · Life &amp; Living / Infinitive / -ing form / to-infinitive: после прилагательных (happy, eager, kind, lucky…); It was kind of you to…</t>
        </is>
      </c>
    </row>
    <row r="943">
      <c r="A943" s="25" t="n">
        <v>9</v>
      </c>
      <c r="B943" s="9" t="inlineStr">
        <is>
          <t>Module 2 · Life &amp; Living</t>
        </is>
      </c>
      <c r="C943" s="9" t="inlineStr">
        <is>
          <t>2c</t>
        </is>
      </c>
      <c r="D943" s="9" t="inlineStr">
        <is>
          <t>Infinitive / -ing form</t>
        </is>
      </c>
      <c r="E943" s="23" t="inlineStr">
        <is>
          <t>to-infinitive: после too/enough</t>
        </is>
      </c>
      <c r="F943" s="25" t="inlineStr">
        <is>
          <t>повторение</t>
        </is>
      </c>
      <c r="G943" s="9" t="inlineStr"/>
      <c r="H943" s="25" t="inlineStr">
        <is>
          <t>10+</t>
        </is>
      </c>
      <c r="I943" s="9">
        <f>IFERROR(INDEX('Темы × классы'!$R:$R,MATCH(E943,'Темы × классы'!$E:$E,0)),"")</f>
        <v/>
      </c>
      <c r="J943" s="9">
        <f>IFERROR(INDEX('Темы × классы'!$S:$S,MATCH(E943,'Темы × классы'!$E:$E,0))&amp;"","")</f>
        <v/>
      </c>
      <c r="K943" s="9" t="inlineStr">
        <is>
          <t>не начат</t>
        </is>
      </c>
      <c r="L943" s="9" t="inlineStr">
        <is>
          <t>Spotlight / 9 класс / Module 2 · Life &amp; Living / Infinitive / -ing form / to-infinitive: после too/enough</t>
        </is>
      </c>
    </row>
    <row r="944">
      <c r="A944" s="25" t="n">
        <v>9</v>
      </c>
      <c r="B944" s="9" t="inlineStr">
        <is>
          <t>Module 2 · Life &amp; Living</t>
        </is>
      </c>
      <c r="C944" s="9" t="inlineStr">
        <is>
          <t>2c</t>
        </is>
      </c>
      <c r="D944" s="9" t="inlineStr">
        <is>
          <t>Infinitive / -ing form</t>
        </is>
      </c>
      <c r="E944" s="23" t="inlineStr">
        <is>
          <t>to-infinitive: после be the first/next/last</t>
        </is>
      </c>
      <c r="F944" s="25" t="inlineStr">
        <is>
          <t>повторение</t>
        </is>
      </c>
      <c r="G944" s="9" t="inlineStr"/>
      <c r="H944" s="25" t="inlineStr">
        <is>
          <t>10+</t>
        </is>
      </c>
      <c r="I944" s="9">
        <f>IFERROR(INDEX('Темы × классы'!$R:$R,MATCH(E944,'Темы × классы'!$E:$E,0)),"")</f>
        <v/>
      </c>
      <c r="J944" s="9">
        <f>IFERROR(INDEX('Темы × классы'!$S:$S,MATCH(E944,'Темы × классы'!$E:$E,0))&amp;"","")</f>
        <v/>
      </c>
      <c r="K944" s="9" t="inlineStr">
        <is>
          <t>не начат</t>
        </is>
      </c>
      <c r="L944" s="9" t="inlineStr">
        <is>
          <t>Spotlight / 9 класс / Module 2 · Life &amp; Living / Infinitive / -ing form / to-infinitive: после be the first/next/last</t>
        </is>
      </c>
    </row>
    <row r="945">
      <c r="A945" s="25" t="n">
        <v>9</v>
      </c>
      <c r="B945" s="9" t="inlineStr">
        <is>
          <t>Module 2 · Life &amp; Living</t>
        </is>
      </c>
      <c r="C945" s="9" t="inlineStr">
        <is>
          <t>2c</t>
        </is>
      </c>
      <c r="D945" s="9" t="inlineStr">
        <is>
          <t>Infinitive / -ing form</t>
        </is>
      </c>
      <c r="E945" s="23" t="inlineStr">
        <is>
          <t>to-infinitive: устойчивые выражения (to tell you the truth, to be honest, to sum up…)</t>
        </is>
      </c>
      <c r="F945" s="25" t="inlineStr">
        <is>
          <t>повторение</t>
        </is>
      </c>
      <c r="G945" s="9" t="inlineStr"/>
      <c r="H945" s="25" t="inlineStr">
        <is>
          <t>10+</t>
        </is>
      </c>
      <c r="I945" s="9">
        <f>IFERROR(INDEX('Темы × классы'!$R:$R,MATCH(E945,'Темы × классы'!$E:$E,0)),"")</f>
        <v/>
      </c>
      <c r="J945" s="9">
        <f>IFERROR(INDEX('Темы × классы'!$S:$S,MATCH(E945,'Темы × классы'!$E:$E,0))&amp;"","")</f>
        <v/>
      </c>
      <c r="K945" s="9" t="inlineStr">
        <is>
          <t>не начат</t>
        </is>
      </c>
      <c r="L945" s="9" t="inlineStr">
        <is>
          <t>Spotlight / 9 класс / Module 2 · Life &amp; Living / Infinitive / -ing form / to-infinitive: устойчивые выражения (to tell you the truth, to be honest, to sum up…)</t>
        </is>
      </c>
    </row>
    <row r="946">
      <c r="A946" s="25" t="n">
        <v>9</v>
      </c>
      <c r="B946" s="9" t="inlineStr">
        <is>
          <t>Module 2 · Life &amp; Living</t>
        </is>
      </c>
      <c r="C946" s="9" t="inlineStr">
        <is>
          <t>2c</t>
        </is>
      </c>
      <c r="D946" s="9" t="inlineStr">
        <is>
          <t>Infinitive / -ing form</t>
        </is>
      </c>
      <c r="E946" s="23" t="inlineStr">
        <is>
          <t>to-infinitive: вопросительное слово + to-inf (when to go)</t>
        </is>
      </c>
      <c r="F946" s="26" t="inlineStr">
        <is>
          <t>новое</t>
        </is>
      </c>
      <c r="G946" s="9" t="inlineStr">
        <is>
          <t>asked me when to get</t>
        </is>
      </c>
      <c r="H946" s="25" t="inlineStr">
        <is>
          <t>10+</t>
        </is>
      </c>
      <c r="I946" s="9">
        <f>IFERROR(INDEX('Темы × классы'!$R:$R,MATCH(E946,'Темы × классы'!$E:$E,0)),"")</f>
        <v/>
      </c>
      <c r="J946" s="9">
        <f>IFERROR(INDEX('Темы × классы'!$S:$S,MATCH(E946,'Темы × классы'!$E:$E,0))&amp;"","")</f>
        <v/>
      </c>
      <c r="K946" s="9" t="inlineStr">
        <is>
          <t>не начат</t>
        </is>
      </c>
      <c r="L946" s="9" t="inlineStr">
        <is>
          <t>Spotlight / 9 класс / Module 2 · Life &amp; Living / Infinitive / -ing form / to-infinitive: вопросительное слово + to-inf (when to go)</t>
        </is>
      </c>
    </row>
    <row r="947">
      <c r="A947" s="25" t="n">
        <v>9</v>
      </c>
      <c r="B947" s="9" t="inlineStr">
        <is>
          <t>Module 2 · Life &amp; Living</t>
        </is>
      </c>
      <c r="C947" s="9" t="inlineStr">
        <is>
          <t>2c</t>
        </is>
      </c>
      <c r="D947" s="9" t="inlineStr">
        <is>
          <t>Infinitive / -ing form</t>
        </is>
      </c>
      <c r="E947" s="23" t="inlineStr">
        <is>
          <t>to-infinitive: после существительных; so + adj + as to; only + to-inf; for + sb + to-inf</t>
        </is>
      </c>
      <c r="F947" s="26" t="inlineStr">
        <is>
          <t>новое</t>
        </is>
      </c>
      <c r="G947" s="9" t="inlineStr">
        <is>
          <t>honour, goal, way; so + adj + as to; only + to-inf (неудача); for + sb + to-inf</t>
        </is>
      </c>
      <c r="H947" s="25" t="inlineStr">
        <is>
          <t>10+</t>
        </is>
      </c>
      <c r="I947" s="9">
        <f>IFERROR(INDEX('Темы × классы'!$R:$R,MATCH(E947,'Темы × классы'!$E:$E,0)),"")</f>
        <v/>
      </c>
      <c r="J947" s="9">
        <f>IFERROR(INDEX('Темы × классы'!$S:$S,MATCH(E947,'Темы × классы'!$E:$E,0))&amp;"","")</f>
        <v/>
      </c>
      <c r="K947" s="9" t="inlineStr">
        <is>
          <t>не начат</t>
        </is>
      </c>
      <c r="L947" s="9" t="inlineStr">
        <is>
          <t>Spotlight / 9 класс / Module 2 · Life &amp; Living / Infinitive / -ing form / to-infinitive: после существительных; so + adj + as to; only + to-inf; for + sb + to-inf</t>
        </is>
      </c>
    </row>
    <row r="948">
      <c r="A948" s="25" t="n">
        <v>9</v>
      </c>
      <c r="B948" s="9" t="inlineStr">
        <is>
          <t>Module 2 · Life &amp; Living</t>
        </is>
      </c>
      <c r="C948" s="9" t="inlineStr">
        <is>
          <t>2c</t>
        </is>
      </c>
      <c r="D948" s="9" t="inlineStr">
        <is>
          <t>Infinitive / -ing form</t>
        </is>
      </c>
      <c r="E948" s="23" t="inlineStr">
        <is>
          <t>to-infinitive: второй инфинитив после and/or без to</t>
        </is>
      </c>
      <c r="F948" s="25" t="inlineStr">
        <is>
          <t>повторение</t>
        </is>
      </c>
      <c r="G948" s="9" t="inlineStr"/>
      <c r="H948" s="25" t="inlineStr">
        <is>
          <t>10+</t>
        </is>
      </c>
      <c r="I948" s="9">
        <f>IFERROR(INDEX('Темы × классы'!$R:$R,MATCH(E948,'Темы × классы'!$E:$E,0)),"")</f>
        <v/>
      </c>
      <c r="J948" s="9">
        <f>IFERROR(INDEX('Темы × классы'!$S:$S,MATCH(E948,'Темы × классы'!$E:$E,0))&amp;"","")</f>
        <v/>
      </c>
      <c r="K948" s="9" t="inlineStr">
        <is>
          <t>не начат</t>
        </is>
      </c>
      <c r="L948" s="9" t="inlineStr">
        <is>
          <t>Spotlight / 9 класс / Module 2 · Life &amp; Living / Infinitive / -ing form / to-infinitive: второй инфинитив после and/or без to</t>
        </is>
      </c>
    </row>
    <row r="949">
      <c r="A949" s="25" t="n">
        <v>9</v>
      </c>
      <c r="B949" s="9" t="inlineStr">
        <is>
          <t>Module 2 · Life &amp; Living</t>
        </is>
      </c>
      <c r="C949" s="9" t="inlineStr">
        <is>
          <t>2c</t>
        </is>
      </c>
      <c r="D949" s="9" t="inlineStr">
        <is>
          <t>Infinitive / -ing form</t>
        </is>
      </c>
      <c r="E949" s="23" t="inlineStr">
        <is>
          <t>to-infinitive: dare — с to и без</t>
        </is>
      </c>
      <c r="F949" s="26" t="inlineStr">
        <is>
          <t>новое</t>
        </is>
      </c>
      <c r="G949" s="9" t="inlineStr">
        <is>
          <t>осмелиться — с to или без; угроза — без to; вызов — с to</t>
        </is>
      </c>
      <c r="H949" s="25" t="inlineStr">
        <is>
          <t>10+</t>
        </is>
      </c>
      <c r="I949" s="9">
        <f>IFERROR(INDEX('Темы × классы'!$R:$R,MATCH(E949,'Темы × классы'!$E:$E,0)),"")</f>
        <v/>
      </c>
      <c r="J949" s="9">
        <f>IFERROR(INDEX('Темы × классы'!$S:$S,MATCH(E949,'Темы × классы'!$E:$E,0))&amp;"","")</f>
        <v/>
      </c>
      <c r="K949" s="9" t="inlineStr">
        <is>
          <t>не начат</t>
        </is>
      </c>
      <c r="L949" s="9" t="inlineStr">
        <is>
          <t>Spotlight / 9 класс / Module 2 · Life &amp; Living / Infinitive / -ing form / to-infinitive: dare — с to и без</t>
        </is>
      </c>
    </row>
    <row r="950">
      <c r="A950" s="25" t="n">
        <v>9</v>
      </c>
      <c r="B950" s="9" t="inlineStr">
        <is>
          <t>Module 2 · Life &amp; Living</t>
        </is>
      </c>
      <c r="C950" s="9" t="inlineStr">
        <is>
          <t>2c</t>
        </is>
      </c>
      <c r="D950" s="9" t="inlineStr">
        <is>
          <t>Infinitive / -ing form</t>
        </is>
      </c>
      <c r="E950" s="23" t="inlineStr">
        <is>
          <t>Bare infinitive: после модальных, had better, would rather</t>
        </is>
      </c>
      <c r="F950" s="25" t="inlineStr">
        <is>
          <t>повторение</t>
        </is>
      </c>
      <c r="G950" s="9" t="inlineStr"/>
      <c r="H950" s="25" t="inlineStr">
        <is>
          <t>10+</t>
        </is>
      </c>
      <c r="I950" s="9">
        <f>IFERROR(INDEX('Темы × классы'!$R:$R,MATCH(E950,'Темы × классы'!$E:$E,0)),"")</f>
        <v/>
      </c>
      <c r="J950" s="9">
        <f>IFERROR(INDEX('Темы × классы'!$S:$S,MATCH(E950,'Темы × классы'!$E:$E,0))&amp;"","")</f>
        <v/>
      </c>
      <c r="K950" s="9" t="inlineStr">
        <is>
          <t>не начат</t>
        </is>
      </c>
      <c r="L950" s="9" t="inlineStr">
        <is>
          <t>Spotlight / 9 класс / Module 2 · Life &amp; Living / Infinitive / -ing form / Bare infinitive: после модальных, had better, would rather</t>
        </is>
      </c>
    </row>
    <row r="951">
      <c r="A951" s="25" t="n">
        <v>9</v>
      </c>
      <c r="B951" s="9" t="inlineStr">
        <is>
          <t>Module 2 · Life &amp; Living</t>
        </is>
      </c>
      <c r="C951" s="9" t="inlineStr">
        <is>
          <t>2c</t>
        </is>
      </c>
      <c r="D951" s="9" t="inlineStr">
        <is>
          <t>Infinitive / -ing form</t>
        </is>
      </c>
      <c r="E951" s="23" t="inlineStr">
        <is>
          <t>Bare infinitive: let/make/see/hear/feel + object + V; в пассиве + to (was made to)</t>
        </is>
      </c>
      <c r="F951" s="27" t="inlineStr">
        <is>
          <t>расширение</t>
        </is>
      </c>
      <c r="G951" s="9" t="inlineStr">
        <is>
          <t>+ watch, notice (Complex Object)</t>
        </is>
      </c>
      <c r="H951" s="25" t="inlineStr">
        <is>
          <t>10+</t>
        </is>
      </c>
      <c r="I951" s="9">
        <f>IFERROR(INDEX('Темы × классы'!$R:$R,MATCH(E951,'Темы × классы'!$E:$E,0)),"")</f>
        <v/>
      </c>
      <c r="J951" s="9">
        <f>IFERROR(INDEX('Темы × классы'!$S:$S,MATCH(E951,'Темы × классы'!$E:$E,0))&amp;"","")</f>
        <v/>
      </c>
      <c r="K951" s="9" t="inlineStr">
        <is>
          <t>не начат</t>
        </is>
      </c>
      <c r="L951" s="9" t="inlineStr">
        <is>
          <t>Spotlight / 9 класс / Module 2 · Life &amp; Living / Infinitive / -ing form / Bare infinitive: let/make/see/hear/feel + object + V; в пассиве + to (was made to)</t>
        </is>
      </c>
    </row>
    <row r="952">
      <c r="A952" s="25" t="n">
        <v>9</v>
      </c>
      <c r="B952" s="9" t="inlineStr">
        <is>
          <t>Module 2 · Life &amp; Living</t>
        </is>
      </c>
      <c r="C952" s="9" t="inlineStr">
        <is>
          <t>2c</t>
        </is>
      </c>
      <c r="D952" s="9" t="inlineStr">
        <is>
          <t>Infinitive / -ing form</t>
        </is>
      </c>
      <c r="E952" s="23" t="inlineStr">
        <is>
          <t>Bare infinitive: help + (to) V</t>
        </is>
      </c>
      <c r="F952" s="25" t="inlineStr">
        <is>
          <t>повторение</t>
        </is>
      </c>
      <c r="G952" s="9" t="inlineStr"/>
      <c r="H952" s="25" t="inlineStr">
        <is>
          <t>10+</t>
        </is>
      </c>
      <c r="I952" s="9">
        <f>IFERROR(INDEX('Темы × классы'!$R:$R,MATCH(E952,'Темы × классы'!$E:$E,0)),"")</f>
        <v/>
      </c>
      <c r="J952" s="9">
        <f>IFERROR(INDEX('Темы × классы'!$S:$S,MATCH(E952,'Темы × классы'!$E:$E,0))&amp;"","")</f>
        <v/>
      </c>
      <c r="K952" s="9" t="inlineStr">
        <is>
          <t>не начат</t>
        </is>
      </c>
      <c r="L952" s="9" t="inlineStr">
        <is>
          <t>Spotlight / 9 класс / Module 2 · Life &amp; Living / Infinitive / -ing form / Bare infinitive: help + (to) V</t>
        </is>
      </c>
    </row>
    <row r="953">
      <c r="A953" s="25" t="n">
        <v>9</v>
      </c>
      <c r="B953" s="9" t="inlineStr">
        <is>
          <t>Module 2 · Life &amp; Living</t>
        </is>
      </c>
      <c r="C953" s="9" t="inlineStr">
        <is>
          <t>2c</t>
        </is>
      </c>
      <c r="D953" s="9" t="inlineStr">
        <is>
          <t>Infinitive / -ing form (difference in meaning)</t>
        </is>
      </c>
      <c r="E953" s="23" t="inlineStr">
        <is>
          <t>Infinitive vs -ing: forget/remember</t>
        </is>
      </c>
      <c r="F953" s="27" t="inlineStr">
        <is>
          <t>расширение</t>
        </is>
      </c>
      <c r="G953" s="9" t="inlineStr">
        <is>
          <t>значения расписаны: не забыть сделать vs помнить о прошлом</t>
        </is>
      </c>
      <c r="H953" s="25" t="inlineStr">
        <is>
          <t>10+</t>
        </is>
      </c>
      <c r="I953" s="9">
        <f>IFERROR(INDEX('Темы × классы'!$R:$R,MATCH(E953,'Темы × классы'!$E:$E,0)),"")</f>
        <v/>
      </c>
      <c r="J953" s="9">
        <f>IFERROR(INDEX('Темы × классы'!$S:$S,MATCH(E953,'Темы × классы'!$E:$E,0))&amp;"","")</f>
        <v/>
      </c>
      <c r="K953" s="9" t="inlineStr">
        <is>
          <t>не начат</t>
        </is>
      </c>
      <c r="L953" s="9" t="inlineStr">
        <is>
          <t>Spotlight / 9 класс / Module 2 · Life &amp; Living / Infinitive / -ing form (difference in meaning) / Infinitive vs -ing: forget/remember</t>
        </is>
      </c>
    </row>
    <row r="954">
      <c r="A954" s="25" t="n">
        <v>9</v>
      </c>
      <c r="B954" s="9" t="inlineStr">
        <is>
          <t>Module 2 · Life &amp; Living</t>
        </is>
      </c>
      <c r="C954" s="9" t="inlineStr">
        <is>
          <t>2c</t>
        </is>
      </c>
      <c r="D954" s="9" t="inlineStr">
        <is>
          <t>Infinitive / -ing form (difference in meaning)</t>
        </is>
      </c>
      <c r="E954" s="23" t="inlineStr">
        <is>
          <t>Infinitive vs -ing: stop</t>
        </is>
      </c>
      <c r="F954" s="27" t="inlineStr">
        <is>
          <t>расширение</t>
        </is>
      </c>
      <c r="G954" s="9" t="inlineStr">
        <is>
          <t>остановиться, чтобы vs прекратить</t>
        </is>
      </c>
      <c r="H954" s="25" t="inlineStr">
        <is>
          <t>10+</t>
        </is>
      </c>
      <c r="I954" s="9">
        <f>IFERROR(INDEX('Темы × классы'!$R:$R,MATCH(E954,'Темы × классы'!$E:$E,0)),"")</f>
        <v/>
      </c>
      <c r="J954" s="9">
        <f>IFERROR(INDEX('Темы × классы'!$S:$S,MATCH(E954,'Темы × классы'!$E:$E,0))&amp;"","")</f>
        <v/>
      </c>
      <c r="K954" s="9" t="inlineStr">
        <is>
          <t>не начат</t>
        </is>
      </c>
      <c r="L954" s="9" t="inlineStr">
        <is>
          <t>Spotlight / 9 класс / Module 2 · Life &amp; Living / Infinitive / -ing form (difference in meaning) / Infinitive vs -ing: stop</t>
        </is>
      </c>
    </row>
    <row r="955">
      <c r="A955" s="25" t="n">
        <v>9</v>
      </c>
      <c r="B955" s="9" t="inlineStr">
        <is>
          <t>Module 2 · Life &amp; Living</t>
        </is>
      </c>
      <c r="C955" s="9" t="inlineStr">
        <is>
          <t>2c</t>
        </is>
      </c>
      <c r="D955" s="9" t="inlineStr">
        <is>
          <t>Infinitive / -ing form (difference in meaning)</t>
        </is>
      </c>
      <c r="E955" s="23" t="inlineStr">
        <is>
          <t>Infinitive vs -ing: try</t>
        </is>
      </c>
      <c r="F955" s="27" t="inlineStr">
        <is>
          <t>расширение</t>
        </is>
      </c>
      <c r="G955" s="9" t="inlineStr">
        <is>
          <t>стараться vs попробовать</t>
        </is>
      </c>
      <c r="H955" s="25" t="inlineStr">
        <is>
          <t>10+</t>
        </is>
      </c>
      <c r="I955" s="9">
        <f>IFERROR(INDEX('Темы × классы'!$R:$R,MATCH(E955,'Темы × классы'!$E:$E,0)),"")</f>
        <v/>
      </c>
      <c r="J955" s="9">
        <f>IFERROR(INDEX('Темы × классы'!$S:$S,MATCH(E955,'Темы × классы'!$E:$E,0))&amp;"","")</f>
        <v/>
      </c>
      <c r="K955" s="9" t="inlineStr">
        <is>
          <t>не начат</t>
        </is>
      </c>
      <c r="L955" s="9" t="inlineStr">
        <is>
          <t>Spotlight / 9 класс / Module 2 · Life &amp; Living / Infinitive / -ing form (difference in meaning) / Infinitive vs -ing: try</t>
        </is>
      </c>
    </row>
    <row r="956">
      <c r="A956" s="25" t="n">
        <v>9</v>
      </c>
      <c r="B956" s="9" t="inlineStr">
        <is>
          <t>Module 2 · Life &amp; Living</t>
        </is>
      </c>
      <c r="C956" s="9" t="inlineStr">
        <is>
          <t>2c</t>
        </is>
      </c>
      <c r="D956" s="9" t="inlineStr">
        <is>
          <t>Infinitive / -ing form (difference in meaning)</t>
        </is>
      </c>
      <c r="E956" s="23" t="inlineStr">
        <is>
          <t>Infinitive vs -ing: regret</t>
        </is>
      </c>
      <c r="F956" s="27" t="inlineStr">
        <is>
          <t>расширение</t>
        </is>
      </c>
      <c r="G956" s="9" t="inlineStr">
        <is>
          <t>сожалеть сообщить (say, tell, inform, announce) vs о сделанном</t>
        </is>
      </c>
      <c r="H956" s="25" t="inlineStr">
        <is>
          <t>10+</t>
        </is>
      </c>
      <c r="I956" s="9">
        <f>IFERROR(INDEX('Темы × классы'!$R:$R,MATCH(E956,'Темы × классы'!$E:$E,0)),"")</f>
        <v/>
      </c>
      <c r="J956" s="9">
        <f>IFERROR(INDEX('Темы × классы'!$S:$S,MATCH(E956,'Темы × классы'!$E:$E,0))&amp;"","")</f>
        <v/>
      </c>
      <c r="K956" s="9" t="inlineStr">
        <is>
          <t>не начат</t>
        </is>
      </c>
      <c r="L956" s="9" t="inlineStr">
        <is>
          <t>Spotlight / 9 класс / Module 2 · Life &amp; Living / Infinitive / -ing form (difference in meaning) / Infinitive vs -ing: regret</t>
        </is>
      </c>
    </row>
    <row r="957">
      <c r="A957" s="25" t="n">
        <v>9</v>
      </c>
      <c r="B957" s="9" t="inlineStr">
        <is>
          <t>Module 2 · Life &amp; Living</t>
        </is>
      </c>
      <c r="C957" s="9" t="inlineStr">
        <is>
          <t>2c</t>
        </is>
      </c>
      <c r="D957" s="9" t="inlineStr">
        <is>
          <t>Infinitive / -ing form (difference in meaning)</t>
        </is>
      </c>
      <c r="E957" s="23" t="inlineStr">
        <is>
          <t>Infinitive vs -ing: mean</t>
        </is>
      </c>
      <c r="F957" s="27" t="inlineStr">
        <is>
          <t>расширение</t>
        </is>
      </c>
      <c r="G957" s="9" t="inlineStr">
        <is>
          <t>намереваться vs означать</t>
        </is>
      </c>
      <c r="H957" s="25" t="inlineStr">
        <is>
          <t>10+</t>
        </is>
      </c>
      <c r="I957" s="9">
        <f>IFERROR(INDEX('Темы × классы'!$R:$R,MATCH(E957,'Темы × классы'!$E:$E,0)),"")</f>
        <v/>
      </c>
      <c r="J957" s="9">
        <f>IFERROR(INDEX('Темы × классы'!$S:$S,MATCH(E957,'Темы × классы'!$E:$E,0))&amp;"","")</f>
        <v/>
      </c>
      <c r="K957" s="9" t="inlineStr">
        <is>
          <t>не начат</t>
        </is>
      </c>
      <c r="L957" s="9" t="inlineStr">
        <is>
          <t>Spotlight / 9 класс / Module 2 · Life &amp; Living / Infinitive / -ing form (difference in meaning) / Infinitive vs -ing: mean</t>
        </is>
      </c>
    </row>
    <row r="958">
      <c r="A958" s="25" t="n">
        <v>9</v>
      </c>
      <c r="B958" s="9" t="inlineStr">
        <is>
          <t>Module 2 · Life &amp; Living</t>
        </is>
      </c>
      <c r="C958" s="9" t="inlineStr">
        <is>
          <t>2c</t>
        </is>
      </c>
      <c r="D958" s="9" t="inlineStr">
        <is>
          <t>Infinitive / -ing form (difference in meaning)</t>
        </is>
      </c>
      <c r="E958" s="23" t="inlineStr">
        <is>
          <t>Infinitive vs -ing: go on</t>
        </is>
      </c>
      <c r="F958" s="27" t="inlineStr">
        <is>
          <t>расширение</t>
        </is>
      </c>
      <c r="G958" s="9" t="inlineStr">
        <is>
          <t>перейти к другому vs продолжать</t>
        </is>
      </c>
      <c r="H958" s="25" t="inlineStr">
        <is>
          <t>10+</t>
        </is>
      </c>
      <c r="I958" s="9">
        <f>IFERROR(INDEX('Темы × классы'!$R:$R,MATCH(E958,'Темы × классы'!$E:$E,0)),"")</f>
        <v/>
      </c>
      <c r="J958" s="9">
        <f>IFERROR(INDEX('Темы × классы'!$S:$S,MATCH(E958,'Темы × классы'!$E:$E,0))&amp;"","")</f>
        <v/>
      </c>
      <c r="K958" s="9" t="inlineStr">
        <is>
          <t>не начат</t>
        </is>
      </c>
      <c r="L958" s="9" t="inlineStr">
        <is>
          <t>Spotlight / 9 класс / Module 2 · Life &amp; Living / Infinitive / -ing form (difference in meaning) / Infinitive vs -ing: go on</t>
        </is>
      </c>
    </row>
    <row r="959">
      <c r="A959" s="25" t="n">
        <v>9</v>
      </c>
      <c r="B959" s="9" t="inlineStr">
        <is>
          <t>Module 2 · Life &amp; Living</t>
        </is>
      </c>
      <c r="C959" s="9" t="inlineStr">
        <is>
          <t>2c</t>
        </is>
      </c>
      <c r="D959" s="9" t="inlineStr">
        <is>
          <t>Infinitive / -ing form (difference in meaning)</t>
        </is>
      </c>
      <c r="E959" s="23" t="inlineStr">
        <is>
          <t>Infinitive vs -ing: hate</t>
        </is>
      </c>
      <c r="F959" s="25" t="inlineStr">
        <is>
          <t>повторение</t>
        </is>
      </c>
      <c r="G959" s="9" t="inlineStr"/>
      <c r="H959" s="25" t="inlineStr">
        <is>
          <t>10+</t>
        </is>
      </c>
      <c r="I959" s="9">
        <f>IFERROR(INDEX('Темы × классы'!$R:$R,MATCH(E959,'Темы × классы'!$E:$E,0)),"")</f>
        <v/>
      </c>
      <c r="J959" s="9">
        <f>IFERROR(INDEX('Темы × классы'!$S:$S,MATCH(E959,'Темы × классы'!$E:$E,0))&amp;"","")</f>
        <v/>
      </c>
      <c r="K959" s="9" t="inlineStr">
        <is>
          <t>не начат</t>
        </is>
      </c>
      <c r="L959" s="9" t="inlineStr">
        <is>
          <t>Spotlight / 9 класс / Module 2 · Life &amp; Living / Infinitive / -ing form (difference in meaning) / Infinitive vs -ing: hate</t>
        </is>
      </c>
    </row>
    <row r="960">
      <c r="A960" s="25" t="n">
        <v>9</v>
      </c>
      <c r="B960" s="9" t="inlineStr">
        <is>
          <t>Module 2 · Life &amp; Living</t>
        </is>
      </c>
      <c r="C960" s="9" t="inlineStr">
        <is>
          <t>2c</t>
        </is>
      </c>
      <c r="D960" s="9" t="inlineStr">
        <is>
          <t>Infinitive / -ing form (difference in meaning)</t>
        </is>
      </c>
      <c r="E960" s="23" t="inlineStr">
        <is>
          <t>Infinitive vs -ing: want (My car wants cleaning)</t>
        </is>
      </c>
      <c r="F960" s="26" t="inlineStr">
        <is>
          <t>новое</t>
        </is>
      </c>
      <c r="G960" s="9" t="inlineStr"/>
      <c r="H960" s="25" t="inlineStr">
        <is>
          <t>10+</t>
        </is>
      </c>
      <c r="I960" s="9">
        <f>IFERROR(INDEX('Темы × классы'!$R:$R,MATCH(E960,'Темы × классы'!$E:$E,0)),"")</f>
        <v/>
      </c>
      <c r="J960" s="9">
        <f>IFERROR(INDEX('Темы × классы'!$S:$S,MATCH(E960,'Темы × классы'!$E:$E,0))&amp;"","")</f>
        <v/>
      </c>
      <c r="K960" s="9" t="inlineStr">
        <is>
          <t>не начат</t>
        </is>
      </c>
      <c r="L960" s="9" t="inlineStr">
        <is>
          <t>Spotlight / 9 класс / Module 2 · Life &amp; Living / Infinitive / -ing form (difference in meaning) / Infinitive vs -ing: want (My car wants cleaning)</t>
        </is>
      </c>
    </row>
    <row r="961">
      <c r="A961" s="25" t="n">
        <v>9</v>
      </c>
      <c r="B961" s="9" t="inlineStr">
        <is>
          <t>Module 2 · Life &amp; Living</t>
        </is>
      </c>
      <c r="C961" s="9" t="inlineStr">
        <is>
          <t>2c</t>
        </is>
      </c>
      <c r="D961" s="9" t="inlineStr">
        <is>
          <t>Infinitive / -ing form (difference in meaning)</t>
        </is>
      </c>
      <c r="E961" s="23" t="inlineStr">
        <is>
          <t>Infinitive vs -ing: be sorry to / for -ing; be afraid to / of -ing</t>
        </is>
      </c>
      <c r="F961" s="26" t="inlineStr">
        <is>
          <t>новое</t>
        </is>
      </c>
      <c r="G961" s="9" t="inlineStr"/>
      <c r="H961" s="25" t="inlineStr">
        <is>
          <t>10+</t>
        </is>
      </c>
      <c r="I961" s="9">
        <f>IFERROR(INDEX('Темы × классы'!$R:$R,MATCH(E961,'Темы × классы'!$E:$E,0)),"")</f>
        <v/>
      </c>
      <c r="J961" s="9">
        <f>IFERROR(INDEX('Темы × классы'!$S:$S,MATCH(E961,'Темы × классы'!$E:$E,0))&amp;"","")</f>
        <v/>
      </c>
      <c r="K961" s="9" t="inlineStr">
        <is>
          <t>не начат</t>
        </is>
      </c>
      <c r="L961" s="9" t="inlineStr">
        <is>
          <t>Spotlight / 9 класс / Module 2 · Life &amp; Living / Infinitive / -ing form (difference in meaning) / Infinitive vs -ing: be sorry to / for -ing; be afraid to / of -ing</t>
        </is>
      </c>
    </row>
    <row r="962">
      <c r="A962" s="25" t="n">
        <v>9</v>
      </c>
      <c r="B962" s="9" t="inlineStr">
        <is>
          <t>Module 2 · Life &amp; Living</t>
        </is>
      </c>
      <c r="C962" s="9" t="inlineStr">
        <is>
          <t>2c</t>
        </is>
      </c>
      <c r="D962" s="9" t="inlineStr">
        <is>
          <t>Infinitive / -ing form (difference in meaning)</t>
        </is>
      </c>
      <c r="E962" s="23" t="inlineStr">
        <is>
          <t>Infinitive / -ing без смены значения: begin, start, continue, intend</t>
        </is>
      </c>
      <c r="F962" s="26" t="inlineStr">
        <is>
          <t>новое</t>
        </is>
      </c>
      <c r="G962" s="9" t="inlineStr">
        <is>
          <t>две -ing подряд нельзя</t>
        </is>
      </c>
      <c r="H962" s="25" t="inlineStr">
        <is>
          <t>10+</t>
        </is>
      </c>
      <c r="I962" s="9">
        <f>IFERROR(INDEX('Темы × классы'!$R:$R,MATCH(E962,'Темы × классы'!$E:$E,0)),"")</f>
        <v/>
      </c>
      <c r="J962" s="9">
        <f>IFERROR(INDEX('Темы × классы'!$S:$S,MATCH(E962,'Темы × классы'!$E:$E,0))&amp;"","")</f>
        <v/>
      </c>
      <c r="K962" s="9" t="inlineStr">
        <is>
          <t>не начат</t>
        </is>
      </c>
      <c r="L962" s="9" t="inlineStr">
        <is>
          <t>Spotlight / 9 класс / Module 2 · Life &amp; Living / Infinitive / -ing form (difference in meaning) / Infinitive / -ing без смены значения: begin, start, continue, intend</t>
        </is>
      </c>
    </row>
    <row r="963">
      <c r="A963" s="25" t="n">
        <v>9</v>
      </c>
      <c r="B963" s="9" t="inlineStr">
        <is>
          <t>Module 2 · Life &amp; Living</t>
        </is>
      </c>
      <c r="C963" s="9" t="inlineStr">
        <is>
          <t>2c</t>
        </is>
      </c>
      <c r="D963" s="9" t="inlineStr">
        <is>
          <t>Infinitive / -ing form (difference in meaning)</t>
        </is>
      </c>
      <c r="E963" s="23" t="inlineStr">
        <is>
          <t>Infinitive / -ing: advise, allow, encourage, permit, require + object + to-inf / + -ing; в пассиве только to-inf</t>
        </is>
      </c>
      <c r="F963" s="26" t="inlineStr">
        <is>
          <t>новое</t>
        </is>
      </c>
      <c r="G963" s="9" t="inlineStr">
        <is>
          <t>be advised/allowed… + только to-inf</t>
        </is>
      </c>
      <c r="H963" s="25" t="inlineStr">
        <is>
          <t>10+</t>
        </is>
      </c>
      <c r="I963" s="9">
        <f>IFERROR(INDEX('Темы × классы'!$R:$R,MATCH(E963,'Темы × классы'!$E:$E,0)),"")</f>
        <v/>
      </c>
      <c r="J963" s="9">
        <f>IFERROR(INDEX('Темы × классы'!$S:$S,MATCH(E963,'Темы × классы'!$E:$E,0))&amp;"","")</f>
        <v/>
      </c>
      <c r="K963" s="9" t="inlineStr">
        <is>
          <t>не начат</t>
        </is>
      </c>
      <c r="L963" s="9" t="inlineStr">
        <is>
          <t>Spotlight / 9 класс / Module 2 · Life &amp; Living / Infinitive / -ing form (difference in meaning) / Infinitive / -ing: advise, allow, encourage, permit, require + object + to-inf / + -ing; в пассиве только to-inf</t>
        </is>
      </c>
    </row>
    <row r="964">
      <c r="A964" s="25" t="n">
        <v>9</v>
      </c>
      <c r="B964" s="9" t="inlineStr">
        <is>
          <t>Module 2 · Life &amp; Living</t>
        </is>
      </c>
      <c r="C964" s="9" t="inlineStr">
        <is>
          <t>2c</t>
        </is>
      </c>
      <c r="D964" s="9" t="inlineStr">
        <is>
          <t>Infinitive / -ing form (difference in meaning)</t>
        </is>
      </c>
      <c r="E964" s="23" t="inlineStr">
        <is>
          <t>Infinitive / -ing: need/require/want + -ing / to be done (пассивное значение)</t>
        </is>
      </c>
      <c r="F964" s="26" t="inlineStr">
        <is>
          <t>новое</t>
        </is>
      </c>
      <c r="G964" s="9" t="inlineStr">
        <is>
          <t>The lawn needs mowing / to be mowed</t>
        </is>
      </c>
      <c r="H964" s="25" t="inlineStr">
        <is>
          <t>10+</t>
        </is>
      </c>
      <c r="I964" s="9">
        <f>IFERROR(INDEX('Темы × классы'!$R:$R,MATCH(E964,'Темы × классы'!$E:$E,0)),"")</f>
        <v/>
      </c>
      <c r="J964" s="9">
        <f>IFERROR(INDEX('Темы × классы'!$S:$S,MATCH(E964,'Темы × классы'!$E:$E,0))&amp;"","")</f>
        <v/>
      </c>
      <c r="K964" s="9" t="inlineStr">
        <is>
          <t>не начат</t>
        </is>
      </c>
      <c r="L964" s="9" t="inlineStr">
        <is>
          <t>Spotlight / 9 класс / Module 2 · Life &amp; Living / Infinitive / -ing form (difference in meaning) / Infinitive / -ing: need/require/want + -ing / to be done (пассивное значение)</t>
        </is>
      </c>
    </row>
    <row r="965">
      <c r="A965" s="25" t="n">
        <v>9</v>
      </c>
      <c r="B965" s="9" t="inlineStr">
        <is>
          <t>Module 2 · Life &amp; Living</t>
        </is>
      </c>
      <c r="C965" s="9" t="inlineStr">
        <is>
          <t>2c</t>
        </is>
      </c>
      <c r="D965" s="9" t="inlineStr">
        <is>
          <t>too / enough</t>
        </is>
      </c>
      <c r="E965" s="23" t="inlineStr">
        <is>
          <t>too / enough: too + прил./нареч. — чрезмерность</t>
        </is>
      </c>
      <c r="F965" s="25" t="inlineStr">
        <is>
          <t>повторение</t>
        </is>
      </c>
      <c r="G965" s="9" t="inlineStr"/>
      <c r="H965" s="25" t="inlineStr">
        <is>
          <t>10+</t>
        </is>
      </c>
      <c r="I965" s="9">
        <f>IFERROR(INDEX('Темы × классы'!$R:$R,MATCH(E965,'Темы × классы'!$E:$E,0)),"")</f>
        <v/>
      </c>
      <c r="J965" s="9">
        <f>IFERROR(INDEX('Темы × классы'!$S:$S,MATCH(E965,'Темы × классы'!$E:$E,0))&amp;"","")</f>
        <v/>
      </c>
      <c r="K965" s="9" t="inlineStr">
        <is>
          <t>не начат</t>
        </is>
      </c>
      <c r="L965" s="9" t="inlineStr">
        <is>
          <t>Spotlight / 9 класс / Module 2 · Life &amp; Living / too / enough / too / enough: too + прил./нареч. — чрезмерность</t>
        </is>
      </c>
    </row>
    <row r="966">
      <c r="A966" s="25" t="n">
        <v>9</v>
      </c>
      <c r="B966" s="9" t="inlineStr">
        <is>
          <t>Module 2 · Life &amp; Living</t>
        </is>
      </c>
      <c r="C966" s="9" t="inlineStr">
        <is>
          <t>2c</t>
        </is>
      </c>
      <c r="D966" s="9" t="inlineStr">
        <is>
          <t>too / enough</t>
        </is>
      </c>
      <c r="E966" s="23" t="inlineStr">
        <is>
          <t>too / enough: прил./нареч. + enough — достаточность</t>
        </is>
      </c>
      <c r="F966" s="25" t="inlineStr">
        <is>
          <t>повторение</t>
        </is>
      </c>
      <c r="G966" s="9" t="inlineStr"/>
      <c r="H966" s="25" t="inlineStr">
        <is>
          <t>10+</t>
        </is>
      </c>
      <c r="I966" s="9">
        <f>IFERROR(INDEX('Темы × классы'!$R:$R,MATCH(E966,'Темы × классы'!$E:$E,0)),"")</f>
        <v/>
      </c>
      <c r="J966" s="9">
        <f>IFERROR(INDEX('Темы × классы'!$S:$S,MATCH(E966,'Темы × классы'!$E:$E,0))&amp;"","")</f>
        <v/>
      </c>
      <c r="K966" s="9" t="inlineStr">
        <is>
          <t>не начат</t>
        </is>
      </c>
      <c r="L966" s="9" t="inlineStr">
        <is>
          <t>Spotlight / 9 класс / Module 2 · Life &amp; Living / too / enough / too / enough: прил./нареч. + enough — достаточность</t>
        </is>
      </c>
    </row>
    <row r="967">
      <c r="A967" s="25" t="n">
        <v>9</v>
      </c>
      <c r="B967" s="9" t="inlineStr">
        <is>
          <t>Module 2 · Life &amp; Living</t>
        </is>
      </c>
      <c r="C967" s="9" t="inlineStr">
        <is>
          <t>2c</t>
        </is>
      </c>
      <c r="D967" s="9" t="inlineStr">
        <is>
          <t>too / enough</t>
        </is>
      </c>
      <c r="E967" s="23" t="inlineStr">
        <is>
          <t>too / enough: enough / not enough + существительное</t>
        </is>
      </c>
      <c r="F967" s="25" t="inlineStr">
        <is>
          <t>повторение</t>
        </is>
      </c>
      <c r="G967" s="9" t="inlineStr"/>
      <c r="H967" s="25" t="inlineStr">
        <is>
          <t>10+</t>
        </is>
      </c>
      <c r="I967" s="9">
        <f>IFERROR(INDEX('Темы × классы'!$R:$R,MATCH(E967,'Темы × классы'!$E:$E,0)),"")</f>
        <v/>
      </c>
      <c r="J967" s="9">
        <f>IFERROR(INDEX('Темы × классы'!$S:$S,MATCH(E967,'Темы × классы'!$E:$E,0))&amp;"","")</f>
        <v/>
      </c>
      <c r="K967" s="9" t="inlineStr">
        <is>
          <t>не начат</t>
        </is>
      </c>
      <c r="L967" s="9" t="inlineStr">
        <is>
          <t>Spotlight / 9 класс / Module 2 · Life &amp; Living / too / enough / too / enough: enough / not enough + существительное</t>
        </is>
      </c>
    </row>
    <row r="968">
      <c r="A968" s="25" t="n">
        <v>9</v>
      </c>
      <c r="B968" s="9" t="inlineStr">
        <is>
          <t>Module 2 · Life &amp; Living</t>
        </is>
      </c>
      <c r="C968" s="9" t="inlineStr">
        <is>
          <t>2c</t>
        </is>
      </c>
      <c r="D968" s="9" t="inlineStr">
        <is>
          <t>too / enough</t>
        </is>
      </c>
      <c r="E968" s="23" t="inlineStr">
        <is>
          <t>too / enough: too … / … enough + to-infinitive</t>
        </is>
      </c>
      <c r="F968" s="27" t="inlineStr">
        <is>
          <t>расширение</t>
        </is>
      </c>
      <c r="G968" s="9" t="inlineStr">
        <is>
          <t>выделено как модель + to-inf; not … enough — недостаточность</t>
        </is>
      </c>
      <c r="H968" s="25" t="inlineStr">
        <is>
          <t>10+</t>
        </is>
      </c>
      <c r="I968" s="9">
        <f>IFERROR(INDEX('Темы × классы'!$R:$R,MATCH(E968,'Темы × классы'!$E:$E,0)),"")</f>
        <v/>
      </c>
      <c r="J968" s="9">
        <f>IFERROR(INDEX('Темы × классы'!$S:$S,MATCH(E968,'Темы × классы'!$E:$E,0))&amp;"","")</f>
        <v/>
      </c>
      <c r="K968" s="9" t="inlineStr">
        <is>
          <t>не начат</t>
        </is>
      </c>
      <c r="L968" s="9" t="inlineStr">
        <is>
          <t>Spotlight / 9 класс / Module 2 · Life &amp; Living / too / enough / too / enough: too … / … enough + to-infinitive</t>
        </is>
      </c>
    </row>
    <row r="969">
      <c r="A969" s="25" t="n">
        <v>9</v>
      </c>
      <c r="B969" s="9" t="inlineStr">
        <is>
          <t>Module 2 · Life &amp; Living</t>
        </is>
      </c>
      <c r="C969" s="9" t="inlineStr">
        <is>
          <t>2d</t>
        </is>
      </c>
      <c r="D969" s="9" t="inlineStr">
        <is>
          <t>Indirect questions</t>
        </is>
      </c>
      <c r="E969" s="23" t="inlineStr">
        <is>
          <t>Indirect questions: Could you tell me…? / Do you know…? — прямой порядок слов</t>
        </is>
      </c>
      <c r="F969" s="25" t="inlineStr">
        <is>
          <t>повторение</t>
        </is>
      </c>
      <c r="G969" s="9" t="inlineStr"/>
      <c r="H969" s="25" t="inlineStr">
        <is>
          <t>10+</t>
        </is>
      </c>
      <c r="I969" s="9">
        <f>IFERROR(INDEX('Темы × классы'!$R:$R,MATCH(E969,'Темы × классы'!$E:$E,0)),"")</f>
        <v/>
      </c>
      <c r="J969" s="9">
        <f>IFERROR(INDEX('Темы × классы'!$S:$S,MATCH(E969,'Темы × классы'!$E:$E,0))&amp;"","")</f>
        <v/>
      </c>
      <c r="K969" s="9" t="inlineStr">
        <is>
          <t>не начат</t>
        </is>
      </c>
      <c r="L969" s="9" t="inlineStr">
        <is>
          <t>Spotlight / 9 класс / Module 2 · Life &amp; Living / Indirect questions / Indirect questions: Could you tell me…? / Do you know…? — прямой порядок слов</t>
        </is>
      </c>
    </row>
    <row r="970">
      <c r="A970" s="25" t="n">
        <v>9</v>
      </c>
      <c r="B970" s="9" t="inlineStr">
        <is>
          <t>Module 2 · Life &amp; Living</t>
        </is>
      </c>
      <c r="C970" s="9" t="inlineStr">
        <is>
          <t>2d</t>
        </is>
      </c>
      <c r="D970" s="9" t="inlineStr">
        <is>
          <t>Indirect questions</t>
        </is>
      </c>
      <c r="E970" s="23" t="inlineStr">
        <is>
          <t>Indirect questions: I wonder / I want to know / I doubt — без вопросительного знака</t>
        </is>
      </c>
      <c r="F970" s="25" t="inlineStr">
        <is>
          <t>повторение</t>
        </is>
      </c>
      <c r="G970" s="9" t="inlineStr"/>
      <c r="H970" s="25" t="inlineStr">
        <is>
          <t>10+</t>
        </is>
      </c>
      <c r="I970" s="9">
        <f>IFERROR(INDEX('Темы × классы'!$R:$R,MATCH(E970,'Темы × классы'!$E:$E,0)),"")</f>
        <v/>
      </c>
      <c r="J970" s="9">
        <f>IFERROR(INDEX('Темы × классы'!$S:$S,MATCH(E970,'Темы × классы'!$E:$E,0))&amp;"","")</f>
        <v/>
      </c>
      <c r="K970" s="9" t="inlineStr">
        <is>
          <t>не начат</t>
        </is>
      </c>
      <c r="L970" s="9" t="inlineStr">
        <is>
          <t>Spotlight / 9 класс / Module 2 · Life &amp; Living / Indirect questions / Indirect questions: I wonder / I want to know / I doubt — без вопросительного знака</t>
        </is>
      </c>
    </row>
    <row r="971">
      <c r="A971" s="25" t="n">
        <v>9</v>
      </c>
      <c r="B971" s="9" t="inlineStr">
        <is>
          <t>Module 2 · Life &amp; Living</t>
        </is>
      </c>
      <c r="C971" s="9" t="inlineStr">
        <is>
          <t>2d</t>
        </is>
      </c>
      <c r="D971" s="9" t="inlineStr">
        <is>
          <t>Indirect questions</t>
        </is>
      </c>
      <c r="E971" s="23" t="inlineStr">
        <is>
          <t>Indirect questions: общий вопрос → if/whether</t>
        </is>
      </c>
      <c r="F971" s="26" t="inlineStr">
        <is>
          <t>новое</t>
        </is>
      </c>
      <c r="G971" s="9" t="inlineStr"/>
      <c r="H971" s="25" t="inlineStr">
        <is>
          <t>10+</t>
        </is>
      </c>
      <c r="I971" s="9">
        <f>IFERROR(INDEX('Темы × классы'!$R:$R,MATCH(E971,'Темы × классы'!$E:$E,0)),"")</f>
        <v/>
      </c>
      <c r="J971" s="9">
        <f>IFERROR(INDEX('Темы × классы'!$S:$S,MATCH(E971,'Темы × классы'!$E:$E,0))&amp;"","")</f>
        <v/>
      </c>
      <c r="K971" s="9" t="inlineStr">
        <is>
          <t>не начат</t>
        </is>
      </c>
      <c r="L971" s="9" t="inlineStr">
        <is>
          <t>Spotlight / 9 класс / Module 2 · Life &amp; Living / Indirect questions / Indirect questions: общий вопрос → if/whether</t>
        </is>
      </c>
    </row>
    <row r="972">
      <c r="A972" s="25" t="n">
        <v>9</v>
      </c>
      <c r="B972" s="9" t="inlineStr">
        <is>
          <t>Module 2 · Life &amp; Living</t>
        </is>
      </c>
      <c r="C972" s="9" t="inlineStr">
        <is>
          <t>2f</t>
        </is>
      </c>
      <c r="D972" s="9" t="inlineStr">
        <is>
          <t>Phrasal verbs</t>
        </is>
      </c>
      <c r="E972" s="23" t="inlineStr">
        <is>
          <t>Phrasal verbs: make</t>
        </is>
      </c>
      <c r="F972" s="26" t="inlineStr">
        <is>
          <t>новое</t>
        </is>
      </c>
      <c r="G972" s="9" t="inlineStr">
        <is>
          <t>make: make of (понимать), make off with (убежать с украденным), make out (чётко видеть), make up (изобретать, придумывать), make up for (компенсировать что-либо).</t>
        </is>
      </c>
      <c r="H972" s="25" t="inlineStr">
        <is>
          <t>10+</t>
        </is>
      </c>
      <c r="I972" s="9">
        <f>IFERROR(INDEX('Темы × классы'!$R:$R,MATCH(E972,'Темы × классы'!$E:$E,0)),"")</f>
        <v/>
      </c>
      <c r="J972" s="9">
        <f>IFERROR(INDEX('Темы × классы'!$S:$S,MATCH(E972,'Темы × классы'!$E:$E,0))&amp;"","")</f>
        <v/>
      </c>
      <c r="K972" s="9" t="inlineStr">
        <is>
          <t>не начат</t>
        </is>
      </c>
      <c r="L972" s="9" t="inlineStr">
        <is>
          <t>Spotlight / 9 класс / Module 2 · Life &amp; Living / Phrasal verbs / Phrasal verbs: make</t>
        </is>
      </c>
    </row>
    <row r="973">
      <c r="A973" s="25" t="n">
        <v>9</v>
      </c>
      <c r="B973" s="9" t="inlineStr">
        <is>
          <t>Module 2 · Life &amp; Living</t>
        </is>
      </c>
      <c r="C973" s="9" t="inlineStr">
        <is>
          <t>2f</t>
        </is>
      </c>
      <c r="D973" s="9" t="inlineStr">
        <is>
          <t>Word formation</t>
        </is>
      </c>
      <c r="E973" s="23" t="inlineStr">
        <is>
          <t>Word formation: nouns from adjectives</t>
        </is>
      </c>
      <c r="F973" s="26" t="inlineStr">
        <is>
          <t>новое</t>
        </is>
      </c>
      <c r="G973" s="9" t="inlineStr">
        <is>
          <t>Word formation: образование существительных от прилагательных (nouns from adjectives).</t>
        </is>
      </c>
      <c r="H973" s="25" t="inlineStr">
        <is>
          <t>10+</t>
        </is>
      </c>
      <c r="I973" s="9">
        <f>IFERROR(INDEX('Темы × классы'!$R:$R,MATCH(E973,'Темы × классы'!$E:$E,0)),"")</f>
        <v/>
      </c>
      <c r="J973" s="9">
        <f>IFERROR(INDEX('Темы × классы'!$S:$S,MATCH(E973,'Темы × классы'!$E:$E,0))&amp;"","")</f>
        <v/>
      </c>
      <c r="K973" s="9" t="inlineStr">
        <is>
          <t>не начат</t>
        </is>
      </c>
      <c r="L973" s="9" t="inlineStr">
        <is>
          <t>Spotlight / 9 класс / Module 2 · Life &amp; Living / Word formation / Word formation: nouns from adjectives</t>
        </is>
      </c>
    </row>
    <row r="974">
      <c r="A974" s="25" t="n">
        <v>9</v>
      </c>
      <c r="B974" s="9" t="inlineStr">
        <is>
          <t>Module 2 · Life &amp; Living</t>
        </is>
      </c>
      <c r="C974" s="9" t="inlineStr">
        <is>
          <t>2f</t>
        </is>
      </c>
      <c r="D974" s="9" t="inlineStr">
        <is>
          <t>Dependent prepositions</t>
        </is>
      </c>
      <c r="E974" s="23" t="inlineStr">
        <is>
          <t>Dependent prepositions</t>
        </is>
      </c>
      <c r="F974" s="25" t="inlineStr">
        <is>
          <t>повторение</t>
        </is>
      </c>
      <c r="G974" s="9" t="inlineStr">
        <is>
          <t>Prepositions (заголовок раздела English in Use).</t>
        </is>
      </c>
      <c r="H974" s="25" t="inlineStr">
        <is>
          <t>10+</t>
        </is>
      </c>
      <c r="I974" s="9">
        <f>IFERROR(INDEX('Темы × классы'!$R:$R,MATCH(E974,'Темы × классы'!$E:$E,0)),"")</f>
        <v/>
      </c>
      <c r="J974" s="9">
        <f>IFERROR(INDEX('Темы × классы'!$S:$S,MATCH(E974,'Темы × классы'!$E:$E,0))&amp;"","")</f>
        <v/>
      </c>
      <c r="K974" s="9" t="inlineStr">
        <is>
          <t>не начат</t>
        </is>
      </c>
      <c r="L974" s="9" t="inlineStr">
        <is>
          <t>Spotlight / 9 класс / Module 2 · Life &amp; Living / Dependent prepositions / Dependent prepositions</t>
        </is>
      </c>
    </row>
    <row r="975">
      <c r="A975" s="25" t="n">
        <v>9</v>
      </c>
      <c r="B975" s="9" t="inlineStr">
        <is>
          <t>Appendix 2</t>
        </is>
      </c>
      <c r="C975" s="9" t="inlineStr"/>
      <c r="D975" s="9" t="inlineStr">
        <is>
          <t>Dependent prepositions</t>
        </is>
      </c>
      <c r="E975" s="23" t="inlineStr">
        <is>
          <t>Dependent prepositions</t>
        </is>
      </c>
      <c r="F975" s="25" t="inlineStr">
        <is>
          <t>повторение</t>
        </is>
      </c>
      <c r="G975" s="9" t="inlineStr">
        <is>
          <t>Общий список Appendix 2 (Dependent Prepositions), 59 сочетаний: add to (добавлять), afraid of (бояться), allergic to (иметь аллергию на), apart from (кроме), at auction (на аукционе), be at home (быть дома), be at school (быть в школе), be sold for (быть проданным за), believe in (верить в), burst i</t>
        </is>
      </c>
      <c r="H975" s="25" t="inlineStr">
        <is>
          <t>10+</t>
        </is>
      </c>
      <c r="I975" s="9">
        <f>IFERROR(INDEX('Темы × классы'!$R:$R,MATCH(E975,'Темы × классы'!$E:$E,0)),"")</f>
        <v/>
      </c>
      <c r="J975" s="9">
        <f>IFERROR(INDEX('Темы × классы'!$S:$S,MATCH(E975,'Темы × классы'!$E:$E,0))&amp;"","")</f>
        <v/>
      </c>
      <c r="K975" s="9" t="inlineStr">
        <is>
          <t>не начат</t>
        </is>
      </c>
      <c r="L975" s="9" t="inlineStr">
        <is>
          <t>Spotlight / 9 класс / Appendix 2 / Dependent prepositions / Dependent prepositions</t>
        </is>
      </c>
    </row>
    <row r="976">
      <c r="A976" s="25" t="n">
        <v>9</v>
      </c>
      <c r="B976" s="9" t="inlineStr">
        <is>
          <t>Module 3 · See it to believe it</t>
        </is>
      </c>
      <c r="C976" s="9" t="inlineStr">
        <is>
          <t>3c</t>
        </is>
      </c>
      <c r="D976" s="9" t="inlineStr">
        <is>
          <t>Past Simple</t>
        </is>
      </c>
      <c r="E976" s="23" t="inlineStr">
        <is>
          <t>Past Simple: правильные глаголы — утверждение (-ed)</t>
        </is>
      </c>
      <c r="F976" s="25" t="inlineStr">
        <is>
          <t>повторение</t>
        </is>
      </c>
      <c r="G976" s="9" t="inlineStr"/>
      <c r="H976" s="25" t="inlineStr">
        <is>
          <t>10+</t>
        </is>
      </c>
      <c r="I976" s="9">
        <f>IFERROR(INDEX('Темы × классы'!$R:$R,MATCH(E976,'Темы × классы'!$E:$E,0)),"")</f>
        <v/>
      </c>
      <c r="J976" s="9">
        <f>IFERROR(INDEX('Темы × классы'!$S:$S,MATCH(E976,'Темы × классы'!$E:$E,0))&amp;"","")</f>
        <v/>
      </c>
      <c r="K976" s="9" t="inlineStr">
        <is>
          <t>не начат</t>
        </is>
      </c>
      <c r="L976" s="9" t="inlineStr">
        <is>
          <t>Spotlight / 9 класс / Module 3 · See it to believe it / Past Simple / Past Simple: правильные глаголы — утверждение (-ed)</t>
        </is>
      </c>
    </row>
    <row r="977">
      <c r="A977" s="25" t="n">
        <v>9</v>
      </c>
      <c r="B977" s="9" t="inlineStr">
        <is>
          <t>Module 3 · See it to believe it</t>
        </is>
      </c>
      <c r="C977" s="9" t="inlineStr">
        <is>
          <t>3c</t>
        </is>
      </c>
      <c r="D977" s="9" t="inlineStr">
        <is>
          <t>Past Simple</t>
        </is>
      </c>
      <c r="E977" s="23" t="inlineStr">
        <is>
          <t>Past Simple: орфография -ed</t>
        </is>
      </c>
      <c r="F977" s="25" t="inlineStr">
        <is>
          <t>повторение</t>
        </is>
      </c>
      <c r="G977" s="9" t="inlineStr"/>
      <c r="H977" s="25" t="inlineStr">
        <is>
          <t>10+</t>
        </is>
      </c>
      <c r="I977" s="9">
        <f>IFERROR(INDEX('Темы × классы'!$R:$R,MATCH(E977,'Темы × классы'!$E:$E,0)),"")</f>
        <v/>
      </c>
      <c r="J977" s="9">
        <f>IFERROR(INDEX('Темы × классы'!$S:$S,MATCH(E977,'Темы × классы'!$E:$E,0))&amp;"","")</f>
        <v/>
      </c>
      <c r="K977" s="9" t="inlineStr">
        <is>
          <t>не начат</t>
        </is>
      </c>
      <c r="L977" s="9" t="inlineStr">
        <is>
          <t>Spotlight / 9 класс / Module 3 · See it to believe it / Past Simple / Past Simple: орфография -ed</t>
        </is>
      </c>
    </row>
    <row r="978">
      <c r="A978" s="25" t="n">
        <v>9</v>
      </c>
      <c r="B978" s="9" t="inlineStr">
        <is>
          <t>Module 3 · See it to believe it</t>
        </is>
      </c>
      <c r="C978" s="9" t="inlineStr">
        <is>
          <t>3c</t>
        </is>
      </c>
      <c r="D978" s="9" t="inlineStr">
        <is>
          <t>Past Simple</t>
        </is>
      </c>
      <c r="E978" s="23" t="inlineStr">
        <is>
          <t>Past Simple: неправильные глаголы — утверждение</t>
        </is>
      </c>
      <c r="F978" s="25" t="inlineStr">
        <is>
          <t>повторение</t>
        </is>
      </c>
      <c r="G978" s="9" t="inlineStr"/>
      <c r="H978" s="25" t="inlineStr">
        <is>
          <t>10+</t>
        </is>
      </c>
      <c r="I978" s="9">
        <f>IFERROR(INDEX('Темы × классы'!$R:$R,MATCH(E978,'Темы × классы'!$E:$E,0)),"")</f>
        <v/>
      </c>
      <c r="J978" s="9">
        <f>IFERROR(INDEX('Темы × классы'!$S:$S,MATCH(E978,'Темы × классы'!$E:$E,0))&amp;"","")</f>
        <v/>
      </c>
      <c r="K978" s="9" t="inlineStr">
        <is>
          <t>не начат</t>
        </is>
      </c>
      <c r="L978" s="9" t="inlineStr">
        <is>
          <t>Spotlight / 9 класс / Module 3 · See it to believe it / Past Simple / Past Simple: неправильные глаголы — утверждение</t>
        </is>
      </c>
    </row>
    <row r="979">
      <c r="A979" s="25" t="n">
        <v>9</v>
      </c>
      <c r="B979" s="9" t="inlineStr">
        <is>
          <t>Module 3 · See it to believe it</t>
        </is>
      </c>
      <c r="C979" s="9" t="inlineStr">
        <is>
          <t>3c</t>
        </is>
      </c>
      <c r="D979" s="9" t="inlineStr">
        <is>
          <t>Past Simple</t>
        </is>
      </c>
      <c r="E979" s="23" t="inlineStr">
        <is>
          <t>Past Simple: одна форма для всех лиц, исключение was/were</t>
        </is>
      </c>
      <c r="F979" s="25" t="inlineStr">
        <is>
          <t>повторение</t>
        </is>
      </c>
      <c r="G979" s="9" t="inlineStr"/>
      <c r="H979" s="25" t="inlineStr">
        <is>
          <t>10+</t>
        </is>
      </c>
      <c r="I979" s="9">
        <f>IFERROR(INDEX('Темы × классы'!$R:$R,MATCH(E979,'Темы × классы'!$E:$E,0)),"")</f>
        <v/>
      </c>
      <c r="J979" s="9">
        <f>IFERROR(INDEX('Темы × классы'!$S:$S,MATCH(E979,'Темы × классы'!$E:$E,0))&amp;"","")</f>
        <v/>
      </c>
      <c r="K979" s="9" t="inlineStr">
        <is>
          <t>не начат</t>
        </is>
      </c>
      <c r="L979" s="9" t="inlineStr">
        <is>
          <t>Spotlight / 9 класс / Module 3 · See it to believe it / Past Simple / Past Simple: одна форма для всех лиц, исключение was/were</t>
        </is>
      </c>
    </row>
    <row r="980">
      <c r="A980" s="25" t="n">
        <v>9</v>
      </c>
      <c r="B980" s="9" t="inlineStr">
        <is>
          <t>Module 3 · See it to believe it</t>
        </is>
      </c>
      <c r="C980" s="9" t="inlineStr">
        <is>
          <t>3c</t>
        </is>
      </c>
      <c r="D980" s="9" t="inlineStr">
        <is>
          <t>Past Simple</t>
        </is>
      </c>
      <c r="E980" s="23" t="inlineStr">
        <is>
          <t>Past Simple: значение — действие в прошлом (yesterday, ago)</t>
        </is>
      </c>
      <c r="F980" s="25" t="inlineStr">
        <is>
          <t>повторение</t>
        </is>
      </c>
      <c r="G980" s="9" t="inlineStr"/>
      <c r="H980" s="25" t="inlineStr">
        <is>
          <t>10+</t>
        </is>
      </c>
      <c r="I980" s="9">
        <f>IFERROR(INDEX('Темы × классы'!$R:$R,MATCH(E980,'Темы × классы'!$E:$E,0)),"")</f>
        <v/>
      </c>
      <c r="J980" s="9">
        <f>IFERROR(INDEX('Темы × классы'!$S:$S,MATCH(E980,'Темы × классы'!$E:$E,0))&amp;"","")</f>
        <v/>
      </c>
      <c r="K980" s="9" t="inlineStr">
        <is>
          <t>не начат</t>
        </is>
      </c>
      <c r="L980" s="9" t="inlineStr">
        <is>
          <t>Spotlight / 9 класс / Module 3 · See it to believe it / Past Simple / Past Simple: значение — действие в прошлом (yesterday, ago)</t>
        </is>
      </c>
    </row>
    <row r="981">
      <c r="A981" s="25" t="n">
        <v>9</v>
      </c>
      <c r="B981" s="9" t="inlineStr">
        <is>
          <t>Module 3 · See it to believe it</t>
        </is>
      </c>
      <c r="C981" s="9" t="inlineStr">
        <is>
          <t>3c</t>
        </is>
      </c>
      <c r="D981" s="9" t="inlineStr">
        <is>
          <t>Past Simple</t>
        </is>
      </c>
      <c r="E981" s="23" t="inlineStr">
        <is>
          <t>Past Simple: значение — действие в указанное время в прошлом</t>
        </is>
      </c>
      <c r="F981" s="25" t="inlineStr">
        <is>
          <t>повторение</t>
        </is>
      </c>
      <c r="G981" s="9" t="inlineStr"/>
      <c r="H981" s="25" t="inlineStr">
        <is>
          <t>10+</t>
        </is>
      </c>
      <c r="I981" s="9">
        <f>IFERROR(INDEX('Темы × классы'!$R:$R,MATCH(E981,'Темы × классы'!$E:$E,0)),"")</f>
        <v/>
      </c>
      <c r="J981" s="9">
        <f>IFERROR(INDEX('Темы × классы'!$S:$S,MATCH(E981,'Темы × классы'!$E:$E,0))&amp;"","")</f>
        <v/>
      </c>
      <c r="K981" s="9" t="inlineStr">
        <is>
          <t>не начат</t>
        </is>
      </c>
      <c r="L981" s="9" t="inlineStr">
        <is>
          <t>Spotlight / 9 класс / Module 3 · See it to believe it / Past Simple / Past Simple: значение — действие в указанное время в прошлом</t>
        </is>
      </c>
    </row>
    <row r="982">
      <c r="A982" s="25" t="n">
        <v>9</v>
      </c>
      <c r="B982" s="9" t="inlineStr">
        <is>
          <t>Module 3 · See it to believe it</t>
        </is>
      </c>
      <c r="C982" s="9" t="inlineStr">
        <is>
          <t>3c</t>
        </is>
      </c>
      <c r="D982" s="9" t="inlineStr">
        <is>
          <t>Past Simple</t>
        </is>
      </c>
      <c r="E982" s="23" t="inlineStr">
        <is>
          <t>Past Simple: значение — повторяющиеся действия и привычки в прошлом</t>
        </is>
      </c>
      <c r="F982" s="25" t="inlineStr">
        <is>
          <t>повторение</t>
        </is>
      </c>
      <c r="G982" s="9" t="inlineStr"/>
      <c r="H982" s="25" t="inlineStr">
        <is>
          <t>10+</t>
        </is>
      </c>
      <c r="I982" s="9">
        <f>IFERROR(INDEX('Темы × классы'!$R:$R,MATCH(E982,'Темы × классы'!$E:$E,0)),"")</f>
        <v/>
      </c>
      <c r="J982" s="9">
        <f>IFERROR(INDEX('Темы × классы'!$S:$S,MATCH(E982,'Темы × классы'!$E:$E,0))&amp;"","")</f>
        <v/>
      </c>
      <c r="K982" s="9" t="inlineStr">
        <is>
          <t>не начат</t>
        </is>
      </c>
      <c r="L982" s="9" t="inlineStr">
        <is>
          <t>Spotlight / 9 класс / Module 3 · See it to believe it / Past Simple / Past Simple: значение — повторяющиеся действия и привычки в прошлом</t>
        </is>
      </c>
    </row>
    <row r="983">
      <c r="A983" s="25" t="n">
        <v>9</v>
      </c>
      <c r="B983" s="9" t="inlineStr">
        <is>
          <t>Module 3 · See it to believe it</t>
        </is>
      </c>
      <c r="C983" s="9" t="inlineStr">
        <is>
          <t>3c</t>
        </is>
      </c>
      <c r="D983" s="9" t="inlineStr">
        <is>
          <t>Past Simple</t>
        </is>
      </c>
      <c r="E983" s="23" t="inlineStr">
        <is>
          <t>Past Simple: значение — последовательные действия</t>
        </is>
      </c>
      <c r="F983" s="25" t="inlineStr">
        <is>
          <t>повторение</t>
        </is>
      </c>
      <c r="G983" s="9" t="inlineStr"/>
      <c r="H983" s="25" t="inlineStr">
        <is>
          <t>10+</t>
        </is>
      </c>
      <c r="I983" s="9">
        <f>IFERROR(INDEX('Темы × классы'!$R:$R,MATCH(E983,'Темы × классы'!$E:$E,0)),"")</f>
        <v/>
      </c>
      <c r="J983" s="9">
        <f>IFERROR(INDEX('Темы × классы'!$S:$S,MATCH(E983,'Темы × классы'!$E:$E,0))&amp;"","")</f>
        <v/>
      </c>
      <c r="K983" s="9" t="inlineStr">
        <is>
          <t>не начат</t>
        </is>
      </c>
      <c r="L983" s="9" t="inlineStr">
        <is>
          <t>Spotlight / 9 класс / Module 3 · See it to believe it / Past Simple / Past Simple: значение — последовательные действия</t>
        </is>
      </c>
    </row>
    <row r="984">
      <c r="A984" s="25" t="n">
        <v>9</v>
      </c>
      <c r="B984" s="9" t="inlineStr">
        <is>
          <t>Module 3 · See it to believe it</t>
        </is>
      </c>
      <c r="C984" s="9" t="inlineStr">
        <is>
          <t>3c</t>
        </is>
      </c>
      <c r="D984" s="9" t="inlineStr">
        <is>
          <t>Past Simple</t>
        </is>
      </c>
      <c r="E984" s="23" t="inlineStr">
        <is>
          <t>Past Simple: значение — завершённые действия без связи с настоящим</t>
        </is>
      </c>
      <c r="F984" s="26" t="inlineStr">
        <is>
          <t>новое</t>
        </is>
      </c>
      <c r="G984" s="9" t="inlineStr"/>
      <c r="H984" s="25" t="inlineStr">
        <is>
          <t>10+</t>
        </is>
      </c>
      <c r="I984" s="9">
        <f>IFERROR(INDEX('Темы × классы'!$R:$R,MATCH(E984,'Темы × классы'!$E:$E,0)),"")</f>
        <v/>
      </c>
      <c r="J984" s="9">
        <f>IFERROR(INDEX('Темы × классы'!$S:$S,MATCH(E984,'Темы × классы'!$E:$E,0))&amp;"","")</f>
        <v/>
      </c>
      <c r="K984" s="9" t="inlineStr">
        <is>
          <t>не начат</t>
        </is>
      </c>
      <c r="L984" s="9" t="inlineStr">
        <is>
          <t>Spotlight / 9 класс / Module 3 · See it to believe it / Past Simple / Past Simple: значение — завершённые действия без связи с настоящим</t>
        </is>
      </c>
    </row>
    <row r="985">
      <c r="A985" s="25" t="n">
        <v>9</v>
      </c>
      <c r="B985" s="9" t="inlineStr">
        <is>
          <t>Module 3 · See it to believe it</t>
        </is>
      </c>
      <c r="C985" s="9" t="inlineStr">
        <is>
          <t>3c</t>
        </is>
      </c>
      <c r="D985" s="9" t="inlineStr">
        <is>
          <t>Past Continuous</t>
        </is>
      </c>
      <c r="E985" s="23" t="inlineStr">
        <is>
          <t>Past Continuous: утверждение (was/were + V-ing)</t>
        </is>
      </c>
      <c r="F985" s="25" t="inlineStr">
        <is>
          <t>повторение</t>
        </is>
      </c>
      <c r="G985" s="9" t="inlineStr"/>
      <c r="H985" s="25" t="inlineStr">
        <is>
          <t>10+</t>
        </is>
      </c>
      <c r="I985" s="9">
        <f>IFERROR(INDEX('Темы × классы'!$R:$R,MATCH(E985,'Темы × классы'!$E:$E,0)),"")</f>
        <v/>
      </c>
      <c r="J985" s="9">
        <f>IFERROR(INDEX('Темы × классы'!$S:$S,MATCH(E985,'Темы × классы'!$E:$E,0))&amp;"","")</f>
        <v/>
      </c>
      <c r="K985" s="9" t="inlineStr">
        <is>
          <t>не начат</t>
        </is>
      </c>
      <c r="L985" s="9" t="inlineStr">
        <is>
          <t>Spotlight / 9 класс / Module 3 · See it to believe it / Past Continuous / Past Continuous: утверждение (was/were + V-ing)</t>
        </is>
      </c>
    </row>
    <row r="986">
      <c r="A986" s="25" t="n">
        <v>9</v>
      </c>
      <c r="B986" s="9" t="inlineStr">
        <is>
          <t>Module 3 · See it to believe it</t>
        </is>
      </c>
      <c r="C986" s="9" t="inlineStr">
        <is>
          <t>3c</t>
        </is>
      </c>
      <c r="D986" s="9" t="inlineStr">
        <is>
          <t>Past Continuous</t>
        </is>
      </c>
      <c r="E986" s="23" t="inlineStr">
        <is>
          <t>Past Continuous: значение — действие в процессе в момент прошлого</t>
        </is>
      </c>
      <c r="F986" s="25" t="inlineStr">
        <is>
          <t>повторение</t>
        </is>
      </c>
      <c r="G986" s="9" t="inlineStr"/>
      <c r="H986" s="25" t="inlineStr">
        <is>
          <t>10+</t>
        </is>
      </c>
      <c r="I986" s="9">
        <f>IFERROR(INDEX('Темы × классы'!$R:$R,MATCH(E986,'Темы × классы'!$E:$E,0)),"")</f>
        <v/>
      </c>
      <c r="J986" s="9">
        <f>IFERROR(INDEX('Темы × классы'!$S:$S,MATCH(E986,'Темы × классы'!$E:$E,0))&amp;"","")</f>
        <v/>
      </c>
      <c r="K986" s="9" t="inlineStr">
        <is>
          <t>не начат</t>
        </is>
      </c>
      <c r="L986" s="9" t="inlineStr">
        <is>
          <t>Spotlight / 9 класс / Module 3 · See it to believe it / Past Continuous / Past Continuous: значение — действие в процессе в момент прошлого</t>
        </is>
      </c>
    </row>
    <row r="987">
      <c r="A987" s="25" t="n">
        <v>9</v>
      </c>
      <c r="B987" s="9" t="inlineStr">
        <is>
          <t>Module 3 · See it to believe it</t>
        </is>
      </c>
      <c r="C987" s="9" t="inlineStr">
        <is>
          <t>3c</t>
        </is>
      </c>
      <c r="D987" s="9" t="inlineStr">
        <is>
          <t>Past Continuous</t>
        </is>
      </c>
      <c r="E987" s="23" t="inlineStr">
        <is>
          <t>Past Continuous: значение — длительное действие, прерванное другим (when)</t>
        </is>
      </c>
      <c r="F987" s="25" t="inlineStr">
        <is>
          <t>повторение</t>
        </is>
      </c>
      <c r="G987" s="9" t="inlineStr"/>
      <c r="H987" s="25" t="inlineStr">
        <is>
          <t>10+</t>
        </is>
      </c>
      <c r="I987" s="9">
        <f>IFERROR(INDEX('Темы × классы'!$R:$R,MATCH(E987,'Темы × классы'!$E:$E,0)),"")</f>
        <v/>
      </c>
      <c r="J987" s="9">
        <f>IFERROR(INDEX('Темы × классы'!$S:$S,MATCH(E987,'Темы × классы'!$E:$E,0))&amp;"","")</f>
        <v/>
      </c>
      <c r="K987" s="9" t="inlineStr">
        <is>
          <t>не начат</t>
        </is>
      </c>
      <c r="L987" s="9" t="inlineStr">
        <is>
          <t>Spotlight / 9 класс / Module 3 · See it to believe it / Past Continuous / Past Continuous: значение — длительное действие, прерванное другим (when)</t>
        </is>
      </c>
    </row>
    <row r="988">
      <c r="A988" s="25" t="n">
        <v>9</v>
      </c>
      <c r="B988" s="9" t="inlineStr">
        <is>
          <t>Module 3 · See it to believe it</t>
        </is>
      </c>
      <c r="C988" s="9" t="inlineStr">
        <is>
          <t>3c</t>
        </is>
      </c>
      <c r="D988" s="9" t="inlineStr">
        <is>
          <t>Past Continuous</t>
        </is>
      </c>
      <c r="E988" s="23" t="inlineStr">
        <is>
          <t>Past Continuous: значение — одновременные действия (while)</t>
        </is>
      </c>
      <c r="F988" s="25" t="inlineStr">
        <is>
          <t>повторение</t>
        </is>
      </c>
      <c r="G988" s="9" t="inlineStr"/>
      <c r="H988" s="25" t="inlineStr">
        <is>
          <t>10+</t>
        </is>
      </c>
      <c r="I988" s="9">
        <f>IFERROR(INDEX('Темы × классы'!$R:$R,MATCH(E988,'Темы × классы'!$E:$E,0)),"")</f>
        <v/>
      </c>
      <c r="J988" s="9">
        <f>IFERROR(INDEX('Темы × классы'!$S:$S,MATCH(E988,'Темы × классы'!$E:$E,0))&amp;"","")</f>
        <v/>
      </c>
      <c r="K988" s="9" t="inlineStr">
        <is>
          <t>не начат</t>
        </is>
      </c>
      <c r="L988" s="9" t="inlineStr">
        <is>
          <t>Spotlight / 9 класс / Module 3 · See it to believe it / Past Continuous / Past Continuous: значение — одновременные действия (while)</t>
        </is>
      </c>
    </row>
    <row r="989">
      <c r="A989" s="25" t="n">
        <v>9</v>
      </c>
      <c r="B989" s="9" t="inlineStr">
        <is>
          <t>Module 3 · See it to believe it</t>
        </is>
      </c>
      <c r="C989" s="9" t="inlineStr">
        <is>
          <t>3c</t>
        </is>
      </c>
      <c r="D989" s="9" t="inlineStr">
        <is>
          <t>Past Continuous</t>
        </is>
      </c>
      <c r="E989" s="23" t="inlineStr">
        <is>
          <t>Past Continuous: значение — фон и атмосфера в рассказе</t>
        </is>
      </c>
      <c r="F989" s="25" t="inlineStr">
        <is>
          <t>повторение</t>
        </is>
      </c>
      <c r="G989" s="9" t="inlineStr"/>
      <c r="H989" s="25" t="inlineStr">
        <is>
          <t>10+</t>
        </is>
      </c>
      <c r="I989" s="9">
        <f>IFERROR(INDEX('Темы × классы'!$R:$R,MATCH(E989,'Темы × классы'!$E:$E,0)),"")</f>
        <v/>
      </c>
      <c r="J989" s="9">
        <f>IFERROR(INDEX('Темы × классы'!$S:$S,MATCH(E989,'Темы × классы'!$E:$E,0))&amp;"","")</f>
        <v/>
      </c>
      <c r="K989" s="9" t="inlineStr">
        <is>
          <t>не начат</t>
        </is>
      </c>
      <c r="L989" s="9" t="inlineStr">
        <is>
          <t>Spotlight / 9 класс / Module 3 · See it to believe it / Past Continuous / Past Continuous: значение — фон и атмосфера в рассказе</t>
        </is>
      </c>
    </row>
    <row r="990">
      <c r="A990" s="25" t="n">
        <v>9</v>
      </c>
      <c r="B990" s="9" t="inlineStr">
        <is>
          <t>Module 3 · See it to believe it</t>
        </is>
      </c>
      <c r="C990" s="9" t="inlineStr">
        <is>
          <t>3c</t>
        </is>
      </c>
      <c r="D990" s="9" t="inlineStr">
        <is>
          <t>Past Simple vs Past Continuous</t>
        </is>
      </c>
      <c r="E990" s="23" t="inlineStr">
        <is>
          <t>Past Simple vs Past Continuous: указанное время — завершённое vs в процессе</t>
        </is>
      </c>
      <c r="F990" s="25" t="inlineStr">
        <is>
          <t>повторение</t>
        </is>
      </c>
      <c r="G990" s="9" t="inlineStr"/>
      <c r="H990" s="25" t="inlineStr">
        <is>
          <t>10+</t>
        </is>
      </c>
      <c r="I990" s="9">
        <f>IFERROR(INDEX('Темы × классы'!$R:$R,MATCH(E990,'Темы × классы'!$E:$E,0)),"")</f>
        <v/>
      </c>
      <c r="J990" s="9">
        <f>IFERROR(INDEX('Темы × классы'!$S:$S,MATCH(E990,'Темы × классы'!$E:$E,0))&amp;"","")</f>
        <v/>
      </c>
      <c r="K990" s="9" t="inlineStr">
        <is>
          <t>не начат</t>
        </is>
      </c>
      <c r="L990" s="9" t="inlineStr">
        <is>
          <t>Spotlight / 9 класс / Module 3 · See it to believe it / Past Simple vs Past Continuous / Past Simple vs Past Continuous: указанное время — завершённое vs в процессе</t>
        </is>
      </c>
    </row>
    <row r="991">
      <c r="A991" s="25" t="n">
        <v>9</v>
      </c>
      <c r="B991" s="9" t="inlineStr">
        <is>
          <t>Module 3 · See it to believe it</t>
        </is>
      </c>
      <c r="C991" s="9" t="inlineStr">
        <is>
          <t>3c</t>
        </is>
      </c>
      <c r="D991" s="9" t="inlineStr">
        <is>
          <t>Past Simple vs Past Continuous</t>
        </is>
      </c>
      <c r="E991" s="23" t="inlineStr">
        <is>
          <t>Past Simple vs Past Continuous: последовательные vs одновременные действия</t>
        </is>
      </c>
      <c r="F991" s="25" t="inlineStr">
        <is>
          <t>повторение</t>
        </is>
      </c>
      <c r="G991" s="9" t="inlineStr"/>
      <c r="H991" s="25" t="inlineStr">
        <is>
          <t>10+</t>
        </is>
      </c>
      <c r="I991" s="9">
        <f>IFERROR(INDEX('Темы × классы'!$R:$R,MATCH(E991,'Темы × классы'!$E:$E,0)),"")</f>
        <v/>
      </c>
      <c r="J991" s="9">
        <f>IFERROR(INDEX('Темы × классы'!$S:$S,MATCH(E991,'Темы × классы'!$E:$E,0))&amp;"","")</f>
        <v/>
      </c>
      <c r="K991" s="9" t="inlineStr">
        <is>
          <t>не начат</t>
        </is>
      </c>
      <c r="L991" s="9" t="inlineStr">
        <is>
          <t>Spotlight / 9 класс / Module 3 · See it to believe it / Past Simple vs Past Continuous / Past Simple vs Past Continuous: последовательные vs одновременные действия</t>
        </is>
      </c>
    </row>
    <row r="992">
      <c r="A992" s="25" t="n">
        <v>9</v>
      </c>
      <c r="B992" s="9" t="inlineStr">
        <is>
          <t>Module 3 · See it to believe it</t>
        </is>
      </c>
      <c r="C992" s="9" t="inlineStr">
        <is>
          <t>3c</t>
        </is>
      </c>
      <c r="D992" s="9" t="inlineStr">
        <is>
          <t>Past Simple vs Past Continuous</t>
        </is>
      </c>
      <c r="E992" s="23" t="inlineStr">
        <is>
          <t>Past Simple vs Past Continuous: прерванное (PC) и прерывающее (PS) действие</t>
        </is>
      </c>
      <c r="F992" s="25" t="inlineStr">
        <is>
          <t>повторение</t>
        </is>
      </c>
      <c r="G992" s="9" t="inlineStr"/>
      <c r="H992" s="25" t="inlineStr">
        <is>
          <t>10+</t>
        </is>
      </c>
      <c r="I992" s="9">
        <f>IFERROR(INDEX('Темы × классы'!$R:$R,MATCH(E992,'Темы × классы'!$E:$E,0)),"")</f>
        <v/>
      </c>
      <c r="J992" s="9">
        <f>IFERROR(INDEX('Темы × классы'!$S:$S,MATCH(E992,'Темы × классы'!$E:$E,0))&amp;"","")</f>
        <v/>
      </c>
      <c r="K992" s="9" t="inlineStr">
        <is>
          <t>не начат</t>
        </is>
      </c>
      <c r="L992" s="9" t="inlineStr">
        <is>
          <t>Spotlight / 9 класс / Module 3 · See it to believe it / Past Simple vs Past Continuous / Past Simple vs Past Continuous: прерванное (PC) и прерывающее (PS) действие</t>
        </is>
      </c>
    </row>
    <row r="993">
      <c r="A993" s="25" t="n">
        <v>9</v>
      </c>
      <c r="B993" s="9" t="inlineStr">
        <is>
          <t>Module 3 · See it to believe it</t>
        </is>
      </c>
      <c r="C993" s="9" t="inlineStr">
        <is>
          <t>3c</t>
        </is>
      </c>
      <c r="D993" s="9" t="inlineStr">
        <is>
          <t>Past Perfect</t>
        </is>
      </c>
      <c r="E993" s="23" t="inlineStr">
        <is>
          <t>Past Perfect: образование (had + V3)</t>
        </is>
      </c>
      <c r="F993" s="25" t="inlineStr">
        <is>
          <t>повторение</t>
        </is>
      </c>
      <c r="G993" s="9" t="inlineStr"/>
      <c r="H993" s="25" t="inlineStr">
        <is>
          <t>10+</t>
        </is>
      </c>
      <c r="I993" s="9">
        <f>IFERROR(INDEX('Темы × классы'!$R:$R,MATCH(E993,'Темы × классы'!$E:$E,0)),"")</f>
        <v/>
      </c>
      <c r="J993" s="9">
        <f>IFERROR(INDEX('Темы × классы'!$S:$S,MATCH(E993,'Темы × классы'!$E:$E,0))&amp;"","")</f>
        <v/>
      </c>
      <c r="K993" s="9" t="inlineStr">
        <is>
          <t>не начат</t>
        </is>
      </c>
      <c r="L993" s="9" t="inlineStr">
        <is>
          <t>Spotlight / 9 класс / Module 3 · See it to believe it / Past Perfect / Past Perfect: образование (had + V3)</t>
        </is>
      </c>
    </row>
    <row r="994">
      <c r="A994" s="25" t="n">
        <v>9</v>
      </c>
      <c r="B994" s="9" t="inlineStr">
        <is>
          <t>Module 3 · See it to believe it</t>
        </is>
      </c>
      <c r="C994" s="9" t="inlineStr">
        <is>
          <t>3c</t>
        </is>
      </c>
      <c r="D994" s="9" t="inlineStr">
        <is>
          <t>Past Perfect</t>
        </is>
      </c>
      <c r="E994" s="23" t="inlineStr">
        <is>
          <t>Past Perfect: значение — действие до другого действия/момента в прошлом</t>
        </is>
      </c>
      <c r="F994" s="25" t="inlineStr">
        <is>
          <t>повторение</t>
        </is>
      </c>
      <c r="G994" s="9" t="inlineStr"/>
      <c r="H994" s="25" t="inlineStr">
        <is>
          <t>10+</t>
        </is>
      </c>
      <c r="I994" s="9">
        <f>IFERROR(INDEX('Темы × классы'!$R:$R,MATCH(E994,'Темы × классы'!$E:$E,0)),"")</f>
        <v/>
      </c>
      <c r="J994" s="9">
        <f>IFERROR(INDEX('Темы × классы'!$S:$S,MATCH(E994,'Темы × классы'!$E:$E,0))&amp;"","")</f>
        <v/>
      </c>
      <c r="K994" s="9" t="inlineStr">
        <is>
          <t>не начат</t>
        </is>
      </c>
      <c r="L994" s="9" t="inlineStr">
        <is>
          <t>Spotlight / 9 класс / Module 3 · See it to believe it / Past Perfect / Past Perfect: значение — действие до другого действия/момента в прошлом</t>
        </is>
      </c>
    </row>
    <row r="995">
      <c r="A995" s="25" t="n">
        <v>9</v>
      </c>
      <c r="B995" s="9" t="inlineStr">
        <is>
          <t>Module 3 · See it to believe it</t>
        </is>
      </c>
      <c r="C995" s="9" t="inlineStr">
        <is>
          <t>3c</t>
        </is>
      </c>
      <c r="D995" s="9" t="inlineStr">
        <is>
          <t>Past Perfect</t>
        </is>
      </c>
      <c r="E995" s="23" t="inlineStr">
        <is>
          <t>Past Perfect: значение — завершённое действие с результатом в прошлом</t>
        </is>
      </c>
      <c r="F995" s="25" t="inlineStr">
        <is>
          <t>повторение</t>
        </is>
      </c>
      <c r="G995" s="9" t="inlineStr">
        <is>
          <t xml:space="preserve"> = Present Perfect в прошлом</t>
        </is>
      </c>
      <c r="H995" s="25" t="inlineStr">
        <is>
          <t>10+</t>
        </is>
      </c>
      <c r="I995" s="9">
        <f>IFERROR(INDEX('Темы × классы'!$R:$R,MATCH(E995,'Темы × классы'!$E:$E,0)),"")</f>
        <v/>
      </c>
      <c r="J995" s="9">
        <f>IFERROR(INDEX('Темы × классы'!$S:$S,MATCH(E995,'Темы × классы'!$E:$E,0))&amp;"","")</f>
        <v/>
      </c>
      <c r="K995" s="9" t="inlineStr">
        <is>
          <t>не начат</t>
        </is>
      </c>
      <c r="L995" s="9" t="inlineStr">
        <is>
          <t>Spotlight / 9 класс / Module 3 · See it to believe it / Past Perfect / Past Perfect: значение — завершённое действие с результатом в прошлом</t>
        </is>
      </c>
    </row>
    <row r="996">
      <c r="A996" s="25" t="n">
        <v>9</v>
      </c>
      <c r="B996" s="9" t="inlineStr">
        <is>
          <t>Module 3 · See it to believe it</t>
        </is>
      </c>
      <c r="C996" s="9" t="inlineStr">
        <is>
          <t>3c</t>
        </is>
      </c>
      <c r="D996" s="9" t="inlineStr">
        <is>
          <t>Past Perfect Continuous</t>
        </is>
      </c>
      <c r="E996" s="23" t="inlineStr">
        <is>
          <t>Past Perfect Continuous: образование (had been + V-ing)</t>
        </is>
      </c>
      <c r="F996" s="25" t="inlineStr">
        <is>
          <t>повторение</t>
        </is>
      </c>
      <c r="G996" s="9" t="inlineStr"/>
      <c r="H996" s="25" t="inlineStr">
        <is>
          <t>10+</t>
        </is>
      </c>
      <c r="I996" s="9">
        <f>IFERROR(INDEX('Темы × классы'!$R:$R,MATCH(E996,'Темы × классы'!$E:$E,0)),"")</f>
        <v/>
      </c>
      <c r="J996" s="9">
        <f>IFERROR(INDEX('Темы × классы'!$S:$S,MATCH(E996,'Темы × классы'!$E:$E,0))&amp;"","")</f>
        <v/>
      </c>
      <c r="K996" s="9" t="inlineStr">
        <is>
          <t>не начат</t>
        </is>
      </c>
      <c r="L996" s="9" t="inlineStr">
        <is>
          <t>Spotlight / 9 класс / Module 3 · See it to believe it / Past Perfect Continuous / Past Perfect Continuous: образование (had been + V-ing)</t>
        </is>
      </c>
    </row>
    <row r="997">
      <c r="A997" s="25" t="n">
        <v>9</v>
      </c>
      <c r="B997" s="9" t="inlineStr">
        <is>
          <t>Module 3 · See it to believe it</t>
        </is>
      </c>
      <c r="C997" s="9" t="inlineStr">
        <is>
          <t>3c</t>
        </is>
      </c>
      <c r="D997" s="9" t="inlineStr">
        <is>
          <t>Past Perfect Continuous</t>
        </is>
      </c>
      <c r="E997" s="23" t="inlineStr">
        <is>
          <t>Past Perfect Continuous: значение — длительность до другого прошлого действия</t>
        </is>
      </c>
      <c r="F997" s="25" t="inlineStr">
        <is>
          <t>повторение</t>
        </is>
      </c>
      <c r="G997" s="9" t="inlineStr">
        <is>
          <t>since, for, how long</t>
        </is>
      </c>
      <c r="H997" s="25" t="inlineStr">
        <is>
          <t>10+</t>
        </is>
      </c>
      <c r="I997" s="9">
        <f>IFERROR(INDEX('Темы × классы'!$R:$R,MATCH(E997,'Темы × классы'!$E:$E,0)),"")</f>
        <v/>
      </c>
      <c r="J997" s="9">
        <f>IFERROR(INDEX('Темы × классы'!$S:$S,MATCH(E997,'Темы × классы'!$E:$E,0))&amp;"","")</f>
        <v/>
      </c>
      <c r="K997" s="9" t="inlineStr">
        <is>
          <t>не начат</t>
        </is>
      </c>
      <c r="L997" s="9" t="inlineStr">
        <is>
          <t>Spotlight / 9 класс / Module 3 · See it to believe it / Past Perfect Continuous / Past Perfect Continuous: значение — длительность до другого прошлого действия</t>
        </is>
      </c>
    </row>
    <row r="998">
      <c r="A998" s="25" t="n">
        <v>9</v>
      </c>
      <c r="B998" s="9" t="inlineStr">
        <is>
          <t>Module 3 · See it to believe it</t>
        </is>
      </c>
      <c r="C998" s="9" t="inlineStr">
        <is>
          <t>3c</t>
        </is>
      </c>
      <c r="D998" s="9" t="inlineStr">
        <is>
          <t>Past Perfect Continuous</t>
        </is>
      </c>
      <c r="E998" s="23" t="inlineStr">
        <is>
          <t>Past Perfect Continuous: значение — длительное действие с видимым результатом в прошлом</t>
        </is>
      </c>
      <c r="F998" s="25" t="inlineStr">
        <is>
          <t>повторение</t>
        </is>
      </c>
      <c r="G998" s="9" t="inlineStr">
        <is>
          <t xml:space="preserve"> = Present Perfect Continuous в прошлом</t>
        </is>
      </c>
      <c r="H998" s="25" t="inlineStr">
        <is>
          <t>10+</t>
        </is>
      </c>
      <c r="I998" s="9">
        <f>IFERROR(INDEX('Темы × классы'!$R:$R,MATCH(E998,'Темы × классы'!$E:$E,0)),"")</f>
        <v/>
      </c>
      <c r="J998" s="9">
        <f>IFERROR(INDEX('Темы × классы'!$S:$S,MATCH(E998,'Темы × классы'!$E:$E,0))&amp;"","")</f>
        <v/>
      </c>
      <c r="K998" s="9" t="inlineStr">
        <is>
          <t>не начат</t>
        </is>
      </c>
      <c r="L998" s="9" t="inlineStr">
        <is>
          <t>Spotlight / 9 класс / Module 3 · See it to believe it / Past Perfect Continuous / Past Perfect Continuous: значение — длительное действие с видимым результатом в прошлом</t>
        </is>
      </c>
    </row>
    <row r="999">
      <c r="A999" s="25" t="n">
        <v>9</v>
      </c>
      <c r="B999" s="9" t="inlineStr">
        <is>
          <t>Module 3 · See it to believe it</t>
        </is>
      </c>
      <c r="C999" s="9" t="inlineStr">
        <is>
          <t>3d</t>
        </is>
      </c>
      <c r="D999" s="9" t="inlineStr">
        <is>
          <t>Modal verbs (deduction)</t>
        </is>
      </c>
      <c r="E999" s="23" t="inlineStr">
        <is>
          <t>Modal verbs (deduction): must — уверенность (о настоящем)</t>
        </is>
      </c>
      <c r="F999" s="25" t="inlineStr">
        <is>
          <t>повторение</t>
        </is>
      </c>
      <c r="G999" s="9" t="inlineStr">
        <is>
          <t>~100%</t>
        </is>
      </c>
      <c r="H999" s="25" t="inlineStr">
        <is>
          <t>10+</t>
        </is>
      </c>
      <c r="I999" s="9">
        <f>IFERROR(INDEX('Темы × классы'!$R:$R,MATCH(E999,'Темы × классы'!$E:$E,0)),"")</f>
        <v/>
      </c>
      <c r="J999" s="9">
        <f>IFERROR(INDEX('Темы × классы'!$S:$S,MATCH(E999,'Темы × классы'!$E:$E,0))&amp;"","")</f>
        <v/>
      </c>
      <c r="K999" s="9" t="inlineStr">
        <is>
          <t>не начат</t>
        </is>
      </c>
      <c r="L999" s="9" t="inlineStr">
        <is>
          <t>Spotlight / 9 класс / Module 3 · See it to believe it / Modal verbs (deduction) / Modal verbs (deduction): must — уверенность (о настоящем)</t>
        </is>
      </c>
    </row>
    <row r="1000">
      <c r="A1000" s="25" t="n">
        <v>9</v>
      </c>
      <c r="B1000" s="9" t="inlineStr">
        <is>
          <t>Module 3 · See it to believe it</t>
        </is>
      </c>
      <c r="C1000" s="9" t="inlineStr">
        <is>
          <t>3d</t>
        </is>
      </c>
      <c r="D1000" s="9" t="inlineStr">
        <is>
          <t>Modal verbs (deduction)</t>
        </is>
      </c>
      <c r="E1000" s="23" t="inlineStr">
        <is>
          <t>Modal verbs (deduction): may/might/could — вероятность (о настоящем)</t>
        </is>
      </c>
      <c r="F1000" s="25" t="inlineStr">
        <is>
          <t>повторение</t>
        </is>
      </c>
      <c r="G1000" s="9" t="inlineStr"/>
      <c r="H1000" s="25" t="inlineStr">
        <is>
          <t>10+</t>
        </is>
      </c>
      <c r="I1000" s="9">
        <f>IFERROR(INDEX('Темы × классы'!$R:$R,MATCH(E1000,'Темы × классы'!$E:$E,0)),"")</f>
        <v/>
      </c>
      <c r="J1000" s="9">
        <f>IFERROR(INDEX('Темы × классы'!$S:$S,MATCH(E1000,'Темы × классы'!$E:$E,0))&amp;"","")</f>
        <v/>
      </c>
      <c r="K1000" s="9" t="inlineStr">
        <is>
          <t>не начат</t>
        </is>
      </c>
      <c r="L1000" s="9" t="inlineStr">
        <is>
          <t>Spotlight / 9 класс / Module 3 · See it to believe it / Modal verbs (deduction) / Modal verbs (deduction): may/might/could — вероятность (о настоящем)</t>
        </is>
      </c>
    </row>
    <row r="1001">
      <c r="A1001" s="25" t="n">
        <v>9</v>
      </c>
      <c r="B1001" s="9" t="inlineStr">
        <is>
          <t>Module 3 · See it to believe it</t>
        </is>
      </c>
      <c r="C1001" s="9" t="inlineStr">
        <is>
          <t>3d</t>
        </is>
      </c>
      <c r="D1001" s="9" t="inlineStr">
        <is>
          <t>Modal verbs (deduction)</t>
        </is>
      </c>
      <c r="E1001" s="23" t="inlineStr">
        <is>
          <t>Modal verbs (deduction): can't/couldn't — невозможность (о настоящем)</t>
        </is>
      </c>
      <c r="F1001" s="25" t="inlineStr">
        <is>
          <t>повторение</t>
        </is>
      </c>
      <c r="G1001" s="9" t="inlineStr"/>
      <c r="H1001" s="25" t="inlineStr">
        <is>
          <t>10+</t>
        </is>
      </c>
      <c r="I1001" s="9">
        <f>IFERROR(INDEX('Темы × классы'!$R:$R,MATCH(E1001,'Темы × классы'!$E:$E,0)),"")</f>
        <v/>
      </c>
      <c r="J1001" s="9">
        <f>IFERROR(INDEX('Темы × классы'!$S:$S,MATCH(E1001,'Темы × классы'!$E:$E,0))&amp;"","")</f>
        <v/>
      </c>
      <c r="K1001" s="9" t="inlineStr">
        <is>
          <t>не начат</t>
        </is>
      </c>
      <c r="L1001" s="9" t="inlineStr">
        <is>
          <t>Spotlight / 9 класс / Module 3 · See it to believe it / Modal verbs (deduction) / Modal verbs (deduction): can't/couldn't — невозможность (о настоящем)</t>
        </is>
      </c>
    </row>
    <row r="1002">
      <c r="A1002" s="25" t="n">
        <v>9</v>
      </c>
      <c r="B1002" s="9" t="inlineStr">
        <is>
          <t>Module 3 · See it to believe it</t>
        </is>
      </c>
      <c r="C1002" s="9" t="inlineStr">
        <is>
          <t>3d</t>
        </is>
      </c>
      <c r="D1002" s="9" t="inlineStr">
        <is>
          <t>Modal verbs (deduction)</t>
        </is>
      </c>
      <c r="E1002" s="23" t="inlineStr">
        <is>
          <t>Modal verbs (deduction): выводы о прошлом — must/may/might/could/can't + have V3</t>
        </is>
      </c>
      <c r="F1002" s="25" t="inlineStr">
        <is>
          <t>повторение</t>
        </is>
      </c>
      <c r="G1002" s="9" t="inlineStr"/>
      <c r="H1002" s="25" t="inlineStr">
        <is>
          <t>10+</t>
        </is>
      </c>
      <c r="I1002" s="9">
        <f>IFERROR(INDEX('Темы × классы'!$R:$R,MATCH(E1002,'Темы × классы'!$E:$E,0)),"")</f>
        <v/>
      </c>
      <c r="J1002" s="9">
        <f>IFERROR(INDEX('Темы × классы'!$S:$S,MATCH(E1002,'Темы × классы'!$E:$E,0))&amp;"","")</f>
        <v/>
      </c>
      <c r="K1002" s="9" t="inlineStr">
        <is>
          <t>не начат</t>
        </is>
      </c>
      <c r="L1002" s="9" t="inlineStr">
        <is>
          <t>Spotlight / 9 класс / Module 3 · See it to believe it / Modal verbs (deduction) / Modal verbs (deduction): выводы о прошлом — must/may/might/could/can't + have V3</t>
        </is>
      </c>
    </row>
    <row r="1003">
      <c r="A1003" s="25" t="n">
        <v>9</v>
      </c>
      <c r="B1003" s="9" t="inlineStr">
        <is>
          <t>Module 3 · See it to believe it</t>
        </is>
      </c>
      <c r="C1003" s="9" t="inlineStr">
        <is>
          <t>3c</t>
        </is>
      </c>
      <c r="D1003" s="9" t="inlineStr">
        <is>
          <t>used to</t>
        </is>
      </c>
      <c r="E1003" s="23" t="inlineStr">
        <is>
          <t>used to: значение — прошлые привычки и регулярные действия</t>
        </is>
      </c>
      <c r="F1003" s="25" t="inlineStr">
        <is>
          <t>повторение</t>
        </is>
      </c>
      <c r="G1003" s="9" t="inlineStr"/>
      <c r="H1003" s="25" t="inlineStr">
        <is>
          <t>10+</t>
        </is>
      </c>
      <c r="I1003" s="9">
        <f>IFERROR(INDEX('Темы × классы'!$R:$R,MATCH(E1003,'Темы × классы'!$E:$E,0)),"")</f>
        <v/>
      </c>
      <c r="J1003" s="9">
        <f>IFERROR(INDEX('Темы × классы'!$S:$S,MATCH(E1003,'Темы × классы'!$E:$E,0))&amp;"","")</f>
        <v/>
      </c>
      <c r="K1003" s="9" t="inlineStr">
        <is>
          <t>не начат</t>
        </is>
      </c>
      <c r="L1003" s="9" t="inlineStr">
        <is>
          <t>Spotlight / 9 класс / Module 3 · See it to believe it / used to / used to: значение — прошлые привычки и регулярные действия</t>
        </is>
      </c>
    </row>
    <row r="1004">
      <c r="A1004" s="25" t="n">
        <v>9</v>
      </c>
      <c r="B1004" s="9" t="inlineStr">
        <is>
          <t>Module 3 · See it to believe it</t>
        </is>
      </c>
      <c r="C1004" s="9" t="inlineStr">
        <is>
          <t>3c</t>
        </is>
      </c>
      <c r="D1004" s="9" t="inlineStr">
        <is>
          <t>used to</t>
        </is>
      </c>
      <c r="E1004" s="23" t="inlineStr">
        <is>
          <t>used to: значение — прошлые состояния, которых больше нет</t>
        </is>
      </c>
      <c r="F1004" s="25" t="inlineStr">
        <is>
          <t>повторение</t>
        </is>
      </c>
      <c r="G1004" s="9" t="inlineStr">
        <is>
          <t>I used to work as a waiter</t>
        </is>
      </c>
      <c r="H1004" s="25" t="inlineStr">
        <is>
          <t>10+</t>
        </is>
      </c>
      <c r="I1004" s="9">
        <f>IFERROR(INDEX('Темы × классы'!$R:$R,MATCH(E1004,'Темы × классы'!$E:$E,0)),"")</f>
        <v/>
      </c>
      <c r="J1004" s="9">
        <f>IFERROR(INDEX('Темы × классы'!$S:$S,MATCH(E1004,'Темы × классы'!$E:$E,0))&amp;"","")</f>
        <v/>
      </c>
      <c r="K1004" s="9" t="inlineStr">
        <is>
          <t>не начат</t>
        </is>
      </c>
      <c r="L1004" s="9" t="inlineStr">
        <is>
          <t>Spotlight / 9 класс / Module 3 · See it to believe it / used to / used to: значение — прошлые состояния, которых больше нет</t>
        </is>
      </c>
    </row>
    <row r="1005">
      <c r="A1005" s="25" t="n">
        <v>9</v>
      </c>
      <c r="B1005" s="9" t="inlineStr">
        <is>
          <t>Module 3 · See it to believe it</t>
        </is>
      </c>
      <c r="C1005" s="9" t="inlineStr">
        <is>
          <t>3c</t>
        </is>
      </c>
      <c r="D1005" s="9" t="inlineStr">
        <is>
          <t>used to</t>
        </is>
      </c>
      <c r="E1005" s="23" t="inlineStr">
        <is>
          <t>used to vs Past Simple: однократное действие — только Past Simple</t>
        </is>
      </c>
      <c r="F1005" s="25" t="inlineStr">
        <is>
          <t>повторение</t>
        </is>
      </c>
      <c r="G1005" s="9" t="inlineStr"/>
      <c r="H1005" s="25" t="inlineStr">
        <is>
          <t>10+</t>
        </is>
      </c>
      <c r="I1005" s="9">
        <f>IFERROR(INDEX('Темы × классы'!$R:$R,MATCH(E1005,'Темы × классы'!$E:$E,0)),"")</f>
        <v/>
      </c>
      <c r="J1005" s="9">
        <f>IFERROR(INDEX('Темы × классы'!$S:$S,MATCH(E1005,'Темы × классы'!$E:$E,0))&amp;"","")</f>
        <v/>
      </c>
      <c r="K1005" s="9" t="inlineStr">
        <is>
          <t>не начат</t>
        </is>
      </c>
      <c r="L1005" s="9" t="inlineStr">
        <is>
          <t>Spotlight / 9 класс / Module 3 · See it to believe it / used to / used to vs Past Simple: однократное действие — только Past Simple</t>
        </is>
      </c>
    </row>
    <row r="1006">
      <c r="A1006" s="25" t="n">
        <v>9</v>
      </c>
      <c r="B1006" s="9" t="inlineStr">
        <is>
          <t>Module 3 · See it to believe it</t>
        </is>
      </c>
      <c r="C1006" s="9" t="inlineStr">
        <is>
          <t>3c</t>
        </is>
      </c>
      <c r="D1006" s="9" t="inlineStr">
        <is>
          <t>would (past habits)</t>
        </is>
      </c>
      <c r="E1006" s="23" t="inlineStr">
        <is>
          <t>would: значение — повторяющиеся действия в прошлом (would + V)</t>
        </is>
      </c>
      <c r="F1006" s="26" t="inlineStr">
        <is>
          <t>новое</t>
        </is>
      </c>
      <c r="G1006" s="9" t="inlineStr">
        <is>
          <t>would (always/often) + V</t>
        </is>
      </c>
      <c r="H1006" s="25" t="inlineStr">
        <is>
          <t>10+</t>
        </is>
      </c>
      <c r="I1006" s="9">
        <f>IFERROR(INDEX('Темы × классы'!$R:$R,MATCH(E1006,'Темы × классы'!$E:$E,0)),"")</f>
        <v/>
      </c>
      <c r="J1006" s="9">
        <f>IFERROR(INDEX('Темы × классы'!$S:$S,MATCH(E1006,'Темы × классы'!$E:$E,0))&amp;"","")</f>
        <v/>
      </c>
      <c r="K1006" s="9" t="inlineStr">
        <is>
          <t>не начат</t>
        </is>
      </c>
      <c r="L1006" s="9" t="inlineStr">
        <is>
          <t>Spotlight / 9 класс / Module 3 · See it to believe it / would (past habits) / would: значение — повторяющиеся действия в прошлом (would + V)</t>
        </is>
      </c>
    </row>
    <row r="1007">
      <c r="A1007" s="25" t="n">
        <v>9</v>
      </c>
      <c r="B1007" s="9" t="inlineStr">
        <is>
          <t>Module 3 · See it to believe it</t>
        </is>
      </c>
      <c r="C1007" s="9" t="inlineStr">
        <is>
          <t>3c</t>
        </is>
      </c>
      <c r="D1007" s="9" t="inlineStr">
        <is>
          <t>would (past habits)</t>
        </is>
      </c>
      <c r="E1007" s="23" t="inlineStr">
        <is>
          <t>would vs used to: прошлые состояния — только used to</t>
        </is>
      </c>
      <c r="F1007" s="26" t="inlineStr">
        <is>
          <t>новое</t>
        </is>
      </c>
      <c r="G1007" s="9" t="inlineStr">
        <is>
          <t>NOT: I would work as a waiter</t>
        </is>
      </c>
      <c r="H1007" s="25" t="inlineStr">
        <is>
          <t>10+</t>
        </is>
      </c>
      <c r="I1007" s="9">
        <f>IFERROR(INDEX('Темы × классы'!$R:$R,MATCH(E1007,'Темы × классы'!$E:$E,0)),"")</f>
        <v/>
      </c>
      <c r="J1007" s="9">
        <f>IFERROR(INDEX('Темы × классы'!$S:$S,MATCH(E1007,'Темы × классы'!$E:$E,0))&amp;"","")</f>
        <v/>
      </c>
      <c r="K1007" s="9" t="inlineStr">
        <is>
          <t>не начат</t>
        </is>
      </c>
      <c r="L1007" s="9" t="inlineStr">
        <is>
          <t>Spotlight / 9 класс / Module 3 · See it to believe it / would (past habits) / would vs used to: прошлые состояния — только used to</t>
        </is>
      </c>
    </row>
    <row r="1008">
      <c r="A1008" s="25" t="n">
        <v>9</v>
      </c>
      <c r="B1008" s="9" t="inlineStr">
        <is>
          <t>Module 3 · See it to believe it</t>
        </is>
      </c>
      <c r="C1008" s="9" t="inlineStr">
        <is>
          <t>3f</t>
        </is>
      </c>
      <c r="D1008" s="9" t="inlineStr">
        <is>
          <t>Phrasal verbs</t>
        </is>
      </c>
      <c r="E1008" s="23" t="inlineStr">
        <is>
          <t>Phrasal verbs: come</t>
        </is>
      </c>
      <c r="F1008" s="26" t="inlineStr">
        <is>
          <t>новое</t>
        </is>
      </c>
      <c r="G1008" s="9" t="inlineStr">
        <is>
          <t>come: come across (случайно натолкнуться), come down with (заболеть чем-либо), come out (выступать на публике), come over (овладевать — о чувстве), come up with (предлагать идею).</t>
        </is>
      </c>
      <c r="H1008" s="25" t="inlineStr">
        <is>
          <t>10+</t>
        </is>
      </c>
      <c r="I1008" s="9">
        <f>IFERROR(INDEX('Темы × классы'!$R:$R,MATCH(E1008,'Темы × классы'!$E:$E,0)),"")</f>
        <v/>
      </c>
      <c r="J1008" s="9">
        <f>IFERROR(INDEX('Темы × классы'!$S:$S,MATCH(E1008,'Темы × классы'!$E:$E,0))&amp;"","")</f>
        <v/>
      </c>
      <c r="K1008" s="9" t="inlineStr">
        <is>
          <t>не начат</t>
        </is>
      </c>
      <c r="L1008" s="9" t="inlineStr">
        <is>
          <t>Spotlight / 9 класс / Module 3 · See it to believe it / Phrasal verbs / Phrasal verbs: come</t>
        </is>
      </c>
    </row>
    <row r="1009">
      <c r="A1009" s="25" t="n">
        <v>9</v>
      </c>
      <c r="B1009" s="9" t="inlineStr">
        <is>
          <t>Module 3 · See it to believe it</t>
        </is>
      </c>
      <c r="C1009" s="9" t="inlineStr">
        <is>
          <t>3f</t>
        </is>
      </c>
      <c r="D1009" s="9" t="inlineStr">
        <is>
          <t>Word formation</t>
        </is>
      </c>
      <c r="E1009" s="23" t="inlineStr">
        <is>
          <t>Word formation: compound adjectives</t>
        </is>
      </c>
      <c r="F1009" s="25" t="inlineStr">
        <is>
          <t>повторение</t>
        </is>
      </c>
      <c r="G1009" s="9" t="inlineStr">
        <is>
          <t>Word formation: сложные прилагательные (compound adjectives).</t>
        </is>
      </c>
      <c r="H1009" s="25" t="inlineStr">
        <is>
          <t>10+</t>
        </is>
      </c>
      <c r="I1009" s="9">
        <f>IFERROR(INDEX('Темы × классы'!$R:$R,MATCH(E1009,'Темы × классы'!$E:$E,0)),"")</f>
        <v/>
      </c>
      <c r="J1009" s="9">
        <f>IFERROR(INDEX('Темы × классы'!$S:$S,MATCH(E1009,'Темы × классы'!$E:$E,0))&amp;"","")</f>
        <v/>
      </c>
      <c r="K1009" s="9" t="inlineStr">
        <is>
          <t>не начат</t>
        </is>
      </c>
      <c r="L1009" s="9" t="inlineStr">
        <is>
          <t>Spotlight / 9 класс / Module 3 · See it to believe it / Word formation / Word formation: compound adjectives</t>
        </is>
      </c>
    </row>
    <row r="1010">
      <c r="A1010" s="25" t="n">
        <v>9</v>
      </c>
      <c r="B1010" s="9" t="inlineStr">
        <is>
          <t>Module 3 · See it to believe it</t>
        </is>
      </c>
      <c r="C1010" s="9" t="inlineStr">
        <is>
          <t>3f</t>
        </is>
      </c>
      <c r="D1010" s="9" t="inlineStr">
        <is>
          <t>Dependent prepositions</t>
        </is>
      </c>
      <c r="E1010" s="23" t="inlineStr">
        <is>
          <t>Dependent prepositions</t>
        </is>
      </c>
      <c r="F1010" s="25" t="inlineStr">
        <is>
          <t>повторение</t>
        </is>
      </c>
      <c r="G1010" s="9" t="inlineStr">
        <is>
          <t>Prepositions (заголовок раздела English in Use).</t>
        </is>
      </c>
      <c r="H1010" s="25" t="inlineStr">
        <is>
          <t>10+</t>
        </is>
      </c>
      <c r="I1010" s="9">
        <f>IFERROR(INDEX('Темы × классы'!$R:$R,MATCH(E1010,'Темы × классы'!$E:$E,0)),"")</f>
        <v/>
      </c>
      <c r="J1010" s="9">
        <f>IFERROR(INDEX('Темы × классы'!$S:$S,MATCH(E1010,'Темы × классы'!$E:$E,0))&amp;"","")</f>
        <v/>
      </c>
      <c r="K1010" s="9" t="inlineStr">
        <is>
          <t>не начат</t>
        </is>
      </c>
      <c r="L1010" s="9" t="inlineStr">
        <is>
          <t>Spotlight / 9 класс / Module 3 · See it to believe it / Dependent prepositions / Dependent prepositions</t>
        </is>
      </c>
    </row>
    <row r="1011">
      <c r="A1011" s="25" t="n">
        <v>9</v>
      </c>
      <c r="B1011" s="9" t="inlineStr">
        <is>
          <t>Module 4 · Technology</t>
        </is>
      </c>
      <c r="C1011" s="9" t="inlineStr">
        <is>
          <t>4c</t>
        </is>
      </c>
      <c r="D1011" s="9" t="inlineStr">
        <is>
          <t>Future Simple (will)</t>
        </is>
      </c>
      <c r="E1011" s="23" t="inlineStr">
        <is>
          <t>Future Simple (will): утверждение (will/'ll + V)</t>
        </is>
      </c>
      <c r="F1011" s="25" t="inlineStr">
        <is>
          <t>повторение</t>
        </is>
      </c>
      <c r="G1011" s="9" t="inlineStr"/>
      <c r="H1011" s="25" t="inlineStr">
        <is>
          <t>10+</t>
        </is>
      </c>
      <c r="I1011" s="9">
        <f>IFERROR(INDEX('Темы × классы'!$R:$R,MATCH(E1011,'Темы × классы'!$E:$E,0)),"")</f>
        <v/>
      </c>
      <c r="J1011" s="9">
        <f>IFERROR(INDEX('Темы × классы'!$S:$S,MATCH(E1011,'Темы × классы'!$E:$E,0))&amp;"","")</f>
        <v/>
      </c>
      <c r="K1011" s="9" t="inlineStr">
        <is>
          <t>не начат</t>
        </is>
      </c>
      <c r="L1011" s="9" t="inlineStr">
        <is>
          <t>Spotlight / 9 класс / Module 4 · Technology / Future Simple (will) / Future Simple (will): утверждение (will/'ll + V)</t>
        </is>
      </c>
    </row>
    <row r="1012">
      <c r="A1012" s="25" t="n">
        <v>9</v>
      </c>
      <c r="B1012" s="9" t="inlineStr">
        <is>
          <t>Module 4 · Technology</t>
        </is>
      </c>
      <c r="C1012" s="9" t="inlineStr">
        <is>
          <t>4c</t>
        </is>
      </c>
      <c r="D1012" s="9" t="inlineStr">
        <is>
          <t>Future Simple (will)</t>
        </is>
      </c>
      <c r="E1012" s="23" t="inlineStr">
        <is>
          <t>Future Simple (will): значение — предсказание/предположение</t>
        </is>
      </c>
      <c r="F1012" s="25" t="inlineStr">
        <is>
          <t>повторение</t>
        </is>
      </c>
      <c r="G1012" s="9" t="inlineStr">
        <is>
          <t>hope, think, believe, expect, imagine; probably, perhaps, maybe</t>
        </is>
      </c>
      <c r="H1012" s="25" t="inlineStr">
        <is>
          <t>10+</t>
        </is>
      </c>
      <c r="I1012" s="9">
        <f>IFERROR(INDEX('Темы × классы'!$R:$R,MATCH(E1012,'Темы × классы'!$E:$E,0)),"")</f>
        <v/>
      </c>
      <c r="J1012" s="9">
        <f>IFERROR(INDEX('Темы × классы'!$S:$S,MATCH(E1012,'Темы × классы'!$E:$E,0))&amp;"","")</f>
        <v/>
      </c>
      <c r="K1012" s="9" t="inlineStr">
        <is>
          <t>не начат</t>
        </is>
      </c>
      <c r="L1012" s="9" t="inlineStr">
        <is>
          <t>Spotlight / 9 класс / Module 4 · Technology / Future Simple (will) / Future Simple (will): значение — предсказание/предположение</t>
        </is>
      </c>
    </row>
    <row r="1013">
      <c r="A1013" s="25" t="n">
        <v>9</v>
      </c>
      <c r="B1013" s="9" t="inlineStr">
        <is>
          <t>Module 4 · Technology</t>
        </is>
      </c>
      <c r="C1013" s="9" t="inlineStr">
        <is>
          <t>4c</t>
        </is>
      </c>
      <c r="D1013" s="9" t="inlineStr">
        <is>
          <t>Future Simple (will)</t>
        </is>
      </c>
      <c r="E1013" s="23" t="inlineStr">
        <is>
          <t>Future Simple (will): значение — решение в момент речи</t>
        </is>
      </c>
      <c r="F1013" s="25" t="inlineStr">
        <is>
          <t>повторение</t>
        </is>
      </c>
      <c r="G1013" s="9" t="inlineStr"/>
      <c r="H1013" s="25" t="inlineStr">
        <is>
          <t>10+</t>
        </is>
      </c>
      <c r="I1013" s="9">
        <f>IFERROR(INDEX('Темы × классы'!$R:$R,MATCH(E1013,'Темы × классы'!$E:$E,0)),"")</f>
        <v/>
      </c>
      <c r="J1013" s="9">
        <f>IFERROR(INDEX('Темы × классы'!$S:$S,MATCH(E1013,'Темы × классы'!$E:$E,0))&amp;"","")</f>
        <v/>
      </c>
      <c r="K1013" s="9" t="inlineStr">
        <is>
          <t>не начат</t>
        </is>
      </c>
      <c r="L1013" s="9" t="inlineStr">
        <is>
          <t>Spotlight / 9 класс / Module 4 · Technology / Future Simple (will) / Future Simple (will): значение — решение в момент речи</t>
        </is>
      </c>
    </row>
    <row r="1014">
      <c r="A1014" s="25" t="n">
        <v>9</v>
      </c>
      <c r="B1014" s="9" t="inlineStr">
        <is>
          <t>Module 4 · Technology</t>
        </is>
      </c>
      <c r="C1014" s="9" t="inlineStr">
        <is>
          <t>4c</t>
        </is>
      </c>
      <c r="D1014" s="9" t="inlineStr">
        <is>
          <t>Future Simple (will)</t>
        </is>
      </c>
      <c r="E1014" s="23" t="inlineStr">
        <is>
          <t>Future Simple (will): значение — обещания</t>
        </is>
      </c>
      <c r="F1014" s="25" t="inlineStr">
        <is>
          <t>повторение</t>
        </is>
      </c>
      <c r="G1014" s="9" t="inlineStr"/>
      <c r="H1014" s="25" t="inlineStr">
        <is>
          <t>10+</t>
        </is>
      </c>
      <c r="I1014" s="9">
        <f>IFERROR(INDEX('Темы × классы'!$R:$R,MATCH(E1014,'Темы × классы'!$E:$E,0)),"")</f>
        <v/>
      </c>
      <c r="J1014" s="9">
        <f>IFERROR(INDEX('Темы × классы'!$S:$S,MATCH(E1014,'Темы × классы'!$E:$E,0))&amp;"","")</f>
        <v/>
      </c>
      <c r="K1014" s="9" t="inlineStr">
        <is>
          <t>не начат</t>
        </is>
      </c>
      <c r="L1014" s="9" t="inlineStr">
        <is>
          <t>Spotlight / 9 класс / Module 4 · Technology / Future Simple (will) / Future Simple (will): значение — обещания</t>
        </is>
      </c>
    </row>
    <row r="1015">
      <c r="A1015" s="25" t="n">
        <v>9</v>
      </c>
      <c r="B1015" s="9" t="inlineStr">
        <is>
          <t>Module 4 · Technology</t>
        </is>
      </c>
      <c r="C1015" s="9" t="inlineStr">
        <is>
          <t>4c</t>
        </is>
      </c>
      <c r="D1015" s="9" t="inlineStr">
        <is>
          <t>Future Simple (will)</t>
        </is>
      </c>
      <c r="E1015" s="23" t="inlineStr">
        <is>
          <t>Future Simple (will): Shall I/we? — предложение, просьба о совете</t>
        </is>
      </c>
      <c r="F1015" s="25" t="inlineStr">
        <is>
          <t>повторение</t>
        </is>
      </c>
      <c r="G1015" s="9" t="inlineStr"/>
      <c r="H1015" s="25" t="inlineStr">
        <is>
          <t>10+</t>
        </is>
      </c>
      <c r="I1015" s="9">
        <f>IFERROR(INDEX('Темы × классы'!$R:$R,MATCH(E1015,'Темы × классы'!$E:$E,0)),"")</f>
        <v/>
      </c>
      <c r="J1015" s="9">
        <f>IFERROR(INDEX('Темы × классы'!$S:$S,MATCH(E1015,'Темы × классы'!$E:$E,0))&amp;"","")</f>
        <v/>
      </c>
      <c r="K1015" s="9" t="inlineStr">
        <is>
          <t>не начат</t>
        </is>
      </c>
      <c r="L1015" s="9" t="inlineStr">
        <is>
          <t>Spotlight / 9 класс / Module 4 · Technology / Future Simple (will) / Future Simple (will): Shall I/we? — предложение, просьба о совете</t>
        </is>
      </c>
    </row>
    <row r="1016">
      <c r="A1016" s="25" t="n">
        <v>9</v>
      </c>
      <c r="B1016" s="9" t="inlineStr">
        <is>
          <t>Module 4 · Technology</t>
        </is>
      </c>
      <c r="C1016" s="9" t="inlineStr">
        <is>
          <t>4c</t>
        </is>
      </c>
      <c r="D1016" s="9" t="inlineStr">
        <is>
          <t>be going to</t>
        </is>
      </c>
      <c r="E1016" s="23" t="inlineStr">
        <is>
          <t>be going to: утверждение (am/is/are going to + V)</t>
        </is>
      </c>
      <c r="F1016" s="25" t="inlineStr">
        <is>
          <t>повторение</t>
        </is>
      </c>
      <c r="G1016" s="9" t="inlineStr">
        <is>
          <t>am/is/are going to + V</t>
        </is>
      </c>
      <c r="H1016" s="25" t="inlineStr">
        <is>
          <t>10+</t>
        </is>
      </c>
      <c r="I1016" s="9">
        <f>IFERROR(INDEX('Темы × классы'!$R:$R,MATCH(E1016,'Темы × классы'!$E:$E,0)),"")</f>
        <v/>
      </c>
      <c r="J1016" s="9">
        <f>IFERROR(INDEX('Темы × классы'!$S:$S,MATCH(E1016,'Темы × классы'!$E:$E,0))&amp;"","")</f>
        <v/>
      </c>
      <c r="K1016" s="9" t="inlineStr">
        <is>
          <t>не начат</t>
        </is>
      </c>
      <c r="L1016" s="9" t="inlineStr">
        <is>
          <t>Spotlight / 9 класс / Module 4 · Technology / be going to / be going to: утверждение (am/is/are going to + V)</t>
        </is>
      </c>
    </row>
    <row r="1017">
      <c r="A1017" s="25" t="n">
        <v>9</v>
      </c>
      <c r="B1017" s="9" t="inlineStr">
        <is>
          <t>Module 4 · Technology</t>
        </is>
      </c>
      <c r="C1017" s="9" t="inlineStr">
        <is>
          <t>4c</t>
        </is>
      </c>
      <c r="D1017" s="9" t="inlineStr">
        <is>
          <t>be going to</t>
        </is>
      </c>
      <c r="E1017" s="23" t="inlineStr">
        <is>
          <t>be going to: значение — планы и намерения</t>
        </is>
      </c>
      <c r="F1017" s="25" t="inlineStr">
        <is>
          <t>повторение</t>
        </is>
      </c>
      <c r="G1017" s="9" t="inlineStr">
        <is>
          <t>принятые заранее решения</t>
        </is>
      </c>
      <c r="H1017" s="25" t="inlineStr">
        <is>
          <t>10+</t>
        </is>
      </c>
      <c r="I1017" s="9">
        <f>IFERROR(INDEX('Темы × классы'!$R:$R,MATCH(E1017,'Темы × классы'!$E:$E,0)),"")</f>
        <v/>
      </c>
      <c r="J1017" s="9">
        <f>IFERROR(INDEX('Темы × классы'!$S:$S,MATCH(E1017,'Темы × классы'!$E:$E,0))&amp;"","")</f>
        <v/>
      </c>
      <c r="K1017" s="9" t="inlineStr">
        <is>
          <t>не начат</t>
        </is>
      </c>
      <c r="L1017" s="9" t="inlineStr">
        <is>
          <t>Spotlight / 9 класс / Module 4 · Technology / be going to / be going to: значение — планы и намерения</t>
        </is>
      </c>
    </row>
    <row r="1018">
      <c r="A1018" s="25" t="n">
        <v>9</v>
      </c>
      <c r="B1018" s="9" t="inlineStr">
        <is>
          <t>Module 4 · Technology</t>
        </is>
      </c>
      <c r="C1018" s="9" t="inlineStr">
        <is>
          <t>4c</t>
        </is>
      </c>
      <c r="D1018" s="9" t="inlineStr">
        <is>
          <t>be going to</t>
        </is>
      </c>
      <c r="E1018" s="23" t="inlineStr">
        <is>
          <t>be going to: значение — предсказание по очевидным признакам</t>
        </is>
      </c>
      <c r="F1018" s="25" t="inlineStr">
        <is>
          <t>повторение</t>
        </is>
      </c>
      <c r="G1018" s="9" t="inlineStr">
        <is>
          <t>Look out! You're going to step on…</t>
        </is>
      </c>
      <c r="H1018" s="25" t="inlineStr">
        <is>
          <t>10+</t>
        </is>
      </c>
      <c r="I1018" s="9">
        <f>IFERROR(INDEX('Темы × классы'!$R:$R,MATCH(E1018,'Темы × классы'!$E:$E,0)),"")</f>
        <v/>
      </c>
      <c r="J1018" s="9">
        <f>IFERROR(INDEX('Темы × классы'!$S:$S,MATCH(E1018,'Темы × классы'!$E:$E,0))&amp;"","")</f>
        <v/>
      </c>
      <c r="K1018" s="9" t="inlineStr">
        <is>
          <t>не начат</t>
        </is>
      </c>
      <c r="L1018" s="9" t="inlineStr">
        <is>
          <t>Spotlight / 9 класс / Module 4 · Technology / be going to / be going to: значение — предсказание по очевидным признакам</t>
        </is>
      </c>
    </row>
    <row r="1019">
      <c r="A1019" s="25" t="n">
        <v>9</v>
      </c>
      <c r="B1019" s="9" t="inlineStr">
        <is>
          <t>Module 4 · Technology</t>
        </is>
      </c>
      <c r="C1019" s="9" t="inlineStr">
        <is>
          <t>4c</t>
        </is>
      </c>
      <c r="D1019" s="9" t="inlineStr">
        <is>
          <t>be going to</t>
        </is>
      </c>
      <c r="E1019" s="23" t="inlineStr">
        <is>
          <t>be going to vs will: план/признаки vs решение в момент речи/мнение</t>
        </is>
      </c>
      <c r="F1019" s="25" t="inlineStr">
        <is>
          <t>повторение</t>
        </is>
      </c>
      <c r="G1019" s="9" t="inlineStr"/>
      <c r="H1019" s="25" t="inlineStr">
        <is>
          <t>10+</t>
        </is>
      </c>
      <c r="I1019" s="9">
        <f>IFERROR(INDEX('Темы × классы'!$R:$R,MATCH(E1019,'Темы × классы'!$E:$E,0)),"")</f>
        <v/>
      </c>
      <c r="J1019" s="9">
        <f>IFERROR(INDEX('Темы × классы'!$S:$S,MATCH(E1019,'Темы × классы'!$E:$E,0))&amp;"","")</f>
        <v/>
      </c>
      <c r="K1019" s="9" t="inlineStr">
        <is>
          <t>не начат</t>
        </is>
      </c>
      <c r="L1019" s="9" t="inlineStr">
        <is>
          <t>Spotlight / 9 класс / Module 4 · Technology / be going to / be going to vs will: план/признаки vs решение в момент речи/мнение</t>
        </is>
      </c>
    </row>
    <row r="1020">
      <c r="A1020" s="25" t="n">
        <v>9</v>
      </c>
      <c r="B1020" s="9" t="inlineStr">
        <is>
          <t>Module 4 · Technology</t>
        </is>
      </c>
      <c r="C1020" s="9" t="inlineStr">
        <is>
          <t>4c</t>
        </is>
      </c>
      <c r="D1020" s="9" t="inlineStr">
        <is>
          <t>Future forms (comparison)</t>
        </is>
      </c>
      <c r="E1020" s="23" t="inlineStr">
        <is>
          <t>Future forms: Present Continuous — договорённости на ближайшее будущее</t>
        </is>
      </c>
      <c r="F1020" s="25" t="inlineStr">
        <is>
          <t>повторение</t>
        </is>
      </c>
      <c r="G1020" s="9" t="inlineStr">
        <is>
          <t>I'm throwing a surprise party on Saturday</t>
        </is>
      </c>
      <c r="H1020" s="25" t="inlineStr">
        <is>
          <t>10+</t>
        </is>
      </c>
      <c r="I1020" s="9">
        <f>IFERROR(INDEX('Темы × классы'!$R:$R,MATCH(E1020,'Темы × классы'!$E:$E,0)),"")</f>
        <v/>
      </c>
      <c r="J1020" s="9">
        <f>IFERROR(INDEX('Темы × классы'!$S:$S,MATCH(E1020,'Темы × классы'!$E:$E,0))&amp;"","")</f>
        <v/>
      </c>
      <c r="K1020" s="9" t="inlineStr">
        <is>
          <t>не начат</t>
        </is>
      </c>
      <c r="L1020" s="9" t="inlineStr">
        <is>
          <t>Spotlight / 9 класс / Module 4 · Technology / Future forms (comparison) / Future forms: Present Continuous — договорённости на ближайшее будущее</t>
        </is>
      </c>
    </row>
    <row r="1021">
      <c r="A1021" s="25" t="n">
        <v>9</v>
      </c>
      <c r="B1021" s="9" t="inlineStr">
        <is>
          <t>Module 4 · Technology</t>
        </is>
      </c>
      <c r="C1021" s="9" t="inlineStr">
        <is>
          <t>4c</t>
        </is>
      </c>
      <c r="D1021" s="9" t="inlineStr">
        <is>
          <t>Future forms (comparison)</t>
        </is>
      </c>
      <c r="E1021" s="23" t="inlineStr">
        <is>
          <t>Future forms: Present Simple — расписания и программы</t>
        </is>
      </c>
      <c r="F1021" s="25" t="inlineStr">
        <is>
          <t>повторение</t>
        </is>
      </c>
      <c r="G1021" s="9" t="inlineStr">
        <is>
          <t>The plane takes off at 10:00</t>
        </is>
      </c>
      <c r="H1021" s="25" t="inlineStr">
        <is>
          <t>10+</t>
        </is>
      </c>
      <c r="I1021" s="9">
        <f>IFERROR(INDEX('Темы × классы'!$R:$R,MATCH(E1021,'Темы × классы'!$E:$E,0)),"")</f>
        <v/>
      </c>
      <c r="J1021" s="9">
        <f>IFERROR(INDEX('Темы × классы'!$S:$S,MATCH(E1021,'Темы × классы'!$E:$E,0))&amp;"","")</f>
        <v/>
      </c>
      <c r="K1021" s="9" t="inlineStr">
        <is>
          <t>не начат</t>
        </is>
      </c>
      <c r="L1021" s="9" t="inlineStr">
        <is>
          <t>Spotlight / 9 класс / Module 4 · Technology / Future forms (comparison) / Future forms: Present Simple — расписания и программы</t>
        </is>
      </c>
    </row>
    <row r="1022">
      <c r="A1022" s="25" t="n">
        <v>9</v>
      </c>
      <c r="B1022" s="9" t="inlineStr">
        <is>
          <t>Module 4 · Technology</t>
        </is>
      </c>
      <c r="C1022" s="9" t="inlineStr">
        <is>
          <t>4c</t>
        </is>
      </c>
      <c r="D1022" s="9" t="inlineStr">
        <is>
          <t>Future forms (comparison)</t>
        </is>
      </c>
      <c r="E1022" s="23" t="inlineStr">
        <is>
          <t>Future forms: will vs be going to — решение в момент речи vs план</t>
        </is>
      </c>
      <c r="F1022" s="25" t="inlineStr">
        <is>
          <t>повторение</t>
        </is>
      </c>
      <c r="G1022" s="9" t="inlineStr"/>
      <c r="H1022" s="25" t="inlineStr">
        <is>
          <t>10+</t>
        </is>
      </c>
      <c r="I1022" s="9">
        <f>IFERROR(INDEX('Темы × классы'!$R:$R,MATCH(E1022,'Темы × классы'!$E:$E,0)),"")</f>
        <v/>
      </c>
      <c r="J1022" s="9">
        <f>IFERROR(INDEX('Темы × классы'!$S:$S,MATCH(E1022,'Темы × классы'!$E:$E,0))&amp;"","")</f>
        <v/>
      </c>
      <c r="K1022" s="9" t="inlineStr">
        <is>
          <t>не начат</t>
        </is>
      </c>
      <c r="L1022" s="9" t="inlineStr">
        <is>
          <t>Spotlight / 9 класс / Module 4 · Technology / Future forms (comparison) / Future forms: will vs be going to — решение в момент речи vs план</t>
        </is>
      </c>
    </row>
    <row r="1023">
      <c r="A1023" s="25" t="n">
        <v>9</v>
      </c>
      <c r="B1023" s="9" t="inlineStr">
        <is>
          <t>Module 4 · Technology</t>
        </is>
      </c>
      <c r="C1023" s="9" t="inlineStr">
        <is>
          <t>4c</t>
        </is>
      </c>
      <c r="D1023" s="9" t="inlineStr">
        <is>
          <t>Future forms (comparison)</t>
        </is>
      </c>
      <c r="E1023" s="23" t="inlineStr">
        <is>
          <t>Future forms: will vs be going to — прогноз-мнение vs прогноз по признакам</t>
        </is>
      </c>
      <c r="F1023" s="25" t="inlineStr">
        <is>
          <t>повторение</t>
        </is>
      </c>
      <c r="G1023" s="9" t="inlineStr"/>
      <c r="H1023" s="25" t="inlineStr">
        <is>
          <t>10+</t>
        </is>
      </c>
      <c r="I1023" s="9">
        <f>IFERROR(INDEX('Темы × классы'!$R:$R,MATCH(E1023,'Темы × классы'!$E:$E,0)),"")</f>
        <v/>
      </c>
      <c r="J1023" s="9">
        <f>IFERROR(INDEX('Темы × классы'!$S:$S,MATCH(E1023,'Темы × классы'!$E:$E,0))&amp;"","")</f>
        <v/>
      </c>
      <c r="K1023" s="9" t="inlineStr">
        <is>
          <t>не начат</t>
        </is>
      </c>
      <c r="L1023" s="9" t="inlineStr">
        <is>
          <t>Spotlight / 9 класс / Module 4 · Technology / Future forms (comparison) / Future forms: will vs be going to — прогноз-мнение vs прогноз по признакам</t>
        </is>
      </c>
    </row>
    <row r="1024">
      <c r="A1024" s="25" t="n">
        <v>9</v>
      </c>
      <c r="B1024" s="9" t="inlineStr">
        <is>
          <t>Module 4 · Technology</t>
        </is>
      </c>
      <c r="C1024" s="9" t="inlineStr">
        <is>
          <t>4c</t>
        </is>
      </c>
      <c r="D1024" s="9" t="inlineStr">
        <is>
          <t>Future forms (comparison)</t>
        </is>
      </c>
      <c r="E1024" s="23" t="inlineStr">
        <is>
          <t>Future forms: Future Continuous/Future Perfect в системе будущих форм</t>
        </is>
      </c>
      <c r="F1024" s="26" t="inlineStr">
        <is>
          <t>новое</t>
        </is>
      </c>
      <c r="G1024" s="9" t="inlineStr">
        <is>
          <t>Future Continuous/Perfect среди способов выражения будущего</t>
        </is>
      </c>
      <c r="H1024" s="25" t="inlineStr">
        <is>
          <t>10+</t>
        </is>
      </c>
      <c r="I1024" s="9">
        <f>IFERROR(INDEX('Темы × классы'!$R:$R,MATCH(E1024,'Темы × классы'!$E:$E,0)),"")</f>
        <v/>
      </c>
      <c r="J1024" s="9">
        <f>IFERROR(INDEX('Темы × классы'!$S:$S,MATCH(E1024,'Темы × классы'!$E:$E,0))&amp;"","")</f>
        <v/>
      </c>
      <c r="K1024" s="9" t="inlineStr">
        <is>
          <t>не начат</t>
        </is>
      </c>
      <c r="L1024" s="9" t="inlineStr">
        <is>
          <t>Spotlight / 9 класс / Module 4 · Technology / Future forms (comparison) / Future forms: Future Continuous/Future Perfect в системе будущих форм</t>
        </is>
      </c>
    </row>
    <row r="1025">
      <c r="A1025" s="25" t="n">
        <v>9</v>
      </c>
      <c r="B1025" s="9" t="inlineStr">
        <is>
          <t>Module 4 · Technology</t>
        </is>
      </c>
      <c r="C1025" s="9" t="inlineStr">
        <is>
          <t>4c</t>
        </is>
      </c>
      <c r="D1025" s="9" t="inlineStr">
        <is>
          <t>Future Continuous</t>
        </is>
      </c>
      <c r="E1025" s="23" t="inlineStr">
        <is>
          <t>Future Continuous: образование (will be + V-ing)</t>
        </is>
      </c>
      <c r="F1025" s="26" t="inlineStr">
        <is>
          <t>новое</t>
        </is>
      </c>
      <c r="G1025" s="9" t="inlineStr">
        <is>
          <t>will be + V-ing</t>
        </is>
      </c>
      <c r="H1025" s="25" t="inlineStr">
        <is>
          <t>10+</t>
        </is>
      </c>
      <c r="I1025" s="9">
        <f>IFERROR(INDEX('Темы × классы'!$R:$R,MATCH(E1025,'Темы × классы'!$E:$E,0)),"")</f>
        <v/>
      </c>
      <c r="J1025" s="9">
        <f>IFERROR(INDEX('Темы × классы'!$S:$S,MATCH(E1025,'Темы × классы'!$E:$E,0))&amp;"","")</f>
        <v/>
      </c>
      <c r="K1025" s="9" t="inlineStr">
        <is>
          <t>не начат</t>
        </is>
      </c>
      <c r="L1025" s="9" t="inlineStr">
        <is>
          <t>Spotlight / 9 класс / Module 4 · Technology / Future Continuous / Future Continuous: образование (will be + V-ing)</t>
        </is>
      </c>
    </row>
    <row r="1026">
      <c r="A1026" s="25" t="n">
        <v>9</v>
      </c>
      <c r="B1026" s="9" t="inlineStr">
        <is>
          <t>Module 4 · Technology</t>
        </is>
      </c>
      <c r="C1026" s="9" t="inlineStr">
        <is>
          <t>4c</t>
        </is>
      </c>
      <c r="D1026" s="9" t="inlineStr">
        <is>
          <t>Future Continuous</t>
        </is>
      </c>
      <c r="E1026" s="23" t="inlineStr">
        <is>
          <t>Future Continuous: значение — действие в процессе в момент будущего</t>
        </is>
      </c>
      <c r="F1026" s="26" t="inlineStr">
        <is>
          <t>новое</t>
        </is>
      </c>
      <c r="G1026" s="9" t="inlineStr"/>
      <c r="H1026" s="25" t="inlineStr">
        <is>
          <t>10+</t>
        </is>
      </c>
      <c r="I1026" s="9">
        <f>IFERROR(INDEX('Темы × классы'!$R:$R,MATCH(E1026,'Темы × классы'!$E:$E,0)),"")</f>
        <v/>
      </c>
      <c r="J1026" s="9">
        <f>IFERROR(INDEX('Темы × классы'!$S:$S,MATCH(E1026,'Темы × классы'!$E:$E,0))&amp;"","")</f>
        <v/>
      </c>
      <c r="K1026" s="9" t="inlineStr">
        <is>
          <t>не начат</t>
        </is>
      </c>
      <c r="L1026" s="9" t="inlineStr">
        <is>
          <t>Spotlight / 9 класс / Module 4 · Technology / Future Continuous / Future Continuous: значение — действие в процессе в момент будущего</t>
        </is>
      </c>
    </row>
    <row r="1027">
      <c r="A1027" s="25" t="n">
        <v>9</v>
      </c>
      <c r="B1027" s="9" t="inlineStr">
        <is>
          <t>Module 4 · Technology</t>
        </is>
      </c>
      <c r="C1027" s="9" t="inlineStr">
        <is>
          <t>4c</t>
        </is>
      </c>
      <c r="D1027" s="9" t="inlineStr">
        <is>
          <t>Future Continuous</t>
        </is>
      </c>
      <c r="E1027" s="23" t="inlineStr">
        <is>
          <t>Future Continuous: значение — по распорядку/договорённости</t>
        </is>
      </c>
      <c r="F1027" s="26" t="inlineStr">
        <is>
          <t>новое</t>
        </is>
      </c>
      <c r="G1027" s="9" t="inlineStr"/>
      <c r="H1027" s="25" t="inlineStr">
        <is>
          <t>10+</t>
        </is>
      </c>
      <c r="I1027" s="9">
        <f>IFERROR(INDEX('Темы × классы'!$R:$R,MATCH(E1027,'Темы × классы'!$E:$E,0)),"")</f>
        <v/>
      </c>
      <c r="J1027" s="9">
        <f>IFERROR(INDEX('Темы × классы'!$S:$S,MATCH(E1027,'Темы × классы'!$E:$E,0))&amp;"","")</f>
        <v/>
      </c>
      <c r="K1027" s="9" t="inlineStr">
        <is>
          <t>не начат</t>
        </is>
      </c>
      <c r="L1027" s="9" t="inlineStr">
        <is>
          <t>Spotlight / 9 класс / Module 4 · Technology / Future Continuous / Future Continuous: значение — по распорядку/договорённости</t>
        </is>
      </c>
    </row>
    <row r="1028">
      <c r="A1028" s="25" t="n">
        <v>9</v>
      </c>
      <c r="B1028" s="9" t="inlineStr">
        <is>
          <t>Module 4 · Technology</t>
        </is>
      </c>
      <c r="C1028" s="9" t="inlineStr">
        <is>
          <t>4c</t>
        </is>
      </c>
      <c r="D1028" s="9" t="inlineStr">
        <is>
          <t>Future Continuous</t>
        </is>
      </c>
      <c r="E1028" s="23" t="inlineStr">
        <is>
          <t>Future Continuous: значение — вежливый вопрос о планах</t>
        </is>
      </c>
      <c r="F1028" s="26" t="inlineStr">
        <is>
          <t>новое</t>
        </is>
      </c>
      <c r="G1028" s="9" t="inlineStr">
        <is>
          <t>Will you be watching…?</t>
        </is>
      </c>
      <c r="H1028" s="25" t="inlineStr">
        <is>
          <t>10+</t>
        </is>
      </c>
      <c r="I1028" s="9">
        <f>IFERROR(INDEX('Темы × классы'!$R:$R,MATCH(E1028,'Темы × классы'!$E:$E,0)),"")</f>
        <v/>
      </c>
      <c r="J1028" s="9">
        <f>IFERROR(INDEX('Темы × классы'!$S:$S,MATCH(E1028,'Темы × классы'!$E:$E,0))&amp;"","")</f>
        <v/>
      </c>
      <c r="K1028" s="9" t="inlineStr">
        <is>
          <t>не начат</t>
        </is>
      </c>
      <c r="L1028" s="9" t="inlineStr">
        <is>
          <t>Spotlight / 9 класс / Module 4 · Technology / Future Continuous / Future Continuous: значение — вежливый вопрос о планах</t>
        </is>
      </c>
    </row>
    <row r="1029">
      <c r="A1029" s="25" t="n">
        <v>9</v>
      </c>
      <c r="B1029" s="9" t="inlineStr">
        <is>
          <t>Module 4 · Technology</t>
        </is>
      </c>
      <c r="C1029" s="9" t="inlineStr">
        <is>
          <t>4c</t>
        </is>
      </c>
      <c r="D1029" s="9" t="inlineStr">
        <is>
          <t>Future Perfect</t>
        </is>
      </c>
      <c r="E1029" s="23" t="inlineStr">
        <is>
          <t>Future Perfect: образование (will have + V3)</t>
        </is>
      </c>
      <c r="F1029" s="26" t="inlineStr">
        <is>
          <t>новое</t>
        </is>
      </c>
      <c r="G1029" s="9" t="inlineStr">
        <is>
          <t>will have + V3</t>
        </is>
      </c>
      <c r="H1029" s="25" t="inlineStr">
        <is>
          <t>10+</t>
        </is>
      </c>
      <c r="I1029" s="9">
        <f>IFERROR(INDEX('Темы × классы'!$R:$R,MATCH(E1029,'Темы × классы'!$E:$E,0)),"")</f>
        <v/>
      </c>
      <c r="J1029" s="9">
        <f>IFERROR(INDEX('Темы × классы'!$S:$S,MATCH(E1029,'Темы × классы'!$E:$E,0))&amp;"","")</f>
        <v/>
      </c>
      <c r="K1029" s="9" t="inlineStr">
        <is>
          <t>не начат</t>
        </is>
      </c>
      <c r="L1029" s="9" t="inlineStr">
        <is>
          <t>Spotlight / 9 класс / Module 4 · Technology / Future Perfect / Future Perfect: образование (will have + V3)</t>
        </is>
      </c>
    </row>
    <row r="1030">
      <c r="A1030" s="25" t="n">
        <v>9</v>
      </c>
      <c r="B1030" s="9" t="inlineStr">
        <is>
          <t>Module 4 · Technology</t>
        </is>
      </c>
      <c r="C1030" s="9" t="inlineStr">
        <is>
          <t>4c</t>
        </is>
      </c>
      <c r="D1030" s="9" t="inlineStr">
        <is>
          <t>Future Perfect</t>
        </is>
      </c>
      <c r="E1030" s="23" t="inlineStr">
        <is>
          <t>Future Perfect: значение — завершится к моменту в будущем</t>
        </is>
      </c>
      <c r="F1030" s="26" t="inlineStr">
        <is>
          <t>новое</t>
        </is>
      </c>
      <c r="G1030" s="9" t="inlineStr">
        <is>
          <t>before, by, by then, by the time, until/till (только в отрицании)</t>
        </is>
      </c>
      <c r="H1030" s="25" t="inlineStr">
        <is>
          <t>10+</t>
        </is>
      </c>
      <c r="I1030" s="9">
        <f>IFERROR(INDEX('Темы × классы'!$R:$R,MATCH(E1030,'Темы × классы'!$E:$E,0)),"")</f>
        <v/>
      </c>
      <c r="J1030" s="9">
        <f>IFERROR(INDEX('Темы × классы'!$S:$S,MATCH(E1030,'Темы × классы'!$E:$E,0))&amp;"","")</f>
        <v/>
      </c>
      <c r="K1030" s="9" t="inlineStr">
        <is>
          <t>не начат</t>
        </is>
      </c>
      <c r="L1030" s="9" t="inlineStr">
        <is>
          <t>Spotlight / 9 класс / Module 4 · Technology / Future Perfect / Future Perfect: значение — завершится к моменту в будущем</t>
        </is>
      </c>
    </row>
    <row r="1031">
      <c r="A1031" s="25" t="n">
        <v>9</v>
      </c>
      <c r="B1031" s="9" t="inlineStr">
        <is>
          <t>Module 4 · Technology</t>
        </is>
      </c>
      <c r="C1031" s="9" t="inlineStr">
        <is>
          <t>4c</t>
        </is>
      </c>
      <c r="D1031" s="9" t="inlineStr">
        <is>
          <t>so / such</t>
        </is>
      </c>
      <c r="E1031" s="23" t="inlineStr">
        <is>
          <t>so / such: so + прил./нареч.; so + many/much/few/little + сущ.</t>
        </is>
      </c>
      <c r="F1031" s="26" t="inlineStr">
        <is>
          <t>новое</t>
        </is>
      </c>
      <c r="G1031" s="9" t="inlineStr">
        <is>
          <t>so loudly that…; so + many/much/few/little</t>
        </is>
      </c>
      <c r="H1031" s="25" t="inlineStr">
        <is>
          <t>10+</t>
        </is>
      </c>
      <c r="I1031" s="9">
        <f>IFERROR(INDEX('Темы × классы'!$R:$R,MATCH(E1031,'Темы × классы'!$E:$E,0)),"")</f>
        <v/>
      </c>
      <c r="J1031" s="9">
        <f>IFERROR(INDEX('Темы × классы'!$S:$S,MATCH(E1031,'Темы × классы'!$E:$E,0))&amp;"","")</f>
        <v/>
      </c>
      <c r="K1031" s="9" t="inlineStr">
        <is>
          <t>не начат</t>
        </is>
      </c>
      <c r="L1031" s="9" t="inlineStr">
        <is>
          <t>Spotlight / 9 класс / Module 4 · Technology / so / such / so / such: so + прил./нареч.; so + many/much/few/little + сущ.</t>
        </is>
      </c>
    </row>
    <row r="1032">
      <c r="A1032" s="25" t="n">
        <v>9</v>
      </c>
      <c r="B1032" s="9" t="inlineStr">
        <is>
          <t>Module 4 · Technology</t>
        </is>
      </c>
      <c r="C1032" s="9" t="inlineStr">
        <is>
          <t>4c</t>
        </is>
      </c>
      <c r="D1032" s="9" t="inlineStr">
        <is>
          <t>so / such</t>
        </is>
      </c>
      <c r="E1032" s="23" t="inlineStr">
        <is>
          <t>so / such: such (a/an) + (прил.) + сущ.; such a lot of</t>
        </is>
      </c>
      <c r="F1032" s="26" t="inlineStr">
        <is>
          <t>новое</t>
        </is>
      </c>
      <c r="G1032" s="9" t="inlineStr">
        <is>
          <t>such (a/an) + сущ.; such a lot of</t>
        </is>
      </c>
      <c r="H1032" s="25" t="inlineStr">
        <is>
          <t>10+</t>
        </is>
      </c>
      <c r="I1032" s="9">
        <f>IFERROR(INDEX('Темы × классы'!$R:$R,MATCH(E1032,'Темы × классы'!$E:$E,0)),"")</f>
        <v/>
      </c>
      <c r="J1032" s="9">
        <f>IFERROR(INDEX('Темы × классы'!$S:$S,MATCH(E1032,'Темы × классы'!$E:$E,0))&amp;"","")</f>
        <v/>
      </c>
      <c r="K1032" s="9" t="inlineStr">
        <is>
          <t>не начат</t>
        </is>
      </c>
      <c r="L1032" s="9" t="inlineStr">
        <is>
          <t>Spotlight / 9 класс / Module 4 · Technology / so / such / so / such: such (a/an) + (прил.) + сущ.; such a lot of</t>
        </is>
      </c>
    </row>
    <row r="1033">
      <c r="A1033" s="25" t="n">
        <v>9</v>
      </c>
      <c r="B1033" s="9" t="inlineStr">
        <is>
          <t>Module 4 · Technology</t>
        </is>
      </c>
      <c r="C1033" s="9" t="inlineStr">
        <is>
          <t>4c</t>
        </is>
      </c>
      <c r="D1033" s="9" t="inlineStr">
        <is>
          <t>so / such</t>
        </is>
      </c>
      <c r="E1033" s="23" t="inlineStr">
        <is>
          <t>so / such: so + прил. + a(n) + сущ.</t>
        </is>
      </c>
      <c r="F1033" s="26" t="inlineStr">
        <is>
          <t>новое</t>
        </is>
      </c>
      <c r="G1033" s="9" t="inlineStr">
        <is>
          <t>so + adj + a(n) + noun</t>
        </is>
      </c>
      <c r="H1033" s="25" t="inlineStr">
        <is>
          <t>10+</t>
        </is>
      </c>
      <c r="I1033" s="9">
        <f>IFERROR(INDEX('Темы × классы'!$R:$R,MATCH(E1033,'Темы × классы'!$E:$E,0)),"")</f>
        <v/>
      </c>
      <c r="J1033" s="9">
        <f>IFERROR(INDEX('Темы × классы'!$S:$S,MATCH(E1033,'Темы × классы'!$E:$E,0))&amp;"","")</f>
        <v/>
      </c>
      <c r="K1033" s="9" t="inlineStr">
        <is>
          <t>не начат</t>
        </is>
      </c>
      <c r="L1033" s="9" t="inlineStr">
        <is>
          <t>Spotlight / 9 класс / Module 4 · Technology / so / such / so / such: so + прил. + a(n) + сущ.</t>
        </is>
      </c>
    </row>
    <row r="1034">
      <c r="A1034" s="25" t="n">
        <v>9</v>
      </c>
      <c r="B1034" s="9" t="inlineStr">
        <is>
          <t>Module 4 · Technology</t>
        </is>
      </c>
      <c r="C1034" s="9" t="inlineStr">
        <is>
          <t>4c</t>
        </is>
      </c>
      <c r="D1034" s="9" t="inlineStr">
        <is>
          <t>Time clauses</t>
        </is>
      </c>
      <c r="E1034" s="23" t="inlineStr">
        <is>
          <t>Time clauses: Present Simple вместо будущего после when/before/after/until/as soon as…</t>
        </is>
      </c>
      <c r="F1034" s="25" t="inlineStr">
        <is>
          <t>повторение</t>
        </is>
      </c>
      <c r="G1034" s="9" t="inlineStr">
        <is>
          <t>тот же список союзов</t>
        </is>
      </c>
      <c r="H1034" s="25" t="inlineStr">
        <is>
          <t>10+</t>
        </is>
      </c>
      <c r="I1034" s="9">
        <f>IFERROR(INDEX('Темы × классы'!$R:$R,MATCH(E1034,'Темы × классы'!$E:$E,0)),"")</f>
        <v/>
      </c>
      <c r="J1034" s="9">
        <f>IFERROR(INDEX('Темы × классы'!$S:$S,MATCH(E1034,'Темы × классы'!$E:$E,0))&amp;"","")</f>
        <v/>
      </c>
      <c r="K1034" s="9" t="inlineStr">
        <is>
          <t>не начат</t>
        </is>
      </c>
      <c r="L1034" s="9" t="inlineStr">
        <is>
          <t>Spotlight / 9 класс / Module 4 · Technology / Time clauses / Time clauses: Present Simple вместо будущего после when/before/after/until/as soon as…</t>
        </is>
      </c>
    </row>
    <row r="1035">
      <c r="A1035" s="25" t="n">
        <v>9</v>
      </c>
      <c r="B1035" s="9" t="inlineStr">
        <is>
          <t>Module 4 · Technology</t>
        </is>
      </c>
      <c r="C1035" s="9" t="inlineStr">
        <is>
          <t>4c</t>
        </is>
      </c>
      <c r="D1035" s="9" t="inlineStr">
        <is>
          <t>Time clauses</t>
        </is>
      </c>
      <c r="E1035" s="23" t="inlineStr">
        <is>
          <t>Time clauses: Present Perfect в придаточном времени</t>
        </is>
      </c>
      <c r="F1035" s="25" t="inlineStr">
        <is>
          <t>повторение</t>
        </is>
      </c>
      <c r="G1035" s="9" t="inlineStr"/>
      <c r="H1035" s="25" t="inlineStr">
        <is>
          <t>10+</t>
        </is>
      </c>
      <c r="I1035" s="9">
        <f>IFERROR(INDEX('Темы × классы'!$R:$R,MATCH(E1035,'Темы × классы'!$E:$E,0)),"")</f>
        <v/>
      </c>
      <c r="J1035" s="9">
        <f>IFERROR(INDEX('Темы × классы'!$S:$S,MATCH(E1035,'Темы × классы'!$E:$E,0))&amp;"","")</f>
        <v/>
      </c>
      <c r="K1035" s="9" t="inlineStr">
        <is>
          <t>не начат</t>
        </is>
      </c>
      <c r="L1035" s="9" t="inlineStr">
        <is>
          <t>Spotlight / 9 класс / Module 4 · Technology / Time clauses / Time clauses: Present Perfect в придаточном времени</t>
        </is>
      </c>
    </row>
    <row r="1036">
      <c r="A1036" s="25" t="n">
        <v>9</v>
      </c>
      <c r="B1036" s="9" t="inlineStr">
        <is>
          <t>Module 4 · Technology</t>
        </is>
      </c>
      <c r="C1036" s="9" t="inlineStr">
        <is>
          <t>4c</t>
        </is>
      </c>
      <c r="D1036" s="9" t="inlineStr">
        <is>
          <t>Time clauses</t>
        </is>
      </c>
      <c r="E1036" s="23" t="inlineStr">
        <is>
          <t>Time clauses: то же после if, unless, in case, supposing</t>
        </is>
      </c>
      <c r="F1036" s="26" t="inlineStr">
        <is>
          <t>новое</t>
        </is>
      </c>
      <c r="G1036" s="9" t="inlineStr">
        <is>
          <t>unless, if, suppose/supposing, in case</t>
        </is>
      </c>
      <c r="H1036" s="25" t="inlineStr">
        <is>
          <t>10+</t>
        </is>
      </c>
      <c r="I1036" s="9">
        <f>IFERROR(INDEX('Темы × классы'!$R:$R,MATCH(E1036,'Темы × классы'!$E:$E,0)),"")</f>
        <v/>
      </c>
      <c r="J1036" s="9">
        <f>IFERROR(INDEX('Темы × классы'!$S:$S,MATCH(E1036,'Темы × классы'!$E:$E,0))&amp;"","")</f>
        <v/>
      </c>
      <c r="K1036" s="9" t="inlineStr">
        <is>
          <t>не начат</t>
        </is>
      </c>
      <c r="L1036" s="9" t="inlineStr">
        <is>
          <t>Spotlight / 9 класс / Module 4 · Technology / Time clauses / Time clauses: то же после if, unless, in case, supposing</t>
        </is>
      </c>
    </row>
    <row r="1037">
      <c r="A1037" s="25" t="n">
        <v>9</v>
      </c>
      <c r="B1037" s="9" t="inlineStr">
        <is>
          <t>Module 4 · Technology</t>
        </is>
      </c>
      <c r="C1037" s="9" t="inlineStr">
        <is>
          <t>4c</t>
        </is>
      </c>
      <c r="D1037" s="9" t="inlineStr">
        <is>
          <t>Time clauses</t>
        </is>
      </c>
      <c r="E1037" s="23" t="inlineStr">
        <is>
          <t>Time clauses: when/if как вопросительное слово или после I don't know/wonder — с will</t>
        </is>
      </c>
      <c r="F1037" s="26" t="inlineStr">
        <is>
          <t>новое</t>
        </is>
      </c>
      <c r="G1037" s="9" t="inlineStr">
        <is>
          <t>when — вопросительное слово; if/whether после I don't know, I doubt, I wonder, I'm not sure</t>
        </is>
      </c>
      <c r="H1037" s="25" t="inlineStr">
        <is>
          <t>10+</t>
        </is>
      </c>
      <c r="I1037" s="9">
        <f>IFERROR(INDEX('Темы × классы'!$R:$R,MATCH(E1037,'Темы × классы'!$E:$E,0)),"")</f>
        <v/>
      </c>
      <c r="J1037" s="9">
        <f>IFERROR(INDEX('Темы × классы'!$S:$S,MATCH(E1037,'Темы × классы'!$E:$E,0))&amp;"","")</f>
        <v/>
      </c>
      <c r="K1037" s="9" t="inlineStr">
        <is>
          <t>не начат</t>
        </is>
      </c>
      <c r="L1037" s="9" t="inlineStr">
        <is>
          <t>Spotlight / 9 класс / Module 4 · Technology / Time clauses / Time clauses: when/if как вопросительное слово или после I don't know/wonder — с will</t>
        </is>
      </c>
    </row>
    <row r="1038">
      <c r="A1038" s="25" t="n">
        <v>9</v>
      </c>
      <c r="B1038" s="9" t="inlineStr">
        <is>
          <t>Module 4 · Technology</t>
        </is>
      </c>
      <c r="C1038" s="9" t="inlineStr">
        <is>
          <t>4c</t>
        </is>
      </c>
      <c r="D1038" s="9" t="inlineStr">
        <is>
          <t>Clauses of purpose</t>
        </is>
      </c>
      <c r="E1038" s="23" t="inlineStr">
        <is>
          <t>Clauses of purpose: to / in order to / so as to + infinitive</t>
        </is>
      </c>
      <c r="F1038" s="26" t="inlineStr">
        <is>
          <t>новое</t>
        </is>
      </c>
      <c r="G1038" s="9" t="inlineStr">
        <is>
          <t>to / in order to / so as to</t>
        </is>
      </c>
      <c r="H1038" s="25" t="inlineStr">
        <is>
          <t>10+</t>
        </is>
      </c>
      <c r="I1038" s="9">
        <f>IFERROR(INDEX('Темы × классы'!$R:$R,MATCH(E1038,'Темы × классы'!$E:$E,0)),"")</f>
        <v/>
      </c>
      <c r="J1038" s="9">
        <f>IFERROR(INDEX('Темы × классы'!$S:$S,MATCH(E1038,'Темы × классы'!$E:$E,0))&amp;"","")</f>
        <v/>
      </c>
      <c r="K1038" s="9" t="inlineStr">
        <is>
          <t>не начат</t>
        </is>
      </c>
      <c r="L1038" s="9" t="inlineStr">
        <is>
          <t>Spotlight / 9 класс / Module 4 · Technology / Clauses of purpose / Clauses of purpose: to / in order to / so as to + infinitive</t>
        </is>
      </c>
    </row>
    <row r="1039">
      <c r="A1039" s="25" t="n">
        <v>9</v>
      </c>
      <c r="B1039" s="9" t="inlineStr">
        <is>
          <t>Module 4 · Technology</t>
        </is>
      </c>
      <c r="C1039" s="9" t="inlineStr">
        <is>
          <t>4c</t>
        </is>
      </c>
      <c r="D1039" s="9" t="inlineStr">
        <is>
          <t>Clauses of purpose</t>
        </is>
      </c>
      <c r="E1039" s="23" t="inlineStr">
        <is>
          <t>Clauses of purpose: so that + can/will, could/would</t>
        </is>
      </c>
      <c r="F1039" s="26" t="inlineStr">
        <is>
          <t>новое</t>
        </is>
      </c>
      <c r="G1039" s="9" t="inlineStr">
        <is>
          <t>so that + can/will — наст./буд.; could/would — прош.</t>
        </is>
      </c>
      <c r="H1039" s="25" t="inlineStr">
        <is>
          <t>10+</t>
        </is>
      </c>
      <c r="I1039" s="9">
        <f>IFERROR(INDEX('Темы × классы'!$R:$R,MATCH(E1039,'Темы × классы'!$E:$E,0)),"")</f>
        <v/>
      </c>
      <c r="J1039" s="9">
        <f>IFERROR(INDEX('Темы × классы'!$S:$S,MATCH(E1039,'Темы × классы'!$E:$E,0))&amp;"","")</f>
        <v/>
      </c>
      <c r="K1039" s="9" t="inlineStr">
        <is>
          <t>не начат</t>
        </is>
      </c>
      <c r="L1039" s="9" t="inlineStr">
        <is>
          <t>Spotlight / 9 класс / Module 4 · Technology / Clauses of purpose / Clauses of purpose: so that + can/will, could/would</t>
        </is>
      </c>
    </row>
    <row r="1040">
      <c r="A1040" s="25" t="n">
        <v>9</v>
      </c>
      <c r="B1040" s="9" t="inlineStr">
        <is>
          <t>Module 4 · Technology</t>
        </is>
      </c>
      <c r="C1040" s="9" t="inlineStr">
        <is>
          <t>4c</t>
        </is>
      </c>
      <c r="D1040" s="9" t="inlineStr">
        <is>
          <t>Clauses of purpose</t>
        </is>
      </c>
      <c r="E1040" s="23" t="inlineStr">
        <is>
          <t>Clauses of purpose: with the view to / with the aim of + -ing</t>
        </is>
      </c>
      <c r="F1040" s="26" t="inlineStr">
        <is>
          <t>новое</t>
        </is>
      </c>
      <c r="G1040" s="9" t="inlineStr">
        <is>
          <t>with the view to (так в справочнике) / with the aim of</t>
        </is>
      </c>
      <c r="H1040" s="25" t="inlineStr">
        <is>
          <t>10+</t>
        </is>
      </c>
      <c r="I1040" s="9">
        <f>IFERROR(INDEX('Темы × классы'!$R:$R,MATCH(E1040,'Темы × классы'!$E:$E,0)),"")</f>
        <v/>
      </c>
      <c r="J1040" s="9">
        <f>IFERROR(INDEX('Темы × классы'!$S:$S,MATCH(E1040,'Темы × классы'!$E:$E,0))&amp;"","")</f>
        <v/>
      </c>
      <c r="K1040" s="9" t="inlineStr">
        <is>
          <t>не начат</t>
        </is>
      </c>
      <c r="L1040" s="9" t="inlineStr">
        <is>
          <t>Spotlight / 9 класс / Module 4 · Technology / Clauses of purpose / Clauses of purpose: with the view to / with the aim of + -ing</t>
        </is>
      </c>
    </row>
    <row r="1041">
      <c r="A1041" s="25" t="n">
        <v>9</v>
      </c>
      <c r="B1041" s="9" t="inlineStr">
        <is>
          <t>Module 4 · Technology</t>
        </is>
      </c>
      <c r="C1041" s="9" t="inlineStr">
        <is>
          <t>4c</t>
        </is>
      </c>
      <c r="D1041" s="9" t="inlineStr">
        <is>
          <t>Clauses of result</t>
        </is>
      </c>
      <c r="E1041" s="23" t="inlineStr">
        <is>
          <t>Clauses of result: such … that</t>
        </is>
      </c>
      <c r="F1041" s="26" t="inlineStr">
        <is>
          <t>новое</t>
        </is>
      </c>
      <c r="G1041" s="9" t="inlineStr">
        <is>
          <t>such a(n) + исчисл. ед. ч.; such + мн. ч.; such a lot of</t>
        </is>
      </c>
      <c r="H1041" s="25" t="inlineStr">
        <is>
          <t>10+</t>
        </is>
      </c>
      <c r="I1041" s="9">
        <f>IFERROR(INDEX('Темы × классы'!$R:$R,MATCH(E1041,'Темы × классы'!$E:$E,0)),"")</f>
        <v/>
      </c>
      <c r="J1041" s="9">
        <f>IFERROR(INDEX('Темы × классы'!$S:$S,MATCH(E1041,'Темы × классы'!$E:$E,0))&amp;"","")</f>
        <v/>
      </c>
      <c r="K1041" s="9" t="inlineStr">
        <is>
          <t>не начат</t>
        </is>
      </c>
      <c r="L1041" s="9" t="inlineStr">
        <is>
          <t>Spotlight / 9 класс / Module 4 · Technology / Clauses of result / Clauses of result: such … that</t>
        </is>
      </c>
    </row>
    <row r="1042">
      <c r="A1042" s="25" t="n">
        <v>9</v>
      </c>
      <c r="B1042" s="9" t="inlineStr">
        <is>
          <t>Module 4 · Technology</t>
        </is>
      </c>
      <c r="C1042" s="9" t="inlineStr">
        <is>
          <t>4c</t>
        </is>
      </c>
      <c r="D1042" s="9" t="inlineStr">
        <is>
          <t>Clauses of result</t>
        </is>
      </c>
      <c r="E1042" s="23" t="inlineStr">
        <is>
          <t>Clauses of result: so … that</t>
        </is>
      </c>
      <c r="F1042" s="26" t="inlineStr">
        <is>
          <t>новое</t>
        </is>
      </c>
      <c r="G1042" s="9" t="inlineStr">
        <is>
          <t>so + прил./нареч.; so + few/little/many/much; so popular a museum that</t>
        </is>
      </c>
      <c r="H1042" s="25" t="inlineStr">
        <is>
          <t>10+</t>
        </is>
      </c>
      <c r="I1042" s="9">
        <f>IFERROR(INDEX('Темы × классы'!$R:$R,MATCH(E1042,'Темы × классы'!$E:$E,0)),"")</f>
        <v/>
      </c>
      <c r="J1042" s="9">
        <f>IFERROR(INDEX('Темы × классы'!$S:$S,MATCH(E1042,'Темы × классы'!$E:$E,0))&amp;"","")</f>
        <v/>
      </c>
      <c r="K1042" s="9" t="inlineStr">
        <is>
          <t>не начат</t>
        </is>
      </c>
      <c r="L1042" s="9" t="inlineStr">
        <is>
          <t>Spotlight / 9 класс / Module 4 · Technology / Clauses of result / Clauses of result: so … that</t>
        </is>
      </c>
    </row>
    <row r="1043">
      <c r="A1043" s="25" t="n">
        <v>9</v>
      </c>
      <c r="B1043" s="9" t="inlineStr">
        <is>
          <t>Module 4 · Technology</t>
        </is>
      </c>
      <c r="C1043" s="9" t="inlineStr">
        <is>
          <t>4c</t>
        </is>
      </c>
      <c r="D1043" s="9" t="inlineStr">
        <is>
          <t>Clauses of result</t>
        </is>
      </c>
      <c r="E1043" s="23" t="inlineStr">
        <is>
          <t>Clauses of result: as a result / as a consequence / consequently / therefore / so</t>
        </is>
      </c>
      <c r="F1043" s="26" t="inlineStr">
        <is>
          <t>новое</t>
        </is>
      </c>
      <c r="G1043" s="9" t="inlineStr">
        <is>
          <t>(and) as a result, as a consequence, consequently (офиц.), so, therefore</t>
        </is>
      </c>
      <c r="H1043" s="25" t="inlineStr">
        <is>
          <t>10+</t>
        </is>
      </c>
      <c r="I1043" s="9">
        <f>IFERROR(INDEX('Темы × классы'!$R:$R,MATCH(E1043,'Темы × классы'!$E:$E,0)),"")</f>
        <v/>
      </c>
      <c r="J1043" s="9">
        <f>IFERROR(INDEX('Темы × классы'!$S:$S,MATCH(E1043,'Темы × классы'!$E:$E,0))&amp;"","")</f>
        <v/>
      </c>
      <c r="K1043" s="9" t="inlineStr">
        <is>
          <t>не начат</t>
        </is>
      </c>
      <c r="L1043" s="9" t="inlineStr">
        <is>
          <t>Spotlight / 9 класс / Module 4 · Technology / Clauses of result / Clauses of result: as a result / as a consequence / consequently / therefore / so</t>
        </is>
      </c>
    </row>
    <row r="1044">
      <c r="A1044" s="25" t="n">
        <v>9</v>
      </c>
      <c r="B1044" s="9" t="inlineStr">
        <is>
          <t>Module 4 · Technology</t>
        </is>
      </c>
      <c r="C1044" s="9" t="inlineStr">
        <is>
          <t>4f</t>
        </is>
      </c>
      <c r="D1044" s="9" t="inlineStr">
        <is>
          <t>Phrasal verbs</t>
        </is>
      </c>
      <c r="E1044" s="23" t="inlineStr">
        <is>
          <t>Phrasal verbs: break</t>
        </is>
      </c>
      <c r="F1044" s="26" t="inlineStr">
        <is>
          <t>новое</t>
        </is>
      </c>
      <c r="G1044" s="9" t="inlineStr">
        <is>
          <t>break: break down (сломаться), break into (врываться куда-либо), break out (внезапно начаться, разразиться), break out of (вырываться, убегать), break up (прекратить отношения с кем-либо).</t>
        </is>
      </c>
      <c r="H1044" s="25" t="inlineStr">
        <is>
          <t>10+</t>
        </is>
      </c>
      <c r="I1044" s="9">
        <f>IFERROR(INDEX('Темы × классы'!$R:$R,MATCH(E1044,'Темы × классы'!$E:$E,0)),"")</f>
        <v/>
      </c>
      <c r="J1044" s="9">
        <f>IFERROR(INDEX('Темы × классы'!$S:$S,MATCH(E1044,'Темы × классы'!$E:$E,0))&amp;"","")</f>
        <v/>
      </c>
      <c r="K1044" s="9" t="inlineStr">
        <is>
          <t>не начат</t>
        </is>
      </c>
      <c r="L1044" s="9" t="inlineStr">
        <is>
          <t>Spotlight / 9 класс / Module 4 · Technology / Phrasal verbs / Phrasal verbs: break</t>
        </is>
      </c>
    </row>
    <row r="1045">
      <c r="A1045" s="25" t="n">
        <v>9</v>
      </c>
      <c r="B1045" s="9" t="inlineStr">
        <is>
          <t>Module 4 · Technology</t>
        </is>
      </c>
      <c r="C1045" s="9" t="inlineStr">
        <is>
          <t>4f</t>
        </is>
      </c>
      <c r="D1045" s="9" t="inlineStr">
        <is>
          <t>Word formation</t>
        </is>
      </c>
      <c r="E1045" s="23" t="inlineStr">
        <is>
          <t>Word formation: nouns from verbs</t>
        </is>
      </c>
      <c r="F1045" s="26" t="inlineStr">
        <is>
          <t>новое</t>
        </is>
      </c>
      <c r="G1045" s="9" t="inlineStr">
        <is>
          <t>Word formation: образование существительных от глаголов (nouns from verbs).</t>
        </is>
      </c>
      <c r="H1045" s="25" t="inlineStr">
        <is>
          <t>10+</t>
        </is>
      </c>
      <c r="I1045" s="9">
        <f>IFERROR(INDEX('Темы × классы'!$R:$R,MATCH(E1045,'Темы × классы'!$E:$E,0)),"")</f>
        <v/>
      </c>
      <c r="J1045" s="9">
        <f>IFERROR(INDEX('Темы × классы'!$S:$S,MATCH(E1045,'Темы × классы'!$E:$E,0))&amp;"","")</f>
        <v/>
      </c>
      <c r="K1045" s="9" t="inlineStr">
        <is>
          <t>не начат</t>
        </is>
      </c>
      <c r="L1045" s="9" t="inlineStr">
        <is>
          <t>Spotlight / 9 класс / Module 4 · Technology / Word formation / Word formation: nouns from verbs</t>
        </is>
      </c>
    </row>
    <row r="1046">
      <c r="A1046" s="25" t="n">
        <v>9</v>
      </c>
      <c r="B1046" s="9" t="inlineStr">
        <is>
          <t>Module 4 · Technology</t>
        </is>
      </c>
      <c r="C1046" s="9" t="inlineStr">
        <is>
          <t>4f</t>
        </is>
      </c>
      <c r="D1046" s="9" t="inlineStr">
        <is>
          <t>Dependent prepositions</t>
        </is>
      </c>
      <c r="E1046" s="23" t="inlineStr">
        <is>
          <t>Dependent prepositions</t>
        </is>
      </c>
      <c r="F1046" s="25" t="inlineStr">
        <is>
          <t>повторение</t>
        </is>
      </c>
      <c r="G1046" s="9" t="inlineStr">
        <is>
          <t>Prepositions (заголовок раздела English in Use).</t>
        </is>
      </c>
      <c r="H1046" s="25" t="inlineStr">
        <is>
          <t>10+</t>
        </is>
      </c>
      <c r="I1046" s="9">
        <f>IFERROR(INDEX('Темы × классы'!$R:$R,MATCH(E1046,'Темы × классы'!$E:$E,0)),"")</f>
        <v/>
      </c>
      <c r="J1046" s="9">
        <f>IFERROR(INDEX('Темы × классы'!$S:$S,MATCH(E1046,'Темы × классы'!$E:$E,0))&amp;"","")</f>
        <v/>
      </c>
      <c r="K1046" s="9" t="inlineStr">
        <is>
          <t>не начат</t>
        </is>
      </c>
      <c r="L1046" s="9" t="inlineStr">
        <is>
          <t>Spotlight / 9 класс / Module 4 · Technology / Dependent prepositions / Dependent prepositions</t>
        </is>
      </c>
    </row>
    <row r="1047">
      <c r="A1047" s="25" t="n">
        <v>9</v>
      </c>
      <c r="B1047" s="9" t="inlineStr">
        <is>
          <t>Module 5 · Art &amp; Literature</t>
        </is>
      </c>
      <c r="C1047" s="9" t="inlineStr">
        <is>
          <t>5d</t>
        </is>
      </c>
      <c r="D1047" s="9" t="inlineStr">
        <is>
          <t>Expressing preference (prefer / would rather)</t>
        </is>
      </c>
      <c r="E1047" s="23" t="inlineStr">
        <is>
          <t>Expressing preference: prefer + noun/-ing to noun/-ing — общее предпочтение</t>
        </is>
      </c>
      <c r="F1047" s="26" t="inlineStr">
        <is>
          <t>новое</t>
        </is>
      </c>
      <c r="G1047" s="9" t="inlineStr">
        <is>
          <t>I prefer vegetables to meat; painting to drawing</t>
        </is>
      </c>
      <c r="H1047" s="25" t="inlineStr">
        <is>
          <t>10+</t>
        </is>
      </c>
      <c r="I1047" s="9">
        <f>IFERROR(INDEX('Темы × классы'!$R:$R,MATCH(E1047,'Темы × классы'!$E:$E,0)),"")</f>
        <v/>
      </c>
      <c r="J1047" s="9">
        <f>IFERROR(INDEX('Темы × классы'!$S:$S,MATCH(E1047,'Темы × классы'!$E:$E,0))&amp;"","")</f>
        <v/>
      </c>
      <c r="K1047" s="9" t="inlineStr">
        <is>
          <t>не начат</t>
        </is>
      </c>
      <c r="L1047" s="9" t="inlineStr">
        <is>
          <t>Spotlight / 9 класс / Module 5 · Art &amp; Literature / Expressing preference (prefer / would rather) / Expressing preference: prefer + noun/-ing to noun/-ing — общее предпочтение</t>
        </is>
      </c>
    </row>
    <row r="1048">
      <c r="A1048" s="25" t="n">
        <v>9</v>
      </c>
      <c r="B1048" s="9" t="inlineStr">
        <is>
          <t>Module 5 · Art &amp; Literature</t>
        </is>
      </c>
      <c r="C1048" s="9" t="inlineStr">
        <is>
          <t>5d</t>
        </is>
      </c>
      <c r="D1048" s="9" t="inlineStr">
        <is>
          <t>Expressing preference (prefer / would rather)</t>
        </is>
      </c>
      <c r="E1048" s="23" t="inlineStr">
        <is>
          <t>Expressing preference: prefer + to-inf rather than + bare inf</t>
        </is>
      </c>
      <c r="F1048" s="26" t="inlineStr">
        <is>
          <t>новое</t>
        </is>
      </c>
      <c r="G1048" s="9" t="inlineStr"/>
      <c r="H1048" s="25" t="inlineStr">
        <is>
          <t>10+</t>
        </is>
      </c>
      <c r="I1048" s="9">
        <f>IFERROR(INDEX('Темы × классы'!$R:$R,MATCH(E1048,'Темы × классы'!$E:$E,0)),"")</f>
        <v/>
      </c>
      <c r="J1048" s="9">
        <f>IFERROR(INDEX('Темы × классы'!$S:$S,MATCH(E1048,'Темы × классы'!$E:$E,0))&amp;"","")</f>
        <v/>
      </c>
      <c r="K1048" s="9" t="inlineStr">
        <is>
          <t>не начат</t>
        </is>
      </c>
      <c r="L1048" s="9" t="inlineStr">
        <is>
          <t>Spotlight / 9 класс / Module 5 · Art &amp; Literature / Expressing preference (prefer / would rather) / Expressing preference: prefer + to-inf rather than + bare inf</t>
        </is>
      </c>
    </row>
    <row r="1049">
      <c r="A1049" s="25" t="n">
        <v>9</v>
      </c>
      <c r="B1049" s="9" t="inlineStr">
        <is>
          <t>Module 5 · Art &amp; Literature</t>
        </is>
      </c>
      <c r="C1049" s="9" t="inlineStr">
        <is>
          <t>5d</t>
        </is>
      </c>
      <c r="D1049" s="9" t="inlineStr">
        <is>
          <t>Expressing preference (prefer / would rather)</t>
        </is>
      </c>
      <c r="E1049" s="23" t="inlineStr">
        <is>
          <t>Expressing preference: I'd prefer + to-inf / noun (rather than) — конкретное предпочтение</t>
        </is>
      </c>
      <c r="F1049" s="26" t="inlineStr">
        <is>
          <t>новое</t>
        </is>
      </c>
      <c r="G1049" s="9" t="inlineStr"/>
      <c r="H1049" s="25" t="inlineStr">
        <is>
          <t>10+</t>
        </is>
      </c>
      <c r="I1049" s="9">
        <f>IFERROR(INDEX('Темы × классы'!$R:$R,MATCH(E1049,'Темы × классы'!$E:$E,0)),"")</f>
        <v/>
      </c>
      <c r="J1049" s="9">
        <f>IFERROR(INDEX('Темы × классы'!$S:$S,MATCH(E1049,'Темы × классы'!$E:$E,0))&amp;"","")</f>
        <v/>
      </c>
      <c r="K1049" s="9" t="inlineStr">
        <is>
          <t>не начат</t>
        </is>
      </c>
      <c r="L1049" s="9" t="inlineStr">
        <is>
          <t>Spotlight / 9 класс / Module 5 · Art &amp; Literature / Expressing preference (prefer / would rather) / Expressing preference: I'd prefer + to-inf / noun (rather than) — конкретное предпочтение</t>
        </is>
      </c>
    </row>
    <row r="1050">
      <c r="A1050" s="25" t="n">
        <v>9</v>
      </c>
      <c r="B1050" s="9" t="inlineStr">
        <is>
          <t>Module 5 · Art &amp; Literature</t>
        </is>
      </c>
      <c r="C1050" s="9" t="inlineStr">
        <is>
          <t>5d</t>
        </is>
      </c>
      <c r="D1050" s="9" t="inlineStr">
        <is>
          <t>Expressing preference (prefer / would rather)</t>
        </is>
      </c>
      <c r="E1050" s="23" t="inlineStr">
        <is>
          <t>Expressing preference: I'd rather + bare inf (than + bare inf)</t>
        </is>
      </c>
      <c r="F1050" s="26" t="inlineStr">
        <is>
          <t>новое</t>
        </is>
      </c>
      <c r="G1050" s="9" t="inlineStr">
        <is>
          <t>would sooner и I'd rather sb did — не даны</t>
        </is>
      </c>
      <c r="H1050" s="25" t="inlineStr">
        <is>
          <t>10+</t>
        </is>
      </c>
      <c r="I1050" s="9">
        <f>IFERROR(INDEX('Темы × классы'!$R:$R,MATCH(E1050,'Темы × классы'!$E:$E,0)),"")</f>
        <v/>
      </c>
      <c r="J1050" s="9">
        <f>IFERROR(INDEX('Темы × классы'!$S:$S,MATCH(E1050,'Темы × классы'!$E:$E,0))&amp;"","")</f>
        <v/>
      </c>
      <c r="K1050" s="9" t="inlineStr">
        <is>
          <t>не начат</t>
        </is>
      </c>
      <c r="L1050" s="9" t="inlineStr">
        <is>
          <t>Spotlight / 9 класс / Module 5 · Art &amp; Literature / Expressing preference (prefer / would rather) / Expressing preference: I'd rather + bare inf (than + bare inf)</t>
        </is>
      </c>
    </row>
    <row r="1051">
      <c r="A1051" s="25" t="n">
        <v>9</v>
      </c>
      <c r="B1051" s="9" t="inlineStr">
        <is>
          <t>Module 5 · Art &amp; Literature</t>
        </is>
      </c>
      <c r="C1051" s="9" t="inlineStr">
        <is>
          <t>5c</t>
        </is>
      </c>
      <c r="D1051" s="9" t="inlineStr">
        <is>
          <t>Comparatives &amp; Superlatives</t>
        </is>
      </c>
      <c r="E1051" s="23" t="inlineStr">
        <is>
          <t>Comparatives &amp; Superlatives: сравнительная степень — -er + than</t>
        </is>
      </c>
      <c r="F1051" s="25" t="inlineStr">
        <is>
          <t>повторение</t>
        </is>
      </c>
      <c r="G1051" s="9" t="inlineStr"/>
      <c r="H1051" s="25" t="inlineStr">
        <is>
          <t>10+</t>
        </is>
      </c>
      <c r="I1051" s="9">
        <f>IFERROR(INDEX('Темы × классы'!$R:$R,MATCH(E1051,'Темы × классы'!$E:$E,0)),"")</f>
        <v/>
      </c>
      <c r="J1051" s="9">
        <f>IFERROR(INDEX('Темы × классы'!$S:$S,MATCH(E1051,'Темы × классы'!$E:$E,0))&amp;"","")</f>
        <v/>
      </c>
      <c r="K1051" s="9" t="inlineStr">
        <is>
          <t>не начат</t>
        </is>
      </c>
      <c r="L1051" s="9" t="inlineStr">
        <is>
          <t>Spotlight / 9 класс / Module 5 · Art &amp; Literature / Comparatives &amp; Superlatives / Comparatives &amp; Superlatives: сравнительная степень — -er + than</t>
        </is>
      </c>
    </row>
    <row r="1052">
      <c r="A1052" s="25" t="n">
        <v>9</v>
      </c>
      <c r="B1052" s="9" t="inlineStr">
        <is>
          <t>Module 5 · Art &amp; Literature</t>
        </is>
      </c>
      <c r="C1052" s="9" t="inlineStr">
        <is>
          <t>5c</t>
        </is>
      </c>
      <c r="D1052" s="9" t="inlineStr">
        <is>
          <t>Comparatives &amp; Superlatives</t>
        </is>
      </c>
      <c r="E1052" s="23" t="inlineStr">
        <is>
          <t>Comparatives &amp; Superlatives: сравнительная степень — more (многосложные)</t>
        </is>
      </c>
      <c r="F1052" s="25" t="inlineStr">
        <is>
          <t>повторение</t>
        </is>
      </c>
      <c r="G1052" s="9" t="inlineStr"/>
      <c r="H1052" s="25" t="inlineStr">
        <is>
          <t>10+</t>
        </is>
      </c>
      <c r="I1052" s="9">
        <f>IFERROR(INDEX('Темы × классы'!$R:$R,MATCH(E1052,'Темы × классы'!$E:$E,0)),"")</f>
        <v/>
      </c>
      <c r="J1052" s="9">
        <f>IFERROR(INDEX('Темы × классы'!$S:$S,MATCH(E1052,'Темы × классы'!$E:$E,0))&amp;"","")</f>
        <v/>
      </c>
      <c r="K1052" s="9" t="inlineStr">
        <is>
          <t>не начат</t>
        </is>
      </c>
      <c r="L1052" s="9" t="inlineStr">
        <is>
          <t>Spotlight / 9 класс / Module 5 · Art &amp; Literature / Comparatives &amp; Superlatives / Comparatives &amp; Superlatives: сравнительная степень — more (многосложные)</t>
        </is>
      </c>
    </row>
    <row r="1053">
      <c r="A1053" s="25" t="n">
        <v>9</v>
      </c>
      <c r="B1053" s="9" t="inlineStr">
        <is>
          <t>Module 5 · Art &amp; Literature</t>
        </is>
      </c>
      <c r="C1053" s="9" t="inlineStr">
        <is>
          <t>5c</t>
        </is>
      </c>
      <c r="D1053" s="9" t="inlineStr">
        <is>
          <t>Comparatives &amp; Superlatives</t>
        </is>
      </c>
      <c r="E1053" s="23" t="inlineStr">
        <is>
          <t>Comparatives &amp; Superlatives: орфография -er/-est (удвоение, -e, y → i)</t>
        </is>
      </c>
      <c r="F1053" s="25" t="inlineStr">
        <is>
          <t>повторение</t>
        </is>
      </c>
      <c r="G1053" s="9" t="inlineStr">
        <is>
          <t>hot-hotter, easy-easier</t>
        </is>
      </c>
      <c r="H1053" s="25" t="inlineStr">
        <is>
          <t>10+</t>
        </is>
      </c>
      <c r="I1053" s="9">
        <f>IFERROR(INDEX('Темы × классы'!$R:$R,MATCH(E1053,'Темы × классы'!$E:$E,0)),"")</f>
        <v/>
      </c>
      <c r="J1053" s="9">
        <f>IFERROR(INDEX('Темы × классы'!$S:$S,MATCH(E1053,'Темы × классы'!$E:$E,0))&amp;"","")</f>
        <v/>
      </c>
      <c r="K1053" s="9" t="inlineStr">
        <is>
          <t>не начат</t>
        </is>
      </c>
      <c r="L1053" s="9" t="inlineStr">
        <is>
          <t>Spotlight / 9 класс / Module 5 · Art &amp; Literature / Comparatives &amp; Superlatives / Comparatives &amp; Superlatives: орфография -er/-est (удвоение, -e, y → i)</t>
        </is>
      </c>
    </row>
    <row r="1054">
      <c r="A1054" s="25" t="n">
        <v>9</v>
      </c>
      <c r="B1054" s="9" t="inlineStr">
        <is>
          <t>Module 5 · Art &amp; Literature</t>
        </is>
      </c>
      <c r="C1054" s="9" t="inlineStr">
        <is>
          <t>5c</t>
        </is>
      </c>
      <c r="D1054" s="9" t="inlineStr">
        <is>
          <t>Comparatives &amp; Superlatives</t>
        </is>
      </c>
      <c r="E1054" s="23" t="inlineStr">
        <is>
          <t>Comparatives &amp; Superlatives: превосходная степень — the -est + of/in</t>
        </is>
      </c>
      <c r="F1054" s="25" t="inlineStr">
        <is>
          <t>повторение</t>
        </is>
      </c>
      <c r="G1054" s="9" t="inlineStr"/>
      <c r="H1054" s="25" t="inlineStr">
        <is>
          <t>10+</t>
        </is>
      </c>
      <c r="I1054" s="9">
        <f>IFERROR(INDEX('Темы × классы'!$R:$R,MATCH(E1054,'Темы × классы'!$E:$E,0)),"")</f>
        <v/>
      </c>
      <c r="J1054" s="9">
        <f>IFERROR(INDEX('Темы × классы'!$S:$S,MATCH(E1054,'Темы × классы'!$E:$E,0))&amp;"","")</f>
        <v/>
      </c>
      <c r="K1054" s="9" t="inlineStr">
        <is>
          <t>не начат</t>
        </is>
      </c>
      <c r="L1054" s="9" t="inlineStr">
        <is>
          <t>Spotlight / 9 класс / Module 5 · Art &amp; Literature / Comparatives &amp; Superlatives / Comparatives &amp; Superlatives: превосходная степень — the -est + of/in</t>
        </is>
      </c>
    </row>
    <row r="1055">
      <c r="A1055" s="25" t="n">
        <v>9</v>
      </c>
      <c r="B1055" s="9" t="inlineStr">
        <is>
          <t>Module 5 · Art &amp; Literature</t>
        </is>
      </c>
      <c r="C1055" s="9" t="inlineStr">
        <is>
          <t>5c</t>
        </is>
      </c>
      <c r="D1055" s="9" t="inlineStr">
        <is>
          <t>Comparatives &amp; Superlatives</t>
        </is>
      </c>
      <c r="E1055" s="23" t="inlineStr">
        <is>
          <t>Comparatives &amp; Superlatives: превосходная степень — the most</t>
        </is>
      </c>
      <c r="F1055" s="25" t="inlineStr">
        <is>
          <t>повторение</t>
        </is>
      </c>
      <c r="G1055" s="9" t="inlineStr"/>
      <c r="H1055" s="25" t="inlineStr">
        <is>
          <t>10+</t>
        </is>
      </c>
      <c r="I1055" s="9">
        <f>IFERROR(INDEX('Темы × классы'!$R:$R,MATCH(E1055,'Темы × классы'!$E:$E,0)),"")</f>
        <v/>
      </c>
      <c r="J1055" s="9">
        <f>IFERROR(INDEX('Темы × классы'!$S:$S,MATCH(E1055,'Темы × классы'!$E:$E,0))&amp;"","")</f>
        <v/>
      </c>
      <c r="K1055" s="9" t="inlineStr">
        <is>
          <t>не начат</t>
        </is>
      </c>
      <c r="L1055" s="9" t="inlineStr">
        <is>
          <t>Spotlight / 9 класс / Module 5 · Art &amp; Literature / Comparatives &amp; Superlatives / Comparatives &amp; Superlatives: превосходная степень — the most</t>
        </is>
      </c>
    </row>
    <row r="1056">
      <c r="A1056" s="25" t="n">
        <v>9</v>
      </c>
      <c r="B1056" s="9" t="inlineStr">
        <is>
          <t>Module 5 · Art &amp; Literature</t>
        </is>
      </c>
      <c r="C1056" s="9" t="inlineStr">
        <is>
          <t>5c</t>
        </is>
      </c>
      <c r="D1056" s="9" t="inlineStr">
        <is>
          <t>Comparatives &amp; Superlatives</t>
        </is>
      </c>
      <c r="E1056" s="23" t="inlineStr">
        <is>
          <t>Comparatives &amp; Superlatives: неправильные прилагательные (good, bad, many/much, little)</t>
        </is>
      </c>
      <c r="F1056" s="25" t="inlineStr">
        <is>
          <t>повторение</t>
        </is>
      </c>
      <c r="G1056" s="9" t="inlineStr"/>
      <c r="H1056" s="25" t="inlineStr">
        <is>
          <t>10+</t>
        </is>
      </c>
      <c r="I1056" s="9">
        <f>IFERROR(INDEX('Темы × классы'!$R:$R,MATCH(E1056,'Темы × классы'!$E:$E,0)),"")</f>
        <v/>
      </c>
      <c r="J1056" s="9">
        <f>IFERROR(INDEX('Темы × классы'!$S:$S,MATCH(E1056,'Темы × классы'!$E:$E,0))&amp;"","")</f>
        <v/>
      </c>
      <c r="K1056" s="9" t="inlineStr">
        <is>
          <t>не начат</t>
        </is>
      </c>
      <c r="L1056" s="9" t="inlineStr">
        <is>
          <t>Spotlight / 9 класс / Module 5 · Art &amp; Literature / Comparatives &amp; Superlatives / Comparatives &amp; Superlatives: неправильные прилагательные (good, bad, many/much, little)</t>
        </is>
      </c>
    </row>
    <row r="1057">
      <c r="A1057" s="25" t="n">
        <v>9</v>
      </c>
      <c r="B1057" s="9" t="inlineStr">
        <is>
          <t>Module 5 · Art &amp; Literature</t>
        </is>
      </c>
      <c r="C1057" s="9" t="inlineStr">
        <is>
          <t>5c</t>
        </is>
      </c>
      <c r="D1057" s="9" t="inlineStr">
        <is>
          <t>Comparatives &amp; Superlatives</t>
        </is>
      </c>
      <c r="E1057" s="23" t="inlineStr">
        <is>
          <t>Comparatives &amp; Superlatives: двусложные на -y/-er/-ow — -er/-est</t>
        </is>
      </c>
      <c r="F1057" s="25" t="inlineStr">
        <is>
          <t>повторение</t>
        </is>
      </c>
      <c r="G1057" s="9" t="inlineStr">
        <is>
          <t>easy-easier</t>
        </is>
      </c>
      <c r="H1057" s="25" t="inlineStr">
        <is>
          <t>10+</t>
        </is>
      </c>
      <c r="I1057" s="9">
        <f>IFERROR(INDEX('Темы × классы'!$R:$R,MATCH(E1057,'Темы × классы'!$E:$E,0)),"")</f>
        <v/>
      </c>
      <c r="J1057" s="9">
        <f>IFERROR(INDEX('Темы × классы'!$S:$S,MATCH(E1057,'Темы × классы'!$E:$E,0))&amp;"","")</f>
        <v/>
      </c>
      <c r="K1057" s="9" t="inlineStr">
        <is>
          <t>не начат</t>
        </is>
      </c>
      <c r="L1057" s="9" t="inlineStr">
        <is>
          <t>Spotlight / 9 класс / Module 5 · Art &amp; Literature / Comparatives &amp; Superlatives / Comparatives &amp; Superlatives: двусложные на -y/-er/-ow — -er/-est</t>
        </is>
      </c>
    </row>
    <row r="1058">
      <c r="A1058" s="25" t="n">
        <v>9</v>
      </c>
      <c r="B1058" s="9" t="inlineStr">
        <is>
          <t>Module 5 · Art &amp; Literature</t>
        </is>
      </c>
      <c r="C1058" s="9" t="inlineStr">
        <is>
          <t>5c</t>
        </is>
      </c>
      <c r="D1058" s="9" t="inlineStr">
        <is>
          <t>Comparatives &amp; Superlatives</t>
        </is>
      </c>
      <c r="E1058" s="23" t="inlineStr">
        <is>
          <t>Comparatives &amp; Superlatives: прилагательные с двумя способами (clever, quiet, friendly…)</t>
        </is>
      </c>
      <c r="F1058" s="25" t="inlineStr">
        <is>
          <t>повторение</t>
        </is>
      </c>
      <c r="G1058" s="9" t="inlineStr">
        <is>
          <t>clever, cruel, friendly…, stupid</t>
        </is>
      </c>
      <c r="H1058" s="25" t="inlineStr">
        <is>
          <t>10+</t>
        </is>
      </c>
      <c r="I1058" s="9">
        <f>IFERROR(INDEX('Темы × классы'!$R:$R,MATCH(E1058,'Темы × классы'!$E:$E,0)),"")</f>
        <v/>
      </c>
      <c r="J1058" s="9">
        <f>IFERROR(INDEX('Темы × классы'!$S:$S,MATCH(E1058,'Темы × классы'!$E:$E,0))&amp;"","")</f>
        <v/>
      </c>
      <c r="K1058" s="9" t="inlineStr">
        <is>
          <t>не начат</t>
        </is>
      </c>
      <c r="L1058" s="9" t="inlineStr">
        <is>
          <t>Spotlight / 9 класс / Module 5 · Art &amp; Literature / Comparatives &amp; Superlatives / Comparatives &amp; Superlatives: прилагательные с двумя способами (clever, quiet, friendly…)</t>
        </is>
      </c>
    </row>
    <row r="1059">
      <c r="A1059" s="25" t="n">
        <v>9</v>
      </c>
      <c r="B1059" s="9" t="inlineStr">
        <is>
          <t>Module 5 · Art &amp; Literature</t>
        </is>
      </c>
      <c r="C1059" s="9" t="inlineStr">
        <is>
          <t>5c</t>
        </is>
      </c>
      <c r="D1059" s="9" t="inlineStr">
        <is>
          <t>Comparatives &amp; Superlatives</t>
        </is>
      </c>
      <c r="E1059" s="23" t="inlineStr">
        <is>
          <t>Comparatives &amp; Superlatives: far — farther/further, old — elder/eldest</t>
        </is>
      </c>
      <c r="F1059" s="25" t="inlineStr">
        <is>
          <t>повторение</t>
        </is>
      </c>
      <c r="G1059" s="9" t="inlineStr">
        <is>
          <t>far, elder/eldest</t>
        </is>
      </c>
      <c r="H1059" s="25" t="inlineStr">
        <is>
          <t>10+</t>
        </is>
      </c>
      <c r="I1059" s="9">
        <f>IFERROR(INDEX('Темы × классы'!$R:$R,MATCH(E1059,'Темы × классы'!$E:$E,0)),"")</f>
        <v/>
      </c>
      <c r="J1059" s="9">
        <f>IFERROR(INDEX('Темы × классы'!$S:$S,MATCH(E1059,'Темы × классы'!$E:$E,0))&amp;"","")</f>
        <v/>
      </c>
      <c r="K1059" s="9" t="inlineStr">
        <is>
          <t>не начат</t>
        </is>
      </c>
      <c r="L1059" s="9" t="inlineStr">
        <is>
          <t>Spotlight / 9 класс / Module 5 · Art &amp; Literature / Comparatives &amp; Superlatives / Comparatives &amp; Superlatives: far — farther/further, old — elder/eldest</t>
        </is>
      </c>
    </row>
    <row r="1060">
      <c r="A1060" s="25" t="n">
        <v>9</v>
      </c>
      <c r="B1060" s="9" t="inlineStr">
        <is>
          <t>Module 5 · Art &amp; Literature</t>
        </is>
      </c>
      <c r="C1060" s="9" t="inlineStr">
        <is>
          <t>5c</t>
        </is>
      </c>
      <c r="D1060" s="9" t="inlineStr">
        <is>
          <t>Comparatives &amp; Superlatives</t>
        </is>
      </c>
      <c r="E1060" s="23" t="inlineStr">
        <is>
          <t>Comparatives &amp; Superlatives: наречия — -er/-est (hard, fast, early)</t>
        </is>
      </c>
      <c r="F1060" s="25" t="inlineStr">
        <is>
          <t>повторение</t>
        </is>
      </c>
      <c r="G1060" s="9" t="inlineStr"/>
      <c r="H1060" s="25" t="inlineStr">
        <is>
          <t>10+</t>
        </is>
      </c>
      <c r="I1060" s="9">
        <f>IFERROR(INDEX('Темы × классы'!$R:$R,MATCH(E1060,'Темы × классы'!$E:$E,0)),"")</f>
        <v/>
      </c>
      <c r="J1060" s="9">
        <f>IFERROR(INDEX('Темы × классы'!$S:$S,MATCH(E1060,'Темы × классы'!$E:$E,0))&amp;"","")</f>
        <v/>
      </c>
      <c r="K1060" s="9" t="inlineStr">
        <is>
          <t>не начат</t>
        </is>
      </c>
      <c r="L1060" s="9" t="inlineStr">
        <is>
          <t>Spotlight / 9 класс / Module 5 · Art &amp; Literature / Comparatives &amp; Superlatives / Comparatives &amp; Superlatives: наречия — -er/-est (hard, fast, early)</t>
        </is>
      </c>
    </row>
    <row r="1061">
      <c r="A1061" s="25" t="n">
        <v>9</v>
      </c>
      <c r="B1061" s="9" t="inlineStr">
        <is>
          <t>Module 5 · Art &amp; Literature</t>
        </is>
      </c>
      <c r="C1061" s="9" t="inlineStr">
        <is>
          <t>5c</t>
        </is>
      </c>
      <c r="D1061" s="9" t="inlineStr">
        <is>
          <t>Comparatives &amp; Superlatives</t>
        </is>
      </c>
      <c r="E1061" s="23" t="inlineStr">
        <is>
          <t>Comparatives &amp; Superlatives: наречия — more/most (slowly)</t>
        </is>
      </c>
      <c r="F1061" s="25" t="inlineStr">
        <is>
          <t>повторение</t>
        </is>
      </c>
      <c r="G1061" s="9" t="inlineStr"/>
      <c r="H1061" s="25" t="inlineStr">
        <is>
          <t>10+</t>
        </is>
      </c>
      <c r="I1061" s="9">
        <f>IFERROR(INDEX('Темы × классы'!$R:$R,MATCH(E1061,'Темы × классы'!$E:$E,0)),"")</f>
        <v/>
      </c>
      <c r="J1061" s="9">
        <f>IFERROR(INDEX('Темы × классы'!$S:$S,MATCH(E1061,'Темы × классы'!$E:$E,0))&amp;"","")</f>
        <v/>
      </c>
      <c r="K1061" s="9" t="inlineStr">
        <is>
          <t>не начат</t>
        </is>
      </c>
      <c r="L1061" s="9" t="inlineStr">
        <is>
          <t>Spotlight / 9 класс / Module 5 · Art &amp; Literature / Comparatives &amp; Superlatives / Comparatives &amp; Superlatives: наречия — more/most (slowly)</t>
        </is>
      </c>
    </row>
    <row r="1062">
      <c r="A1062" s="25" t="n">
        <v>9</v>
      </c>
      <c r="B1062" s="9" t="inlineStr">
        <is>
          <t>Module 5 · Art &amp; Literature</t>
        </is>
      </c>
      <c r="C1062" s="9" t="inlineStr">
        <is>
          <t>5c</t>
        </is>
      </c>
      <c r="D1062" s="9" t="inlineStr">
        <is>
          <t>Comparatives &amp; Superlatives</t>
        </is>
      </c>
      <c r="E1062" s="23" t="inlineStr">
        <is>
          <t>Comparatives &amp; Superlatives: неправильные наречия (well, badly)</t>
        </is>
      </c>
      <c r="F1062" s="25" t="inlineStr">
        <is>
          <t>повторение</t>
        </is>
      </c>
      <c r="G1062" s="9" t="inlineStr">
        <is>
          <t>good/well, bad/badly</t>
        </is>
      </c>
      <c r="H1062" s="25" t="inlineStr">
        <is>
          <t>10+</t>
        </is>
      </c>
      <c r="I1062" s="9">
        <f>IFERROR(INDEX('Темы × классы'!$R:$R,MATCH(E1062,'Темы × классы'!$E:$E,0)),"")</f>
        <v/>
      </c>
      <c r="J1062" s="9">
        <f>IFERROR(INDEX('Темы × классы'!$S:$S,MATCH(E1062,'Темы × классы'!$E:$E,0))&amp;"","")</f>
        <v/>
      </c>
      <c r="K1062" s="9" t="inlineStr">
        <is>
          <t>не начат</t>
        </is>
      </c>
      <c r="L1062" s="9" t="inlineStr">
        <is>
          <t>Spotlight / 9 класс / Module 5 · Art &amp; Literature / Comparatives &amp; Superlatives / Comparatives &amp; Superlatives: неправильные наречия (well, badly)</t>
        </is>
      </c>
    </row>
    <row r="1063">
      <c r="A1063" s="25" t="n">
        <v>9</v>
      </c>
      <c r="B1063" s="9" t="inlineStr">
        <is>
          <t>Module 5 · Art &amp; Literature</t>
        </is>
      </c>
      <c r="C1063" s="9" t="inlineStr">
        <is>
          <t>5c</t>
        </is>
      </c>
      <c r="D1063" s="9" t="inlineStr">
        <is>
          <t>Comparative structures</t>
        </is>
      </c>
      <c r="E1063" s="23" t="inlineStr">
        <is>
          <t>Comparative structures: as … as / not as (so) … as</t>
        </is>
      </c>
      <c r="F1063" s="25" t="inlineStr">
        <is>
          <t>повторение</t>
        </is>
      </c>
      <c r="G1063" s="9" t="inlineStr">
        <is>
          <t>as … as / not as(so) … as</t>
        </is>
      </c>
      <c r="H1063" s="25" t="inlineStr">
        <is>
          <t>10+</t>
        </is>
      </c>
      <c r="I1063" s="9">
        <f>IFERROR(INDEX('Темы × классы'!$R:$R,MATCH(E1063,'Темы × классы'!$E:$E,0)),"")</f>
        <v/>
      </c>
      <c r="J1063" s="9">
        <f>IFERROR(INDEX('Темы × классы'!$S:$S,MATCH(E1063,'Темы × классы'!$E:$E,0))&amp;"","")</f>
        <v/>
      </c>
      <c r="K1063" s="9" t="inlineStr">
        <is>
          <t>не начат</t>
        </is>
      </c>
      <c r="L1063" s="9" t="inlineStr">
        <is>
          <t>Spotlight / 9 класс / Module 5 · Art &amp; Literature / Comparative structures / Comparative structures: as … as / not as (so) … as</t>
        </is>
      </c>
    </row>
    <row r="1064">
      <c r="A1064" s="25" t="n">
        <v>9</v>
      </c>
      <c r="B1064" s="9" t="inlineStr">
        <is>
          <t>Module 5 · Art &amp; Literature</t>
        </is>
      </c>
      <c r="C1064" s="9" t="inlineStr">
        <is>
          <t>5c</t>
        </is>
      </c>
      <c r="D1064" s="9" t="inlineStr">
        <is>
          <t>Comparative structures</t>
        </is>
      </c>
      <c r="E1064" s="23" t="inlineStr">
        <is>
          <t>Comparative structures: less … than / the least … of/in</t>
        </is>
      </c>
      <c r="F1064" s="25" t="inlineStr">
        <is>
          <t>повторение</t>
        </is>
      </c>
      <c r="G1064" s="9" t="inlineStr">
        <is>
          <t>less/more … than, the least/most</t>
        </is>
      </c>
      <c r="H1064" s="25" t="inlineStr">
        <is>
          <t>10+</t>
        </is>
      </c>
      <c r="I1064" s="9">
        <f>IFERROR(INDEX('Темы × классы'!$R:$R,MATCH(E1064,'Темы × классы'!$E:$E,0)),"")</f>
        <v/>
      </c>
      <c r="J1064" s="9">
        <f>IFERROR(INDEX('Темы × классы'!$S:$S,MATCH(E1064,'Темы × классы'!$E:$E,0))&amp;"","")</f>
        <v/>
      </c>
      <c r="K1064" s="9" t="inlineStr">
        <is>
          <t>не начат</t>
        </is>
      </c>
      <c r="L1064" s="9" t="inlineStr">
        <is>
          <t>Spotlight / 9 класс / Module 5 · Art &amp; Literature / Comparative structures / Comparative structures: less … than / the least … of/in</t>
        </is>
      </c>
    </row>
    <row r="1065">
      <c r="A1065" s="25" t="n">
        <v>9</v>
      </c>
      <c r="B1065" s="9" t="inlineStr">
        <is>
          <t>Module 5 · Art &amp; Literature</t>
        </is>
      </c>
      <c r="C1065" s="9" t="inlineStr">
        <is>
          <t>5c</t>
        </is>
      </c>
      <c r="D1065" s="9" t="inlineStr">
        <is>
          <t>Comparative structures</t>
        </is>
      </c>
      <c r="E1065" s="23" t="inlineStr">
        <is>
          <t>Comparative structures: much/a lot/far/a bit/slightly + comparative</t>
        </is>
      </c>
      <c r="F1065" s="25" t="inlineStr">
        <is>
          <t>повторение</t>
        </is>
      </c>
      <c r="G1065" s="9" t="inlineStr">
        <is>
          <t>much/a lot/far/a little bit/slightly</t>
        </is>
      </c>
      <c r="H1065" s="25" t="inlineStr">
        <is>
          <t>10+</t>
        </is>
      </c>
      <c r="I1065" s="9">
        <f>IFERROR(INDEX('Темы × классы'!$R:$R,MATCH(E1065,'Темы × классы'!$E:$E,0)),"")</f>
        <v/>
      </c>
      <c r="J1065" s="9">
        <f>IFERROR(INDEX('Темы × классы'!$S:$S,MATCH(E1065,'Темы × классы'!$E:$E,0))&amp;"","")</f>
        <v/>
      </c>
      <c r="K1065" s="9" t="inlineStr">
        <is>
          <t>не начат</t>
        </is>
      </c>
      <c r="L1065" s="9" t="inlineStr">
        <is>
          <t>Spotlight / 9 класс / Module 5 · Art &amp; Literature / Comparative structures / Comparative structures: much/a lot/far/a bit/slightly + comparative</t>
        </is>
      </c>
    </row>
    <row r="1066">
      <c r="A1066" s="25" t="n">
        <v>9</v>
      </c>
      <c r="B1066" s="9" t="inlineStr">
        <is>
          <t>Module 5 · Art &amp; Literature</t>
        </is>
      </c>
      <c r="C1066" s="9" t="inlineStr">
        <is>
          <t>5c</t>
        </is>
      </c>
      <c r="D1066" s="9" t="inlineStr">
        <is>
          <t>Comparative structures</t>
        </is>
      </c>
      <c r="E1066" s="23" t="inlineStr">
        <is>
          <t>Comparative structures: the + comparative …, the + comparative</t>
        </is>
      </c>
      <c r="F1066" s="25" t="inlineStr">
        <is>
          <t>повторение</t>
        </is>
      </c>
      <c r="G1066" s="9" t="inlineStr">
        <is>
          <t>The longer the day went on, the more tired…</t>
        </is>
      </c>
      <c r="H1066" s="25" t="inlineStr">
        <is>
          <t>10+</t>
        </is>
      </c>
      <c r="I1066" s="9">
        <f>IFERROR(INDEX('Темы × классы'!$R:$R,MATCH(E1066,'Темы × классы'!$E:$E,0)),"")</f>
        <v/>
      </c>
      <c r="J1066" s="9">
        <f>IFERROR(INDEX('Темы × классы'!$S:$S,MATCH(E1066,'Темы × классы'!$E:$E,0))&amp;"","")</f>
        <v/>
      </c>
      <c r="K1066" s="9" t="inlineStr">
        <is>
          <t>не начат</t>
        </is>
      </c>
      <c r="L1066" s="9" t="inlineStr">
        <is>
          <t>Spotlight / 9 класс / Module 5 · Art &amp; Literature / Comparative structures / Comparative structures: the + comparative …, the + comparative</t>
        </is>
      </c>
    </row>
    <row r="1067">
      <c r="A1067" s="25" t="n">
        <v>9</v>
      </c>
      <c r="B1067" s="9" t="inlineStr">
        <is>
          <t>Module 5 · Art &amp; Literature</t>
        </is>
      </c>
      <c r="C1067" s="9" t="inlineStr">
        <is>
          <t>5c</t>
        </is>
      </c>
      <c r="D1067" s="9" t="inlineStr">
        <is>
          <t>Comparative structures</t>
        </is>
      </c>
      <c r="E1067" s="23" t="inlineStr">
        <is>
          <t>Comparative structures: comparative and comparative (shorter and shorter)</t>
        </is>
      </c>
      <c r="F1067" s="25" t="inlineStr">
        <is>
          <t>повторение</t>
        </is>
      </c>
      <c r="G1067" s="9" t="inlineStr">
        <is>
          <t>worse and worse</t>
        </is>
      </c>
      <c r="H1067" s="25" t="inlineStr">
        <is>
          <t>10+</t>
        </is>
      </c>
      <c r="I1067" s="9">
        <f>IFERROR(INDEX('Темы × классы'!$R:$R,MATCH(E1067,'Темы × классы'!$E:$E,0)),"")</f>
        <v/>
      </c>
      <c r="J1067" s="9">
        <f>IFERROR(INDEX('Темы × классы'!$S:$S,MATCH(E1067,'Темы × классы'!$E:$E,0))&amp;"","")</f>
        <v/>
      </c>
      <c r="K1067" s="9" t="inlineStr">
        <is>
          <t>не начат</t>
        </is>
      </c>
      <c r="L1067" s="9" t="inlineStr">
        <is>
          <t>Spotlight / 9 класс / Module 5 · Art &amp; Literature / Comparative structures / Comparative structures: comparative and comparative (shorter and shorter)</t>
        </is>
      </c>
    </row>
    <row r="1068">
      <c r="A1068" s="25" t="n">
        <v>9</v>
      </c>
      <c r="B1068" s="9" t="inlineStr">
        <is>
          <t>Module 5 · Art &amp; Literature</t>
        </is>
      </c>
      <c r="C1068" s="9" t="inlineStr">
        <is>
          <t>5c</t>
        </is>
      </c>
      <c r="D1068" s="9" t="inlineStr">
        <is>
          <t>Comparative structures</t>
        </is>
      </c>
      <c r="E1068" s="23" t="inlineStr">
        <is>
          <t>Comparative structures: by far + the superlative</t>
        </is>
      </c>
      <c r="F1068" s="25" t="inlineStr">
        <is>
          <t>повторение</t>
        </is>
      </c>
      <c r="G1068" s="9" t="inlineStr"/>
      <c r="H1068" s="25" t="inlineStr">
        <is>
          <t>10+</t>
        </is>
      </c>
      <c r="I1068" s="9">
        <f>IFERROR(INDEX('Темы × классы'!$R:$R,MATCH(E1068,'Темы × классы'!$E:$E,0)),"")</f>
        <v/>
      </c>
      <c r="J1068" s="9">
        <f>IFERROR(INDEX('Темы × классы'!$S:$S,MATCH(E1068,'Темы × классы'!$E:$E,0))&amp;"","")</f>
        <v/>
      </c>
      <c r="K1068" s="9" t="inlineStr">
        <is>
          <t>не начат</t>
        </is>
      </c>
      <c r="L1068" s="9" t="inlineStr">
        <is>
          <t>Spotlight / 9 класс / Module 5 · Art &amp; Literature / Comparative structures / Comparative structures: by far + the superlative</t>
        </is>
      </c>
    </row>
    <row r="1069">
      <c r="A1069" s="25" t="n">
        <v>9</v>
      </c>
      <c r="B1069" s="9" t="inlineStr">
        <is>
          <t>Module 5 · Art &amp; Literature</t>
        </is>
      </c>
      <c r="C1069" s="9" t="inlineStr">
        <is>
          <t>5f</t>
        </is>
      </c>
      <c r="D1069" s="9" t="inlineStr">
        <is>
          <t>Phrasal verbs</t>
        </is>
      </c>
      <c r="E1069" s="23" t="inlineStr">
        <is>
          <t>Phrasal verbs: run</t>
        </is>
      </c>
      <c r="F1069" s="26" t="inlineStr">
        <is>
          <t>новое</t>
        </is>
      </c>
      <c r="G1069" s="9" t="inlineStr">
        <is>
          <t>run: run away (убегать), run into (случайно встретить кого-либо), run out of (кончиться — обычно о продуктах), run over (задавить), run through (репетировать).</t>
        </is>
      </c>
      <c r="H1069" s="25" t="inlineStr">
        <is>
          <t>10+</t>
        </is>
      </c>
      <c r="I1069" s="9">
        <f>IFERROR(INDEX('Темы × классы'!$R:$R,MATCH(E1069,'Темы × классы'!$E:$E,0)),"")</f>
        <v/>
      </c>
      <c r="J1069" s="9">
        <f>IFERROR(INDEX('Темы × классы'!$S:$S,MATCH(E1069,'Темы × классы'!$E:$E,0))&amp;"","")</f>
        <v/>
      </c>
      <c r="K1069" s="9" t="inlineStr">
        <is>
          <t>не начат</t>
        </is>
      </c>
      <c r="L1069" s="9" t="inlineStr">
        <is>
          <t>Spotlight / 9 класс / Module 5 · Art &amp; Literature / Phrasal verbs / Phrasal verbs: run</t>
        </is>
      </c>
    </row>
    <row r="1070">
      <c r="A1070" s="25" t="n">
        <v>9</v>
      </c>
      <c r="B1070" s="9" t="inlineStr">
        <is>
          <t>Module 5 · Art &amp; Literature</t>
        </is>
      </c>
      <c r="C1070" s="9" t="inlineStr">
        <is>
          <t>5f</t>
        </is>
      </c>
      <c r="D1070" s="9" t="inlineStr">
        <is>
          <t>Word formation</t>
        </is>
      </c>
      <c r="E1070" s="23" t="inlineStr">
        <is>
          <t>Word formation: verbs with prefixes</t>
        </is>
      </c>
      <c r="F1070" s="26" t="inlineStr">
        <is>
          <t>новое</t>
        </is>
      </c>
      <c r="G1070" s="9" t="inlineStr">
        <is>
          <t>Word formation: образование глаголов с помощью приставок (forming verbs with prefixes).</t>
        </is>
      </c>
      <c r="H1070" s="25" t="inlineStr">
        <is>
          <t>10+</t>
        </is>
      </c>
      <c r="I1070" s="9">
        <f>IFERROR(INDEX('Темы × классы'!$R:$R,MATCH(E1070,'Темы × классы'!$E:$E,0)),"")</f>
        <v/>
      </c>
      <c r="J1070" s="9">
        <f>IFERROR(INDEX('Темы × классы'!$S:$S,MATCH(E1070,'Темы × классы'!$E:$E,0))&amp;"","")</f>
        <v/>
      </c>
      <c r="K1070" s="9" t="inlineStr">
        <is>
          <t>не начат</t>
        </is>
      </c>
      <c r="L1070" s="9" t="inlineStr">
        <is>
          <t>Spotlight / 9 класс / Module 5 · Art &amp; Literature / Word formation / Word formation: verbs with prefixes</t>
        </is>
      </c>
    </row>
    <row r="1071">
      <c r="A1071" s="25" t="n">
        <v>9</v>
      </c>
      <c r="B1071" s="9" t="inlineStr">
        <is>
          <t>Module 5 · Art &amp; Literature</t>
        </is>
      </c>
      <c r="C1071" s="9" t="inlineStr">
        <is>
          <t>5f</t>
        </is>
      </c>
      <c r="D1071" s="9" t="inlineStr">
        <is>
          <t>Dependent prepositions</t>
        </is>
      </c>
      <c r="E1071" s="23" t="inlineStr">
        <is>
          <t>Dependent prepositions</t>
        </is>
      </c>
      <c r="F1071" s="25" t="inlineStr">
        <is>
          <t>повторение</t>
        </is>
      </c>
      <c r="G1071" s="9" t="inlineStr">
        <is>
          <t>Dependent prepositions (заголовок раздела English in Use).</t>
        </is>
      </c>
      <c r="H1071" s="25" t="inlineStr">
        <is>
          <t>10+</t>
        </is>
      </c>
      <c r="I1071" s="9">
        <f>IFERROR(INDEX('Темы × классы'!$R:$R,MATCH(E1071,'Темы × классы'!$E:$E,0)),"")</f>
        <v/>
      </c>
      <c r="J1071" s="9">
        <f>IFERROR(INDEX('Темы × классы'!$S:$S,MATCH(E1071,'Темы × классы'!$E:$E,0))&amp;"","")</f>
        <v/>
      </c>
      <c r="K1071" s="9" t="inlineStr">
        <is>
          <t>не начат</t>
        </is>
      </c>
      <c r="L1071" s="9" t="inlineStr">
        <is>
          <t>Spotlight / 9 класс / Module 5 · Art &amp; Literature / Dependent prepositions / Dependent prepositions</t>
        </is>
      </c>
    </row>
    <row r="1072">
      <c r="A1072" s="25" t="n">
        <v>9</v>
      </c>
      <c r="B1072" s="9" t="inlineStr">
        <is>
          <t>Module 6 · Town &amp; Community</t>
        </is>
      </c>
      <c r="C1072" s="9" t="inlineStr">
        <is>
          <t>6c</t>
        </is>
      </c>
      <c r="D1072" s="9" t="inlineStr">
        <is>
          <t>Causative (have something done)</t>
        </is>
      </c>
      <c r="E1072" s="23" t="inlineStr">
        <is>
          <t>Causative: форма have + object + V3</t>
        </is>
      </c>
      <c r="F1072" s="25" t="inlineStr">
        <is>
          <t>повторение</t>
        </is>
      </c>
      <c r="G1072" s="9" t="inlineStr"/>
      <c r="H1072" s="25" t="inlineStr">
        <is>
          <t>10+</t>
        </is>
      </c>
      <c r="I1072" s="9">
        <f>IFERROR(INDEX('Темы × классы'!$R:$R,MATCH(E1072,'Темы × классы'!$E:$E,0)),"")</f>
        <v/>
      </c>
      <c r="J1072" s="9">
        <f>IFERROR(INDEX('Темы × классы'!$S:$S,MATCH(E1072,'Темы × классы'!$E:$E,0))&amp;"","")</f>
        <v/>
      </c>
      <c r="K1072" s="9" t="inlineStr">
        <is>
          <t>не начат</t>
        </is>
      </c>
      <c r="L1072" s="9" t="inlineStr">
        <is>
          <t>Spotlight / 9 класс / Module 6 · Town &amp; Community / Causative (have something done) / Causative: форма have + object + V3</t>
        </is>
      </c>
    </row>
    <row r="1073">
      <c r="A1073" s="25" t="n">
        <v>9</v>
      </c>
      <c r="B1073" s="9" t="inlineStr">
        <is>
          <t>Module 6 · Town &amp; Community</t>
        </is>
      </c>
      <c r="C1073" s="9" t="inlineStr">
        <is>
          <t>6c</t>
        </is>
      </c>
      <c r="D1073" s="9" t="inlineStr">
        <is>
          <t>Causative (have something done)</t>
        </is>
      </c>
      <c r="E1073" s="23" t="inlineStr">
        <is>
          <t>Causative: значение — действие выполняет кто-то другой для подлежащего</t>
        </is>
      </c>
      <c r="F1073" s="25" t="inlineStr">
        <is>
          <t>повторение</t>
        </is>
      </c>
      <c r="G1073" s="9" t="inlineStr"/>
      <c r="H1073" s="25" t="inlineStr">
        <is>
          <t>10+</t>
        </is>
      </c>
      <c r="I1073" s="9">
        <f>IFERROR(INDEX('Темы × классы'!$R:$R,MATCH(E1073,'Темы × классы'!$E:$E,0)),"")</f>
        <v/>
      </c>
      <c r="J1073" s="9">
        <f>IFERROR(INDEX('Темы × классы'!$S:$S,MATCH(E1073,'Темы × классы'!$E:$E,0))&amp;"","")</f>
        <v/>
      </c>
      <c r="K1073" s="9" t="inlineStr">
        <is>
          <t>не начат</t>
        </is>
      </c>
      <c r="L1073" s="9" t="inlineStr">
        <is>
          <t>Spotlight / 9 класс / Module 6 · Town &amp; Community / Causative (have something done) / Causative: значение — действие выполняет кто-то другой для подлежащего</t>
        </is>
      </c>
    </row>
    <row r="1074">
      <c r="A1074" s="25" t="n">
        <v>9</v>
      </c>
      <c r="B1074" s="9" t="inlineStr">
        <is>
          <t>Module 6 · Town &amp; Community</t>
        </is>
      </c>
      <c r="C1074" s="9" t="inlineStr">
        <is>
          <t>6c</t>
        </is>
      </c>
      <c r="D1074" s="9" t="inlineStr">
        <is>
          <t>Causative (have something done)</t>
        </is>
      </c>
      <c r="E1074" s="23" t="inlineStr">
        <is>
          <t>Causative: have sth done в разных временах (Continuous, Perfect, Future)</t>
        </is>
      </c>
      <c r="F1074" s="27" t="inlineStr">
        <is>
          <t>расширение</t>
        </is>
      </c>
      <c r="G1074" s="9" t="inlineStr">
        <is>
          <t>+ will be having</t>
        </is>
      </c>
      <c r="H1074" s="25" t="inlineStr">
        <is>
          <t>10+</t>
        </is>
      </c>
      <c r="I1074" s="9">
        <f>IFERROR(INDEX('Темы × классы'!$R:$R,MATCH(E1074,'Темы × классы'!$E:$E,0)),"")</f>
        <v/>
      </c>
      <c r="J1074" s="9">
        <f>IFERROR(INDEX('Темы × классы'!$S:$S,MATCH(E1074,'Темы × классы'!$E:$E,0))&amp;"","")</f>
        <v/>
      </c>
      <c r="K1074" s="9" t="inlineStr">
        <is>
          <t>не начат</t>
        </is>
      </c>
      <c r="L1074" s="9" t="inlineStr">
        <is>
          <t>Spotlight / 9 класс / Module 6 · Town &amp; Community / Causative (have something done) / Causative: have sth done в разных временах (Continuous, Perfect, Future)</t>
        </is>
      </c>
    </row>
    <row r="1075">
      <c r="A1075" s="25" t="n">
        <v>9</v>
      </c>
      <c r="B1075" s="9" t="inlineStr">
        <is>
          <t>Module 6 · Town &amp; Community</t>
        </is>
      </c>
      <c r="C1075" s="9" t="inlineStr">
        <is>
          <t>6c</t>
        </is>
      </c>
      <c r="D1075" s="9" t="inlineStr">
        <is>
          <t>Causative (have something done)</t>
        </is>
      </c>
      <c r="E1075" s="23" t="inlineStr">
        <is>
          <t>Causative: инфинитив, -ing и модальные (to have / having sth done)</t>
        </is>
      </c>
      <c r="F1075" s="25" t="inlineStr">
        <is>
          <t>повторение</t>
        </is>
      </c>
      <c r="G1075" s="9" t="inlineStr"/>
      <c r="H1075" s="25" t="inlineStr">
        <is>
          <t>10+</t>
        </is>
      </c>
      <c r="I1075" s="9">
        <f>IFERROR(INDEX('Темы × классы'!$R:$R,MATCH(E1075,'Темы × классы'!$E:$E,0)),"")</f>
        <v/>
      </c>
      <c r="J1075" s="9">
        <f>IFERROR(INDEX('Темы × классы'!$S:$S,MATCH(E1075,'Темы × классы'!$E:$E,0))&amp;"","")</f>
        <v/>
      </c>
      <c r="K1075" s="9" t="inlineStr">
        <is>
          <t>не начат</t>
        </is>
      </c>
      <c r="L1075" s="9" t="inlineStr">
        <is>
          <t>Spotlight / 9 класс / Module 6 · Town &amp; Community / Causative (have something done) / Causative: инфинитив, -ing и модальные (to have / having sth done)</t>
        </is>
      </c>
    </row>
    <row r="1076">
      <c r="A1076" s="25" t="n">
        <v>9</v>
      </c>
      <c r="B1076" s="9" t="inlineStr">
        <is>
          <t>Module 6 · Town &amp; Community</t>
        </is>
      </c>
      <c r="C1076" s="9" t="inlineStr">
        <is>
          <t>6c</t>
        </is>
      </c>
      <c r="D1076" s="9" t="inlineStr">
        <is>
          <t>Causative (have something done)</t>
        </is>
      </c>
      <c r="E1076" s="23" t="inlineStr">
        <is>
          <t>Causative: отрицания и вопросы с do/does/did</t>
        </is>
      </c>
      <c r="F1076" s="26" t="inlineStr">
        <is>
          <t>новое</t>
        </is>
      </c>
      <c r="G1076" s="9" t="inlineStr">
        <is>
          <t>Did you have your eyes checked?</t>
        </is>
      </c>
      <c r="H1076" s="25" t="inlineStr">
        <is>
          <t>10+</t>
        </is>
      </c>
      <c r="I1076" s="9">
        <f>IFERROR(INDEX('Темы × классы'!$R:$R,MATCH(E1076,'Темы × классы'!$E:$E,0)),"")</f>
        <v/>
      </c>
      <c r="J1076" s="9">
        <f>IFERROR(INDEX('Темы × классы'!$S:$S,MATCH(E1076,'Темы × классы'!$E:$E,0))&amp;"","")</f>
        <v/>
      </c>
      <c r="K1076" s="9" t="inlineStr">
        <is>
          <t>не начат</t>
        </is>
      </c>
      <c r="L1076" s="9" t="inlineStr">
        <is>
          <t>Spotlight / 9 класс / Module 6 · Town &amp; Community / Causative (have something done) / Causative: отрицания и вопросы с do/does/did</t>
        </is>
      </c>
    </row>
    <row r="1077">
      <c r="A1077" s="25" t="n">
        <v>9</v>
      </c>
      <c r="B1077" s="9" t="inlineStr">
        <is>
          <t>Module 6 · Town &amp; Community</t>
        </is>
      </c>
      <c r="C1077" s="9" t="inlineStr">
        <is>
          <t>6c</t>
        </is>
      </c>
      <c r="D1077" s="9" t="inlineStr">
        <is>
          <t>Causative (have something done)</t>
        </is>
      </c>
      <c r="E1077" s="23" t="inlineStr">
        <is>
          <t>Causative: get sth done вместо have</t>
        </is>
      </c>
      <c r="F1077" s="26" t="inlineStr">
        <is>
          <t>новое</t>
        </is>
      </c>
      <c r="G1077" s="9" t="inlineStr"/>
      <c r="H1077" s="25" t="inlineStr">
        <is>
          <t>10+</t>
        </is>
      </c>
      <c r="I1077" s="9">
        <f>IFERROR(INDEX('Темы × классы'!$R:$R,MATCH(E1077,'Темы × классы'!$E:$E,0)),"")</f>
        <v/>
      </c>
      <c r="J1077" s="9">
        <f>IFERROR(INDEX('Темы × классы'!$S:$S,MATCH(E1077,'Темы × классы'!$E:$E,0))&amp;"","")</f>
        <v/>
      </c>
      <c r="K1077" s="9" t="inlineStr">
        <is>
          <t>не начат</t>
        </is>
      </c>
      <c r="L1077" s="9" t="inlineStr">
        <is>
          <t>Spotlight / 9 класс / Module 6 · Town &amp; Community / Causative (have something done) / Causative: get sth done вместо have</t>
        </is>
      </c>
    </row>
    <row r="1078">
      <c r="A1078" s="25" t="n">
        <v>9</v>
      </c>
      <c r="B1078" s="9" t="inlineStr">
        <is>
          <t>Module 6 · Town &amp; Community</t>
        </is>
      </c>
      <c r="C1078" s="9" t="inlineStr">
        <is>
          <t>6c</t>
        </is>
      </c>
      <c r="D1078" s="9" t="inlineStr">
        <is>
          <t>Causative (have something done)</t>
        </is>
      </c>
      <c r="E1078" s="23" t="inlineStr">
        <is>
          <t>Causative: значение — неприятное происшествие (had his car stolen)</t>
        </is>
      </c>
      <c r="F1078" s="26" t="inlineStr">
        <is>
          <t>новое</t>
        </is>
      </c>
      <c r="G1078" s="9" t="inlineStr">
        <is>
          <t>George had his car stolen</t>
        </is>
      </c>
      <c r="H1078" s="25" t="inlineStr">
        <is>
          <t>10+</t>
        </is>
      </c>
      <c r="I1078" s="9">
        <f>IFERROR(INDEX('Темы × классы'!$R:$R,MATCH(E1078,'Темы × классы'!$E:$E,0)),"")</f>
        <v/>
      </c>
      <c r="J1078" s="9">
        <f>IFERROR(INDEX('Темы × классы'!$S:$S,MATCH(E1078,'Темы × классы'!$E:$E,0))&amp;"","")</f>
        <v/>
      </c>
      <c r="K1078" s="9" t="inlineStr">
        <is>
          <t>не начат</t>
        </is>
      </c>
      <c r="L1078" s="9" t="inlineStr">
        <is>
          <t>Spotlight / 9 класс / Module 6 · Town &amp; Community / Causative (have something done) / Causative: значение — неприятное происшествие (had his car stolen)</t>
        </is>
      </c>
    </row>
    <row r="1079">
      <c r="A1079" s="25" t="n">
        <v>9</v>
      </c>
      <c r="B1079" s="9" t="inlineStr">
        <is>
          <t>Module 6 · Town &amp; Community</t>
        </is>
      </c>
      <c r="C1079" s="9" t="inlineStr">
        <is>
          <t>6c</t>
        </is>
      </c>
      <c r="D1079" s="9" t="inlineStr">
        <is>
          <t>Passive Voice</t>
        </is>
      </c>
      <c r="E1079" s="23" t="inlineStr">
        <is>
          <t>Passive Voice: форма be + V3 — Present Simple и Past Simple</t>
        </is>
      </c>
      <c r="F1079" s="25" t="inlineStr">
        <is>
          <t>повторение</t>
        </is>
      </c>
      <c r="G1079" s="9" t="inlineStr"/>
      <c r="H1079" s="25" t="inlineStr">
        <is>
          <t>10+</t>
        </is>
      </c>
      <c r="I1079" s="9">
        <f>IFERROR(INDEX('Темы × классы'!$R:$R,MATCH(E1079,'Темы × классы'!$E:$E,0)),"")</f>
        <v/>
      </c>
      <c r="J1079" s="9">
        <f>IFERROR(INDEX('Темы × классы'!$S:$S,MATCH(E1079,'Темы × классы'!$E:$E,0))&amp;"","")</f>
        <v/>
      </c>
      <c r="K1079" s="9" t="inlineStr">
        <is>
          <t>не начат</t>
        </is>
      </c>
      <c r="L1079" s="9" t="inlineStr">
        <is>
          <t>Spotlight / 9 класс / Module 6 · Town &amp; Community / Passive Voice / Passive Voice: форма be + V3 — Present Simple и Past Simple</t>
        </is>
      </c>
    </row>
    <row r="1080">
      <c r="A1080" s="25" t="n">
        <v>9</v>
      </c>
      <c r="B1080" s="9" t="inlineStr">
        <is>
          <t>Module 6 · Town &amp; Community</t>
        </is>
      </c>
      <c r="C1080" s="9" t="inlineStr">
        <is>
          <t>6c</t>
        </is>
      </c>
      <c r="D1080" s="9" t="inlineStr">
        <is>
          <t>Passive Voice</t>
        </is>
      </c>
      <c r="E1080" s="23" t="inlineStr">
        <is>
          <t>Passive Voice: Continuous (is/was being + V3)</t>
        </is>
      </c>
      <c r="F1080" s="25" t="inlineStr">
        <is>
          <t>повторение</t>
        </is>
      </c>
      <c r="G1080" s="9" t="inlineStr"/>
      <c r="H1080" s="25" t="inlineStr">
        <is>
          <t>10+</t>
        </is>
      </c>
      <c r="I1080" s="9">
        <f>IFERROR(INDEX('Темы × классы'!$R:$R,MATCH(E1080,'Темы × классы'!$E:$E,0)),"")</f>
        <v/>
      </c>
      <c r="J1080" s="9">
        <f>IFERROR(INDEX('Темы × классы'!$S:$S,MATCH(E1080,'Темы × классы'!$E:$E,0))&amp;"","")</f>
        <v/>
      </c>
      <c r="K1080" s="9" t="inlineStr">
        <is>
          <t>не начат</t>
        </is>
      </c>
      <c r="L1080" s="9" t="inlineStr">
        <is>
          <t>Spotlight / 9 класс / Module 6 · Town &amp; Community / Passive Voice / Passive Voice: Continuous (is/was being + V3)</t>
        </is>
      </c>
    </row>
    <row r="1081">
      <c r="A1081" s="25" t="n">
        <v>9</v>
      </c>
      <c r="B1081" s="9" t="inlineStr">
        <is>
          <t>Module 6 · Town &amp; Community</t>
        </is>
      </c>
      <c r="C1081" s="9" t="inlineStr">
        <is>
          <t>6c</t>
        </is>
      </c>
      <c r="D1081" s="9" t="inlineStr">
        <is>
          <t>Passive Voice</t>
        </is>
      </c>
      <c r="E1081" s="23" t="inlineStr">
        <is>
          <t>Passive Voice: Present/Past Perfect (has/had been + V3)</t>
        </is>
      </c>
      <c r="F1081" s="25" t="inlineStr">
        <is>
          <t>повторение</t>
        </is>
      </c>
      <c r="G1081" s="9" t="inlineStr"/>
      <c r="H1081" s="25" t="inlineStr">
        <is>
          <t>10+</t>
        </is>
      </c>
      <c r="I1081" s="9">
        <f>IFERROR(INDEX('Темы × классы'!$R:$R,MATCH(E1081,'Темы × классы'!$E:$E,0)),"")</f>
        <v/>
      </c>
      <c r="J1081" s="9">
        <f>IFERROR(INDEX('Темы × классы'!$S:$S,MATCH(E1081,'Темы × классы'!$E:$E,0))&amp;"","")</f>
        <v/>
      </c>
      <c r="K1081" s="9" t="inlineStr">
        <is>
          <t>не начат</t>
        </is>
      </c>
      <c r="L1081" s="9" t="inlineStr">
        <is>
          <t>Spotlight / 9 класс / Module 6 · Town &amp; Community / Passive Voice / Passive Voice: Present/Past Perfect (has/had been + V3)</t>
        </is>
      </c>
    </row>
    <row r="1082">
      <c r="A1082" s="25" t="n">
        <v>9</v>
      </c>
      <c r="B1082" s="9" t="inlineStr">
        <is>
          <t>Module 6 · Town &amp; Community</t>
        </is>
      </c>
      <c r="C1082" s="9" t="inlineStr">
        <is>
          <t>6c</t>
        </is>
      </c>
      <c r="D1082" s="9" t="inlineStr">
        <is>
          <t>Passive Voice</t>
        </is>
      </c>
      <c r="E1082" s="23" t="inlineStr">
        <is>
          <t>Passive Voice: Future Simple (will be + V3)</t>
        </is>
      </c>
      <c r="F1082" s="25" t="inlineStr">
        <is>
          <t>повторение</t>
        </is>
      </c>
      <c r="G1082" s="9" t="inlineStr"/>
      <c r="H1082" s="25" t="inlineStr">
        <is>
          <t>10+</t>
        </is>
      </c>
      <c r="I1082" s="9">
        <f>IFERROR(INDEX('Темы × классы'!$R:$R,MATCH(E1082,'Темы × классы'!$E:$E,0)),"")</f>
        <v/>
      </c>
      <c r="J1082" s="9">
        <f>IFERROR(INDEX('Темы × классы'!$S:$S,MATCH(E1082,'Темы × классы'!$E:$E,0))&amp;"","")</f>
        <v/>
      </c>
      <c r="K1082" s="9" t="inlineStr">
        <is>
          <t>не начат</t>
        </is>
      </c>
      <c r="L1082" s="9" t="inlineStr">
        <is>
          <t>Spotlight / 9 класс / Module 6 · Town &amp; Community / Passive Voice / Passive Voice: Future Simple (will be + V3)</t>
        </is>
      </c>
    </row>
    <row r="1083">
      <c r="A1083" s="25" t="n">
        <v>9</v>
      </c>
      <c r="B1083" s="9" t="inlineStr">
        <is>
          <t>Module 6 · Town &amp; Community</t>
        </is>
      </c>
      <c r="C1083" s="9" t="inlineStr">
        <is>
          <t>6c</t>
        </is>
      </c>
      <c r="D1083" s="9" t="inlineStr">
        <is>
          <t>Passive Voice</t>
        </is>
      </c>
      <c r="E1083" s="23" t="inlineStr">
        <is>
          <t>Passive Voice: Future Perfect (will have been + V3)</t>
        </is>
      </c>
      <c r="F1083" s="26" t="inlineStr">
        <is>
          <t>новое</t>
        </is>
      </c>
      <c r="G1083" s="9" t="inlineStr"/>
      <c r="H1083" s="25" t="inlineStr">
        <is>
          <t>10+</t>
        </is>
      </c>
      <c r="I1083" s="9">
        <f>IFERROR(INDEX('Темы × классы'!$R:$R,MATCH(E1083,'Темы × классы'!$E:$E,0)),"")</f>
        <v/>
      </c>
      <c r="J1083" s="9">
        <f>IFERROR(INDEX('Темы × классы'!$S:$S,MATCH(E1083,'Темы × классы'!$E:$E,0))&amp;"","")</f>
        <v/>
      </c>
      <c r="K1083" s="9" t="inlineStr">
        <is>
          <t>не начат</t>
        </is>
      </c>
      <c r="L1083" s="9" t="inlineStr">
        <is>
          <t>Spotlight / 9 класс / Module 6 · Town &amp; Community / Passive Voice / Passive Voice: Future Perfect (will have been + V3)</t>
        </is>
      </c>
    </row>
    <row r="1084">
      <c r="A1084" s="25" t="n">
        <v>9</v>
      </c>
      <c r="B1084" s="9" t="inlineStr">
        <is>
          <t>Module 6 · Town &amp; Community</t>
        </is>
      </c>
      <c r="C1084" s="9" t="inlineStr">
        <is>
          <t>6c</t>
        </is>
      </c>
      <c r="D1084" s="9" t="inlineStr">
        <is>
          <t>Passive Voice</t>
        </is>
      </c>
      <c r="E1084" s="23" t="inlineStr">
        <is>
          <t>Passive Voice: инфинитив и модальные (has to be / can be + V3)</t>
        </is>
      </c>
      <c r="F1084" s="25" t="inlineStr">
        <is>
          <t>повторение</t>
        </is>
      </c>
      <c r="G1084" s="9" t="inlineStr">
        <is>
          <t>has to be made; may be made</t>
        </is>
      </c>
      <c r="H1084" s="25" t="inlineStr">
        <is>
          <t>10+</t>
        </is>
      </c>
      <c r="I1084" s="9">
        <f>IFERROR(INDEX('Темы × классы'!$R:$R,MATCH(E1084,'Темы × классы'!$E:$E,0)),"")</f>
        <v/>
      </c>
      <c r="J1084" s="9">
        <f>IFERROR(INDEX('Темы × классы'!$S:$S,MATCH(E1084,'Темы × классы'!$E:$E,0))&amp;"","")</f>
        <v/>
      </c>
      <c r="K1084" s="9" t="inlineStr">
        <is>
          <t>не начат</t>
        </is>
      </c>
      <c r="L1084" s="9" t="inlineStr">
        <is>
          <t>Spotlight / 9 класс / Module 6 · Town &amp; Community / Passive Voice / Passive Voice: инфинитив и модальные (has to be / can be + V3)</t>
        </is>
      </c>
    </row>
    <row r="1085">
      <c r="A1085" s="25" t="n">
        <v>9</v>
      </c>
      <c r="B1085" s="9" t="inlineStr">
        <is>
          <t>Module 6 · Town &amp; Community</t>
        </is>
      </c>
      <c r="C1085" s="9" t="inlineStr">
        <is>
          <t>6c</t>
        </is>
      </c>
      <c r="D1085" s="9" t="inlineStr">
        <is>
          <t>Passive Voice</t>
        </is>
      </c>
      <c r="E1085" s="23" t="inlineStr">
        <is>
          <t>Passive Voice: преобразование active → passive</t>
        </is>
      </c>
      <c r="F1085" s="25" t="inlineStr">
        <is>
          <t>повторение</t>
        </is>
      </c>
      <c r="G1085" s="9" t="inlineStr"/>
      <c r="H1085" s="25" t="inlineStr">
        <is>
          <t>10+</t>
        </is>
      </c>
      <c r="I1085" s="9">
        <f>IFERROR(INDEX('Темы × классы'!$R:$R,MATCH(E1085,'Темы × классы'!$E:$E,0)),"")</f>
        <v/>
      </c>
      <c r="J1085" s="9">
        <f>IFERROR(INDEX('Темы × классы'!$S:$S,MATCH(E1085,'Темы × классы'!$E:$E,0))&amp;"","")</f>
        <v/>
      </c>
      <c r="K1085" s="9" t="inlineStr">
        <is>
          <t>не начат</t>
        </is>
      </c>
      <c r="L1085" s="9" t="inlineStr">
        <is>
          <t>Spotlight / 9 класс / Module 6 · Town &amp; Community / Passive Voice / Passive Voice: преобразование active → passive</t>
        </is>
      </c>
    </row>
    <row r="1086">
      <c r="A1086" s="25" t="n">
        <v>9</v>
      </c>
      <c r="B1086" s="9" t="inlineStr">
        <is>
          <t>Module 6 · Town &amp; Community</t>
        </is>
      </c>
      <c r="C1086" s="9" t="inlineStr">
        <is>
          <t>6c</t>
        </is>
      </c>
      <c r="D1086" s="9" t="inlineStr">
        <is>
          <t>Passive Voice</t>
        </is>
      </c>
      <c r="E1086" s="23" t="inlineStr">
        <is>
          <t>Passive Voice: значение — исполнитель неизвестен/неважен/очевиден</t>
        </is>
      </c>
      <c r="F1086" s="27" t="inlineStr">
        <is>
          <t>расширение</t>
        </is>
      </c>
      <c r="G1086" s="9" t="inlineStr">
        <is>
          <t>+ неизвестен</t>
        </is>
      </c>
      <c r="H1086" s="25" t="inlineStr">
        <is>
          <t>10+</t>
        </is>
      </c>
      <c r="I1086" s="9">
        <f>IFERROR(INDEX('Темы × классы'!$R:$R,MATCH(E1086,'Темы × классы'!$E:$E,0)),"")</f>
        <v/>
      </c>
      <c r="J1086" s="9">
        <f>IFERROR(INDEX('Темы × классы'!$S:$S,MATCH(E1086,'Темы × классы'!$E:$E,0))&amp;"","")</f>
        <v/>
      </c>
      <c r="K1086" s="9" t="inlineStr">
        <is>
          <t>не начат</t>
        </is>
      </c>
      <c r="L1086" s="9" t="inlineStr">
        <is>
          <t>Spotlight / 9 класс / Module 6 · Town &amp; Community / Passive Voice / Passive Voice: значение — исполнитель неизвестен/неважен/очевиден</t>
        </is>
      </c>
    </row>
    <row r="1087">
      <c r="A1087" s="25" t="n">
        <v>9</v>
      </c>
      <c r="B1087" s="9" t="inlineStr">
        <is>
          <t>Module 6 · Town &amp; Community</t>
        </is>
      </c>
      <c r="C1087" s="9" t="inlineStr">
        <is>
          <t>6c</t>
        </is>
      </c>
      <c r="D1087" s="9" t="inlineStr">
        <is>
          <t>Passive Voice</t>
        </is>
      </c>
      <c r="E1087" s="23" t="inlineStr">
        <is>
          <t>Passive Voice: значение — действие важнее исполнителя (новости, инструкции, реклама)</t>
        </is>
      </c>
      <c r="F1087" s="25" t="inlineStr">
        <is>
          <t>повторение</t>
        </is>
      </c>
      <c r="G1087" s="9" t="inlineStr"/>
      <c r="H1087" s="25" t="inlineStr">
        <is>
          <t>10+</t>
        </is>
      </c>
      <c r="I1087" s="9">
        <f>IFERROR(INDEX('Темы × классы'!$R:$R,MATCH(E1087,'Темы × классы'!$E:$E,0)),"")</f>
        <v/>
      </c>
      <c r="J1087" s="9">
        <f>IFERROR(INDEX('Темы × классы'!$S:$S,MATCH(E1087,'Темы × классы'!$E:$E,0))&amp;"","")</f>
        <v/>
      </c>
      <c r="K1087" s="9" t="inlineStr">
        <is>
          <t>не начат</t>
        </is>
      </c>
      <c r="L1087" s="9" t="inlineStr">
        <is>
          <t>Spotlight / 9 класс / Module 6 · Town &amp; Community / Passive Voice / Passive Voice: значение — действие важнее исполнителя (новости, инструкции, реклама)</t>
        </is>
      </c>
    </row>
    <row r="1088">
      <c r="A1088" s="25" t="n">
        <v>9</v>
      </c>
      <c r="B1088" s="9" t="inlineStr">
        <is>
          <t>Module 6 · Town &amp; Community</t>
        </is>
      </c>
      <c r="C1088" s="9" t="inlineStr">
        <is>
          <t>6c</t>
        </is>
      </c>
      <c r="D1088" s="9" t="inlineStr">
        <is>
          <t>Passive Voice</t>
        </is>
      </c>
      <c r="E1088" s="23" t="inlineStr">
        <is>
          <t>Passive Voice: значение — уход от ответственности</t>
        </is>
      </c>
      <c r="F1088" s="25" t="inlineStr">
        <is>
          <t>повторение</t>
        </is>
      </c>
      <c r="G1088" s="9" t="inlineStr"/>
      <c r="H1088" s="25" t="inlineStr">
        <is>
          <t>10+</t>
        </is>
      </c>
      <c r="I1088" s="9">
        <f>IFERROR(INDEX('Темы × классы'!$R:$R,MATCH(E1088,'Темы × классы'!$E:$E,0)),"")</f>
        <v/>
      </c>
      <c r="J1088" s="9">
        <f>IFERROR(INDEX('Темы × классы'!$S:$S,MATCH(E1088,'Темы × классы'!$E:$E,0))&amp;"","")</f>
        <v/>
      </c>
      <c r="K1088" s="9" t="inlineStr">
        <is>
          <t>не начат</t>
        </is>
      </c>
      <c r="L1088" s="9" t="inlineStr">
        <is>
          <t>Spotlight / 9 класс / Module 6 · Town &amp; Community / Passive Voice / Passive Voice: значение — уход от ответственности</t>
        </is>
      </c>
    </row>
    <row r="1089">
      <c r="A1089" s="25" t="n">
        <v>9</v>
      </c>
      <c r="B1089" s="9" t="inlineStr">
        <is>
          <t>Module 6 · Town &amp; Community</t>
        </is>
      </c>
      <c r="C1089" s="9" t="inlineStr">
        <is>
          <t>6c</t>
        </is>
      </c>
      <c r="D1089" s="9" t="inlineStr">
        <is>
          <t>Passive Voice</t>
        </is>
      </c>
      <c r="E1089" s="23" t="inlineStr">
        <is>
          <t>Passive Voice: значение — акцент на исполнителе</t>
        </is>
      </c>
      <c r="F1089" s="25" t="inlineStr">
        <is>
          <t>повторение</t>
        </is>
      </c>
      <c r="G1089" s="9" t="inlineStr"/>
      <c r="H1089" s="25" t="inlineStr">
        <is>
          <t>10+</t>
        </is>
      </c>
      <c r="I1089" s="9">
        <f>IFERROR(INDEX('Темы × классы'!$R:$R,MATCH(E1089,'Темы × классы'!$E:$E,0)),"")</f>
        <v/>
      </c>
      <c r="J1089" s="9">
        <f>IFERROR(INDEX('Темы × классы'!$S:$S,MATCH(E1089,'Темы × классы'!$E:$E,0))&amp;"","")</f>
        <v/>
      </c>
      <c r="K1089" s="9" t="inlineStr">
        <is>
          <t>не начат</t>
        </is>
      </c>
      <c r="L1089" s="9" t="inlineStr">
        <is>
          <t>Spotlight / 9 класс / Module 6 · Town &amp; Community / Passive Voice / Passive Voice: значение — акцент на исполнителе</t>
        </is>
      </c>
    </row>
    <row r="1090">
      <c r="A1090" s="25" t="n">
        <v>9</v>
      </c>
      <c r="B1090" s="9" t="inlineStr">
        <is>
          <t>Module 6 · Town &amp; Community</t>
        </is>
      </c>
      <c r="C1090" s="9" t="inlineStr">
        <is>
          <t>6c</t>
        </is>
      </c>
      <c r="D1090" s="9" t="inlineStr">
        <is>
          <t>Passive Voice</t>
        </is>
      </c>
      <c r="E1090" s="23" t="inlineStr">
        <is>
          <t>Passive Voice: значение — формальность, вежливость</t>
        </is>
      </c>
      <c r="F1090" s="25" t="inlineStr">
        <is>
          <t>повторение</t>
        </is>
      </c>
      <c r="G1090" s="9" t="inlineStr"/>
      <c r="H1090" s="25" t="inlineStr">
        <is>
          <t>10+</t>
        </is>
      </c>
      <c r="I1090" s="9">
        <f>IFERROR(INDEX('Темы × классы'!$R:$R,MATCH(E1090,'Темы × классы'!$E:$E,0)),"")</f>
        <v/>
      </c>
      <c r="J1090" s="9">
        <f>IFERROR(INDEX('Темы × классы'!$S:$S,MATCH(E1090,'Темы × классы'!$E:$E,0))&amp;"","")</f>
        <v/>
      </c>
      <c r="K1090" s="9" t="inlineStr">
        <is>
          <t>не начат</t>
        </is>
      </c>
      <c r="L1090" s="9" t="inlineStr">
        <is>
          <t>Spotlight / 9 класс / Module 6 · Town &amp; Community / Passive Voice / Passive Voice: значение — формальность, вежливость</t>
        </is>
      </c>
    </row>
    <row r="1091">
      <c r="A1091" s="25" t="n">
        <v>9</v>
      </c>
      <c r="B1091" s="9" t="inlineStr">
        <is>
          <t>Module 6 · Town &amp; Community</t>
        </is>
      </c>
      <c r="C1091" s="9" t="inlineStr">
        <is>
          <t>6c</t>
        </is>
      </c>
      <c r="D1091" s="9" t="inlineStr">
        <is>
          <t>Passive Voice</t>
        </is>
      </c>
      <c r="E1091" s="23" t="inlineStr">
        <is>
          <t>Passive Voice: by + исполнитель vs with + инструмент/материал</t>
        </is>
      </c>
      <c r="F1091" s="25" t="inlineStr">
        <is>
          <t>повторение</t>
        </is>
      </c>
      <c r="G1091" s="9" t="inlineStr"/>
      <c r="H1091" s="25" t="inlineStr">
        <is>
          <t>10+</t>
        </is>
      </c>
      <c r="I1091" s="9">
        <f>IFERROR(INDEX('Темы × классы'!$R:$R,MATCH(E1091,'Темы × классы'!$E:$E,0)),"")</f>
        <v/>
      </c>
      <c r="J1091" s="9">
        <f>IFERROR(INDEX('Темы × классы'!$S:$S,MATCH(E1091,'Темы × классы'!$E:$E,0))&amp;"","")</f>
        <v/>
      </c>
      <c r="K1091" s="9" t="inlineStr">
        <is>
          <t>не начат</t>
        </is>
      </c>
      <c r="L1091" s="9" t="inlineStr">
        <is>
          <t>Spotlight / 9 класс / Module 6 · Town &amp; Community / Passive Voice / Passive Voice: by + исполнитель vs with + инструмент/материал</t>
        </is>
      </c>
    </row>
    <row r="1092">
      <c r="A1092" s="25" t="n">
        <v>9</v>
      </c>
      <c r="B1092" s="9" t="inlineStr">
        <is>
          <t>Module 6 · Town &amp; Community</t>
        </is>
      </c>
      <c r="C1092" s="9" t="inlineStr">
        <is>
          <t>6c</t>
        </is>
      </c>
      <c r="D1092" s="9" t="inlineStr">
        <is>
          <t>Passive Voice</t>
        </is>
      </c>
      <c r="E1092" s="23" t="inlineStr">
        <is>
          <t>Passive Voice: когда агент опускается (they, people, someone…)</t>
        </is>
      </c>
      <c r="F1092" s="25" t="inlineStr">
        <is>
          <t>повторение</t>
        </is>
      </c>
      <c r="G1092" s="9" t="inlineStr"/>
      <c r="H1092" s="25" t="inlineStr">
        <is>
          <t>10+</t>
        </is>
      </c>
      <c r="I1092" s="9">
        <f>IFERROR(INDEX('Темы × классы'!$R:$R,MATCH(E1092,'Темы × классы'!$E:$E,0)),"")</f>
        <v/>
      </c>
      <c r="J1092" s="9">
        <f>IFERROR(INDEX('Темы × классы'!$S:$S,MATCH(E1092,'Темы × классы'!$E:$E,0))&amp;"","")</f>
        <v/>
      </c>
      <c r="K1092" s="9" t="inlineStr">
        <is>
          <t>не начат</t>
        </is>
      </c>
      <c r="L1092" s="9" t="inlineStr">
        <is>
          <t>Spotlight / 9 класс / Module 6 · Town &amp; Community / Passive Voice / Passive Voice: когда агент опускается (they, people, someone…)</t>
        </is>
      </c>
    </row>
    <row r="1093">
      <c r="A1093" s="25" t="n">
        <v>9</v>
      </c>
      <c r="B1093" s="9" t="inlineStr">
        <is>
          <t>Module 6 · Town &amp; Community</t>
        </is>
      </c>
      <c r="C1093" s="9" t="inlineStr">
        <is>
          <t>6c</t>
        </is>
      </c>
      <c r="D1093" s="9" t="inlineStr">
        <is>
          <t>Passive Voice</t>
        </is>
      </c>
      <c r="E1093" s="23" t="inlineStr">
        <is>
          <t>Passive Voice: глаголы без пассива (непереходные; have, fit, suit, resemble…)</t>
        </is>
      </c>
      <c r="F1093" s="27" t="inlineStr">
        <is>
          <t>расширение</t>
        </is>
      </c>
      <c r="G1093" s="9" t="inlineStr">
        <is>
          <t>+ exist, seem, lack</t>
        </is>
      </c>
      <c r="H1093" s="25" t="inlineStr">
        <is>
          <t>10+</t>
        </is>
      </c>
      <c r="I1093" s="9">
        <f>IFERROR(INDEX('Темы × классы'!$R:$R,MATCH(E1093,'Темы × классы'!$E:$E,0)),"")</f>
        <v/>
      </c>
      <c r="J1093" s="9">
        <f>IFERROR(INDEX('Темы × классы'!$S:$S,MATCH(E1093,'Темы × классы'!$E:$E,0))&amp;"","")</f>
        <v/>
      </c>
      <c r="K1093" s="9" t="inlineStr">
        <is>
          <t>не начат</t>
        </is>
      </c>
      <c r="L1093" s="9" t="inlineStr">
        <is>
          <t>Spotlight / 9 класс / Module 6 · Town &amp; Community / Passive Voice / Passive Voice: глаголы без пассива (непереходные; have, fit, suit, resemble…)</t>
        </is>
      </c>
    </row>
    <row r="1094">
      <c r="A1094" s="25" t="n">
        <v>9</v>
      </c>
      <c r="B1094" s="9" t="inlineStr">
        <is>
          <t>Module 6 · Town &amp; Community</t>
        </is>
      </c>
      <c r="C1094" s="9" t="inlineStr">
        <is>
          <t>6c</t>
        </is>
      </c>
      <c r="D1094" s="9" t="inlineStr">
        <is>
          <t>Passive Voice</t>
        </is>
      </c>
      <c r="E1094" s="23" t="inlineStr">
        <is>
          <t>Passive Voice: get вместо be</t>
        </is>
      </c>
      <c r="F1094" s="25" t="inlineStr">
        <is>
          <t>повторение</t>
        </is>
      </c>
      <c r="G1094" s="9" t="inlineStr">
        <is>
          <t>He got hit</t>
        </is>
      </c>
      <c r="H1094" s="25" t="inlineStr">
        <is>
          <t>10+</t>
        </is>
      </c>
      <c r="I1094" s="9">
        <f>IFERROR(INDEX('Темы × классы'!$R:$R,MATCH(E1094,'Темы × классы'!$E:$E,0)),"")</f>
        <v/>
      </c>
      <c r="J1094" s="9">
        <f>IFERROR(INDEX('Темы × классы'!$S:$S,MATCH(E1094,'Темы × классы'!$E:$E,0))&amp;"","")</f>
        <v/>
      </c>
      <c r="K1094" s="9" t="inlineStr">
        <is>
          <t>не начат</t>
        </is>
      </c>
      <c r="L1094" s="9" t="inlineStr">
        <is>
          <t>Spotlight / 9 класс / Module 6 · Town &amp; Community / Passive Voice / Passive Voice: get вместо be</t>
        </is>
      </c>
    </row>
    <row r="1095">
      <c r="A1095" s="25" t="n">
        <v>9</v>
      </c>
      <c r="B1095" s="9" t="inlineStr">
        <is>
          <t>Module 6 · Town &amp; Community</t>
        </is>
      </c>
      <c r="C1095" s="9" t="inlineStr">
        <is>
          <t>6c</t>
        </is>
      </c>
      <c r="D1095" s="9" t="inlineStr">
        <is>
          <t>Passive Voice</t>
        </is>
      </c>
      <c r="E1095" s="23" t="inlineStr">
        <is>
          <t>Passive Voice: глаголы с двумя дополнениями (give, offer, send…)</t>
        </is>
      </c>
      <c r="F1095" s="25" t="inlineStr">
        <is>
          <t>повторение</t>
        </is>
      </c>
      <c r="G1095" s="9" t="inlineStr"/>
      <c r="H1095" s="25" t="inlineStr">
        <is>
          <t>10+</t>
        </is>
      </c>
      <c r="I1095" s="9">
        <f>IFERROR(INDEX('Темы × классы'!$R:$R,MATCH(E1095,'Темы × классы'!$E:$E,0)),"")</f>
        <v/>
      </c>
      <c r="J1095" s="9">
        <f>IFERROR(INDEX('Темы × классы'!$S:$S,MATCH(E1095,'Темы × классы'!$E:$E,0))&amp;"","")</f>
        <v/>
      </c>
      <c r="K1095" s="9" t="inlineStr">
        <is>
          <t>не начат</t>
        </is>
      </c>
      <c r="L1095" s="9" t="inlineStr">
        <is>
          <t>Spotlight / 9 класс / Module 6 · Town &amp; Community / Passive Voice / Passive Voice: глаголы с двумя дополнениями (give, offer, send…)</t>
        </is>
      </c>
    </row>
    <row r="1096">
      <c r="A1096" s="25" t="n">
        <v>9</v>
      </c>
      <c r="B1096" s="9" t="inlineStr">
        <is>
          <t>Module 6 · Town &amp; Community</t>
        </is>
      </c>
      <c r="C1096" s="9" t="inlineStr">
        <is>
          <t>6c</t>
        </is>
      </c>
      <c r="D1096" s="9" t="inlineStr">
        <is>
          <t>Passive Voice</t>
        </is>
      </c>
      <c r="E1096" s="23" t="inlineStr">
        <is>
          <t>Passive Voice: by в вопросах с who/whom/which</t>
        </is>
      </c>
      <c r="F1096" s="25" t="inlineStr">
        <is>
          <t>повторение</t>
        </is>
      </c>
      <c r="G1096" s="9" t="inlineStr"/>
      <c r="H1096" s="25" t="inlineStr">
        <is>
          <t>10+</t>
        </is>
      </c>
      <c r="I1096" s="9">
        <f>IFERROR(INDEX('Темы × классы'!$R:$R,MATCH(E1096,'Темы × классы'!$E:$E,0)),"")</f>
        <v/>
      </c>
      <c r="J1096" s="9">
        <f>IFERROR(INDEX('Темы × классы'!$S:$S,MATCH(E1096,'Темы × классы'!$E:$E,0))&amp;"","")</f>
        <v/>
      </c>
      <c r="K1096" s="9" t="inlineStr">
        <is>
          <t>не начат</t>
        </is>
      </c>
      <c r="L1096" s="9" t="inlineStr">
        <is>
          <t>Spotlight / 9 класс / Module 6 · Town &amp; Community / Passive Voice / Passive Voice: by в вопросах с who/whom/which</t>
        </is>
      </c>
    </row>
    <row r="1097">
      <c r="A1097" s="25" t="n">
        <v>9</v>
      </c>
      <c r="B1097" s="9" t="inlineStr">
        <is>
          <t>Module 6 · Town &amp; Community</t>
        </is>
      </c>
      <c r="C1097" s="9" t="inlineStr">
        <is>
          <t>6c</t>
        </is>
      </c>
      <c r="D1097" s="9" t="inlineStr">
        <is>
          <t>Passive Voice</t>
        </is>
      </c>
      <c r="E1097" s="23" t="inlineStr">
        <is>
          <t>Passive Voice: make/hear/see/help + to-inf в пассиве; see/hear/watch + -ing</t>
        </is>
      </c>
      <c r="F1097" s="26" t="inlineStr">
        <is>
          <t>новое</t>
        </is>
      </c>
      <c r="G1097" s="9" t="inlineStr">
        <is>
          <t>I was made to lie; hear/see/watch + -ing</t>
        </is>
      </c>
      <c r="H1097" s="25" t="inlineStr">
        <is>
          <t>10+</t>
        </is>
      </c>
      <c r="I1097" s="9">
        <f>IFERROR(INDEX('Темы × классы'!$R:$R,MATCH(E1097,'Темы × классы'!$E:$E,0)),"")</f>
        <v/>
      </c>
      <c r="J1097" s="9">
        <f>IFERROR(INDEX('Темы × классы'!$S:$S,MATCH(E1097,'Темы × классы'!$E:$E,0))&amp;"","")</f>
        <v/>
      </c>
      <c r="K1097" s="9" t="inlineStr">
        <is>
          <t>не начат</t>
        </is>
      </c>
      <c r="L1097" s="9" t="inlineStr">
        <is>
          <t>Spotlight / 9 класс / Module 6 · Town &amp; Community / Passive Voice / Passive Voice: make/hear/see/help + to-inf в пассиве; see/hear/watch + -ing</t>
        </is>
      </c>
    </row>
    <row r="1098">
      <c r="A1098" s="25" t="n">
        <v>9</v>
      </c>
      <c r="B1098" s="9" t="inlineStr">
        <is>
          <t>Module 6 · Town &amp; Community</t>
        </is>
      </c>
      <c r="C1098" s="9" t="inlineStr">
        <is>
          <t>6d</t>
        </is>
      </c>
      <c r="D1098" s="9" t="inlineStr">
        <is>
          <t>Reflexive pronouns</t>
        </is>
      </c>
      <c r="E1098" s="23" t="inlineStr">
        <is>
          <t>Reflexive pronouns: формы myself … themselves</t>
        </is>
      </c>
      <c r="F1098" s="25" t="inlineStr">
        <is>
          <t>повторение</t>
        </is>
      </c>
      <c r="G1098" s="9" t="inlineStr"/>
      <c r="H1098" s="25" t="inlineStr">
        <is>
          <t>10+</t>
        </is>
      </c>
      <c r="I1098" s="9">
        <f>IFERROR(INDEX('Темы × классы'!$R:$R,MATCH(E1098,'Темы × классы'!$E:$E,0)),"")</f>
        <v/>
      </c>
      <c r="J1098" s="9">
        <f>IFERROR(INDEX('Темы × классы'!$S:$S,MATCH(E1098,'Темы × классы'!$E:$E,0))&amp;"","")</f>
        <v/>
      </c>
      <c r="K1098" s="9" t="inlineStr">
        <is>
          <t>не начат</t>
        </is>
      </c>
      <c r="L1098" s="9" t="inlineStr">
        <is>
          <t>Spotlight / 9 класс / Module 6 · Town &amp; Community / Reflexive pronouns / Reflexive pronouns: формы myself … themselves</t>
        </is>
      </c>
    </row>
    <row r="1099">
      <c r="A1099" s="25" t="n">
        <v>9</v>
      </c>
      <c r="B1099" s="9" t="inlineStr">
        <is>
          <t>Module 6 · Town &amp; Community</t>
        </is>
      </c>
      <c r="C1099" s="9" t="inlineStr">
        <is>
          <t>6d</t>
        </is>
      </c>
      <c r="D1099" s="9" t="inlineStr">
        <is>
          <t>Reflexive pronouns</t>
        </is>
      </c>
      <c r="E1099" s="23" t="inlineStr">
        <is>
          <t>Reflexive pronouns: подлежащее = дополнение (cut himself)</t>
        </is>
      </c>
      <c r="F1099" s="27" t="inlineStr">
        <is>
          <t>расширение</t>
        </is>
      </c>
      <c r="G1099" s="9" t="inlineStr">
        <is>
          <t>добавлен список: behave, burn, cut, enjoy, hurt, kill, look at, laugh at, introduce, dry, teach</t>
        </is>
      </c>
      <c r="H1099" s="25" t="inlineStr">
        <is>
          <t>10+</t>
        </is>
      </c>
      <c r="I1099" s="9">
        <f>IFERROR(INDEX('Темы × классы'!$R:$R,MATCH(E1099,'Темы × классы'!$E:$E,0)),"")</f>
        <v/>
      </c>
      <c r="J1099" s="9">
        <f>IFERROR(INDEX('Темы × классы'!$S:$S,MATCH(E1099,'Темы × классы'!$E:$E,0))&amp;"","")</f>
        <v/>
      </c>
      <c r="K1099" s="9" t="inlineStr">
        <is>
          <t>не начат</t>
        </is>
      </c>
      <c r="L1099" s="9" t="inlineStr">
        <is>
          <t>Spotlight / 9 класс / Module 6 · Town &amp; Community / Reflexive pronouns / Reflexive pronouns: подлежащее = дополнение (cut himself)</t>
        </is>
      </c>
    </row>
    <row r="1100">
      <c r="A1100" s="25" t="n">
        <v>9</v>
      </c>
      <c r="B1100" s="9" t="inlineStr">
        <is>
          <t>Module 6 · Town &amp; Community</t>
        </is>
      </c>
      <c r="C1100" s="9" t="inlineStr">
        <is>
          <t>6d</t>
        </is>
      </c>
      <c r="D1100" s="9" t="inlineStr">
        <is>
          <t>Reflexive pronouns</t>
        </is>
      </c>
      <c r="E1100" s="23" t="inlineStr">
        <is>
          <t>Reflexive pronouns: эмфатическое — «сам» (She will cut the cake herself)</t>
        </is>
      </c>
      <c r="F1100" s="25" t="inlineStr">
        <is>
          <t>повторение</t>
        </is>
      </c>
      <c r="G1100" s="9" t="inlineStr">
        <is>
          <t>только Do it yourself; в ToC «emphatic pronouns», в справочнике не описано</t>
        </is>
      </c>
      <c r="H1100" s="25" t="inlineStr">
        <is>
          <t>10+</t>
        </is>
      </c>
      <c r="I1100" s="9">
        <f>IFERROR(INDEX('Темы × классы'!$R:$R,MATCH(E1100,'Темы × классы'!$E:$E,0)),"")</f>
        <v/>
      </c>
      <c r="J1100" s="9">
        <f>IFERROR(INDEX('Темы × классы'!$S:$S,MATCH(E1100,'Темы × классы'!$E:$E,0))&amp;"","")</f>
        <v/>
      </c>
      <c r="K1100" s="9" t="inlineStr">
        <is>
          <t>не начат</t>
        </is>
      </c>
      <c r="L1100" s="9" t="inlineStr">
        <is>
          <t>Spotlight / 9 класс / Module 6 · Town &amp; Community / Reflexive pronouns / Reflexive pronouns: эмфатическое — «сам» (She will cut the cake herself)</t>
        </is>
      </c>
    </row>
    <row r="1101">
      <c r="A1101" s="25" t="n">
        <v>9</v>
      </c>
      <c r="B1101" s="9" t="inlineStr">
        <is>
          <t>Module 6 · Town &amp; Community</t>
        </is>
      </c>
      <c r="C1101" s="9" t="inlineStr">
        <is>
          <t>6d</t>
        </is>
      </c>
      <c r="D1101" s="9" t="inlineStr">
        <is>
          <t>Reflexive pronouns</t>
        </is>
      </c>
      <c r="E1101" s="23" t="inlineStr">
        <is>
          <t>Reflexive pronouns: by myself — «сам, в одиночку»</t>
        </is>
      </c>
      <c r="F1101" s="25" t="inlineStr">
        <is>
          <t>повторение</t>
        </is>
      </c>
      <c r="G1101" s="9" t="inlineStr"/>
      <c r="H1101" s="25" t="inlineStr">
        <is>
          <t>10+</t>
        </is>
      </c>
      <c r="I1101" s="9">
        <f>IFERROR(INDEX('Темы × классы'!$R:$R,MATCH(E1101,'Темы × классы'!$E:$E,0)),"")</f>
        <v/>
      </c>
      <c r="J1101" s="9">
        <f>IFERROR(INDEX('Темы × классы'!$S:$S,MATCH(E1101,'Темы × классы'!$E:$E,0))&amp;"","")</f>
        <v/>
      </c>
      <c r="K1101" s="9" t="inlineStr">
        <is>
          <t>не начат</t>
        </is>
      </c>
      <c r="L1101" s="9" t="inlineStr">
        <is>
          <t>Spotlight / 9 класс / Module 6 · Town &amp; Community / Reflexive pronouns / Reflexive pronouns: by myself — «сам, в одиночку»</t>
        </is>
      </c>
    </row>
    <row r="1102">
      <c r="A1102" s="25" t="n">
        <v>9</v>
      </c>
      <c r="B1102" s="9" t="inlineStr">
        <is>
          <t>Module 6 · Town &amp; Community</t>
        </is>
      </c>
      <c r="C1102" s="9" t="inlineStr">
        <is>
          <t>6d</t>
        </is>
      </c>
      <c r="D1102" s="9" t="inlineStr">
        <is>
          <t>Reflexive pronouns</t>
        </is>
      </c>
      <c r="E1102" s="23" t="inlineStr">
        <is>
          <t>Reflexive pronouns: глаголы без возвратного местоимения (wash, dress, meet)</t>
        </is>
      </c>
      <c r="F1102" s="27" t="inlineStr">
        <is>
          <t>расширение</t>
        </is>
      </c>
      <c r="G1102" s="9" t="inlineStr">
        <is>
          <t>добавлены shave, undress, afford, complain, meet, wake up; исключение — маленькие дети/животные</t>
        </is>
      </c>
      <c r="H1102" s="25" t="inlineStr">
        <is>
          <t>10+</t>
        </is>
      </c>
      <c r="I1102" s="9">
        <f>IFERROR(INDEX('Темы × классы'!$R:$R,MATCH(E1102,'Темы × классы'!$E:$E,0)),"")</f>
        <v/>
      </c>
      <c r="J1102" s="9">
        <f>IFERROR(INDEX('Темы × классы'!$S:$S,MATCH(E1102,'Темы × классы'!$E:$E,0))&amp;"","")</f>
        <v/>
      </c>
      <c r="K1102" s="9" t="inlineStr">
        <is>
          <t>не начат</t>
        </is>
      </c>
      <c r="L1102" s="9" t="inlineStr">
        <is>
          <t>Spotlight / 9 класс / Module 6 · Town &amp; Community / Reflexive pronouns / Reflexive pronouns: глаголы без возвратного местоимения (wash, dress, meet)</t>
        </is>
      </c>
    </row>
    <row r="1103">
      <c r="A1103" s="25" t="n">
        <v>9</v>
      </c>
      <c r="B1103" s="9" t="inlineStr">
        <is>
          <t>Module 6 · Town &amp; Community</t>
        </is>
      </c>
      <c r="C1103" s="9" t="inlineStr">
        <is>
          <t>6d</t>
        </is>
      </c>
      <c r="D1103" s="9" t="inlineStr">
        <is>
          <t>Reflexive pronouns</t>
        </is>
      </c>
      <c r="E1103" s="23" t="inlineStr">
        <is>
          <t>Reflexive pronouns: после be, feel, look, seem</t>
        </is>
      </c>
      <c r="F1103" s="26" t="inlineStr">
        <is>
          <t>новое</t>
        </is>
      </c>
      <c r="G1103" s="9" t="inlineStr"/>
      <c r="H1103" s="25" t="inlineStr">
        <is>
          <t>10+</t>
        </is>
      </c>
      <c r="I1103" s="9">
        <f>IFERROR(INDEX('Темы × классы'!$R:$R,MATCH(E1103,'Темы × классы'!$E:$E,0)),"")</f>
        <v/>
      </c>
      <c r="J1103" s="9">
        <f>IFERROR(INDEX('Темы × классы'!$S:$S,MATCH(E1103,'Темы × классы'!$E:$E,0))&amp;"","")</f>
        <v/>
      </c>
      <c r="K1103" s="9" t="inlineStr">
        <is>
          <t>не начат</t>
        </is>
      </c>
      <c r="L1103" s="9" t="inlineStr">
        <is>
          <t>Spotlight / 9 класс / Module 6 · Town &amp; Community / Reflexive pronouns / Reflexive pronouns: после be, feel, look, seem</t>
        </is>
      </c>
    </row>
    <row r="1104">
      <c r="A1104" s="25" t="n">
        <v>9</v>
      </c>
      <c r="B1104" s="9" t="inlineStr">
        <is>
          <t>Module 6 · Town &amp; Community</t>
        </is>
      </c>
      <c r="C1104" s="9" t="inlineStr">
        <is>
          <t>6d</t>
        </is>
      </c>
      <c r="D1104" s="9" t="inlineStr">
        <is>
          <t>Reflexive pronouns</t>
        </is>
      </c>
      <c r="E1104" s="23" t="inlineStr">
        <is>
          <t>Reflexive pronouns: после предлогов (но не предлогов места)</t>
        </is>
      </c>
      <c r="F1104" s="26" t="inlineStr">
        <is>
          <t>новое</t>
        </is>
      </c>
      <c r="G1104" s="9" t="inlineStr">
        <is>
          <t>behind you</t>
        </is>
      </c>
      <c r="H1104" s="25" t="inlineStr">
        <is>
          <t>10+</t>
        </is>
      </c>
      <c r="I1104" s="9">
        <f>IFERROR(INDEX('Темы × классы'!$R:$R,MATCH(E1104,'Темы × классы'!$E:$E,0)),"")</f>
        <v/>
      </c>
      <c r="J1104" s="9">
        <f>IFERROR(INDEX('Темы × классы'!$S:$S,MATCH(E1104,'Темы × классы'!$E:$E,0))&amp;"","")</f>
        <v/>
      </c>
      <c r="K1104" s="9" t="inlineStr">
        <is>
          <t>не начат</t>
        </is>
      </c>
      <c r="L1104" s="9" t="inlineStr">
        <is>
          <t>Spotlight / 9 класс / Module 6 · Town &amp; Community / Reflexive pronouns / Reflexive pronouns: после предлогов (но не предлогов места)</t>
        </is>
      </c>
    </row>
    <row r="1105">
      <c r="A1105" s="25" t="n">
        <v>9</v>
      </c>
      <c r="B1105" s="9" t="inlineStr">
        <is>
          <t>Module 6 · Town &amp; Community</t>
        </is>
      </c>
      <c r="C1105" s="9" t="inlineStr">
        <is>
          <t>6d</t>
        </is>
      </c>
      <c r="D1105" s="9" t="inlineStr">
        <is>
          <t>Reflexive pronouns</t>
        </is>
      </c>
      <c r="E1105" s="23" t="inlineStr">
        <is>
          <t>Reflexive pronouns: устойчивые выражения (Enjoy yourself!, Help yourself, Make yourself at home)</t>
        </is>
      </c>
      <c r="F1105" s="26" t="inlineStr">
        <is>
          <t>новое</t>
        </is>
      </c>
      <c r="G1105" s="9" t="inlineStr"/>
      <c r="H1105" s="25" t="inlineStr">
        <is>
          <t>10+</t>
        </is>
      </c>
      <c r="I1105" s="9">
        <f>IFERROR(INDEX('Темы × классы'!$R:$R,MATCH(E1105,'Темы × классы'!$E:$E,0)),"")</f>
        <v/>
      </c>
      <c r="J1105" s="9">
        <f>IFERROR(INDEX('Темы × классы'!$S:$S,MATCH(E1105,'Темы × классы'!$E:$E,0))&amp;"","")</f>
        <v/>
      </c>
      <c r="K1105" s="9" t="inlineStr">
        <is>
          <t>не начат</t>
        </is>
      </c>
      <c r="L1105" s="9" t="inlineStr">
        <is>
          <t>Spotlight / 9 класс / Module 6 · Town &amp; Community / Reflexive pronouns / Reflexive pronouns: устойчивые выражения (Enjoy yourself!, Help yourself, Make yourself at home)</t>
        </is>
      </c>
    </row>
    <row r="1106">
      <c r="A1106" s="25" t="n">
        <v>9</v>
      </c>
      <c r="B1106" s="9" t="inlineStr">
        <is>
          <t>Module 6 · Town &amp; Community</t>
        </is>
      </c>
      <c r="C1106" s="9" t="inlineStr">
        <is>
          <t>6f</t>
        </is>
      </c>
      <c r="D1106" s="9" t="inlineStr">
        <is>
          <t>Phrasal verbs</t>
        </is>
      </c>
      <c r="E1106" s="23" t="inlineStr">
        <is>
          <t>Phrasal verbs: check</t>
        </is>
      </c>
      <c r="F1106" s="26" t="inlineStr">
        <is>
          <t>новое</t>
        </is>
      </c>
      <c r="G1106" s="9" t="inlineStr">
        <is>
          <t>check: check in (регистрироваться на рейс, в отеле), check off (отмечать галочкой), check on (проверять, всё ли в порядке с кем-либо), check out (пробовать), check out of (оплатить счёт), check up (убедиться).</t>
        </is>
      </c>
      <c r="H1106" s="25" t="inlineStr">
        <is>
          <t>10+</t>
        </is>
      </c>
      <c r="I1106" s="9">
        <f>IFERROR(INDEX('Темы × классы'!$R:$R,MATCH(E1106,'Темы × классы'!$E:$E,0)),"")</f>
        <v/>
      </c>
      <c r="J1106" s="9">
        <f>IFERROR(INDEX('Темы × классы'!$S:$S,MATCH(E1106,'Темы × классы'!$E:$E,0))&amp;"","")</f>
        <v/>
      </c>
      <c r="K1106" s="9" t="inlineStr">
        <is>
          <t>не начат</t>
        </is>
      </c>
      <c r="L1106" s="9" t="inlineStr">
        <is>
          <t>Spotlight / 9 класс / Module 6 · Town &amp; Community / Phrasal verbs / Phrasal verbs: check</t>
        </is>
      </c>
    </row>
    <row r="1107">
      <c r="A1107" s="25" t="n">
        <v>9</v>
      </c>
      <c r="B1107" s="9" t="inlineStr">
        <is>
          <t>Module 6 · Town &amp; Community</t>
        </is>
      </c>
      <c r="C1107" s="9" t="inlineStr">
        <is>
          <t>6f</t>
        </is>
      </c>
      <c r="D1107" s="9" t="inlineStr">
        <is>
          <t>Word formation</t>
        </is>
      </c>
      <c r="E1107" s="23" t="inlineStr">
        <is>
          <t>Word formation: abstract nouns</t>
        </is>
      </c>
      <c r="F1107" s="26" t="inlineStr">
        <is>
          <t>новое</t>
        </is>
      </c>
      <c r="G1107" s="9" t="inlineStr">
        <is>
          <t>Word formation: образование абстрактных существительных (forming abstract nouns).</t>
        </is>
      </c>
      <c r="H1107" s="25" t="inlineStr">
        <is>
          <t>10+</t>
        </is>
      </c>
      <c r="I1107" s="9">
        <f>IFERROR(INDEX('Темы × классы'!$R:$R,MATCH(E1107,'Темы × классы'!$E:$E,0)),"")</f>
        <v/>
      </c>
      <c r="J1107" s="9">
        <f>IFERROR(INDEX('Темы × классы'!$S:$S,MATCH(E1107,'Темы × классы'!$E:$E,0))&amp;"","")</f>
        <v/>
      </c>
      <c r="K1107" s="9" t="inlineStr">
        <is>
          <t>не начат</t>
        </is>
      </c>
      <c r="L1107" s="9" t="inlineStr">
        <is>
          <t>Spotlight / 9 класс / Module 6 · Town &amp; Community / Word formation / Word formation: abstract nouns</t>
        </is>
      </c>
    </row>
    <row r="1108">
      <c r="A1108" s="25" t="n">
        <v>9</v>
      </c>
      <c r="B1108" s="9" t="inlineStr">
        <is>
          <t>Module 6 · Town &amp; Community</t>
        </is>
      </c>
      <c r="C1108" s="9" t="inlineStr">
        <is>
          <t>6f</t>
        </is>
      </c>
      <c r="D1108" s="9" t="inlineStr">
        <is>
          <t>Dependent prepositions</t>
        </is>
      </c>
      <c r="E1108" s="23" t="inlineStr">
        <is>
          <t>Dependent prepositions</t>
        </is>
      </c>
      <c r="F1108" s="25" t="inlineStr">
        <is>
          <t>повторение</t>
        </is>
      </c>
      <c r="G1108" s="9" t="inlineStr">
        <is>
          <t>Dependent prepositions (заголовок раздела English in Use).</t>
        </is>
      </c>
      <c r="H1108" s="25" t="inlineStr">
        <is>
          <t>10+</t>
        </is>
      </c>
      <c r="I1108" s="9">
        <f>IFERROR(INDEX('Темы × классы'!$R:$R,MATCH(E1108,'Темы × классы'!$E:$E,0)),"")</f>
        <v/>
      </c>
      <c r="J1108" s="9">
        <f>IFERROR(INDEX('Темы × классы'!$S:$S,MATCH(E1108,'Темы × классы'!$E:$E,0))&amp;"","")</f>
        <v/>
      </c>
      <c r="K1108" s="9" t="inlineStr">
        <is>
          <t>не начат</t>
        </is>
      </c>
      <c r="L1108" s="9" t="inlineStr">
        <is>
          <t>Spotlight / 9 класс / Module 6 · Town &amp; Community / Dependent prepositions / Dependent prepositions</t>
        </is>
      </c>
    </row>
    <row r="1109">
      <c r="A1109" s="25" t="n">
        <v>9</v>
      </c>
      <c r="B1109" s="9" t="inlineStr">
        <is>
          <t>Module 7 · Staying safe</t>
        </is>
      </c>
      <c r="C1109" s="9" t="inlineStr">
        <is>
          <t>7d</t>
        </is>
      </c>
      <c r="D1109" s="9" t="inlineStr">
        <is>
          <t>have to</t>
        </is>
      </c>
      <c r="E1109" s="23" t="inlineStr">
        <is>
          <t>have to: значение — необходимость из-за обстоятельств (утверждение)</t>
        </is>
      </c>
      <c r="F1109" s="25" t="inlineStr">
        <is>
          <t>повторение</t>
        </is>
      </c>
      <c r="G1109" s="9" t="inlineStr"/>
      <c r="H1109" s="25" t="inlineStr">
        <is>
          <t>10+</t>
        </is>
      </c>
      <c r="I1109" s="9">
        <f>IFERROR(INDEX('Темы × классы'!$R:$R,MATCH(E1109,'Темы × классы'!$E:$E,0)),"")</f>
        <v/>
      </c>
      <c r="J1109" s="9">
        <f>IFERROR(INDEX('Темы × классы'!$S:$S,MATCH(E1109,'Темы × классы'!$E:$E,0))&amp;"","")</f>
        <v/>
      </c>
      <c r="K1109" s="9" t="inlineStr">
        <is>
          <t>не начат</t>
        </is>
      </c>
      <c r="L1109" s="9" t="inlineStr">
        <is>
          <t>Spotlight / 9 класс / Module 7 · Staying safe / have to / have to: значение — необходимость из-за обстоятельств (утверждение)</t>
        </is>
      </c>
    </row>
    <row r="1110">
      <c r="A1110" s="25" t="n">
        <v>9</v>
      </c>
      <c r="B1110" s="9" t="inlineStr">
        <is>
          <t>Module 7 · Staying safe</t>
        </is>
      </c>
      <c r="C1110" s="9" t="inlineStr">
        <is>
          <t>7d</t>
        </is>
      </c>
      <c r="D1110" s="9" t="inlineStr">
        <is>
          <t>have to</t>
        </is>
      </c>
      <c r="E1110" s="23" t="inlineStr">
        <is>
          <t>have to: don't / doesn't have to — отсутствие необходимости</t>
        </is>
      </c>
      <c r="F1110" s="25" t="inlineStr">
        <is>
          <t>повторение</t>
        </is>
      </c>
      <c r="G1110" s="9" t="inlineStr"/>
      <c r="H1110" s="25" t="inlineStr">
        <is>
          <t>10+</t>
        </is>
      </c>
      <c r="I1110" s="9">
        <f>IFERROR(INDEX('Темы × классы'!$R:$R,MATCH(E1110,'Темы × классы'!$E:$E,0)),"")</f>
        <v/>
      </c>
      <c r="J1110" s="9">
        <f>IFERROR(INDEX('Темы × классы'!$S:$S,MATCH(E1110,'Темы × классы'!$E:$E,0))&amp;"","")</f>
        <v/>
      </c>
      <c r="K1110" s="9" t="inlineStr">
        <is>
          <t>не начат</t>
        </is>
      </c>
      <c r="L1110" s="9" t="inlineStr">
        <is>
          <t>Spotlight / 9 класс / Module 7 · Staying safe / have to / have to: don't / doesn't have to — отсутствие необходимости</t>
        </is>
      </c>
    </row>
    <row r="1111">
      <c r="A1111" s="25" t="n">
        <v>9</v>
      </c>
      <c r="B1111" s="9" t="inlineStr">
        <is>
          <t>Module 7 · Staying safe</t>
        </is>
      </c>
      <c r="C1111" s="9" t="inlineStr">
        <is>
          <t>7d</t>
        </is>
      </c>
      <c r="D1111" s="9" t="inlineStr">
        <is>
          <t>have to</t>
        </is>
      </c>
      <c r="E1111" s="23" t="inlineStr">
        <is>
          <t>have to: didn't have to — не было необходимости в прошлом</t>
        </is>
      </c>
      <c r="F1111" s="25" t="inlineStr">
        <is>
          <t>повторение</t>
        </is>
      </c>
      <c r="G1111" s="9" t="inlineStr"/>
      <c r="H1111" s="25" t="inlineStr">
        <is>
          <t>10+</t>
        </is>
      </c>
      <c r="I1111" s="9">
        <f>IFERROR(INDEX('Темы × классы'!$R:$R,MATCH(E1111,'Темы × классы'!$E:$E,0)),"")</f>
        <v/>
      </c>
      <c r="J1111" s="9">
        <f>IFERROR(INDEX('Темы × классы'!$S:$S,MATCH(E1111,'Темы × классы'!$E:$E,0))&amp;"","")</f>
        <v/>
      </c>
      <c r="K1111" s="9" t="inlineStr">
        <is>
          <t>не начат</t>
        </is>
      </c>
      <c r="L1111" s="9" t="inlineStr">
        <is>
          <t>Spotlight / 9 класс / Module 7 · Staying safe / have to / have to: didn't have to — не было необходимости в прошлом</t>
        </is>
      </c>
    </row>
    <row r="1112">
      <c r="A1112" s="25" t="n">
        <v>9</v>
      </c>
      <c r="B1112" s="9" t="inlineStr">
        <is>
          <t>Module 7 · Staying safe</t>
        </is>
      </c>
      <c r="C1112" s="9" t="inlineStr">
        <is>
          <t>7d</t>
        </is>
      </c>
      <c r="D1112" s="9" t="inlineStr">
        <is>
          <t>may/might</t>
        </is>
      </c>
      <c r="E1112" s="23" t="inlineStr">
        <is>
          <t>may/might: can — общая (теоретическая) возможность</t>
        </is>
      </c>
      <c r="F1112" s="25" t="inlineStr">
        <is>
          <t>повторение</t>
        </is>
      </c>
      <c r="G1112" s="9" t="inlineStr"/>
      <c r="H1112" s="25" t="inlineStr">
        <is>
          <t>10+</t>
        </is>
      </c>
      <c r="I1112" s="9">
        <f>IFERROR(INDEX('Темы × классы'!$R:$R,MATCH(E1112,'Темы × классы'!$E:$E,0)),"")</f>
        <v/>
      </c>
      <c r="J1112" s="9">
        <f>IFERROR(INDEX('Темы × классы'!$S:$S,MATCH(E1112,'Темы × классы'!$E:$E,0))&amp;"","")</f>
        <v/>
      </c>
      <c r="K1112" s="9" t="inlineStr">
        <is>
          <t>не начат</t>
        </is>
      </c>
      <c r="L1112" s="9" t="inlineStr">
        <is>
          <t>Spotlight / 9 класс / Module 7 · Staying safe / may/might / may/might: can — общая (теоретическая) возможность</t>
        </is>
      </c>
    </row>
    <row r="1113">
      <c r="A1113" s="25" t="n">
        <v>9</v>
      </c>
      <c r="B1113" s="9" t="inlineStr">
        <is>
          <t>Module 7 · Staying safe</t>
        </is>
      </c>
      <c r="C1113" s="9" t="inlineStr">
        <is>
          <t>7d</t>
        </is>
      </c>
      <c r="D1113" s="9" t="inlineStr">
        <is>
          <t>may/might</t>
        </is>
      </c>
      <c r="E1113" s="23" t="inlineStr">
        <is>
          <t>may/might: could/may/might — возможность в конкретной ситуации</t>
        </is>
      </c>
      <c r="F1113" s="25" t="inlineStr">
        <is>
          <t>повторение</t>
        </is>
      </c>
      <c r="G1113" s="9" t="inlineStr"/>
      <c r="H1113" s="25" t="inlineStr">
        <is>
          <t>10+</t>
        </is>
      </c>
      <c r="I1113" s="9">
        <f>IFERROR(INDEX('Темы × классы'!$R:$R,MATCH(E1113,'Темы × классы'!$E:$E,0)),"")</f>
        <v/>
      </c>
      <c r="J1113" s="9">
        <f>IFERROR(INDEX('Темы × классы'!$S:$S,MATCH(E1113,'Темы × классы'!$E:$E,0))&amp;"","")</f>
        <v/>
      </c>
      <c r="K1113" s="9" t="inlineStr">
        <is>
          <t>не начат</t>
        </is>
      </c>
      <c r="L1113" s="9" t="inlineStr">
        <is>
          <t>Spotlight / 9 класс / Module 7 · Staying safe / may/might / may/might: could/may/might — возможность в конкретной ситуации</t>
        </is>
      </c>
    </row>
    <row r="1114">
      <c r="A1114" s="25" t="n">
        <v>9</v>
      </c>
      <c r="B1114" s="9" t="inlineStr">
        <is>
          <t>Module 7 · Staying safe</t>
        </is>
      </c>
      <c r="C1114" s="9" t="inlineStr">
        <is>
          <t>7d</t>
        </is>
      </c>
      <c r="D1114" s="9" t="inlineStr">
        <is>
          <t>may/might</t>
        </is>
      </c>
      <c r="E1114" s="23" t="inlineStr">
        <is>
          <t>may/might: возможность в вопросах — can/could/might, но не may</t>
        </is>
      </c>
      <c r="F1114" s="25" t="inlineStr">
        <is>
          <t>повторение</t>
        </is>
      </c>
      <c r="G1114" s="9" t="inlineStr"/>
      <c r="H1114" s="25" t="inlineStr">
        <is>
          <t>10+</t>
        </is>
      </c>
      <c r="I1114" s="9">
        <f>IFERROR(INDEX('Темы × классы'!$R:$R,MATCH(E1114,'Темы × классы'!$E:$E,0)),"")</f>
        <v/>
      </c>
      <c r="J1114" s="9">
        <f>IFERROR(INDEX('Темы × классы'!$S:$S,MATCH(E1114,'Темы × классы'!$E:$E,0))&amp;"","")</f>
        <v/>
      </c>
      <c r="K1114" s="9" t="inlineStr">
        <is>
          <t>не начат</t>
        </is>
      </c>
      <c r="L1114" s="9" t="inlineStr">
        <is>
          <t>Spotlight / 9 класс / Module 7 · Staying safe / may/might / may/might: возможность в вопросах — can/could/might, но не may</t>
        </is>
      </c>
    </row>
    <row r="1115">
      <c r="A1115" s="25" t="n">
        <v>9</v>
      </c>
      <c r="B1115" s="9" t="inlineStr">
        <is>
          <t>Module 7 · Staying safe</t>
        </is>
      </c>
      <c r="C1115" s="9" t="inlineStr">
        <is>
          <t>7d</t>
        </is>
      </c>
      <c r="D1115" s="9" t="inlineStr">
        <is>
          <t>may/might</t>
        </is>
      </c>
      <c r="E1115" s="23" t="inlineStr">
        <is>
          <t>may/might: could/might/would + have V3 — было возможно, но не случилось</t>
        </is>
      </c>
      <c r="F1115" s="25" t="inlineStr">
        <is>
          <t>повторение</t>
        </is>
      </c>
      <c r="G1115" s="9" t="inlineStr"/>
      <c r="H1115" s="25" t="inlineStr">
        <is>
          <t>10+</t>
        </is>
      </c>
      <c r="I1115" s="9">
        <f>IFERROR(INDEX('Темы × классы'!$R:$R,MATCH(E1115,'Темы × классы'!$E:$E,0)),"")</f>
        <v/>
      </c>
      <c r="J1115" s="9">
        <f>IFERROR(INDEX('Темы × классы'!$S:$S,MATCH(E1115,'Темы × классы'!$E:$E,0))&amp;"","")</f>
        <v/>
      </c>
      <c r="K1115" s="9" t="inlineStr">
        <is>
          <t>не начат</t>
        </is>
      </c>
      <c r="L1115" s="9" t="inlineStr">
        <is>
          <t>Spotlight / 9 класс / Module 7 · Staying safe / may/might / may/might: could/might/would + have V3 — было возможно, но не случилось</t>
        </is>
      </c>
    </row>
    <row r="1116">
      <c r="A1116" s="25" t="n">
        <v>9</v>
      </c>
      <c r="B1116" s="9" t="inlineStr">
        <is>
          <t>Module 7 · Staying safe</t>
        </is>
      </c>
      <c r="C1116" s="9" t="inlineStr">
        <is>
          <t>7d</t>
        </is>
      </c>
      <c r="D1116" s="9" t="inlineStr">
        <is>
          <t>must/mustn't</t>
        </is>
      </c>
      <c r="E1116" s="23" t="inlineStr">
        <is>
          <t>must/mustn't: must — обязанность, необходимость</t>
        </is>
      </c>
      <c r="F1116" s="25" t="inlineStr">
        <is>
          <t>повторение</t>
        </is>
      </c>
      <c r="G1116" s="9" t="inlineStr"/>
      <c r="H1116" s="25" t="inlineStr">
        <is>
          <t>10+</t>
        </is>
      </c>
      <c r="I1116" s="9">
        <f>IFERROR(INDEX('Темы × классы'!$R:$R,MATCH(E1116,'Темы × классы'!$E:$E,0)),"")</f>
        <v/>
      </c>
      <c r="J1116" s="9">
        <f>IFERROR(INDEX('Темы × классы'!$S:$S,MATCH(E1116,'Темы × классы'!$E:$E,0))&amp;"","")</f>
        <v/>
      </c>
      <c r="K1116" s="9" t="inlineStr">
        <is>
          <t>не начат</t>
        </is>
      </c>
      <c r="L1116" s="9" t="inlineStr">
        <is>
          <t>Spotlight / 9 класс / Module 7 · Staying safe / must/mustn't / must/mustn't: must — обязанность, необходимость</t>
        </is>
      </c>
    </row>
    <row r="1117">
      <c r="A1117" s="25" t="n">
        <v>9</v>
      </c>
      <c r="B1117" s="9" t="inlineStr">
        <is>
          <t>Module 7 · Staying safe</t>
        </is>
      </c>
      <c r="C1117" s="9" t="inlineStr">
        <is>
          <t>7d</t>
        </is>
      </c>
      <c r="D1117" s="9" t="inlineStr">
        <is>
          <t>must/mustn't</t>
        </is>
      </c>
      <c r="E1117" s="23" t="inlineStr">
        <is>
          <t>must/mustn't: mustn't — запрет</t>
        </is>
      </c>
      <c r="F1117" s="25" t="inlineStr">
        <is>
          <t>повторение</t>
        </is>
      </c>
      <c r="G1117" s="9" t="inlineStr">
        <is>
          <t>правила, закон</t>
        </is>
      </c>
      <c r="H1117" s="25" t="inlineStr">
        <is>
          <t>10+</t>
        </is>
      </c>
      <c r="I1117" s="9">
        <f>IFERROR(INDEX('Темы × классы'!$R:$R,MATCH(E1117,'Темы × классы'!$E:$E,0)),"")</f>
        <v/>
      </c>
      <c r="J1117" s="9">
        <f>IFERROR(INDEX('Темы × классы'!$S:$S,MATCH(E1117,'Темы × классы'!$E:$E,0))&amp;"","")</f>
        <v/>
      </c>
      <c r="K1117" s="9" t="inlineStr">
        <is>
          <t>не начат</t>
        </is>
      </c>
      <c r="L1117" s="9" t="inlineStr">
        <is>
          <t>Spotlight / 9 класс / Module 7 · Staying safe / must/mustn't / must/mustn't: mustn't — запрет</t>
        </is>
      </c>
    </row>
    <row r="1118">
      <c r="A1118" s="25" t="n">
        <v>9</v>
      </c>
      <c r="B1118" s="9" t="inlineStr">
        <is>
          <t>Module 7 · Staying safe</t>
        </is>
      </c>
      <c r="C1118" s="9" t="inlineStr">
        <is>
          <t>7d</t>
        </is>
      </c>
      <c r="D1118" s="9" t="inlineStr">
        <is>
          <t>must/mustn't</t>
        </is>
      </c>
      <c r="E1118" s="23" t="inlineStr">
        <is>
          <t>must/mustn't: must только в настоящем; в других временах — have to / had to</t>
        </is>
      </c>
      <c r="F1118" s="25" t="inlineStr">
        <is>
          <t>повторение</t>
        </is>
      </c>
      <c r="G1118" s="9" t="inlineStr"/>
      <c r="H1118" s="25" t="inlineStr">
        <is>
          <t>10+</t>
        </is>
      </c>
      <c r="I1118" s="9">
        <f>IFERROR(INDEX('Темы × классы'!$R:$R,MATCH(E1118,'Темы × классы'!$E:$E,0)),"")</f>
        <v/>
      </c>
      <c r="J1118" s="9">
        <f>IFERROR(INDEX('Темы × классы'!$S:$S,MATCH(E1118,'Темы × классы'!$E:$E,0))&amp;"","")</f>
        <v/>
      </c>
      <c r="K1118" s="9" t="inlineStr">
        <is>
          <t>не начат</t>
        </is>
      </c>
      <c r="L1118" s="9" t="inlineStr">
        <is>
          <t>Spotlight / 9 класс / Module 7 · Staying safe / must/mustn't / must/mustn't: must только в настоящем; в других временах — have to / had to</t>
        </is>
      </c>
    </row>
    <row r="1119">
      <c r="A1119" s="25" t="n">
        <v>9</v>
      </c>
      <c r="B1119" s="9" t="inlineStr">
        <is>
          <t>Module 7 · Staying safe</t>
        </is>
      </c>
      <c r="C1119" s="9" t="inlineStr">
        <is>
          <t>7d</t>
        </is>
      </c>
      <c r="D1119" s="9" t="inlineStr">
        <is>
          <t>can (permission/request)</t>
        </is>
      </c>
      <c r="E1119" s="23" t="inlineStr">
        <is>
          <t>can (permission/request): can't — запрет</t>
        </is>
      </c>
      <c r="F1119" s="27" t="inlineStr">
        <is>
          <t>расширение</t>
        </is>
      </c>
      <c r="G1119" s="9" t="inlineStr">
        <is>
          <t>mustn't/can't — правила, закон</t>
        </is>
      </c>
      <c r="H1119" s="25" t="inlineStr">
        <is>
          <t>10+</t>
        </is>
      </c>
      <c r="I1119" s="9">
        <f>IFERROR(INDEX('Темы × классы'!$R:$R,MATCH(E1119,'Темы × классы'!$E:$E,0)),"")</f>
        <v/>
      </c>
      <c r="J1119" s="9">
        <f>IFERROR(INDEX('Темы × классы'!$S:$S,MATCH(E1119,'Темы × классы'!$E:$E,0))&amp;"","")</f>
        <v/>
      </c>
      <c r="K1119" s="9" t="inlineStr">
        <is>
          <t>не начат</t>
        </is>
      </c>
      <c r="L1119" s="9" t="inlineStr">
        <is>
          <t>Spotlight / 9 класс / Module 7 · Staying safe / can (permission/request) / can (permission/request): can't — запрет</t>
        </is>
      </c>
    </row>
    <row r="1120">
      <c r="A1120" s="25" t="n">
        <v>9</v>
      </c>
      <c r="B1120" s="9" t="inlineStr">
        <is>
          <t>Module 7 · Staying safe</t>
        </is>
      </c>
      <c r="C1120" s="9" t="inlineStr">
        <is>
          <t>7d</t>
        </is>
      </c>
      <c r="D1120" s="9" t="inlineStr">
        <is>
          <t>can (permission/request)</t>
        </is>
      </c>
      <c r="E1120" s="23" t="inlineStr">
        <is>
          <t>can (permission/request): can vs may — разрешение (may формальнее)</t>
        </is>
      </c>
      <c r="F1120" s="25" t="inlineStr">
        <is>
          <t>повторение</t>
        </is>
      </c>
      <c r="G1120" s="9" t="inlineStr"/>
      <c r="H1120" s="25" t="inlineStr">
        <is>
          <t>10+</t>
        </is>
      </c>
      <c r="I1120" s="9">
        <f>IFERROR(INDEX('Темы × классы'!$R:$R,MATCH(E1120,'Темы × классы'!$E:$E,0)),"")</f>
        <v/>
      </c>
      <c r="J1120" s="9">
        <f>IFERROR(INDEX('Темы × классы'!$S:$S,MATCH(E1120,'Темы × классы'!$E:$E,0))&amp;"","")</f>
        <v/>
      </c>
      <c r="K1120" s="9" t="inlineStr">
        <is>
          <t>не начат</t>
        </is>
      </c>
      <c r="L1120" s="9" t="inlineStr">
        <is>
          <t>Spotlight / 9 класс / Module 7 · Staying safe / can (permission/request) / can (permission/request): can vs may — разрешение (may формальнее)</t>
        </is>
      </c>
    </row>
    <row r="1121">
      <c r="A1121" s="25" t="n">
        <v>9</v>
      </c>
      <c r="B1121" s="9" t="inlineStr">
        <is>
          <t>Module 7 · Staying safe</t>
        </is>
      </c>
      <c r="C1121" s="9" t="inlineStr">
        <is>
          <t>7d</t>
        </is>
      </c>
      <c r="D1121" s="9" t="inlineStr">
        <is>
          <t>can (permission/request)</t>
        </is>
      </c>
      <c r="E1121" s="23" t="inlineStr">
        <is>
          <t>can (permission/request): предложения (offers/suggestions) — can, could, would, shall</t>
        </is>
      </c>
      <c r="F1121" s="25" t="inlineStr">
        <is>
          <t>повторение</t>
        </is>
      </c>
      <c r="G1121" s="9" t="inlineStr"/>
      <c r="H1121" s="25" t="inlineStr">
        <is>
          <t>10+</t>
        </is>
      </c>
      <c r="I1121" s="9">
        <f>IFERROR(INDEX('Темы × классы'!$R:$R,MATCH(E1121,'Темы × классы'!$E:$E,0)),"")</f>
        <v/>
      </c>
      <c r="J1121" s="9">
        <f>IFERROR(INDEX('Темы × классы'!$S:$S,MATCH(E1121,'Темы × классы'!$E:$E,0))&amp;"","")</f>
        <v/>
      </c>
      <c r="K1121" s="9" t="inlineStr">
        <is>
          <t>не начат</t>
        </is>
      </c>
      <c r="L1121" s="9" t="inlineStr">
        <is>
          <t>Spotlight / 9 класс / Module 7 · Staying safe / can (permission/request) / can (permission/request): предложения (offers/suggestions) — can, could, would, shall</t>
        </is>
      </c>
    </row>
    <row r="1122">
      <c r="A1122" s="25" t="n">
        <v>9</v>
      </c>
      <c r="B1122" s="9" t="inlineStr">
        <is>
          <t>Module 7 · Staying safe</t>
        </is>
      </c>
      <c r="C1122" s="9" t="inlineStr">
        <is>
          <t>7d</t>
        </is>
      </c>
      <c r="D1122" s="9" t="inlineStr">
        <is>
          <t>need/needn't</t>
        </is>
      </c>
      <c r="E1122" s="23" t="inlineStr">
        <is>
          <t>need/needn't: needn't / don't need to — нет необходимости (наст./буд.)</t>
        </is>
      </c>
      <c r="F1122" s="25" t="inlineStr">
        <is>
          <t>повторение</t>
        </is>
      </c>
      <c r="G1122" s="9" t="inlineStr"/>
      <c r="H1122" s="25" t="inlineStr">
        <is>
          <t>10+</t>
        </is>
      </c>
      <c r="I1122" s="9">
        <f>IFERROR(INDEX('Темы × классы'!$R:$R,MATCH(E1122,'Темы × классы'!$E:$E,0)),"")</f>
        <v/>
      </c>
      <c r="J1122" s="9">
        <f>IFERROR(INDEX('Темы × классы'!$S:$S,MATCH(E1122,'Темы × классы'!$E:$E,0))&amp;"","")</f>
        <v/>
      </c>
      <c r="K1122" s="9" t="inlineStr">
        <is>
          <t>не начат</t>
        </is>
      </c>
      <c r="L1122" s="9" t="inlineStr">
        <is>
          <t>Spotlight / 9 класс / Module 7 · Staying safe / need/needn't / need/needn't: needn't / don't need to — нет необходимости (наст./буд.)</t>
        </is>
      </c>
    </row>
    <row r="1123">
      <c r="A1123" s="25" t="n">
        <v>9</v>
      </c>
      <c r="B1123" s="9" t="inlineStr">
        <is>
          <t>Module 7 · Staying safe</t>
        </is>
      </c>
      <c r="C1123" s="9" t="inlineStr">
        <is>
          <t>7d</t>
        </is>
      </c>
      <c r="D1123" s="9" t="inlineStr">
        <is>
          <t>should/shouldn't</t>
        </is>
      </c>
      <c r="E1123" s="23" t="inlineStr">
        <is>
          <t>should/shouldn't: значение — совет, рекомендация; утверждение should + глагол без to</t>
        </is>
      </c>
      <c r="F1123" s="25" t="inlineStr">
        <is>
          <t>повторение</t>
        </is>
      </c>
      <c r="G1123" s="9" t="inlineStr"/>
      <c r="H1123" s="25" t="inlineStr">
        <is>
          <t>10+</t>
        </is>
      </c>
      <c r="I1123" s="9">
        <f>IFERROR(INDEX('Темы × классы'!$R:$R,MATCH(E1123,'Темы × классы'!$E:$E,0)),"")</f>
        <v/>
      </c>
      <c r="J1123" s="9">
        <f>IFERROR(INDEX('Темы × классы'!$S:$S,MATCH(E1123,'Темы × классы'!$E:$E,0))&amp;"","")</f>
        <v/>
      </c>
      <c r="K1123" s="9" t="inlineStr">
        <is>
          <t>не начат</t>
        </is>
      </c>
      <c r="L1123" s="9" t="inlineStr">
        <is>
          <t>Spotlight / 9 класс / Module 7 · Staying safe / should/shouldn't / should/shouldn't: значение — совет, рекомендация; утверждение should + глагол без to</t>
        </is>
      </c>
    </row>
    <row r="1124">
      <c r="A1124" s="25" t="n">
        <v>9</v>
      </c>
      <c r="B1124" s="9" t="inlineStr">
        <is>
          <t>Module 7 · Staying safe</t>
        </is>
      </c>
      <c r="C1124" s="9" t="inlineStr">
        <is>
          <t>7d</t>
        </is>
      </c>
      <c r="D1124" s="9" t="inlineStr">
        <is>
          <t>should/shouldn't</t>
        </is>
      </c>
      <c r="E1124" s="23" t="inlineStr">
        <is>
          <t>should/shouldn't: ought to (= should)</t>
        </is>
      </c>
      <c r="F1124" s="25" t="inlineStr">
        <is>
          <t>повторение</t>
        </is>
      </c>
      <c r="G1124" s="9" t="inlineStr"/>
      <c r="H1124" s="25" t="inlineStr">
        <is>
          <t>10+</t>
        </is>
      </c>
      <c r="I1124" s="9">
        <f>IFERROR(INDEX('Темы × классы'!$R:$R,MATCH(E1124,'Темы × классы'!$E:$E,0)),"")</f>
        <v/>
      </c>
      <c r="J1124" s="9">
        <f>IFERROR(INDEX('Темы × классы'!$S:$S,MATCH(E1124,'Темы × классы'!$E:$E,0))&amp;"","")</f>
        <v/>
      </c>
      <c r="K1124" s="9" t="inlineStr">
        <is>
          <t>не начат</t>
        </is>
      </c>
      <c r="L1124" s="9" t="inlineStr">
        <is>
          <t>Spotlight / 9 класс / Module 7 · Staying safe / should/shouldn't / should/shouldn't: ought to (= should)</t>
        </is>
      </c>
    </row>
    <row r="1125">
      <c r="A1125" s="25" t="n">
        <v>9</v>
      </c>
      <c r="B1125" s="9" t="inlineStr">
        <is>
          <t>Module 7 · Staying safe</t>
        </is>
      </c>
      <c r="C1125" s="9" t="inlineStr">
        <is>
          <t>7d</t>
        </is>
      </c>
      <c r="D1125" s="9" t="inlineStr">
        <is>
          <t>should/shouldn't</t>
        </is>
      </c>
      <c r="E1125" s="23" t="inlineStr">
        <is>
          <t>should/shouldn't: значение — обязательство, долг (слабая обязанность)</t>
        </is>
      </c>
      <c r="F1125" s="25" t="inlineStr">
        <is>
          <t>повторение</t>
        </is>
      </c>
      <c r="G1125" s="9" t="inlineStr"/>
      <c r="H1125" s="25" t="inlineStr">
        <is>
          <t>10+</t>
        </is>
      </c>
      <c r="I1125" s="9">
        <f>IFERROR(INDEX('Темы × классы'!$R:$R,MATCH(E1125,'Темы × классы'!$E:$E,0)),"")</f>
        <v/>
      </c>
      <c r="J1125" s="9">
        <f>IFERROR(INDEX('Темы × классы'!$S:$S,MATCH(E1125,'Темы × классы'!$E:$E,0))&amp;"","")</f>
        <v/>
      </c>
      <c r="K1125" s="9" t="inlineStr">
        <is>
          <t>не начат</t>
        </is>
      </c>
      <c r="L1125" s="9" t="inlineStr">
        <is>
          <t>Spotlight / 9 класс / Module 7 · Staying safe / should/shouldn't / should/shouldn't: значение — обязательство, долг (слабая обязанность)</t>
        </is>
      </c>
    </row>
    <row r="1126">
      <c r="A1126" s="25" t="n">
        <v>9</v>
      </c>
      <c r="B1126" s="9" t="inlineStr">
        <is>
          <t>Module 7 · Staying safe</t>
        </is>
      </c>
      <c r="C1126" s="9" t="inlineStr">
        <is>
          <t>7d</t>
        </is>
      </c>
      <c r="D1126" s="9" t="inlineStr">
        <is>
          <t>should/shouldn't</t>
        </is>
      </c>
      <c r="E1126" s="23" t="inlineStr">
        <is>
          <t>should/shouldn't: значение — критика (should / should have V3)</t>
        </is>
      </c>
      <c r="F1126" s="25" t="inlineStr">
        <is>
          <t>повторение</t>
        </is>
      </c>
      <c r="G1126" s="9" t="inlineStr"/>
      <c r="H1126" s="25" t="inlineStr">
        <is>
          <t>10+</t>
        </is>
      </c>
      <c r="I1126" s="9">
        <f>IFERROR(INDEX('Темы × классы'!$R:$R,MATCH(E1126,'Темы × классы'!$E:$E,0)),"")</f>
        <v/>
      </c>
      <c r="J1126" s="9">
        <f>IFERROR(INDEX('Темы × классы'!$S:$S,MATCH(E1126,'Темы × классы'!$E:$E,0))&amp;"","")</f>
        <v/>
      </c>
      <c r="K1126" s="9" t="inlineStr">
        <is>
          <t>не начат</t>
        </is>
      </c>
      <c r="L1126" s="9" t="inlineStr">
        <is>
          <t>Spotlight / 9 класс / Module 7 · Staying safe / should/shouldn't / should/shouldn't: значение — критика (should / should have V3)</t>
        </is>
      </c>
    </row>
    <row r="1127">
      <c r="A1127" s="25" t="n">
        <v>9</v>
      </c>
      <c r="B1127" s="9" t="inlineStr">
        <is>
          <t>Module 7 · Staying safe</t>
        </is>
      </c>
      <c r="C1127" s="9" t="inlineStr">
        <is>
          <t>7d</t>
        </is>
      </c>
      <c r="D1127" s="9" t="inlineStr">
        <is>
          <t>should/shouldn't</t>
        </is>
      </c>
      <c r="E1127" s="23" t="inlineStr">
        <is>
          <t>should/shouldn't: значение — вероятность ~90% (о будущем)</t>
        </is>
      </c>
      <c r="F1127" s="25" t="inlineStr">
        <is>
          <t>повторение</t>
        </is>
      </c>
      <c r="G1127" s="9" t="inlineStr"/>
      <c r="H1127" s="25" t="inlineStr">
        <is>
          <t>10+</t>
        </is>
      </c>
      <c r="I1127" s="9">
        <f>IFERROR(INDEX('Темы × классы'!$R:$R,MATCH(E1127,'Темы × классы'!$E:$E,0)),"")</f>
        <v/>
      </c>
      <c r="J1127" s="9">
        <f>IFERROR(INDEX('Темы × классы'!$S:$S,MATCH(E1127,'Темы × классы'!$E:$E,0))&amp;"","")</f>
        <v/>
      </c>
      <c r="K1127" s="9" t="inlineStr">
        <is>
          <t>не начат</t>
        </is>
      </c>
      <c r="L1127" s="9" t="inlineStr">
        <is>
          <t>Spotlight / 9 класс / Module 7 · Staying safe / should/shouldn't / should/shouldn't: значение — вероятность ~90% (о будущем)</t>
        </is>
      </c>
    </row>
    <row r="1128">
      <c r="A1128" s="25" t="n">
        <v>9</v>
      </c>
      <c r="B1128" s="9" t="inlineStr">
        <is>
          <t>Module 7 · Staying safe</t>
        </is>
      </c>
      <c r="C1128" s="9" t="inlineStr">
        <is>
          <t>7d</t>
        </is>
      </c>
      <c r="D1128" s="9" t="inlineStr">
        <is>
          <t>should/shouldn't</t>
        </is>
      </c>
      <c r="E1128" s="23" t="inlineStr">
        <is>
          <t>should/shouldn't: Shall I…? — просьба о совете</t>
        </is>
      </c>
      <c r="F1128" s="26" t="inlineStr">
        <is>
          <t>новое</t>
        </is>
      </c>
      <c r="G1128" s="9" t="inlineStr">
        <is>
          <t>Shall I…?</t>
        </is>
      </c>
      <c r="H1128" s="25" t="inlineStr">
        <is>
          <t>10+</t>
        </is>
      </c>
      <c r="I1128" s="9">
        <f>IFERROR(INDEX('Темы × классы'!$R:$R,MATCH(E1128,'Темы × классы'!$E:$E,0)),"")</f>
        <v/>
      </c>
      <c r="J1128" s="9">
        <f>IFERROR(INDEX('Темы × классы'!$S:$S,MATCH(E1128,'Темы × классы'!$E:$E,0))&amp;"","")</f>
        <v/>
      </c>
      <c r="K1128" s="9" t="inlineStr">
        <is>
          <t>не начат</t>
        </is>
      </c>
      <c r="L1128" s="9" t="inlineStr">
        <is>
          <t>Spotlight / 9 класс / Module 7 · Staying safe / should/shouldn't / should/shouldn't: Shall I…? — просьба о совете</t>
        </is>
      </c>
    </row>
    <row r="1129">
      <c r="A1129" s="25" t="n">
        <v>9</v>
      </c>
      <c r="B1129" s="9" t="inlineStr">
        <is>
          <t>Module 7 · Staying safe</t>
        </is>
      </c>
      <c r="C1129" s="9" t="inlineStr">
        <is>
          <t>7d</t>
        </is>
      </c>
      <c r="D1129" s="9" t="inlineStr">
        <is>
          <t>Modal verbs (functions)</t>
        </is>
      </c>
      <c r="E1129" s="23" t="inlineStr">
        <is>
          <t>Modal verbs: общие правила формы — без -s/-ing/-ed, + инфинитив без to</t>
        </is>
      </c>
      <c r="F1129" s="25" t="inlineStr">
        <is>
          <t>повторение</t>
        </is>
      </c>
      <c r="G1129" s="9" t="inlineStr"/>
      <c r="H1129" s="25" t="inlineStr">
        <is>
          <t>10+</t>
        </is>
      </c>
      <c r="I1129" s="9">
        <f>IFERROR(INDEX('Темы × классы'!$R:$R,MATCH(E1129,'Темы × классы'!$E:$E,0)),"")</f>
        <v/>
      </c>
      <c r="J1129" s="9">
        <f>IFERROR(INDEX('Темы × классы'!$S:$S,MATCH(E1129,'Темы × классы'!$E:$E,0))&amp;"","")</f>
        <v/>
      </c>
      <c r="K1129" s="9" t="inlineStr">
        <is>
          <t>не начат</t>
        </is>
      </c>
      <c r="L1129" s="9" t="inlineStr">
        <is>
          <t>Spotlight / 9 класс / Module 7 · Staying safe / Modal verbs (functions) / Modal verbs: общие правила формы — без -s/-ing/-ed, + инфинитив без to</t>
        </is>
      </c>
    </row>
    <row r="1130">
      <c r="A1130" s="25" t="n">
        <v>9</v>
      </c>
      <c r="B1130" s="9" t="inlineStr">
        <is>
          <t>Module 7 · Staying safe</t>
        </is>
      </c>
      <c r="C1130" s="9" t="inlineStr">
        <is>
          <t>7d</t>
        </is>
      </c>
      <c r="D1130" s="9" t="inlineStr">
        <is>
          <t>Modal verbs (functions)</t>
        </is>
      </c>
      <c r="E1130" s="23" t="inlineStr">
        <is>
          <t>Modal verbs: вопрос и отрицание (инверсия, not)</t>
        </is>
      </c>
      <c r="F1130" s="25" t="inlineStr">
        <is>
          <t>повторение</t>
        </is>
      </c>
      <c r="G1130" s="9" t="inlineStr"/>
      <c r="H1130" s="25" t="inlineStr">
        <is>
          <t>10+</t>
        </is>
      </c>
      <c r="I1130" s="9">
        <f>IFERROR(INDEX('Темы × классы'!$R:$R,MATCH(E1130,'Темы × классы'!$E:$E,0)),"")</f>
        <v/>
      </c>
      <c r="J1130" s="9">
        <f>IFERROR(INDEX('Темы × классы'!$S:$S,MATCH(E1130,'Темы × классы'!$E:$E,0))&amp;"","")</f>
        <v/>
      </c>
      <c r="K1130" s="9" t="inlineStr">
        <is>
          <t>не начат</t>
        </is>
      </c>
      <c r="L1130" s="9" t="inlineStr">
        <is>
          <t>Spotlight / 9 класс / Module 7 · Staying safe / Modal verbs (functions) / Modal verbs: вопрос и отрицание (инверсия, not)</t>
        </is>
      </c>
    </row>
    <row r="1131">
      <c r="A1131" s="25" t="n">
        <v>9</v>
      </c>
      <c r="B1131" s="9" t="inlineStr">
        <is>
          <t>Module 7 · Staying safe</t>
        </is>
      </c>
      <c r="C1131" s="9" t="inlineStr">
        <is>
          <t>7d</t>
        </is>
      </c>
      <c r="D1131" s="9" t="inlineStr">
        <is>
          <t>Modal verbs (functions)</t>
        </is>
      </c>
      <c r="E1131" s="23" t="inlineStr">
        <is>
          <t>Modal verbs: + простой инфинитив (наст./буд.) vs + перфектный инфинитив (прошлое)</t>
        </is>
      </c>
      <c r="F1131" s="25" t="inlineStr">
        <is>
          <t>повторение</t>
        </is>
      </c>
      <c r="G1131" s="9" t="inlineStr"/>
      <c r="H1131" s="25" t="inlineStr">
        <is>
          <t>10+</t>
        </is>
      </c>
      <c r="I1131" s="9">
        <f>IFERROR(INDEX('Темы × классы'!$R:$R,MATCH(E1131,'Темы × классы'!$E:$E,0)),"")</f>
        <v/>
      </c>
      <c r="J1131" s="9">
        <f>IFERROR(INDEX('Темы × классы'!$S:$S,MATCH(E1131,'Темы × классы'!$E:$E,0))&amp;"","")</f>
        <v/>
      </c>
      <c r="K1131" s="9" t="inlineStr">
        <is>
          <t>не начат</t>
        </is>
      </c>
      <c r="L1131" s="9" t="inlineStr">
        <is>
          <t>Spotlight / 9 класс / Module 7 · Staying safe / Modal verbs (functions) / Modal verbs: + простой инфинитив (наст./буд.) vs + перфектный инфинитив (прошлое)</t>
        </is>
      </c>
    </row>
    <row r="1132">
      <c r="A1132" s="25" t="n">
        <v>9</v>
      </c>
      <c r="B1132" s="9" t="inlineStr">
        <is>
          <t>Module 7 · Staying safe</t>
        </is>
      </c>
      <c r="C1132" s="9" t="inlineStr">
        <is>
          <t>7d</t>
        </is>
      </c>
      <c r="D1132" s="9" t="inlineStr">
        <is>
          <t>Modal verbs (functions)</t>
        </is>
      </c>
      <c r="E1132" s="23" t="inlineStr">
        <is>
          <t>Modal verbs: формы инфинитива — simple / continuous / perfect / perfect continuous</t>
        </is>
      </c>
      <c r="F1132" s="25" t="inlineStr">
        <is>
          <t>повторение</t>
        </is>
      </c>
      <c r="G1132" s="9" t="inlineStr"/>
      <c r="H1132" s="25" t="inlineStr">
        <is>
          <t>10+</t>
        </is>
      </c>
      <c r="I1132" s="9">
        <f>IFERROR(INDEX('Темы × классы'!$R:$R,MATCH(E1132,'Темы × классы'!$E:$E,0)),"")</f>
        <v/>
      </c>
      <c r="J1132" s="9">
        <f>IFERROR(INDEX('Темы × классы'!$S:$S,MATCH(E1132,'Темы × классы'!$E:$E,0))&amp;"","")</f>
        <v/>
      </c>
      <c r="K1132" s="9" t="inlineStr">
        <is>
          <t>не начат</t>
        </is>
      </c>
      <c r="L1132" s="9" t="inlineStr">
        <is>
          <t>Spotlight / 9 класс / Module 7 · Staying safe / Modal verbs (functions) / Modal verbs: формы инфинитива — simple / continuous / perfect / perfect continuous</t>
        </is>
      </c>
    </row>
    <row r="1133">
      <c r="A1133" s="25" t="n">
        <v>9</v>
      </c>
      <c r="B1133" s="9" t="inlineStr">
        <is>
          <t>Module 7 · Staying safe</t>
        </is>
      </c>
      <c r="C1133" s="9" t="inlineStr">
        <is>
          <t>7d</t>
        </is>
      </c>
      <c r="D1133" s="9" t="inlineStr">
        <is>
          <t>Modal verbs (functions)</t>
        </is>
      </c>
      <c r="E1133" s="23" t="inlineStr">
        <is>
          <t>Modal verbs: значение — критика (could / should / ought to)</t>
        </is>
      </c>
      <c r="F1133" s="25" t="inlineStr">
        <is>
          <t>повторение</t>
        </is>
      </c>
      <c r="G1133" s="9" t="inlineStr"/>
      <c r="H1133" s="25" t="inlineStr">
        <is>
          <t>10+</t>
        </is>
      </c>
      <c r="I1133" s="9">
        <f>IFERROR(INDEX('Темы × классы'!$R:$R,MATCH(E1133,'Темы × классы'!$E:$E,0)),"")</f>
        <v/>
      </c>
      <c r="J1133" s="9">
        <f>IFERROR(INDEX('Темы × классы'!$S:$S,MATCH(E1133,'Темы × классы'!$E:$E,0))&amp;"","")</f>
        <v/>
      </c>
      <c r="K1133" s="9" t="inlineStr">
        <is>
          <t>не начат</t>
        </is>
      </c>
      <c r="L1133" s="9" t="inlineStr">
        <is>
          <t>Spotlight / 9 класс / Module 7 · Staying safe / Modal verbs (functions) / Modal verbs: значение — критика (could / should / ought to)</t>
        </is>
      </c>
    </row>
    <row r="1134">
      <c r="A1134" s="25" t="n">
        <v>9</v>
      </c>
      <c r="B1134" s="9" t="inlineStr">
        <is>
          <t>Module 7 · Staying safe</t>
        </is>
      </c>
      <c r="C1134" s="9" t="inlineStr">
        <is>
          <t>7d</t>
        </is>
      </c>
      <c r="D1134" s="9" t="inlineStr">
        <is>
          <t>Modal verbs (functions)</t>
        </is>
      </c>
      <c r="E1134" s="23" t="inlineStr">
        <is>
          <t>Modal verbs: значение — вероятность (will 100% vs should/ought to 90%)</t>
        </is>
      </c>
      <c r="F1134" s="25" t="inlineStr">
        <is>
          <t>повторение</t>
        </is>
      </c>
      <c r="G1134" s="9" t="inlineStr"/>
      <c r="H1134" s="25" t="inlineStr">
        <is>
          <t>10+</t>
        </is>
      </c>
      <c r="I1134" s="9">
        <f>IFERROR(INDEX('Темы × классы'!$R:$R,MATCH(E1134,'Темы × классы'!$E:$E,0)),"")</f>
        <v/>
      </c>
      <c r="J1134" s="9">
        <f>IFERROR(INDEX('Темы × классы'!$S:$S,MATCH(E1134,'Темы × классы'!$E:$E,0))&amp;"","")</f>
        <v/>
      </c>
      <c r="K1134" s="9" t="inlineStr">
        <is>
          <t>не начат</t>
        </is>
      </c>
      <c r="L1134" s="9" t="inlineStr">
        <is>
          <t>Spotlight / 9 класс / Module 7 · Staying safe / Modal verbs (functions) / Modal verbs: значение — вероятность (will 100% vs should/ought to 90%)</t>
        </is>
      </c>
    </row>
    <row r="1135">
      <c r="A1135" s="25" t="n">
        <v>9</v>
      </c>
      <c r="B1135" s="9" t="inlineStr">
        <is>
          <t>Module 7 · Staying safe</t>
        </is>
      </c>
      <c r="C1135" s="9" t="inlineStr">
        <is>
          <t>7d</t>
        </is>
      </c>
      <c r="D1135" s="9" t="inlineStr">
        <is>
          <t>Modal verbs (functions)</t>
        </is>
      </c>
      <c r="E1135" s="23" t="inlineStr">
        <is>
          <t>Modal verbs: значение — совет (should / ought to / shall)</t>
        </is>
      </c>
      <c r="F1135" s="25" t="inlineStr">
        <is>
          <t>повторение</t>
        </is>
      </c>
      <c r="G1135" s="9" t="inlineStr"/>
      <c r="H1135" s="25" t="inlineStr">
        <is>
          <t>10+</t>
        </is>
      </c>
      <c r="I1135" s="9">
        <f>IFERROR(INDEX('Темы × классы'!$R:$R,MATCH(E1135,'Темы × классы'!$E:$E,0)),"")</f>
        <v/>
      </c>
      <c r="J1135" s="9">
        <f>IFERROR(INDEX('Темы × классы'!$S:$S,MATCH(E1135,'Темы × классы'!$E:$E,0))&amp;"","")</f>
        <v/>
      </c>
      <c r="K1135" s="9" t="inlineStr">
        <is>
          <t>не начат</t>
        </is>
      </c>
      <c r="L1135" s="9" t="inlineStr">
        <is>
          <t>Spotlight / 9 класс / Module 7 · Staying safe / Modal verbs (functions) / Modal verbs: значение — совет (should / ought to / shall)</t>
        </is>
      </c>
    </row>
    <row r="1136">
      <c r="A1136" s="25" t="n">
        <v>9</v>
      </c>
      <c r="B1136" s="9" t="inlineStr">
        <is>
          <t>Module 7 · Staying safe</t>
        </is>
      </c>
      <c r="C1136" s="9" t="inlineStr">
        <is>
          <t>7d</t>
        </is>
      </c>
      <c r="D1136" s="9" t="inlineStr">
        <is>
          <t>can/could (ability past)</t>
        </is>
      </c>
      <c r="E1136" s="23" t="inlineStr">
        <is>
          <t>can/could (ability past): could — общая способность в прошлом</t>
        </is>
      </c>
      <c r="F1136" s="25" t="inlineStr">
        <is>
          <t>повторение</t>
        </is>
      </c>
      <c r="G1136" s="9" t="inlineStr"/>
      <c r="H1136" s="25" t="inlineStr">
        <is>
          <t>10+</t>
        </is>
      </c>
      <c r="I1136" s="9">
        <f>IFERROR(INDEX('Темы × классы'!$R:$R,MATCH(E1136,'Темы × классы'!$E:$E,0)),"")</f>
        <v/>
      </c>
      <c r="J1136" s="9">
        <f>IFERROR(INDEX('Темы × классы'!$S:$S,MATCH(E1136,'Темы × классы'!$E:$E,0))&amp;"","")</f>
        <v/>
      </c>
      <c r="K1136" s="9" t="inlineStr">
        <is>
          <t>не начат</t>
        </is>
      </c>
      <c r="L1136" s="9" t="inlineStr">
        <is>
          <t>Spotlight / 9 класс / Module 7 · Staying safe / can/could (ability past) / can/could (ability past): could — общая способность в прошлом</t>
        </is>
      </c>
    </row>
    <row r="1137">
      <c r="A1137" s="25" t="n">
        <v>9</v>
      </c>
      <c r="B1137" s="9" t="inlineStr">
        <is>
          <t>Module 7 · Staying safe</t>
        </is>
      </c>
      <c r="C1137" s="9" t="inlineStr">
        <is>
          <t>7d</t>
        </is>
      </c>
      <c r="D1137" s="9" t="inlineStr">
        <is>
          <t>can/could (ability past)</t>
        </is>
      </c>
      <c r="E1137" s="23" t="inlineStr">
        <is>
          <t>can/could (ability past): was/were able to — способность в конкретной ситуации</t>
        </is>
      </c>
      <c r="F1137" s="25" t="inlineStr">
        <is>
          <t>повторение</t>
        </is>
      </c>
      <c r="G1137" s="9" t="inlineStr"/>
      <c r="H1137" s="25" t="inlineStr">
        <is>
          <t>10+</t>
        </is>
      </c>
      <c r="I1137" s="9">
        <f>IFERROR(INDEX('Темы × классы'!$R:$R,MATCH(E1137,'Темы × классы'!$E:$E,0)),"")</f>
        <v/>
      </c>
      <c r="J1137" s="9">
        <f>IFERROR(INDEX('Темы × классы'!$S:$S,MATCH(E1137,'Темы × классы'!$E:$E,0))&amp;"","")</f>
        <v/>
      </c>
      <c r="K1137" s="9" t="inlineStr">
        <is>
          <t>не начат</t>
        </is>
      </c>
      <c r="L1137" s="9" t="inlineStr">
        <is>
          <t>Spotlight / 9 класс / Module 7 · Staying safe / can/could (ability past) / can/could (ability past): was/were able to — способность в конкретной ситуации</t>
        </is>
      </c>
    </row>
    <row r="1138">
      <c r="A1138" s="25" t="n">
        <v>9</v>
      </c>
      <c r="B1138" s="9" t="inlineStr">
        <is>
          <t>Module 7 · Staying safe</t>
        </is>
      </c>
      <c r="C1138" s="9" t="inlineStr">
        <is>
          <t>7d</t>
        </is>
      </c>
      <c r="D1138" s="9" t="inlineStr">
        <is>
          <t>can/could (ability past)</t>
        </is>
      </c>
      <c r="E1138" s="23" t="inlineStr">
        <is>
          <t>can/could (ability past): couldn't — неспособность в прошлом</t>
        </is>
      </c>
      <c r="F1138" s="25" t="inlineStr">
        <is>
          <t>повторение</t>
        </is>
      </c>
      <c r="G1138" s="9" t="inlineStr"/>
      <c r="H1138" s="25" t="inlineStr">
        <is>
          <t>10+</t>
        </is>
      </c>
      <c r="I1138" s="9">
        <f>IFERROR(INDEX('Темы × классы'!$R:$R,MATCH(E1138,'Темы × классы'!$E:$E,0)),"")</f>
        <v/>
      </c>
      <c r="J1138" s="9">
        <f>IFERROR(INDEX('Темы × классы'!$S:$S,MATCH(E1138,'Темы × классы'!$E:$E,0))&amp;"","")</f>
        <v/>
      </c>
      <c r="K1138" s="9" t="inlineStr">
        <is>
          <t>не начат</t>
        </is>
      </c>
      <c r="L1138" s="9" t="inlineStr">
        <is>
          <t>Spotlight / 9 класс / Module 7 · Staying safe / can/could (ability past) / can/could (ability past): couldn't — неспособность в прошлом</t>
        </is>
      </c>
    </row>
    <row r="1139">
      <c r="A1139" s="25" t="n">
        <v>9</v>
      </c>
      <c r="B1139" s="9" t="inlineStr">
        <is>
          <t>Module 7 · Staying safe</t>
        </is>
      </c>
      <c r="C1139" s="9" t="inlineStr">
        <is>
          <t>7c</t>
        </is>
      </c>
      <c r="D1139" s="9" t="inlineStr">
        <is>
          <t>Conditionals (Type 1)</t>
        </is>
      </c>
      <c r="E1139" s="23" t="inlineStr">
        <is>
          <t>Conditionals Type 1: форма If + Present Simple — will + V</t>
        </is>
      </c>
      <c r="F1139" s="25" t="inlineStr">
        <is>
          <t>повторение</t>
        </is>
      </c>
      <c r="G1139" s="9" t="inlineStr"/>
      <c r="H1139" s="25" t="inlineStr">
        <is>
          <t>10+</t>
        </is>
      </c>
      <c r="I1139" s="9">
        <f>IFERROR(INDEX('Темы × классы'!$R:$R,MATCH(E1139,'Темы × классы'!$E:$E,0)),"")</f>
        <v/>
      </c>
      <c r="J1139" s="9">
        <f>IFERROR(INDEX('Темы × классы'!$S:$S,MATCH(E1139,'Темы × классы'!$E:$E,0))&amp;"","")</f>
        <v/>
      </c>
      <c r="K1139" s="9" t="inlineStr">
        <is>
          <t>не начат</t>
        </is>
      </c>
      <c r="L1139" s="9" t="inlineStr">
        <is>
          <t>Spotlight / 9 класс / Module 7 · Staying safe / Conditionals (Type 1) / Conditionals Type 1: форма If + Present Simple — will + V</t>
        </is>
      </c>
    </row>
    <row r="1140">
      <c r="A1140" s="25" t="n">
        <v>9</v>
      </c>
      <c r="B1140" s="9" t="inlineStr">
        <is>
          <t>Module 7 · Staying safe</t>
        </is>
      </c>
      <c r="C1140" s="9" t="inlineStr">
        <is>
          <t>7c</t>
        </is>
      </c>
      <c r="D1140" s="9" t="inlineStr">
        <is>
          <t>Conditionals (Type 1)</t>
        </is>
      </c>
      <c r="E1140" s="23" t="inlineStr">
        <is>
          <t>Conditionals Type 1: значение — реальная/вероятная ситуация в настоящем/будущем</t>
        </is>
      </c>
      <c r="F1140" s="25" t="inlineStr">
        <is>
          <t>повторение</t>
        </is>
      </c>
      <c r="G1140" s="9" t="inlineStr"/>
      <c r="H1140" s="25" t="inlineStr">
        <is>
          <t>10+</t>
        </is>
      </c>
      <c r="I1140" s="9">
        <f>IFERROR(INDEX('Темы × классы'!$R:$R,MATCH(E1140,'Темы × классы'!$E:$E,0)),"")</f>
        <v/>
      </c>
      <c r="J1140" s="9">
        <f>IFERROR(INDEX('Темы × классы'!$S:$S,MATCH(E1140,'Темы × классы'!$E:$E,0))&amp;"","")</f>
        <v/>
      </c>
      <c r="K1140" s="9" t="inlineStr">
        <is>
          <t>не начат</t>
        </is>
      </c>
      <c r="L1140" s="9" t="inlineStr">
        <is>
          <t>Spotlight / 9 класс / Module 7 · Staying safe / Conditionals (Type 1) / Conditionals Type 1: значение — реальная/вероятная ситуация в настоящем/будущем</t>
        </is>
      </c>
    </row>
    <row r="1141">
      <c r="A1141" s="25" t="n">
        <v>9</v>
      </c>
      <c r="B1141" s="9" t="inlineStr">
        <is>
          <t>Module 7 · Staying safe</t>
        </is>
      </c>
      <c r="C1141" s="9" t="inlineStr">
        <is>
          <t>7c</t>
        </is>
      </c>
      <c r="D1141" s="9" t="inlineStr">
        <is>
          <t>Conditionals (Type 1)</t>
        </is>
      </c>
      <c r="E1141" s="23" t="inlineStr">
        <is>
          <t>Conditionals Type 1: запятая, если if-часть впереди</t>
        </is>
      </c>
      <c r="F1141" s="25" t="inlineStr">
        <is>
          <t>повторение</t>
        </is>
      </c>
      <c r="G1141" s="9" t="inlineStr"/>
      <c r="H1141" s="25" t="inlineStr">
        <is>
          <t>10+</t>
        </is>
      </c>
      <c r="I1141" s="9">
        <f>IFERROR(INDEX('Темы × классы'!$R:$R,MATCH(E1141,'Темы × классы'!$E:$E,0)),"")</f>
        <v/>
      </c>
      <c r="J1141" s="9">
        <f>IFERROR(INDEX('Темы × классы'!$S:$S,MATCH(E1141,'Темы × классы'!$E:$E,0))&amp;"","")</f>
        <v/>
      </c>
      <c r="K1141" s="9" t="inlineStr">
        <is>
          <t>не начат</t>
        </is>
      </c>
      <c r="L1141" s="9" t="inlineStr">
        <is>
          <t>Spotlight / 9 класс / Module 7 · Staying safe / Conditionals (Type 1) / Conditionals Type 1: запятая, если if-часть впереди</t>
        </is>
      </c>
    </row>
    <row r="1142">
      <c r="A1142" s="25" t="n">
        <v>9</v>
      </c>
      <c r="B1142" s="9" t="inlineStr">
        <is>
          <t>Module 7 · Staying safe</t>
        </is>
      </c>
      <c r="C1142" s="9" t="inlineStr">
        <is>
          <t>7c</t>
        </is>
      </c>
      <c r="D1142" s="9" t="inlineStr">
        <is>
          <t>Conditionals (Type 1)</t>
        </is>
      </c>
      <c r="E1142" s="23" t="inlineStr">
        <is>
          <t>Conditionals Type 1: unless = if not</t>
        </is>
      </c>
      <c r="F1142" s="25" t="inlineStr">
        <is>
          <t>повторение</t>
        </is>
      </c>
      <c r="G1142" s="9" t="inlineStr"/>
      <c r="H1142" s="25" t="inlineStr">
        <is>
          <t>10+</t>
        </is>
      </c>
      <c r="I1142" s="9">
        <f>IFERROR(INDEX('Темы × классы'!$R:$R,MATCH(E1142,'Темы × классы'!$E:$E,0)),"")</f>
        <v/>
      </c>
      <c r="J1142" s="9">
        <f>IFERROR(INDEX('Темы × классы'!$S:$S,MATCH(E1142,'Темы × классы'!$E:$E,0))&amp;"","")</f>
        <v/>
      </c>
      <c r="K1142" s="9" t="inlineStr">
        <is>
          <t>не начат</t>
        </is>
      </c>
      <c r="L1142" s="9" t="inlineStr">
        <is>
          <t>Spotlight / 9 класс / Module 7 · Staying safe / Conditionals (Type 1) / Conditionals Type 1: unless = if not</t>
        </is>
      </c>
    </row>
    <row r="1143">
      <c r="A1143" s="25" t="n">
        <v>9</v>
      </c>
      <c r="B1143" s="9" t="inlineStr">
        <is>
          <t>Module 7 · Staying safe</t>
        </is>
      </c>
      <c r="C1143" s="9" t="inlineStr">
        <is>
          <t>7c</t>
        </is>
      </c>
      <c r="D1143" s="9" t="inlineStr">
        <is>
          <t>Conditionals (Type 2)</t>
        </is>
      </c>
      <c r="E1143" s="23" t="inlineStr">
        <is>
          <t>Conditionals Type 2: форма If + Past Simple — would/could/might + V</t>
        </is>
      </c>
      <c r="F1143" s="25" t="inlineStr">
        <is>
          <t>повторение</t>
        </is>
      </c>
      <c r="G1143" s="9" t="inlineStr"/>
      <c r="H1143" s="25" t="inlineStr">
        <is>
          <t>10+</t>
        </is>
      </c>
      <c r="I1143" s="9">
        <f>IFERROR(INDEX('Темы × классы'!$R:$R,MATCH(E1143,'Темы × классы'!$E:$E,0)),"")</f>
        <v/>
      </c>
      <c r="J1143" s="9">
        <f>IFERROR(INDEX('Темы × классы'!$S:$S,MATCH(E1143,'Темы × классы'!$E:$E,0))&amp;"","")</f>
        <v/>
      </c>
      <c r="K1143" s="9" t="inlineStr">
        <is>
          <t>не начат</t>
        </is>
      </c>
      <c r="L1143" s="9" t="inlineStr">
        <is>
          <t>Spotlight / 9 класс / Module 7 · Staying safe / Conditionals (Type 2) / Conditionals Type 2: форма If + Past Simple — would/could/might + V</t>
        </is>
      </c>
    </row>
    <row r="1144">
      <c r="A1144" s="25" t="n">
        <v>9</v>
      </c>
      <c r="B1144" s="9" t="inlineStr">
        <is>
          <t>Module 7 · Staying safe</t>
        </is>
      </c>
      <c r="C1144" s="9" t="inlineStr">
        <is>
          <t>7c</t>
        </is>
      </c>
      <c r="D1144" s="9" t="inlineStr">
        <is>
          <t>Conditionals (Type 2)</t>
        </is>
      </c>
      <c r="E1144" s="23" t="inlineStr">
        <is>
          <t>Conditionals Type 2: If + Past Continuous</t>
        </is>
      </c>
      <c r="F1144" s="25" t="inlineStr">
        <is>
          <t>повторение</t>
        </is>
      </c>
      <c r="G1144" s="9" t="inlineStr">
        <is>
          <t>If Paul was not working today…</t>
        </is>
      </c>
      <c r="H1144" s="25" t="inlineStr">
        <is>
          <t>10+</t>
        </is>
      </c>
      <c r="I1144" s="9">
        <f>IFERROR(INDEX('Темы × классы'!$R:$R,MATCH(E1144,'Темы × классы'!$E:$E,0)),"")</f>
        <v/>
      </c>
      <c r="J1144" s="9">
        <f>IFERROR(INDEX('Темы × классы'!$S:$S,MATCH(E1144,'Темы × классы'!$E:$E,0))&amp;"","")</f>
        <v/>
      </c>
      <c r="K1144" s="9" t="inlineStr">
        <is>
          <t>не начат</t>
        </is>
      </c>
      <c r="L1144" s="9" t="inlineStr">
        <is>
          <t>Spotlight / 9 класс / Module 7 · Staying safe / Conditionals (Type 2) / Conditionals Type 2: If + Past Continuous</t>
        </is>
      </c>
    </row>
    <row r="1145">
      <c r="A1145" s="25" t="n">
        <v>9</v>
      </c>
      <c r="B1145" s="9" t="inlineStr">
        <is>
          <t>Module 7 · Staying safe</t>
        </is>
      </c>
      <c r="C1145" s="9" t="inlineStr">
        <is>
          <t>7c</t>
        </is>
      </c>
      <c r="D1145" s="9" t="inlineStr">
        <is>
          <t>Conditionals (Type 2)</t>
        </is>
      </c>
      <c r="E1145" s="23" t="inlineStr">
        <is>
          <t>Conditionals Type 2: значение — воображаемая/маловероятная ситуация в настоящем/будущем</t>
        </is>
      </c>
      <c r="F1145" s="25" t="inlineStr">
        <is>
          <t>повторение</t>
        </is>
      </c>
      <c r="G1145" s="9" t="inlineStr"/>
      <c r="H1145" s="25" t="inlineStr">
        <is>
          <t>10+</t>
        </is>
      </c>
      <c r="I1145" s="9">
        <f>IFERROR(INDEX('Темы × классы'!$R:$R,MATCH(E1145,'Темы × классы'!$E:$E,0)),"")</f>
        <v/>
      </c>
      <c r="J1145" s="9">
        <f>IFERROR(INDEX('Темы × классы'!$S:$S,MATCH(E1145,'Темы × классы'!$E:$E,0))&amp;"","")</f>
        <v/>
      </c>
      <c r="K1145" s="9" t="inlineStr">
        <is>
          <t>не начат</t>
        </is>
      </c>
      <c r="L1145" s="9" t="inlineStr">
        <is>
          <t>Spotlight / 9 класс / Module 7 · Staying safe / Conditionals (Type 2) / Conditionals Type 2: значение — воображаемая/маловероятная ситуация в настоящем/будущем</t>
        </is>
      </c>
    </row>
    <row r="1146">
      <c r="A1146" s="25" t="n">
        <v>9</v>
      </c>
      <c r="B1146" s="9" t="inlineStr">
        <is>
          <t>Module 7 · Staying safe</t>
        </is>
      </c>
      <c r="C1146" s="9" t="inlineStr">
        <is>
          <t>7c</t>
        </is>
      </c>
      <c r="D1146" s="9" t="inlineStr">
        <is>
          <t>Conditionals (Type 2)</t>
        </is>
      </c>
      <c r="E1146" s="23" t="inlineStr">
        <is>
          <t>Conditionals Type 2: were/was для I, he, she, it</t>
        </is>
      </c>
      <c r="F1146" s="27" t="inlineStr">
        <is>
          <t>расширение</t>
        </is>
      </c>
      <c r="G1146" s="9" t="inlineStr">
        <is>
          <t>в официальной речи were во всех лицах</t>
        </is>
      </c>
      <c r="H1146" s="25" t="inlineStr">
        <is>
          <t>10+</t>
        </is>
      </c>
      <c r="I1146" s="9">
        <f>IFERROR(INDEX('Темы × классы'!$R:$R,MATCH(E1146,'Темы × классы'!$E:$E,0)),"")</f>
        <v/>
      </c>
      <c r="J1146" s="9">
        <f>IFERROR(INDEX('Темы × классы'!$S:$S,MATCH(E1146,'Темы × классы'!$E:$E,0))&amp;"","")</f>
        <v/>
      </c>
      <c r="K1146" s="9" t="inlineStr">
        <is>
          <t>не начат</t>
        </is>
      </c>
      <c r="L1146" s="9" t="inlineStr">
        <is>
          <t>Spotlight / 9 класс / Module 7 · Staying safe / Conditionals (Type 2) / Conditionals Type 2: were/was для I, he, she, it</t>
        </is>
      </c>
    </row>
    <row r="1147">
      <c r="A1147" s="25" t="n">
        <v>9</v>
      </c>
      <c r="B1147" s="9" t="inlineStr">
        <is>
          <t>Module 7 · Staying safe</t>
        </is>
      </c>
      <c r="C1147" s="9" t="inlineStr">
        <is>
          <t>7c</t>
        </is>
      </c>
      <c r="D1147" s="9" t="inlineStr">
        <is>
          <t>Conditionals (Type 2)</t>
        </is>
      </c>
      <c r="E1147" s="23" t="inlineStr">
        <is>
          <t>Conditionals Type 2: If I were you — совет</t>
        </is>
      </c>
      <c r="F1147" s="25" t="inlineStr">
        <is>
          <t>повторение</t>
        </is>
      </c>
      <c r="G1147" s="9" t="inlineStr"/>
      <c r="H1147" s="25" t="inlineStr">
        <is>
          <t>10+</t>
        </is>
      </c>
      <c r="I1147" s="9">
        <f>IFERROR(INDEX('Темы × классы'!$R:$R,MATCH(E1147,'Темы × классы'!$E:$E,0)),"")</f>
        <v/>
      </c>
      <c r="J1147" s="9">
        <f>IFERROR(INDEX('Темы × классы'!$S:$S,MATCH(E1147,'Темы × классы'!$E:$E,0))&amp;"","")</f>
        <v/>
      </c>
      <c r="K1147" s="9" t="inlineStr">
        <is>
          <t>не начат</t>
        </is>
      </c>
      <c r="L1147" s="9" t="inlineStr">
        <is>
          <t>Spotlight / 9 класс / Module 7 · Staying safe / Conditionals (Type 2) / Conditionals Type 2: If I were you — совет</t>
        </is>
      </c>
    </row>
    <row r="1148">
      <c r="A1148" s="25" t="n">
        <v>9</v>
      </c>
      <c r="B1148" s="9" t="inlineStr">
        <is>
          <t>Module 7 · Staying safe</t>
        </is>
      </c>
      <c r="C1148" s="9" t="inlineStr">
        <is>
          <t>7c</t>
        </is>
      </c>
      <c r="D1148" s="9" t="inlineStr">
        <is>
          <t>Conditionals (Type 3)</t>
        </is>
      </c>
      <c r="E1148" s="23" t="inlineStr">
        <is>
          <t>Conditionals Type 3: форма If + Past Perfect — would/could/might have + V3</t>
        </is>
      </c>
      <c r="F1148" s="25" t="inlineStr">
        <is>
          <t>повторение</t>
        </is>
      </c>
      <c r="G1148" s="9" t="inlineStr"/>
      <c r="H1148" s="25" t="inlineStr">
        <is>
          <t>10+</t>
        </is>
      </c>
      <c r="I1148" s="9">
        <f>IFERROR(INDEX('Темы × классы'!$R:$R,MATCH(E1148,'Темы × классы'!$E:$E,0)),"")</f>
        <v/>
      </c>
      <c r="J1148" s="9">
        <f>IFERROR(INDEX('Темы × классы'!$S:$S,MATCH(E1148,'Темы × классы'!$E:$E,0))&amp;"","")</f>
        <v/>
      </c>
      <c r="K1148" s="9" t="inlineStr">
        <is>
          <t>не начат</t>
        </is>
      </c>
      <c r="L1148" s="9" t="inlineStr">
        <is>
          <t>Spotlight / 9 класс / Module 7 · Staying safe / Conditionals (Type 3) / Conditionals Type 3: форма If + Past Perfect — would/could/might have + V3</t>
        </is>
      </c>
    </row>
    <row r="1149">
      <c r="A1149" s="25" t="n">
        <v>9</v>
      </c>
      <c r="B1149" s="9" t="inlineStr">
        <is>
          <t>Module 7 · Staying safe</t>
        </is>
      </c>
      <c r="C1149" s="9" t="inlineStr">
        <is>
          <t>7c</t>
        </is>
      </c>
      <c r="D1149" s="9" t="inlineStr">
        <is>
          <t>Conditionals (Type 3)</t>
        </is>
      </c>
      <c r="E1149" s="23" t="inlineStr">
        <is>
          <t>Conditionals Type 3: If + Past Perfect Continuous</t>
        </is>
      </c>
      <c r="F1149" s="25" t="inlineStr">
        <is>
          <t>повторение</t>
        </is>
      </c>
      <c r="G1149" s="9" t="inlineStr">
        <is>
          <t>If he hadn't been studying that hard…</t>
        </is>
      </c>
      <c r="H1149" s="25" t="inlineStr">
        <is>
          <t>10+</t>
        </is>
      </c>
      <c r="I1149" s="9">
        <f>IFERROR(INDEX('Темы × классы'!$R:$R,MATCH(E1149,'Темы × классы'!$E:$E,0)),"")</f>
        <v/>
      </c>
      <c r="J1149" s="9">
        <f>IFERROR(INDEX('Темы × классы'!$S:$S,MATCH(E1149,'Темы × классы'!$E:$E,0))&amp;"","")</f>
        <v/>
      </c>
      <c r="K1149" s="9" t="inlineStr">
        <is>
          <t>не начат</t>
        </is>
      </c>
      <c r="L1149" s="9" t="inlineStr">
        <is>
          <t>Spotlight / 9 класс / Module 7 · Staying safe / Conditionals (Type 3) / Conditionals Type 3: If + Past Perfect Continuous</t>
        </is>
      </c>
    </row>
    <row r="1150">
      <c r="A1150" s="25" t="n">
        <v>9</v>
      </c>
      <c r="B1150" s="9" t="inlineStr">
        <is>
          <t>Module 7 · Staying safe</t>
        </is>
      </c>
      <c r="C1150" s="9" t="inlineStr">
        <is>
          <t>7c</t>
        </is>
      </c>
      <c r="D1150" s="9" t="inlineStr">
        <is>
          <t>Conditionals (Type 3)</t>
        </is>
      </c>
      <c r="E1150" s="23" t="inlineStr">
        <is>
          <t>Conditionals Type 3: значение — нереальная ситуация в прошлом</t>
        </is>
      </c>
      <c r="F1150" s="25" t="inlineStr">
        <is>
          <t>повторение</t>
        </is>
      </c>
      <c r="G1150" s="9" t="inlineStr"/>
      <c r="H1150" s="25" t="inlineStr">
        <is>
          <t>10+</t>
        </is>
      </c>
      <c r="I1150" s="9">
        <f>IFERROR(INDEX('Темы × классы'!$R:$R,MATCH(E1150,'Темы × классы'!$E:$E,0)),"")</f>
        <v/>
      </c>
      <c r="J1150" s="9">
        <f>IFERROR(INDEX('Темы × классы'!$S:$S,MATCH(E1150,'Темы × классы'!$E:$E,0))&amp;"","")</f>
        <v/>
      </c>
      <c r="K1150" s="9" t="inlineStr">
        <is>
          <t>не начат</t>
        </is>
      </c>
      <c r="L1150" s="9" t="inlineStr">
        <is>
          <t>Spotlight / 9 класс / Module 7 · Staying safe / Conditionals (Type 3) / Conditionals Type 3: значение — нереальная ситуация в прошлом</t>
        </is>
      </c>
    </row>
    <row r="1151">
      <c r="A1151" s="25" t="n">
        <v>9</v>
      </c>
      <c r="B1151" s="9" t="inlineStr">
        <is>
          <t>Module 7 · Staying safe</t>
        </is>
      </c>
      <c r="C1151" s="9" t="inlineStr">
        <is>
          <t>7c</t>
        </is>
      </c>
      <c r="D1151" s="9" t="inlineStr">
        <is>
          <t>Conditionals (Type 3)</t>
        </is>
      </c>
      <c r="E1151" s="23" t="inlineStr">
        <is>
          <t>Conditionals Type 3: значение — сожаление, критика</t>
        </is>
      </c>
      <c r="F1151" s="25" t="inlineStr">
        <is>
          <t>повторение</t>
        </is>
      </c>
      <c r="G1151" s="9" t="inlineStr"/>
      <c r="H1151" s="25" t="inlineStr">
        <is>
          <t>10+</t>
        </is>
      </c>
      <c r="I1151" s="9">
        <f>IFERROR(INDEX('Темы × классы'!$R:$R,MATCH(E1151,'Темы × классы'!$E:$E,0)),"")</f>
        <v/>
      </c>
      <c r="J1151" s="9">
        <f>IFERROR(INDEX('Темы × классы'!$S:$S,MATCH(E1151,'Темы × классы'!$E:$E,0))&amp;"","")</f>
        <v/>
      </c>
      <c r="K1151" s="9" t="inlineStr">
        <is>
          <t>не начат</t>
        </is>
      </c>
      <c r="L1151" s="9" t="inlineStr">
        <is>
          <t>Spotlight / 9 класс / Module 7 · Staying safe / Conditionals (Type 3) / Conditionals Type 3: значение — сожаление, критика</t>
        </is>
      </c>
    </row>
    <row r="1152">
      <c r="A1152" s="25" t="n">
        <v>9</v>
      </c>
      <c r="B1152" s="9" t="inlineStr">
        <is>
          <t>Module 7 · Staying safe</t>
        </is>
      </c>
      <c r="C1152" s="9" t="inlineStr">
        <is>
          <t>7c</t>
        </is>
      </c>
      <c r="D1152" s="9" t="inlineStr">
        <is>
          <t>Wishes (I wish / If only)</t>
        </is>
      </c>
      <c r="E1152" s="23" t="inlineStr">
        <is>
          <t>Wishes: I wish / If only + Past Simple/Continuous — желание изменить настоящее</t>
        </is>
      </c>
      <c r="F1152" s="26" t="inlineStr">
        <is>
          <t>новое</t>
        </is>
      </c>
      <c r="G1152" s="9" t="inlineStr"/>
      <c r="H1152" s="25" t="inlineStr">
        <is>
          <t>10+</t>
        </is>
      </c>
      <c r="I1152" s="9">
        <f>IFERROR(INDEX('Темы × классы'!$R:$R,MATCH(E1152,'Темы × классы'!$E:$E,0)),"")</f>
        <v/>
      </c>
      <c r="J1152" s="9">
        <f>IFERROR(INDEX('Темы × классы'!$S:$S,MATCH(E1152,'Темы × классы'!$E:$E,0))&amp;"","")</f>
        <v/>
      </c>
      <c r="K1152" s="9" t="inlineStr">
        <is>
          <t>не начат</t>
        </is>
      </c>
      <c r="L1152" s="9" t="inlineStr">
        <is>
          <t>Spotlight / 9 класс / Module 7 · Staying safe / Wishes (I wish / If only) / Wishes: I wish / If only + Past Simple/Continuous — желание изменить настоящее</t>
        </is>
      </c>
    </row>
    <row r="1153">
      <c r="A1153" s="25" t="n">
        <v>9</v>
      </c>
      <c r="B1153" s="9" t="inlineStr">
        <is>
          <t>Module 7 · Staying safe</t>
        </is>
      </c>
      <c r="C1153" s="9" t="inlineStr">
        <is>
          <t>7c</t>
        </is>
      </c>
      <c r="D1153" s="9" t="inlineStr">
        <is>
          <t>Wishes (I wish / If only)</t>
        </is>
      </c>
      <c r="E1153" s="23" t="inlineStr">
        <is>
          <t>Wishes: I wish / If only + Past Perfect — сожаление о прошлом</t>
        </is>
      </c>
      <c r="F1153" s="26" t="inlineStr">
        <is>
          <t>новое</t>
        </is>
      </c>
      <c r="G1153" s="9" t="inlineStr"/>
      <c r="H1153" s="25" t="inlineStr">
        <is>
          <t>10+</t>
        </is>
      </c>
      <c r="I1153" s="9">
        <f>IFERROR(INDEX('Темы × классы'!$R:$R,MATCH(E1153,'Темы × классы'!$E:$E,0)),"")</f>
        <v/>
      </c>
      <c r="J1153" s="9">
        <f>IFERROR(INDEX('Темы × классы'!$S:$S,MATCH(E1153,'Темы × классы'!$E:$E,0))&amp;"","")</f>
        <v/>
      </c>
      <c r="K1153" s="9" t="inlineStr">
        <is>
          <t>не начат</t>
        </is>
      </c>
      <c r="L1153" s="9" t="inlineStr">
        <is>
          <t>Spotlight / 9 класс / Module 7 · Staying safe / Wishes (I wish / If only) / Wishes: I wish / If only + Past Perfect — сожаление о прошлом</t>
        </is>
      </c>
    </row>
    <row r="1154">
      <c r="A1154" s="25" t="n">
        <v>9</v>
      </c>
      <c r="B1154" s="9" t="inlineStr">
        <is>
          <t>Module 7 · Staying safe</t>
        </is>
      </c>
      <c r="C1154" s="9" t="inlineStr">
        <is>
          <t>7c</t>
        </is>
      </c>
      <c r="D1154" s="9" t="inlineStr">
        <is>
          <t>Wishes (I wish / If only)</t>
        </is>
      </c>
      <c r="E1154" s="23" t="inlineStr">
        <is>
          <t>Wishes: I wish / If only + would + V — раздражение, просьба изменить поведение</t>
        </is>
      </c>
      <c r="F1154" s="26" t="inlineStr">
        <is>
          <t>новое</t>
        </is>
      </c>
      <c r="G1154" s="9" t="inlineStr"/>
      <c r="H1154" s="25" t="inlineStr">
        <is>
          <t>10+</t>
        </is>
      </c>
      <c r="I1154" s="9">
        <f>IFERROR(INDEX('Темы × классы'!$R:$R,MATCH(E1154,'Темы × классы'!$E:$E,0)),"")</f>
        <v/>
      </c>
      <c r="J1154" s="9">
        <f>IFERROR(INDEX('Темы × классы'!$S:$S,MATCH(E1154,'Темы × классы'!$E:$E,0))&amp;"","")</f>
        <v/>
      </c>
      <c r="K1154" s="9" t="inlineStr">
        <is>
          <t>не начат</t>
        </is>
      </c>
      <c r="L1154" s="9" t="inlineStr">
        <is>
          <t>Spotlight / 9 класс / Module 7 · Staying safe / Wishes (I wish / If only) / Wishes: I wish / If only + would + V — раздражение, просьба изменить поведение</t>
        </is>
      </c>
    </row>
    <row r="1155">
      <c r="A1155" s="25" t="n">
        <v>9</v>
      </c>
      <c r="B1155" s="9" t="inlineStr">
        <is>
          <t>Module 7 · Staying safe</t>
        </is>
      </c>
      <c r="C1155" s="9" t="inlineStr">
        <is>
          <t>7c</t>
        </is>
      </c>
      <c r="D1155" s="9" t="inlineStr">
        <is>
          <t>Wishes (I wish / If only)</t>
        </is>
      </c>
      <c r="E1155" s="23" t="inlineStr">
        <is>
          <t>Wishes: were вместо was</t>
        </is>
      </c>
      <c r="F1155" s="26" t="inlineStr">
        <is>
          <t>новое</t>
        </is>
      </c>
      <c r="G1155" s="9" t="inlineStr"/>
      <c r="H1155" s="25" t="inlineStr">
        <is>
          <t>10+</t>
        </is>
      </c>
      <c r="I1155" s="9">
        <f>IFERROR(INDEX('Темы × классы'!$R:$R,MATCH(E1155,'Темы × классы'!$E:$E,0)),"")</f>
        <v/>
      </c>
      <c r="J1155" s="9">
        <f>IFERROR(INDEX('Темы × классы'!$S:$S,MATCH(E1155,'Темы × классы'!$E:$E,0))&amp;"","")</f>
        <v/>
      </c>
      <c r="K1155" s="9" t="inlineStr">
        <is>
          <t>не начат</t>
        </is>
      </c>
      <c r="L1155" s="9" t="inlineStr">
        <is>
          <t>Spotlight / 9 класс / Module 7 · Staying safe / Wishes (I wish / If only) / Wishes: were вместо was</t>
        </is>
      </c>
    </row>
    <row r="1156">
      <c r="A1156" s="25" t="n">
        <v>9</v>
      </c>
      <c r="B1156" s="9" t="inlineStr">
        <is>
          <t>Module 7 · Staying safe</t>
        </is>
      </c>
      <c r="C1156" s="9" t="inlineStr">
        <is>
          <t>7c</t>
        </is>
      </c>
      <c r="D1156" s="9" t="inlineStr">
        <is>
          <t>Wishes (I wish / If only)</t>
        </is>
      </c>
      <c r="E1156" s="23" t="inlineStr">
        <is>
          <t>Wishes: If only vs I wish — эмоциональность</t>
        </is>
      </c>
      <c r="F1156" s="26" t="inlineStr">
        <is>
          <t>новое</t>
        </is>
      </c>
      <c r="G1156" s="9" t="inlineStr"/>
      <c r="H1156" s="25" t="inlineStr">
        <is>
          <t>10+</t>
        </is>
      </c>
      <c r="I1156" s="9">
        <f>IFERROR(INDEX('Темы × классы'!$R:$R,MATCH(E1156,'Темы × классы'!$E:$E,0)),"")</f>
        <v/>
      </c>
      <c r="J1156" s="9">
        <f>IFERROR(INDEX('Темы × классы'!$S:$S,MATCH(E1156,'Темы × классы'!$E:$E,0))&amp;"","")</f>
        <v/>
      </c>
      <c r="K1156" s="9" t="inlineStr">
        <is>
          <t>не начат</t>
        </is>
      </c>
      <c r="L1156" s="9" t="inlineStr">
        <is>
          <t>Spotlight / 9 класс / Module 7 · Staying safe / Wishes (I wish / If only) / Wishes: If only vs I wish — эмоциональность</t>
        </is>
      </c>
    </row>
    <row r="1157">
      <c r="A1157" s="25" t="n">
        <v>9</v>
      </c>
      <c r="B1157" s="9" t="inlineStr">
        <is>
          <t>Module 7 · Staying safe</t>
        </is>
      </c>
      <c r="C1157" s="9" t="inlineStr">
        <is>
          <t>7c</t>
        </is>
      </c>
      <c r="D1157" s="9" t="inlineStr">
        <is>
          <t>Conditional linkers (unless, provided…)</t>
        </is>
      </c>
      <c r="E1157" s="23" t="inlineStr">
        <is>
          <t>Conditional linkers: unless, provided/providing (that), as long as, on condition (that)</t>
        </is>
      </c>
      <c r="F1157" s="26" t="inlineStr">
        <is>
          <t>новое</t>
        </is>
      </c>
      <c r="G1157" s="9" t="inlineStr"/>
      <c r="H1157" s="25" t="inlineStr">
        <is>
          <t>10+</t>
        </is>
      </c>
      <c r="I1157" s="9">
        <f>IFERROR(INDEX('Темы × классы'!$R:$R,MATCH(E1157,'Темы × классы'!$E:$E,0)),"")</f>
        <v/>
      </c>
      <c r="J1157" s="9">
        <f>IFERROR(INDEX('Темы × классы'!$S:$S,MATCH(E1157,'Темы × классы'!$E:$E,0))&amp;"","")</f>
        <v/>
      </c>
      <c r="K1157" s="9" t="inlineStr">
        <is>
          <t>не начат</t>
        </is>
      </c>
      <c r="L1157" s="9" t="inlineStr">
        <is>
          <t>Spotlight / 9 класс / Module 7 · Staying safe / Conditional linkers (unless, provided…) / Conditional linkers: unless, provided/providing (that), as long as, on condition (that)</t>
        </is>
      </c>
    </row>
    <row r="1158">
      <c r="A1158" s="25" t="n">
        <v>9</v>
      </c>
      <c r="B1158" s="9" t="inlineStr">
        <is>
          <t>Module 7 · Staying safe</t>
        </is>
      </c>
      <c r="C1158" s="9" t="inlineStr">
        <is>
          <t>7c</t>
        </is>
      </c>
      <c r="D1158" s="9" t="inlineStr">
        <is>
          <t>Conditional linkers (unless, provided…)</t>
        </is>
      </c>
      <c r="E1158" s="23" t="inlineStr">
        <is>
          <t>Conditional linkers: but for, otherwise, or else</t>
        </is>
      </c>
      <c r="F1158" s="26" t="inlineStr">
        <is>
          <t>новое</t>
        </is>
      </c>
      <c r="G1158" s="9" t="inlineStr">
        <is>
          <t>but for + -ing/noun</t>
        </is>
      </c>
      <c r="H1158" s="25" t="inlineStr">
        <is>
          <t>10+</t>
        </is>
      </c>
      <c r="I1158" s="9">
        <f>IFERROR(INDEX('Темы × классы'!$R:$R,MATCH(E1158,'Темы × классы'!$E:$E,0)),"")</f>
        <v/>
      </c>
      <c r="J1158" s="9">
        <f>IFERROR(INDEX('Темы × классы'!$S:$S,MATCH(E1158,'Темы × классы'!$E:$E,0))&amp;"","")</f>
        <v/>
      </c>
      <c r="K1158" s="9" t="inlineStr">
        <is>
          <t>не начат</t>
        </is>
      </c>
      <c r="L1158" s="9" t="inlineStr">
        <is>
          <t>Spotlight / 9 класс / Module 7 · Staying safe / Conditional linkers (unless, provided…) / Conditional linkers: but for, otherwise, or else</t>
        </is>
      </c>
    </row>
    <row r="1159">
      <c r="A1159" s="25" t="n">
        <v>9</v>
      </c>
      <c r="B1159" s="9" t="inlineStr">
        <is>
          <t>Module 7 · Staying safe</t>
        </is>
      </c>
      <c r="C1159" s="9" t="inlineStr">
        <is>
          <t>7c</t>
        </is>
      </c>
      <c r="D1159" s="9" t="inlineStr">
        <is>
          <t>Conditional linkers (unless, provided…)</t>
        </is>
      </c>
      <c r="E1159" s="23" t="inlineStr">
        <is>
          <t>Conditional linkers: what if, supposing, even if</t>
        </is>
      </c>
      <c r="F1159" s="26" t="inlineStr">
        <is>
          <t>новое</t>
        </is>
      </c>
      <c r="G1159" s="9" t="inlineStr"/>
      <c r="H1159" s="25" t="inlineStr">
        <is>
          <t>10+</t>
        </is>
      </c>
      <c r="I1159" s="9">
        <f>IFERROR(INDEX('Темы × классы'!$R:$R,MATCH(E1159,'Темы × классы'!$E:$E,0)),"")</f>
        <v/>
      </c>
      <c r="J1159" s="9">
        <f>IFERROR(INDEX('Темы × классы'!$S:$S,MATCH(E1159,'Темы × классы'!$E:$E,0))&amp;"","")</f>
        <v/>
      </c>
      <c r="K1159" s="9" t="inlineStr">
        <is>
          <t>не начат</t>
        </is>
      </c>
      <c r="L1159" s="9" t="inlineStr">
        <is>
          <t>Spotlight / 9 класс / Module 7 · Staying safe / Conditional linkers (unless, provided…) / Conditional linkers: what if, supposing, even if</t>
        </is>
      </c>
    </row>
    <row r="1160">
      <c r="A1160" s="25" t="n">
        <v>9</v>
      </c>
      <c r="B1160" s="9" t="inlineStr">
        <is>
          <t>Module 7 · Staying safe</t>
        </is>
      </c>
      <c r="C1160" s="9" t="inlineStr">
        <is>
          <t>7c</t>
        </is>
      </c>
      <c r="D1160" s="9" t="inlineStr">
        <is>
          <t>Conditional linkers (unless, provided…)</t>
        </is>
      </c>
      <c r="E1160" s="23" t="inlineStr">
        <is>
          <t>Conditional linkers: only if (+ инверсия в главном предложении)</t>
        </is>
      </c>
      <c r="F1160" s="26" t="inlineStr">
        <is>
          <t>новое</t>
        </is>
      </c>
      <c r="G1160" s="9" t="inlineStr">
        <is>
          <t>Only if…, will you…</t>
        </is>
      </c>
      <c r="H1160" s="25" t="inlineStr">
        <is>
          <t>10+</t>
        </is>
      </c>
      <c r="I1160" s="9">
        <f>IFERROR(INDEX('Темы × классы'!$R:$R,MATCH(E1160,'Темы × классы'!$E:$E,0)),"")</f>
        <v/>
      </c>
      <c r="J1160" s="9">
        <f>IFERROR(INDEX('Темы × классы'!$S:$S,MATCH(E1160,'Темы × классы'!$E:$E,0))&amp;"","")</f>
        <v/>
      </c>
      <c r="K1160" s="9" t="inlineStr">
        <is>
          <t>не начат</t>
        </is>
      </c>
      <c r="L1160" s="9" t="inlineStr">
        <is>
          <t>Spotlight / 9 класс / Module 7 · Staying safe / Conditional linkers (unless, provided…) / Conditional linkers: only if (+ инверсия в главном предложении)</t>
        </is>
      </c>
    </row>
    <row r="1161">
      <c r="A1161" s="25" t="n">
        <v>9</v>
      </c>
      <c r="B1161" s="9" t="inlineStr">
        <is>
          <t>Module 7 · Staying safe</t>
        </is>
      </c>
      <c r="C1161" s="9" t="inlineStr">
        <is>
          <t>7c</t>
        </is>
      </c>
      <c r="D1161" s="9" t="inlineStr">
        <is>
          <t>Conditional linkers (unless, provided…)</t>
        </is>
      </c>
      <c r="E1161" s="23" t="inlineStr">
        <is>
          <t>Conditional linkers: will/would/should в if-части (просьба, раздражение, сомнение)</t>
        </is>
      </c>
      <c r="F1161" s="26" t="inlineStr">
        <is>
          <t>новое</t>
        </is>
      </c>
      <c r="G1161" s="9" t="inlineStr">
        <is>
          <t>If she should need help…</t>
        </is>
      </c>
      <c r="H1161" s="25" t="inlineStr">
        <is>
          <t>10+</t>
        </is>
      </c>
      <c r="I1161" s="9">
        <f>IFERROR(INDEX('Темы × классы'!$R:$R,MATCH(E1161,'Темы × классы'!$E:$E,0)),"")</f>
        <v/>
      </c>
      <c r="J1161" s="9">
        <f>IFERROR(INDEX('Темы × классы'!$S:$S,MATCH(E1161,'Темы × классы'!$E:$E,0))&amp;"","")</f>
        <v/>
      </c>
      <c r="K1161" s="9" t="inlineStr">
        <is>
          <t>не начат</t>
        </is>
      </c>
      <c r="L1161" s="9" t="inlineStr">
        <is>
          <t>Spotlight / 9 класс / Module 7 · Staying safe / Conditional linkers (unless, provided…) / Conditional linkers: will/would/should в if-части (просьба, раздражение, сомнение)</t>
        </is>
      </c>
    </row>
    <row r="1162">
      <c r="A1162" s="25" t="n">
        <v>9</v>
      </c>
      <c r="B1162" s="9" t="inlineStr">
        <is>
          <t>Module 7 · Staying safe</t>
        </is>
      </c>
      <c r="C1162" s="9" t="inlineStr">
        <is>
          <t>7c</t>
        </is>
      </c>
      <c r="D1162" s="9" t="inlineStr">
        <is>
          <t>Inversion</t>
        </is>
      </c>
      <c r="E1162" s="23" t="inlineStr">
        <is>
          <t>Inversion: условные без if — Should/Were/Had + подлежащее</t>
        </is>
      </c>
      <c r="F1162" s="26" t="inlineStr">
        <is>
          <t>новое</t>
        </is>
      </c>
      <c r="G1162" s="9" t="inlineStr">
        <is>
          <t>Should he pass… / Were there… / Had I known…; дано в разделе условных</t>
        </is>
      </c>
      <c r="H1162" s="25" t="inlineStr">
        <is>
          <t>10+</t>
        </is>
      </c>
      <c r="I1162" s="9">
        <f>IFERROR(INDEX('Темы × классы'!$R:$R,MATCH(E1162,'Темы × классы'!$E:$E,0)),"")</f>
        <v/>
      </c>
      <c r="J1162" s="9">
        <f>IFERROR(INDEX('Темы × классы'!$S:$S,MATCH(E1162,'Темы × классы'!$E:$E,0))&amp;"","")</f>
        <v/>
      </c>
      <c r="K1162" s="9" t="inlineStr">
        <is>
          <t>не начат</t>
        </is>
      </c>
      <c r="L1162" s="9" t="inlineStr">
        <is>
          <t>Spotlight / 9 класс / Module 7 · Staying safe / Inversion / Inversion: условные без if — Should/Were/Had + подлежащее</t>
        </is>
      </c>
    </row>
    <row r="1163">
      <c r="A1163" s="25" t="n">
        <v>9</v>
      </c>
      <c r="B1163" s="9" t="inlineStr">
        <is>
          <t>Module 7 · Staying safe</t>
        </is>
      </c>
      <c r="C1163" s="9" t="inlineStr">
        <is>
          <t>7f</t>
        </is>
      </c>
      <c r="D1163" s="9" t="inlineStr">
        <is>
          <t>Phrasal verbs</t>
        </is>
      </c>
      <c r="E1163" s="23" t="inlineStr">
        <is>
          <t>Phrasal verbs: keep</t>
        </is>
      </c>
      <c r="F1163" s="26" t="inlineStr">
        <is>
          <t>новое</t>
        </is>
      </c>
      <c r="G1163" s="9" t="inlineStr">
        <is>
          <t>keep: keep back (держаться в стороне), keep off (не приближаться), keep on (продолжать что-либо делать), keep out of (препятствовать; так в приложении), keep up with (следовать расписанию).</t>
        </is>
      </c>
      <c r="H1163" s="25" t="inlineStr">
        <is>
          <t>10+</t>
        </is>
      </c>
      <c r="I1163" s="9">
        <f>IFERROR(INDEX('Темы × классы'!$R:$R,MATCH(E1163,'Темы × классы'!$E:$E,0)),"")</f>
        <v/>
      </c>
      <c r="J1163" s="9">
        <f>IFERROR(INDEX('Темы × классы'!$S:$S,MATCH(E1163,'Темы × классы'!$E:$E,0))&amp;"","")</f>
        <v/>
      </c>
      <c r="K1163" s="9" t="inlineStr">
        <is>
          <t>не начат</t>
        </is>
      </c>
      <c r="L1163" s="9" t="inlineStr">
        <is>
          <t>Spotlight / 9 класс / Module 7 · Staying safe / Phrasal verbs / Phrasal verbs: keep</t>
        </is>
      </c>
    </row>
    <row r="1164">
      <c r="A1164" s="25" t="n">
        <v>9</v>
      </c>
      <c r="B1164" s="9" t="inlineStr">
        <is>
          <t>Module 7 · Staying safe</t>
        </is>
      </c>
      <c r="C1164" s="9" t="inlineStr">
        <is>
          <t>7f</t>
        </is>
      </c>
      <c r="D1164" s="9" t="inlineStr">
        <is>
          <t>Word formation</t>
        </is>
      </c>
      <c r="E1164" s="23" t="inlineStr">
        <is>
          <t>Word formation: verbs from nouns/adjectives</t>
        </is>
      </c>
      <c r="F1164" s="26" t="inlineStr">
        <is>
          <t>новое</t>
        </is>
      </c>
      <c r="G1164" s="9" t="inlineStr">
        <is>
          <t>Word formation: образование глаголов от существительных и прилагательных (forming verbs from nouns/adjectives).</t>
        </is>
      </c>
      <c r="H1164" s="25" t="inlineStr">
        <is>
          <t>10+</t>
        </is>
      </c>
      <c r="I1164" s="9">
        <f>IFERROR(INDEX('Темы × классы'!$R:$R,MATCH(E1164,'Темы × классы'!$E:$E,0)),"")</f>
        <v/>
      </c>
      <c r="J1164" s="9">
        <f>IFERROR(INDEX('Темы × классы'!$S:$S,MATCH(E1164,'Темы × классы'!$E:$E,0))&amp;"","")</f>
        <v/>
      </c>
      <c r="K1164" s="9" t="inlineStr">
        <is>
          <t>не начат</t>
        </is>
      </c>
      <c r="L1164" s="9" t="inlineStr">
        <is>
          <t>Spotlight / 9 класс / Module 7 · Staying safe / Word formation / Word formation: verbs from nouns/adjectives</t>
        </is>
      </c>
    </row>
    <row r="1165">
      <c r="A1165" s="25" t="n">
        <v>9</v>
      </c>
      <c r="B1165" s="9" t="inlineStr">
        <is>
          <t>Module 7 · Staying safe</t>
        </is>
      </c>
      <c r="C1165" s="9" t="inlineStr">
        <is>
          <t>7f</t>
        </is>
      </c>
      <c r="D1165" s="9" t="inlineStr">
        <is>
          <t>Dependent prepositions</t>
        </is>
      </c>
      <c r="E1165" s="23" t="inlineStr">
        <is>
          <t>Dependent prepositions</t>
        </is>
      </c>
      <c r="F1165" s="25" t="inlineStr">
        <is>
          <t>повторение</t>
        </is>
      </c>
      <c r="G1165" s="9" t="inlineStr">
        <is>
          <t>Dependent prepositions (заголовок раздела English in Use).</t>
        </is>
      </c>
      <c r="H1165" s="25" t="inlineStr">
        <is>
          <t>10+</t>
        </is>
      </c>
      <c r="I1165" s="9">
        <f>IFERROR(INDEX('Темы × классы'!$R:$R,MATCH(E1165,'Темы × классы'!$E:$E,0)),"")</f>
        <v/>
      </c>
      <c r="J1165" s="9">
        <f>IFERROR(INDEX('Темы × классы'!$S:$S,MATCH(E1165,'Темы × классы'!$E:$E,0))&amp;"","")</f>
        <v/>
      </c>
      <c r="K1165" s="9" t="inlineStr">
        <is>
          <t>не начат</t>
        </is>
      </c>
      <c r="L1165" s="9" t="inlineStr">
        <is>
          <t>Spotlight / 9 класс / Module 7 · Staying safe / Dependent prepositions / Dependent prepositions</t>
        </is>
      </c>
    </row>
    <row r="1166">
      <c r="A1166" s="25" t="n">
        <v>9</v>
      </c>
      <c r="B1166" s="9" t="inlineStr">
        <is>
          <t>Module 8 · Challenges</t>
        </is>
      </c>
      <c r="C1166" s="9" t="inlineStr">
        <is>
          <t>8c</t>
        </is>
      </c>
      <c r="D1166" s="9" t="inlineStr">
        <is>
          <t>Reported Speech: modal verbs</t>
        </is>
      </c>
      <c r="E1166" s="23" t="inlineStr">
        <is>
          <t>Reported Speech: modal verbs: will/shall → would</t>
        </is>
      </c>
      <c r="F1166" s="25" t="inlineStr">
        <is>
          <t>повторение</t>
        </is>
      </c>
      <c r="G1166" s="9" t="inlineStr"/>
      <c r="H1166" s="25" t="inlineStr">
        <is>
          <t>10+</t>
        </is>
      </c>
      <c r="I1166" s="9">
        <f>IFERROR(INDEX('Темы × классы'!$R:$R,MATCH(E1166,'Темы × классы'!$E:$E,0)),"")</f>
        <v/>
      </c>
      <c r="J1166" s="9">
        <f>IFERROR(INDEX('Темы × классы'!$S:$S,MATCH(E1166,'Темы × классы'!$E:$E,0))&amp;"","")</f>
        <v/>
      </c>
      <c r="K1166" s="9" t="inlineStr">
        <is>
          <t>не начат</t>
        </is>
      </c>
      <c r="L1166" s="9" t="inlineStr">
        <is>
          <t>Spotlight / 9 класс / Module 8 · Challenges / Reported Speech: modal verbs / Reported Speech: modal verbs: will/shall → would</t>
        </is>
      </c>
    </row>
    <row r="1167">
      <c r="A1167" s="25" t="n">
        <v>9</v>
      </c>
      <c r="B1167" s="9" t="inlineStr">
        <is>
          <t>Module 8 · Challenges</t>
        </is>
      </c>
      <c r="C1167" s="9" t="inlineStr">
        <is>
          <t>8c</t>
        </is>
      </c>
      <c r="D1167" s="9" t="inlineStr">
        <is>
          <t>Reported Speech: modal verbs</t>
        </is>
      </c>
      <c r="E1167" s="23" t="inlineStr">
        <is>
          <t>Reported Speech: modal verbs: can → could / would be able to</t>
        </is>
      </c>
      <c r="F1167" s="25" t="inlineStr">
        <is>
          <t>повторение</t>
        </is>
      </c>
      <c r="G1167" s="9" t="inlineStr"/>
      <c r="H1167" s="25" t="inlineStr">
        <is>
          <t>10+</t>
        </is>
      </c>
      <c r="I1167" s="9">
        <f>IFERROR(INDEX('Темы × классы'!$R:$R,MATCH(E1167,'Темы × классы'!$E:$E,0)),"")</f>
        <v/>
      </c>
      <c r="J1167" s="9">
        <f>IFERROR(INDEX('Темы × классы'!$S:$S,MATCH(E1167,'Темы × классы'!$E:$E,0))&amp;"","")</f>
        <v/>
      </c>
      <c r="K1167" s="9" t="inlineStr">
        <is>
          <t>не начат</t>
        </is>
      </c>
      <c r="L1167" s="9" t="inlineStr">
        <is>
          <t>Spotlight / 9 класс / Module 8 · Challenges / Reported Speech: modal verbs / Reported Speech: modal verbs: can → could / would be able to</t>
        </is>
      </c>
    </row>
    <row r="1168">
      <c r="A1168" s="25" t="n">
        <v>9</v>
      </c>
      <c r="B1168" s="9" t="inlineStr">
        <is>
          <t>Module 8 · Challenges</t>
        </is>
      </c>
      <c r="C1168" s="9" t="inlineStr">
        <is>
          <t>8c</t>
        </is>
      </c>
      <c r="D1168" s="9" t="inlineStr">
        <is>
          <t>Reported Speech: modal verbs</t>
        </is>
      </c>
      <c r="E1168" s="23" t="inlineStr">
        <is>
          <t>Reported Speech: modal verbs: may → might/could</t>
        </is>
      </c>
      <c r="F1168" s="25" t="inlineStr">
        <is>
          <t>повторение</t>
        </is>
      </c>
      <c r="G1168" s="9" t="inlineStr">
        <is>
          <t>may → might</t>
        </is>
      </c>
      <c r="H1168" s="25" t="inlineStr">
        <is>
          <t>10+</t>
        </is>
      </c>
      <c r="I1168" s="9">
        <f>IFERROR(INDEX('Темы × классы'!$R:$R,MATCH(E1168,'Темы × классы'!$E:$E,0)),"")</f>
        <v/>
      </c>
      <c r="J1168" s="9">
        <f>IFERROR(INDEX('Темы × классы'!$S:$S,MATCH(E1168,'Темы × классы'!$E:$E,0))&amp;"","")</f>
        <v/>
      </c>
      <c r="K1168" s="9" t="inlineStr">
        <is>
          <t>не начат</t>
        </is>
      </c>
      <c r="L1168" s="9" t="inlineStr">
        <is>
          <t>Spotlight / 9 класс / Module 8 · Challenges / Reported Speech: modal verbs / Reported Speech: modal verbs: may → might/could</t>
        </is>
      </c>
    </row>
    <row r="1169">
      <c r="A1169" s="25" t="n">
        <v>9</v>
      </c>
      <c r="B1169" s="9" t="inlineStr">
        <is>
          <t>Module 8 · Challenges</t>
        </is>
      </c>
      <c r="C1169" s="9" t="inlineStr">
        <is>
          <t>8c</t>
        </is>
      </c>
      <c r="D1169" s="9" t="inlineStr">
        <is>
          <t>Reported Speech: modal verbs</t>
        </is>
      </c>
      <c r="E1169" s="23" t="inlineStr">
        <is>
          <t>Reported Speech: modal verbs: shall → should / would / offered</t>
        </is>
      </c>
      <c r="F1169" s="25" t="inlineStr">
        <is>
          <t>повторение</t>
        </is>
      </c>
      <c r="G1169" s="9" t="inlineStr"/>
      <c r="H1169" s="25" t="inlineStr">
        <is>
          <t>10+</t>
        </is>
      </c>
      <c r="I1169" s="9">
        <f>IFERROR(INDEX('Темы × классы'!$R:$R,MATCH(E1169,'Темы × классы'!$E:$E,0)),"")</f>
        <v/>
      </c>
      <c r="J1169" s="9">
        <f>IFERROR(INDEX('Темы × классы'!$S:$S,MATCH(E1169,'Темы × классы'!$E:$E,0))&amp;"","")</f>
        <v/>
      </c>
      <c r="K1169" s="9" t="inlineStr">
        <is>
          <t>не начат</t>
        </is>
      </c>
      <c r="L1169" s="9" t="inlineStr">
        <is>
          <t>Spotlight / 9 класс / Module 8 · Challenges / Reported Speech: modal verbs / Reported Speech: modal verbs: shall → should / would / offered</t>
        </is>
      </c>
    </row>
    <row r="1170">
      <c r="A1170" s="25" t="n">
        <v>9</v>
      </c>
      <c r="B1170" s="9" t="inlineStr">
        <is>
          <t>Module 8 · Challenges</t>
        </is>
      </c>
      <c r="C1170" s="9" t="inlineStr">
        <is>
          <t>8c</t>
        </is>
      </c>
      <c r="D1170" s="9" t="inlineStr">
        <is>
          <t>Reported Speech: modal verbs</t>
        </is>
      </c>
      <c r="E1170" s="23" t="inlineStr">
        <is>
          <t>Reported Speech: modal verbs: must → had to (обязанность) / must (вывод)</t>
        </is>
      </c>
      <c r="F1170" s="25" t="inlineStr">
        <is>
          <t>повторение</t>
        </is>
      </c>
      <c r="G1170" s="9" t="inlineStr"/>
      <c r="H1170" s="25" t="inlineStr">
        <is>
          <t>10+</t>
        </is>
      </c>
      <c r="I1170" s="9">
        <f>IFERROR(INDEX('Темы × классы'!$R:$R,MATCH(E1170,'Темы × классы'!$E:$E,0)),"")</f>
        <v/>
      </c>
      <c r="J1170" s="9">
        <f>IFERROR(INDEX('Темы × классы'!$S:$S,MATCH(E1170,'Темы × классы'!$E:$E,0))&amp;"","")</f>
        <v/>
      </c>
      <c r="K1170" s="9" t="inlineStr">
        <is>
          <t>не начат</t>
        </is>
      </c>
      <c r="L1170" s="9" t="inlineStr">
        <is>
          <t>Spotlight / 9 класс / Module 8 · Challenges / Reported Speech: modal verbs / Reported Speech: modal verbs: must → had to (обязанность) / must (вывод)</t>
        </is>
      </c>
    </row>
    <row r="1171">
      <c r="A1171" s="25" t="n">
        <v>9</v>
      </c>
      <c r="B1171" s="9" t="inlineStr">
        <is>
          <t>Module 8 · Challenges</t>
        </is>
      </c>
      <c r="C1171" s="9" t="inlineStr">
        <is>
          <t>8c</t>
        </is>
      </c>
      <c r="D1171" s="9" t="inlineStr">
        <is>
          <t>Reported Speech: modal verbs</t>
        </is>
      </c>
      <c r="E1171" s="23" t="inlineStr">
        <is>
          <t>Reported Speech: modal verbs: needn't → didn't need to / didn't have to / wouldn't have to</t>
        </is>
      </c>
      <c r="F1171" s="25" t="inlineStr">
        <is>
          <t>повторение</t>
        </is>
      </c>
      <c r="G1171" s="9" t="inlineStr"/>
      <c r="H1171" s="25" t="inlineStr">
        <is>
          <t>10+</t>
        </is>
      </c>
      <c r="I1171" s="9">
        <f>IFERROR(INDEX('Темы × классы'!$R:$R,MATCH(E1171,'Темы × классы'!$E:$E,0)),"")</f>
        <v/>
      </c>
      <c r="J1171" s="9">
        <f>IFERROR(INDEX('Темы × классы'!$S:$S,MATCH(E1171,'Темы × классы'!$E:$E,0))&amp;"","")</f>
        <v/>
      </c>
      <c r="K1171" s="9" t="inlineStr">
        <is>
          <t>не начат</t>
        </is>
      </c>
      <c r="L1171" s="9" t="inlineStr">
        <is>
          <t>Spotlight / 9 класс / Module 8 · Challenges / Reported Speech: modal verbs / Reported Speech: modal verbs: needn't → didn't need to / didn't have to / wouldn't have to</t>
        </is>
      </c>
    </row>
    <row r="1172">
      <c r="A1172" s="25" t="n">
        <v>9</v>
      </c>
      <c r="B1172" s="9" t="inlineStr">
        <is>
          <t>Module 8 · Challenges</t>
        </is>
      </c>
      <c r="C1172" s="9" t="inlineStr">
        <is>
          <t>8c</t>
        </is>
      </c>
      <c r="D1172" s="9" t="inlineStr">
        <is>
          <t>Reported Speech: modal verbs</t>
        </is>
      </c>
      <c r="E1172" s="23" t="inlineStr">
        <is>
          <t>Reported Speech: modal verbs: не меняются (would, could, used to, mustn't, should, might, ought to, had better)</t>
        </is>
      </c>
      <c r="F1172" s="25" t="inlineStr">
        <is>
          <t>повторение</t>
        </is>
      </c>
      <c r="G1172" s="9" t="inlineStr"/>
      <c r="H1172" s="25" t="inlineStr">
        <is>
          <t>10+</t>
        </is>
      </c>
      <c r="I1172" s="9">
        <f>IFERROR(INDEX('Темы × классы'!$R:$R,MATCH(E1172,'Темы × классы'!$E:$E,0)),"")</f>
        <v/>
      </c>
      <c r="J1172" s="9">
        <f>IFERROR(INDEX('Темы × классы'!$S:$S,MATCH(E1172,'Темы × классы'!$E:$E,0))&amp;"","")</f>
        <v/>
      </c>
      <c r="K1172" s="9" t="inlineStr">
        <is>
          <t>не начат</t>
        </is>
      </c>
      <c r="L1172" s="9" t="inlineStr">
        <is>
          <t>Spotlight / 9 класс / Module 8 · Challenges / Reported Speech: modal verbs / Reported Speech: modal verbs: не меняются (would, could, used to, mustn't, should, might, ought to, had better)</t>
        </is>
      </c>
    </row>
    <row r="1173">
      <c r="A1173" s="25" t="n">
        <v>9</v>
      </c>
      <c r="B1173" s="9" t="inlineStr">
        <is>
          <t>Module 8 · Challenges</t>
        </is>
      </c>
      <c r="C1173" s="9" t="inlineStr">
        <is>
          <t>8c</t>
        </is>
      </c>
      <c r="D1173" s="9" t="inlineStr">
        <is>
          <t>Reported Speech</t>
        </is>
      </c>
      <c r="E1173" s="23" t="inlineStr">
        <is>
          <t>Reported Speech: say vs tell (say to sb, tell sb)</t>
        </is>
      </c>
      <c r="F1173" s="25" t="inlineStr">
        <is>
          <t>повторение</t>
        </is>
      </c>
      <c r="G1173" s="9" t="inlineStr"/>
      <c r="H1173" s="25" t="inlineStr">
        <is>
          <t>10+</t>
        </is>
      </c>
      <c r="I1173" s="9">
        <f>IFERROR(INDEX('Темы × классы'!$R:$R,MATCH(E1173,'Темы × классы'!$E:$E,0)),"")</f>
        <v/>
      </c>
      <c r="J1173" s="9">
        <f>IFERROR(INDEX('Темы × классы'!$S:$S,MATCH(E1173,'Темы × классы'!$E:$E,0))&amp;"","")</f>
        <v/>
      </c>
      <c r="K1173" s="9" t="inlineStr">
        <is>
          <t>не начат</t>
        </is>
      </c>
      <c r="L1173" s="9" t="inlineStr">
        <is>
          <t>Spotlight / 9 класс / Module 8 · Challenges / Reported Speech / Reported Speech: say vs tell (say to sb, tell sb)</t>
        </is>
      </c>
    </row>
    <row r="1174">
      <c r="A1174" s="25" t="n">
        <v>9</v>
      </c>
      <c r="B1174" s="9" t="inlineStr">
        <is>
          <t>Module 8 · Challenges</t>
        </is>
      </c>
      <c r="C1174" s="9" t="inlineStr">
        <is>
          <t>8c</t>
        </is>
      </c>
      <c r="D1174" s="9" t="inlineStr">
        <is>
          <t>Reported Speech</t>
        </is>
      </c>
      <c r="E1174" s="23" t="inlineStr">
        <is>
          <t>Reported Speech: say + to-inf; speak/talk about (не say about)</t>
        </is>
      </c>
      <c r="F1174" s="26" t="inlineStr">
        <is>
          <t>новое</t>
        </is>
      </c>
      <c r="G1174" s="9" t="inlineStr"/>
      <c r="H1174" s="25" t="inlineStr">
        <is>
          <t>10+</t>
        </is>
      </c>
      <c r="I1174" s="9">
        <f>IFERROR(INDEX('Темы × классы'!$R:$R,MATCH(E1174,'Темы × классы'!$E:$E,0)),"")</f>
        <v/>
      </c>
      <c r="J1174" s="9">
        <f>IFERROR(INDEX('Темы × классы'!$S:$S,MATCH(E1174,'Темы × классы'!$E:$E,0))&amp;"","")</f>
        <v/>
      </c>
      <c r="K1174" s="9" t="inlineStr">
        <is>
          <t>не начат</t>
        </is>
      </c>
      <c r="L1174" s="9" t="inlineStr">
        <is>
          <t>Spotlight / 9 класс / Module 8 · Challenges / Reported Speech / Reported Speech: say + to-inf; speak/talk about (не say about)</t>
        </is>
      </c>
    </row>
    <row r="1175">
      <c r="A1175" s="25" t="n">
        <v>9</v>
      </c>
      <c r="B1175" s="9" t="inlineStr">
        <is>
          <t>Module 8 · Challenges</t>
        </is>
      </c>
      <c r="C1175" s="9" t="inlineStr">
        <is>
          <t>8c</t>
        </is>
      </c>
      <c r="D1175" s="9" t="inlineStr">
        <is>
          <t>Reported Speech</t>
        </is>
      </c>
      <c r="E1175" s="23" t="inlineStr">
        <is>
          <t>Reported Speech: устойчивые сочетания с say/tell/ask</t>
        </is>
      </c>
      <c r="F1175" s="25" t="inlineStr">
        <is>
          <t>повторение</t>
        </is>
      </c>
      <c r="G1175" s="9" t="inlineStr"/>
      <c r="H1175" s="25" t="inlineStr">
        <is>
          <t>10+</t>
        </is>
      </c>
      <c r="I1175" s="9">
        <f>IFERROR(INDEX('Темы × классы'!$R:$R,MATCH(E1175,'Темы × классы'!$E:$E,0)),"")</f>
        <v/>
      </c>
      <c r="J1175" s="9">
        <f>IFERROR(INDEX('Темы × классы'!$S:$S,MATCH(E1175,'Темы × классы'!$E:$E,0))&amp;"","")</f>
        <v/>
      </c>
      <c r="K1175" s="9" t="inlineStr">
        <is>
          <t>не начат</t>
        </is>
      </c>
      <c r="L1175" s="9" t="inlineStr">
        <is>
          <t>Spotlight / 9 класс / Module 8 · Challenges / Reported Speech / Reported Speech: устойчивые сочетания с say/tell/ask</t>
        </is>
      </c>
    </row>
    <row r="1176">
      <c r="A1176" s="25" t="n">
        <v>9</v>
      </c>
      <c r="B1176" s="9" t="inlineStr">
        <is>
          <t>Module 8 · Challenges</t>
        </is>
      </c>
      <c r="C1176" s="9" t="inlineStr">
        <is>
          <t>8c</t>
        </is>
      </c>
      <c r="D1176" s="9" t="inlineStr">
        <is>
          <t>Reported Speech</t>
        </is>
      </c>
      <c r="E1176" s="23" t="inlineStr">
        <is>
          <t>Reported Speech: смена местоимений</t>
        </is>
      </c>
      <c r="F1176" s="25" t="inlineStr">
        <is>
          <t>повторение</t>
        </is>
      </c>
      <c r="G1176" s="9" t="inlineStr"/>
      <c r="H1176" s="25" t="inlineStr">
        <is>
          <t>10+</t>
        </is>
      </c>
      <c r="I1176" s="9">
        <f>IFERROR(INDEX('Темы × классы'!$R:$R,MATCH(E1176,'Темы × классы'!$E:$E,0)),"")</f>
        <v/>
      </c>
      <c r="J1176" s="9">
        <f>IFERROR(INDEX('Темы × классы'!$S:$S,MATCH(E1176,'Темы × классы'!$E:$E,0))&amp;"","")</f>
        <v/>
      </c>
      <c r="K1176" s="9" t="inlineStr">
        <is>
          <t>не начат</t>
        </is>
      </c>
      <c r="L1176" s="9" t="inlineStr">
        <is>
          <t>Spotlight / 9 класс / Module 8 · Challenges / Reported Speech / Reported Speech: смена местоимений</t>
        </is>
      </c>
    </row>
    <row r="1177">
      <c r="A1177" s="25" t="n">
        <v>9</v>
      </c>
      <c r="B1177" s="9" t="inlineStr">
        <is>
          <t>Module 8 · Challenges</t>
        </is>
      </c>
      <c r="C1177" s="9" t="inlineStr">
        <is>
          <t>8c</t>
        </is>
      </c>
      <c r="D1177" s="9" t="inlineStr">
        <is>
          <t>Reported Speech</t>
        </is>
      </c>
      <c r="E1177" s="23" t="inlineStr">
        <is>
          <t>Reported Speech: без сдвига времён — вводящий глагол в настоящем (up-to-date reporting)</t>
        </is>
      </c>
      <c r="F1177" s="27" t="inlineStr">
        <is>
          <t>расширение</t>
        </is>
      </c>
      <c r="G1177" s="9" t="inlineStr">
        <is>
          <t>+ вводящий глагол в Future/Present Perfect</t>
        </is>
      </c>
      <c r="H1177" s="25" t="inlineStr">
        <is>
          <t>10+</t>
        </is>
      </c>
      <c r="I1177" s="9">
        <f>IFERROR(INDEX('Темы × классы'!$R:$R,MATCH(E1177,'Темы × классы'!$E:$E,0)),"")</f>
        <v/>
      </c>
      <c r="J1177" s="9">
        <f>IFERROR(INDEX('Темы × классы'!$S:$S,MATCH(E1177,'Темы × классы'!$E:$E,0))&amp;"","")</f>
        <v/>
      </c>
      <c r="K1177" s="9" t="inlineStr">
        <is>
          <t>не начат</t>
        </is>
      </c>
      <c r="L1177" s="9" t="inlineStr">
        <is>
          <t>Spotlight / 9 класс / Module 8 · Challenges / Reported Speech / Reported Speech: без сдвига времён — вводящий глагол в настоящем (up-to-date reporting)</t>
        </is>
      </c>
    </row>
    <row r="1178">
      <c r="A1178" s="25" t="n">
        <v>9</v>
      </c>
      <c r="B1178" s="9" t="inlineStr">
        <is>
          <t>Module 8 · Challenges</t>
        </is>
      </c>
      <c r="C1178" s="9" t="inlineStr">
        <is>
          <t>8c</t>
        </is>
      </c>
      <c r="D1178" s="9" t="inlineStr">
        <is>
          <t>Reported Speech</t>
        </is>
      </c>
      <c r="E1178" s="23" t="inlineStr">
        <is>
          <t>Reported Speech: без сдвига времён — общие истины, условные 2/3 типа, wish, сразу после сказанного</t>
        </is>
      </c>
      <c r="F1178" s="26" t="inlineStr">
        <is>
          <t>новое</t>
        </is>
      </c>
      <c r="G1178" s="9" t="inlineStr"/>
      <c r="H1178" s="25" t="inlineStr">
        <is>
          <t>10+</t>
        </is>
      </c>
      <c r="I1178" s="9">
        <f>IFERROR(INDEX('Темы × классы'!$R:$R,MATCH(E1178,'Темы × классы'!$E:$E,0)),"")</f>
        <v/>
      </c>
      <c r="J1178" s="9">
        <f>IFERROR(INDEX('Темы × классы'!$S:$S,MATCH(E1178,'Темы × классы'!$E:$E,0))&amp;"","")</f>
        <v/>
      </c>
      <c r="K1178" s="9" t="inlineStr">
        <is>
          <t>не начат</t>
        </is>
      </c>
      <c r="L1178" s="9" t="inlineStr">
        <is>
          <t>Spotlight / 9 класс / Module 8 · Challenges / Reported Speech / Reported Speech: без сдвига времён — общие истины, условные 2/3 типа, wish, сразу после сказанного</t>
        </is>
      </c>
    </row>
    <row r="1179">
      <c r="A1179" s="25" t="n">
        <v>9</v>
      </c>
      <c r="B1179" s="9" t="inlineStr">
        <is>
          <t>Module 8 · Challenges</t>
        </is>
      </c>
      <c r="C1179" s="9" t="inlineStr">
        <is>
          <t>8c</t>
        </is>
      </c>
      <c r="D1179" s="9" t="inlineStr">
        <is>
          <t>Reported Speech</t>
        </is>
      </c>
      <c r="E1179" s="23" t="inlineStr">
        <is>
          <t>Reported Speech: сдвиг времён (Present → Past, Past → Past Perfect, will → would)</t>
        </is>
      </c>
      <c r="F1179" s="27" t="inlineStr">
        <is>
          <t>расширение</t>
        </is>
      </c>
      <c r="G1179" s="9" t="inlineStr">
        <is>
          <t>Past Simple → Past Simple/Past Perfect</t>
        </is>
      </c>
      <c r="H1179" s="25" t="inlineStr">
        <is>
          <t>10+</t>
        </is>
      </c>
      <c r="I1179" s="9">
        <f>IFERROR(INDEX('Темы × классы'!$R:$R,MATCH(E1179,'Темы × классы'!$E:$E,0)),"")</f>
        <v/>
      </c>
      <c r="J1179" s="9">
        <f>IFERROR(INDEX('Темы × классы'!$S:$S,MATCH(E1179,'Темы × классы'!$E:$E,0))&amp;"","")</f>
        <v/>
      </c>
      <c r="K1179" s="9" t="inlineStr">
        <is>
          <t>не начат</t>
        </is>
      </c>
      <c r="L1179" s="9" t="inlineStr">
        <is>
          <t>Spotlight / 9 класс / Module 8 · Challenges / Reported Speech / Reported Speech: сдвиг времён (Present → Past, Past → Past Perfect, will → would)</t>
        </is>
      </c>
    </row>
    <row r="1180">
      <c r="A1180" s="25" t="n">
        <v>9</v>
      </c>
      <c r="B1180" s="9" t="inlineStr">
        <is>
          <t>Module 8 · Challenges</t>
        </is>
      </c>
      <c r="C1180" s="9" t="inlineStr">
        <is>
          <t>8c</t>
        </is>
      </c>
      <c r="D1180" s="9" t="inlineStr">
        <is>
          <t>Reported Speech</t>
        </is>
      </c>
      <c r="E1180" s="23" t="inlineStr">
        <is>
          <t>Reported Speech: слова времени и места (now → then, yesterday → the day before…)</t>
        </is>
      </c>
      <c r="F1180" s="25" t="inlineStr">
        <is>
          <t>повторение</t>
        </is>
      </c>
      <c r="G1180" s="9" t="inlineStr">
        <is>
          <t>today → в OCR таблица сбита</t>
        </is>
      </c>
      <c r="H1180" s="25" t="inlineStr">
        <is>
          <t>10+</t>
        </is>
      </c>
      <c r="I1180" s="9">
        <f>IFERROR(INDEX('Темы × классы'!$R:$R,MATCH(E1180,'Темы × классы'!$E:$E,0)),"")</f>
        <v/>
      </c>
      <c r="J1180" s="9">
        <f>IFERROR(INDEX('Темы × классы'!$S:$S,MATCH(E1180,'Темы × классы'!$E:$E,0))&amp;"","")</f>
        <v/>
      </c>
      <c r="K1180" s="9" t="inlineStr">
        <is>
          <t>не начат</t>
        </is>
      </c>
      <c r="L1180" s="9" t="inlineStr">
        <is>
          <t>Spotlight / 9 класс / Module 8 · Challenges / Reported Speech / Reported Speech: слова времени и места (now → then, yesterday → the day before…)</t>
        </is>
      </c>
    </row>
    <row r="1181">
      <c r="A1181" s="25" t="n">
        <v>9</v>
      </c>
      <c r="B1181" s="9" t="inlineStr">
        <is>
          <t>Module 8 · Challenges</t>
        </is>
      </c>
      <c r="C1181" s="9" t="inlineStr">
        <is>
          <t>8c</t>
        </is>
      </c>
      <c r="D1181" s="9" t="inlineStr">
        <is>
          <t>Reported commands/requests</t>
        </is>
      </c>
      <c r="E1181" s="23" t="inlineStr">
        <is>
          <t>Reported commands: приказы — order/tell + sb + (not) to-inf</t>
        </is>
      </c>
      <c r="F1181" s="25" t="inlineStr">
        <is>
          <t>повторение</t>
        </is>
      </c>
      <c r="G1181" s="9" t="inlineStr"/>
      <c r="H1181" s="25" t="inlineStr">
        <is>
          <t>10+</t>
        </is>
      </c>
      <c r="I1181" s="9">
        <f>IFERROR(INDEX('Темы × классы'!$R:$R,MATCH(E1181,'Темы × классы'!$E:$E,0)),"")</f>
        <v/>
      </c>
      <c r="J1181" s="9">
        <f>IFERROR(INDEX('Темы × классы'!$S:$S,MATCH(E1181,'Темы × классы'!$E:$E,0))&amp;"","")</f>
        <v/>
      </c>
      <c r="K1181" s="9" t="inlineStr">
        <is>
          <t>не начат</t>
        </is>
      </c>
      <c r="L1181" s="9" t="inlineStr">
        <is>
          <t>Spotlight / 9 класс / Module 8 · Challenges / Reported commands/requests / Reported commands: приказы — order/tell + sb + (not) to-inf</t>
        </is>
      </c>
    </row>
    <row r="1182">
      <c r="A1182" s="25" t="n">
        <v>9</v>
      </c>
      <c r="B1182" s="9" t="inlineStr">
        <is>
          <t>Module 8 · Challenges</t>
        </is>
      </c>
      <c r="C1182" s="9" t="inlineStr">
        <is>
          <t>8c</t>
        </is>
      </c>
      <c r="D1182" s="9" t="inlineStr">
        <is>
          <t>Reported commands/requests</t>
        </is>
      </c>
      <c r="E1182" s="23" t="inlineStr">
        <is>
          <t>Reported requests: ask/beg + sb + (not) to-inf</t>
        </is>
      </c>
      <c r="F1182" s="25" t="inlineStr">
        <is>
          <t>повторение</t>
        </is>
      </c>
      <c r="G1182" s="9" t="inlineStr"/>
      <c r="H1182" s="25" t="inlineStr">
        <is>
          <t>10+</t>
        </is>
      </c>
      <c r="I1182" s="9">
        <f>IFERROR(INDEX('Темы × классы'!$R:$R,MATCH(E1182,'Темы × классы'!$E:$E,0)),"")</f>
        <v/>
      </c>
      <c r="J1182" s="9">
        <f>IFERROR(INDEX('Темы × классы'!$S:$S,MATCH(E1182,'Темы × классы'!$E:$E,0))&amp;"","")</f>
        <v/>
      </c>
      <c r="K1182" s="9" t="inlineStr">
        <is>
          <t>не начат</t>
        </is>
      </c>
      <c r="L1182" s="9" t="inlineStr">
        <is>
          <t>Spotlight / 9 класс / Module 8 · Challenges / Reported commands/requests / Reported requests: ask/beg + sb + (not) to-inf</t>
        </is>
      </c>
    </row>
    <row r="1183">
      <c r="A1183" s="25" t="n">
        <v>9</v>
      </c>
      <c r="B1183" s="9" t="inlineStr">
        <is>
          <t>Module 8 · Challenges</t>
        </is>
      </c>
      <c r="C1183" s="9" t="inlineStr">
        <is>
          <t>8c</t>
        </is>
      </c>
      <c r="D1183" s="9" t="inlineStr">
        <is>
          <t>Reported commands/requests</t>
        </is>
      </c>
      <c r="E1183" s="23" t="inlineStr">
        <is>
          <t>Reported suggestions: suggest + -ing / that sb (should) …</t>
        </is>
      </c>
      <c r="F1183" s="25" t="inlineStr">
        <is>
          <t>повторение</t>
        </is>
      </c>
      <c r="G1183" s="9" t="inlineStr"/>
      <c r="H1183" s="25" t="inlineStr">
        <is>
          <t>10+</t>
        </is>
      </c>
      <c r="I1183" s="9">
        <f>IFERROR(INDEX('Темы × классы'!$R:$R,MATCH(E1183,'Темы × классы'!$E:$E,0)),"")</f>
        <v/>
      </c>
      <c r="J1183" s="9">
        <f>IFERROR(INDEX('Темы × классы'!$S:$S,MATCH(E1183,'Темы × классы'!$E:$E,0))&amp;"","")</f>
        <v/>
      </c>
      <c r="K1183" s="9" t="inlineStr">
        <is>
          <t>не начат</t>
        </is>
      </c>
      <c r="L1183" s="9" t="inlineStr">
        <is>
          <t>Spotlight / 9 класс / Module 8 · Challenges / Reported commands/requests / Reported suggestions: suggest + -ing / that sb (should) …</t>
        </is>
      </c>
    </row>
    <row r="1184">
      <c r="A1184" s="25" t="n">
        <v>9</v>
      </c>
      <c r="B1184" s="9" t="inlineStr">
        <is>
          <t>Module 8 · Challenges</t>
        </is>
      </c>
      <c r="C1184" s="9" t="inlineStr">
        <is>
          <t>8c</t>
        </is>
      </c>
      <c r="D1184" s="9" t="inlineStr">
        <is>
          <t>Reported commands/requests</t>
        </is>
      </c>
      <c r="E1184" s="23" t="inlineStr">
        <is>
          <t>Reported advice: advise + sb + (not) to-inf</t>
        </is>
      </c>
      <c r="F1184" s="25" t="inlineStr">
        <is>
          <t>повторение</t>
        </is>
      </c>
      <c r="G1184" s="9" t="inlineStr">
        <is>
          <t>advise в группе приказов</t>
        </is>
      </c>
      <c r="H1184" s="25" t="inlineStr">
        <is>
          <t>10+</t>
        </is>
      </c>
      <c r="I1184" s="9">
        <f>IFERROR(INDEX('Темы × классы'!$R:$R,MATCH(E1184,'Темы × классы'!$E:$E,0)),"")</f>
        <v/>
      </c>
      <c r="J1184" s="9">
        <f>IFERROR(INDEX('Темы × классы'!$S:$S,MATCH(E1184,'Темы × классы'!$E:$E,0))&amp;"","")</f>
        <v/>
      </c>
      <c r="K1184" s="9" t="inlineStr">
        <is>
          <t>не начат</t>
        </is>
      </c>
      <c r="L1184" s="9" t="inlineStr">
        <is>
          <t>Spotlight / 9 класс / Module 8 · Challenges / Reported commands/requests / Reported advice: advise + sb + (not) to-inf</t>
        </is>
      </c>
    </row>
    <row r="1185">
      <c r="A1185" s="25" t="n">
        <v>9</v>
      </c>
      <c r="B1185" s="9" t="inlineStr">
        <is>
          <t>Module 8 · Challenges</t>
        </is>
      </c>
      <c r="C1185" s="9" t="inlineStr">
        <is>
          <t>8c</t>
        </is>
      </c>
      <c r="D1185" s="9" t="inlineStr">
        <is>
          <t>Reporting verbs</t>
        </is>
      </c>
      <c r="E1185" s="23" t="inlineStr">
        <is>
          <t>Reporting verbs: + to-inf (agree, claim, offer, promise, refuse, threaten…)</t>
        </is>
      </c>
      <c r="F1185" s="26" t="inlineStr">
        <is>
          <t>новое</t>
        </is>
      </c>
      <c r="G1185" s="9" t="inlineStr">
        <is>
          <t>agree, claim, demand, offer, promise, refuse, threaten</t>
        </is>
      </c>
      <c r="H1185" s="25" t="inlineStr">
        <is>
          <t>10+</t>
        </is>
      </c>
      <c r="I1185" s="9">
        <f>IFERROR(INDEX('Темы × классы'!$R:$R,MATCH(E1185,'Темы × классы'!$E:$E,0)),"")</f>
        <v/>
      </c>
      <c r="J1185" s="9">
        <f>IFERROR(INDEX('Темы × классы'!$S:$S,MATCH(E1185,'Темы × классы'!$E:$E,0))&amp;"","")</f>
        <v/>
      </c>
      <c r="K1185" s="9" t="inlineStr">
        <is>
          <t>не начат</t>
        </is>
      </c>
      <c r="L1185" s="9" t="inlineStr">
        <is>
          <t>Spotlight / 9 класс / Module 8 · Challenges / Reporting verbs / Reporting verbs: + to-inf (agree, claim, offer, promise, refuse, threaten…)</t>
        </is>
      </c>
    </row>
    <row r="1186">
      <c r="A1186" s="25" t="n">
        <v>9</v>
      </c>
      <c r="B1186" s="9" t="inlineStr">
        <is>
          <t>Module 8 · Challenges</t>
        </is>
      </c>
      <c r="C1186" s="9" t="inlineStr">
        <is>
          <t>8c</t>
        </is>
      </c>
      <c r="D1186" s="9" t="inlineStr">
        <is>
          <t>Reporting verbs</t>
        </is>
      </c>
      <c r="E1186" s="23" t="inlineStr">
        <is>
          <t>Reporting verbs: + sb + to-inf (advise, allow, encourage, order, remind, warn…)</t>
        </is>
      </c>
      <c r="F1186" s="26" t="inlineStr">
        <is>
          <t>новое</t>
        </is>
      </c>
      <c r="G1186" s="9" t="inlineStr">
        <is>
          <t>advise, allow, ask, beg, command, encourage, forbid, instruct, invite, order, permit, remind, urge, warn, want</t>
        </is>
      </c>
      <c r="H1186" s="25" t="inlineStr">
        <is>
          <t>10+</t>
        </is>
      </c>
      <c r="I1186" s="9">
        <f>IFERROR(INDEX('Темы × классы'!$R:$R,MATCH(E1186,'Темы × классы'!$E:$E,0)),"")</f>
        <v/>
      </c>
      <c r="J1186" s="9">
        <f>IFERROR(INDEX('Темы × классы'!$S:$S,MATCH(E1186,'Темы × классы'!$E:$E,0))&amp;"","")</f>
        <v/>
      </c>
      <c r="K1186" s="9" t="inlineStr">
        <is>
          <t>не начат</t>
        </is>
      </c>
      <c r="L1186" s="9" t="inlineStr">
        <is>
          <t>Spotlight / 9 класс / Module 8 · Challenges / Reporting verbs / Reporting verbs: + sb + to-inf (advise, allow, encourage, order, remind, warn…)</t>
        </is>
      </c>
    </row>
    <row r="1187">
      <c r="A1187" s="25" t="n">
        <v>9</v>
      </c>
      <c r="B1187" s="9" t="inlineStr">
        <is>
          <t>Module 8 · Challenges</t>
        </is>
      </c>
      <c r="C1187" s="9" t="inlineStr">
        <is>
          <t>8c</t>
        </is>
      </c>
      <c r="D1187" s="9" t="inlineStr">
        <is>
          <t>Reporting verbs</t>
        </is>
      </c>
      <c r="E1187" s="23" t="inlineStr">
        <is>
          <t>Reporting verbs: + (предлог +) -ing (accuse sb of, apologise for, deny, insist on, suggest…)</t>
        </is>
      </c>
      <c r="F1187" s="26" t="inlineStr">
        <is>
          <t>новое</t>
        </is>
      </c>
      <c r="G1187" s="9" t="inlineStr">
        <is>
          <t>accuse of, apologise for, admit (to), boast about/of, complain of/about, deny, insist on, suggest</t>
        </is>
      </c>
      <c r="H1187" s="25" t="inlineStr">
        <is>
          <t>10+</t>
        </is>
      </c>
      <c r="I1187" s="9">
        <f>IFERROR(INDEX('Темы × классы'!$R:$R,MATCH(E1187,'Темы × классы'!$E:$E,0)),"")</f>
        <v/>
      </c>
      <c r="J1187" s="9">
        <f>IFERROR(INDEX('Темы × классы'!$S:$S,MATCH(E1187,'Темы × классы'!$E:$E,0))&amp;"","")</f>
        <v/>
      </c>
      <c r="K1187" s="9" t="inlineStr">
        <is>
          <t>не начат</t>
        </is>
      </c>
      <c r="L1187" s="9" t="inlineStr">
        <is>
          <t>Spotlight / 9 класс / Module 8 · Challenges / Reporting verbs / Reporting verbs: + (предлог +) -ing (accuse sb of, apologise for, deny, insist on, suggest…)</t>
        </is>
      </c>
    </row>
    <row r="1188">
      <c r="A1188" s="25" t="n">
        <v>9</v>
      </c>
      <c r="B1188" s="9" t="inlineStr">
        <is>
          <t>Module 8 · Challenges</t>
        </is>
      </c>
      <c r="C1188" s="9" t="inlineStr">
        <is>
          <t>8c</t>
        </is>
      </c>
      <c r="D1188" s="9" t="inlineStr">
        <is>
          <t>Reporting verbs</t>
        </is>
      </c>
      <c r="E1188" s="23" t="inlineStr">
        <is>
          <t>Reporting verbs: + that-clause (agree, claim, explain, inform sb, promise…)</t>
        </is>
      </c>
      <c r="F1188" s="26" t="inlineStr">
        <is>
          <t>новое</t>
        </is>
      </c>
      <c r="G1188" s="9" t="inlineStr"/>
      <c r="H1188" s="25" t="inlineStr">
        <is>
          <t>10+</t>
        </is>
      </c>
      <c r="I1188" s="9">
        <f>IFERROR(INDEX('Темы × классы'!$R:$R,MATCH(E1188,'Темы × классы'!$E:$E,0)),"")</f>
        <v/>
      </c>
      <c r="J1188" s="9">
        <f>IFERROR(INDEX('Темы × классы'!$S:$S,MATCH(E1188,'Темы × классы'!$E:$E,0))&amp;"","")</f>
        <v/>
      </c>
      <c r="K1188" s="9" t="inlineStr">
        <is>
          <t>не начат</t>
        </is>
      </c>
      <c r="L1188" s="9" t="inlineStr">
        <is>
          <t>Spotlight / 9 класс / Module 8 · Challenges / Reporting verbs / Reporting verbs: + that-clause (agree, claim, explain, inform sb, promise…)</t>
        </is>
      </c>
    </row>
    <row r="1189">
      <c r="A1189" s="25" t="n">
        <v>9</v>
      </c>
      <c r="B1189" s="9" t="inlineStr">
        <is>
          <t>Module 8 · Challenges</t>
        </is>
      </c>
      <c r="C1189" s="9" t="inlineStr">
        <is>
          <t>8c</t>
        </is>
      </c>
      <c r="D1189" s="9" t="inlineStr">
        <is>
          <t>Reporting verbs</t>
        </is>
      </c>
      <c r="E1189" s="23" t="inlineStr">
        <is>
          <t>Reporting verbs: explain/wonder + вопросительное слово (+ to-inf / clause)</t>
        </is>
      </c>
      <c r="F1189" s="26" t="inlineStr">
        <is>
          <t>новое</t>
        </is>
      </c>
      <c r="G1189" s="9" t="inlineStr"/>
      <c r="H1189" s="25" t="inlineStr">
        <is>
          <t>10+</t>
        </is>
      </c>
      <c r="I1189" s="9">
        <f>IFERROR(INDEX('Темы × классы'!$R:$R,MATCH(E1189,'Темы × классы'!$E:$E,0)),"")</f>
        <v/>
      </c>
      <c r="J1189" s="9">
        <f>IFERROR(INDEX('Темы × классы'!$S:$S,MATCH(E1189,'Темы × классы'!$E:$E,0))&amp;"","")</f>
        <v/>
      </c>
      <c r="K1189" s="9" t="inlineStr">
        <is>
          <t>не начат</t>
        </is>
      </c>
      <c r="L1189" s="9" t="inlineStr">
        <is>
          <t>Spotlight / 9 класс / Module 8 · Challenges / Reporting verbs / Reporting verbs: explain/wonder + вопросительное слово (+ to-inf / clause)</t>
        </is>
      </c>
    </row>
    <row r="1190">
      <c r="A1190" s="25" t="n">
        <v>9</v>
      </c>
      <c r="B1190" s="9" t="inlineStr">
        <is>
          <t>Module 8 · Challenges</t>
        </is>
      </c>
      <c r="C1190" s="9" t="inlineStr">
        <is>
          <t>8d</t>
        </is>
      </c>
      <c r="D1190" s="9" t="inlineStr">
        <is>
          <t>a few/a little</t>
        </is>
      </c>
      <c r="E1190" s="23" t="inlineStr">
        <is>
          <t>a few/a little: a few — с исчисляемыми мн. ч. («несколько»)</t>
        </is>
      </c>
      <c r="F1190" s="25" t="inlineStr">
        <is>
          <t>повторение</t>
        </is>
      </c>
      <c r="G1190" s="9" t="inlineStr"/>
      <c r="H1190" s="25" t="inlineStr">
        <is>
          <t>10+</t>
        </is>
      </c>
      <c r="I1190" s="9">
        <f>IFERROR(INDEX('Темы × классы'!$R:$R,MATCH(E1190,'Темы × классы'!$E:$E,0)),"")</f>
        <v/>
      </c>
      <c r="J1190" s="9">
        <f>IFERROR(INDEX('Темы × классы'!$S:$S,MATCH(E1190,'Темы × классы'!$E:$E,0))&amp;"","")</f>
        <v/>
      </c>
      <c r="K1190" s="9" t="inlineStr">
        <is>
          <t>не начат</t>
        </is>
      </c>
      <c r="L1190" s="9" t="inlineStr">
        <is>
          <t>Spotlight / 9 класс / Module 8 · Challenges / a few/a little / a few/a little: a few — с исчисляемыми мн. ч. («несколько»)</t>
        </is>
      </c>
    </row>
    <row r="1191">
      <c r="A1191" s="25" t="n">
        <v>9</v>
      </c>
      <c r="B1191" s="9" t="inlineStr">
        <is>
          <t>Module 8 · Challenges</t>
        </is>
      </c>
      <c r="C1191" s="9" t="inlineStr">
        <is>
          <t>8d</t>
        </is>
      </c>
      <c r="D1191" s="9" t="inlineStr">
        <is>
          <t>a few/a little</t>
        </is>
      </c>
      <c r="E1191" s="23" t="inlineStr">
        <is>
          <t>a few/a little: a little — с неисчисляемыми («немного»)</t>
        </is>
      </c>
      <c r="F1191" s="25" t="inlineStr">
        <is>
          <t>повторение</t>
        </is>
      </c>
      <c r="G1191" s="9" t="inlineStr"/>
      <c r="H1191" s="25" t="inlineStr">
        <is>
          <t>10+</t>
        </is>
      </c>
      <c r="I1191" s="9">
        <f>IFERROR(INDEX('Темы × классы'!$R:$R,MATCH(E1191,'Темы × классы'!$E:$E,0)),"")</f>
        <v/>
      </c>
      <c r="J1191" s="9">
        <f>IFERROR(INDEX('Темы × классы'!$S:$S,MATCH(E1191,'Темы × классы'!$E:$E,0))&amp;"","")</f>
        <v/>
      </c>
      <c r="K1191" s="9" t="inlineStr">
        <is>
          <t>не начат</t>
        </is>
      </c>
      <c r="L1191" s="9" t="inlineStr">
        <is>
          <t>Spotlight / 9 класс / Module 8 · Challenges / a few/a little / a few/a little: a little — с неисчисляемыми («немного»)</t>
        </is>
      </c>
    </row>
    <row r="1192">
      <c r="A1192" s="25" t="n">
        <v>9</v>
      </c>
      <c r="B1192" s="9" t="inlineStr">
        <is>
          <t>Module 8 · Challenges</t>
        </is>
      </c>
      <c r="C1192" s="9" t="inlineStr">
        <is>
          <t>8d</t>
        </is>
      </c>
      <c r="D1192" s="9" t="inlineStr">
        <is>
          <t>a few/a little</t>
        </is>
      </c>
      <c r="E1192" s="23" t="inlineStr">
        <is>
          <t>a few/a little: few / little — «мало»</t>
        </is>
      </c>
      <c r="F1192" s="25" t="inlineStr">
        <is>
          <t>повторение</t>
        </is>
      </c>
      <c r="G1192" s="9" t="inlineStr"/>
      <c r="H1192" s="25" t="inlineStr">
        <is>
          <t>10+</t>
        </is>
      </c>
      <c r="I1192" s="9">
        <f>IFERROR(INDEX('Темы × классы'!$R:$R,MATCH(E1192,'Темы × классы'!$E:$E,0)),"")</f>
        <v/>
      </c>
      <c r="J1192" s="9">
        <f>IFERROR(INDEX('Темы × классы'!$S:$S,MATCH(E1192,'Темы × классы'!$E:$E,0))&amp;"","")</f>
        <v/>
      </c>
      <c r="K1192" s="9" t="inlineStr">
        <is>
          <t>не начат</t>
        </is>
      </c>
      <c r="L1192" s="9" t="inlineStr">
        <is>
          <t>Spotlight / 9 класс / Module 8 · Challenges / a few/a little / a few/a little: few / little — «мало»</t>
        </is>
      </c>
    </row>
    <row r="1193">
      <c r="A1193" s="25" t="n">
        <v>9</v>
      </c>
      <c r="B1193" s="9" t="inlineStr">
        <is>
          <t>Module 8 · Challenges</t>
        </is>
      </c>
      <c r="C1193" s="9" t="inlineStr">
        <is>
          <t>8d</t>
        </is>
      </c>
      <c r="D1193" s="9" t="inlineStr">
        <is>
          <t>a few/a little</t>
        </is>
      </c>
      <c r="E1193" s="23" t="inlineStr">
        <is>
          <t>a few/a little: a few vs few, a little vs little — «немного, но достаточно» vs «почти нет»</t>
        </is>
      </c>
      <c r="F1193" s="27" t="inlineStr">
        <is>
          <t>расширение</t>
        </is>
      </c>
      <c r="G1193" s="9" t="inlineStr">
        <is>
          <t>формулировка «немного, но достаточно / почти нет»</t>
        </is>
      </c>
      <c r="H1193" s="25" t="inlineStr">
        <is>
          <t>10+</t>
        </is>
      </c>
      <c r="I1193" s="9">
        <f>IFERROR(INDEX('Темы × классы'!$R:$R,MATCH(E1193,'Темы × классы'!$E:$E,0)),"")</f>
        <v/>
      </c>
      <c r="J1193" s="9">
        <f>IFERROR(INDEX('Темы × классы'!$S:$S,MATCH(E1193,'Темы × классы'!$E:$E,0))&amp;"","")</f>
        <v/>
      </c>
      <c r="K1193" s="9" t="inlineStr">
        <is>
          <t>не начат</t>
        </is>
      </c>
      <c r="L1193" s="9" t="inlineStr">
        <is>
          <t>Spotlight / 9 класс / Module 8 · Challenges / a few/a little / a few/a little: a few vs few, a little vs little — «немного, но достаточно» vs «почти нет»</t>
        </is>
      </c>
    </row>
    <row r="1194">
      <c r="A1194" s="25" t="n">
        <v>9</v>
      </c>
      <c r="B1194" s="9" t="inlineStr">
        <is>
          <t>Module 8 · Challenges</t>
        </is>
      </c>
      <c r="C1194" s="9" t="inlineStr">
        <is>
          <t>8d</t>
        </is>
      </c>
      <c r="D1194" s="9" t="inlineStr">
        <is>
          <t>a few/a little</t>
        </is>
      </c>
      <c r="E1194" s="23" t="inlineStr">
        <is>
          <t>a few/a little: very few / very little</t>
        </is>
      </c>
      <c r="F1194" s="26" t="inlineStr">
        <is>
          <t>новое</t>
        </is>
      </c>
      <c r="G1194" s="9" t="inlineStr"/>
      <c r="H1194" s="25" t="inlineStr">
        <is>
          <t>10+</t>
        </is>
      </c>
      <c r="I1194" s="9">
        <f>IFERROR(INDEX('Темы × классы'!$R:$R,MATCH(E1194,'Темы × классы'!$E:$E,0)),"")</f>
        <v/>
      </c>
      <c r="J1194" s="9">
        <f>IFERROR(INDEX('Темы × классы'!$S:$S,MATCH(E1194,'Темы × классы'!$E:$E,0))&amp;"","")</f>
        <v/>
      </c>
      <c r="K1194" s="9" t="inlineStr">
        <is>
          <t>не начат</t>
        </is>
      </c>
      <c r="L1194" s="9" t="inlineStr">
        <is>
          <t>Spotlight / 9 класс / Module 8 · Challenges / a few/a little / a few/a little: very few / very little</t>
        </is>
      </c>
    </row>
    <row r="1195">
      <c r="A1195" s="25" t="n">
        <v>9</v>
      </c>
      <c r="B1195" s="9" t="inlineStr">
        <is>
          <t>Module 8 · Challenges</t>
        </is>
      </c>
      <c r="C1195" s="9" t="inlineStr">
        <is>
          <t>8d</t>
        </is>
      </c>
      <c r="D1195" s="9" t="inlineStr">
        <is>
          <t>Determiners (every/each)</t>
        </is>
      </c>
      <c r="E1195" s="23" t="inlineStr">
        <is>
          <t>Determiners (every/each): every + ед. ч. — вся группа (= all)</t>
        </is>
      </c>
      <c r="F1195" s="26" t="inlineStr">
        <is>
          <t>новое</t>
        </is>
      </c>
      <c r="G1195" s="9" t="inlineStr">
        <is>
          <t>Every student has a library card</t>
        </is>
      </c>
      <c r="H1195" s="25" t="inlineStr">
        <is>
          <t>10+</t>
        </is>
      </c>
      <c r="I1195" s="9">
        <f>IFERROR(INDEX('Темы × классы'!$R:$R,MATCH(E1195,'Темы × классы'!$E:$E,0)),"")</f>
        <v/>
      </c>
      <c r="J1195" s="9">
        <f>IFERROR(INDEX('Темы × классы'!$S:$S,MATCH(E1195,'Темы × классы'!$E:$E,0))&amp;"","")</f>
        <v/>
      </c>
      <c r="K1195" s="9" t="inlineStr">
        <is>
          <t>не начат</t>
        </is>
      </c>
      <c r="L1195" s="9" t="inlineStr">
        <is>
          <t>Spotlight / 9 класс / Module 8 · Challenges / Determiners (every/each) / Determiners (every/each): every + ед. ч. — вся группа (= all)</t>
        </is>
      </c>
    </row>
    <row r="1196">
      <c r="A1196" s="25" t="n">
        <v>9</v>
      </c>
      <c r="B1196" s="9" t="inlineStr">
        <is>
          <t>Module 8 · Challenges</t>
        </is>
      </c>
      <c r="C1196" s="9" t="inlineStr">
        <is>
          <t>8d</t>
        </is>
      </c>
      <c r="D1196" s="9" t="inlineStr">
        <is>
          <t>Determiners (every/each)</t>
        </is>
      </c>
      <c r="E1196" s="23" t="inlineStr">
        <is>
          <t>Determiners (every/each): each + ед. ч. — каждый в отдельности</t>
        </is>
      </c>
      <c r="F1196" s="26" t="inlineStr">
        <is>
          <t>новое</t>
        </is>
      </c>
      <c r="G1196" s="9" t="inlineStr"/>
      <c r="H1196" s="25" t="inlineStr">
        <is>
          <t>10+</t>
        </is>
      </c>
      <c r="I1196" s="9">
        <f>IFERROR(INDEX('Темы × классы'!$R:$R,MATCH(E1196,'Темы × классы'!$E:$E,0)),"")</f>
        <v/>
      </c>
      <c r="J1196" s="9">
        <f>IFERROR(INDEX('Темы × классы'!$S:$S,MATCH(E1196,'Темы × классы'!$E:$E,0))&amp;"","")</f>
        <v/>
      </c>
      <c r="K1196" s="9" t="inlineStr">
        <is>
          <t>не начат</t>
        </is>
      </c>
      <c r="L1196" s="9" t="inlineStr">
        <is>
          <t>Spotlight / 9 класс / Module 8 · Challenges / Determiners (every/each) / Determiners (every/each): each + ед. ч. — каждый в отдельности</t>
        </is>
      </c>
    </row>
    <row r="1197">
      <c r="A1197" s="25" t="n">
        <v>9</v>
      </c>
      <c r="B1197" s="9" t="inlineStr">
        <is>
          <t>Module 8 · Challenges</t>
        </is>
      </c>
      <c r="C1197" s="9" t="inlineStr">
        <is>
          <t>8d</t>
        </is>
      </c>
      <c r="D1197" s="9" t="inlineStr">
        <is>
          <t>Determiners (every/each)</t>
        </is>
      </c>
      <c r="E1197" s="23" t="inlineStr">
        <is>
          <t>Determiners (every/each): every vs each — о двух vs о трёх и более</t>
        </is>
      </c>
      <c r="F1197" s="26" t="inlineStr">
        <is>
          <t>новое</t>
        </is>
      </c>
      <c r="G1197" s="9" t="inlineStr"/>
      <c r="H1197" s="25" t="inlineStr">
        <is>
          <t>10+</t>
        </is>
      </c>
      <c r="I1197" s="9">
        <f>IFERROR(INDEX('Темы × классы'!$R:$R,MATCH(E1197,'Темы × классы'!$E:$E,0)),"")</f>
        <v/>
      </c>
      <c r="J1197" s="9">
        <f>IFERROR(INDEX('Темы × классы'!$S:$S,MATCH(E1197,'Темы × классы'!$E:$E,0))&amp;"","")</f>
        <v/>
      </c>
      <c r="K1197" s="9" t="inlineStr">
        <is>
          <t>не начат</t>
        </is>
      </c>
      <c r="L1197" s="9" t="inlineStr">
        <is>
          <t>Spotlight / 9 класс / Module 8 · Challenges / Determiners (every/each) / Determiners (every/each): every vs each — о двух vs о трёх и более</t>
        </is>
      </c>
    </row>
    <row r="1198">
      <c r="A1198" s="25" t="n">
        <v>9</v>
      </c>
      <c r="B1198" s="9" t="inlineStr">
        <is>
          <t>Module 8 · Challenges</t>
        </is>
      </c>
      <c r="C1198" s="9" t="inlineStr">
        <is>
          <t>8d</t>
        </is>
      </c>
      <c r="D1198" s="9" t="inlineStr">
        <is>
          <t>Determiners (every/each)</t>
        </is>
      </c>
      <c r="E1198" s="23" t="inlineStr">
        <is>
          <t>Determiners (every/each): each (one) of / every one of</t>
        </is>
      </c>
      <c r="F1198" s="26" t="inlineStr">
        <is>
          <t>новое</t>
        </is>
      </c>
      <c r="G1198" s="9" t="inlineStr"/>
      <c r="H1198" s="25" t="inlineStr">
        <is>
          <t>10+</t>
        </is>
      </c>
      <c r="I1198" s="9">
        <f>IFERROR(INDEX('Темы × классы'!$R:$R,MATCH(E1198,'Темы × классы'!$E:$E,0)),"")</f>
        <v/>
      </c>
      <c r="J1198" s="9">
        <f>IFERROR(INDEX('Темы × классы'!$S:$S,MATCH(E1198,'Темы × классы'!$E:$E,0))&amp;"","")</f>
        <v/>
      </c>
      <c r="K1198" s="9" t="inlineStr">
        <is>
          <t>не начат</t>
        </is>
      </c>
      <c r="L1198" s="9" t="inlineStr">
        <is>
          <t>Spotlight / 9 класс / Module 8 · Challenges / Determiners (every/each) / Determiners (every/each): each (one) of / every one of</t>
        </is>
      </c>
    </row>
    <row r="1199">
      <c r="A1199" s="25" t="n">
        <v>9</v>
      </c>
      <c r="B1199" s="9" t="inlineStr">
        <is>
          <t>Module 8 · Challenges</t>
        </is>
      </c>
      <c r="C1199" s="9" t="inlineStr">
        <is>
          <t>8d</t>
        </is>
      </c>
      <c r="D1199" s="9" t="inlineStr">
        <is>
          <t>Indefinite pronouns (some-/any-/no-/every-)</t>
        </is>
      </c>
      <c r="E1199" s="23" t="inlineStr">
        <is>
          <t>Indefinite pronouns: some/any/no + неисчисляемые и мн. ч.</t>
        </is>
      </c>
      <c r="F1199" s="26" t="inlineStr">
        <is>
          <t>новое</t>
        </is>
      </c>
      <c r="G1199" s="9" t="inlineStr"/>
      <c r="H1199" s="25" t="inlineStr">
        <is>
          <t>10+</t>
        </is>
      </c>
      <c r="I1199" s="9">
        <f>IFERROR(INDEX('Темы × классы'!$R:$R,MATCH(E1199,'Темы × классы'!$E:$E,0)),"")</f>
        <v/>
      </c>
      <c r="J1199" s="9">
        <f>IFERROR(INDEX('Темы × классы'!$S:$S,MATCH(E1199,'Темы × классы'!$E:$E,0))&amp;"","")</f>
        <v/>
      </c>
      <c r="K1199" s="9" t="inlineStr">
        <is>
          <t>не начат</t>
        </is>
      </c>
      <c r="L1199" s="9" t="inlineStr">
        <is>
          <t>Spotlight / 9 класс / Module 8 · Challenges / Indefinite pronouns (some-/any-/no-/every-) / Indefinite pronouns: some/any/no + неисчисляемые и мн. ч.</t>
        </is>
      </c>
    </row>
    <row r="1200">
      <c r="A1200" s="25" t="n">
        <v>9</v>
      </c>
      <c r="B1200" s="9" t="inlineStr">
        <is>
          <t>Module 8 · Challenges</t>
        </is>
      </c>
      <c r="C1200" s="9" t="inlineStr">
        <is>
          <t>8d</t>
        </is>
      </c>
      <c r="D1200" s="9" t="inlineStr">
        <is>
          <t>Indefinite pronouns (some-/any-/no-/every-)</t>
        </is>
      </c>
      <c r="E1200" s="23" t="inlineStr">
        <is>
          <t>Indefinite pronouns: производные — люди, вещи, места (somebody, anything, nowhere)</t>
        </is>
      </c>
      <c r="F1200" s="26" t="inlineStr">
        <is>
          <t>новое</t>
        </is>
      </c>
      <c r="G1200" s="9" t="inlineStr">
        <is>
          <t>-body/-one, -thing, -where</t>
        </is>
      </c>
      <c r="H1200" s="25" t="inlineStr">
        <is>
          <t>10+</t>
        </is>
      </c>
      <c r="I1200" s="9">
        <f>IFERROR(INDEX('Темы × классы'!$R:$R,MATCH(E1200,'Темы × классы'!$E:$E,0)),"")</f>
        <v/>
      </c>
      <c r="J1200" s="9">
        <f>IFERROR(INDEX('Темы × классы'!$S:$S,MATCH(E1200,'Темы × классы'!$E:$E,0))&amp;"","")</f>
        <v/>
      </c>
      <c r="K1200" s="9" t="inlineStr">
        <is>
          <t>не начат</t>
        </is>
      </c>
      <c r="L1200" s="9" t="inlineStr">
        <is>
          <t>Spotlight / 9 класс / Module 8 · Challenges / Indefinite pronouns (some-/any-/no-/every-) / Indefinite pronouns: производные — люди, вещи, места (somebody, anything, nowhere)</t>
        </is>
      </c>
    </row>
    <row r="1201">
      <c r="A1201" s="25" t="n">
        <v>9</v>
      </c>
      <c r="B1201" s="9" t="inlineStr">
        <is>
          <t>Module 8 · Challenges</t>
        </is>
      </c>
      <c r="C1201" s="9" t="inlineStr">
        <is>
          <t>8d</t>
        </is>
      </c>
      <c r="D1201" s="9" t="inlineStr">
        <is>
          <t>Indefinite pronouns (some-/any-/no-/every-)</t>
        </is>
      </c>
      <c r="E1201" s="23" t="inlineStr">
        <is>
          <t>Indefinite pronouns: some- — в утверждениях</t>
        </is>
      </c>
      <c r="F1201" s="26" t="inlineStr">
        <is>
          <t>новое</t>
        </is>
      </c>
      <c r="G1201" s="9" t="inlineStr"/>
      <c r="H1201" s="25" t="inlineStr">
        <is>
          <t>10+</t>
        </is>
      </c>
      <c r="I1201" s="9">
        <f>IFERROR(INDEX('Темы × классы'!$R:$R,MATCH(E1201,'Темы × классы'!$E:$E,0)),"")</f>
        <v/>
      </c>
      <c r="J1201" s="9">
        <f>IFERROR(INDEX('Темы × классы'!$S:$S,MATCH(E1201,'Темы × классы'!$E:$E,0))&amp;"","")</f>
        <v/>
      </c>
      <c r="K1201" s="9" t="inlineStr">
        <is>
          <t>не начат</t>
        </is>
      </c>
      <c r="L1201" s="9" t="inlineStr">
        <is>
          <t>Spotlight / 9 класс / Module 8 · Challenges / Indefinite pronouns (some-/any-/no-/every-) / Indefinite pronouns: some- — в утверждениях</t>
        </is>
      </c>
    </row>
    <row r="1202">
      <c r="A1202" s="25" t="n">
        <v>9</v>
      </c>
      <c r="B1202" s="9" t="inlineStr">
        <is>
          <t>Module 8 · Challenges</t>
        </is>
      </c>
      <c r="C1202" s="9" t="inlineStr">
        <is>
          <t>8d</t>
        </is>
      </c>
      <c r="D1202" s="9" t="inlineStr">
        <is>
          <t>Indefinite pronouns (some-/any-/no-/every-)</t>
        </is>
      </c>
      <c r="E1202" s="23" t="inlineStr">
        <is>
          <t>Indefinite pronouns: some- в вопросах — предложения и просьбы</t>
        </is>
      </c>
      <c r="F1202" s="26" t="inlineStr">
        <is>
          <t>новое</t>
        </is>
      </c>
      <c r="G1202" s="9" t="inlineStr">
        <is>
          <t>Would you like some cake?</t>
        </is>
      </c>
      <c r="H1202" s="25" t="inlineStr">
        <is>
          <t>10+</t>
        </is>
      </c>
      <c r="I1202" s="9">
        <f>IFERROR(INDEX('Темы × классы'!$R:$R,MATCH(E1202,'Темы × классы'!$E:$E,0)),"")</f>
        <v/>
      </c>
      <c r="J1202" s="9">
        <f>IFERROR(INDEX('Темы × классы'!$S:$S,MATCH(E1202,'Темы × классы'!$E:$E,0))&amp;"","")</f>
        <v/>
      </c>
      <c r="K1202" s="9" t="inlineStr">
        <is>
          <t>не начат</t>
        </is>
      </c>
      <c r="L1202" s="9" t="inlineStr">
        <is>
          <t>Spotlight / 9 класс / Module 8 · Challenges / Indefinite pronouns (some-/any-/no-/every-) / Indefinite pronouns: some- в вопросах — предложения и просьбы</t>
        </is>
      </c>
    </row>
    <row r="1203">
      <c r="A1203" s="25" t="n">
        <v>9</v>
      </c>
      <c r="B1203" s="9" t="inlineStr">
        <is>
          <t>Module 8 · Challenges</t>
        </is>
      </c>
      <c r="C1203" s="9" t="inlineStr">
        <is>
          <t>8d</t>
        </is>
      </c>
      <c r="D1203" s="9" t="inlineStr">
        <is>
          <t>Indefinite pronouns (some-/any-/no-/every-)</t>
        </is>
      </c>
      <c r="E1203" s="23" t="inlineStr">
        <is>
          <t>Indefinite pronouns: any- — в вопросах</t>
        </is>
      </c>
      <c r="F1203" s="26" t="inlineStr">
        <is>
          <t>новое</t>
        </is>
      </c>
      <c r="G1203" s="9" t="inlineStr"/>
      <c r="H1203" s="25" t="inlineStr">
        <is>
          <t>10+</t>
        </is>
      </c>
      <c r="I1203" s="9">
        <f>IFERROR(INDEX('Темы × классы'!$R:$R,MATCH(E1203,'Темы × классы'!$E:$E,0)),"")</f>
        <v/>
      </c>
      <c r="J1203" s="9">
        <f>IFERROR(INDEX('Темы × классы'!$S:$S,MATCH(E1203,'Темы × классы'!$E:$E,0))&amp;"","")</f>
        <v/>
      </c>
      <c r="K1203" s="9" t="inlineStr">
        <is>
          <t>не начат</t>
        </is>
      </c>
      <c r="L1203" s="9" t="inlineStr">
        <is>
          <t>Spotlight / 9 класс / Module 8 · Challenges / Indefinite pronouns (some-/any-/no-/every-) / Indefinite pronouns: any- — в вопросах</t>
        </is>
      </c>
    </row>
    <row r="1204">
      <c r="A1204" s="25" t="n">
        <v>9</v>
      </c>
      <c r="B1204" s="9" t="inlineStr">
        <is>
          <t>Module 8 · Challenges</t>
        </is>
      </c>
      <c r="C1204" s="9" t="inlineStr">
        <is>
          <t>8d</t>
        </is>
      </c>
      <c r="D1204" s="9" t="inlineStr">
        <is>
          <t>Indefinite pronouns (some-/any-/no-/every-)</t>
        </is>
      </c>
      <c r="E1204" s="23" t="inlineStr">
        <is>
          <t>Indefinite pronouns: not any- в отрицаниях; any после without, never, rarely</t>
        </is>
      </c>
      <c r="F1204" s="26" t="inlineStr">
        <is>
          <t>новое</t>
        </is>
      </c>
      <c r="G1204" s="9" t="inlineStr"/>
      <c r="H1204" s="25" t="inlineStr">
        <is>
          <t>10+</t>
        </is>
      </c>
      <c r="I1204" s="9">
        <f>IFERROR(INDEX('Темы × классы'!$R:$R,MATCH(E1204,'Темы × классы'!$E:$E,0)),"")</f>
        <v/>
      </c>
      <c r="J1204" s="9">
        <f>IFERROR(INDEX('Темы × классы'!$S:$S,MATCH(E1204,'Темы × классы'!$E:$E,0))&amp;"","")</f>
        <v/>
      </c>
      <c r="K1204" s="9" t="inlineStr">
        <is>
          <t>не начат</t>
        </is>
      </c>
      <c r="L1204" s="9" t="inlineStr">
        <is>
          <t>Spotlight / 9 класс / Module 8 · Challenges / Indefinite pronouns (some-/any-/no-/every-) / Indefinite pronouns: not any- в отрицаниях; any после without, never, rarely</t>
        </is>
      </c>
    </row>
    <row r="1205">
      <c r="A1205" s="25" t="n">
        <v>9</v>
      </c>
      <c r="B1205" s="9" t="inlineStr">
        <is>
          <t>Module 8 · Challenges</t>
        </is>
      </c>
      <c r="C1205" s="9" t="inlineStr">
        <is>
          <t>8d</t>
        </is>
      </c>
      <c r="D1205" s="9" t="inlineStr">
        <is>
          <t>Indefinite pronouns (some-/any-/no-/every-)</t>
        </is>
      </c>
      <c r="E1205" s="23" t="inlineStr">
        <is>
          <t>Indefinite pronouns: any в утверждении = «любой, неважно кто/что»</t>
        </is>
      </c>
      <c r="F1205" s="26" t="inlineStr">
        <is>
          <t>новое</t>
        </is>
      </c>
      <c r="G1205" s="9" t="inlineStr"/>
      <c r="H1205" s="25" t="inlineStr">
        <is>
          <t>10+</t>
        </is>
      </c>
      <c r="I1205" s="9">
        <f>IFERROR(INDEX('Темы × классы'!$R:$R,MATCH(E1205,'Темы × классы'!$E:$E,0)),"")</f>
        <v/>
      </c>
      <c r="J1205" s="9">
        <f>IFERROR(INDEX('Темы × классы'!$S:$S,MATCH(E1205,'Темы × классы'!$E:$E,0))&amp;"","")</f>
        <v/>
      </c>
      <c r="K1205" s="9" t="inlineStr">
        <is>
          <t>не начат</t>
        </is>
      </c>
      <c r="L1205" s="9" t="inlineStr">
        <is>
          <t>Spotlight / 9 класс / Module 8 · Challenges / Indefinite pronouns (some-/any-/no-/every-) / Indefinite pronouns: any в утверждении = «любой, неважно кто/что»</t>
        </is>
      </c>
    </row>
    <row r="1206">
      <c r="A1206" s="25" t="n">
        <v>9</v>
      </c>
      <c r="B1206" s="9" t="inlineStr">
        <is>
          <t>Module 8 · Challenges</t>
        </is>
      </c>
      <c r="C1206" s="9" t="inlineStr">
        <is>
          <t>8d</t>
        </is>
      </c>
      <c r="D1206" s="9" t="inlineStr">
        <is>
          <t>Indefinite pronouns (some-/any-/no-/every-)</t>
        </is>
      </c>
      <c r="E1206" s="23" t="inlineStr">
        <is>
          <t>Indefinite pronouns: no- вместо not any (глагол утвердительный)</t>
        </is>
      </c>
      <c r="F1206" s="26" t="inlineStr">
        <is>
          <t>новое</t>
        </is>
      </c>
      <c r="G1206" s="9" t="inlineStr"/>
      <c r="H1206" s="25" t="inlineStr">
        <is>
          <t>10+</t>
        </is>
      </c>
      <c r="I1206" s="9">
        <f>IFERROR(INDEX('Темы × классы'!$R:$R,MATCH(E1206,'Темы × классы'!$E:$E,0)),"")</f>
        <v/>
      </c>
      <c r="J1206" s="9">
        <f>IFERROR(INDEX('Темы × классы'!$S:$S,MATCH(E1206,'Темы × классы'!$E:$E,0))&amp;"","")</f>
        <v/>
      </c>
      <c r="K1206" s="9" t="inlineStr">
        <is>
          <t>не начат</t>
        </is>
      </c>
      <c r="L1206" s="9" t="inlineStr">
        <is>
          <t>Spotlight / 9 класс / Module 8 · Challenges / Indefinite pronouns (some-/any-/no-/every-) / Indefinite pronouns: no- вместо not any (глагол утвердительный)</t>
        </is>
      </c>
    </row>
    <row r="1207">
      <c r="A1207" s="25" t="n">
        <v>9</v>
      </c>
      <c r="B1207" s="9" t="inlineStr">
        <is>
          <t>Module 8 · Challenges</t>
        </is>
      </c>
      <c r="C1207" s="9" t="inlineStr">
        <is>
          <t>8d</t>
        </is>
      </c>
      <c r="D1207" s="9" t="inlineStr">
        <is>
          <t>Indefinite pronouns (some-/any-/no-/every-)</t>
        </is>
      </c>
      <c r="E1207" s="23" t="inlineStr">
        <is>
          <t>Indefinite pronouns: hardly any</t>
        </is>
      </c>
      <c r="F1207" s="26" t="inlineStr">
        <is>
          <t>новое</t>
        </is>
      </c>
      <c r="G1207" s="9" t="inlineStr"/>
      <c r="H1207" s="25" t="inlineStr">
        <is>
          <t>10+</t>
        </is>
      </c>
      <c r="I1207" s="9">
        <f>IFERROR(INDEX('Темы × классы'!$R:$R,MATCH(E1207,'Темы × классы'!$E:$E,0)),"")</f>
        <v/>
      </c>
      <c r="J1207" s="9">
        <f>IFERROR(INDEX('Темы × классы'!$S:$S,MATCH(E1207,'Темы × классы'!$E:$E,0))&amp;"","")</f>
        <v/>
      </c>
      <c r="K1207" s="9" t="inlineStr">
        <is>
          <t>не начат</t>
        </is>
      </c>
      <c r="L1207" s="9" t="inlineStr">
        <is>
          <t>Spotlight / 9 класс / Module 8 · Challenges / Indefinite pronouns (some-/any-/no-/every-) / Indefinite pronouns: hardly any</t>
        </is>
      </c>
    </row>
    <row r="1208">
      <c r="A1208" s="25" t="n">
        <v>9</v>
      </c>
      <c r="B1208" s="9" t="inlineStr">
        <is>
          <t>Module 8 · Challenges</t>
        </is>
      </c>
      <c r="C1208" s="9" t="inlineStr">
        <is>
          <t>8d</t>
        </is>
      </c>
      <c r="D1208" s="9" t="inlineStr">
        <is>
          <t>Indefinite pronouns (some-/any-/no-/every-)</t>
        </is>
      </c>
      <c r="E1208" s="23" t="inlineStr">
        <is>
          <t>Indefinite pronouns: every + ед. ч.; everybody, everything, everywhere</t>
        </is>
      </c>
      <c r="F1208" s="26" t="inlineStr">
        <is>
          <t>новое</t>
        </is>
      </c>
      <c r="G1208" s="9" t="inlineStr"/>
      <c r="H1208" s="25" t="inlineStr">
        <is>
          <t>10+</t>
        </is>
      </c>
      <c r="I1208" s="9">
        <f>IFERROR(INDEX('Темы × классы'!$R:$R,MATCH(E1208,'Темы × классы'!$E:$E,0)),"")</f>
        <v/>
      </c>
      <c r="J1208" s="9">
        <f>IFERROR(INDEX('Темы × классы'!$S:$S,MATCH(E1208,'Темы × классы'!$E:$E,0))&amp;"","")</f>
        <v/>
      </c>
      <c r="K1208" s="9" t="inlineStr">
        <is>
          <t>не начат</t>
        </is>
      </c>
      <c r="L1208" s="9" t="inlineStr">
        <is>
          <t>Spotlight / 9 класс / Module 8 · Challenges / Indefinite pronouns (some-/any-/no-/every-) / Indefinite pronouns: every + ед. ч.; everybody, everything, everywhere</t>
        </is>
      </c>
    </row>
    <row r="1209">
      <c r="A1209" s="25" t="n">
        <v>9</v>
      </c>
      <c r="B1209" s="9" t="inlineStr">
        <is>
          <t>Module 8 · Challenges</t>
        </is>
      </c>
      <c r="C1209" s="9" t="inlineStr">
        <is>
          <t>8d</t>
        </is>
      </c>
      <c r="D1209" s="9" t="inlineStr">
        <is>
          <t>Indefinite pronouns (some-/any-/no-/every-)</t>
        </is>
      </c>
      <c r="E1209" s="23" t="inlineStr">
        <is>
          <t>Indefinite pronouns: глагол после производных — в ед. ч.</t>
        </is>
      </c>
      <c r="F1209" s="26" t="inlineStr">
        <is>
          <t>новое</t>
        </is>
      </c>
      <c r="G1209" s="9" t="inlineStr"/>
      <c r="H1209" s="25" t="inlineStr">
        <is>
          <t>10+</t>
        </is>
      </c>
      <c r="I1209" s="9">
        <f>IFERROR(INDEX('Темы × классы'!$R:$R,MATCH(E1209,'Темы × классы'!$E:$E,0)),"")</f>
        <v/>
      </c>
      <c r="J1209" s="9">
        <f>IFERROR(INDEX('Темы × классы'!$S:$S,MATCH(E1209,'Темы × классы'!$E:$E,0))&amp;"","")</f>
        <v/>
      </c>
      <c r="K1209" s="9" t="inlineStr">
        <is>
          <t>не начат</t>
        </is>
      </c>
      <c r="L1209" s="9" t="inlineStr">
        <is>
          <t>Spotlight / 9 класс / Module 8 · Challenges / Indefinite pronouns (some-/any-/no-/every-) / Indefinite pronouns: глагол после производных — в ед. ч.</t>
        </is>
      </c>
    </row>
    <row r="1210">
      <c r="A1210" s="25" t="n">
        <v>9</v>
      </c>
      <c r="B1210" s="9" t="inlineStr">
        <is>
          <t>Module 8 · Challenges</t>
        </is>
      </c>
      <c r="C1210" s="9" t="inlineStr">
        <is>
          <t>8d</t>
        </is>
      </c>
      <c r="D1210" s="9" t="inlineStr">
        <is>
          <t>Question tags</t>
        </is>
      </c>
      <c r="E1210" s="23" t="inlineStr">
        <is>
          <t>Question tags: образование — вспомогательный глагол + местоимение (do/does)</t>
        </is>
      </c>
      <c r="F1210" s="27" t="inlineStr">
        <is>
          <t>расширение</t>
        </is>
      </c>
      <c r="G1210" s="9" t="inlineStr">
        <is>
          <t>добавлено did; do/does/did при отсутствии вспомогательного</t>
        </is>
      </c>
      <c r="H1210" s="25" t="inlineStr">
        <is>
          <t>10+</t>
        </is>
      </c>
      <c r="I1210" s="9">
        <f>IFERROR(INDEX('Темы × классы'!$R:$R,MATCH(E1210,'Темы × классы'!$E:$E,0)),"")</f>
        <v/>
      </c>
      <c r="J1210" s="9">
        <f>IFERROR(INDEX('Темы × классы'!$S:$S,MATCH(E1210,'Темы × классы'!$E:$E,0))&amp;"","")</f>
        <v/>
      </c>
      <c r="K1210" s="9" t="inlineStr">
        <is>
          <t>не начат</t>
        </is>
      </c>
      <c r="L1210" s="9" t="inlineStr">
        <is>
          <t>Spotlight / 9 класс / Module 8 · Challenges / Question tags / Question tags: образование — вспомогательный глагол + местоимение (do/does)</t>
        </is>
      </c>
    </row>
    <row r="1211">
      <c r="A1211" s="25" t="n">
        <v>9</v>
      </c>
      <c r="B1211" s="9" t="inlineStr">
        <is>
          <t>Module 8 · Challenges</t>
        </is>
      </c>
      <c r="C1211" s="9" t="inlineStr">
        <is>
          <t>8d</t>
        </is>
      </c>
      <c r="D1211" s="9" t="inlineStr">
        <is>
          <t>Question tags</t>
        </is>
      </c>
      <c r="E1211" s="23" t="inlineStr">
        <is>
          <t>Question tags: с be и модальными глаголами (isn't she, can't she)</t>
        </is>
      </c>
      <c r="F1211" s="25" t="inlineStr">
        <is>
          <t>повторение</t>
        </is>
      </c>
      <c r="G1211" s="9" t="inlineStr"/>
      <c r="H1211" s="25" t="inlineStr">
        <is>
          <t>10+</t>
        </is>
      </c>
      <c r="I1211" s="9">
        <f>IFERROR(INDEX('Темы × классы'!$R:$R,MATCH(E1211,'Темы × классы'!$E:$E,0)),"")</f>
        <v/>
      </c>
      <c r="J1211" s="9">
        <f>IFERROR(INDEX('Темы × классы'!$S:$S,MATCH(E1211,'Темы × классы'!$E:$E,0))&amp;"","")</f>
        <v/>
      </c>
      <c r="K1211" s="9" t="inlineStr">
        <is>
          <t>не начат</t>
        </is>
      </c>
      <c r="L1211" s="9" t="inlineStr">
        <is>
          <t>Spotlight / 9 класс / Module 8 · Challenges / Question tags / Question tags: с be и модальными глаголами (isn't she, can't she)</t>
        </is>
      </c>
    </row>
    <row r="1212">
      <c r="A1212" s="25" t="n">
        <v>9</v>
      </c>
      <c r="B1212" s="9" t="inlineStr">
        <is>
          <t>Module 8 · Challenges</t>
        </is>
      </c>
      <c r="C1212" s="9" t="inlineStr">
        <is>
          <t>8d</t>
        </is>
      </c>
      <c r="D1212" s="9" t="inlineStr">
        <is>
          <t>Question tags</t>
        </is>
      </c>
      <c r="E1212" s="23" t="inlineStr">
        <is>
          <t>Question tags: утверждение → отрицательный хвост, отрицание → утвердительный</t>
        </is>
      </c>
      <c r="F1212" s="25" t="inlineStr">
        <is>
          <t>повторение</t>
        </is>
      </c>
      <c r="G1212" s="9" t="inlineStr"/>
      <c r="H1212" s="25" t="inlineStr">
        <is>
          <t>10+</t>
        </is>
      </c>
      <c r="I1212" s="9">
        <f>IFERROR(INDEX('Темы × классы'!$R:$R,MATCH(E1212,'Темы × классы'!$E:$E,0)),"")</f>
        <v/>
      </c>
      <c r="J1212" s="9">
        <f>IFERROR(INDEX('Темы × классы'!$S:$S,MATCH(E1212,'Темы × классы'!$E:$E,0))&amp;"","")</f>
        <v/>
      </c>
      <c r="K1212" s="9" t="inlineStr">
        <is>
          <t>не начат</t>
        </is>
      </c>
      <c r="L1212" s="9" t="inlineStr">
        <is>
          <t>Spotlight / 9 класс / Module 8 · Challenges / Question tags / Question tags: утверждение → отрицательный хвост, отрицание → утвердительный</t>
        </is>
      </c>
    </row>
    <row r="1213">
      <c r="A1213" s="25" t="n">
        <v>9</v>
      </c>
      <c r="B1213" s="9" t="inlineStr">
        <is>
          <t>Module 8 · Challenges</t>
        </is>
      </c>
      <c r="C1213" s="9" t="inlineStr">
        <is>
          <t>8d</t>
        </is>
      </c>
      <c r="D1213" s="9" t="inlineStr">
        <is>
          <t>Question tags</t>
        </is>
      </c>
      <c r="E1213" s="23" t="inlineStr">
        <is>
          <t>Question tags: I am → aren't I?</t>
        </is>
      </c>
      <c r="F1213" s="26" t="inlineStr">
        <is>
          <t>новое</t>
        </is>
      </c>
      <c r="G1213" s="9" t="inlineStr">
        <is>
          <t>I am late, aren't I?</t>
        </is>
      </c>
      <c r="H1213" s="25" t="inlineStr">
        <is>
          <t>10+</t>
        </is>
      </c>
      <c r="I1213" s="9">
        <f>IFERROR(INDEX('Темы × классы'!$R:$R,MATCH(E1213,'Темы × классы'!$E:$E,0)),"")</f>
        <v/>
      </c>
      <c r="J1213" s="9">
        <f>IFERROR(INDEX('Темы × классы'!$S:$S,MATCH(E1213,'Темы × классы'!$E:$E,0))&amp;"","")</f>
        <v/>
      </c>
      <c r="K1213" s="9" t="inlineStr">
        <is>
          <t>не начат</t>
        </is>
      </c>
      <c r="L1213" s="9" t="inlineStr">
        <is>
          <t>Spotlight / 9 класс / Module 8 · Challenges / Question tags / Question tags: I am → aren't I?</t>
        </is>
      </c>
    </row>
    <row r="1214">
      <c r="A1214" s="25" t="n">
        <v>9</v>
      </c>
      <c r="B1214" s="9" t="inlineStr">
        <is>
          <t>Module 8 · Challenges</t>
        </is>
      </c>
      <c r="C1214" s="9" t="inlineStr">
        <is>
          <t>8d</t>
        </is>
      </c>
      <c r="D1214" s="9" t="inlineStr">
        <is>
          <t>Question tags</t>
        </is>
      </c>
      <c r="E1214" s="23" t="inlineStr">
        <is>
          <t>Question tags: Let's → shall we? / Let me → will you?</t>
        </is>
      </c>
      <c r="F1214" s="26" t="inlineStr">
        <is>
          <t>новое</t>
        </is>
      </c>
      <c r="G1214" s="9" t="inlineStr">
        <is>
          <t>Let's → shall we?; Let me/him → will you/won't you?</t>
        </is>
      </c>
      <c r="H1214" s="25" t="inlineStr">
        <is>
          <t>10+</t>
        </is>
      </c>
      <c r="I1214" s="9">
        <f>IFERROR(INDEX('Темы × классы'!$R:$R,MATCH(E1214,'Темы × классы'!$E:$E,0)),"")</f>
        <v/>
      </c>
      <c r="J1214" s="9">
        <f>IFERROR(INDEX('Темы × классы'!$S:$S,MATCH(E1214,'Темы × классы'!$E:$E,0))&amp;"","")</f>
        <v/>
      </c>
      <c r="K1214" s="9" t="inlineStr">
        <is>
          <t>не начат</t>
        </is>
      </c>
      <c r="L1214" s="9" t="inlineStr">
        <is>
          <t>Spotlight / 9 класс / Module 8 · Challenges / Question tags / Question tags: Let's → shall we? / Let me → will you?</t>
        </is>
      </c>
    </row>
    <row r="1215">
      <c r="A1215" s="25" t="n">
        <v>9</v>
      </c>
      <c r="B1215" s="9" t="inlineStr">
        <is>
          <t>Module 8 · Challenges</t>
        </is>
      </c>
      <c r="C1215" s="9" t="inlineStr">
        <is>
          <t>8d</t>
        </is>
      </c>
      <c r="D1215" s="9" t="inlineStr">
        <is>
          <t>Question tags</t>
        </is>
      </c>
      <c r="E1215" s="23" t="inlineStr">
        <is>
          <t>Question tags: повелительное наклонение → will you?</t>
        </is>
      </c>
      <c r="F1215" s="26" t="inlineStr">
        <is>
          <t>новое</t>
        </is>
      </c>
      <c r="G1215" s="9" t="inlineStr">
        <is>
          <t>отрицательный императив → will you?</t>
        </is>
      </c>
      <c r="H1215" s="25" t="inlineStr">
        <is>
          <t>10+</t>
        </is>
      </c>
      <c r="I1215" s="9">
        <f>IFERROR(INDEX('Темы × классы'!$R:$R,MATCH(E1215,'Темы × классы'!$E:$E,0)),"")</f>
        <v/>
      </c>
      <c r="J1215" s="9">
        <f>IFERROR(INDEX('Темы × классы'!$S:$S,MATCH(E1215,'Темы × классы'!$E:$E,0))&amp;"","")</f>
        <v/>
      </c>
      <c r="K1215" s="9" t="inlineStr">
        <is>
          <t>не начат</t>
        </is>
      </c>
      <c r="L1215" s="9" t="inlineStr">
        <is>
          <t>Spotlight / 9 класс / Module 8 · Challenges / Question tags / Question tags: повелительное наклонение → will you?</t>
        </is>
      </c>
    </row>
    <row r="1216">
      <c r="A1216" s="25" t="n">
        <v>9</v>
      </c>
      <c r="B1216" s="9" t="inlineStr">
        <is>
          <t>Module 8 · Challenges</t>
        </is>
      </c>
      <c r="C1216" s="9" t="inlineStr">
        <is>
          <t>8d</t>
        </is>
      </c>
      <c r="D1216" s="9" t="inlineStr">
        <is>
          <t>Question tags</t>
        </is>
      </c>
      <c r="E1216" s="23" t="inlineStr">
        <is>
          <t>Question tags: have (владеть) → haven't I? vs have в идиоме → don't I?</t>
        </is>
      </c>
      <c r="F1216" s="26" t="inlineStr">
        <is>
          <t>новое</t>
        </is>
      </c>
      <c r="G1216" s="9" t="inlineStr">
        <is>
          <t>I have (владеть) → haven't I?; идиома → don't/didn't I?</t>
        </is>
      </c>
      <c r="H1216" s="25" t="inlineStr">
        <is>
          <t>10+</t>
        </is>
      </c>
      <c r="I1216" s="9">
        <f>IFERROR(INDEX('Темы × классы'!$R:$R,MATCH(E1216,'Темы × классы'!$E:$E,0)),"")</f>
        <v/>
      </c>
      <c r="J1216" s="9">
        <f>IFERROR(INDEX('Темы × классы'!$S:$S,MATCH(E1216,'Темы × классы'!$E:$E,0))&amp;"","")</f>
        <v/>
      </c>
      <c r="K1216" s="9" t="inlineStr">
        <is>
          <t>не начат</t>
        </is>
      </c>
      <c r="L1216" s="9" t="inlineStr">
        <is>
          <t>Spotlight / 9 класс / Module 8 · Challenges / Question tags / Question tags: have (владеть) → haven't I? vs have в идиоме → don't I?</t>
        </is>
      </c>
    </row>
    <row r="1217">
      <c r="A1217" s="25" t="n">
        <v>9</v>
      </c>
      <c r="B1217" s="9" t="inlineStr">
        <is>
          <t>Module 8 · Challenges</t>
        </is>
      </c>
      <c r="C1217" s="9" t="inlineStr">
        <is>
          <t>8d</t>
        </is>
      </c>
      <c r="D1217" s="9" t="inlineStr">
        <is>
          <t>Question tags</t>
        </is>
      </c>
      <c r="E1217" s="23" t="inlineStr">
        <is>
          <t>Question tags: This/That is → isn't it?</t>
        </is>
      </c>
      <c r="F1217" s="26" t="inlineStr">
        <is>
          <t>новое</t>
        </is>
      </c>
      <c r="G1217" s="9" t="inlineStr">
        <is>
          <t>This/That is → isn't it?</t>
        </is>
      </c>
      <c r="H1217" s="25" t="inlineStr">
        <is>
          <t>10+</t>
        </is>
      </c>
      <c r="I1217" s="9">
        <f>IFERROR(INDEX('Темы × классы'!$R:$R,MATCH(E1217,'Темы × классы'!$E:$E,0)),"")</f>
        <v/>
      </c>
      <c r="J1217" s="9">
        <f>IFERROR(INDEX('Темы × классы'!$S:$S,MATCH(E1217,'Темы × классы'!$E:$E,0))&amp;"","")</f>
        <v/>
      </c>
      <c r="K1217" s="9" t="inlineStr">
        <is>
          <t>не начат</t>
        </is>
      </c>
      <c r="L1217" s="9" t="inlineStr">
        <is>
          <t>Spotlight / 9 класс / Module 8 · Challenges / Question tags / Question tags: This/That is → isn't it?</t>
        </is>
      </c>
    </row>
    <row r="1218">
      <c r="A1218" s="25" t="n">
        <v>9</v>
      </c>
      <c r="B1218" s="9" t="inlineStr">
        <is>
          <t>Module 8 · Challenges</t>
        </is>
      </c>
      <c r="C1218" s="9" t="inlineStr">
        <is>
          <t>8c</t>
        </is>
      </c>
      <c r="D1218" s="9" t="inlineStr">
        <is>
          <t>Reported questions</t>
        </is>
      </c>
      <c r="E1218" s="23" t="inlineStr">
        <is>
          <t>Reported questions: специальные вопросы — то же вопросительное слово</t>
        </is>
      </c>
      <c r="F1218" s="25" t="inlineStr">
        <is>
          <t>повторение</t>
        </is>
      </c>
      <c r="G1218" s="9" t="inlineStr"/>
      <c r="H1218" s="25" t="inlineStr">
        <is>
          <t>10+</t>
        </is>
      </c>
      <c r="I1218" s="9">
        <f>IFERROR(INDEX('Темы × классы'!$R:$R,MATCH(E1218,'Темы × классы'!$E:$E,0)),"")</f>
        <v/>
      </c>
      <c r="J1218" s="9">
        <f>IFERROR(INDEX('Темы × классы'!$S:$S,MATCH(E1218,'Темы × классы'!$E:$E,0))&amp;"","")</f>
        <v/>
      </c>
      <c r="K1218" s="9" t="inlineStr">
        <is>
          <t>не начат</t>
        </is>
      </c>
      <c r="L1218" s="9" t="inlineStr">
        <is>
          <t>Spotlight / 9 класс / Module 8 · Challenges / Reported questions / Reported questions: специальные вопросы — то же вопросительное слово</t>
        </is>
      </c>
    </row>
    <row r="1219">
      <c r="A1219" s="25" t="n">
        <v>9</v>
      </c>
      <c r="B1219" s="9" t="inlineStr">
        <is>
          <t>Module 8 · Challenges</t>
        </is>
      </c>
      <c r="C1219" s="9" t="inlineStr">
        <is>
          <t>8c</t>
        </is>
      </c>
      <c r="D1219" s="9" t="inlineStr">
        <is>
          <t>Reported questions</t>
        </is>
      </c>
      <c r="E1219" s="23" t="inlineStr">
        <is>
          <t>Reported questions: общие вопросы — if/whether</t>
        </is>
      </c>
      <c r="F1219" s="25" t="inlineStr">
        <is>
          <t>повторение</t>
        </is>
      </c>
      <c r="G1219" s="9" t="inlineStr"/>
      <c r="H1219" s="25" t="inlineStr">
        <is>
          <t>10+</t>
        </is>
      </c>
      <c r="I1219" s="9">
        <f>IFERROR(INDEX('Темы × классы'!$R:$R,MATCH(E1219,'Темы × классы'!$E:$E,0)),"")</f>
        <v/>
      </c>
      <c r="J1219" s="9">
        <f>IFERROR(INDEX('Темы × классы'!$S:$S,MATCH(E1219,'Темы × классы'!$E:$E,0))&amp;"","")</f>
        <v/>
      </c>
      <c r="K1219" s="9" t="inlineStr">
        <is>
          <t>не начат</t>
        </is>
      </c>
      <c r="L1219" s="9" t="inlineStr">
        <is>
          <t>Spotlight / 9 класс / Module 8 · Challenges / Reported questions / Reported questions: общие вопросы — if/whether</t>
        </is>
      </c>
    </row>
    <row r="1220">
      <c r="A1220" s="25" t="n">
        <v>9</v>
      </c>
      <c r="B1220" s="9" t="inlineStr">
        <is>
          <t>Module 8 · Challenges</t>
        </is>
      </c>
      <c r="C1220" s="9" t="inlineStr">
        <is>
          <t>8c</t>
        </is>
      </c>
      <c r="D1220" s="9" t="inlineStr">
        <is>
          <t>Reported questions</t>
        </is>
      </c>
      <c r="E1220" s="23" t="inlineStr">
        <is>
          <t>Reported questions: прямой порядок слов, без «?», без please/well/oh</t>
        </is>
      </c>
      <c r="F1220" s="25" t="inlineStr">
        <is>
          <t>повторение</t>
        </is>
      </c>
      <c r="G1220" s="9" t="inlineStr"/>
      <c r="H1220" s="25" t="inlineStr">
        <is>
          <t>10+</t>
        </is>
      </c>
      <c r="I1220" s="9">
        <f>IFERROR(INDEX('Темы × классы'!$R:$R,MATCH(E1220,'Темы × классы'!$E:$E,0)),"")</f>
        <v/>
      </c>
      <c r="J1220" s="9">
        <f>IFERROR(INDEX('Темы × классы'!$S:$S,MATCH(E1220,'Темы × классы'!$E:$E,0))&amp;"","")</f>
        <v/>
      </c>
      <c r="K1220" s="9" t="inlineStr">
        <is>
          <t>не начат</t>
        </is>
      </c>
      <c r="L1220" s="9" t="inlineStr">
        <is>
          <t>Spotlight / 9 класс / Module 8 · Challenges / Reported questions / Reported questions: прямой порядок слов, без «?», без please/well/oh</t>
        </is>
      </c>
    </row>
    <row r="1221">
      <c r="A1221" s="25" t="n">
        <v>9</v>
      </c>
      <c r="B1221" s="9" t="inlineStr">
        <is>
          <t>Module 8 · Challenges</t>
        </is>
      </c>
      <c r="C1221" s="9" t="inlineStr">
        <is>
          <t>8f</t>
        </is>
      </c>
      <c r="D1221" s="9" t="inlineStr">
        <is>
          <t>Phrasal verbs</t>
        </is>
      </c>
      <c r="E1221" s="23" t="inlineStr">
        <is>
          <t>Phrasal verbs: carry</t>
        </is>
      </c>
      <c r="F1221" s="26" t="inlineStr">
        <is>
          <t>новое</t>
        </is>
      </c>
      <c r="G1221" s="9" t="inlineStr">
        <is>
          <t>carry: carry away (увлечься), carry off (справляться), carry on (продолжать что-либо делать), carry out (выполнять), carry through (доводить до конца).</t>
        </is>
      </c>
      <c r="H1221" s="25" t="inlineStr">
        <is>
          <t>10+</t>
        </is>
      </c>
      <c r="I1221" s="9">
        <f>IFERROR(INDEX('Темы × классы'!$R:$R,MATCH(E1221,'Темы × классы'!$E:$E,0)),"")</f>
        <v/>
      </c>
      <c r="J1221" s="9">
        <f>IFERROR(INDEX('Темы × классы'!$S:$S,MATCH(E1221,'Темы × классы'!$E:$E,0))&amp;"","")</f>
        <v/>
      </c>
      <c r="K1221" s="9" t="inlineStr">
        <is>
          <t>не начат</t>
        </is>
      </c>
      <c r="L1221" s="9" t="inlineStr">
        <is>
          <t>Spotlight / 9 класс / Module 8 · Challenges / Phrasal verbs / Phrasal verbs: carry</t>
        </is>
      </c>
    </row>
    <row r="1222">
      <c r="A1222" s="25" t="n">
        <v>9</v>
      </c>
      <c r="B1222" s="9" t="inlineStr">
        <is>
          <t>Module 8 · Challenges</t>
        </is>
      </c>
      <c r="C1222" s="9" t="inlineStr">
        <is>
          <t>8f</t>
        </is>
      </c>
      <c r="D1222" s="9" t="inlineStr">
        <is>
          <t>Word formation</t>
        </is>
      </c>
      <c r="E1222" s="23" t="inlineStr">
        <is>
          <t>Word formation: revision</t>
        </is>
      </c>
      <c r="F1222" s="26" t="inlineStr">
        <is>
          <t>новое</t>
        </is>
      </c>
      <c r="G1222" s="9" t="inlineStr">
        <is>
          <t>Word formation: повторение словообразования (word formation: revision).</t>
        </is>
      </c>
      <c r="H1222" s="25" t="inlineStr">
        <is>
          <t>10+</t>
        </is>
      </c>
      <c r="I1222" s="9">
        <f>IFERROR(INDEX('Темы × классы'!$R:$R,MATCH(E1222,'Темы × классы'!$E:$E,0)),"")</f>
        <v/>
      </c>
      <c r="J1222" s="9">
        <f>IFERROR(INDEX('Темы × классы'!$S:$S,MATCH(E1222,'Темы × классы'!$E:$E,0))&amp;"","")</f>
        <v/>
      </c>
      <c r="K1222" s="9" t="inlineStr">
        <is>
          <t>не начат</t>
        </is>
      </c>
      <c r="L1222" s="9" t="inlineStr">
        <is>
          <t>Spotlight / 9 класс / Module 8 · Challenges / Word formation / Word formation: revision</t>
        </is>
      </c>
    </row>
    <row r="1223">
      <c r="A1223" s="25" t="n">
        <v>9</v>
      </c>
      <c r="B1223" s="9" t="inlineStr">
        <is>
          <t>Module 8 · Challenges</t>
        </is>
      </c>
      <c r="C1223" s="9" t="inlineStr">
        <is>
          <t>8f</t>
        </is>
      </c>
      <c r="D1223" s="9" t="inlineStr">
        <is>
          <t>Words often confused</t>
        </is>
      </c>
      <c r="E1223" s="23" t="inlineStr">
        <is>
          <t>Words often confused</t>
        </is>
      </c>
      <c r="F1223" s="25" t="inlineStr">
        <is>
          <t>повторение</t>
        </is>
      </c>
      <c r="G1223" s="9" t="inlineStr">
        <is>
          <t>Words often confused — слова, которые часто путают (заголовок раздела English in Use).</t>
        </is>
      </c>
      <c r="H1223" s="25" t="inlineStr">
        <is>
          <t>10+</t>
        </is>
      </c>
      <c r="I1223" s="9">
        <f>IFERROR(INDEX('Темы × классы'!$R:$R,MATCH(E1223,'Темы × классы'!$E:$E,0)),"")</f>
        <v/>
      </c>
      <c r="J1223" s="9">
        <f>IFERROR(INDEX('Темы × классы'!$S:$S,MATCH(E1223,'Темы × классы'!$E:$E,0))&amp;"","")</f>
        <v/>
      </c>
      <c r="K1223" s="9" t="inlineStr">
        <is>
          <t>не начат</t>
        </is>
      </c>
      <c r="L1223" s="9" t="inlineStr">
        <is>
          <t>Spotlight / 9 класс / Module 8 · Challenges / Words often confused / Words often confused</t>
        </is>
      </c>
    </row>
    <row r="1224">
      <c r="A1224" s="25" t="n">
        <v>10</v>
      </c>
      <c r="B1224" s="9" t="inlineStr">
        <is>
          <t>Irregular Verbs</t>
        </is>
      </c>
      <c r="C1224" s="9" t="inlineStr"/>
      <c r="D1224" s="9" t="inlineStr">
        <is>
          <t>Irregular verbs (list)</t>
        </is>
      </c>
      <c r="E1224" s="23" t="inlineStr">
        <is>
          <t>Irregular verbs: таблица Infinitive – Past – Past Participle</t>
        </is>
      </c>
      <c r="F1224" s="25" t="inlineStr">
        <is>
          <t>повторение</t>
        </is>
      </c>
      <c r="G1224" s="9" t="inlineStr"/>
      <c r="H1224" s="25" t="inlineStr">
        <is>
          <t>10+</t>
        </is>
      </c>
      <c r="I1224" s="9">
        <f>IFERROR(INDEX('Темы × классы'!$R:$R,MATCH(E1224,'Темы × классы'!$E:$E,0)),"")</f>
        <v/>
      </c>
      <c r="J1224" s="9">
        <f>IFERROR(INDEX('Темы × классы'!$S:$S,MATCH(E1224,'Темы × классы'!$E:$E,0))&amp;"","")</f>
        <v/>
      </c>
      <c r="K1224" s="9" t="inlineStr">
        <is>
          <t>не начат</t>
        </is>
      </c>
      <c r="L1224" s="9" t="inlineStr">
        <is>
          <t>Spotlight / 10 класс / Irregular Verbs / Irregular verbs (list) / Irregular verbs: таблица Infinitive – Past – Past Participle</t>
        </is>
      </c>
    </row>
    <row r="1225">
      <c r="A1225" s="25" t="n">
        <v>10</v>
      </c>
      <c r="B1225" s="9" t="inlineStr">
        <is>
          <t>Irregular Verbs</t>
        </is>
      </c>
      <c r="C1225" s="9" t="inlineStr"/>
      <c r="D1225" s="9" t="inlineStr">
        <is>
          <t>Irregular verbs (list)</t>
        </is>
      </c>
      <c r="E1225" s="23" t="inlineStr">
        <is>
          <t>Irregular verbs: двойные и особые формы (burnt/burned, got/gotten, can – could)</t>
        </is>
      </c>
      <c r="F1225" s="25" t="inlineStr">
        <is>
          <t>повторение</t>
        </is>
      </c>
      <c r="G1225" s="9" t="inlineStr">
        <is>
          <t>sew – sewn</t>
        </is>
      </c>
      <c r="H1225" s="25" t="inlineStr">
        <is>
          <t>10+</t>
        </is>
      </c>
      <c r="I1225" s="9">
        <f>IFERROR(INDEX('Темы × классы'!$R:$R,MATCH(E1225,'Темы × классы'!$E:$E,0)),"")</f>
        <v/>
      </c>
      <c r="J1225" s="9">
        <f>IFERROR(INDEX('Темы × классы'!$S:$S,MATCH(E1225,'Темы × классы'!$E:$E,0))&amp;"","")</f>
        <v/>
      </c>
      <c r="K1225" s="9" t="inlineStr">
        <is>
          <t>не начат</t>
        </is>
      </c>
      <c r="L1225" s="9" t="inlineStr">
        <is>
          <t>Spotlight / 10 класс / Irregular Verbs / Irregular verbs (list) / Irregular verbs: двойные и особые формы (burnt/burned, got/gotten, can – could)</t>
        </is>
      </c>
    </row>
    <row r="1226">
      <c r="A1226" s="25" t="n">
        <v>10</v>
      </c>
      <c r="B1226" s="9" t="inlineStr">
        <is>
          <t>Module 1 · Strong ties</t>
        </is>
      </c>
      <c r="C1226" s="9" t="inlineStr">
        <is>
          <t>1c</t>
        </is>
      </c>
      <c r="D1226" s="9" t="inlineStr">
        <is>
          <t>Present Continuous</t>
        </is>
      </c>
      <c r="E1226" s="23" t="inlineStr">
        <is>
          <t>Present Continuous: утверждение (am/is/are + V-ing)</t>
        </is>
      </c>
      <c r="F1226" s="25" t="inlineStr">
        <is>
          <t>повторение</t>
        </is>
      </c>
      <c r="G1226" s="9" t="inlineStr"/>
      <c r="H1226" s="25" t="inlineStr">
        <is>
          <t>10+</t>
        </is>
      </c>
      <c r="I1226" s="9">
        <f>IFERROR(INDEX('Темы × классы'!$R:$R,MATCH(E1226,'Темы × классы'!$E:$E,0)),"")</f>
        <v/>
      </c>
      <c r="J1226" s="9">
        <f>IFERROR(INDEX('Темы × классы'!$S:$S,MATCH(E1226,'Темы × классы'!$E:$E,0))&amp;"","")</f>
        <v/>
      </c>
      <c r="K1226" s="9" t="inlineStr">
        <is>
          <t>не начат</t>
        </is>
      </c>
      <c r="L1226" s="9" t="inlineStr">
        <is>
          <t>Spotlight / 10 класс / Module 1 · Strong ties / Present Continuous / Present Continuous: утверждение (am/is/are + V-ing)</t>
        </is>
      </c>
    </row>
    <row r="1227">
      <c r="A1227" s="25" t="n">
        <v>10</v>
      </c>
      <c r="B1227" s="9" t="inlineStr">
        <is>
          <t>Module 1 · Strong ties</t>
        </is>
      </c>
      <c r="C1227" s="9" t="inlineStr">
        <is>
          <t>1c</t>
        </is>
      </c>
      <c r="D1227" s="9" t="inlineStr">
        <is>
          <t>Present Continuous</t>
        </is>
      </c>
      <c r="E1227" s="23" t="inlineStr">
        <is>
          <t>Present Continuous: орфография -ing</t>
        </is>
      </c>
      <c r="F1227" s="25" t="inlineStr">
        <is>
          <t>повторение</t>
        </is>
      </c>
      <c r="G1227" s="9" t="inlineStr"/>
      <c r="H1227" s="25" t="inlineStr">
        <is>
          <t>10+</t>
        </is>
      </c>
      <c r="I1227" s="9">
        <f>IFERROR(INDEX('Темы × классы'!$R:$R,MATCH(E1227,'Темы × классы'!$E:$E,0)),"")</f>
        <v/>
      </c>
      <c r="J1227" s="9">
        <f>IFERROR(INDEX('Темы × классы'!$S:$S,MATCH(E1227,'Темы × классы'!$E:$E,0))&amp;"","")</f>
        <v/>
      </c>
      <c r="K1227" s="9" t="inlineStr">
        <is>
          <t>не начат</t>
        </is>
      </c>
      <c r="L1227" s="9" t="inlineStr">
        <is>
          <t>Spotlight / 10 класс / Module 1 · Strong ties / Present Continuous / Present Continuous: орфография -ing</t>
        </is>
      </c>
    </row>
    <row r="1228">
      <c r="A1228" s="25" t="n">
        <v>10</v>
      </c>
      <c r="B1228" s="9" t="inlineStr">
        <is>
          <t>Module 1 · Strong ties</t>
        </is>
      </c>
      <c r="C1228" s="9" t="inlineStr">
        <is>
          <t>1c</t>
        </is>
      </c>
      <c r="D1228" s="9" t="inlineStr">
        <is>
          <t>Present Continuous</t>
        </is>
      </c>
      <c r="E1228" s="23" t="inlineStr">
        <is>
          <t>Present Continuous: значение — действие сейчас (now)</t>
        </is>
      </c>
      <c r="F1228" s="25" t="inlineStr">
        <is>
          <t>повторение</t>
        </is>
      </c>
      <c r="G1228" s="9" t="inlineStr"/>
      <c r="H1228" s="25" t="inlineStr">
        <is>
          <t>10+</t>
        </is>
      </c>
      <c r="I1228" s="9">
        <f>IFERROR(INDEX('Темы × классы'!$R:$R,MATCH(E1228,'Темы × классы'!$E:$E,0)),"")</f>
        <v/>
      </c>
      <c r="J1228" s="9">
        <f>IFERROR(INDEX('Темы × классы'!$S:$S,MATCH(E1228,'Темы × классы'!$E:$E,0))&amp;"","")</f>
        <v/>
      </c>
      <c r="K1228" s="9" t="inlineStr">
        <is>
          <t>не начат</t>
        </is>
      </c>
      <c r="L1228" s="9" t="inlineStr">
        <is>
          <t>Spotlight / 10 класс / Module 1 · Strong ties / Present Continuous / Present Continuous: значение — действие сейчас (now)</t>
        </is>
      </c>
    </row>
    <row r="1229">
      <c r="A1229" s="25" t="n">
        <v>10</v>
      </c>
      <c r="B1229" s="9" t="inlineStr">
        <is>
          <t>Module 1 · Strong ties</t>
        </is>
      </c>
      <c r="C1229" s="9" t="inlineStr">
        <is>
          <t>1c</t>
        </is>
      </c>
      <c r="D1229" s="9" t="inlineStr">
        <is>
          <t>Present Continuous</t>
        </is>
      </c>
      <c r="E1229" s="23" t="inlineStr">
        <is>
          <t>Present Continuous: значение — действие в настоящий период (these days)</t>
        </is>
      </c>
      <c r="F1229" s="25" t="inlineStr">
        <is>
          <t>повторение</t>
        </is>
      </c>
      <c r="G1229" s="9" t="inlineStr"/>
      <c r="H1229" s="25" t="inlineStr">
        <is>
          <t>10+</t>
        </is>
      </c>
      <c r="I1229" s="9">
        <f>IFERROR(INDEX('Темы × классы'!$R:$R,MATCH(E1229,'Темы × классы'!$E:$E,0)),"")</f>
        <v/>
      </c>
      <c r="J1229" s="9">
        <f>IFERROR(INDEX('Темы × классы'!$S:$S,MATCH(E1229,'Темы × классы'!$E:$E,0))&amp;"","")</f>
        <v/>
      </c>
      <c r="K1229" s="9" t="inlineStr">
        <is>
          <t>не начат</t>
        </is>
      </c>
      <c r="L1229" s="9" t="inlineStr">
        <is>
          <t>Spotlight / 10 класс / Module 1 · Strong ties / Present Continuous / Present Continuous: значение — действие в настоящий период (these days)</t>
        </is>
      </c>
    </row>
    <row r="1230">
      <c r="A1230" s="25" t="n">
        <v>10</v>
      </c>
      <c r="B1230" s="9" t="inlineStr">
        <is>
          <t>Module 1 · Strong ties</t>
        </is>
      </c>
      <c r="C1230" s="9" t="inlineStr">
        <is>
          <t>1c</t>
        </is>
      </c>
      <c r="D1230" s="9" t="inlineStr">
        <is>
          <t>Present Continuous</t>
        </is>
      </c>
      <c r="E1230" s="23" t="inlineStr">
        <is>
          <t>Present Continuous: значение — запланированное будущее</t>
        </is>
      </c>
      <c r="F1230" s="25" t="inlineStr">
        <is>
          <t>повторение</t>
        </is>
      </c>
      <c r="G1230" s="9" t="inlineStr"/>
      <c r="H1230" s="25" t="inlineStr">
        <is>
          <t>10+</t>
        </is>
      </c>
      <c r="I1230" s="9">
        <f>IFERROR(INDEX('Темы × классы'!$R:$R,MATCH(E1230,'Темы × классы'!$E:$E,0)),"")</f>
        <v/>
      </c>
      <c r="J1230" s="9">
        <f>IFERROR(INDEX('Темы × классы'!$S:$S,MATCH(E1230,'Темы × классы'!$E:$E,0))&amp;"","")</f>
        <v/>
      </c>
      <c r="K1230" s="9" t="inlineStr">
        <is>
          <t>не начат</t>
        </is>
      </c>
      <c r="L1230" s="9" t="inlineStr">
        <is>
          <t>Spotlight / 10 класс / Module 1 · Strong ties / Present Continuous / Present Continuous: значение — запланированное будущее</t>
        </is>
      </c>
    </row>
    <row r="1231">
      <c r="A1231" s="25" t="n">
        <v>10</v>
      </c>
      <c r="B1231" s="9" t="inlineStr">
        <is>
          <t>Module 1 · Strong ties</t>
        </is>
      </c>
      <c r="C1231" s="9" t="inlineStr">
        <is>
          <t>1c</t>
        </is>
      </c>
      <c r="D1231" s="9" t="inlineStr">
        <is>
          <t>Present Continuous</t>
        </is>
      </c>
      <c r="E1231" s="23" t="inlineStr">
        <is>
          <t>Present Continuous: значение — временные ситуации</t>
        </is>
      </c>
      <c r="F1231" s="25" t="inlineStr">
        <is>
          <t>повторение</t>
        </is>
      </c>
      <c r="G1231" s="9" t="inlineStr"/>
      <c r="H1231" s="25" t="inlineStr">
        <is>
          <t>10+</t>
        </is>
      </c>
      <c r="I1231" s="9">
        <f>IFERROR(INDEX('Темы × классы'!$R:$R,MATCH(E1231,'Темы × классы'!$E:$E,0)),"")</f>
        <v/>
      </c>
      <c r="J1231" s="9">
        <f>IFERROR(INDEX('Темы × классы'!$S:$S,MATCH(E1231,'Темы × классы'!$E:$E,0))&amp;"","")</f>
        <v/>
      </c>
      <c r="K1231" s="9" t="inlineStr">
        <is>
          <t>не начат</t>
        </is>
      </c>
      <c r="L1231" s="9" t="inlineStr">
        <is>
          <t>Spotlight / 10 класс / Module 1 · Strong ties / Present Continuous / Present Continuous: значение — временные ситуации</t>
        </is>
      </c>
    </row>
    <row r="1232">
      <c r="A1232" s="25" t="n">
        <v>10</v>
      </c>
      <c r="B1232" s="9" t="inlineStr">
        <is>
          <t>Module 1 · Strong ties</t>
        </is>
      </c>
      <c r="C1232" s="9" t="inlineStr">
        <is>
          <t>1c</t>
        </is>
      </c>
      <c r="D1232" s="9" t="inlineStr">
        <is>
          <t>Present Continuous</t>
        </is>
      </c>
      <c r="E1232" s="23" t="inlineStr">
        <is>
          <t>Present Continuous: значение — меняющиеся и развивающиеся ситуации</t>
        </is>
      </c>
      <c r="F1232" s="25" t="inlineStr">
        <is>
          <t>повторение</t>
        </is>
      </c>
      <c r="G1232" s="9" t="inlineStr"/>
      <c r="H1232" s="25" t="inlineStr">
        <is>
          <t>10+</t>
        </is>
      </c>
      <c r="I1232" s="9">
        <f>IFERROR(INDEX('Темы × классы'!$R:$R,MATCH(E1232,'Темы × классы'!$E:$E,0)),"")</f>
        <v/>
      </c>
      <c r="J1232" s="9">
        <f>IFERROR(INDEX('Темы × классы'!$S:$S,MATCH(E1232,'Темы × классы'!$E:$E,0))&amp;"","")</f>
        <v/>
      </c>
      <c r="K1232" s="9" t="inlineStr">
        <is>
          <t>не начат</t>
        </is>
      </c>
      <c r="L1232" s="9" t="inlineStr">
        <is>
          <t>Spotlight / 10 класс / Module 1 · Strong ties / Present Continuous / Present Continuous: значение — меняющиеся и развивающиеся ситуации</t>
        </is>
      </c>
    </row>
    <row r="1233">
      <c r="A1233" s="25" t="n">
        <v>10</v>
      </c>
      <c r="B1233" s="9" t="inlineStr">
        <is>
          <t>Module 1 · Strong ties</t>
        </is>
      </c>
      <c r="C1233" s="9" t="inlineStr">
        <is>
          <t>1c</t>
        </is>
      </c>
      <c r="D1233" s="9" t="inlineStr">
        <is>
          <t>Present Continuous</t>
        </is>
      </c>
      <c r="E1233" s="23" t="inlineStr">
        <is>
          <t>Present Continuous: значение — always + раздражение</t>
        </is>
      </c>
      <c r="F1233" s="25" t="inlineStr">
        <is>
          <t>повторение</t>
        </is>
      </c>
      <c r="G1233" s="9" t="inlineStr"/>
      <c r="H1233" s="25" t="inlineStr">
        <is>
          <t>10+</t>
        </is>
      </c>
      <c r="I1233" s="9">
        <f>IFERROR(INDEX('Темы × классы'!$R:$R,MATCH(E1233,'Темы × классы'!$E:$E,0)),"")</f>
        <v/>
      </c>
      <c r="J1233" s="9">
        <f>IFERROR(INDEX('Темы × классы'!$S:$S,MATCH(E1233,'Темы × классы'!$E:$E,0))&amp;"","")</f>
        <v/>
      </c>
      <c r="K1233" s="9" t="inlineStr">
        <is>
          <t>не начат</t>
        </is>
      </c>
      <c r="L1233" s="9" t="inlineStr">
        <is>
          <t>Spotlight / 10 класс / Module 1 · Strong ties / Present Continuous / Present Continuous: значение — always + раздражение</t>
        </is>
      </c>
    </row>
    <row r="1234">
      <c r="A1234" s="25" t="n">
        <v>10</v>
      </c>
      <c r="B1234" s="9" t="inlineStr">
        <is>
          <t>Module 1 · Strong ties</t>
        </is>
      </c>
      <c r="C1234" s="9" t="inlineStr">
        <is>
          <t>1c</t>
        </is>
      </c>
      <c r="D1234" s="9" t="inlineStr">
        <is>
          <t>Present Simple</t>
        </is>
      </c>
      <c r="E1234" s="23" t="inlineStr">
        <is>
          <t>Present Simple: утверждение (I/you/we/they V, he/she/it V-s)</t>
        </is>
      </c>
      <c r="F1234" s="25" t="inlineStr">
        <is>
          <t>повторение</t>
        </is>
      </c>
      <c r="G1234" s="9" t="inlineStr">
        <is>
          <t>только V/V-s</t>
        </is>
      </c>
      <c r="H1234" s="25" t="inlineStr">
        <is>
          <t>10+</t>
        </is>
      </c>
      <c r="I1234" s="9">
        <f>IFERROR(INDEX('Темы × классы'!$R:$R,MATCH(E1234,'Темы × классы'!$E:$E,0)),"")</f>
        <v/>
      </c>
      <c r="J1234" s="9">
        <f>IFERROR(INDEX('Темы × классы'!$S:$S,MATCH(E1234,'Темы × классы'!$E:$E,0))&amp;"","")</f>
        <v/>
      </c>
      <c r="K1234" s="9" t="inlineStr">
        <is>
          <t>не начат</t>
        </is>
      </c>
      <c r="L1234" s="9" t="inlineStr">
        <is>
          <t>Spotlight / 10 класс / Module 1 · Strong ties / Present Simple / Present Simple: утверждение (I/you/we/they V, he/she/it V-s)</t>
        </is>
      </c>
    </row>
    <row r="1235">
      <c r="A1235" s="25" t="n">
        <v>10</v>
      </c>
      <c r="B1235" s="9" t="inlineStr">
        <is>
          <t>Module 1 · Strong ties</t>
        </is>
      </c>
      <c r="C1235" s="9" t="inlineStr">
        <is>
          <t>1c</t>
        </is>
      </c>
      <c r="D1235" s="9" t="inlineStr">
        <is>
          <t>Present Simple</t>
        </is>
      </c>
      <c r="E1235" s="23" t="inlineStr">
        <is>
          <t>Present Simple: орфография окончания -s/-es (3 л. ед. ч.)</t>
        </is>
      </c>
      <c r="F1235" s="25" t="inlineStr">
        <is>
          <t>повторение</t>
        </is>
      </c>
      <c r="G1235" s="9" t="inlineStr"/>
      <c r="H1235" s="25" t="inlineStr">
        <is>
          <t>10+</t>
        </is>
      </c>
      <c r="I1235" s="9">
        <f>IFERROR(INDEX('Темы × классы'!$R:$R,MATCH(E1235,'Темы × классы'!$E:$E,0)),"")</f>
        <v/>
      </c>
      <c r="J1235" s="9">
        <f>IFERROR(INDEX('Темы × классы'!$S:$S,MATCH(E1235,'Темы × классы'!$E:$E,0))&amp;"","")</f>
        <v/>
      </c>
      <c r="K1235" s="9" t="inlineStr">
        <is>
          <t>не начат</t>
        </is>
      </c>
      <c r="L1235" s="9" t="inlineStr">
        <is>
          <t>Spotlight / 10 класс / Module 1 · Strong ties / Present Simple / Present Simple: орфография окончания -s/-es (3 л. ед. ч.)</t>
        </is>
      </c>
    </row>
    <row r="1236">
      <c r="A1236" s="25" t="n">
        <v>10</v>
      </c>
      <c r="B1236" s="9" t="inlineStr">
        <is>
          <t>Module 1 · Strong ties</t>
        </is>
      </c>
      <c r="C1236" s="9" t="inlineStr">
        <is>
          <t>1c</t>
        </is>
      </c>
      <c r="D1236" s="9" t="inlineStr">
        <is>
          <t>Present Simple</t>
        </is>
      </c>
      <c r="E1236" s="23" t="inlineStr">
        <is>
          <t>Present Simple: значение — регулярные действия, распорядок дня, привычки</t>
        </is>
      </c>
      <c r="F1236" s="25" t="inlineStr">
        <is>
          <t>повторение</t>
        </is>
      </c>
      <c r="G1236" s="9" t="inlineStr">
        <is>
          <t>распорядок дня, повторяющиеся действия, привычки</t>
        </is>
      </c>
      <c r="H1236" s="25" t="inlineStr">
        <is>
          <t>10+</t>
        </is>
      </c>
      <c r="I1236" s="9">
        <f>IFERROR(INDEX('Темы × классы'!$R:$R,MATCH(E1236,'Темы × классы'!$E:$E,0)),"")</f>
        <v/>
      </c>
      <c r="J1236" s="9">
        <f>IFERROR(INDEX('Темы × классы'!$S:$S,MATCH(E1236,'Темы × классы'!$E:$E,0))&amp;"","")</f>
        <v/>
      </c>
      <c r="K1236" s="9" t="inlineStr">
        <is>
          <t>не начат</t>
        </is>
      </c>
      <c r="L1236" s="9" t="inlineStr">
        <is>
          <t>Spotlight / 10 класс / Module 1 · Strong ties / Present Simple / Present Simple: значение — регулярные действия, распорядок дня, привычки</t>
        </is>
      </c>
    </row>
    <row r="1237">
      <c r="A1237" s="25" t="n">
        <v>10</v>
      </c>
      <c r="B1237" s="9" t="inlineStr">
        <is>
          <t>Module 1 · Strong ties</t>
        </is>
      </c>
      <c r="C1237" s="9" t="inlineStr">
        <is>
          <t>1c</t>
        </is>
      </c>
      <c r="D1237" s="9" t="inlineStr">
        <is>
          <t>Present Simple</t>
        </is>
      </c>
      <c r="E1237" s="23" t="inlineStr">
        <is>
          <t>Present Simple: значение — постоянные состояния и действия</t>
        </is>
      </c>
      <c r="F1237" s="25" t="inlineStr">
        <is>
          <t>повторение</t>
        </is>
      </c>
      <c r="G1237" s="9" t="inlineStr"/>
      <c r="H1237" s="25" t="inlineStr">
        <is>
          <t>10+</t>
        </is>
      </c>
      <c r="I1237" s="9">
        <f>IFERROR(INDEX('Темы × классы'!$R:$R,MATCH(E1237,'Темы × классы'!$E:$E,0)),"")</f>
        <v/>
      </c>
      <c r="J1237" s="9">
        <f>IFERROR(INDEX('Темы × классы'!$S:$S,MATCH(E1237,'Темы × классы'!$E:$E,0))&amp;"","")</f>
        <v/>
      </c>
      <c r="K1237" s="9" t="inlineStr">
        <is>
          <t>не начат</t>
        </is>
      </c>
      <c r="L1237" s="9" t="inlineStr">
        <is>
          <t>Spotlight / 10 класс / Module 1 · Strong ties / Present Simple / Present Simple: значение — постоянные состояния и действия</t>
        </is>
      </c>
    </row>
    <row r="1238">
      <c r="A1238" s="25" t="n">
        <v>10</v>
      </c>
      <c r="B1238" s="9" t="inlineStr">
        <is>
          <t>Module 1 · Strong ties</t>
        </is>
      </c>
      <c r="C1238" s="9" t="inlineStr">
        <is>
          <t>1c</t>
        </is>
      </c>
      <c r="D1238" s="9" t="inlineStr">
        <is>
          <t>Present Simple</t>
        </is>
      </c>
      <c r="E1238" s="23" t="inlineStr">
        <is>
          <t>Present Simple: значение — расписания и программы (будущее по расписанию)</t>
        </is>
      </c>
      <c r="F1238" s="25" t="inlineStr">
        <is>
          <t>повторение</t>
        </is>
      </c>
      <c r="G1238" s="9" t="inlineStr">
        <is>
          <t>значение будущего</t>
        </is>
      </c>
      <c r="H1238" s="25" t="inlineStr">
        <is>
          <t>10+</t>
        </is>
      </c>
      <c r="I1238" s="9">
        <f>IFERROR(INDEX('Темы × классы'!$R:$R,MATCH(E1238,'Темы × классы'!$E:$E,0)),"")</f>
        <v/>
      </c>
      <c r="J1238" s="9">
        <f>IFERROR(INDEX('Темы × классы'!$S:$S,MATCH(E1238,'Темы × классы'!$E:$E,0))&amp;"","")</f>
        <v/>
      </c>
      <c r="K1238" s="9" t="inlineStr">
        <is>
          <t>не начат</t>
        </is>
      </c>
      <c r="L1238" s="9" t="inlineStr">
        <is>
          <t>Spotlight / 10 класс / Module 1 · Strong ties / Present Simple / Present Simple: значение — расписания и программы (будущее по расписанию)</t>
        </is>
      </c>
    </row>
    <row r="1239">
      <c r="A1239" s="25" t="n">
        <v>10</v>
      </c>
      <c r="B1239" s="9" t="inlineStr">
        <is>
          <t>Module 1 · Strong ties</t>
        </is>
      </c>
      <c r="C1239" s="9" t="inlineStr">
        <is>
          <t>1c</t>
        </is>
      </c>
      <c r="D1239" s="9" t="inlineStr">
        <is>
          <t>Present Simple</t>
        </is>
      </c>
      <c r="E1239" s="23" t="inlineStr">
        <is>
          <t>Present Simple: значение — обзоры, спортивные комментарии, повествование</t>
        </is>
      </c>
      <c r="F1239" s="25" t="inlineStr">
        <is>
          <t>повторение</t>
        </is>
      </c>
      <c r="G1239" s="9" t="inlineStr"/>
      <c r="H1239" s="25" t="inlineStr">
        <is>
          <t>10+</t>
        </is>
      </c>
      <c r="I1239" s="9">
        <f>IFERROR(INDEX('Темы × классы'!$R:$R,MATCH(E1239,'Темы × классы'!$E:$E,0)),"")</f>
        <v/>
      </c>
      <c r="J1239" s="9">
        <f>IFERROR(INDEX('Темы × классы'!$S:$S,MATCH(E1239,'Темы × классы'!$E:$E,0))&amp;"","")</f>
        <v/>
      </c>
      <c r="K1239" s="9" t="inlineStr">
        <is>
          <t>не начат</t>
        </is>
      </c>
      <c r="L1239" s="9" t="inlineStr">
        <is>
          <t>Spotlight / 10 класс / Module 1 · Strong ties / Present Simple / Present Simple: значение — обзоры, спортивные комментарии, повествование</t>
        </is>
      </c>
    </row>
    <row r="1240">
      <c r="A1240" s="25" t="n">
        <v>10</v>
      </c>
      <c r="B1240" s="9" t="inlineStr">
        <is>
          <t>Module 1 · Strong ties</t>
        </is>
      </c>
      <c r="C1240" s="9" t="inlineStr">
        <is>
          <t>1c</t>
        </is>
      </c>
      <c r="D1240" s="9" t="inlineStr">
        <is>
          <t>Present Simple</t>
        </is>
      </c>
      <c r="E1240" s="23" t="inlineStr">
        <is>
          <t>Present Simple: значение — восклицания (Here comes …!)</t>
        </is>
      </c>
      <c r="F1240" s="25" t="inlineStr">
        <is>
          <t>повторение</t>
        </is>
      </c>
      <c r="G1240" s="9" t="inlineStr"/>
      <c r="H1240" s="25" t="inlineStr">
        <is>
          <t>10+</t>
        </is>
      </c>
      <c r="I1240" s="9">
        <f>IFERROR(INDEX('Темы × классы'!$R:$R,MATCH(E1240,'Темы × классы'!$E:$E,0)),"")</f>
        <v/>
      </c>
      <c r="J1240" s="9">
        <f>IFERROR(INDEX('Темы × классы'!$S:$S,MATCH(E1240,'Темы × классы'!$E:$E,0))&amp;"","")</f>
        <v/>
      </c>
      <c r="K1240" s="9" t="inlineStr">
        <is>
          <t>не начат</t>
        </is>
      </c>
      <c r="L1240" s="9" t="inlineStr">
        <is>
          <t>Spotlight / 10 класс / Module 1 · Strong ties / Present Simple / Present Simple: значение — восклицания (Here comes …!)</t>
        </is>
      </c>
    </row>
    <row r="1241">
      <c r="A1241" s="25" t="n">
        <v>10</v>
      </c>
      <c r="B1241" s="9" t="inlineStr">
        <is>
          <t>Module 1 · Strong ties</t>
        </is>
      </c>
      <c r="C1241" s="9" t="inlineStr">
        <is>
          <t>1c</t>
        </is>
      </c>
      <c r="D1241" s="9" t="inlineStr">
        <is>
          <t>Present Simple vs Present Continuous</t>
        </is>
      </c>
      <c r="E1241" s="23" t="inlineStr">
        <is>
          <t>Present Simple vs Present Continuous: постоянное состояние vs временная ситуация</t>
        </is>
      </c>
      <c r="F1241" s="25" t="inlineStr">
        <is>
          <t>повторение</t>
        </is>
      </c>
      <c r="G1241" s="9" t="inlineStr"/>
      <c r="H1241" s="25" t="inlineStr">
        <is>
          <t>10+</t>
        </is>
      </c>
      <c r="I1241" s="9">
        <f>IFERROR(INDEX('Темы × классы'!$R:$R,MATCH(E1241,'Темы × классы'!$E:$E,0)),"")</f>
        <v/>
      </c>
      <c r="J1241" s="9">
        <f>IFERROR(INDEX('Темы × классы'!$S:$S,MATCH(E1241,'Темы × классы'!$E:$E,0))&amp;"","")</f>
        <v/>
      </c>
      <c r="K1241" s="9" t="inlineStr">
        <is>
          <t>не начат</t>
        </is>
      </c>
      <c r="L1241" s="9" t="inlineStr">
        <is>
          <t>Spotlight / 10 класс / Module 1 · Strong ties / Present Simple vs Present Continuous / Present Simple vs Present Continuous: постоянное состояние vs временная ситуация</t>
        </is>
      </c>
    </row>
    <row r="1242">
      <c r="A1242" s="25" t="n">
        <v>10</v>
      </c>
      <c r="B1242" s="9" t="inlineStr">
        <is>
          <t>Module 1 · Strong ties</t>
        </is>
      </c>
      <c r="C1242" s="9" t="inlineStr">
        <is>
          <t>1c</t>
        </is>
      </c>
      <c r="D1242" s="9" t="inlineStr">
        <is>
          <t>Present Simple vs Present Continuous</t>
        </is>
      </c>
      <c r="E1242" s="23" t="inlineStr">
        <is>
          <t>Present Simple vs Present Continuous: повторяющиеся действия vs настоящий период (these days)</t>
        </is>
      </c>
      <c r="F1242" s="25" t="inlineStr">
        <is>
          <t>повторение</t>
        </is>
      </c>
      <c r="G1242" s="9" t="inlineStr"/>
      <c r="H1242" s="25" t="inlineStr">
        <is>
          <t>10+</t>
        </is>
      </c>
      <c r="I1242" s="9">
        <f>IFERROR(INDEX('Темы × классы'!$R:$R,MATCH(E1242,'Темы × классы'!$E:$E,0)),"")</f>
        <v/>
      </c>
      <c r="J1242" s="9">
        <f>IFERROR(INDEX('Темы × классы'!$S:$S,MATCH(E1242,'Темы × классы'!$E:$E,0))&amp;"","")</f>
        <v/>
      </c>
      <c r="K1242" s="9" t="inlineStr">
        <is>
          <t>не начат</t>
        </is>
      </c>
      <c r="L1242" s="9" t="inlineStr">
        <is>
          <t>Spotlight / 10 класс / Module 1 · Strong ties / Present Simple vs Present Continuous / Present Simple vs Present Continuous: повторяющиеся действия vs настоящий период (these days)</t>
        </is>
      </c>
    </row>
    <row r="1243">
      <c r="A1243" s="25" t="n">
        <v>10</v>
      </c>
      <c r="B1243" s="9" t="inlineStr">
        <is>
          <t>Module 1 · Strong ties</t>
        </is>
      </c>
      <c r="C1243" s="9" t="inlineStr">
        <is>
          <t>1c</t>
        </is>
      </c>
      <c r="D1243" s="9" t="inlineStr">
        <is>
          <t>Present Perfect</t>
        </is>
      </c>
      <c r="E1243" s="23" t="inlineStr">
        <is>
          <t>Present Perfect: утверждение (have/has + V3)</t>
        </is>
      </c>
      <c r="F1243" s="25" t="inlineStr">
        <is>
          <t>повторение</t>
        </is>
      </c>
      <c r="G1243" s="9" t="inlineStr"/>
      <c r="H1243" s="25" t="inlineStr">
        <is>
          <t>10+</t>
        </is>
      </c>
      <c r="I1243" s="9">
        <f>IFERROR(INDEX('Темы × классы'!$R:$R,MATCH(E1243,'Темы × классы'!$E:$E,0)),"")</f>
        <v/>
      </c>
      <c r="J1243" s="9">
        <f>IFERROR(INDEX('Темы × классы'!$S:$S,MATCH(E1243,'Темы × классы'!$E:$E,0))&amp;"","")</f>
        <v/>
      </c>
      <c r="K1243" s="9" t="inlineStr">
        <is>
          <t>не начат</t>
        </is>
      </c>
      <c r="L1243" s="9" t="inlineStr">
        <is>
          <t>Spotlight / 10 класс / Module 1 · Strong ties / Present Perfect / Present Perfect: утверждение (have/has + V3)</t>
        </is>
      </c>
    </row>
    <row r="1244">
      <c r="A1244" s="25" t="n">
        <v>10</v>
      </c>
      <c r="B1244" s="9" t="inlineStr">
        <is>
          <t>Module 1 · Strong ties</t>
        </is>
      </c>
      <c r="C1244" s="9" t="inlineStr">
        <is>
          <t>1c</t>
        </is>
      </c>
      <c r="D1244" s="9" t="inlineStr">
        <is>
          <t>Present Perfect</t>
        </is>
      </c>
      <c r="E1244" s="23" t="inlineStr">
        <is>
          <t>Present Perfect: V3 правильных глаголов (-ed, орфография)</t>
        </is>
      </c>
      <c r="F1244" s="25" t="inlineStr">
        <is>
          <t>повторение</t>
        </is>
      </c>
      <c r="G1244" s="9" t="inlineStr">
        <is>
          <t>complain – complained</t>
        </is>
      </c>
      <c r="H1244" s="25" t="inlineStr">
        <is>
          <t>10+</t>
        </is>
      </c>
      <c r="I1244" s="9">
        <f>IFERROR(INDEX('Темы × классы'!$R:$R,MATCH(E1244,'Темы × классы'!$E:$E,0)),"")</f>
        <v/>
      </c>
      <c r="J1244" s="9">
        <f>IFERROR(INDEX('Темы × классы'!$S:$S,MATCH(E1244,'Темы × классы'!$E:$E,0))&amp;"","")</f>
        <v/>
      </c>
      <c r="K1244" s="9" t="inlineStr">
        <is>
          <t>не начат</t>
        </is>
      </c>
      <c r="L1244" s="9" t="inlineStr">
        <is>
          <t>Spotlight / 10 класс / Module 1 · Strong ties / Present Perfect / Present Perfect: V3 правильных глаголов (-ed, орфография)</t>
        </is>
      </c>
    </row>
    <row r="1245">
      <c r="A1245" s="25" t="n">
        <v>10</v>
      </c>
      <c r="B1245" s="9" t="inlineStr">
        <is>
          <t>Module 1 · Strong ties</t>
        </is>
      </c>
      <c r="C1245" s="9" t="inlineStr">
        <is>
          <t>1c</t>
        </is>
      </c>
      <c r="D1245" s="9" t="inlineStr">
        <is>
          <t>Present Perfect</t>
        </is>
      </c>
      <c r="E1245" s="23" t="inlineStr">
        <is>
          <t>Present Perfect: V3 неправильных глаголов</t>
        </is>
      </c>
      <c r="F1245" s="25" t="inlineStr">
        <is>
          <t>повторение</t>
        </is>
      </c>
      <c r="G1245" s="9" t="inlineStr">
        <is>
          <t>по таблице Irregular Verbs</t>
        </is>
      </c>
      <c r="H1245" s="25" t="inlineStr">
        <is>
          <t>10+</t>
        </is>
      </c>
      <c r="I1245" s="9">
        <f>IFERROR(INDEX('Темы × классы'!$R:$R,MATCH(E1245,'Темы × классы'!$E:$E,0)),"")</f>
        <v/>
      </c>
      <c r="J1245" s="9">
        <f>IFERROR(INDEX('Темы × классы'!$S:$S,MATCH(E1245,'Темы × классы'!$E:$E,0))&amp;"","")</f>
        <v/>
      </c>
      <c r="K1245" s="9" t="inlineStr">
        <is>
          <t>не начат</t>
        </is>
      </c>
      <c r="L1245" s="9" t="inlineStr">
        <is>
          <t>Spotlight / 10 класс / Module 1 · Strong ties / Present Perfect / Present Perfect: V3 неправильных глаголов</t>
        </is>
      </c>
    </row>
    <row r="1246">
      <c r="A1246" s="25" t="n">
        <v>10</v>
      </c>
      <c r="B1246" s="9" t="inlineStr">
        <is>
          <t>Module 1 · Strong ties</t>
        </is>
      </c>
      <c r="C1246" s="9" t="inlineStr">
        <is>
          <t>1c</t>
        </is>
      </c>
      <c r="D1246" s="9" t="inlineStr">
        <is>
          <t>Present Perfect</t>
        </is>
      </c>
      <c r="E1246" s="23" t="inlineStr">
        <is>
          <t>Present Perfect: значение — жизненный опыт, перемены (ever/never)</t>
        </is>
      </c>
      <c r="F1246" s="25" t="inlineStr">
        <is>
          <t>повторение</t>
        </is>
      </c>
      <c r="G1246" s="9" t="inlineStr"/>
      <c r="H1246" s="25" t="inlineStr">
        <is>
          <t>10+</t>
        </is>
      </c>
      <c r="I1246" s="9">
        <f>IFERROR(INDEX('Темы × классы'!$R:$R,MATCH(E1246,'Темы × классы'!$E:$E,0)),"")</f>
        <v/>
      </c>
      <c r="J1246" s="9">
        <f>IFERROR(INDEX('Темы × классы'!$S:$S,MATCH(E1246,'Темы × классы'!$E:$E,0))&amp;"","")</f>
        <v/>
      </c>
      <c r="K1246" s="9" t="inlineStr">
        <is>
          <t>не начат</t>
        </is>
      </c>
      <c r="L1246" s="9" t="inlineStr">
        <is>
          <t>Spotlight / 10 класс / Module 1 · Strong ties / Present Perfect / Present Perfect: значение — жизненный опыт, перемены (ever/never)</t>
        </is>
      </c>
    </row>
    <row r="1247">
      <c r="A1247" s="25" t="n">
        <v>10</v>
      </c>
      <c r="B1247" s="9" t="inlineStr">
        <is>
          <t>Module 1 · Strong ties</t>
        </is>
      </c>
      <c r="C1247" s="9" t="inlineStr">
        <is>
          <t>1c</t>
        </is>
      </c>
      <c r="D1247" s="9" t="inlineStr">
        <is>
          <t>Present Perfect</t>
        </is>
      </c>
      <c r="E1247" s="23" t="inlineStr">
        <is>
          <t>Present Perfect: значение — результат в настоящем</t>
        </is>
      </c>
      <c r="F1247" s="25" t="inlineStr">
        <is>
          <t>повторение</t>
        </is>
      </c>
      <c r="G1247" s="9" t="inlineStr"/>
      <c r="H1247" s="25" t="inlineStr">
        <is>
          <t>10+</t>
        </is>
      </c>
      <c r="I1247" s="9">
        <f>IFERROR(INDEX('Темы × классы'!$R:$R,MATCH(E1247,'Темы × классы'!$E:$E,0)),"")</f>
        <v/>
      </c>
      <c r="J1247" s="9">
        <f>IFERROR(INDEX('Темы × классы'!$S:$S,MATCH(E1247,'Темы × классы'!$E:$E,0))&amp;"","")</f>
        <v/>
      </c>
      <c r="K1247" s="9" t="inlineStr">
        <is>
          <t>не начат</t>
        </is>
      </c>
      <c r="L1247" s="9" t="inlineStr">
        <is>
          <t>Spotlight / 10 класс / Module 1 · Strong ties / Present Perfect / Present Perfect: значение — результат в настоящем</t>
        </is>
      </c>
    </row>
    <row r="1248">
      <c r="A1248" s="25" t="n">
        <v>10</v>
      </c>
      <c r="B1248" s="9" t="inlineStr">
        <is>
          <t>Module 1 · Strong ties</t>
        </is>
      </c>
      <c r="C1248" s="9" t="inlineStr">
        <is>
          <t>1c</t>
        </is>
      </c>
      <c r="D1248" s="9" t="inlineStr">
        <is>
          <t>Present Perfect</t>
        </is>
      </c>
      <c r="E1248" s="23" t="inlineStr">
        <is>
          <t>Present Perfect: значение — недавно завершённое действие (just)</t>
        </is>
      </c>
      <c r="F1248" s="25" t="inlineStr">
        <is>
          <t>повторение</t>
        </is>
      </c>
      <c r="G1248" s="9" t="inlineStr"/>
      <c r="H1248" s="25" t="inlineStr">
        <is>
          <t>10+</t>
        </is>
      </c>
      <c r="I1248" s="9">
        <f>IFERROR(INDEX('Темы × классы'!$R:$R,MATCH(E1248,'Темы × классы'!$E:$E,0)),"")</f>
        <v/>
      </c>
      <c r="J1248" s="9">
        <f>IFERROR(INDEX('Темы × классы'!$S:$S,MATCH(E1248,'Темы × классы'!$E:$E,0))&amp;"","")</f>
        <v/>
      </c>
      <c r="K1248" s="9" t="inlineStr">
        <is>
          <t>не начат</t>
        </is>
      </c>
      <c r="L1248" s="9" t="inlineStr">
        <is>
          <t>Spotlight / 10 класс / Module 1 · Strong ties / Present Perfect / Present Perfect: значение — недавно завершённое действие (just)</t>
        </is>
      </c>
    </row>
    <row r="1249">
      <c r="A1249" s="25" t="n">
        <v>10</v>
      </c>
      <c r="B1249" s="9" t="inlineStr">
        <is>
          <t>Module 1 · Strong ties</t>
        </is>
      </c>
      <c r="C1249" s="9" t="inlineStr">
        <is>
          <t>1c</t>
        </is>
      </c>
      <c r="D1249" s="9" t="inlineStr">
        <is>
          <t>Present Perfect</t>
        </is>
      </c>
      <c r="E1249" s="23" t="inlineStr">
        <is>
          <t>Present Perfect: значение — неуказанное время в прошлом</t>
        </is>
      </c>
      <c r="F1249" s="25" t="inlineStr">
        <is>
          <t>повторение</t>
        </is>
      </c>
      <c r="G1249" s="9" t="inlineStr"/>
      <c r="H1249" s="25" t="inlineStr">
        <is>
          <t>10+</t>
        </is>
      </c>
      <c r="I1249" s="9">
        <f>IFERROR(INDEX('Темы × классы'!$R:$R,MATCH(E1249,'Темы × классы'!$E:$E,0)),"")</f>
        <v/>
      </c>
      <c r="J1249" s="9">
        <f>IFERROR(INDEX('Темы × классы'!$S:$S,MATCH(E1249,'Темы × классы'!$E:$E,0))&amp;"","")</f>
        <v/>
      </c>
      <c r="K1249" s="9" t="inlineStr">
        <is>
          <t>не начат</t>
        </is>
      </c>
      <c r="L1249" s="9" t="inlineStr">
        <is>
          <t>Spotlight / 10 класс / Module 1 · Strong ties / Present Perfect / Present Perfect: значение — неуказанное время в прошлом</t>
        </is>
      </c>
    </row>
    <row r="1250">
      <c r="A1250" s="25" t="n">
        <v>10</v>
      </c>
      <c r="B1250" s="9" t="inlineStr">
        <is>
          <t>Module 1 · Strong ties</t>
        </is>
      </c>
      <c r="C1250" s="9" t="inlineStr">
        <is>
          <t>1c</t>
        </is>
      </c>
      <c r="D1250" s="9" t="inlineStr">
        <is>
          <t>Present Perfect</t>
        </is>
      </c>
      <c r="E1250" s="23" t="inlineStr">
        <is>
          <t>Present Perfect: значение — с прошлого до настоящего (stative verbs, for/since)</t>
        </is>
      </c>
      <c r="F1250" s="25" t="inlineStr">
        <is>
          <t>повторение</t>
        </is>
      </c>
      <c r="G1250" s="9" t="inlineStr"/>
      <c r="H1250" s="25" t="inlineStr">
        <is>
          <t>10+</t>
        </is>
      </c>
      <c r="I1250" s="9">
        <f>IFERROR(INDEX('Темы × классы'!$R:$R,MATCH(E1250,'Темы × классы'!$E:$E,0)),"")</f>
        <v/>
      </c>
      <c r="J1250" s="9">
        <f>IFERROR(INDEX('Темы × классы'!$S:$S,MATCH(E1250,'Темы × классы'!$E:$E,0))&amp;"","")</f>
        <v/>
      </c>
      <c r="K1250" s="9" t="inlineStr">
        <is>
          <t>не начат</t>
        </is>
      </c>
      <c r="L1250" s="9" t="inlineStr">
        <is>
          <t>Spotlight / 10 класс / Module 1 · Strong ties / Present Perfect / Present Perfect: значение — с прошлого до настоящего (stative verbs, for/since)</t>
        </is>
      </c>
    </row>
    <row r="1251">
      <c r="A1251" s="25" t="n">
        <v>10</v>
      </c>
      <c r="B1251" s="9" t="inlineStr">
        <is>
          <t>Module 1 · Strong ties</t>
        </is>
      </c>
      <c r="C1251" s="9" t="inlineStr">
        <is>
          <t>1c</t>
        </is>
      </c>
      <c r="D1251" s="9" t="inlineStr">
        <is>
          <t>Present Perfect</t>
        </is>
      </c>
      <c r="E1251" s="23" t="inlineStr">
        <is>
          <t>Present Perfect: значение — незаконченный период (today, this week, so far)</t>
        </is>
      </c>
      <c r="F1251" s="25" t="inlineStr">
        <is>
          <t>повторение</t>
        </is>
      </c>
      <c r="G1251" s="9" t="inlineStr"/>
      <c r="H1251" s="25" t="inlineStr">
        <is>
          <t>10+</t>
        </is>
      </c>
      <c r="I1251" s="9">
        <f>IFERROR(INDEX('Темы × классы'!$R:$R,MATCH(E1251,'Темы × классы'!$E:$E,0)),"")</f>
        <v/>
      </c>
      <c r="J1251" s="9">
        <f>IFERROR(INDEX('Темы × классы'!$S:$S,MATCH(E1251,'Темы × классы'!$E:$E,0))&amp;"","")</f>
        <v/>
      </c>
      <c r="K1251" s="9" t="inlineStr">
        <is>
          <t>не начат</t>
        </is>
      </c>
      <c r="L1251" s="9" t="inlineStr">
        <is>
          <t>Spotlight / 10 класс / Module 1 · Strong ties / Present Perfect / Present Perfect: значение — незаконченный период (today, this week, so far)</t>
        </is>
      </c>
    </row>
    <row r="1252">
      <c r="A1252" s="25" t="n">
        <v>10</v>
      </c>
      <c r="B1252" s="9" t="inlineStr">
        <is>
          <t>Module 1 · Strong ties</t>
        </is>
      </c>
      <c r="C1252" s="9" t="inlineStr">
        <is>
          <t>1c</t>
        </is>
      </c>
      <c r="D1252" s="9" t="inlineStr">
        <is>
          <t>Present Perfect</t>
        </is>
      </c>
      <c r="E1252" s="23" t="inlineStr">
        <is>
          <t>Present Perfect: значение — акцент на количестве (seven times this week)</t>
        </is>
      </c>
      <c r="F1252" s="25" t="inlineStr">
        <is>
          <t>повторение</t>
        </is>
      </c>
      <c r="G1252" s="9" t="inlineStr"/>
      <c r="H1252" s="25" t="inlineStr">
        <is>
          <t>10+</t>
        </is>
      </c>
      <c r="I1252" s="9">
        <f>IFERROR(INDEX('Темы × классы'!$R:$R,MATCH(E1252,'Темы × классы'!$E:$E,0)),"")</f>
        <v/>
      </c>
      <c r="J1252" s="9">
        <f>IFERROR(INDEX('Темы × классы'!$S:$S,MATCH(E1252,'Темы × классы'!$E:$E,0))&amp;"","")</f>
        <v/>
      </c>
      <c r="K1252" s="9" t="inlineStr">
        <is>
          <t>не начат</t>
        </is>
      </c>
      <c r="L1252" s="9" t="inlineStr">
        <is>
          <t>Spotlight / 10 класс / Module 1 · Strong ties / Present Perfect / Present Perfect: значение — акцент на количестве (seven times this week)</t>
        </is>
      </c>
    </row>
    <row r="1253">
      <c r="A1253" s="25" t="n">
        <v>10</v>
      </c>
      <c r="B1253" s="9" t="inlineStr">
        <is>
          <t>Module 1 · Strong ties</t>
        </is>
      </c>
      <c r="C1253" s="9" t="inlineStr">
        <is>
          <t>1c</t>
        </is>
      </c>
      <c r="D1253" s="9" t="inlineStr">
        <is>
          <t>Present Perfect</t>
        </is>
      </c>
      <c r="E1253" s="23" t="inlineStr">
        <is>
          <t>Present Perfect: слова-маркеры already / yet / just / ever / never</t>
        </is>
      </c>
      <c r="F1253" s="25" t="inlineStr">
        <is>
          <t>повторение</t>
        </is>
      </c>
      <c r="G1253" s="9" t="inlineStr">
        <is>
          <t>just, already, yet, for, since, ever, never</t>
        </is>
      </c>
      <c r="H1253" s="25" t="inlineStr">
        <is>
          <t>10+</t>
        </is>
      </c>
      <c r="I1253" s="9">
        <f>IFERROR(INDEX('Темы × классы'!$R:$R,MATCH(E1253,'Темы × классы'!$E:$E,0)),"")</f>
        <v/>
      </c>
      <c r="J1253" s="9">
        <f>IFERROR(INDEX('Темы × классы'!$S:$S,MATCH(E1253,'Темы × классы'!$E:$E,0))&amp;"","")</f>
        <v/>
      </c>
      <c r="K1253" s="9" t="inlineStr">
        <is>
          <t>не начат</t>
        </is>
      </c>
      <c r="L1253" s="9" t="inlineStr">
        <is>
          <t>Spotlight / 10 класс / Module 1 · Strong ties / Present Perfect / Present Perfect: слова-маркеры already / yet / just / ever / never</t>
        </is>
      </c>
    </row>
    <row r="1254">
      <c r="A1254" s="25" t="n">
        <v>10</v>
      </c>
      <c r="B1254" s="9" t="inlineStr">
        <is>
          <t>Module 1 · Strong ties</t>
        </is>
      </c>
      <c r="C1254" s="9" t="inlineStr">
        <is>
          <t>1c</t>
        </is>
      </c>
      <c r="D1254" s="9" t="inlineStr">
        <is>
          <t>Stative verbs</t>
        </is>
      </c>
      <c r="E1254" s="23" t="inlineStr">
        <is>
          <t>Stative verbs: глаголы состояния не употребляются в Continuous</t>
        </is>
      </c>
      <c r="F1254" s="25" t="inlineStr">
        <is>
          <t>повторение</t>
        </is>
      </c>
      <c r="G1254" s="9" t="inlineStr"/>
      <c r="H1254" s="25" t="inlineStr">
        <is>
          <t>10+</t>
        </is>
      </c>
      <c r="I1254" s="9">
        <f>IFERROR(INDEX('Темы × классы'!$R:$R,MATCH(E1254,'Темы × классы'!$E:$E,0)),"")</f>
        <v/>
      </c>
      <c r="J1254" s="9">
        <f>IFERROR(INDEX('Темы × классы'!$S:$S,MATCH(E1254,'Темы × классы'!$E:$E,0))&amp;"","")</f>
        <v/>
      </c>
      <c r="K1254" s="9" t="inlineStr">
        <is>
          <t>не начат</t>
        </is>
      </c>
      <c r="L1254" s="9" t="inlineStr">
        <is>
          <t>Spotlight / 10 класс / Module 1 · Strong ties / Stative verbs / Stative verbs: глаголы состояния не употребляются в Continuous</t>
        </is>
      </c>
    </row>
    <row r="1255">
      <c r="A1255" s="25" t="n">
        <v>10</v>
      </c>
      <c r="B1255" s="9" t="inlineStr">
        <is>
          <t>Module 1 · Strong ties</t>
        </is>
      </c>
      <c r="C1255" s="9" t="inlineStr">
        <is>
          <t>1c</t>
        </is>
      </c>
      <c r="D1255" s="9" t="inlineStr">
        <is>
          <t>Stative verbs</t>
        </is>
      </c>
      <c r="E1255" s="23" t="inlineStr">
        <is>
          <t>Stative verbs: группы глаголов (восприятие, мышление, чувства, прочие)</t>
        </is>
      </c>
      <c r="F1255" s="25" t="inlineStr">
        <is>
          <t>повторение</t>
        </is>
      </c>
      <c r="G1255" s="9" t="inlineStr"/>
      <c r="H1255" s="25" t="inlineStr">
        <is>
          <t>10+</t>
        </is>
      </c>
      <c r="I1255" s="9">
        <f>IFERROR(INDEX('Темы × классы'!$R:$R,MATCH(E1255,'Темы × классы'!$E:$E,0)),"")</f>
        <v/>
      </c>
      <c r="J1255" s="9">
        <f>IFERROR(INDEX('Темы × классы'!$S:$S,MATCH(E1255,'Темы × классы'!$E:$E,0))&amp;"","")</f>
        <v/>
      </c>
      <c r="K1255" s="9" t="inlineStr">
        <is>
          <t>не начат</t>
        </is>
      </c>
      <c r="L1255" s="9" t="inlineStr">
        <is>
          <t>Spotlight / 10 класс / Module 1 · Strong ties / Stative verbs / Stative verbs: группы глаголов (восприятие, мышление, чувства, прочие)</t>
        </is>
      </c>
    </row>
    <row r="1256">
      <c r="A1256" s="25" t="n">
        <v>10</v>
      </c>
      <c r="B1256" s="9" t="inlineStr">
        <is>
          <t>Module 1 · Strong ties</t>
        </is>
      </c>
      <c r="C1256" s="9" t="inlineStr">
        <is>
          <t>1c</t>
        </is>
      </c>
      <c r="D1256" s="9" t="inlineStr">
        <is>
          <t>Stative verbs</t>
        </is>
      </c>
      <c r="E1256" s="23" t="inlineStr">
        <is>
          <t>Stative verbs: разное значение в Simple и Continuous (think, have, see, taste…)</t>
        </is>
      </c>
      <c r="F1256" s="25" t="inlineStr">
        <is>
          <t>повторение</t>
        </is>
      </c>
      <c r="G1256" s="9" t="inlineStr"/>
      <c r="H1256" s="25" t="inlineStr">
        <is>
          <t>10+</t>
        </is>
      </c>
      <c r="I1256" s="9">
        <f>IFERROR(INDEX('Темы × классы'!$R:$R,MATCH(E1256,'Темы × классы'!$E:$E,0)),"")</f>
        <v/>
      </c>
      <c r="J1256" s="9">
        <f>IFERROR(INDEX('Темы × классы'!$S:$S,MATCH(E1256,'Темы × классы'!$E:$E,0))&amp;"","")</f>
        <v/>
      </c>
      <c r="K1256" s="9" t="inlineStr">
        <is>
          <t>не начат</t>
        </is>
      </c>
      <c r="L1256" s="9" t="inlineStr">
        <is>
          <t>Spotlight / 10 класс / Module 1 · Strong ties / Stative verbs / Stative verbs: разное значение в Simple и Continuous (think, have, see, taste…)</t>
        </is>
      </c>
    </row>
    <row r="1257">
      <c r="A1257" s="25" t="n">
        <v>10</v>
      </c>
      <c r="B1257" s="9" t="inlineStr">
        <is>
          <t>Module 1 · Strong ties</t>
        </is>
      </c>
      <c r="C1257" s="9" t="inlineStr">
        <is>
          <t>1c</t>
        </is>
      </c>
      <c r="D1257" s="9" t="inlineStr">
        <is>
          <t>Stative verbs</t>
        </is>
      </c>
      <c r="E1257" s="23" t="inlineStr">
        <is>
          <t>Stative verbs: look, feel, hurt, ache — Simple = Continuous</t>
        </is>
      </c>
      <c r="F1257" s="25" t="inlineStr">
        <is>
          <t>повторение</t>
        </is>
      </c>
      <c r="G1257" s="9" t="inlineStr"/>
      <c r="H1257" s="25" t="inlineStr">
        <is>
          <t>10+</t>
        </is>
      </c>
      <c r="I1257" s="9">
        <f>IFERROR(INDEX('Темы × классы'!$R:$R,MATCH(E1257,'Темы × классы'!$E:$E,0)),"")</f>
        <v/>
      </c>
      <c r="J1257" s="9">
        <f>IFERROR(INDEX('Темы × классы'!$S:$S,MATCH(E1257,'Темы × классы'!$E:$E,0))&amp;"","")</f>
        <v/>
      </c>
      <c r="K1257" s="9" t="inlineStr">
        <is>
          <t>не начат</t>
        </is>
      </c>
      <c r="L1257" s="9" t="inlineStr">
        <is>
          <t>Spotlight / 10 класс / Module 1 · Strong ties / Stative verbs / Stative verbs: look, feel, hurt, ache — Simple = Continuous</t>
        </is>
      </c>
    </row>
    <row r="1258">
      <c r="A1258" s="25" t="n">
        <v>10</v>
      </c>
      <c r="B1258" s="9" t="inlineStr">
        <is>
          <t>Module 1 · Strong ties</t>
        </is>
      </c>
      <c r="C1258" s="9" t="inlineStr">
        <is>
          <t>1c</t>
        </is>
      </c>
      <c r="D1258" s="9" t="inlineStr">
        <is>
          <t>Stative verbs</t>
        </is>
      </c>
      <c r="E1258" s="23" t="inlineStr">
        <is>
          <t>Stative verbs: enjoy в Continuous — конкретное удовольствие</t>
        </is>
      </c>
      <c r="F1258" s="25" t="inlineStr">
        <is>
          <t>повторение</t>
        </is>
      </c>
      <c r="G1258" s="9" t="inlineStr"/>
      <c r="H1258" s="25" t="inlineStr">
        <is>
          <t>10+</t>
        </is>
      </c>
      <c r="I1258" s="9">
        <f>IFERROR(INDEX('Темы × классы'!$R:$R,MATCH(E1258,'Темы × классы'!$E:$E,0)),"")</f>
        <v/>
      </c>
      <c r="J1258" s="9">
        <f>IFERROR(INDEX('Темы × классы'!$S:$S,MATCH(E1258,'Темы × классы'!$E:$E,0))&amp;"","")</f>
        <v/>
      </c>
      <c r="K1258" s="9" t="inlineStr">
        <is>
          <t>не начат</t>
        </is>
      </c>
      <c r="L1258" s="9" t="inlineStr">
        <is>
          <t>Spotlight / 10 класс / Module 1 · Strong ties / Stative verbs / Stative verbs: enjoy в Continuous — конкретное удовольствие</t>
        </is>
      </c>
    </row>
    <row r="1259">
      <c r="A1259" s="25" t="n">
        <v>10</v>
      </c>
      <c r="B1259" s="9" t="inlineStr">
        <is>
          <t>Module 1 · Strong ties</t>
        </is>
      </c>
      <c r="C1259" s="9" t="inlineStr">
        <is>
          <t>1c</t>
        </is>
      </c>
      <c r="D1259" s="9" t="inlineStr">
        <is>
          <t>Present Perfect Continuous</t>
        </is>
      </c>
      <c r="E1259" s="23" t="inlineStr">
        <is>
          <t>Present Perfect Continuous: образование (have/has been + V-ing)</t>
        </is>
      </c>
      <c r="F1259" s="25" t="inlineStr">
        <is>
          <t>повторение</t>
        </is>
      </c>
      <c r="G1259" s="9" t="inlineStr"/>
      <c r="H1259" s="25" t="inlineStr">
        <is>
          <t>10+</t>
        </is>
      </c>
      <c r="I1259" s="9">
        <f>IFERROR(INDEX('Темы × классы'!$R:$R,MATCH(E1259,'Темы × классы'!$E:$E,0)),"")</f>
        <v/>
      </c>
      <c r="J1259" s="9">
        <f>IFERROR(INDEX('Темы × классы'!$S:$S,MATCH(E1259,'Темы × классы'!$E:$E,0))&amp;"","")</f>
        <v/>
      </c>
      <c r="K1259" s="9" t="inlineStr">
        <is>
          <t>не начат</t>
        </is>
      </c>
      <c r="L1259" s="9" t="inlineStr">
        <is>
          <t>Spotlight / 10 класс / Module 1 · Strong ties / Present Perfect Continuous / Present Perfect Continuous: образование (have/has been + V-ing)</t>
        </is>
      </c>
    </row>
    <row r="1260">
      <c r="A1260" s="25" t="n">
        <v>10</v>
      </c>
      <c r="B1260" s="9" t="inlineStr">
        <is>
          <t>Module 1 · Strong ties</t>
        </is>
      </c>
      <c r="C1260" s="9" t="inlineStr">
        <is>
          <t>1c</t>
        </is>
      </c>
      <c r="D1260" s="9" t="inlineStr">
        <is>
          <t>Present Perfect Continuous</t>
        </is>
      </c>
      <c r="E1260" s="23" t="inlineStr">
        <is>
          <t>Present Perfect Continuous: значение — длительность до настоящего (since/for/how long)</t>
        </is>
      </c>
      <c r="F1260" s="25" t="inlineStr">
        <is>
          <t>повторение</t>
        </is>
      </c>
      <c r="G1260" s="9" t="inlineStr"/>
      <c r="H1260" s="25" t="inlineStr">
        <is>
          <t>10+</t>
        </is>
      </c>
      <c r="I1260" s="9">
        <f>IFERROR(INDEX('Темы × классы'!$R:$R,MATCH(E1260,'Темы × классы'!$E:$E,0)),"")</f>
        <v/>
      </c>
      <c r="J1260" s="9">
        <f>IFERROR(INDEX('Темы × классы'!$S:$S,MATCH(E1260,'Темы × классы'!$E:$E,0))&amp;"","")</f>
        <v/>
      </c>
      <c r="K1260" s="9" t="inlineStr">
        <is>
          <t>не начат</t>
        </is>
      </c>
      <c r="L1260" s="9" t="inlineStr">
        <is>
          <t>Spotlight / 10 класс / Module 1 · Strong ties / Present Perfect Continuous / Present Perfect Continuous: значение — длительность до настоящего (since/for/how long)</t>
        </is>
      </c>
    </row>
    <row r="1261">
      <c r="A1261" s="25" t="n">
        <v>10</v>
      </c>
      <c r="B1261" s="9" t="inlineStr">
        <is>
          <t>Module 1 · Strong ties</t>
        </is>
      </c>
      <c r="C1261" s="9" t="inlineStr">
        <is>
          <t>1c</t>
        </is>
      </c>
      <c r="D1261" s="9" t="inlineStr">
        <is>
          <t>Present Perfect Continuous</t>
        </is>
      </c>
      <c r="E1261" s="23" t="inlineStr">
        <is>
          <t>Present Perfect Continuous: значение — видимый результат длительного действия</t>
        </is>
      </c>
      <c r="F1261" s="25" t="inlineStr">
        <is>
          <t>повторение</t>
        </is>
      </c>
      <c r="G1261" s="9" t="inlineStr">
        <is>
          <t>могло закончиться</t>
        </is>
      </c>
      <c r="H1261" s="25" t="inlineStr">
        <is>
          <t>10+</t>
        </is>
      </c>
      <c r="I1261" s="9">
        <f>IFERROR(INDEX('Темы × классы'!$R:$R,MATCH(E1261,'Темы × классы'!$E:$E,0)),"")</f>
        <v/>
      </c>
      <c r="J1261" s="9">
        <f>IFERROR(INDEX('Темы × классы'!$S:$S,MATCH(E1261,'Темы × классы'!$E:$E,0))&amp;"","")</f>
        <v/>
      </c>
      <c r="K1261" s="9" t="inlineStr">
        <is>
          <t>не начат</t>
        </is>
      </c>
      <c r="L1261" s="9" t="inlineStr">
        <is>
          <t>Spotlight / 10 класс / Module 1 · Strong ties / Present Perfect Continuous / Present Perfect Continuous: значение — видимый результат длительного действия</t>
        </is>
      </c>
    </row>
    <row r="1262">
      <c r="A1262" s="25" t="n">
        <v>10</v>
      </c>
      <c r="B1262" s="9" t="inlineStr">
        <is>
          <t>Module 1 · Strong ties</t>
        </is>
      </c>
      <c r="C1262" s="9" t="inlineStr">
        <is>
          <t>1c</t>
        </is>
      </c>
      <c r="D1262" s="9" t="inlineStr">
        <is>
          <t>Present Perfect Continuous</t>
        </is>
      </c>
      <c r="E1262" s="23" t="inlineStr">
        <is>
          <t>Present Perfect Continuous: значение — раздражение/критика</t>
        </is>
      </c>
      <c r="F1262" s="25" t="inlineStr">
        <is>
          <t>повторение</t>
        </is>
      </c>
      <c r="G1262" s="9" t="inlineStr"/>
      <c r="H1262" s="25" t="inlineStr">
        <is>
          <t>10+</t>
        </is>
      </c>
      <c r="I1262" s="9">
        <f>IFERROR(INDEX('Темы × классы'!$R:$R,MATCH(E1262,'Темы × классы'!$E:$E,0)),"")</f>
        <v/>
      </c>
      <c r="J1262" s="9">
        <f>IFERROR(INDEX('Темы × классы'!$S:$S,MATCH(E1262,'Темы × классы'!$E:$E,0))&amp;"","")</f>
        <v/>
      </c>
      <c r="K1262" s="9" t="inlineStr">
        <is>
          <t>не начат</t>
        </is>
      </c>
      <c r="L1262" s="9" t="inlineStr">
        <is>
          <t>Spotlight / 10 класс / Module 1 · Strong ties / Present Perfect Continuous / Present Perfect Continuous: значение — раздражение/критика</t>
        </is>
      </c>
    </row>
    <row r="1263">
      <c r="A1263" s="25" t="n">
        <v>10</v>
      </c>
      <c r="B1263" s="9" t="inlineStr">
        <is>
          <t>Module 1 · Strong ties</t>
        </is>
      </c>
      <c r="C1263" s="9" t="inlineStr">
        <is>
          <t>1c</t>
        </is>
      </c>
      <c r="D1263" s="9" t="inlineStr">
        <is>
          <t>Present Perfect Continuous</t>
        </is>
      </c>
      <c r="E1263" s="23" t="inlineStr">
        <is>
          <t>Present Perfect Continuous: значение — повторяющиеся действия до настоящего</t>
        </is>
      </c>
      <c r="F1263" s="25" t="inlineStr">
        <is>
          <t>повторение</t>
        </is>
      </c>
      <c r="G1263" s="9" t="inlineStr"/>
      <c r="H1263" s="25" t="inlineStr">
        <is>
          <t>10+</t>
        </is>
      </c>
      <c r="I1263" s="9">
        <f>IFERROR(INDEX('Темы × классы'!$R:$R,MATCH(E1263,'Темы × классы'!$E:$E,0)),"")</f>
        <v/>
      </c>
      <c r="J1263" s="9">
        <f>IFERROR(INDEX('Темы × классы'!$S:$S,MATCH(E1263,'Темы × классы'!$E:$E,0))&amp;"","")</f>
        <v/>
      </c>
      <c r="K1263" s="9" t="inlineStr">
        <is>
          <t>не начат</t>
        </is>
      </c>
      <c r="L1263" s="9" t="inlineStr">
        <is>
          <t>Spotlight / 10 класс / Module 1 · Strong ties / Present Perfect Continuous / Present Perfect Continuous: значение — повторяющиеся действия до настоящего</t>
        </is>
      </c>
    </row>
    <row r="1264">
      <c r="A1264" s="25" t="n">
        <v>10</v>
      </c>
      <c r="B1264" s="9" t="inlineStr">
        <is>
          <t>Module 1 · Strong ties</t>
        </is>
      </c>
      <c r="C1264" s="9" t="inlineStr">
        <is>
          <t>1c</t>
        </is>
      </c>
      <c r="D1264" s="9" t="inlineStr">
        <is>
          <t>Present Perfect vs Past Simple</t>
        </is>
      </c>
      <c r="E1264" s="23" t="inlineStr">
        <is>
          <t>Present Perfect vs Past Simple: указанное время vs неуказанное время</t>
        </is>
      </c>
      <c r="F1264" s="25" t="inlineStr">
        <is>
          <t>повторение</t>
        </is>
      </c>
      <c r="G1264" s="9" t="inlineStr"/>
      <c r="H1264" s="25" t="inlineStr">
        <is>
          <t>10+</t>
        </is>
      </c>
      <c r="I1264" s="9">
        <f>IFERROR(INDEX('Темы × классы'!$R:$R,MATCH(E1264,'Темы × классы'!$E:$E,0)),"")</f>
        <v/>
      </c>
      <c r="J1264" s="9">
        <f>IFERROR(INDEX('Темы × классы'!$S:$S,MATCH(E1264,'Темы × классы'!$E:$E,0))&amp;"","")</f>
        <v/>
      </c>
      <c r="K1264" s="9" t="inlineStr">
        <is>
          <t>не начат</t>
        </is>
      </c>
      <c r="L1264" s="9" t="inlineStr">
        <is>
          <t>Spotlight / 10 класс / Module 1 · Strong ties / Present Perfect vs Past Simple / Present Perfect vs Past Simple: указанное время vs неуказанное время</t>
        </is>
      </c>
    </row>
    <row r="1265">
      <c r="A1265" s="25" t="n">
        <v>10</v>
      </c>
      <c r="B1265" s="9" t="inlineStr">
        <is>
          <t>Module 1 · Strong ties</t>
        </is>
      </c>
      <c r="C1265" s="9" t="inlineStr">
        <is>
          <t>1c</t>
        </is>
      </c>
      <c r="D1265" s="9" t="inlineStr">
        <is>
          <t>Present Perfect vs Past Simple</t>
        </is>
      </c>
      <c r="E1265" s="23" t="inlineStr">
        <is>
          <t>Present Perfect vs Past Simple: закончилось в прошлом vs длится до сих пор</t>
        </is>
      </c>
      <c r="F1265" s="25" t="inlineStr">
        <is>
          <t>повторение</t>
        </is>
      </c>
      <c r="G1265" s="9" t="inlineStr"/>
      <c r="H1265" s="25" t="inlineStr">
        <is>
          <t>10+</t>
        </is>
      </c>
      <c r="I1265" s="9">
        <f>IFERROR(INDEX('Темы × классы'!$R:$R,MATCH(E1265,'Темы × классы'!$E:$E,0)),"")</f>
        <v/>
      </c>
      <c r="J1265" s="9">
        <f>IFERROR(INDEX('Темы × классы'!$S:$S,MATCH(E1265,'Темы × классы'!$E:$E,0))&amp;"","")</f>
        <v/>
      </c>
      <c r="K1265" s="9" t="inlineStr">
        <is>
          <t>не начат</t>
        </is>
      </c>
      <c r="L1265" s="9" t="inlineStr">
        <is>
          <t>Spotlight / 10 класс / Module 1 · Strong ties / Present Perfect vs Past Simple / Present Perfect vs Past Simple: закончилось в прошлом vs длится до сих пор</t>
        </is>
      </c>
    </row>
    <row r="1266">
      <c r="A1266" s="25" t="n">
        <v>10</v>
      </c>
      <c r="B1266" s="9" t="inlineStr">
        <is>
          <t>Module 1 · Strong ties</t>
        </is>
      </c>
      <c r="C1266" s="9" t="inlineStr">
        <is>
          <t>1c</t>
        </is>
      </c>
      <c r="D1266" s="9" t="inlineStr">
        <is>
          <t>have gone to / have been to / have been in</t>
        </is>
      </c>
      <c r="E1266" s="23" t="inlineStr">
        <is>
          <t>have gone to vs have been to: уехал и не вернулся vs побывал</t>
        </is>
      </c>
      <c r="F1266" s="25" t="inlineStr">
        <is>
          <t>повторение</t>
        </is>
      </c>
      <c r="G1266" s="9" t="inlineStr"/>
      <c r="H1266" s="25" t="inlineStr">
        <is>
          <t>10+</t>
        </is>
      </c>
      <c r="I1266" s="9">
        <f>IFERROR(INDEX('Темы × классы'!$R:$R,MATCH(E1266,'Темы × классы'!$E:$E,0)),"")</f>
        <v/>
      </c>
      <c r="J1266" s="9">
        <f>IFERROR(INDEX('Темы × классы'!$S:$S,MATCH(E1266,'Темы × классы'!$E:$E,0))&amp;"","")</f>
        <v/>
      </c>
      <c r="K1266" s="9" t="inlineStr">
        <is>
          <t>не начат</t>
        </is>
      </c>
      <c r="L1266" s="9" t="inlineStr">
        <is>
          <t>Spotlight / 10 класс / Module 1 · Strong ties / have gone to / have been to / have been in / have gone to vs have been to: уехал и не вернулся vs побывал</t>
        </is>
      </c>
    </row>
    <row r="1267">
      <c r="A1267" s="25" t="n">
        <v>10</v>
      </c>
      <c r="B1267" s="9" t="inlineStr">
        <is>
          <t>Module 1 · Strong ties</t>
        </is>
      </c>
      <c r="C1267" s="9" t="inlineStr">
        <is>
          <t>1c</t>
        </is>
      </c>
      <c r="D1267" s="9" t="inlineStr">
        <is>
          <t>have gone to / have been to / have been in</t>
        </is>
      </c>
      <c r="E1267" s="23" t="inlineStr">
        <is>
          <t>have been in: находится там (в течение периода)</t>
        </is>
      </c>
      <c r="F1267" s="25" t="inlineStr">
        <is>
          <t>повторение</t>
        </is>
      </c>
      <c r="G1267" s="9" t="inlineStr"/>
      <c r="H1267" s="25" t="inlineStr">
        <is>
          <t>10+</t>
        </is>
      </c>
      <c r="I1267" s="9">
        <f>IFERROR(INDEX('Темы × классы'!$R:$R,MATCH(E1267,'Темы × классы'!$E:$E,0)),"")</f>
        <v/>
      </c>
      <c r="J1267" s="9">
        <f>IFERROR(INDEX('Темы × классы'!$S:$S,MATCH(E1267,'Темы × классы'!$E:$E,0))&amp;"","")</f>
        <v/>
      </c>
      <c r="K1267" s="9" t="inlineStr">
        <is>
          <t>не начат</t>
        </is>
      </c>
      <c r="L1267" s="9" t="inlineStr">
        <is>
          <t>Spotlight / 10 класс / Module 1 · Strong ties / have gone to / have been to / have been in / have been in: находится там (в течение периода)</t>
        </is>
      </c>
    </row>
    <row r="1268">
      <c r="A1268" s="25" t="n">
        <v>10</v>
      </c>
      <c r="B1268" s="9" t="inlineStr">
        <is>
          <t>Module 1 · Strong ties</t>
        </is>
      </c>
      <c r="C1268" s="9" t="inlineStr">
        <is>
          <t>1c</t>
        </is>
      </c>
      <c r="D1268" s="9" t="inlineStr">
        <is>
          <t>Adverbs of frequency</t>
        </is>
      </c>
      <c r="E1268" s="23" t="inlineStr">
        <is>
          <t>Adverbs of frequency: место — перед смысловым глаголом, после be</t>
        </is>
      </c>
      <c r="F1268" s="25" t="inlineStr">
        <is>
          <t>повторение</t>
        </is>
      </c>
      <c r="G1268" s="9" t="inlineStr"/>
      <c r="H1268" s="25" t="inlineStr">
        <is>
          <t>10+</t>
        </is>
      </c>
      <c r="I1268" s="9">
        <f>IFERROR(INDEX('Темы × классы'!$R:$R,MATCH(E1268,'Темы × классы'!$E:$E,0)),"")</f>
        <v/>
      </c>
      <c r="J1268" s="9">
        <f>IFERROR(INDEX('Темы × классы'!$S:$S,MATCH(E1268,'Темы × классы'!$E:$E,0))&amp;"","")</f>
        <v/>
      </c>
      <c r="K1268" s="9" t="inlineStr">
        <is>
          <t>не начат</t>
        </is>
      </c>
      <c r="L1268" s="9" t="inlineStr">
        <is>
          <t>Spotlight / 10 класс / Module 1 · Strong ties / Adverbs of frequency / Adverbs of frequency: место — перед смысловым глаголом, после be</t>
        </is>
      </c>
    </row>
    <row r="1269">
      <c r="A1269" s="25" t="n">
        <v>10</v>
      </c>
      <c r="B1269" s="9" t="inlineStr">
        <is>
          <t>Module 1 · Strong ties</t>
        </is>
      </c>
      <c r="C1269" s="9" t="inlineStr">
        <is>
          <t>1c</t>
        </is>
      </c>
      <c r="D1269" s="9" t="inlineStr">
        <is>
          <t>Adverbs of frequency</t>
        </is>
      </c>
      <c r="E1269" s="23" t="inlineStr">
        <is>
          <t>Adverbs of frequency: место — после вспомогательных и модальных глаголов</t>
        </is>
      </c>
      <c r="F1269" s="25" t="inlineStr">
        <is>
          <t>повторение</t>
        </is>
      </c>
      <c r="G1269" s="9" t="inlineStr"/>
      <c r="H1269" s="25" t="inlineStr">
        <is>
          <t>10+</t>
        </is>
      </c>
      <c r="I1269" s="9">
        <f>IFERROR(INDEX('Темы × классы'!$R:$R,MATCH(E1269,'Темы × классы'!$E:$E,0)),"")</f>
        <v/>
      </c>
      <c r="J1269" s="9">
        <f>IFERROR(INDEX('Темы × классы'!$S:$S,MATCH(E1269,'Темы × классы'!$E:$E,0))&amp;"","")</f>
        <v/>
      </c>
      <c r="K1269" s="9" t="inlineStr">
        <is>
          <t>не начат</t>
        </is>
      </c>
      <c r="L1269" s="9" t="inlineStr">
        <is>
          <t>Spotlight / 10 класс / Module 1 · Strong ties / Adverbs of frequency / Adverbs of frequency: место — после вспомогательных и модальных глаголов</t>
        </is>
      </c>
    </row>
    <row r="1270">
      <c r="A1270" s="25" t="n">
        <v>10</v>
      </c>
      <c r="B1270" s="9" t="inlineStr">
        <is>
          <t>Module 1 · Strong ties</t>
        </is>
      </c>
      <c r="C1270" s="9" t="inlineStr">
        <is>
          <t>1c</t>
        </is>
      </c>
      <c r="D1270" s="9" t="inlineStr">
        <is>
          <t>Adverbs of frequency</t>
        </is>
      </c>
      <c r="E1270" s="23" t="inlineStr">
        <is>
          <t>Adverbs of frequency: шкала частотности в % (always 100% … never 0%)</t>
        </is>
      </c>
      <c r="F1270" s="25" t="inlineStr">
        <is>
          <t>повторение</t>
        </is>
      </c>
      <c r="G1270" s="9" t="inlineStr"/>
      <c r="H1270" s="25" t="inlineStr">
        <is>
          <t>10+</t>
        </is>
      </c>
      <c r="I1270" s="9">
        <f>IFERROR(INDEX('Темы × классы'!$R:$R,MATCH(E1270,'Темы × классы'!$E:$E,0)),"")</f>
        <v/>
      </c>
      <c r="J1270" s="9">
        <f>IFERROR(INDEX('Темы × классы'!$S:$S,MATCH(E1270,'Темы × классы'!$E:$E,0))&amp;"","")</f>
        <v/>
      </c>
      <c r="K1270" s="9" t="inlineStr">
        <is>
          <t>не начат</t>
        </is>
      </c>
      <c r="L1270" s="9" t="inlineStr">
        <is>
          <t>Spotlight / 10 класс / Module 1 · Strong ties / Adverbs of frequency / Adverbs of frequency: шкала частотности в % (always 100% … never 0%)</t>
        </is>
      </c>
    </row>
    <row r="1271">
      <c r="A1271" s="25" t="n">
        <v>10</v>
      </c>
      <c r="B1271" s="9" t="inlineStr">
        <is>
          <t>Module 1 · Strong ties</t>
        </is>
      </c>
      <c r="C1271" s="9" t="inlineStr">
        <is>
          <t>1c</t>
        </is>
      </c>
      <c r="D1271" s="9" t="inlineStr">
        <is>
          <t>Phrasal verbs</t>
        </is>
      </c>
      <c r="E1271" s="23" t="inlineStr">
        <is>
          <t>Phrasal verbs: look</t>
        </is>
      </c>
      <c r="F1271" s="26" t="inlineStr">
        <is>
          <t>новое</t>
        </is>
      </c>
      <c r="G1271" s="9" t="inlineStr">
        <is>
          <t>Фразовые глаголы с look (ToC: «phrasal verbs (look)»); состав частиц и значения в источнике не даны.</t>
        </is>
      </c>
      <c r="H1271" s="25" t="inlineStr">
        <is>
          <t>10+</t>
        </is>
      </c>
      <c r="I1271" s="9">
        <f>IFERROR(INDEX('Темы × классы'!$R:$R,MATCH(E1271,'Темы × классы'!$E:$E,0)),"")</f>
        <v/>
      </c>
      <c r="J1271" s="9">
        <f>IFERROR(INDEX('Темы × классы'!$S:$S,MATCH(E1271,'Темы × классы'!$E:$E,0))&amp;"","")</f>
        <v/>
      </c>
      <c r="K1271" s="9" t="inlineStr">
        <is>
          <t>не начат</t>
        </is>
      </c>
      <c r="L1271" s="9" t="inlineStr">
        <is>
          <t>Spotlight / 10 класс / Module 1 · Strong ties / Phrasal verbs / Phrasal verbs: look</t>
        </is>
      </c>
    </row>
    <row r="1272">
      <c r="A1272" s="25" t="n">
        <v>10</v>
      </c>
      <c r="B1272" s="9" t="inlineStr">
        <is>
          <t>Module 1 · Strong ties</t>
        </is>
      </c>
      <c r="C1272" s="9" t="inlineStr">
        <is>
          <t>1c</t>
        </is>
      </c>
      <c r="D1272" s="9" t="inlineStr">
        <is>
          <t>Word formation</t>
        </is>
      </c>
      <c r="E1272" s="23" t="inlineStr">
        <is>
          <t>Word formation: forming adjectives</t>
        </is>
      </c>
      <c r="F1272" s="26" t="inlineStr">
        <is>
          <t>новое</t>
        </is>
      </c>
      <c r="G1272" s="9" t="inlineStr">
        <is>
          <t>Образование прилагательных (ToC: «forming adjectives»).</t>
        </is>
      </c>
      <c r="H1272" s="25" t="inlineStr">
        <is>
          <t>10+</t>
        </is>
      </c>
      <c r="I1272" s="9">
        <f>IFERROR(INDEX('Темы × классы'!$R:$R,MATCH(E1272,'Темы × классы'!$E:$E,0)),"")</f>
        <v/>
      </c>
      <c r="J1272" s="9">
        <f>IFERROR(INDEX('Темы × классы'!$S:$S,MATCH(E1272,'Темы × классы'!$E:$E,0))&amp;"","")</f>
        <v/>
      </c>
      <c r="K1272" s="9" t="inlineStr">
        <is>
          <t>не начат</t>
        </is>
      </c>
      <c r="L1272" s="9" t="inlineStr">
        <is>
          <t>Spotlight / 10 класс / Module 1 · Strong ties / Word formation / Word formation: forming adjectives</t>
        </is>
      </c>
    </row>
    <row r="1273">
      <c r="A1273" s="25" t="n">
        <v>10</v>
      </c>
      <c r="B1273" s="9" t="inlineStr">
        <is>
          <t>Module 1 · Strong ties</t>
        </is>
      </c>
      <c r="C1273" s="9" t="inlineStr">
        <is>
          <t>1c</t>
        </is>
      </c>
      <c r="D1273" s="9" t="inlineStr">
        <is>
          <t>Dependent prepositions</t>
        </is>
      </c>
      <c r="E1273" s="23" t="inlineStr">
        <is>
          <t>Dependent prepositions</t>
        </is>
      </c>
      <c r="F1273" s="25" t="inlineStr">
        <is>
          <t>повторение</t>
        </is>
      </c>
      <c r="G1273" s="9" t="inlineStr">
        <is>
          <t>Зависимые предлоги (ToC: «dependent prepositions»). Конкретные сочетания урока в источнике не даны; общий список предлогов — в Appendix 1 (см. отдельную строку).</t>
        </is>
      </c>
      <c r="H1273" s="25" t="inlineStr">
        <is>
          <t>10+</t>
        </is>
      </c>
      <c r="I1273" s="9">
        <f>IFERROR(INDEX('Темы × классы'!$R:$R,MATCH(E1273,'Темы × классы'!$E:$E,0)),"")</f>
        <v/>
      </c>
      <c r="J1273" s="9">
        <f>IFERROR(INDEX('Темы × классы'!$S:$S,MATCH(E1273,'Темы × классы'!$E:$E,0))&amp;"","")</f>
        <v/>
      </c>
      <c r="K1273" s="9" t="inlineStr">
        <is>
          <t>не начат</t>
        </is>
      </c>
      <c r="L1273" s="9" t="inlineStr">
        <is>
          <t>Spotlight / 10 класс / Module 1 · Strong ties / Dependent prepositions / Dependent prepositions</t>
        </is>
      </c>
    </row>
    <row r="1274">
      <c r="A1274" s="25" t="n">
        <v>10</v>
      </c>
      <c r="B1274" s="9" t="inlineStr">
        <is>
          <t>Appendix 1</t>
        </is>
      </c>
      <c r="C1274" s="9" t="inlineStr"/>
      <c r="D1274" s="9" t="inlineStr">
        <is>
          <t>Dependent prepositions</t>
        </is>
      </c>
      <c r="E1274" s="23" t="inlineStr">
        <is>
          <t>Dependent prepositions</t>
        </is>
      </c>
      <c r="F1274" s="25" t="inlineStr">
        <is>
          <t>повторение</t>
        </is>
      </c>
      <c r="G1274" s="9" t="inlineStr">
        <is>
          <t>Глагол + предлог: advise sb against, apply for, arrive in, cope with, deal with, feel strongly about, mistake sb for, protect from, recover from, resign from, result in, suffer from. Прилагательное + предлог: avid of (? OCR), bad at, brilliant at, good at, terrible at, be careful with, be careless w</t>
        </is>
      </c>
      <c r="H1274" s="25" t="inlineStr">
        <is>
          <t>10+</t>
        </is>
      </c>
      <c r="I1274" s="9">
        <f>IFERROR(INDEX('Темы × классы'!$R:$R,MATCH(E1274,'Темы × классы'!$E:$E,0)),"")</f>
        <v/>
      </c>
      <c r="J1274" s="9">
        <f>IFERROR(INDEX('Темы × классы'!$S:$S,MATCH(E1274,'Темы × классы'!$E:$E,0))&amp;"","")</f>
        <v/>
      </c>
      <c r="K1274" s="9" t="inlineStr">
        <is>
          <t>не начат</t>
        </is>
      </c>
      <c r="L1274" s="9" t="inlineStr">
        <is>
          <t>Spotlight / 10 класс / Appendix 1 / Dependent prepositions / Dependent prepositions</t>
        </is>
      </c>
    </row>
    <row r="1275">
      <c r="A1275" s="25" t="n">
        <v>10</v>
      </c>
      <c r="B1275" s="9" t="inlineStr">
        <is>
          <t>Module 2 · Living &amp; Spending</t>
        </is>
      </c>
      <c r="C1275" s="9" t="inlineStr">
        <is>
          <t>2c</t>
        </is>
      </c>
      <c r="D1275" s="9" t="inlineStr">
        <is>
          <t>used to</t>
        </is>
      </c>
      <c r="E1275" s="23" t="inlineStr">
        <is>
          <t>used to vs be/get used to + -ing</t>
        </is>
      </c>
      <c r="F1275" s="26" t="inlineStr">
        <is>
          <t>новое</t>
        </is>
      </c>
      <c r="G1275" s="9" t="inlineStr">
        <is>
          <t>I'm used to working / I used to work</t>
        </is>
      </c>
      <c r="H1275" s="25" t="inlineStr">
        <is>
          <t>10+</t>
        </is>
      </c>
      <c r="I1275" s="9">
        <f>IFERROR(INDEX('Темы × классы'!$R:$R,MATCH(E1275,'Темы × классы'!$E:$E,0)),"")</f>
        <v/>
      </c>
      <c r="J1275" s="9">
        <f>IFERROR(INDEX('Темы × классы'!$S:$S,MATCH(E1275,'Темы × классы'!$E:$E,0))&amp;"","")</f>
        <v/>
      </c>
      <c r="K1275" s="9" t="inlineStr">
        <is>
          <t>не начат</t>
        </is>
      </c>
      <c r="L1275" s="9" t="inlineStr">
        <is>
          <t>Spotlight / 10 класс / Module 2 · Living &amp; Spending / used to / used to vs be/get used to + -ing</t>
        </is>
      </c>
    </row>
    <row r="1276">
      <c r="A1276" s="25" t="n">
        <v>10</v>
      </c>
      <c r="B1276" s="9" t="inlineStr">
        <is>
          <t>Module 2 · Living &amp; Spending</t>
        </is>
      </c>
      <c r="C1276" s="9" t="inlineStr">
        <is>
          <t>2c</t>
        </is>
      </c>
      <c r="D1276" s="9" t="inlineStr">
        <is>
          <t>Infinitive / -ing form</t>
        </is>
      </c>
      <c r="E1276" s="23" t="inlineStr">
        <is>
          <t>-ing form: в роли подлежащего</t>
        </is>
      </c>
      <c r="F1276" s="25" t="inlineStr">
        <is>
          <t>повторение</t>
        </is>
      </c>
      <c r="G1276" s="9" t="inlineStr"/>
      <c r="H1276" s="25" t="inlineStr">
        <is>
          <t>10+</t>
        </is>
      </c>
      <c r="I1276" s="9">
        <f>IFERROR(INDEX('Темы × классы'!$R:$R,MATCH(E1276,'Темы × классы'!$E:$E,0)),"")</f>
        <v/>
      </c>
      <c r="J1276" s="9">
        <f>IFERROR(INDEX('Темы × классы'!$S:$S,MATCH(E1276,'Темы × классы'!$E:$E,0))&amp;"","")</f>
        <v/>
      </c>
      <c r="K1276" s="9" t="inlineStr">
        <is>
          <t>не начат</t>
        </is>
      </c>
      <c r="L1276" s="9" t="inlineStr">
        <is>
          <t>Spotlight / 10 класс / Module 2 · Living &amp; Spending / Infinitive / -ing form / -ing form: в роли подлежащего</t>
        </is>
      </c>
    </row>
    <row r="1277">
      <c r="A1277" s="25" t="n">
        <v>10</v>
      </c>
      <c r="B1277" s="9" t="inlineStr">
        <is>
          <t>Module 2 · Living &amp; Spending</t>
        </is>
      </c>
      <c r="C1277" s="9" t="inlineStr">
        <is>
          <t>2c</t>
        </is>
      </c>
      <c r="D1277" s="9" t="inlineStr">
        <is>
          <t>Infinitive / -ing form</t>
        </is>
      </c>
      <c r="E1277" s="23" t="inlineStr">
        <is>
          <t>-ing form: после глаголов admit, avoid, consider, deny, fancy, go, imagine, mind, miss, practise, suggest…</t>
        </is>
      </c>
      <c r="F1277" s="25" t="inlineStr">
        <is>
          <t>повторение</t>
        </is>
      </c>
      <c r="G1277" s="9" t="inlineStr"/>
      <c r="H1277" s="25" t="inlineStr">
        <is>
          <t>10+</t>
        </is>
      </c>
      <c r="I1277" s="9">
        <f>IFERROR(INDEX('Темы × классы'!$R:$R,MATCH(E1277,'Темы × классы'!$E:$E,0)),"")</f>
        <v/>
      </c>
      <c r="J1277" s="9">
        <f>IFERROR(INDEX('Темы × классы'!$S:$S,MATCH(E1277,'Темы × классы'!$E:$E,0))&amp;"","")</f>
        <v/>
      </c>
      <c r="K1277" s="9" t="inlineStr">
        <is>
          <t>не начат</t>
        </is>
      </c>
      <c r="L1277" s="9" t="inlineStr">
        <is>
          <t>Spotlight / 10 класс / Module 2 · Living &amp; Spending / Infinitive / -ing form / -ing form: после глаголов admit, avoid, consider, deny, fancy, go, imagine, mind, miss, practise, suggest…</t>
        </is>
      </c>
    </row>
    <row r="1278">
      <c r="A1278" s="25" t="n">
        <v>10</v>
      </c>
      <c r="B1278" s="9" t="inlineStr">
        <is>
          <t>Module 2 · Living &amp; Spending</t>
        </is>
      </c>
      <c r="C1278" s="9" t="inlineStr">
        <is>
          <t>2c</t>
        </is>
      </c>
      <c r="D1278" s="9" t="inlineStr">
        <is>
          <t>Infinitive / -ing form</t>
        </is>
      </c>
      <c r="E1278" s="23" t="inlineStr">
        <is>
          <t>-ing form: после like, love, enjoy, prefer, dislike, hate — общее предпочтение</t>
        </is>
      </c>
      <c r="F1278" s="25" t="inlineStr">
        <is>
          <t>повторение</t>
        </is>
      </c>
      <c r="G1278" s="9" t="inlineStr"/>
      <c r="H1278" s="25" t="inlineStr">
        <is>
          <t>10+</t>
        </is>
      </c>
      <c r="I1278" s="9">
        <f>IFERROR(INDEX('Темы × классы'!$R:$R,MATCH(E1278,'Темы × классы'!$E:$E,0)),"")</f>
        <v/>
      </c>
      <c r="J1278" s="9">
        <f>IFERROR(INDEX('Темы × классы'!$S:$S,MATCH(E1278,'Темы × классы'!$E:$E,0))&amp;"","")</f>
        <v/>
      </c>
      <c r="K1278" s="9" t="inlineStr">
        <is>
          <t>не начат</t>
        </is>
      </c>
      <c r="L1278" s="9" t="inlineStr">
        <is>
          <t>Spotlight / 10 класс / Module 2 · Living &amp; Spending / Infinitive / -ing form / -ing form: после like, love, enjoy, prefer, dislike, hate — общее предпочтение</t>
        </is>
      </c>
    </row>
    <row r="1279">
      <c r="A1279" s="25" t="n">
        <v>10</v>
      </c>
      <c r="B1279" s="9" t="inlineStr">
        <is>
          <t>Module 2 · Living &amp; Spending</t>
        </is>
      </c>
      <c r="C1279" s="9" t="inlineStr">
        <is>
          <t>2c</t>
        </is>
      </c>
      <c r="D1279" s="9" t="inlineStr">
        <is>
          <t>Infinitive / -ing form</t>
        </is>
      </c>
      <c r="E1279" s="23" t="inlineStr">
        <is>
          <t>-ing form: после выражений it's no use, it's (not) worth, can't help, there's no point…</t>
        </is>
      </c>
      <c r="F1279" s="25" t="inlineStr">
        <is>
          <t>повторение</t>
        </is>
      </c>
      <c r="G1279" s="9" t="inlineStr"/>
      <c r="H1279" s="25" t="inlineStr">
        <is>
          <t>10+</t>
        </is>
      </c>
      <c r="I1279" s="9">
        <f>IFERROR(INDEX('Темы × классы'!$R:$R,MATCH(E1279,'Темы × классы'!$E:$E,0)),"")</f>
        <v/>
      </c>
      <c r="J1279" s="9">
        <f>IFERROR(INDEX('Темы × классы'!$S:$S,MATCH(E1279,'Темы × классы'!$E:$E,0))&amp;"","")</f>
        <v/>
      </c>
      <c r="K1279" s="9" t="inlineStr">
        <is>
          <t>не начат</t>
        </is>
      </c>
      <c r="L1279" s="9" t="inlineStr">
        <is>
          <t>Spotlight / 10 класс / Module 2 · Living &amp; Spending / Infinitive / -ing form / -ing form: после выражений it's no use, it's (not) worth, can't help, there's no point…</t>
        </is>
      </c>
    </row>
    <row r="1280">
      <c r="A1280" s="25" t="n">
        <v>10</v>
      </c>
      <c r="B1280" s="9" t="inlineStr">
        <is>
          <t>Module 2 · Living &amp; Spending</t>
        </is>
      </c>
      <c r="C1280" s="9" t="inlineStr">
        <is>
          <t>2c</t>
        </is>
      </c>
      <c r="D1280" s="9" t="inlineStr">
        <is>
          <t>Infinitive / -ing form</t>
        </is>
      </c>
      <c r="E1280" s="23" t="inlineStr">
        <is>
          <t>-ing form: после spend/waste/lose + время/деньги</t>
        </is>
      </c>
      <c r="F1280" s="25" t="inlineStr">
        <is>
          <t>повторение</t>
        </is>
      </c>
      <c r="G1280" s="9" t="inlineStr"/>
      <c r="H1280" s="25" t="inlineStr">
        <is>
          <t>10+</t>
        </is>
      </c>
      <c r="I1280" s="9">
        <f>IFERROR(INDEX('Темы × классы'!$R:$R,MATCH(E1280,'Темы × классы'!$E:$E,0)),"")</f>
        <v/>
      </c>
      <c r="J1280" s="9">
        <f>IFERROR(INDEX('Темы × классы'!$S:$S,MATCH(E1280,'Темы × классы'!$E:$E,0))&amp;"","")</f>
        <v/>
      </c>
      <c r="K1280" s="9" t="inlineStr">
        <is>
          <t>не начат</t>
        </is>
      </c>
      <c r="L1280" s="9" t="inlineStr">
        <is>
          <t>Spotlight / 10 класс / Module 2 · Living &amp; Spending / Infinitive / -ing form / -ing form: после spend/waste/lose + время/деньги</t>
        </is>
      </c>
    </row>
    <row r="1281">
      <c r="A1281" s="25" t="n">
        <v>10</v>
      </c>
      <c r="B1281" s="9" t="inlineStr">
        <is>
          <t>Module 2 · Living &amp; Spending</t>
        </is>
      </c>
      <c r="C1281" s="9" t="inlineStr">
        <is>
          <t>2c</t>
        </is>
      </c>
      <c r="D1281" s="9" t="inlineStr">
        <is>
          <t>Infinitive / -ing form</t>
        </is>
      </c>
      <c r="E1281" s="23" t="inlineStr">
        <is>
          <t>-ing form: после предлогов (look forward to, be used to, object to…)</t>
        </is>
      </c>
      <c r="F1281" s="25" t="inlineStr">
        <is>
          <t>повторение</t>
        </is>
      </c>
      <c r="G1281" s="9" t="inlineStr"/>
      <c r="H1281" s="25" t="inlineStr">
        <is>
          <t>10+</t>
        </is>
      </c>
      <c r="I1281" s="9">
        <f>IFERROR(INDEX('Темы × классы'!$R:$R,MATCH(E1281,'Темы × классы'!$E:$E,0)),"")</f>
        <v/>
      </c>
      <c r="J1281" s="9">
        <f>IFERROR(INDEX('Темы × классы'!$S:$S,MATCH(E1281,'Темы × классы'!$E:$E,0))&amp;"","")</f>
        <v/>
      </c>
      <c r="K1281" s="9" t="inlineStr">
        <is>
          <t>не начат</t>
        </is>
      </c>
      <c r="L1281" s="9" t="inlineStr">
        <is>
          <t>Spotlight / 10 класс / Module 2 · Living &amp; Spending / Infinitive / -ing form / -ing form: после предлогов (look forward to, be used to, object to…)</t>
        </is>
      </c>
    </row>
    <row r="1282">
      <c r="A1282" s="25" t="n">
        <v>10</v>
      </c>
      <c r="B1282" s="9" t="inlineStr">
        <is>
          <t>Module 2 · Living &amp; Spending</t>
        </is>
      </c>
      <c r="C1282" s="9" t="inlineStr">
        <is>
          <t>2c</t>
        </is>
      </c>
      <c r="D1282" s="9" t="inlineStr">
        <is>
          <t>Infinitive / -ing form</t>
        </is>
      </c>
      <c r="E1282" s="23" t="inlineStr">
        <is>
          <t>-ing vs bare infinitive после see, hear, watch, feel — незавершённое vs завершённое</t>
        </is>
      </c>
      <c r="F1282" s="25" t="inlineStr">
        <is>
          <t>повторение</t>
        </is>
      </c>
      <c r="G1282" s="9" t="inlineStr"/>
      <c r="H1282" s="25" t="inlineStr">
        <is>
          <t>10+</t>
        </is>
      </c>
      <c r="I1282" s="9">
        <f>IFERROR(INDEX('Темы × классы'!$R:$R,MATCH(E1282,'Темы × классы'!$E:$E,0)),"")</f>
        <v/>
      </c>
      <c r="J1282" s="9">
        <f>IFERROR(INDEX('Темы × классы'!$S:$S,MATCH(E1282,'Темы × классы'!$E:$E,0))&amp;"","")</f>
        <v/>
      </c>
      <c r="K1282" s="9" t="inlineStr">
        <is>
          <t>не начат</t>
        </is>
      </c>
      <c r="L1282" s="9" t="inlineStr">
        <is>
          <t>Spotlight / 10 класс / Module 2 · Living &amp; Spending / Infinitive / -ing form / -ing vs bare infinitive после see, hear, watch, feel — незавершённое vs завершённое</t>
        </is>
      </c>
    </row>
    <row r="1283">
      <c r="A1283" s="25" t="n">
        <v>10</v>
      </c>
      <c r="B1283" s="9" t="inlineStr">
        <is>
          <t>Module 2 · Living &amp; Spending</t>
        </is>
      </c>
      <c r="C1283" s="9" t="inlineStr">
        <is>
          <t>2c</t>
        </is>
      </c>
      <c r="D1283" s="9" t="inlineStr">
        <is>
          <t>Infinitive / -ing form</t>
        </is>
      </c>
      <c r="E1283" s="23" t="inlineStr">
        <is>
          <t>to-infinitive: цель</t>
        </is>
      </c>
      <c r="F1283" s="25" t="inlineStr">
        <is>
          <t>повторение</t>
        </is>
      </c>
      <c r="G1283" s="9" t="inlineStr"/>
      <c r="H1283" s="25" t="inlineStr">
        <is>
          <t>10+</t>
        </is>
      </c>
      <c r="I1283" s="9">
        <f>IFERROR(INDEX('Темы × классы'!$R:$R,MATCH(E1283,'Темы × классы'!$E:$E,0)),"")</f>
        <v/>
      </c>
      <c r="J1283" s="9">
        <f>IFERROR(INDEX('Темы × классы'!$S:$S,MATCH(E1283,'Темы × классы'!$E:$E,0))&amp;"","")</f>
        <v/>
      </c>
      <c r="K1283" s="9" t="inlineStr">
        <is>
          <t>не начат</t>
        </is>
      </c>
      <c r="L1283" s="9" t="inlineStr">
        <is>
          <t>Spotlight / 10 класс / Module 2 · Living &amp; Spending / Infinitive / -ing form / to-infinitive: цель</t>
        </is>
      </c>
    </row>
    <row r="1284">
      <c r="A1284" s="25" t="n">
        <v>10</v>
      </c>
      <c r="B1284" s="9" t="inlineStr">
        <is>
          <t>Module 2 · Living &amp; Spending</t>
        </is>
      </c>
      <c r="C1284" s="9" t="inlineStr">
        <is>
          <t>2c</t>
        </is>
      </c>
      <c r="D1284" s="9" t="inlineStr">
        <is>
          <t>Infinitive / -ing form</t>
        </is>
      </c>
      <c r="E1284" s="23" t="inlineStr">
        <is>
          <t>to-infinitive: после agree, decide, expect, hope, plan, promise, refuse, want</t>
        </is>
      </c>
      <c r="F1284" s="25" t="inlineStr">
        <is>
          <t>повторение</t>
        </is>
      </c>
      <c r="G1284" s="9" t="inlineStr"/>
      <c r="H1284" s="25" t="inlineStr">
        <is>
          <t>10+</t>
        </is>
      </c>
      <c r="I1284" s="9">
        <f>IFERROR(INDEX('Темы × классы'!$R:$R,MATCH(E1284,'Темы × классы'!$E:$E,0)),"")</f>
        <v/>
      </c>
      <c r="J1284" s="9">
        <f>IFERROR(INDEX('Темы × классы'!$S:$S,MATCH(E1284,'Темы × классы'!$E:$E,0))&amp;"","")</f>
        <v/>
      </c>
      <c r="K1284" s="9" t="inlineStr">
        <is>
          <t>не начат</t>
        </is>
      </c>
      <c r="L1284" s="9" t="inlineStr">
        <is>
          <t>Spotlight / 10 класс / Module 2 · Living &amp; Spending / Infinitive / -ing form / to-infinitive: после agree, decide, expect, hope, plan, promise, refuse, want</t>
        </is>
      </c>
    </row>
    <row r="1285">
      <c r="A1285" s="25" t="n">
        <v>10</v>
      </c>
      <c r="B1285" s="9" t="inlineStr">
        <is>
          <t>Module 2 · Living &amp; Spending</t>
        </is>
      </c>
      <c r="C1285" s="9" t="inlineStr">
        <is>
          <t>2c</t>
        </is>
      </c>
      <c r="D1285" s="9" t="inlineStr">
        <is>
          <t>Infinitive / -ing form</t>
        </is>
      </c>
      <c r="E1285" s="23" t="inlineStr">
        <is>
          <t>to-infinitive: после would like/prefer/love — конкретное предпочтение</t>
        </is>
      </c>
      <c r="F1285" s="25" t="inlineStr">
        <is>
          <t>повторение</t>
        </is>
      </c>
      <c r="G1285" s="9" t="inlineStr"/>
      <c r="H1285" s="25" t="inlineStr">
        <is>
          <t>10+</t>
        </is>
      </c>
      <c r="I1285" s="9">
        <f>IFERROR(INDEX('Темы × классы'!$R:$R,MATCH(E1285,'Темы × классы'!$E:$E,0)),"")</f>
        <v/>
      </c>
      <c r="J1285" s="9">
        <f>IFERROR(INDEX('Темы × классы'!$S:$S,MATCH(E1285,'Темы × классы'!$E:$E,0))&amp;"","")</f>
        <v/>
      </c>
      <c r="K1285" s="9" t="inlineStr">
        <is>
          <t>не начат</t>
        </is>
      </c>
      <c r="L1285" s="9" t="inlineStr">
        <is>
          <t>Spotlight / 10 класс / Module 2 · Living &amp; Spending / Infinitive / -ing form / to-infinitive: после would like/prefer/love — конкретное предпочтение</t>
        </is>
      </c>
    </row>
    <row r="1286">
      <c r="A1286" s="25" t="n">
        <v>10</v>
      </c>
      <c r="B1286" s="9" t="inlineStr">
        <is>
          <t>Module 2 · Living &amp; Spending</t>
        </is>
      </c>
      <c r="C1286" s="9" t="inlineStr">
        <is>
          <t>2c</t>
        </is>
      </c>
      <c r="D1286" s="9" t="inlineStr">
        <is>
          <t>Infinitive / -ing form</t>
        </is>
      </c>
      <c r="E1286" s="23" t="inlineStr">
        <is>
          <t>to-infinitive: после прилагательных (happy, eager, kind, lucky…); It was kind of you to…</t>
        </is>
      </c>
      <c r="F1286" s="25" t="inlineStr">
        <is>
          <t>повторение</t>
        </is>
      </c>
      <c r="G1286" s="9" t="inlineStr">
        <is>
          <t>+ it + be + adj/noun</t>
        </is>
      </c>
      <c r="H1286" s="25" t="inlineStr">
        <is>
          <t>10+</t>
        </is>
      </c>
      <c r="I1286" s="9">
        <f>IFERROR(INDEX('Темы × классы'!$R:$R,MATCH(E1286,'Темы × классы'!$E:$E,0)),"")</f>
        <v/>
      </c>
      <c r="J1286" s="9">
        <f>IFERROR(INDEX('Темы × классы'!$S:$S,MATCH(E1286,'Темы × классы'!$E:$E,0))&amp;"","")</f>
        <v/>
      </c>
      <c r="K1286" s="9" t="inlineStr">
        <is>
          <t>не начат</t>
        </is>
      </c>
      <c r="L1286" s="9" t="inlineStr">
        <is>
          <t>Spotlight / 10 класс / Module 2 · Living &amp; Spending / Infinitive / -ing form / to-infinitive: после прилагательных (happy, eager, kind, lucky…); It was kind of you to…</t>
        </is>
      </c>
    </row>
    <row r="1287">
      <c r="A1287" s="25" t="n">
        <v>10</v>
      </c>
      <c r="B1287" s="9" t="inlineStr">
        <is>
          <t>Module 2 · Living &amp; Spending</t>
        </is>
      </c>
      <c r="C1287" s="9" t="inlineStr">
        <is>
          <t>2c</t>
        </is>
      </c>
      <c r="D1287" s="9" t="inlineStr">
        <is>
          <t>Infinitive / -ing form</t>
        </is>
      </c>
      <c r="E1287" s="23" t="inlineStr">
        <is>
          <t>to-infinitive: после too/enough</t>
        </is>
      </c>
      <c r="F1287" s="25" t="inlineStr">
        <is>
          <t>повторение</t>
        </is>
      </c>
      <c r="G1287" s="9" t="inlineStr"/>
      <c r="H1287" s="25" t="inlineStr">
        <is>
          <t>10+</t>
        </is>
      </c>
      <c r="I1287" s="9">
        <f>IFERROR(INDEX('Темы × классы'!$R:$R,MATCH(E1287,'Темы × классы'!$E:$E,0)),"")</f>
        <v/>
      </c>
      <c r="J1287" s="9">
        <f>IFERROR(INDEX('Темы × классы'!$S:$S,MATCH(E1287,'Темы × классы'!$E:$E,0))&amp;"","")</f>
        <v/>
      </c>
      <c r="K1287" s="9" t="inlineStr">
        <is>
          <t>не начат</t>
        </is>
      </c>
      <c r="L1287" s="9" t="inlineStr">
        <is>
          <t>Spotlight / 10 класс / Module 2 · Living &amp; Spending / Infinitive / -ing form / to-infinitive: после too/enough</t>
        </is>
      </c>
    </row>
    <row r="1288">
      <c r="A1288" s="25" t="n">
        <v>10</v>
      </c>
      <c r="B1288" s="9" t="inlineStr">
        <is>
          <t>Module 2 · Living &amp; Spending</t>
        </is>
      </c>
      <c r="C1288" s="9" t="inlineStr">
        <is>
          <t>2c</t>
        </is>
      </c>
      <c r="D1288" s="9" t="inlineStr">
        <is>
          <t>Infinitive / -ing form</t>
        </is>
      </c>
      <c r="E1288" s="23" t="inlineStr">
        <is>
          <t>to-infinitive: после be the first/next/last</t>
        </is>
      </c>
      <c r="F1288" s="25" t="inlineStr">
        <is>
          <t>повторение</t>
        </is>
      </c>
      <c r="G1288" s="9" t="inlineStr"/>
      <c r="H1288" s="25" t="inlineStr">
        <is>
          <t>10+</t>
        </is>
      </c>
      <c r="I1288" s="9">
        <f>IFERROR(INDEX('Темы × классы'!$R:$R,MATCH(E1288,'Темы × классы'!$E:$E,0)),"")</f>
        <v/>
      </c>
      <c r="J1288" s="9">
        <f>IFERROR(INDEX('Темы × классы'!$S:$S,MATCH(E1288,'Темы × классы'!$E:$E,0))&amp;"","")</f>
        <v/>
      </c>
      <c r="K1288" s="9" t="inlineStr">
        <is>
          <t>не начат</t>
        </is>
      </c>
      <c r="L1288" s="9" t="inlineStr">
        <is>
          <t>Spotlight / 10 класс / Module 2 · Living &amp; Spending / Infinitive / -ing form / to-infinitive: после be the first/next/last</t>
        </is>
      </c>
    </row>
    <row r="1289">
      <c r="A1289" s="25" t="n">
        <v>10</v>
      </c>
      <c r="B1289" s="9" t="inlineStr">
        <is>
          <t>Module 2 · Living &amp; Spending</t>
        </is>
      </c>
      <c r="C1289" s="9" t="inlineStr">
        <is>
          <t>2c</t>
        </is>
      </c>
      <c r="D1289" s="9" t="inlineStr">
        <is>
          <t>Infinitive / -ing form</t>
        </is>
      </c>
      <c r="E1289" s="23" t="inlineStr">
        <is>
          <t>to-infinitive: устойчивые выражения (to tell you the truth, to be honest, to sum up…)</t>
        </is>
      </c>
      <c r="F1289" s="25" t="inlineStr">
        <is>
          <t>повторение</t>
        </is>
      </c>
      <c r="G1289" s="9" t="inlineStr"/>
      <c r="H1289" s="25" t="inlineStr">
        <is>
          <t>10+</t>
        </is>
      </c>
      <c r="I1289" s="9">
        <f>IFERROR(INDEX('Темы × классы'!$R:$R,MATCH(E1289,'Темы × классы'!$E:$E,0)),"")</f>
        <v/>
      </c>
      <c r="J1289" s="9">
        <f>IFERROR(INDEX('Темы × классы'!$S:$S,MATCH(E1289,'Темы × классы'!$E:$E,0))&amp;"","")</f>
        <v/>
      </c>
      <c r="K1289" s="9" t="inlineStr">
        <is>
          <t>не начат</t>
        </is>
      </c>
      <c r="L1289" s="9" t="inlineStr">
        <is>
          <t>Spotlight / 10 класс / Module 2 · Living &amp; Spending / Infinitive / -ing form / to-infinitive: устойчивые выражения (to tell you the truth, to be honest, to sum up…)</t>
        </is>
      </c>
    </row>
    <row r="1290">
      <c r="A1290" s="25" t="n">
        <v>10</v>
      </c>
      <c r="B1290" s="9" t="inlineStr">
        <is>
          <t>Module 2 · Living &amp; Spending</t>
        </is>
      </c>
      <c r="C1290" s="9" t="inlineStr">
        <is>
          <t>2c</t>
        </is>
      </c>
      <c r="D1290" s="9" t="inlineStr">
        <is>
          <t>Infinitive / -ing form</t>
        </is>
      </c>
      <c r="E1290" s="23" t="inlineStr">
        <is>
          <t>to-infinitive: вопросительное слово + to-inf (when to go)</t>
        </is>
      </c>
      <c r="F1290" s="25" t="inlineStr">
        <is>
          <t>повторение</t>
        </is>
      </c>
      <c r="G1290" s="9" t="inlineStr">
        <is>
          <t>после ask, decide, explain, find out, learn, want to know</t>
        </is>
      </c>
      <c r="H1290" s="25" t="inlineStr">
        <is>
          <t>10+</t>
        </is>
      </c>
      <c r="I1290" s="9">
        <f>IFERROR(INDEX('Темы × классы'!$R:$R,MATCH(E1290,'Темы × классы'!$E:$E,0)),"")</f>
        <v/>
      </c>
      <c r="J1290" s="9">
        <f>IFERROR(INDEX('Темы × классы'!$S:$S,MATCH(E1290,'Темы × классы'!$E:$E,0))&amp;"","")</f>
        <v/>
      </c>
      <c r="K1290" s="9" t="inlineStr">
        <is>
          <t>не начат</t>
        </is>
      </c>
      <c r="L1290" s="9" t="inlineStr">
        <is>
          <t>Spotlight / 10 класс / Module 2 · Living &amp; Spending / Infinitive / -ing form / to-infinitive: вопросительное слово + to-inf (when to go)</t>
        </is>
      </c>
    </row>
    <row r="1291">
      <c r="A1291" s="25" t="n">
        <v>10</v>
      </c>
      <c r="B1291" s="9" t="inlineStr">
        <is>
          <t>Module 2 · Living &amp; Spending</t>
        </is>
      </c>
      <c r="C1291" s="9" t="inlineStr">
        <is>
          <t>2c</t>
        </is>
      </c>
      <c r="D1291" s="9" t="inlineStr">
        <is>
          <t>Infinitive / -ing form</t>
        </is>
      </c>
      <c r="E1291" s="23" t="inlineStr">
        <is>
          <t>to-infinitive: после существительных; so + adj + as to; only + to-inf; for + sb + to-inf</t>
        </is>
      </c>
      <c r="F1291" s="25" t="inlineStr">
        <is>
          <t>повторение</t>
        </is>
      </c>
      <c r="G1291" s="9" t="inlineStr"/>
      <c r="H1291" s="25" t="inlineStr">
        <is>
          <t>10+</t>
        </is>
      </c>
      <c r="I1291" s="9">
        <f>IFERROR(INDEX('Темы × классы'!$R:$R,MATCH(E1291,'Темы × классы'!$E:$E,0)),"")</f>
        <v/>
      </c>
      <c r="J1291" s="9">
        <f>IFERROR(INDEX('Темы × классы'!$S:$S,MATCH(E1291,'Темы × классы'!$E:$E,0))&amp;"","")</f>
        <v/>
      </c>
      <c r="K1291" s="9" t="inlineStr">
        <is>
          <t>не начат</t>
        </is>
      </c>
      <c r="L1291" s="9" t="inlineStr">
        <is>
          <t>Spotlight / 10 класс / Module 2 · Living &amp; Spending / Infinitive / -ing form / to-infinitive: после существительных; so + adj + as to; only + to-inf; for + sb + to-inf</t>
        </is>
      </c>
    </row>
    <row r="1292">
      <c r="A1292" s="25" t="n">
        <v>10</v>
      </c>
      <c r="B1292" s="9" t="inlineStr">
        <is>
          <t>Module 2 · Living &amp; Spending</t>
        </is>
      </c>
      <c r="C1292" s="9" t="inlineStr">
        <is>
          <t>2c</t>
        </is>
      </c>
      <c r="D1292" s="9" t="inlineStr">
        <is>
          <t>Infinitive / -ing form</t>
        </is>
      </c>
      <c r="E1292" s="23" t="inlineStr">
        <is>
          <t>to-infinitive: второй инфинитив после and/or без to</t>
        </is>
      </c>
      <c r="F1292" s="25" t="inlineStr">
        <is>
          <t>повторение</t>
        </is>
      </c>
      <c r="G1292" s="9" t="inlineStr"/>
      <c r="H1292" s="25" t="inlineStr">
        <is>
          <t>10+</t>
        </is>
      </c>
      <c r="I1292" s="9">
        <f>IFERROR(INDEX('Темы × классы'!$R:$R,MATCH(E1292,'Темы × классы'!$E:$E,0)),"")</f>
        <v/>
      </c>
      <c r="J1292" s="9">
        <f>IFERROR(INDEX('Темы × классы'!$S:$S,MATCH(E1292,'Темы × классы'!$E:$E,0))&amp;"","")</f>
        <v/>
      </c>
      <c r="K1292" s="9" t="inlineStr">
        <is>
          <t>не начат</t>
        </is>
      </c>
      <c r="L1292" s="9" t="inlineStr">
        <is>
          <t>Spotlight / 10 класс / Module 2 · Living &amp; Spending / Infinitive / -ing form / to-infinitive: второй инфинитив после and/or без to</t>
        </is>
      </c>
    </row>
    <row r="1293">
      <c r="A1293" s="25" t="n">
        <v>10</v>
      </c>
      <c r="B1293" s="9" t="inlineStr">
        <is>
          <t>Module 2 · Living &amp; Spending</t>
        </is>
      </c>
      <c r="C1293" s="9" t="inlineStr">
        <is>
          <t>2c</t>
        </is>
      </c>
      <c r="D1293" s="9" t="inlineStr">
        <is>
          <t>Infinitive / -ing form</t>
        </is>
      </c>
      <c r="E1293" s="23" t="inlineStr">
        <is>
          <t>to-infinitive: dare — с to и без</t>
        </is>
      </c>
      <c r="F1293" s="25" t="inlineStr">
        <is>
          <t>повторение</t>
        </is>
      </c>
      <c r="G1293" s="9" t="inlineStr"/>
      <c r="H1293" s="25" t="inlineStr">
        <is>
          <t>10+</t>
        </is>
      </c>
      <c r="I1293" s="9">
        <f>IFERROR(INDEX('Темы × классы'!$R:$R,MATCH(E1293,'Темы × классы'!$E:$E,0)),"")</f>
        <v/>
      </c>
      <c r="J1293" s="9">
        <f>IFERROR(INDEX('Темы × классы'!$S:$S,MATCH(E1293,'Темы × классы'!$E:$E,0))&amp;"","")</f>
        <v/>
      </c>
      <c r="K1293" s="9" t="inlineStr">
        <is>
          <t>не начат</t>
        </is>
      </c>
      <c r="L1293" s="9" t="inlineStr">
        <is>
          <t>Spotlight / 10 класс / Module 2 · Living &amp; Spending / Infinitive / -ing form / to-infinitive: dare — с to и без</t>
        </is>
      </c>
    </row>
    <row r="1294">
      <c r="A1294" s="25" t="n">
        <v>10</v>
      </c>
      <c r="B1294" s="9" t="inlineStr">
        <is>
          <t>Module 2 · Living &amp; Spending</t>
        </is>
      </c>
      <c r="C1294" s="9" t="inlineStr">
        <is>
          <t>2c</t>
        </is>
      </c>
      <c r="D1294" s="9" t="inlineStr">
        <is>
          <t>Infinitive / -ing form</t>
        </is>
      </c>
      <c r="E1294" s="23" t="inlineStr">
        <is>
          <t>Bare infinitive: после модальных, had better, would rather</t>
        </is>
      </c>
      <c r="F1294" s="25" t="inlineStr">
        <is>
          <t>повторение</t>
        </is>
      </c>
      <c r="G1294" s="9" t="inlineStr"/>
      <c r="H1294" s="25" t="inlineStr">
        <is>
          <t>10+</t>
        </is>
      </c>
      <c r="I1294" s="9">
        <f>IFERROR(INDEX('Темы × классы'!$R:$R,MATCH(E1294,'Темы × классы'!$E:$E,0)),"")</f>
        <v/>
      </c>
      <c r="J1294" s="9">
        <f>IFERROR(INDEX('Темы × классы'!$S:$S,MATCH(E1294,'Темы × классы'!$E:$E,0))&amp;"","")</f>
        <v/>
      </c>
      <c r="K1294" s="9" t="inlineStr">
        <is>
          <t>не начат</t>
        </is>
      </c>
      <c r="L1294" s="9" t="inlineStr">
        <is>
          <t>Spotlight / 10 класс / Module 2 · Living &amp; Spending / Infinitive / -ing form / Bare infinitive: после модальных, had better, would rather</t>
        </is>
      </c>
    </row>
    <row r="1295">
      <c r="A1295" s="25" t="n">
        <v>10</v>
      </c>
      <c r="B1295" s="9" t="inlineStr">
        <is>
          <t>Module 2 · Living &amp; Spending</t>
        </is>
      </c>
      <c r="C1295" s="9" t="inlineStr">
        <is>
          <t>2c</t>
        </is>
      </c>
      <c r="D1295" s="9" t="inlineStr">
        <is>
          <t>Infinitive / -ing form</t>
        </is>
      </c>
      <c r="E1295" s="23" t="inlineStr">
        <is>
          <t>Bare infinitive: let/make/see/hear/feel + object + V; в пассиве + to (was made to)</t>
        </is>
      </c>
      <c r="F1295" s="27" t="inlineStr">
        <is>
          <t>расширение</t>
        </is>
      </c>
      <c r="G1295" s="9" t="inlineStr">
        <is>
          <t>+ see/hear/watch + -ing в пассиве не меняются (She was heard crying)</t>
        </is>
      </c>
      <c r="H1295" s="25" t="inlineStr">
        <is>
          <t>10+</t>
        </is>
      </c>
      <c r="I1295" s="9">
        <f>IFERROR(INDEX('Темы × классы'!$R:$R,MATCH(E1295,'Темы × классы'!$E:$E,0)),"")</f>
        <v/>
      </c>
      <c r="J1295" s="9">
        <f>IFERROR(INDEX('Темы × классы'!$S:$S,MATCH(E1295,'Темы × классы'!$E:$E,0))&amp;"","")</f>
        <v/>
      </c>
      <c r="K1295" s="9" t="inlineStr">
        <is>
          <t>не начат</t>
        </is>
      </c>
      <c r="L1295" s="9" t="inlineStr">
        <is>
          <t>Spotlight / 10 класс / Module 2 · Living &amp; Spending / Infinitive / -ing form / Bare infinitive: let/make/see/hear/feel + object + V; в пассиве + to (was made to)</t>
        </is>
      </c>
    </row>
    <row r="1296">
      <c r="A1296" s="25" t="n">
        <v>10</v>
      </c>
      <c r="B1296" s="9" t="inlineStr">
        <is>
          <t>Module 2 · Living &amp; Spending</t>
        </is>
      </c>
      <c r="C1296" s="9" t="inlineStr">
        <is>
          <t>2c</t>
        </is>
      </c>
      <c r="D1296" s="9" t="inlineStr">
        <is>
          <t>Infinitive / -ing form</t>
        </is>
      </c>
      <c r="E1296" s="23" t="inlineStr">
        <is>
          <t>Bare infinitive: help + (to) V</t>
        </is>
      </c>
      <c r="F1296" s="25" t="inlineStr">
        <is>
          <t>повторение</t>
        </is>
      </c>
      <c r="G1296" s="9" t="inlineStr"/>
      <c r="H1296" s="25" t="inlineStr">
        <is>
          <t>10+</t>
        </is>
      </c>
      <c r="I1296" s="9">
        <f>IFERROR(INDEX('Темы × классы'!$R:$R,MATCH(E1296,'Темы × классы'!$E:$E,0)),"")</f>
        <v/>
      </c>
      <c r="J1296" s="9">
        <f>IFERROR(INDEX('Темы × классы'!$S:$S,MATCH(E1296,'Темы × классы'!$E:$E,0))&amp;"","")</f>
        <v/>
      </c>
      <c r="K1296" s="9" t="inlineStr">
        <is>
          <t>не начат</t>
        </is>
      </c>
      <c r="L1296" s="9" t="inlineStr">
        <is>
          <t>Spotlight / 10 класс / Module 2 · Living &amp; Spending / Infinitive / -ing form / Bare infinitive: help + (to) V</t>
        </is>
      </c>
    </row>
    <row r="1297">
      <c r="A1297" s="25" t="n">
        <v>10</v>
      </c>
      <c r="B1297" s="9" t="inlineStr">
        <is>
          <t>Module 2 · Living &amp; Spending</t>
        </is>
      </c>
      <c r="C1297" s="9" t="inlineStr">
        <is>
          <t>2c</t>
        </is>
      </c>
      <c r="D1297" s="9" t="inlineStr">
        <is>
          <t>Infinitive / -ing form (difference in meaning)</t>
        </is>
      </c>
      <c r="E1297" s="23" t="inlineStr">
        <is>
          <t>Infinitive vs -ing: forget/remember</t>
        </is>
      </c>
      <c r="F1297" s="25" t="inlineStr">
        <is>
          <t>повторение</t>
        </is>
      </c>
      <c r="G1297" s="9" t="inlineStr"/>
      <c r="H1297" s="25" t="inlineStr">
        <is>
          <t>10+</t>
        </is>
      </c>
      <c r="I1297" s="9">
        <f>IFERROR(INDEX('Темы × классы'!$R:$R,MATCH(E1297,'Темы × классы'!$E:$E,0)),"")</f>
        <v/>
      </c>
      <c r="J1297" s="9">
        <f>IFERROR(INDEX('Темы × классы'!$S:$S,MATCH(E1297,'Темы × классы'!$E:$E,0))&amp;"","")</f>
        <v/>
      </c>
      <c r="K1297" s="9" t="inlineStr">
        <is>
          <t>не начат</t>
        </is>
      </c>
      <c r="L1297" s="9" t="inlineStr">
        <is>
          <t>Spotlight / 10 класс / Module 2 · Living &amp; Spending / Infinitive / -ing form (difference in meaning) / Infinitive vs -ing: forget/remember</t>
        </is>
      </c>
    </row>
    <row r="1298">
      <c r="A1298" s="25" t="n">
        <v>10</v>
      </c>
      <c r="B1298" s="9" t="inlineStr">
        <is>
          <t>Module 2 · Living &amp; Spending</t>
        </is>
      </c>
      <c r="C1298" s="9" t="inlineStr">
        <is>
          <t>2c</t>
        </is>
      </c>
      <c r="D1298" s="9" t="inlineStr">
        <is>
          <t>Infinitive / -ing form (difference in meaning)</t>
        </is>
      </c>
      <c r="E1298" s="23" t="inlineStr">
        <is>
          <t>Infinitive vs -ing: stop</t>
        </is>
      </c>
      <c r="F1298" s="25" t="inlineStr">
        <is>
          <t>повторение</t>
        </is>
      </c>
      <c r="G1298" s="9" t="inlineStr"/>
      <c r="H1298" s="25" t="inlineStr">
        <is>
          <t>10+</t>
        </is>
      </c>
      <c r="I1298" s="9">
        <f>IFERROR(INDEX('Темы × классы'!$R:$R,MATCH(E1298,'Темы × классы'!$E:$E,0)),"")</f>
        <v/>
      </c>
      <c r="J1298" s="9">
        <f>IFERROR(INDEX('Темы × классы'!$S:$S,MATCH(E1298,'Темы × классы'!$E:$E,0))&amp;"","")</f>
        <v/>
      </c>
      <c r="K1298" s="9" t="inlineStr">
        <is>
          <t>не начат</t>
        </is>
      </c>
      <c r="L1298" s="9" t="inlineStr">
        <is>
          <t>Spotlight / 10 класс / Module 2 · Living &amp; Spending / Infinitive / -ing form (difference in meaning) / Infinitive vs -ing: stop</t>
        </is>
      </c>
    </row>
    <row r="1299">
      <c r="A1299" s="25" t="n">
        <v>10</v>
      </c>
      <c r="B1299" s="9" t="inlineStr">
        <is>
          <t>Module 2 · Living &amp; Spending</t>
        </is>
      </c>
      <c r="C1299" s="9" t="inlineStr">
        <is>
          <t>2c</t>
        </is>
      </c>
      <c r="D1299" s="9" t="inlineStr">
        <is>
          <t>Infinitive / -ing form (difference in meaning)</t>
        </is>
      </c>
      <c r="E1299" s="23" t="inlineStr">
        <is>
          <t>Infinitive vs -ing: try</t>
        </is>
      </c>
      <c r="F1299" s="25" t="inlineStr">
        <is>
          <t>повторение</t>
        </is>
      </c>
      <c r="G1299" s="9" t="inlineStr"/>
      <c r="H1299" s="25" t="inlineStr">
        <is>
          <t>10+</t>
        </is>
      </c>
      <c r="I1299" s="9">
        <f>IFERROR(INDEX('Темы × классы'!$R:$R,MATCH(E1299,'Темы × классы'!$E:$E,0)),"")</f>
        <v/>
      </c>
      <c r="J1299" s="9">
        <f>IFERROR(INDEX('Темы × классы'!$S:$S,MATCH(E1299,'Темы × классы'!$E:$E,0))&amp;"","")</f>
        <v/>
      </c>
      <c r="K1299" s="9" t="inlineStr">
        <is>
          <t>не начат</t>
        </is>
      </c>
      <c r="L1299" s="9" t="inlineStr">
        <is>
          <t>Spotlight / 10 класс / Module 2 · Living &amp; Spending / Infinitive / -ing form (difference in meaning) / Infinitive vs -ing: try</t>
        </is>
      </c>
    </row>
    <row r="1300">
      <c r="A1300" s="25" t="n">
        <v>10</v>
      </c>
      <c r="B1300" s="9" t="inlineStr">
        <is>
          <t>Module 2 · Living &amp; Spending</t>
        </is>
      </c>
      <c r="C1300" s="9" t="inlineStr">
        <is>
          <t>2c</t>
        </is>
      </c>
      <c r="D1300" s="9" t="inlineStr">
        <is>
          <t>Infinitive / -ing form (difference in meaning)</t>
        </is>
      </c>
      <c r="E1300" s="23" t="inlineStr">
        <is>
          <t>Infinitive vs -ing: regret</t>
        </is>
      </c>
      <c r="F1300" s="25" t="inlineStr">
        <is>
          <t>повторение</t>
        </is>
      </c>
      <c r="G1300" s="9" t="inlineStr"/>
      <c r="H1300" s="25" t="inlineStr">
        <is>
          <t>10+</t>
        </is>
      </c>
      <c r="I1300" s="9">
        <f>IFERROR(INDEX('Темы × классы'!$R:$R,MATCH(E1300,'Темы × классы'!$E:$E,0)),"")</f>
        <v/>
      </c>
      <c r="J1300" s="9">
        <f>IFERROR(INDEX('Темы × классы'!$S:$S,MATCH(E1300,'Темы × классы'!$E:$E,0))&amp;"","")</f>
        <v/>
      </c>
      <c r="K1300" s="9" t="inlineStr">
        <is>
          <t>не начат</t>
        </is>
      </c>
      <c r="L1300" s="9" t="inlineStr">
        <is>
          <t>Spotlight / 10 класс / Module 2 · Living &amp; Spending / Infinitive / -ing form (difference in meaning) / Infinitive vs -ing: regret</t>
        </is>
      </c>
    </row>
    <row r="1301">
      <c r="A1301" s="25" t="n">
        <v>10</v>
      </c>
      <c r="B1301" s="9" t="inlineStr">
        <is>
          <t>Module 2 · Living &amp; Spending</t>
        </is>
      </c>
      <c r="C1301" s="9" t="inlineStr">
        <is>
          <t>2c</t>
        </is>
      </c>
      <c r="D1301" s="9" t="inlineStr">
        <is>
          <t>Infinitive / -ing form (difference in meaning)</t>
        </is>
      </c>
      <c r="E1301" s="23" t="inlineStr">
        <is>
          <t>Infinitive vs -ing: mean</t>
        </is>
      </c>
      <c r="F1301" s="25" t="inlineStr">
        <is>
          <t>повторение</t>
        </is>
      </c>
      <c r="G1301" s="9" t="inlineStr"/>
      <c r="H1301" s="25" t="inlineStr">
        <is>
          <t>10+</t>
        </is>
      </c>
      <c r="I1301" s="9">
        <f>IFERROR(INDEX('Темы × классы'!$R:$R,MATCH(E1301,'Темы × классы'!$E:$E,0)),"")</f>
        <v/>
      </c>
      <c r="J1301" s="9">
        <f>IFERROR(INDEX('Темы × классы'!$S:$S,MATCH(E1301,'Темы × классы'!$E:$E,0))&amp;"","")</f>
        <v/>
      </c>
      <c r="K1301" s="9" t="inlineStr">
        <is>
          <t>не начат</t>
        </is>
      </c>
      <c r="L1301" s="9" t="inlineStr">
        <is>
          <t>Spotlight / 10 класс / Module 2 · Living &amp; Spending / Infinitive / -ing form (difference in meaning) / Infinitive vs -ing: mean</t>
        </is>
      </c>
    </row>
    <row r="1302">
      <c r="A1302" s="25" t="n">
        <v>10</v>
      </c>
      <c r="B1302" s="9" t="inlineStr">
        <is>
          <t>Module 2 · Living &amp; Spending</t>
        </is>
      </c>
      <c r="C1302" s="9" t="inlineStr">
        <is>
          <t>2c</t>
        </is>
      </c>
      <c r="D1302" s="9" t="inlineStr">
        <is>
          <t>Infinitive / -ing form (difference in meaning)</t>
        </is>
      </c>
      <c r="E1302" s="23" t="inlineStr">
        <is>
          <t>Infinitive vs -ing: go on</t>
        </is>
      </c>
      <c r="F1302" s="25" t="inlineStr">
        <is>
          <t>повторение</t>
        </is>
      </c>
      <c r="G1302" s="9" t="inlineStr"/>
      <c r="H1302" s="25" t="inlineStr">
        <is>
          <t>10+</t>
        </is>
      </c>
      <c r="I1302" s="9">
        <f>IFERROR(INDEX('Темы × классы'!$R:$R,MATCH(E1302,'Темы × классы'!$E:$E,0)),"")</f>
        <v/>
      </c>
      <c r="J1302" s="9">
        <f>IFERROR(INDEX('Темы × классы'!$S:$S,MATCH(E1302,'Темы × классы'!$E:$E,0))&amp;"","")</f>
        <v/>
      </c>
      <c r="K1302" s="9" t="inlineStr">
        <is>
          <t>не начат</t>
        </is>
      </c>
      <c r="L1302" s="9" t="inlineStr">
        <is>
          <t>Spotlight / 10 класс / Module 2 · Living &amp; Spending / Infinitive / -ing form (difference in meaning) / Infinitive vs -ing: go on</t>
        </is>
      </c>
    </row>
    <row r="1303">
      <c r="A1303" s="25" t="n">
        <v>10</v>
      </c>
      <c r="B1303" s="9" t="inlineStr">
        <is>
          <t>Module 2 · Living &amp; Spending</t>
        </is>
      </c>
      <c r="C1303" s="9" t="inlineStr">
        <is>
          <t>2c</t>
        </is>
      </c>
      <c r="D1303" s="9" t="inlineStr">
        <is>
          <t>Infinitive / -ing form (difference in meaning)</t>
        </is>
      </c>
      <c r="E1303" s="23" t="inlineStr">
        <is>
          <t>Infinitive vs -ing: hate</t>
        </is>
      </c>
      <c r="F1303" s="25" t="inlineStr">
        <is>
          <t>повторение</t>
        </is>
      </c>
      <c r="G1303" s="9" t="inlineStr"/>
      <c r="H1303" s="25" t="inlineStr">
        <is>
          <t>10+</t>
        </is>
      </c>
      <c r="I1303" s="9">
        <f>IFERROR(INDEX('Темы × классы'!$R:$R,MATCH(E1303,'Темы × классы'!$E:$E,0)),"")</f>
        <v/>
      </c>
      <c r="J1303" s="9">
        <f>IFERROR(INDEX('Темы × классы'!$S:$S,MATCH(E1303,'Темы × классы'!$E:$E,0))&amp;"","")</f>
        <v/>
      </c>
      <c r="K1303" s="9" t="inlineStr">
        <is>
          <t>не начат</t>
        </is>
      </c>
      <c r="L1303" s="9" t="inlineStr">
        <is>
          <t>Spotlight / 10 класс / Module 2 · Living &amp; Spending / Infinitive / -ing form (difference in meaning) / Infinitive vs -ing: hate</t>
        </is>
      </c>
    </row>
    <row r="1304">
      <c r="A1304" s="25" t="n">
        <v>10</v>
      </c>
      <c r="B1304" s="9" t="inlineStr">
        <is>
          <t>Module 2 · Living &amp; Spending</t>
        </is>
      </c>
      <c r="C1304" s="9" t="inlineStr">
        <is>
          <t>2c</t>
        </is>
      </c>
      <c r="D1304" s="9" t="inlineStr">
        <is>
          <t>Infinitive / -ing form (difference in meaning)</t>
        </is>
      </c>
      <c r="E1304" s="23" t="inlineStr">
        <is>
          <t>Infinitive vs -ing: want (My car wants cleaning)</t>
        </is>
      </c>
      <c r="F1304" s="25" t="inlineStr">
        <is>
          <t>повторение</t>
        </is>
      </c>
      <c r="G1304" s="9" t="inlineStr"/>
      <c r="H1304" s="25" t="inlineStr">
        <is>
          <t>10+</t>
        </is>
      </c>
      <c r="I1304" s="9">
        <f>IFERROR(INDEX('Темы × классы'!$R:$R,MATCH(E1304,'Темы × классы'!$E:$E,0)),"")</f>
        <v/>
      </c>
      <c r="J1304" s="9">
        <f>IFERROR(INDEX('Темы × классы'!$S:$S,MATCH(E1304,'Темы × классы'!$E:$E,0))&amp;"","")</f>
        <v/>
      </c>
      <c r="K1304" s="9" t="inlineStr">
        <is>
          <t>не начат</t>
        </is>
      </c>
      <c r="L1304" s="9" t="inlineStr">
        <is>
          <t>Spotlight / 10 класс / Module 2 · Living &amp; Spending / Infinitive / -ing form (difference in meaning) / Infinitive vs -ing: want (My car wants cleaning)</t>
        </is>
      </c>
    </row>
    <row r="1305">
      <c r="A1305" s="25" t="n">
        <v>10</v>
      </c>
      <c r="B1305" s="9" t="inlineStr">
        <is>
          <t>Module 2 · Living &amp; Spending</t>
        </is>
      </c>
      <c r="C1305" s="9" t="inlineStr">
        <is>
          <t>2c</t>
        </is>
      </c>
      <c r="D1305" s="9" t="inlineStr">
        <is>
          <t>Infinitive / -ing form (difference in meaning)</t>
        </is>
      </c>
      <c r="E1305" s="23" t="inlineStr">
        <is>
          <t>Infinitive vs -ing: be sorry to / for -ing; be afraid to / of -ing</t>
        </is>
      </c>
      <c r="F1305" s="25" t="inlineStr">
        <is>
          <t>повторение</t>
        </is>
      </c>
      <c r="G1305" s="9" t="inlineStr"/>
      <c r="H1305" s="25" t="inlineStr">
        <is>
          <t>10+</t>
        </is>
      </c>
      <c r="I1305" s="9">
        <f>IFERROR(INDEX('Темы × классы'!$R:$R,MATCH(E1305,'Темы × классы'!$E:$E,0)),"")</f>
        <v/>
      </c>
      <c r="J1305" s="9">
        <f>IFERROR(INDEX('Темы × классы'!$S:$S,MATCH(E1305,'Темы × классы'!$E:$E,0))&amp;"","")</f>
        <v/>
      </c>
      <c r="K1305" s="9" t="inlineStr">
        <is>
          <t>не начат</t>
        </is>
      </c>
      <c r="L1305" s="9" t="inlineStr">
        <is>
          <t>Spotlight / 10 класс / Module 2 · Living &amp; Spending / Infinitive / -ing form (difference in meaning) / Infinitive vs -ing: be sorry to / for -ing; be afraid to / of -ing</t>
        </is>
      </c>
    </row>
    <row r="1306">
      <c r="A1306" s="25" t="n">
        <v>10</v>
      </c>
      <c r="B1306" s="9" t="inlineStr">
        <is>
          <t>Module 2 · Living &amp; Spending</t>
        </is>
      </c>
      <c r="C1306" s="9" t="inlineStr">
        <is>
          <t>2c</t>
        </is>
      </c>
      <c r="D1306" s="9" t="inlineStr">
        <is>
          <t>Infinitive / -ing form (difference in meaning)</t>
        </is>
      </c>
      <c r="E1306" s="23" t="inlineStr">
        <is>
          <t>Infinitive / -ing без смены значения: begin, start, continue, intend</t>
        </is>
      </c>
      <c r="F1306" s="25" t="inlineStr">
        <is>
          <t>повторение</t>
        </is>
      </c>
      <c r="G1306" s="9" t="inlineStr"/>
      <c r="H1306" s="25" t="inlineStr">
        <is>
          <t>10+</t>
        </is>
      </c>
      <c r="I1306" s="9">
        <f>IFERROR(INDEX('Темы × классы'!$R:$R,MATCH(E1306,'Темы × классы'!$E:$E,0)),"")</f>
        <v/>
      </c>
      <c r="J1306" s="9">
        <f>IFERROR(INDEX('Темы × классы'!$S:$S,MATCH(E1306,'Темы × классы'!$E:$E,0))&amp;"","")</f>
        <v/>
      </c>
      <c r="K1306" s="9" t="inlineStr">
        <is>
          <t>не начат</t>
        </is>
      </c>
      <c r="L1306" s="9" t="inlineStr">
        <is>
          <t>Spotlight / 10 класс / Module 2 · Living &amp; Spending / Infinitive / -ing form (difference in meaning) / Infinitive / -ing без смены значения: begin, start, continue, intend</t>
        </is>
      </c>
    </row>
    <row r="1307">
      <c r="A1307" s="25" t="n">
        <v>10</v>
      </c>
      <c r="B1307" s="9" t="inlineStr">
        <is>
          <t>Module 2 · Living &amp; Spending</t>
        </is>
      </c>
      <c r="C1307" s="9" t="inlineStr">
        <is>
          <t>2c</t>
        </is>
      </c>
      <c r="D1307" s="9" t="inlineStr">
        <is>
          <t>Infinitive / -ing form (difference in meaning)</t>
        </is>
      </c>
      <c r="E1307" s="23" t="inlineStr">
        <is>
          <t>Infinitive / -ing: advise, allow, encourage, permit, require + object + to-inf / + -ing; в пассиве только to-inf</t>
        </is>
      </c>
      <c r="F1307" s="25" t="inlineStr">
        <is>
          <t>повторение</t>
        </is>
      </c>
      <c r="G1307" s="9" t="inlineStr"/>
      <c r="H1307" s="25" t="inlineStr">
        <is>
          <t>10+</t>
        </is>
      </c>
      <c r="I1307" s="9">
        <f>IFERROR(INDEX('Темы × классы'!$R:$R,MATCH(E1307,'Темы × классы'!$E:$E,0)),"")</f>
        <v/>
      </c>
      <c r="J1307" s="9">
        <f>IFERROR(INDEX('Темы × классы'!$S:$S,MATCH(E1307,'Темы × классы'!$E:$E,0))&amp;"","")</f>
        <v/>
      </c>
      <c r="K1307" s="9" t="inlineStr">
        <is>
          <t>не начат</t>
        </is>
      </c>
      <c r="L1307" s="9" t="inlineStr">
        <is>
          <t>Spotlight / 10 класс / Module 2 · Living &amp; Spending / Infinitive / -ing form (difference in meaning) / Infinitive / -ing: advise, allow, encourage, permit, require + object + to-inf / + -ing; в пассиве только to-inf</t>
        </is>
      </c>
    </row>
    <row r="1308">
      <c r="A1308" s="25" t="n">
        <v>10</v>
      </c>
      <c r="B1308" s="9" t="inlineStr">
        <is>
          <t>Module 2 · Living &amp; Spending</t>
        </is>
      </c>
      <c r="C1308" s="9" t="inlineStr">
        <is>
          <t>2c</t>
        </is>
      </c>
      <c r="D1308" s="9" t="inlineStr">
        <is>
          <t>Infinitive / -ing form (difference in meaning)</t>
        </is>
      </c>
      <c r="E1308" s="23" t="inlineStr">
        <is>
          <t>Infinitive / -ing: need/require/want + -ing / to be done (пассивное значение)</t>
        </is>
      </c>
      <c r="F1308" s="25" t="inlineStr">
        <is>
          <t>повторение</t>
        </is>
      </c>
      <c r="G1308" s="9" t="inlineStr"/>
      <c r="H1308" s="25" t="inlineStr">
        <is>
          <t>10+</t>
        </is>
      </c>
      <c r="I1308" s="9">
        <f>IFERROR(INDEX('Темы × классы'!$R:$R,MATCH(E1308,'Темы × классы'!$E:$E,0)),"")</f>
        <v/>
      </c>
      <c r="J1308" s="9">
        <f>IFERROR(INDEX('Темы × классы'!$S:$S,MATCH(E1308,'Темы × классы'!$E:$E,0))&amp;"","")</f>
        <v/>
      </c>
      <c r="K1308" s="9" t="inlineStr">
        <is>
          <t>не начат</t>
        </is>
      </c>
      <c r="L1308" s="9" t="inlineStr">
        <is>
          <t>Spotlight / 10 класс / Module 2 · Living &amp; Spending / Infinitive / -ing form (difference in meaning) / Infinitive / -ing: need/require/want + -ing / to be done (пассивное значение)</t>
        </is>
      </c>
    </row>
    <row r="1309">
      <c r="A1309" s="25" t="n">
        <v>10</v>
      </c>
      <c r="B1309" s="9" t="inlineStr">
        <is>
          <t>Module 2 · Living &amp; Spending</t>
        </is>
      </c>
      <c r="C1309" s="9" t="inlineStr">
        <is>
          <t>2c</t>
        </is>
      </c>
      <c r="D1309" s="9" t="inlineStr">
        <is>
          <t>Expressing preference (prefer / would rather)</t>
        </is>
      </c>
      <c r="E1309" s="23" t="inlineStr">
        <is>
          <t>Expressing preference: prefer + noun/-ing to noun/-ing — общее предпочтение</t>
        </is>
      </c>
      <c r="F1309" s="25" t="inlineStr">
        <is>
          <t>повторение</t>
        </is>
      </c>
      <c r="G1309" s="9" t="inlineStr"/>
      <c r="H1309" s="25" t="inlineStr">
        <is>
          <t>10+</t>
        </is>
      </c>
      <c r="I1309" s="9">
        <f>IFERROR(INDEX('Темы × классы'!$R:$R,MATCH(E1309,'Темы × классы'!$E:$E,0)),"")</f>
        <v/>
      </c>
      <c r="J1309" s="9">
        <f>IFERROR(INDEX('Темы × классы'!$S:$S,MATCH(E1309,'Темы × классы'!$E:$E,0))&amp;"","")</f>
        <v/>
      </c>
      <c r="K1309" s="9" t="inlineStr">
        <is>
          <t>не начат</t>
        </is>
      </c>
      <c r="L1309" s="9" t="inlineStr">
        <is>
          <t>Spotlight / 10 класс / Module 2 · Living &amp; Spending / Expressing preference (prefer / would rather) / Expressing preference: prefer + noun/-ing to noun/-ing — общее предпочтение</t>
        </is>
      </c>
    </row>
    <row r="1310">
      <c r="A1310" s="25" t="n">
        <v>10</v>
      </c>
      <c r="B1310" s="9" t="inlineStr">
        <is>
          <t>Module 2 · Living &amp; Spending</t>
        </is>
      </c>
      <c r="C1310" s="9" t="inlineStr">
        <is>
          <t>2c</t>
        </is>
      </c>
      <c r="D1310" s="9" t="inlineStr">
        <is>
          <t>Expressing preference (prefer / would rather)</t>
        </is>
      </c>
      <c r="E1310" s="23" t="inlineStr">
        <is>
          <t>Expressing preference: prefer + to-inf rather than + bare inf</t>
        </is>
      </c>
      <c r="F1310" s="25" t="inlineStr">
        <is>
          <t>повторение</t>
        </is>
      </c>
      <c r="G1310" s="9" t="inlineStr"/>
      <c r="H1310" s="25" t="inlineStr">
        <is>
          <t>10+</t>
        </is>
      </c>
      <c r="I1310" s="9">
        <f>IFERROR(INDEX('Темы × классы'!$R:$R,MATCH(E1310,'Темы × классы'!$E:$E,0)),"")</f>
        <v/>
      </c>
      <c r="J1310" s="9">
        <f>IFERROR(INDEX('Темы × классы'!$S:$S,MATCH(E1310,'Темы × классы'!$E:$E,0))&amp;"","")</f>
        <v/>
      </c>
      <c r="K1310" s="9" t="inlineStr">
        <is>
          <t>не начат</t>
        </is>
      </c>
      <c r="L1310" s="9" t="inlineStr">
        <is>
          <t>Spotlight / 10 класс / Module 2 · Living &amp; Spending / Expressing preference (prefer / would rather) / Expressing preference: prefer + to-inf rather than + bare inf</t>
        </is>
      </c>
    </row>
    <row r="1311">
      <c r="A1311" s="25" t="n">
        <v>10</v>
      </c>
      <c r="B1311" s="9" t="inlineStr">
        <is>
          <t>Module 2 · Living &amp; Spending</t>
        </is>
      </c>
      <c r="C1311" s="9" t="inlineStr">
        <is>
          <t>2c</t>
        </is>
      </c>
      <c r="D1311" s="9" t="inlineStr">
        <is>
          <t>Expressing preference (prefer / would rather)</t>
        </is>
      </c>
      <c r="E1311" s="23" t="inlineStr">
        <is>
          <t>Expressing preference: I'd prefer + to-inf / noun (rather than) — конкретное предпочтение</t>
        </is>
      </c>
      <c r="F1311" s="25" t="inlineStr">
        <is>
          <t>повторение</t>
        </is>
      </c>
      <c r="G1311" s="9" t="inlineStr"/>
      <c r="H1311" s="25" t="inlineStr">
        <is>
          <t>10+</t>
        </is>
      </c>
      <c r="I1311" s="9">
        <f>IFERROR(INDEX('Темы × классы'!$R:$R,MATCH(E1311,'Темы × классы'!$E:$E,0)),"")</f>
        <v/>
      </c>
      <c r="J1311" s="9">
        <f>IFERROR(INDEX('Темы × классы'!$S:$S,MATCH(E1311,'Темы × классы'!$E:$E,0))&amp;"","")</f>
        <v/>
      </c>
      <c r="K1311" s="9" t="inlineStr">
        <is>
          <t>не начат</t>
        </is>
      </c>
      <c r="L1311" s="9" t="inlineStr">
        <is>
          <t>Spotlight / 10 класс / Module 2 · Living &amp; Spending / Expressing preference (prefer / would rather) / Expressing preference: I'd prefer + to-inf / noun (rather than) — конкретное предпочтение</t>
        </is>
      </c>
    </row>
    <row r="1312">
      <c r="A1312" s="25" t="n">
        <v>10</v>
      </c>
      <c r="B1312" s="9" t="inlineStr">
        <is>
          <t>Module 2 · Living &amp; Spending</t>
        </is>
      </c>
      <c r="C1312" s="9" t="inlineStr">
        <is>
          <t>2c</t>
        </is>
      </c>
      <c r="D1312" s="9" t="inlineStr">
        <is>
          <t>Expressing preference (prefer / would rather)</t>
        </is>
      </c>
      <c r="E1312" s="23" t="inlineStr">
        <is>
          <t>Expressing preference: I'd rather + bare inf (than + bare inf)</t>
        </is>
      </c>
      <c r="F1312" s="25" t="inlineStr">
        <is>
          <t>повторение</t>
        </is>
      </c>
      <c r="G1312" s="9" t="inlineStr">
        <is>
          <t>без I'd rather you did</t>
        </is>
      </c>
      <c r="H1312" s="25" t="inlineStr">
        <is>
          <t>10+</t>
        </is>
      </c>
      <c r="I1312" s="9">
        <f>IFERROR(INDEX('Темы × классы'!$R:$R,MATCH(E1312,'Темы × классы'!$E:$E,0)),"")</f>
        <v/>
      </c>
      <c r="J1312" s="9">
        <f>IFERROR(INDEX('Темы × классы'!$S:$S,MATCH(E1312,'Темы × классы'!$E:$E,0))&amp;"","")</f>
        <v/>
      </c>
      <c r="K1312" s="9" t="inlineStr">
        <is>
          <t>не начат</t>
        </is>
      </c>
      <c r="L1312" s="9" t="inlineStr">
        <is>
          <t>Spotlight / 10 класс / Module 2 · Living &amp; Spending / Expressing preference (prefer / would rather) / Expressing preference: I'd rather + bare inf (than + bare inf)</t>
        </is>
      </c>
    </row>
    <row r="1313">
      <c r="A1313" s="25" t="n">
        <v>10</v>
      </c>
      <c r="B1313" s="9" t="inlineStr">
        <is>
          <t>Module 2 · Living &amp; Spending</t>
        </is>
      </c>
      <c r="C1313" s="9" t="inlineStr">
        <is>
          <t>2c</t>
        </is>
      </c>
      <c r="D1313" s="9" t="inlineStr">
        <is>
          <t>Phrasal verbs</t>
        </is>
      </c>
      <c r="E1313" s="23" t="inlineStr">
        <is>
          <t>Phrasal verbs: take</t>
        </is>
      </c>
      <c r="F1313" s="25" t="inlineStr">
        <is>
          <t>повторение</t>
        </is>
      </c>
      <c r="G1313" s="9" t="inlineStr">
        <is>
          <t>Фразовые глаголы с take (ToC: «phrasal verbs (take)»); состав частиц и значения в источнике не даны.</t>
        </is>
      </c>
      <c r="H1313" s="25" t="inlineStr">
        <is>
          <t>10+</t>
        </is>
      </c>
      <c r="I1313" s="9">
        <f>IFERROR(INDEX('Темы × классы'!$R:$R,MATCH(E1313,'Темы × классы'!$E:$E,0)),"")</f>
        <v/>
      </c>
      <c r="J1313" s="9">
        <f>IFERROR(INDEX('Темы × классы'!$S:$S,MATCH(E1313,'Темы × классы'!$E:$E,0))&amp;"","")</f>
        <v/>
      </c>
      <c r="K1313" s="9" t="inlineStr">
        <is>
          <t>не начат</t>
        </is>
      </c>
      <c r="L1313" s="9" t="inlineStr">
        <is>
          <t>Spotlight / 10 класс / Module 2 · Living &amp; Spending / Phrasal verbs / Phrasal verbs: take</t>
        </is>
      </c>
    </row>
    <row r="1314">
      <c r="A1314" s="25" t="n">
        <v>10</v>
      </c>
      <c r="B1314" s="9" t="inlineStr">
        <is>
          <t>Module 2 · Living &amp; Spending</t>
        </is>
      </c>
      <c r="C1314" s="9" t="inlineStr">
        <is>
          <t>2c</t>
        </is>
      </c>
      <c r="D1314" s="9" t="inlineStr">
        <is>
          <t>Word formation</t>
        </is>
      </c>
      <c r="E1314" s="23" t="inlineStr">
        <is>
          <t>Word formation: abstract nouns</t>
        </is>
      </c>
      <c r="F1314" s="25" t="inlineStr">
        <is>
          <t>повторение</t>
        </is>
      </c>
      <c r="G1314" s="9" t="inlineStr">
        <is>
          <t>Образование абстрактных существительных (ToC: «forming abstract nouns»).</t>
        </is>
      </c>
      <c r="H1314" s="25" t="inlineStr">
        <is>
          <t>10+</t>
        </is>
      </c>
      <c r="I1314" s="9">
        <f>IFERROR(INDEX('Темы × классы'!$R:$R,MATCH(E1314,'Темы × классы'!$E:$E,0)),"")</f>
        <v/>
      </c>
      <c r="J1314" s="9">
        <f>IFERROR(INDEX('Темы × классы'!$S:$S,MATCH(E1314,'Темы × классы'!$E:$E,0))&amp;"","")</f>
        <v/>
      </c>
      <c r="K1314" s="9" t="inlineStr">
        <is>
          <t>не начат</t>
        </is>
      </c>
      <c r="L1314" s="9" t="inlineStr">
        <is>
          <t>Spotlight / 10 класс / Module 2 · Living &amp; Spending / Word formation / Word formation: abstract nouns</t>
        </is>
      </c>
    </row>
    <row r="1315">
      <c r="A1315" s="25" t="n">
        <v>10</v>
      </c>
      <c r="B1315" s="9" t="inlineStr">
        <is>
          <t>Module 3 · Schooldays &amp; Work</t>
        </is>
      </c>
      <c r="C1315" s="9" t="inlineStr">
        <is>
          <t>3c</t>
        </is>
      </c>
      <c r="D1315" s="9" t="inlineStr">
        <is>
          <t>Future Simple (will)</t>
        </is>
      </c>
      <c r="E1315" s="23" t="inlineStr">
        <is>
          <t>Future Simple (will): утверждение (will/'ll + V)</t>
        </is>
      </c>
      <c r="F1315" s="25" t="inlineStr">
        <is>
          <t>повторение</t>
        </is>
      </c>
      <c r="G1315" s="9" t="inlineStr"/>
      <c r="H1315" s="25" t="inlineStr">
        <is>
          <t>10+</t>
        </is>
      </c>
      <c r="I1315" s="9">
        <f>IFERROR(INDEX('Темы × классы'!$R:$R,MATCH(E1315,'Темы × классы'!$E:$E,0)),"")</f>
        <v/>
      </c>
      <c r="J1315" s="9">
        <f>IFERROR(INDEX('Темы × классы'!$S:$S,MATCH(E1315,'Темы × классы'!$E:$E,0))&amp;"","")</f>
        <v/>
      </c>
      <c r="K1315" s="9" t="inlineStr">
        <is>
          <t>не начат</t>
        </is>
      </c>
      <c r="L1315" s="9" t="inlineStr">
        <is>
          <t>Spotlight / 10 класс / Module 3 · Schooldays &amp; Work / Future Simple (will) / Future Simple (will): утверждение (will/'ll + V)</t>
        </is>
      </c>
    </row>
    <row r="1316">
      <c r="A1316" s="25" t="n">
        <v>10</v>
      </c>
      <c r="B1316" s="9" t="inlineStr">
        <is>
          <t>Module 3 · Schooldays &amp; Work</t>
        </is>
      </c>
      <c r="C1316" s="9" t="inlineStr">
        <is>
          <t>3c</t>
        </is>
      </c>
      <c r="D1316" s="9" t="inlineStr">
        <is>
          <t>Future Simple (will)</t>
        </is>
      </c>
      <c r="E1316" s="23" t="inlineStr">
        <is>
          <t>Future Simple (will): значение — предсказание/предположение</t>
        </is>
      </c>
      <c r="F1316" s="25" t="inlineStr">
        <is>
          <t>повторение</t>
        </is>
      </c>
      <c r="G1316" s="9" t="inlineStr">
        <is>
          <t>hope, think, believe, expect, imagine; I'm sure, I'm afraid; probably, perhaps</t>
        </is>
      </c>
      <c r="H1316" s="25" t="inlineStr">
        <is>
          <t>10+</t>
        </is>
      </c>
      <c r="I1316" s="9">
        <f>IFERROR(INDEX('Темы × классы'!$R:$R,MATCH(E1316,'Темы × классы'!$E:$E,0)),"")</f>
        <v/>
      </c>
      <c r="J1316" s="9">
        <f>IFERROR(INDEX('Темы × классы'!$S:$S,MATCH(E1316,'Темы × классы'!$E:$E,0))&amp;"","")</f>
        <v/>
      </c>
      <c r="K1316" s="9" t="inlineStr">
        <is>
          <t>не начат</t>
        </is>
      </c>
      <c r="L1316" s="9" t="inlineStr">
        <is>
          <t>Spotlight / 10 класс / Module 3 · Schooldays &amp; Work / Future Simple (will) / Future Simple (will): значение — предсказание/предположение</t>
        </is>
      </c>
    </row>
    <row r="1317">
      <c r="A1317" s="25" t="n">
        <v>10</v>
      </c>
      <c r="B1317" s="9" t="inlineStr">
        <is>
          <t>Module 3 · Schooldays &amp; Work</t>
        </is>
      </c>
      <c r="C1317" s="9" t="inlineStr">
        <is>
          <t>3c</t>
        </is>
      </c>
      <c r="D1317" s="9" t="inlineStr">
        <is>
          <t>Future Simple (will)</t>
        </is>
      </c>
      <c r="E1317" s="23" t="inlineStr">
        <is>
          <t>Future Simple (will): значение — решение в момент речи</t>
        </is>
      </c>
      <c r="F1317" s="25" t="inlineStr">
        <is>
          <t>повторение</t>
        </is>
      </c>
      <c r="G1317" s="9" t="inlineStr"/>
      <c r="H1317" s="25" t="inlineStr">
        <is>
          <t>10+</t>
        </is>
      </c>
      <c r="I1317" s="9">
        <f>IFERROR(INDEX('Темы × классы'!$R:$R,MATCH(E1317,'Темы × классы'!$E:$E,0)),"")</f>
        <v/>
      </c>
      <c r="J1317" s="9">
        <f>IFERROR(INDEX('Темы × классы'!$S:$S,MATCH(E1317,'Темы × классы'!$E:$E,0))&amp;"","")</f>
        <v/>
      </c>
      <c r="K1317" s="9" t="inlineStr">
        <is>
          <t>не начат</t>
        </is>
      </c>
      <c r="L1317" s="9" t="inlineStr">
        <is>
          <t>Spotlight / 10 класс / Module 3 · Schooldays &amp; Work / Future Simple (will) / Future Simple (will): значение — решение в момент речи</t>
        </is>
      </c>
    </row>
    <row r="1318">
      <c r="A1318" s="25" t="n">
        <v>10</v>
      </c>
      <c r="B1318" s="9" t="inlineStr">
        <is>
          <t>Module 3 · Schooldays &amp; Work</t>
        </is>
      </c>
      <c r="C1318" s="9" t="inlineStr">
        <is>
          <t>3c</t>
        </is>
      </c>
      <c r="D1318" s="9" t="inlineStr">
        <is>
          <t>Future Simple (will)</t>
        </is>
      </c>
      <c r="E1318" s="23" t="inlineStr">
        <is>
          <t>Future Simple (will): значение — обещания</t>
        </is>
      </c>
      <c r="F1318" s="25" t="inlineStr">
        <is>
          <t>повторение</t>
        </is>
      </c>
      <c r="G1318" s="9" t="inlineStr"/>
      <c r="H1318" s="25" t="inlineStr">
        <is>
          <t>10+</t>
        </is>
      </c>
      <c r="I1318" s="9">
        <f>IFERROR(INDEX('Темы × классы'!$R:$R,MATCH(E1318,'Темы × классы'!$E:$E,0)),"")</f>
        <v/>
      </c>
      <c r="J1318" s="9">
        <f>IFERROR(INDEX('Темы × классы'!$S:$S,MATCH(E1318,'Темы × классы'!$E:$E,0))&amp;"","")</f>
        <v/>
      </c>
      <c r="K1318" s="9" t="inlineStr">
        <is>
          <t>не начат</t>
        </is>
      </c>
      <c r="L1318" s="9" t="inlineStr">
        <is>
          <t>Spotlight / 10 класс / Module 3 · Schooldays &amp; Work / Future Simple (will) / Future Simple (will): значение — обещания</t>
        </is>
      </c>
    </row>
    <row r="1319">
      <c r="A1319" s="25" t="n">
        <v>10</v>
      </c>
      <c r="B1319" s="9" t="inlineStr">
        <is>
          <t>Module 3 · Schooldays &amp; Work</t>
        </is>
      </c>
      <c r="C1319" s="9" t="inlineStr">
        <is>
          <t>3c</t>
        </is>
      </c>
      <c r="D1319" s="9" t="inlineStr">
        <is>
          <t>Future Simple (will)</t>
        </is>
      </c>
      <c r="E1319" s="23" t="inlineStr">
        <is>
          <t>Future Simple (will): значение — просьбы (Will you…?)</t>
        </is>
      </c>
      <c r="F1319" s="25" t="inlineStr">
        <is>
          <t>повторение</t>
        </is>
      </c>
      <c r="G1319" s="9" t="inlineStr"/>
      <c r="H1319" s="25" t="inlineStr">
        <is>
          <t>10+</t>
        </is>
      </c>
      <c r="I1319" s="9">
        <f>IFERROR(INDEX('Темы × классы'!$R:$R,MATCH(E1319,'Темы × классы'!$E:$E,0)),"")</f>
        <v/>
      </c>
      <c r="J1319" s="9">
        <f>IFERROR(INDEX('Темы × классы'!$S:$S,MATCH(E1319,'Темы × классы'!$E:$E,0))&amp;"","")</f>
        <v/>
      </c>
      <c r="K1319" s="9" t="inlineStr">
        <is>
          <t>не начат</t>
        </is>
      </c>
      <c r="L1319" s="9" t="inlineStr">
        <is>
          <t>Spotlight / 10 класс / Module 3 · Schooldays &amp; Work / Future Simple (will) / Future Simple (will): значение — просьбы (Will you…?)</t>
        </is>
      </c>
    </row>
    <row r="1320">
      <c r="A1320" s="25" t="n">
        <v>10</v>
      </c>
      <c r="B1320" s="9" t="inlineStr">
        <is>
          <t>Module 3 · Schooldays &amp; Work</t>
        </is>
      </c>
      <c r="C1320" s="9" t="inlineStr">
        <is>
          <t>3c</t>
        </is>
      </c>
      <c r="D1320" s="9" t="inlineStr">
        <is>
          <t>Future Simple (will)</t>
        </is>
      </c>
      <c r="E1320" s="23" t="inlineStr">
        <is>
          <t>Future Simple (will): значение — угрозы и предупреждения</t>
        </is>
      </c>
      <c r="F1320" s="25" t="inlineStr">
        <is>
          <t>повторение</t>
        </is>
      </c>
      <c r="G1320" s="9" t="inlineStr">
        <is>
          <t>угрозы, предупреждения</t>
        </is>
      </c>
      <c r="H1320" s="25" t="inlineStr">
        <is>
          <t>10+</t>
        </is>
      </c>
      <c r="I1320" s="9">
        <f>IFERROR(INDEX('Темы × классы'!$R:$R,MATCH(E1320,'Темы × классы'!$E:$E,0)),"")</f>
        <v/>
      </c>
      <c r="J1320" s="9">
        <f>IFERROR(INDEX('Темы × классы'!$S:$S,MATCH(E1320,'Темы × классы'!$E:$E,0))&amp;"","")</f>
        <v/>
      </c>
      <c r="K1320" s="9" t="inlineStr">
        <is>
          <t>не начат</t>
        </is>
      </c>
      <c r="L1320" s="9" t="inlineStr">
        <is>
          <t>Spotlight / 10 класс / Module 3 · Schooldays &amp; Work / Future Simple (will) / Future Simple (will): значение — угрозы и предупреждения</t>
        </is>
      </c>
    </row>
    <row r="1321">
      <c r="A1321" s="25" t="n">
        <v>10</v>
      </c>
      <c r="B1321" s="9" t="inlineStr">
        <is>
          <t>Module 3 · Schooldays &amp; Work</t>
        </is>
      </c>
      <c r="C1321" s="9" t="inlineStr">
        <is>
          <t>3c</t>
        </is>
      </c>
      <c r="D1321" s="9" t="inlineStr">
        <is>
          <t>Future Simple (will)</t>
        </is>
      </c>
      <c r="E1321" s="23" t="inlineStr">
        <is>
          <t>Future Simple (will): значение — надежды, страхи, предложения, комментарии</t>
        </is>
      </c>
      <c r="F1321" s="27" t="inlineStr">
        <is>
          <t>расширение</t>
        </is>
      </c>
      <c r="G1321" s="9" t="inlineStr">
        <is>
          <t>добавлены страхи, комментарии</t>
        </is>
      </c>
      <c r="H1321" s="25" t="inlineStr">
        <is>
          <t>10+</t>
        </is>
      </c>
      <c r="I1321" s="9">
        <f>IFERROR(INDEX('Темы × классы'!$R:$R,MATCH(E1321,'Темы × классы'!$E:$E,0)),"")</f>
        <v/>
      </c>
      <c r="J1321" s="9">
        <f>IFERROR(INDEX('Темы × классы'!$S:$S,MATCH(E1321,'Темы × классы'!$E:$E,0))&amp;"","")</f>
        <v/>
      </c>
      <c r="K1321" s="9" t="inlineStr">
        <is>
          <t>не начат</t>
        </is>
      </c>
      <c r="L1321" s="9" t="inlineStr">
        <is>
          <t>Spotlight / 10 класс / Module 3 · Schooldays &amp; Work / Future Simple (will) / Future Simple (will): значение — надежды, страхи, предложения, комментарии</t>
        </is>
      </c>
    </row>
    <row r="1322">
      <c r="A1322" s="25" t="n">
        <v>10</v>
      </c>
      <c r="B1322" s="9" t="inlineStr">
        <is>
          <t>Module 3 · Schooldays &amp; Work</t>
        </is>
      </c>
      <c r="C1322" s="9" t="inlineStr">
        <is>
          <t>3c</t>
        </is>
      </c>
      <c r="D1322" s="9" t="inlineStr">
        <is>
          <t>Future Simple (will)</t>
        </is>
      </c>
      <c r="E1322" s="23" t="inlineStr">
        <is>
          <t>Future Simple (will): значение — ещё не решили/не уверены (Maybe I'll…)</t>
        </is>
      </c>
      <c r="F1322" s="26" t="inlineStr">
        <is>
          <t>новое</t>
        </is>
      </c>
      <c r="G1322" s="9" t="inlineStr">
        <is>
          <t>Maybe I'll…</t>
        </is>
      </c>
      <c r="H1322" s="25" t="inlineStr">
        <is>
          <t>10+</t>
        </is>
      </c>
      <c r="I1322" s="9">
        <f>IFERROR(INDEX('Темы × классы'!$R:$R,MATCH(E1322,'Темы × классы'!$E:$E,0)),"")</f>
        <v/>
      </c>
      <c r="J1322" s="9">
        <f>IFERROR(INDEX('Темы × классы'!$S:$S,MATCH(E1322,'Темы × классы'!$E:$E,0))&amp;"","")</f>
        <v/>
      </c>
      <c r="K1322" s="9" t="inlineStr">
        <is>
          <t>не начат</t>
        </is>
      </c>
      <c r="L1322" s="9" t="inlineStr">
        <is>
          <t>Spotlight / 10 класс / Module 3 · Schooldays &amp; Work / Future Simple (will) / Future Simple (will): значение — ещё не решили/не уверены (Maybe I'll…)</t>
        </is>
      </c>
    </row>
    <row r="1323">
      <c r="A1323" s="25" t="n">
        <v>10</v>
      </c>
      <c r="B1323" s="9" t="inlineStr">
        <is>
          <t>Module 3 · Schooldays &amp; Work</t>
        </is>
      </c>
      <c r="C1323" s="9" t="inlineStr">
        <is>
          <t>3c</t>
        </is>
      </c>
      <c r="D1323" s="9" t="inlineStr">
        <is>
          <t>Future Simple (will)</t>
        </is>
      </c>
      <c r="E1323" s="23" t="inlineStr">
        <is>
          <t>Future Simple (will): Shall I/we? — предложение, просьба о совете</t>
        </is>
      </c>
      <c r="F1323" s="25" t="inlineStr">
        <is>
          <t>повторение</t>
        </is>
      </c>
      <c r="G1323" s="9" t="inlineStr">
        <is>
          <t>предложения, советы</t>
        </is>
      </c>
      <c r="H1323" s="25" t="inlineStr">
        <is>
          <t>10+</t>
        </is>
      </c>
      <c r="I1323" s="9">
        <f>IFERROR(INDEX('Темы × классы'!$R:$R,MATCH(E1323,'Темы × классы'!$E:$E,0)),"")</f>
        <v/>
      </c>
      <c r="J1323" s="9">
        <f>IFERROR(INDEX('Темы × классы'!$S:$S,MATCH(E1323,'Темы × классы'!$E:$E,0))&amp;"","")</f>
        <v/>
      </c>
      <c r="K1323" s="9" t="inlineStr">
        <is>
          <t>не начат</t>
        </is>
      </c>
      <c r="L1323" s="9" t="inlineStr">
        <is>
          <t>Spotlight / 10 класс / Module 3 · Schooldays &amp; Work / Future Simple (will) / Future Simple (will): Shall I/we? — предложение, просьба о совете</t>
        </is>
      </c>
    </row>
    <row r="1324">
      <c r="A1324" s="25" t="n">
        <v>10</v>
      </c>
      <c r="B1324" s="9" t="inlineStr">
        <is>
          <t>Module 3 · Schooldays &amp; Work</t>
        </is>
      </c>
      <c r="C1324" s="9" t="inlineStr">
        <is>
          <t>3c</t>
        </is>
      </c>
      <c r="D1324" s="9" t="inlineStr">
        <is>
          <t>be going to</t>
        </is>
      </c>
      <c r="E1324" s="23" t="inlineStr">
        <is>
          <t>be going to: утверждение (am/is/are going to + V)</t>
        </is>
      </c>
      <c r="F1324" s="25" t="inlineStr">
        <is>
          <t>повторение</t>
        </is>
      </c>
      <c r="G1324" s="9" t="inlineStr"/>
      <c r="H1324" s="25" t="inlineStr">
        <is>
          <t>10+</t>
        </is>
      </c>
      <c r="I1324" s="9">
        <f>IFERROR(INDEX('Темы × классы'!$R:$R,MATCH(E1324,'Темы × классы'!$E:$E,0)),"")</f>
        <v/>
      </c>
      <c r="J1324" s="9">
        <f>IFERROR(INDEX('Темы × классы'!$S:$S,MATCH(E1324,'Темы × классы'!$E:$E,0))&amp;"","")</f>
        <v/>
      </c>
      <c r="K1324" s="9" t="inlineStr">
        <is>
          <t>не начат</t>
        </is>
      </c>
      <c r="L1324" s="9" t="inlineStr">
        <is>
          <t>Spotlight / 10 класс / Module 3 · Schooldays &amp; Work / be going to / be going to: утверждение (am/is/are going to + V)</t>
        </is>
      </c>
    </row>
    <row r="1325">
      <c r="A1325" s="25" t="n">
        <v>10</v>
      </c>
      <c r="B1325" s="9" t="inlineStr">
        <is>
          <t>Module 3 · Schooldays &amp; Work</t>
        </is>
      </c>
      <c r="C1325" s="9" t="inlineStr">
        <is>
          <t>3c</t>
        </is>
      </c>
      <c r="D1325" s="9" t="inlineStr">
        <is>
          <t>be going to</t>
        </is>
      </c>
      <c r="E1325" s="23" t="inlineStr">
        <is>
          <t>be going to: значение — планы и намерения</t>
        </is>
      </c>
      <c r="F1325" s="25" t="inlineStr">
        <is>
          <t>повторение</t>
        </is>
      </c>
      <c r="G1325" s="9" t="inlineStr"/>
      <c r="H1325" s="25" t="inlineStr">
        <is>
          <t>10+</t>
        </is>
      </c>
      <c r="I1325" s="9">
        <f>IFERROR(INDEX('Темы × классы'!$R:$R,MATCH(E1325,'Темы × классы'!$E:$E,0)),"")</f>
        <v/>
      </c>
      <c r="J1325" s="9">
        <f>IFERROR(INDEX('Темы × классы'!$S:$S,MATCH(E1325,'Темы × классы'!$E:$E,0))&amp;"","")</f>
        <v/>
      </c>
      <c r="K1325" s="9" t="inlineStr">
        <is>
          <t>не начат</t>
        </is>
      </c>
      <c r="L1325" s="9" t="inlineStr">
        <is>
          <t>Spotlight / 10 класс / Module 3 · Schooldays &amp; Work / be going to / be going to: значение — планы и намерения</t>
        </is>
      </c>
    </row>
    <row r="1326">
      <c r="A1326" s="25" t="n">
        <v>10</v>
      </c>
      <c r="B1326" s="9" t="inlineStr">
        <is>
          <t>Module 3 · Schooldays &amp; Work</t>
        </is>
      </c>
      <c r="C1326" s="9" t="inlineStr">
        <is>
          <t>3c</t>
        </is>
      </c>
      <c r="D1326" s="9" t="inlineStr">
        <is>
          <t>be going to</t>
        </is>
      </c>
      <c r="E1326" s="23" t="inlineStr">
        <is>
          <t>be going to: значение — уже принятое решение на ближайшее будущее</t>
        </is>
      </c>
      <c r="F1326" s="25" t="inlineStr">
        <is>
          <t>повторение</t>
        </is>
      </c>
      <c r="G1326" s="9" t="inlineStr"/>
      <c r="H1326" s="25" t="inlineStr">
        <is>
          <t>10+</t>
        </is>
      </c>
      <c r="I1326" s="9">
        <f>IFERROR(INDEX('Темы × классы'!$R:$R,MATCH(E1326,'Темы × классы'!$E:$E,0)),"")</f>
        <v/>
      </c>
      <c r="J1326" s="9">
        <f>IFERROR(INDEX('Темы × классы'!$S:$S,MATCH(E1326,'Темы × классы'!$E:$E,0))&amp;"","")</f>
        <v/>
      </c>
      <c r="K1326" s="9" t="inlineStr">
        <is>
          <t>не начат</t>
        </is>
      </c>
      <c r="L1326" s="9" t="inlineStr">
        <is>
          <t>Spotlight / 10 класс / Module 3 · Schooldays &amp; Work / be going to / be going to: значение — уже принятое решение на ближайшее будущее</t>
        </is>
      </c>
    </row>
    <row r="1327">
      <c r="A1327" s="25" t="n">
        <v>10</v>
      </c>
      <c r="B1327" s="9" t="inlineStr">
        <is>
          <t>Module 3 · Schooldays &amp; Work</t>
        </is>
      </c>
      <c r="C1327" s="9" t="inlineStr">
        <is>
          <t>3c</t>
        </is>
      </c>
      <c r="D1327" s="9" t="inlineStr">
        <is>
          <t>be going to</t>
        </is>
      </c>
      <c r="E1327" s="23" t="inlineStr">
        <is>
          <t>be going to: значение — предсказание по очевидным признакам</t>
        </is>
      </c>
      <c r="F1327" s="25" t="inlineStr">
        <is>
          <t>повторение</t>
        </is>
      </c>
      <c r="G1327" s="9" t="inlineStr"/>
      <c r="H1327" s="25" t="inlineStr">
        <is>
          <t>10+</t>
        </is>
      </c>
      <c r="I1327" s="9">
        <f>IFERROR(INDEX('Темы × классы'!$R:$R,MATCH(E1327,'Темы × классы'!$E:$E,0)),"")</f>
        <v/>
      </c>
      <c r="J1327" s="9">
        <f>IFERROR(INDEX('Темы × классы'!$S:$S,MATCH(E1327,'Темы × классы'!$E:$E,0))&amp;"","")</f>
        <v/>
      </c>
      <c r="K1327" s="9" t="inlineStr">
        <is>
          <t>не начат</t>
        </is>
      </c>
      <c r="L1327" s="9" t="inlineStr">
        <is>
          <t>Spotlight / 10 класс / Module 3 · Schooldays &amp; Work / be going to / be going to: значение — предсказание по очевидным признакам</t>
        </is>
      </c>
    </row>
    <row r="1328">
      <c r="A1328" s="25" t="n">
        <v>10</v>
      </c>
      <c r="B1328" s="9" t="inlineStr">
        <is>
          <t>Module 3 · Schooldays &amp; Work</t>
        </is>
      </c>
      <c r="C1328" s="9" t="inlineStr">
        <is>
          <t>3c</t>
        </is>
      </c>
      <c r="D1328" s="9" t="inlineStr">
        <is>
          <t>be going to</t>
        </is>
      </c>
      <c r="E1328" s="23" t="inlineStr">
        <is>
          <t>be going to vs will: план/признаки vs решение в момент речи/мнение</t>
        </is>
      </c>
      <c r="F1328" s="25" t="inlineStr">
        <is>
          <t>повторение</t>
        </is>
      </c>
      <c r="G1328" s="9" t="inlineStr">
        <is>
          <t>спонтанные решения / предсказание-мнение — will</t>
        </is>
      </c>
      <c r="H1328" s="25" t="inlineStr">
        <is>
          <t>10+</t>
        </is>
      </c>
      <c r="I1328" s="9">
        <f>IFERROR(INDEX('Темы × классы'!$R:$R,MATCH(E1328,'Темы × классы'!$E:$E,0)),"")</f>
        <v/>
      </c>
      <c r="J1328" s="9">
        <f>IFERROR(INDEX('Темы × классы'!$S:$S,MATCH(E1328,'Темы × классы'!$E:$E,0))&amp;"","")</f>
        <v/>
      </c>
      <c r="K1328" s="9" t="inlineStr">
        <is>
          <t>не начат</t>
        </is>
      </c>
      <c r="L1328" s="9" t="inlineStr">
        <is>
          <t>Spotlight / 10 класс / Module 3 · Schooldays &amp; Work / be going to / be going to vs will: план/признаки vs решение в момент речи/мнение</t>
        </is>
      </c>
    </row>
    <row r="1329">
      <c r="A1329" s="25" t="n">
        <v>10</v>
      </c>
      <c r="B1329" s="9" t="inlineStr">
        <is>
          <t>Module 3 · Schooldays &amp; Work</t>
        </is>
      </c>
      <c r="C1329" s="9" t="inlineStr">
        <is>
          <t>3c</t>
        </is>
      </c>
      <c r="D1329" s="9" t="inlineStr">
        <is>
          <t>Future forms (comparison)</t>
        </is>
      </c>
      <c r="E1329" s="23" t="inlineStr">
        <is>
          <t>Future forms: Present Continuous — договорённости на ближайшее будущее</t>
        </is>
      </c>
      <c r="F1329" s="25" t="inlineStr">
        <is>
          <t>повторение</t>
        </is>
      </c>
      <c r="G1329" s="9" t="inlineStr"/>
      <c r="H1329" s="25" t="inlineStr">
        <is>
          <t>10+</t>
        </is>
      </c>
      <c r="I1329" s="9">
        <f>IFERROR(INDEX('Темы × классы'!$R:$R,MATCH(E1329,'Темы × классы'!$E:$E,0)),"")</f>
        <v/>
      </c>
      <c r="J1329" s="9">
        <f>IFERROR(INDEX('Темы × классы'!$S:$S,MATCH(E1329,'Темы × классы'!$E:$E,0))&amp;"","")</f>
        <v/>
      </c>
      <c r="K1329" s="9" t="inlineStr">
        <is>
          <t>не начат</t>
        </is>
      </c>
      <c r="L1329" s="9" t="inlineStr">
        <is>
          <t>Spotlight / 10 класс / Module 3 · Schooldays &amp; Work / Future forms (comparison) / Future forms: Present Continuous — договорённости на ближайшее будущее</t>
        </is>
      </c>
    </row>
    <row r="1330">
      <c r="A1330" s="25" t="n">
        <v>10</v>
      </c>
      <c r="B1330" s="9" t="inlineStr">
        <is>
          <t>Module 3 · Schooldays &amp; Work</t>
        </is>
      </c>
      <c r="C1330" s="9" t="inlineStr">
        <is>
          <t>3c</t>
        </is>
      </c>
      <c r="D1330" s="9" t="inlineStr">
        <is>
          <t>Future forms (comparison)</t>
        </is>
      </c>
      <c r="E1330" s="23" t="inlineStr">
        <is>
          <t>Future forms: Present Simple — расписания и программы</t>
        </is>
      </c>
      <c r="F1330" s="25" t="inlineStr">
        <is>
          <t>повторение</t>
        </is>
      </c>
      <c r="G1330" s="9" t="inlineStr"/>
      <c r="H1330" s="25" t="inlineStr">
        <is>
          <t>10+</t>
        </is>
      </c>
      <c r="I1330" s="9">
        <f>IFERROR(INDEX('Темы × классы'!$R:$R,MATCH(E1330,'Темы × классы'!$E:$E,0)),"")</f>
        <v/>
      </c>
      <c r="J1330" s="9">
        <f>IFERROR(INDEX('Темы × классы'!$S:$S,MATCH(E1330,'Темы × классы'!$E:$E,0))&amp;"","")</f>
        <v/>
      </c>
      <c r="K1330" s="9" t="inlineStr">
        <is>
          <t>не начат</t>
        </is>
      </c>
      <c r="L1330" s="9" t="inlineStr">
        <is>
          <t>Spotlight / 10 класс / Module 3 · Schooldays &amp; Work / Future forms (comparison) / Future forms: Present Simple — расписания и программы</t>
        </is>
      </c>
    </row>
    <row r="1331">
      <c r="A1331" s="25" t="n">
        <v>10</v>
      </c>
      <c r="B1331" s="9" t="inlineStr">
        <is>
          <t>Module 3 · Schooldays &amp; Work</t>
        </is>
      </c>
      <c r="C1331" s="9" t="inlineStr">
        <is>
          <t>3c</t>
        </is>
      </c>
      <c r="D1331" s="9" t="inlineStr">
        <is>
          <t>Future forms (comparison)</t>
        </is>
      </c>
      <c r="E1331" s="23" t="inlineStr">
        <is>
          <t>Future forms: will vs be going to — решение в момент речи vs план</t>
        </is>
      </c>
      <c r="F1331" s="25" t="inlineStr">
        <is>
          <t>повторение</t>
        </is>
      </c>
      <c r="G1331" s="9" t="inlineStr"/>
      <c r="H1331" s="25" t="inlineStr">
        <is>
          <t>10+</t>
        </is>
      </c>
      <c r="I1331" s="9">
        <f>IFERROR(INDEX('Темы × классы'!$R:$R,MATCH(E1331,'Темы × классы'!$E:$E,0)),"")</f>
        <v/>
      </c>
      <c r="J1331" s="9">
        <f>IFERROR(INDEX('Темы × классы'!$S:$S,MATCH(E1331,'Темы × классы'!$E:$E,0))&amp;"","")</f>
        <v/>
      </c>
      <c r="K1331" s="9" t="inlineStr">
        <is>
          <t>не начат</t>
        </is>
      </c>
      <c r="L1331" s="9" t="inlineStr">
        <is>
          <t>Spotlight / 10 класс / Module 3 · Schooldays &amp; Work / Future forms (comparison) / Future forms: will vs be going to — решение в момент речи vs план</t>
        </is>
      </c>
    </row>
    <row r="1332">
      <c r="A1332" s="25" t="n">
        <v>10</v>
      </c>
      <c r="B1332" s="9" t="inlineStr">
        <is>
          <t>Module 3 · Schooldays &amp; Work</t>
        </is>
      </c>
      <c r="C1332" s="9" t="inlineStr">
        <is>
          <t>3c</t>
        </is>
      </c>
      <c r="D1332" s="9" t="inlineStr">
        <is>
          <t>Future forms (comparison)</t>
        </is>
      </c>
      <c r="E1332" s="23" t="inlineStr">
        <is>
          <t>Future forms: will vs be going to — прогноз-мнение vs прогноз по признакам</t>
        </is>
      </c>
      <c r="F1332" s="25" t="inlineStr">
        <is>
          <t>повторение</t>
        </is>
      </c>
      <c r="G1332" s="9" t="inlineStr"/>
      <c r="H1332" s="25" t="inlineStr">
        <is>
          <t>10+</t>
        </is>
      </c>
      <c r="I1332" s="9">
        <f>IFERROR(INDEX('Темы × классы'!$R:$R,MATCH(E1332,'Темы × классы'!$E:$E,0)),"")</f>
        <v/>
      </c>
      <c r="J1332" s="9">
        <f>IFERROR(INDEX('Темы × классы'!$S:$S,MATCH(E1332,'Темы × классы'!$E:$E,0))&amp;"","")</f>
        <v/>
      </c>
      <c r="K1332" s="9" t="inlineStr">
        <is>
          <t>не начат</t>
        </is>
      </c>
      <c r="L1332" s="9" t="inlineStr">
        <is>
          <t>Spotlight / 10 класс / Module 3 · Schooldays &amp; Work / Future forms (comparison) / Future forms: will vs be going to — прогноз-мнение vs прогноз по признакам</t>
        </is>
      </c>
    </row>
    <row r="1333">
      <c r="A1333" s="25" t="n">
        <v>10</v>
      </c>
      <c r="B1333" s="9" t="inlineStr">
        <is>
          <t>Module 3 · Schooldays &amp; Work</t>
        </is>
      </c>
      <c r="C1333" s="9" t="inlineStr">
        <is>
          <t>3c</t>
        </is>
      </c>
      <c r="D1333" s="9" t="inlineStr">
        <is>
          <t>Future forms (comparison)</t>
        </is>
      </c>
      <c r="E1333" s="23" t="inlineStr">
        <is>
          <t>Future forms: обзор всех способов выражения будущего</t>
        </is>
      </c>
      <c r="F1333" s="25" t="inlineStr">
        <is>
          <t>повторение</t>
        </is>
      </c>
      <c r="G1333" s="9" t="inlineStr">
        <is>
          <t>will; be going to; Present Simple; Present Continuous</t>
        </is>
      </c>
      <c r="H1333" s="25" t="inlineStr">
        <is>
          <t>10+</t>
        </is>
      </c>
      <c r="I1333" s="9">
        <f>IFERROR(INDEX('Темы × классы'!$R:$R,MATCH(E1333,'Темы × классы'!$E:$E,0)),"")</f>
        <v/>
      </c>
      <c r="J1333" s="9">
        <f>IFERROR(INDEX('Темы × классы'!$S:$S,MATCH(E1333,'Темы × классы'!$E:$E,0))&amp;"","")</f>
        <v/>
      </c>
      <c r="K1333" s="9" t="inlineStr">
        <is>
          <t>не начат</t>
        </is>
      </c>
      <c r="L1333" s="9" t="inlineStr">
        <is>
          <t>Spotlight / 10 класс / Module 3 · Schooldays &amp; Work / Future forms (comparison) / Future forms: обзор всех способов выражения будущего</t>
        </is>
      </c>
    </row>
    <row r="1334">
      <c r="A1334" s="25" t="n">
        <v>10</v>
      </c>
      <c r="B1334" s="9" t="inlineStr">
        <is>
          <t>Module 3 · Schooldays &amp; Work</t>
        </is>
      </c>
      <c r="C1334" s="9" t="inlineStr">
        <is>
          <t>3c</t>
        </is>
      </c>
      <c r="D1334" s="9" t="inlineStr">
        <is>
          <t>Future Continuous</t>
        </is>
      </c>
      <c r="E1334" s="23" t="inlineStr">
        <is>
          <t>Future Continuous: образование (will be + V-ing)</t>
        </is>
      </c>
      <c r="F1334" s="25" t="inlineStr">
        <is>
          <t>повторение</t>
        </is>
      </c>
      <c r="G1334" s="9" t="inlineStr"/>
      <c r="H1334" s="25" t="inlineStr">
        <is>
          <t>10+</t>
        </is>
      </c>
      <c r="I1334" s="9">
        <f>IFERROR(INDEX('Темы × классы'!$R:$R,MATCH(E1334,'Темы × классы'!$E:$E,0)),"")</f>
        <v/>
      </c>
      <c r="J1334" s="9">
        <f>IFERROR(INDEX('Темы × классы'!$S:$S,MATCH(E1334,'Темы × классы'!$E:$E,0))&amp;"","")</f>
        <v/>
      </c>
      <c r="K1334" s="9" t="inlineStr">
        <is>
          <t>не начат</t>
        </is>
      </c>
      <c r="L1334" s="9" t="inlineStr">
        <is>
          <t>Spotlight / 10 класс / Module 3 · Schooldays &amp; Work / Future Continuous / Future Continuous: образование (will be + V-ing)</t>
        </is>
      </c>
    </row>
    <row r="1335">
      <c r="A1335" s="25" t="n">
        <v>10</v>
      </c>
      <c r="B1335" s="9" t="inlineStr">
        <is>
          <t>Module 3 · Schooldays &amp; Work</t>
        </is>
      </c>
      <c r="C1335" s="9" t="inlineStr">
        <is>
          <t>3c</t>
        </is>
      </c>
      <c r="D1335" s="9" t="inlineStr">
        <is>
          <t>Future Continuous</t>
        </is>
      </c>
      <c r="E1335" s="23" t="inlineStr">
        <is>
          <t>Future Continuous: значение — действие в процессе в момент будущего</t>
        </is>
      </c>
      <c r="F1335" s="25" t="inlineStr">
        <is>
          <t>повторение</t>
        </is>
      </c>
      <c r="G1335" s="9" t="inlineStr"/>
      <c r="H1335" s="25" t="inlineStr">
        <is>
          <t>10+</t>
        </is>
      </c>
      <c r="I1335" s="9">
        <f>IFERROR(INDEX('Темы × классы'!$R:$R,MATCH(E1335,'Темы × классы'!$E:$E,0)),"")</f>
        <v/>
      </c>
      <c r="J1335" s="9">
        <f>IFERROR(INDEX('Темы × классы'!$S:$S,MATCH(E1335,'Темы × классы'!$E:$E,0))&amp;"","")</f>
        <v/>
      </c>
      <c r="K1335" s="9" t="inlineStr">
        <is>
          <t>не начат</t>
        </is>
      </c>
      <c r="L1335" s="9" t="inlineStr">
        <is>
          <t>Spotlight / 10 класс / Module 3 · Schooldays &amp; Work / Future Continuous / Future Continuous: значение — действие в процессе в момент будущего</t>
        </is>
      </c>
    </row>
    <row r="1336">
      <c r="A1336" s="25" t="n">
        <v>10</v>
      </c>
      <c r="B1336" s="9" t="inlineStr">
        <is>
          <t>Module 3 · Schooldays &amp; Work</t>
        </is>
      </c>
      <c r="C1336" s="9" t="inlineStr">
        <is>
          <t>3c</t>
        </is>
      </c>
      <c r="D1336" s="9" t="inlineStr">
        <is>
          <t>Future Continuous</t>
        </is>
      </c>
      <c r="E1336" s="23" t="inlineStr">
        <is>
          <t>Future Continuous: значение — по распорядку/договорённости</t>
        </is>
      </c>
      <c r="F1336" s="25" t="inlineStr">
        <is>
          <t>повторение</t>
        </is>
      </c>
      <c r="G1336" s="9" t="inlineStr"/>
      <c r="H1336" s="25" t="inlineStr">
        <is>
          <t>10+</t>
        </is>
      </c>
      <c r="I1336" s="9">
        <f>IFERROR(INDEX('Темы × классы'!$R:$R,MATCH(E1336,'Темы × классы'!$E:$E,0)),"")</f>
        <v/>
      </c>
      <c r="J1336" s="9">
        <f>IFERROR(INDEX('Темы × классы'!$S:$S,MATCH(E1336,'Темы × классы'!$E:$E,0))&amp;"","")</f>
        <v/>
      </c>
      <c r="K1336" s="9" t="inlineStr">
        <is>
          <t>не начат</t>
        </is>
      </c>
      <c r="L1336" s="9" t="inlineStr">
        <is>
          <t>Spotlight / 10 класс / Module 3 · Schooldays &amp; Work / Future Continuous / Future Continuous: значение — по распорядку/договорённости</t>
        </is>
      </c>
    </row>
    <row r="1337">
      <c r="A1337" s="25" t="n">
        <v>10</v>
      </c>
      <c r="B1337" s="9" t="inlineStr">
        <is>
          <t>Module 3 · Schooldays &amp; Work</t>
        </is>
      </c>
      <c r="C1337" s="9" t="inlineStr">
        <is>
          <t>3c</t>
        </is>
      </c>
      <c r="D1337" s="9" t="inlineStr">
        <is>
          <t>Future Continuous</t>
        </is>
      </c>
      <c r="E1337" s="23" t="inlineStr">
        <is>
          <t>Future Continuous: значение — вежливый вопрос о планах</t>
        </is>
      </c>
      <c r="F1337" s="25" t="inlineStr">
        <is>
          <t>повторение</t>
        </is>
      </c>
      <c r="G1337" s="9" t="inlineStr"/>
      <c r="H1337" s="25" t="inlineStr">
        <is>
          <t>10+</t>
        </is>
      </c>
      <c r="I1337" s="9">
        <f>IFERROR(INDEX('Темы × классы'!$R:$R,MATCH(E1337,'Темы × классы'!$E:$E,0)),"")</f>
        <v/>
      </c>
      <c r="J1337" s="9">
        <f>IFERROR(INDEX('Темы × классы'!$S:$S,MATCH(E1337,'Темы × классы'!$E:$E,0))&amp;"","")</f>
        <v/>
      </c>
      <c r="K1337" s="9" t="inlineStr">
        <is>
          <t>не начат</t>
        </is>
      </c>
      <c r="L1337" s="9" t="inlineStr">
        <is>
          <t>Spotlight / 10 класс / Module 3 · Schooldays &amp; Work / Future Continuous / Future Continuous: значение — вежливый вопрос о планах</t>
        </is>
      </c>
    </row>
    <row r="1338">
      <c r="A1338" s="25" t="n">
        <v>10</v>
      </c>
      <c r="B1338" s="9" t="inlineStr">
        <is>
          <t>Module 3 · Schooldays &amp; Work</t>
        </is>
      </c>
      <c r="C1338" s="9" t="inlineStr">
        <is>
          <t>3c</t>
        </is>
      </c>
      <c r="D1338" s="9" t="inlineStr">
        <is>
          <t>Future Perfect</t>
        </is>
      </c>
      <c r="E1338" s="23" t="inlineStr">
        <is>
          <t>Future Perfect: образование (will have + V3)</t>
        </is>
      </c>
      <c r="F1338" s="25" t="inlineStr">
        <is>
          <t>повторение</t>
        </is>
      </c>
      <c r="G1338" s="9" t="inlineStr"/>
      <c r="H1338" s="25" t="inlineStr">
        <is>
          <t>10+</t>
        </is>
      </c>
      <c r="I1338" s="9">
        <f>IFERROR(INDEX('Темы × классы'!$R:$R,MATCH(E1338,'Темы × классы'!$E:$E,0)),"")</f>
        <v/>
      </c>
      <c r="J1338" s="9">
        <f>IFERROR(INDEX('Темы × классы'!$S:$S,MATCH(E1338,'Темы × классы'!$E:$E,0))&amp;"","")</f>
        <v/>
      </c>
      <c r="K1338" s="9" t="inlineStr">
        <is>
          <t>не начат</t>
        </is>
      </c>
      <c r="L1338" s="9" t="inlineStr">
        <is>
          <t>Spotlight / 10 класс / Module 3 · Schooldays &amp; Work / Future Perfect / Future Perfect: образование (will have + V3)</t>
        </is>
      </c>
    </row>
    <row r="1339">
      <c r="A1339" s="25" t="n">
        <v>10</v>
      </c>
      <c r="B1339" s="9" t="inlineStr">
        <is>
          <t>Module 3 · Schooldays &amp; Work</t>
        </is>
      </c>
      <c r="C1339" s="9" t="inlineStr">
        <is>
          <t>3c</t>
        </is>
      </c>
      <c r="D1339" s="9" t="inlineStr">
        <is>
          <t>Future Perfect</t>
        </is>
      </c>
      <c r="E1339" s="23" t="inlineStr">
        <is>
          <t>Future Perfect: значение — завершится к моменту в будущем</t>
        </is>
      </c>
      <c r="F1339" s="25" t="inlineStr">
        <is>
          <t>повторение</t>
        </is>
      </c>
      <c r="G1339" s="9" t="inlineStr">
        <is>
          <t>before, by, by then, by the time, until/till</t>
        </is>
      </c>
      <c r="H1339" s="25" t="inlineStr">
        <is>
          <t>10+</t>
        </is>
      </c>
      <c r="I1339" s="9">
        <f>IFERROR(INDEX('Темы × классы'!$R:$R,MATCH(E1339,'Темы × классы'!$E:$E,0)),"")</f>
        <v/>
      </c>
      <c r="J1339" s="9">
        <f>IFERROR(INDEX('Темы × классы'!$S:$S,MATCH(E1339,'Темы × классы'!$E:$E,0))&amp;"","")</f>
        <v/>
      </c>
      <c r="K1339" s="9" t="inlineStr">
        <is>
          <t>не начат</t>
        </is>
      </c>
      <c r="L1339" s="9" t="inlineStr">
        <is>
          <t>Spotlight / 10 класс / Module 3 · Schooldays &amp; Work / Future Perfect / Future Perfect: значение — завершится к моменту в будущем</t>
        </is>
      </c>
    </row>
    <row r="1340">
      <c r="A1340" s="25" t="n">
        <v>10</v>
      </c>
      <c r="B1340" s="9" t="inlineStr">
        <is>
          <t>Module 3 · Schooldays &amp; Work</t>
        </is>
      </c>
      <c r="C1340" s="9" t="inlineStr">
        <is>
          <t>3c</t>
        </is>
      </c>
      <c r="D1340" s="9" t="inlineStr">
        <is>
          <t>Comparatives &amp; Superlatives</t>
        </is>
      </c>
      <c r="E1340" s="23" t="inlineStr">
        <is>
          <t>Comparatives &amp; Superlatives: сравнительная степень — -er + than</t>
        </is>
      </c>
      <c r="F1340" s="25" t="inlineStr">
        <is>
          <t>повторение</t>
        </is>
      </c>
      <c r="G1340" s="9" t="inlineStr"/>
      <c r="H1340" s="25" t="inlineStr">
        <is>
          <t>10+</t>
        </is>
      </c>
      <c r="I1340" s="9">
        <f>IFERROR(INDEX('Темы × классы'!$R:$R,MATCH(E1340,'Темы × классы'!$E:$E,0)),"")</f>
        <v/>
      </c>
      <c r="J1340" s="9">
        <f>IFERROR(INDEX('Темы × классы'!$S:$S,MATCH(E1340,'Темы × классы'!$E:$E,0))&amp;"","")</f>
        <v/>
      </c>
      <c r="K1340" s="9" t="inlineStr">
        <is>
          <t>не начат</t>
        </is>
      </c>
      <c r="L1340" s="9" t="inlineStr">
        <is>
          <t>Spotlight / 10 класс / Module 3 · Schooldays &amp; Work / Comparatives &amp; Superlatives / Comparatives &amp; Superlatives: сравнительная степень — -er + than</t>
        </is>
      </c>
    </row>
    <row r="1341">
      <c r="A1341" s="25" t="n">
        <v>10</v>
      </c>
      <c r="B1341" s="9" t="inlineStr">
        <is>
          <t>Module 3 · Schooldays &amp; Work</t>
        </is>
      </c>
      <c r="C1341" s="9" t="inlineStr">
        <is>
          <t>3c</t>
        </is>
      </c>
      <c r="D1341" s="9" t="inlineStr">
        <is>
          <t>Comparatives &amp; Superlatives</t>
        </is>
      </c>
      <c r="E1341" s="23" t="inlineStr">
        <is>
          <t>Comparatives &amp; Superlatives: сравнительная степень — more (многосложные)</t>
        </is>
      </c>
      <c r="F1341" s="25" t="inlineStr">
        <is>
          <t>повторение</t>
        </is>
      </c>
      <c r="G1341" s="9" t="inlineStr"/>
      <c r="H1341" s="25" t="inlineStr">
        <is>
          <t>10+</t>
        </is>
      </c>
      <c r="I1341" s="9">
        <f>IFERROR(INDEX('Темы × классы'!$R:$R,MATCH(E1341,'Темы × классы'!$E:$E,0)),"")</f>
        <v/>
      </c>
      <c r="J1341" s="9">
        <f>IFERROR(INDEX('Темы × классы'!$S:$S,MATCH(E1341,'Темы × классы'!$E:$E,0))&amp;"","")</f>
        <v/>
      </c>
      <c r="K1341" s="9" t="inlineStr">
        <is>
          <t>не начат</t>
        </is>
      </c>
      <c r="L1341" s="9" t="inlineStr">
        <is>
          <t>Spotlight / 10 класс / Module 3 · Schooldays &amp; Work / Comparatives &amp; Superlatives / Comparatives &amp; Superlatives: сравнительная степень — more (многосложные)</t>
        </is>
      </c>
    </row>
    <row r="1342">
      <c r="A1342" s="25" t="n">
        <v>10</v>
      </c>
      <c r="B1342" s="9" t="inlineStr">
        <is>
          <t>Module 3 · Schooldays &amp; Work</t>
        </is>
      </c>
      <c r="C1342" s="9" t="inlineStr">
        <is>
          <t>3c</t>
        </is>
      </c>
      <c r="D1342" s="9" t="inlineStr">
        <is>
          <t>Comparatives &amp; Superlatives</t>
        </is>
      </c>
      <c r="E1342" s="23" t="inlineStr">
        <is>
          <t>Comparatives &amp; Superlatives: орфография -er/-est (удвоение, -e, y → i)</t>
        </is>
      </c>
      <c r="F1342" s="25" t="inlineStr">
        <is>
          <t>повторение</t>
        </is>
      </c>
      <c r="G1342" s="9" t="inlineStr">
        <is>
          <t>big – bigger, -ier</t>
        </is>
      </c>
      <c r="H1342" s="25" t="inlineStr">
        <is>
          <t>10+</t>
        </is>
      </c>
      <c r="I1342" s="9">
        <f>IFERROR(INDEX('Темы × классы'!$R:$R,MATCH(E1342,'Темы × классы'!$E:$E,0)),"")</f>
        <v/>
      </c>
      <c r="J1342" s="9">
        <f>IFERROR(INDEX('Темы × классы'!$S:$S,MATCH(E1342,'Темы × классы'!$E:$E,0))&amp;"","")</f>
        <v/>
      </c>
      <c r="K1342" s="9" t="inlineStr">
        <is>
          <t>не начат</t>
        </is>
      </c>
      <c r="L1342" s="9" t="inlineStr">
        <is>
          <t>Spotlight / 10 класс / Module 3 · Schooldays &amp; Work / Comparatives &amp; Superlatives / Comparatives &amp; Superlatives: орфография -er/-est (удвоение, -e, y → i)</t>
        </is>
      </c>
    </row>
    <row r="1343">
      <c r="A1343" s="25" t="n">
        <v>10</v>
      </c>
      <c r="B1343" s="9" t="inlineStr">
        <is>
          <t>Module 3 · Schooldays &amp; Work</t>
        </is>
      </c>
      <c r="C1343" s="9" t="inlineStr">
        <is>
          <t>3c</t>
        </is>
      </c>
      <c r="D1343" s="9" t="inlineStr">
        <is>
          <t>Comparatives &amp; Superlatives</t>
        </is>
      </c>
      <c r="E1343" s="23" t="inlineStr">
        <is>
          <t>Comparatives &amp; Superlatives: превосходная степень — the -est + of/in</t>
        </is>
      </c>
      <c r="F1343" s="25" t="inlineStr">
        <is>
          <t>повторение</t>
        </is>
      </c>
      <c r="G1343" s="9" t="inlineStr">
        <is>
          <t>the + in (места) / of</t>
        </is>
      </c>
      <c r="H1343" s="25" t="inlineStr">
        <is>
          <t>10+</t>
        </is>
      </c>
      <c r="I1343" s="9">
        <f>IFERROR(INDEX('Темы × классы'!$R:$R,MATCH(E1343,'Темы × классы'!$E:$E,0)),"")</f>
        <v/>
      </c>
      <c r="J1343" s="9">
        <f>IFERROR(INDEX('Темы × классы'!$S:$S,MATCH(E1343,'Темы × классы'!$E:$E,0))&amp;"","")</f>
        <v/>
      </c>
      <c r="K1343" s="9" t="inlineStr">
        <is>
          <t>не начат</t>
        </is>
      </c>
      <c r="L1343" s="9" t="inlineStr">
        <is>
          <t>Spotlight / 10 класс / Module 3 · Schooldays &amp; Work / Comparatives &amp; Superlatives / Comparatives &amp; Superlatives: превосходная степень — the -est + of/in</t>
        </is>
      </c>
    </row>
    <row r="1344">
      <c r="A1344" s="25" t="n">
        <v>10</v>
      </c>
      <c r="B1344" s="9" t="inlineStr">
        <is>
          <t>Module 3 · Schooldays &amp; Work</t>
        </is>
      </c>
      <c r="C1344" s="9" t="inlineStr">
        <is>
          <t>3c</t>
        </is>
      </c>
      <c r="D1344" s="9" t="inlineStr">
        <is>
          <t>Comparatives &amp; Superlatives</t>
        </is>
      </c>
      <c r="E1344" s="23" t="inlineStr">
        <is>
          <t>Comparatives &amp; Superlatives: превосходная степень — the most</t>
        </is>
      </c>
      <c r="F1344" s="25" t="inlineStr">
        <is>
          <t>повторение</t>
        </is>
      </c>
      <c r="G1344" s="9" t="inlineStr"/>
      <c r="H1344" s="25" t="inlineStr">
        <is>
          <t>10+</t>
        </is>
      </c>
      <c r="I1344" s="9">
        <f>IFERROR(INDEX('Темы × классы'!$R:$R,MATCH(E1344,'Темы × классы'!$E:$E,0)),"")</f>
        <v/>
      </c>
      <c r="J1344" s="9">
        <f>IFERROR(INDEX('Темы × классы'!$S:$S,MATCH(E1344,'Темы × классы'!$E:$E,0))&amp;"","")</f>
        <v/>
      </c>
      <c r="K1344" s="9" t="inlineStr">
        <is>
          <t>не начат</t>
        </is>
      </c>
      <c r="L1344" s="9" t="inlineStr">
        <is>
          <t>Spotlight / 10 класс / Module 3 · Schooldays &amp; Work / Comparatives &amp; Superlatives / Comparatives &amp; Superlatives: превосходная степень — the most</t>
        </is>
      </c>
    </row>
    <row r="1345">
      <c r="A1345" s="25" t="n">
        <v>10</v>
      </c>
      <c r="B1345" s="9" t="inlineStr">
        <is>
          <t>Module 3 · Schooldays &amp; Work</t>
        </is>
      </c>
      <c r="C1345" s="9" t="inlineStr">
        <is>
          <t>3c</t>
        </is>
      </c>
      <c r="D1345" s="9" t="inlineStr">
        <is>
          <t>Comparatives &amp; Superlatives</t>
        </is>
      </c>
      <c r="E1345" s="23" t="inlineStr">
        <is>
          <t>Comparatives &amp; Superlatives: неправильные прилагательные (good, bad, many/much, little)</t>
        </is>
      </c>
      <c r="F1345" s="25" t="inlineStr">
        <is>
          <t>повторение</t>
        </is>
      </c>
      <c r="G1345" s="9" t="inlineStr">
        <is>
          <t>good/well, bad/badly, much, many/lots, little</t>
        </is>
      </c>
      <c r="H1345" s="25" t="inlineStr">
        <is>
          <t>10+</t>
        </is>
      </c>
      <c r="I1345" s="9">
        <f>IFERROR(INDEX('Темы × классы'!$R:$R,MATCH(E1345,'Темы × классы'!$E:$E,0)),"")</f>
        <v/>
      </c>
      <c r="J1345" s="9">
        <f>IFERROR(INDEX('Темы × классы'!$S:$S,MATCH(E1345,'Темы × классы'!$E:$E,0))&amp;"","")</f>
        <v/>
      </c>
      <c r="K1345" s="9" t="inlineStr">
        <is>
          <t>не начат</t>
        </is>
      </c>
      <c r="L1345" s="9" t="inlineStr">
        <is>
          <t>Spotlight / 10 класс / Module 3 · Schooldays &amp; Work / Comparatives &amp; Superlatives / Comparatives &amp; Superlatives: неправильные прилагательные (good, bad, many/much, little)</t>
        </is>
      </c>
    </row>
    <row r="1346">
      <c r="A1346" s="25" t="n">
        <v>10</v>
      </c>
      <c r="B1346" s="9" t="inlineStr">
        <is>
          <t>Module 3 · Schooldays &amp; Work</t>
        </is>
      </c>
      <c r="C1346" s="9" t="inlineStr">
        <is>
          <t>3c</t>
        </is>
      </c>
      <c r="D1346" s="9" t="inlineStr">
        <is>
          <t>Comparatives &amp; Superlatives</t>
        </is>
      </c>
      <c r="E1346" s="23" t="inlineStr">
        <is>
          <t>Comparatives &amp; Superlatives: двусложные на -y/-er/-ow — -er/-est</t>
        </is>
      </c>
      <c r="F1346" s="25" t="inlineStr">
        <is>
          <t>повторение</t>
        </is>
      </c>
      <c r="G1346" s="9" t="inlineStr">
        <is>
          <t>согласная + y → -ier/-iest</t>
        </is>
      </c>
      <c r="H1346" s="25" t="inlineStr">
        <is>
          <t>10+</t>
        </is>
      </c>
      <c r="I1346" s="9">
        <f>IFERROR(INDEX('Темы × классы'!$R:$R,MATCH(E1346,'Темы × классы'!$E:$E,0)),"")</f>
        <v/>
      </c>
      <c r="J1346" s="9">
        <f>IFERROR(INDEX('Темы × классы'!$S:$S,MATCH(E1346,'Темы × классы'!$E:$E,0))&amp;"","")</f>
        <v/>
      </c>
      <c r="K1346" s="9" t="inlineStr">
        <is>
          <t>не начат</t>
        </is>
      </c>
      <c r="L1346" s="9" t="inlineStr">
        <is>
          <t>Spotlight / 10 класс / Module 3 · Schooldays &amp; Work / Comparatives &amp; Superlatives / Comparatives &amp; Superlatives: двусложные на -y/-er/-ow — -er/-est</t>
        </is>
      </c>
    </row>
    <row r="1347">
      <c r="A1347" s="25" t="n">
        <v>10</v>
      </c>
      <c r="B1347" s="9" t="inlineStr">
        <is>
          <t>Module 3 · Schooldays &amp; Work</t>
        </is>
      </c>
      <c r="C1347" s="9" t="inlineStr">
        <is>
          <t>3c</t>
        </is>
      </c>
      <c r="D1347" s="9" t="inlineStr">
        <is>
          <t>Comparatives &amp; Superlatives</t>
        </is>
      </c>
      <c r="E1347" s="23" t="inlineStr">
        <is>
          <t>Comparatives &amp; Superlatives: прилагательные с двумя способами (clever, quiet, friendly…)</t>
        </is>
      </c>
      <c r="F1347" s="25" t="inlineStr">
        <is>
          <t>повторение</t>
        </is>
      </c>
      <c r="G1347" s="9" t="inlineStr">
        <is>
          <t>clever, common, …, stupid</t>
        </is>
      </c>
      <c r="H1347" s="25" t="inlineStr">
        <is>
          <t>10+</t>
        </is>
      </c>
      <c r="I1347" s="9">
        <f>IFERROR(INDEX('Темы × классы'!$R:$R,MATCH(E1347,'Темы × классы'!$E:$E,0)),"")</f>
        <v/>
      </c>
      <c r="J1347" s="9">
        <f>IFERROR(INDEX('Темы × классы'!$S:$S,MATCH(E1347,'Темы × классы'!$E:$E,0))&amp;"","")</f>
        <v/>
      </c>
      <c r="K1347" s="9" t="inlineStr">
        <is>
          <t>не начат</t>
        </is>
      </c>
      <c r="L1347" s="9" t="inlineStr">
        <is>
          <t>Spotlight / 10 класс / Module 3 · Schooldays &amp; Work / Comparatives &amp; Superlatives / Comparatives &amp; Superlatives: прилагательные с двумя способами (clever, quiet, friendly…)</t>
        </is>
      </c>
    </row>
    <row r="1348">
      <c r="A1348" s="25" t="n">
        <v>10</v>
      </c>
      <c r="B1348" s="9" t="inlineStr">
        <is>
          <t>Module 3 · Schooldays &amp; Work</t>
        </is>
      </c>
      <c r="C1348" s="9" t="inlineStr">
        <is>
          <t>3c</t>
        </is>
      </c>
      <c r="D1348" s="9" t="inlineStr">
        <is>
          <t>Comparatives &amp; Superlatives</t>
        </is>
      </c>
      <c r="E1348" s="23" t="inlineStr">
        <is>
          <t>Comparatives &amp; Superlatives: far — farther/further, old — elder/eldest</t>
        </is>
      </c>
      <c r="F1348" s="25" t="inlineStr">
        <is>
          <t>повторение</t>
        </is>
      </c>
      <c r="G1348" s="9" t="inlineStr">
        <is>
          <t>far – farther/further; elder/eldest</t>
        </is>
      </c>
      <c r="H1348" s="25" t="inlineStr">
        <is>
          <t>10+</t>
        </is>
      </c>
      <c r="I1348" s="9">
        <f>IFERROR(INDEX('Темы × классы'!$R:$R,MATCH(E1348,'Темы × классы'!$E:$E,0)),"")</f>
        <v/>
      </c>
      <c r="J1348" s="9">
        <f>IFERROR(INDEX('Темы × классы'!$S:$S,MATCH(E1348,'Темы × классы'!$E:$E,0))&amp;"","")</f>
        <v/>
      </c>
      <c r="K1348" s="9" t="inlineStr">
        <is>
          <t>не начат</t>
        </is>
      </c>
      <c r="L1348" s="9" t="inlineStr">
        <is>
          <t>Spotlight / 10 класс / Module 3 · Schooldays &amp; Work / Comparatives &amp; Superlatives / Comparatives &amp; Superlatives: far — farther/further, old — elder/eldest</t>
        </is>
      </c>
    </row>
    <row r="1349">
      <c r="A1349" s="25" t="n">
        <v>10</v>
      </c>
      <c r="B1349" s="9" t="inlineStr">
        <is>
          <t>Module 3 · Schooldays &amp; Work</t>
        </is>
      </c>
      <c r="C1349" s="9" t="inlineStr">
        <is>
          <t>3c</t>
        </is>
      </c>
      <c r="D1349" s="9" t="inlineStr">
        <is>
          <t>Comparatives &amp; Superlatives</t>
        </is>
      </c>
      <c r="E1349" s="23" t="inlineStr">
        <is>
          <t>Comparatives &amp; Superlatives: наречия — -er/-est (hard, fast, early)</t>
        </is>
      </c>
      <c r="F1349" s="25" t="inlineStr">
        <is>
          <t>повторение</t>
        </is>
      </c>
      <c r="G1349" s="9" t="inlineStr"/>
      <c r="H1349" s="25" t="inlineStr">
        <is>
          <t>10+</t>
        </is>
      </c>
      <c r="I1349" s="9">
        <f>IFERROR(INDEX('Темы × классы'!$R:$R,MATCH(E1349,'Темы × классы'!$E:$E,0)),"")</f>
        <v/>
      </c>
      <c r="J1349" s="9">
        <f>IFERROR(INDEX('Темы × классы'!$S:$S,MATCH(E1349,'Темы × классы'!$E:$E,0))&amp;"","")</f>
        <v/>
      </c>
      <c r="K1349" s="9" t="inlineStr">
        <is>
          <t>не начат</t>
        </is>
      </c>
      <c r="L1349" s="9" t="inlineStr">
        <is>
          <t>Spotlight / 10 класс / Module 3 · Schooldays &amp; Work / Comparatives &amp; Superlatives / Comparatives &amp; Superlatives: наречия — -er/-est (hard, fast, early)</t>
        </is>
      </c>
    </row>
    <row r="1350">
      <c r="A1350" s="25" t="n">
        <v>10</v>
      </c>
      <c r="B1350" s="9" t="inlineStr">
        <is>
          <t>Module 3 · Schooldays &amp; Work</t>
        </is>
      </c>
      <c r="C1350" s="9" t="inlineStr">
        <is>
          <t>3c</t>
        </is>
      </c>
      <c r="D1350" s="9" t="inlineStr">
        <is>
          <t>Comparatives &amp; Superlatives</t>
        </is>
      </c>
      <c r="E1350" s="23" t="inlineStr">
        <is>
          <t>Comparatives &amp; Superlatives: наречия — more/most (slowly)</t>
        </is>
      </c>
      <c r="F1350" s="25" t="inlineStr">
        <is>
          <t>повторение</t>
        </is>
      </c>
      <c r="G1350" s="9" t="inlineStr"/>
      <c r="H1350" s="25" t="inlineStr">
        <is>
          <t>10+</t>
        </is>
      </c>
      <c r="I1350" s="9">
        <f>IFERROR(INDEX('Темы × классы'!$R:$R,MATCH(E1350,'Темы × классы'!$E:$E,0)),"")</f>
        <v/>
      </c>
      <c r="J1350" s="9">
        <f>IFERROR(INDEX('Темы × классы'!$S:$S,MATCH(E1350,'Темы × классы'!$E:$E,0))&amp;"","")</f>
        <v/>
      </c>
      <c r="K1350" s="9" t="inlineStr">
        <is>
          <t>не начат</t>
        </is>
      </c>
      <c r="L1350" s="9" t="inlineStr">
        <is>
          <t>Spotlight / 10 класс / Module 3 · Schooldays &amp; Work / Comparatives &amp; Superlatives / Comparatives &amp; Superlatives: наречия — more/most (slowly)</t>
        </is>
      </c>
    </row>
    <row r="1351">
      <c r="A1351" s="25" t="n">
        <v>10</v>
      </c>
      <c r="B1351" s="9" t="inlineStr">
        <is>
          <t>Module 3 · Schooldays &amp; Work</t>
        </is>
      </c>
      <c r="C1351" s="9" t="inlineStr">
        <is>
          <t>3c</t>
        </is>
      </c>
      <c r="D1351" s="9" t="inlineStr">
        <is>
          <t>Comparatives &amp; Superlatives</t>
        </is>
      </c>
      <c r="E1351" s="23" t="inlineStr">
        <is>
          <t>Comparatives &amp; Superlatives: неправильные наречия (well, badly)</t>
        </is>
      </c>
      <c r="F1351" s="25" t="inlineStr">
        <is>
          <t>повторение</t>
        </is>
      </c>
      <c r="G1351" s="9" t="inlineStr"/>
      <c r="H1351" s="25" t="inlineStr">
        <is>
          <t>10+</t>
        </is>
      </c>
      <c r="I1351" s="9">
        <f>IFERROR(INDEX('Темы × классы'!$R:$R,MATCH(E1351,'Темы × классы'!$E:$E,0)),"")</f>
        <v/>
      </c>
      <c r="J1351" s="9">
        <f>IFERROR(INDEX('Темы × классы'!$S:$S,MATCH(E1351,'Темы × классы'!$E:$E,0))&amp;"","")</f>
        <v/>
      </c>
      <c r="K1351" s="9" t="inlineStr">
        <is>
          <t>не начат</t>
        </is>
      </c>
      <c r="L1351" s="9" t="inlineStr">
        <is>
          <t>Spotlight / 10 класс / Module 3 · Schooldays &amp; Work / Comparatives &amp; Superlatives / Comparatives &amp; Superlatives: неправильные наречия (well, badly)</t>
        </is>
      </c>
    </row>
    <row r="1352">
      <c r="A1352" s="25" t="n">
        <v>10</v>
      </c>
      <c r="B1352" s="9" t="inlineStr">
        <is>
          <t>Module 3 · Schooldays &amp; Work</t>
        </is>
      </c>
      <c r="C1352" s="9" t="inlineStr">
        <is>
          <t>3c</t>
        </is>
      </c>
      <c r="D1352" s="9" t="inlineStr">
        <is>
          <t>Comparative structures</t>
        </is>
      </c>
      <c r="E1352" s="23" t="inlineStr">
        <is>
          <t>Comparative structures: as … as / not as (so) … as</t>
        </is>
      </c>
      <c r="F1352" s="25" t="inlineStr">
        <is>
          <t>повторение</t>
        </is>
      </c>
      <c r="G1352" s="9" t="inlineStr"/>
      <c r="H1352" s="25" t="inlineStr">
        <is>
          <t>10+</t>
        </is>
      </c>
      <c r="I1352" s="9">
        <f>IFERROR(INDEX('Темы × классы'!$R:$R,MATCH(E1352,'Темы × классы'!$E:$E,0)),"")</f>
        <v/>
      </c>
      <c r="J1352" s="9">
        <f>IFERROR(INDEX('Темы × классы'!$S:$S,MATCH(E1352,'Темы × классы'!$E:$E,0))&amp;"","")</f>
        <v/>
      </c>
      <c r="K1352" s="9" t="inlineStr">
        <is>
          <t>не начат</t>
        </is>
      </c>
      <c r="L1352" s="9" t="inlineStr">
        <is>
          <t>Spotlight / 10 класс / Module 3 · Schooldays &amp; Work / Comparative structures / Comparative structures: as … as / not as (so) … as</t>
        </is>
      </c>
    </row>
    <row r="1353">
      <c r="A1353" s="25" t="n">
        <v>10</v>
      </c>
      <c r="B1353" s="9" t="inlineStr">
        <is>
          <t>Module 3 · Schooldays &amp; Work</t>
        </is>
      </c>
      <c r="C1353" s="9" t="inlineStr">
        <is>
          <t>3c</t>
        </is>
      </c>
      <c r="D1353" s="9" t="inlineStr">
        <is>
          <t>Comparative structures</t>
        </is>
      </c>
      <c r="E1353" s="23" t="inlineStr">
        <is>
          <t>Comparative structures: less … than / the least … of/in</t>
        </is>
      </c>
      <c r="F1353" s="25" t="inlineStr">
        <is>
          <t>повторение</t>
        </is>
      </c>
      <c r="G1353" s="9" t="inlineStr"/>
      <c r="H1353" s="25" t="inlineStr">
        <is>
          <t>10+</t>
        </is>
      </c>
      <c r="I1353" s="9">
        <f>IFERROR(INDEX('Темы × классы'!$R:$R,MATCH(E1353,'Темы × классы'!$E:$E,0)),"")</f>
        <v/>
      </c>
      <c r="J1353" s="9">
        <f>IFERROR(INDEX('Темы × классы'!$S:$S,MATCH(E1353,'Темы × классы'!$E:$E,0))&amp;"","")</f>
        <v/>
      </c>
      <c r="K1353" s="9" t="inlineStr">
        <is>
          <t>не начат</t>
        </is>
      </c>
      <c r="L1353" s="9" t="inlineStr">
        <is>
          <t>Spotlight / 10 класс / Module 3 · Schooldays &amp; Work / Comparative structures / Comparative structures: less … than / the least … of/in</t>
        </is>
      </c>
    </row>
    <row r="1354">
      <c r="A1354" s="25" t="n">
        <v>10</v>
      </c>
      <c r="B1354" s="9" t="inlineStr">
        <is>
          <t>Module 3 · Schooldays &amp; Work</t>
        </is>
      </c>
      <c r="C1354" s="9" t="inlineStr">
        <is>
          <t>3c</t>
        </is>
      </c>
      <c r="D1354" s="9" t="inlineStr">
        <is>
          <t>Comparative structures</t>
        </is>
      </c>
      <c r="E1354" s="23" t="inlineStr">
        <is>
          <t>Comparative structures: much/a lot/far/a bit/slightly + comparative</t>
        </is>
      </c>
      <c r="F1354" s="25" t="inlineStr">
        <is>
          <t>повторение</t>
        </is>
      </c>
      <c r="G1354" s="9" t="inlineStr"/>
      <c r="H1354" s="25" t="inlineStr">
        <is>
          <t>10+</t>
        </is>
      </c>
      <c r="I1354" s="9">
        <f>IFERROR(INDEX('Темы × классы'!$R:$R,MATCH(E1354,'Темы × классы'!$E:$E,0)),"")</f>
        <v/>
      </c>
      <c r="J1354" s="9">
        <f>IFERROR(INDEX('Темы × классы'!$S:$S,MATCH(E1354,'Темы × классы'!$E:$E,0))&amp;"","")</f>
        <v/>
      </c>
      <c r="K1354" s="9" t="inlineStr">
        <is>
          <t>не начат</t>
        </is>
      </c>
      <c r="L1354" s="9" t="inlineStr">
        <is>
          <t>Spotlight / 10 класс / Module 3 · Schooldays &amp; Work / Comparative structures / Comparative structures: much/a lot/far/a bit/slightly + comparative</t>
        </is>
      </c>
    </row>
    <row r="1355">
      <c r="A1355" s="25" t="n">
        <v>10</v>
      </c>
      <c r="B1355" s="9" t="inlineStr">
        <is>
          <t>Module 3 · Schooldays &amp; Work</t>
        </is>
      </c>
      <c r="C1355" s="9" t="inlineStr">
        <is>
          <t>3c</t>
        </is>
      </c>
      <c r="D1355" s="9" t="inlineStr">
        <is>
          <t>Comparative structures</t>
        </is>
      </c>
      <c r="E1355" s="23" t="inlineStr">
        <is>
          <t>Comparative structures: the + comparative …, the + comparative</t>
        </is>
      </c>
      <c r="F1355" s="25" t="inlineStr">
        <is>
          <t>повторение</t>
        </is>
      </c>
      <c r="G1355" s="9" t="inlineStr">
        <is>
          <t>The harder you study, the better…</t>
        </is>
      </c>
      <c r="H1355" s="25" t="inlineStr">
        <is>
          <t>10+</t>
        </is>
      </c>
      <c r="I1355" s="9">
        <f>IFERROR(INDEX('Темы × классы'!$R:$R,MATCH(E1355,'Темы × классы'!$E:$E,0)),"")</f>
        <v/>
      </c>
      <c r="J1355" s="9">
        <f>IFERROR(INDEX('Темы × классы'!$S:$S,MATCH(E1355,'Темы × классы'!$E:$E,0))&amp;"","")</f>
        <v/>
      </c>
      <c r="K1355" s="9" t="inlineStr">
        <is>
          <t>не начат</t>
        </is>
      </c>
      <c r="L1355" s="9" t="inlineStr">
        <is>
          <t>Spotlight / 10 класс / Module 3 · Schooldays &amp; Work / Comparative structures / Comparative structures: the + comparative …, the + comparative</t>
        </is>
      </c>
    </row>
    <row r="1356">
      <c r="A1356" s="25" t="n">
        <v>10</v>
      </c>
      <c r="B1356" s="9" t="inlineStr">
        <is>
          <t>Module 3 · Schooldays &amp; Work</t>
        </is>
      </c>
      <c r="C1356" s="9" t="inlineStr">
        <is>
          <t>3c</t>
        </is>
      </c>
      <c r="D1356" s="9" t="inlineStr">
        <is>
          <t>Comparative structures</t>
        </is>
      </c>
      <c r="E1356" s="23" t="inlineStr">
        <is>
          <t>Comparative structures: comparative and comparative (shorter and shorter)</t>
        </is>
      </c>
      <c r="F1356" s="25" t="inlineStr">
        <is>
          <t>повторение</t>
        </is>
      </c>
      <c r="G1356" s="9" t="inlineStr">
        <is>
          <t>warmer and warmer</t>
        </is>
      </c>
      <c r="H1356" s="25" t="inlineStr">
        <is>
          <t>10+</t>
        </is>
      </c>
      <c r="I1356" s="9">
        <f>IFERROR(INDEX('Темы × классы'!$R:$R,MATCH(E1356,'Темы × классы'!$E:$E,0)),"")</f>
        <v/>
      </c>
      <c r="J1356" s="9">
        <f>IFERROR(INDEX('Темы × классы'!$S:$S,MATCH(E1356,'Темы × классы'!$E:$E,0))&amp;"","")</f>
        <v/>
      </c>
      <c r="K1356" s="9" t="inlineStr">
        <is>
          <t>не начат</t>
        </is>
      </c>
      <c r="L1356" s="9" t="inlineStr">
        <is>
          <t>Spotlight / 10 класс / Module 3 · Schooldays &amp; Work / Comparative structures / Comparative structures: comparative and comparative (shorter and shorter)</t>
        </is>
      </c>
    </row>
    <row r="1357">
      <c r="A1357" s="25" t="n">
        <v>10</v>
      </c>
      <c r="B1357" s="9" t="inlineStr">
        <is>
          <t>Module 3 · Schooldays &amp; Work</t>
        </is>
      </c>
      <c r="C1357" s="9" t="inlineStr">
        <is>
          <t>3c</t>
        </is>
      </c>
      <c r="D1357" s="9" t="inlineStr">
        <is>
          <t>Comparative structures</t>
        </is>
      </c>
      <c r="E1357" s="23" t="inlineStr">
        <is>
          <t>Comparative structures: by far + the superlative</t>
        </is>
      </c>
      <c r="F1357" s="25" t="inlineStr">
        <is>
          <t>повторение</t>
        </is>
      </c>
      <c r="G1357" s="9" t="inlineStr"/>
      <c r="H1357" s="25" t="inlineStr">
        <is>
          <t>10+</t>
        </is>
      </c>
      <c r="I1357" s="9">
        <f>IFERROR(INDEX('Темы × классы'!$R:$R,MATCH(E1357,'Темы × классы'!$E:$E,0)),"")</f>
        <v/>
      </c>
      <c r="J1357" s="9">
        <f>IFERROR(INDEX('Темы × классы'!$S:$S,MATCH(E1357,'Темы × классы'!$E:$E,0))&amp;"","")</f>
        <v/>
      </c>
      <c r="K1357" s="9" t="inlineStr">
        <is>
          <t>не начат</t>
        </is>
      </c>
      <c r="L1357" s="9" t="inlineStr">
        <is>
          <t>Spotlight / 10 класс / Module 3 · Schooldays &amp; Work / Comparative structures / Comparative structures: by far + the superlative</t>
        </is>
      </c>
    </row>
    <row r="1358">
      <c r="A1358" s="25" t="n">
        <v>10</v>
      </c>
      <c r="B1358" s="9" t="inlineStr">
        <is>
          <t>Module 3 · Schooldays &amp; Work</t>
        </is>
      </c>
      <c r="C1358" s="9" t="inlineStr">
        <is>
          <t>3c</t>
        </is>
      </c>
      <c r="D1358" s="9" t="inlineStr">
        <is>
          <t>Comparative structures</t>
        </is>
      </c>
      <c r="E1358" s="23" t="inlineStr">
        <is>
          <t>Comparative structures: twice / three times / half as … as</t>
        </is>
      </c>
      <c r="F1358" s="26" t="inlineStr">
        <is>
          <t>новое</t>
        </is>
      </c>
      <c r="G1358" s="9" t="inlineStr">
        <is>
          <t>twice/three times/half as … as</t>
        </is>
      </c>
      <c r="H1358" s="25" t="inlineStr">
        <is>
          <t>10+</t>
        </is>
      </c>
      <c r="I1358" s="9">
        <f>IFERROR(INDEX('Темы × классы'!$R:$R,MATCH(E1358,'Темы × классы'!$E:$E,0)),"")</f>
        <v/>
      </c>
      <c r="J1358" s="9">
        <f>IFERROR(INDEX('Темы × классы'!$S:$S,MATCH(E1358,'Темы × классы'!$E:$E,0))&amp;"","")</f>
        <v/>
      </c>
      <c r="K1358" s="9" t="inlineStr">
        <is>
          <t>не начат</t>
        </is>
      </c>
      <c r="L1358" s="9" t="inlineStr">
        <is>
          <t>Spotlight / 10 класс / Module 3 · Schooldays &amp; Work / Comparative structures / Comparative structures: twice / three times / half as … as</t>
        </is>
      </c>
    </row>
    <row r="1359">
      <c r="A1359" s="25" t="n">
        <v>10</v>
      </c>
      <c r="B1359" s="9" t="inlineStr">
        <is>
          <t>Module 3 · Schooldays &amp; Work</t>
        </is>
      </c>
      <c r="C1359" s="9" t="inlineStr">
        <is>
          <t>3c</t>
        </is>
      </c>
      <c r="D1359" s="9" t="inlineStr">
        <is>
          <t>Comparative structures</t>
        </is>
      </c>
      <c r="E1359" s="23" t="inlineStr">
        <is>
          <t>Comparative structures: the same … as</t>
        </is>
      </c>
      <c r="F1359" s="26" t="inlineStr">
        <is>
          <t>новое</t>
        </is>
      </c>
      <c r="G1359" s="9" t="inlineStr">
        <is>
          <t>the same … as</t>
        </is>
      </c>
      <c r="H1359" s="25" t="inlineStr">
        <is>
          <t>10+</t>
        </is>
      </c>
      <c r="I1359" s="9">
        <f>IFERROR(INDEX('Темы × классы'!$R:$R,MATCH(E1359,'Темы × классы'!$E:$E,0)),"")</f>
        <v/>
      </c>
      <c r="J1359" s="9">
        <f>IFERROR(INDEX('Темы × классы'!$S:$S,MATCH(E1359,'Темы × классы'!$E:$E,0))&amp;"","")</f>
        <v/>
      </c>
      <c r="K1359" s="9" t="inlineStr">
        <is>
          <t>не начат</t>
        </is>
      </c>
      <c r="L1359" s="9" t="inlineStr">
        <is>
          <t>Spotlight / 10 класс / Module 3 · Schooldays &amp; Work / Comparative structures / Comparative structures: the same … as</t>
        </is>
      </c>
    </row>
    <row r="1360">
      <c r="A1360" s="25" t="n">
        <v>10</v>
      </c>
      <c r="B1360" s="9" t="inlineStr">
        <is>
          <t>Module 3 · Schooldays &amp; Work</t>
        </is>
      </c>
      <c r="C1360" s="9" t="inlineStr">
        <is>
          <t>3c</t>
        </is>
      </c>
      <c r="D1360" s="9" t="inlineStr">
        <is>
          <t>Comparative structures</t>
        </is>
      </c>
      <c r="E1360" s="23" t="inlineStr">
        <is>
          <t>Comparative structures: look/sound/smell/taste + like</t>
        </is>
      </c>
      <c r="F1360" s="26" t="inlineStr">
        <is>
          <t>новое</t>
        </is>
      </c>
      <c r="G1360" s="9" t="inlineStr">
        <is>
          <t>look/sound/smell/taste + like</t>
        </is>
      </c>
      <c r="H1360" s="25" t="inlineStr">
        <is>
          <t>10+</t>
        </is>
      </c>
      <c r="I1360" s="9">
        <f>IFERROR(INDEX('Темы × классы'!$R:$R,MATCH(E1360,'Темы × классы'!$E:$E,0)),"")</f>
        <v/>
      </c>
      <c r="J1360" s="9">
        <f>IFERROR(INDEX('Темы × классы'!$S:$S,MATCH(E1360,'Темы × классы'!$E:$E,0))&amp;"","")</f>
        <v/>
      </c>
      <c r="K1360" s="9" t="inlineStr">
        <is>
          <t>не начат</t>
        </is>
      </c>
      <c r="L1360" s="9" t="inlineStr">
        <is>
          <t>Spotlight / 10 класс / Module 3 · Schooldays &amp; Work / Comparative structures / Comparative structures: look/sound/smell/taste + like</t>
        </is>
      </c>
    </row>
    <row r="1361">
      <c r="A1361" s="25" t="n">
        <v>10</v>
      </c>
      <c r="B1361" s="9" t="inlineStr">
        <is>
          <t>Module 3 · Schooldays &amp; Work</t>
        </is>
      </c>
      <c r="C1361" s="9" t="inlineStr">
        <is>
          <t>3c</t>
        </is>
      </c>
      <c r="D1361" s="9" t="inlineStr">
        <is>
          <t>Like / As</t>
        </is>
      </c>
      <c r="E1361" s="23" t="inlineStr">
        <is>
          <t>Like / As: like — сходство; после feel, look, smell, taste, sound</t>
        </is>
      </c>
      <c r="F1361" s="26" t="inlineStr">
        <is>
          <t>новое</t>
        </is>
      </c>
      <c r="G1361" s="9" t="inlineStr">
        <is>
          <t>works like a dog; like + noun/pronoun/-ing</t>
        </is>
      </c>
      <c r="H1361" s="25" t="inlineStr">
        <is>
          <t>10+</t>
        </is>
      </c>
      <c r="I1361" s="9">
        <f>IFERROR(INDEX('Темы × классы'!$R:$R,MATCH(E1361,'Темы × классы'!$E:$E,0)),"")</f>
        <v/>
      </c>
      <c r="J1361" s="9">
        <f>IFERROR(INDEX('Темы × классы'!$S:$S,MATCH(E1361,'Темы × классы'!$E:$E,0))&amp;"","")</f>
        <v/>
      </c>
      <c r="K1361" s="9" t="inlineStr">
        <is>
          <t>не начат</t>
        </is>
      </c>
      <c r="L1361" s="9" t="inlineStr">
        <is>
          <t>Spotlight / 10 класс / Module 3 · Schooldays &amp; Work / Like / As / Like / As: like — сходство; после feel, look, smell, taste, sound</t>
        </is>
      </c>
    </row>
    <row r="1362">
      <c r="A1362" s="25" t="n">
        <v>10</v>
      </c>
      <c r="B1362" s="9" t="inlineStr">
        <is>
          <t>Module 3 · Schooldays &amp; Work</t>
        </is>
      </c>
      <c r="C1362" s="9" t="inlineStr">
        <is>
          <t>3c</t>
        </is>
      </c>
      <c r="D1362" s="9" t="inlineStr">
        <is>
          <t>Like / As</t>
        </is>
      </c>
      <c r="E1362" s="23" t="inlineStr">
        <is>
          <t>Like / As: as — роль, профессия; после regard, describe, be known; as usual, such as, the same as</t>
        </is>
      </c>
      <c r="F1362" s="26" t="inlineStr">
        <is>
          <t>новое</t>
        </is>
      </c>
      <c r="G1362" s="9" t="inlineStr">
        <is>
          <t>works as a clerk; придаточные образа действия</t>
        </is>
      </c>
      <c r="H1362" s="25" t="inlineStr">
        <is>
          <t>10+</t>
        </is>
      </c>
      <c r="I1362" s="9">
        <f>IFERROR(INDEX('Темы × классы'!$R:$R,MATCH(E1362,'Темы × классы'!$E:$E,0)),"")</f>
        <v/>
      </c>
      <c r="J1362" s="9">
        <f>IFERROR(INDEX('Темы × классы'!$S:$S,MATCH(E1362,'Темы × классы'!$E:$E,0))&amp;"","")</f>
        <v/>
      </c>
      <c r="K1362" s="9" t="inlineStr">
        <is>
          <t>не начат</t>
        </is>
      </c>
      <c r="L1362" s="9" t="inlineStr">
        <is>
          <t>Spotlight / 10 класс / Module 3 · Schooldays &amp; Work / Like / As / Like / As: as — роль, профессия; после regard, describe, be known; as usual, such as, the same as</t>
        </is>
      </c>
    </row>
    <row r="1363">
      <c r="A1363" s="25" t="n">
        <v>10</v>
      </c>
      <c r="B1363" s="9" t="inlineStr">
        <is>
          <t>Module 3 · Schooldays &amp; Work</t>
        </is>
      </c>
      <c r="C1363" s="9" t="inlineStr">
        <is>
          <t>3c</t>
        </is>
      </c>
      <c r="D1363" s="9" t="inlineStr">
        <is>
          <t>Like / As</t>
        </is>
      </c>
      <c r="E1363" s="23" t="inlineStr">
        <is>
          <t>Like / As: like vs as — сходство vs реальная роль</t>
        </is>
      </c>
      <c r="F1363" s="26" t="inlineStr">
        <is>
          <t>новое</t>
        </is>
      </c>
      <c r="G1363" s="9" t="inlineStr">
        <is>
          <t>works like a dog vs works as a clerk</t>
        </is>
      </c>
      <c r="H1363" s="25" t="inlineStr">
        <is>
          <t>10+</t>
        </is>
      </c>
      <c r="I1363" s="9">
        <f>IFERROR(INDEX('Темы × классы'!$R:$R,MATCH(E1363,'Темы × классы'!$E:$E,0)),"")</f>
        <v/>
      </c>
      <c r="J1363" s="9">
        <f>IFERROR(INDEX('Темы × классы'!$S:$S,MATCH(E1363,'Темы × классы'!$E:$E,0))&amp;"","")</f>
        <v/>
      </c>
      <c r="K1363" s="9" t="inlineStr">
        <is>
          <t>не начат</t>
        </is>
      </c>
      <c r="L1363" s="9" t="inlineStr">
        <is>
          <t>Spotlight / 10 класс / Module 3 · Schooldays &amp; Work / Like / As / Like / As: like vs as — сходство vs реальная роль</t>
        </is>
      </c>
    </row>
    <row r="1364">
      <c r="A1364" s="25" t="n">
        <v>10</v>
      </c>
      <c r="B1364" s="9" t="inlineStr">
        <is>
          <t>Module 3 · Schooldays &amp; Work</t>
        </is>
      </c>
      <c r="C1364" s="9" t="inlineStr">
        <is>
          <t>3c</t>
        </is>
      </c>
      <c r="D1364" s="9" t="inlineStr">
        <is>
          <t>Time clauses</t>
        </is>
      </c>
      <c r="E1364" s="23" t="inlineStr">
        <is>
          <t>Time clauses: Present Simple вместо будущего после when/before/after/until/as soon as…</t>
        </is>
      </c>
      <c r="F1364" s="25" t="inlineStr">
        <is>
          <t>повторение</t>
        </is>
      </c>
      <c r="G1364" s="9" t="inlineStr">
        <is>
          <t>while, before, until, as soon as, after, by the time, as</t>
        </is>
      </c>
      <c r="H1364" s="25" t="inlineStr">
        <is>
          <t>10+</t>
        </is>
      </c>
      <c r="I1364" s="9">
        <f>IFERROR(INDEX('Темы × классы'!$R:$R,MATCH(E1364,'Темы × классы'!$E:$E,0)),"")</f>
        <v/>
      </c>
      <c r="J1364" s="9">
        <f>IFERROR(INDEX('Темы × классы'!$S:$S,MATCH(E1364,'Темы × классы'!$E:$E,0))&amp;"","")</f>
        <v/>
      </c>
      <c r="K1364" s="9" t="inlineStr">
        <is>
          <t>не начат</t>
        </is>
      </c>
      <c r="L1364" s="9" t="inlineStr">
        <is>
          <t>Spotlight / 10 класс / Module 3 · Schooldays &amp; Work / Time clauses / Time clauses: Present Simple вместо будущего после when/before/after/until/as soon as…</t>
        </is>
      </c>
    </row>
    <row r="1365">
      <c r="A1365" s="25" t="n">
        <v>10</v>
      </c>
      <c r="B1365" s="9" t="inlineStr">
        <is>
          <t>Module 3 · Schooldays &amp; Work</t>
        </is>
      </c>
      <c r="C1365" s="9" t="inlineStr">
        <is>
          <t>3c</t>
        </is>
      </c>
      <c r="D1365" s="9" t="inlineStr">
        <is>
          <t>Time clauses</t>
        </is>
      </c>
      <c r="E1365" s="23" t="inlineStr">
        <is>
          <t>Time clauses: Present Perfect в придаточном времени</t>
        </is>
      </c>
      <c r="F1365" s="25" t="inlineStr">
        <is>
          <t>повторение</t>
        </is>
      </c>
      <c r="G1365" s="9" t="inlineStr"/>
      <c r="H1365" s="25" t="inlineStr">
        <is>
          <t>10+</t>
        </is>
      </c>
      <c r="I1365" s="9">
        <f>IFERROR(INDEX('Темы × классы'!$R:$R,MATCH(E1365,'Темы × классы'!$E:$E,0)),"")</f>
        <v/>
      </c>
      <c r="J1365" s="9">
        <f>IFERROR(INDEX('Темы × классы'!$S:$S,MATCH(E1365,'Темы × классы'!$E:$E,0))&amp;"","")</f>
        <v/>
      </c>
      <c r="K1365" s="9" t="inlineStr">
        <is>
          <t>не начат</t>
        </is>
      </c>
      <c r="L1365" s="9" t="inlineStr">
        <is>
          <t>Spotlight / 10 класс / Module 3 · Schooldays &amp; Work / Time clauses / Time clauses: Present Perfect в придаточном времени</t>
        </is>
      </c>
    </row>
    <row r="1366">
      <c r="A1366" s="25" t="n">
        <v>10</v>
      </c>
      <c r="B1366" s="9" t="inlineStr">
        <is>
          <t>Module 3 · Schooldays &amp; Work</t>
        </is>
      </c>
      <c r="C1366" s="9" t="inlineStr">
        <is>
          <t>3c</t>
        </is>
      </c>
      <c r="D1366" s="9" t="inlineStr">
        <is>
          <t>Time clauses</t>
        </is>
      </c>
      <c r="E1366" s="23" t="inlineStr">
        <is>
          <t>Time clauses: то же после if, unless, in case, supposing</t>
        </is>
      </c>
      <c r="F1366" s="25" t="inlineStr">
        <is>
          <t>повторение</t>
        </is>
      </c>
      <c r="G1366" s="9" t="inlineStr">
        <is>
          <t>только if</t>
        </is>
      </c>
      <c r="H1366" s="25" t="inlineStr">
        <is>
          <t>10+</t>
        </is>
      </c>
      <c r="I1366" s="9">
        <f>IFERROR(INDEX('Темы × классы'!$R:$R,MATCH(E1366,'Темы × классы'!$E:$E,0)),"")</f>
        <v/>
      </c>
      <c r="J1366" s="9">
        <f>IFERROR(INDEX('Темы × классы'!$S:$S,MATCH(E1366,'Темы × классы'!$E:$E,0))&amp;"","")</f>
        <v/>
      </c>
      <c r="K1366" s="9" t="inlineStr">
        <is>
          <t>не начат</t>
        </is>
      </c>
      <c r="L1366" s="9" t="inlineStr">
        <is>
          <t>Spotlight / 10 класс / Module 3 · Schooldays &amp; Work / Time clauses / Time clauses: то же после if, unless, in case, supposing</t>
        </is>
      </c>
    </row>
    <row r="1367">
      <c r="A1367" s="25" t="n">
        <v>10</v>
      </c>
      <c r="B1367" s="9" t="inlineStr">
        <is>
          <t>Module 3 · Schooldays &amp; Work</t>
        </is>
      </c>
      <c r="C1367" s="9" t="inlineStr">
        <is>
          <t>3c</t>
        </is>
      </c>
      <c r="D1367" s="9" t="inlineStr">
        <is>
          <t>Time clauses</t>
        </is>
      </c>
      <c r="E1367" s="23" t="inlineStr">
        <is>
          <t>Time clauses: when/if как вопросительное слово или после I don't know/wonder — с will</t>
        </is>
      </c>
      <c r="F1367" s="25" t="inlineStr">
        <is>
          <t>повторение</t>
        </is>
      </c>
      <c r="G1367" s="9" t="inlineStr">
        <is>
          <t>только when: вопросительное слово vs союз</t>
        </is>
      </c>
      <c r="H1367" s="25" t="inlineStr">
        <is>
          <t>10+</t>
        </is>
      </c>
      <c r="I1367" s="9">
        <f>IFERROR(INDEX('Темы × классы'!$R:$R,MATCH(E1367,'Темы × классы'!$E:$E,0)),"")</f>
        <v/>
      </c>
      <c r="J1367" s="9">
        <f>IFERROR(INDEX('Темы × классы'!$S:$S,MATCH(E1367,'Темы × классы'!$E:$E,0))&amp;"","")</f>
        <v/>
      </c>
      <c r="K1367" s="9" t="inlineStr">
        <is>
          <t>не начат</t>
        </is>
      </c>
      <c r="L1367" s="9" t="inlineStr">
        <is>
          <t>Spotlight / 10 класс / Module 3 · Schooldays &amp; Work / Time clauses / Time clauses: when/if как вопросительное слово или после I don't know/wonder — с will</t>
        </is>
      </c>
    </row>
    <row r="1368">
      <c r="A1368" s="25" t="n">
        <v>10</v>
      </c>
      <c r="B1368" s="9" t="inlineStr">
        <is>
          <t>Module 3 · Schooldays &amp; Work</t>
        </is>
      </c>
      <c r="C1368" s="9" t="inlineStr">
        <is>
          <t>3c</t>
        </is>
      </c>
      <c r="D1368" s="9" t="inlineStr">
        <is>
          <t>Phrasal verbs</t>
        </is>
      </c>
      <c r="E1368" s="23" t="inlineStr">
        <is>
          <t>Phrasal verbs: pick</t>
        </is>
      </c>
      <c r="F1368" s="26" t="inlineStr">
        <is>
          <t>новое</t>
        </is>
      </c>
      <c r="G1368" s="9" t="inlineStr">
        <is>
          <t>Фразовые глаголы с pick (ToC: «phrasal verbs (pick)»); состав частиц и значения в источнике не даны.</t>
        </is>
      </c>
      <c r="H1368" s="25" t="inlineStr">
        <is>
          <t>10+</t>
        </is>
      </c>
      <c r="I1368" s="9">
        <f>IFERROR(INDEX('Темы × классы'!$R:$R,MATCH(E1368,'Темы × классы'!$E:$E,0)),"")</f>
        <v/>
      </c>
      <c r="J1368" s="9">
        <f>IFERROR(INDEX('Темы × классы'!$S:$S,MATCH(E1368,'Темы × классы'!$E:$E,0))&amp;"","")</f>
        <v/>
      </c>
      <c r="K1368" s="9" t="inlineStr">
        <is>
          <t>не начат</t>
        </is>
      </c>
      <c r="L1368" s="9" t="inlineStr">
        <is>
          <t>Spotlight / 10 класс / Module 3 · Schooldays &amp; Work / Phrasal verbs / Phrasal verbs: pick</t>
        </is>
      </c>
    </row>
    <row r="1369">
      <c r="A1369" s="25" t="n">
        <v>10</v>
      </c>
      <c r="B1369" s="9" t="inlineStr">
        <is>
          <t>Module 3 · Schooldays &amp; Work</t>
        </is>
      </c>
      <c r="C1369" s="9" t="inlineStr">
        <is>
          <t>3c</t>
        </is>
      </c>
      <c r="D1369" s="9" t="inlineStr">
        <is>
          <t>Word formation</t>
        </is>
      </c>
      <c r="E1369" s="23" t="inlineStr">
        <is>
          <t>Word formation: personal nouns</t>
        </is>
      </c>
      <c r="F1369" s="26" t="inlineStr">
        <is>
          <t>новое</t>
        </is>
      </c>
      <c r="G1369" s="9" t="inlineStr">
        <is>
          <t>Образование существительных, обозначающих лиц (ToC: «forming personal pronouns»).</t>
        </is>
      </c>
      <c r="H1369" s="25" t="inlineStr">
        <is>
          <t>10+</t>
        </is>
      </c>
      <c r="I1369" s="9">
        <f>IFERROR(INDEX('Темы × классы'!$R:$R,MATCH(E1369,'Темы × классы'!$E:$E,0)),"")</f>
        <v/>
      </c>
      <c r="J1369" s="9">
        <f>IFERROR(INDEX('Темы × классы'!$S:$S,MATCH(E1369,'Темы × классы'!$E:$E,0))&amp;"","")</f>
        <v/>
      </c>
      <c r="K1369" s="9" t="inlineStr">
        <is>
          <t>не начат</t>
        </is>
      </c>
      <c r="L1369" s="9" t="inlineStr">
        <is>
          <t>Spotlight / 10 класс / Module 3 · Schooldays &amp; Work / Word formation / Word formation: personal nouns</t>
        </is>
      </c>
    </row>
    <row r="1370">
      <c r="A1370" s="25" t="n">
        <v>10</v>
      </c>
      <c r="B1370" s="9" t="inlineStr">
        <is>
          <t>Module 4 · Earth Alert!</t>
        </is>
      </c>
      <c r="C1370" s="9" t="inlineStr">
        <is>
          <t>4c</t>
        </is>
      </c>
      <c r="D1370" s="9" t="inlineStr">
        <is>
          <t>have to</t>
        </is>
      </c>
      <c r="E1370" s="23" t="inlineStr">
        <is>
          <t>have to: значение — необходимость из-за обстоятельств (утверждение)</t>
        </is>
      </c>
      <c r="F1370" s="27" t="inlineStr">
        <is>
          <t>расширение</t>
        </is>
      </c>
      <c r="G1370" s="9" t="inlineStr">
        <is>
          <t>объективная необходимость, решённая не говорящим</t>
        </is>
      </c>
      <c r="H1370" s="25" t="inlineStr">
        <is>
          <t>10+</t>
        </is>
      </c>
      <c r="I1370" s="9">
        <f>IFERROR(INDEX('Темы × классы'!$R:$R,MATCH(E1370,'Темы × классы'!$E:$E,0)),"")</f>
        <v/>
      </c>
      <c r="J1370" s="9">
        <f>IFERROR(INDEX('Темы × классы'!$S:$S,MATCH(E1370,'Темы × классы'!$E:$E,0))&amp;"","")</f>
        <v/>
      </c>
      <c r="K1370" s="9" t="inlineStr">
        <is>
          <t>не начат</t>
        </is>
      </c>
      <c r="L1370" s="9" t="inlineStr">
        <is>
          <t>Spotlight / 10 класс / Module 4 · Earth Alert! / have to / have to: значение — необходимость из-за обстоятельств (утверждение)</t>
        </is>
      </c>
    </row>
    <row r="1371">
      <c r="A1371" s="25" t="n">
        <v>10</v>
      </c>
      <c r="B1371" s="9" t="inlineStr">
        <is>
          <t>Module 4 · Earth Alert!</t>
        </is>
      </c>
      <c r="C1371" s="9" t="inlineStr">
        <is>
          <t>4c</t>
        </is>
      </c>
      <c r="D1371" s="9" t="inlineStr">
        <is>
          <t>have to</t>
        </is>
      </c>
      <c r="E1371" s="23" t="inlineStr">
        <is>
          <t>have to: don't / doesn't have to — отсутствие необходимости</t>
        </is>
      </c>
      <c r="F1371" s="25" t="inlineStr">
        <is>
          <t>повторение</t>
        </is>
      </c>
      <c r="G1371" s="9" t="inlineStr"/>
      <c r="H1371" s="25" t="inlineStr">
        <is>
          <t>10+</t>
        </is>
      </c>
      <c r="I1371" s="9">
        <f>IFERROR(INDEX('Темы × классы'!$R:$R,MATCH(E1371,'Темы × классы'!$E:$E,0)),"")</f>
        <v/>
      </c>
      <c r="J1371" s="9">
        <f>IFERROR(INDEX('Темы × классы'!$S:$S,MATCH(E1371,'Темы × классы'!$E:$E,0))&amp;"","")</f>
        <v/>
      </c>
      <c r="K1371" s="9" t="inlineStr">
        <is>
          <t>не начат</t>
        </is>
      </c>
      <c r="L1371" s="9" t="inlineStr">
        <is>
          <t>Spotlight / 10 класс / Module 4 · Earth Alert! / have to / have to: don't / doesn't have to — отсутствие необходимости</t>
        </is>
      </c>
    </row>
    <row r="1372">
      <c r="A1372" s="25" t="n">
        <v>10</v>
      </c>
      <c r="B1372" s="9" t="inlineStr">
        <is>
          <t>Module 4 · Earth Alert!</t>
        </is>
      </c>
      <c r="C1372" s="9" t="inlineStr">
        <is>
          <t>4c</t>
        </is>
      </c>
      <c r="D1372" s="9" t="inlineStr">
        <is>
          <t>have to</t>
        </is>
      </c>
      <c r="E1372" s="23" t="inlineStr">
        <is>
          <t>have to: had to — прошедшее время</t>
        </is>
      </c>
      <c r="F1372" s="25" t="inlineStr">
        <is>
          <t>повторение</t>
        </is>
      </c>
      <c r="G1372" s="9" t="inlineStr">
        <is>
          <t>прошедшее для must и have to</t>
        </is>
      </c>
      <c r="H1372" s="25" t="inlineStr">
        <is>
          <t>10+</t>
        </is>
      </c>
      <c r="I1372" s="9">
        <f>IFERROR(INDEX('Темы × классы'!$R:$R,MATCH(E1372,'Темы × классы'!$E:$E,0)),"")</f>
        <v/>
      </c>
      <c r="J1372" s="9">
        <f>IFERROR(INDEX('Темы × классы'!$S:$S,MATCH(E1372,'Темы × классы'!$E:$E,0))&amp;"","")</f>
        <v/>
      </c>
      <c r="K1372" s="9" t="inlineStr">
        <is>
          <t>не начат</t>
        </is>
      </c>
      <c r="L1372" s="9" t="inlineStr">
        <is>
          <t>Spotlight / 10 класс / Module 4 · Earth Alert! / have to / have to: had to — прошедшее время</t>
        </is>
      </c>
    </row>
    <row r="1373">
      <c r="A1373" s="25" t="n">
        <v>10</v>
      </c>
      <c r="B1373" s="9" t="inlineStr">
        <is>
          <t>Module 4 · Earth Alert!</t>
        </is>
      </c>
      <c r="C1373" s="9" t="inlineStr">
        <is>
          <t>4c</t>
        </is>
      </c>
      <c r="D1373" s="9" t="inlineStr">
        <is>
          <t>have to</t>
        </is>
      </c>
      <c r="E1373" s="23" t="inlineStr">
        <is>
          <t>have to: didn't have to — не было необходимости в прошлом</t>
        </is>
      </c>
      <c r="F1373" s="25" t="inlineStr">
        <is>
          <t>повторение</t>
        </is>
      </c>
      <c r="G1373" s="9" t="inlineStr"/>
      <c r="H1373" s="25" t="inlineStr">
        <is>
          <t>10+</t>
        </is>
      </c>
      <c r="I1373" s="9">
        <f>IFERROR(INDEX('Темы × классы'!$R:$R,MATCH(E1373,'Темы × классы'!$E:$E,0)),"")</f>
        <v/>
      </c>
      <c r="J1373" s="9">
        <f>IFERROR(INDEX('Темы × классы'!$S:$S,MATCH(E1373,'Темы × классы'!$E:$E,0))&amp;"","")</f>
        <v/>
      </c>
      <c r="K1373" s="9" t="inlineStr">
        <is>
          <t>не начат</t>
        </is>
      </c>
      <c r="L1373" s="9" t="inlineStr">
        <is>
          <t>Spotlight / 10 класс / Module 4 · Earth Alert! / have to / have to: didn't have to — не было необходимости в прошлом</t>
        </is>
      </c>
    </row>
    <row r="1374">
      <c r="A1374" s="25" t="n">
        <v>10</v>
      </c>
      <c r="B1374" s="9" t="inlineStr">
        <is>
          <t>Module 4 · Earth Alert!</t>
        </is>
      </c>
      <c r="C1374" s="9" t="inlineStr">
        <is>
          <t>4c</t>
        </is>
      </c>
      <c r="D1374" s="9" t="inlineStr">
        <is>
          <t>have to</t>
        </is>
      </c>
      <c r="E1374" s="23" t="inlineStr">
        <is>
          <t>have to: have got to (= have to)</t>
        </is>
      </c>
      <c r="F1374" s="26" t="inlineStr">
        <is>
          <t>новое</t>
        </is>
      </c>
      <c r="G1374" s="9" t="inlineStr">
        <is>
          <t>have got to</t>
        </is>
      </c>
      <c r="H1374" s="25" t="inlineStr">
        <is>
          <t>10+</t>
        </is>
      </c>
      <c r="I1374" s="9">
        <f>IFERROR(INDEX('Темы × классы'!$R:$R,MATCH(E1374,'Темы × классы'!$E:$E,0)),"")</f>
        <v/>
      </c>
      <c r="J1374" s="9">
        <f>IFERROR(INDEX('Темы × классы'!$S:$S,MATCH(E1374,'Темы × классы'!$E:$E,0))&amp;"","")</f>
        <v/>
      </c>
      <c r="K1374" s="9" t="inlineStr">
        <is>
          <t>не начат</t>
        </is>
      </c>
      <c r="L1374" s="9" t="inlineStr">
        <is>
          <t>Spotlight / 10 класс / Module 4 · Earth Alert! / have to / have to: have got to (= have to)</t>
        </is>
      </c>
    </row>
    <row r="1375">
      <c r="A1375" s="25" t="n">
        <v>10</v>
      </c>
      <c r="B1375" s="9" t="inlineStr">
        <is>
          <t>Module 4 · Earth Alert!</t>
        </is>
      </c>
      <c r="C1375" s="9" t="inlineStr">
        <is>
          <t>4c</t>
        </is>
      </c>
      <c r="D1375" s="9" t="inlineStr">
        <is>
          <t>may/might</t>
        </is>
      </c>
      <c r="E1375" s="23" t="inlineStr">
        <is>
          <t>may/might: can — общая (теоретическая) возможность</t>
        </is>
      </c>
      <c r="F1375" s="25" t="inlineStr">
        <is>
          <t>повторение</t>
        </is>
      </c>
      <c r="G1375" s="9" t="inlineStr"/>
      <c r="H1375" s="25" t="inlineStr">
        <is>
          <t>10+</t>
        </is>
      </c>
      <c r="I1375" s="9">
        <f>IFERROR(INDEX('Темы × классы'!$R:$R,MATCH(E1375,'Темы × классы'!$E:$E,0)),"")</f>
        <v/>
      </c>
      <c r="J1375" s="9">
        <f>IFERROR(INDEX('Темы × классы'!$S:$S,MATCH(E1375,'Темы × классы'!$E:$E,0))&amp;"","")</f>
        <v/>
      </c>
      <c r="K1375" s="9" t="inlineStr">
        <is>
          <t>не начат</t>
        </is>
      </c>
      <c r="L1375" s="9" t="inlineStr">
        <is>
          <t>Spotlight / 10 класс / Module 4 · Earth Alert! / may/might / may/might: can — общая (теоретическая) возможность</t>
        </is>
      </c>
    </row>
    <row r="1376">
      <c r="A1376" s="25" t="n">
        <v>10</v>
      </c>
      <c r="B1376" s="9" t="inlineStr">
        <is>
          <t>Module 4 · Earth Alert!</t>
        </is>
      </c>
      <c r="C1376" s="9" t="inlineStr">
        <is>
          <t>4c</t>
        </is>
      </c>
      <c r="D1376" s="9" t="inlineStr">
        <is>
          <t>may/might</t>
        </is>
      </c>
      <c r="E1376" s="23" t="inlineStr">
        <is>
          <t>may/might: could/may/might — возможность в конкретной ситуации</t>
        </is>
      </c>
      <c r="F1376" s="25" t="inlineStr">
        <is>
          <t>повторение</t>
        </is>
      </c>
      <c r="G1376" s="9" t="inlineStr"/>
      <c r="H1376" s="25" t="inlineStr">
        <is>
          <t>10+</t>
        </is>
      </c>
      <c r="I1376" s="9">
        <f>IFERROR(INDEX('Темы × классы'!$R:$R,MATCH(E1376,'Темы × классы'!$E:$E,0)),"")</f>
        <v/>
      </c>
      <c r="J1376" s="9">
        <f>IFERROR(INDEX('Темы × классы'!$S:$S,MATCH(E1376,'Темы × классы'!$E:$E,0))&amp;"","")</f>
        <v/>
      </c>
      <c r="K1376" s="9" t="inlineStr">
        <is>
          <t>не начат</t>
        </is>
      </c>
      <c r="L1376" s="9" t="inlineStr">
        <is>
          <t>Spotlight / 10 класс / Module 4 · Earth Alert! / may/might / may/might: could/may/might — возможность в конкретной ситуации</t>
        </is>
      </c>
    </row>
    <row r="1377">
      <c r="A1377" s="25" t="n">
        <v>10</v>
      </c>
      <c r="B1377" s="9" t="inlineStr">
        <is>
          <t>Module 4 · Earth Alert!</t>
        </is>
      </c>
      <c r="C1377" s="9" t="inlineStr">
        <is>
          <t>4c</t>
        </is>
      </c>
      <c r="D1377" s="9" t="inlineStr">
        <is>
          <t>may/might</t>
        </is>
      </c>
      <c r="E1377" s="23" t="inlineStr">
        <is>
          <t>may/might: возможность в вопросах — can/could/might, но не may</t>
        </is>
      </c>
      <c r="F1377" s="25" t="inlineStr">
        <is>
          <t>повторение</t>
        </is>
      </c>
      <c r="G1377" s="9" t="inlineStr"/>
      <c r="H1377" s="25" t="inlineStr">
        <is>
          <t>10+</t>
        </is>
      </c>
      <c r="I1377" s="9">
        <f>IFERROR(INDEX('Темы × классы'!$R:$R,MATCH(E1377,'Темы × классы'!$E:$E,0)),"")</f>
        <v/>
      </c>
      <c r="J1377" s="9">
        <f>IFERROR(INDEX('Темы × классы'!$S:$S,MATCH(E1377,'Темы × классы'!$E:$E,0))&amp;"","")</f>
        <v/>
      </c>
      <c r="K1377" s="9" t="inlineStr">
        <is>
          <t>не начат</t>
        </is>
      </c>
      <c r="L1377" s="9" t="inlineStr">
        <is>
          <t>Spotlight / 10 класс / Module 4 · Earth Alert! / may/might / may/might: возможность в вопросах — can/could/might, но не may</t>
        </is>
      </c>
    </row>
    <row r="1378">
      <c r="A1378" s="25" t="n">
        <v>10</v>
      </c>
      <c r="B1378" s="9" t="inlineStr">
        <is>
          <t>Module 4 · Earth Alert!</t>
        </is>
      </c>
      <c r="C1378" s="9" t="inlineStr">
        <is>
          <t>4c</t>
        </is>
      </c>
      <c r="D1378" s="9" t="inlineStr">
        <is>
          <t>may/might</t>
        </is>
      </c>
      <c r="E1378" s="23" t="inlineStr">
        <is>
          <t>may/might: could/might/would + have V3 — было возможно, но не случилось</t>
        </is>
      </c>
      <c r="F1378" s="25" t="inlineStr">
        <is>
          <t>повторение</t>
        </is>
      </c>
      <c r="G1378" s="9" t="inlineStr">
        <is>
          <t>He could have come with us, if…</t>
        </is>
      </c>
      <c r="H1378" s="25" t="inlineStr">
        <is>
          <t>10+</t>
        </is>
      </c>
      <c r="I1378" s="9">
        <f>IFERROR(INDEX('Темы × классы'!$R:$R,MATCH(E1378,'Темы × классы'!$E:$E,0)),"")</f>
        <v/>
      </c>
      <c r="J1378" s="9">
        <f>IFERROR(INDEX('Темы × классы'!$S:$S,MATCH(E1378,'Темы × классы'!$E:$E,0))&amp;"","")</f>
        <v/>
      </c>
      <c r="K1378" s="9" t="inlineStr">
        <is>
          <t>не начат</t>
        </is>
      </c>
      <c r="L1378" s="9" t="inlineStr">
        <is>
          <t>Spotlight / 10 класс / Module 4 · Earth Alert! / may/might / may/might: could/might/would + have V3 — было возможно, но не случилось</t>
        </is>
      </c>
    </row>
    <row r="1379">
      <c r="A1379" s="25" t="n">
        <v>10</v>
      </c>
      <c r="B1379" s="9" t="inlineStr">
        <is>
          <t>Module 4 · Earth Alert!</t>
        </is>
      </c>
      <c r="C1379" s="9" t="inlineStr">
        <is>
          <t>4c</t>
        </is>
      </c>
      <c r="D1379" s="9" t="inlineStr">
        <is>
          <t>must/mustn't</t>
        </is>
      </c>
      <c r="E1379" s="23" t="inlineStr">
        <is>
          <t>must/mustn't: must — обязанность, необходимость</t>
        </is>
      </c>
      <c r="F1379" s="27" t="inlineStr">
        <is>
          <t>расширение</t>
        </is>
      </c>
      <c r="G1379" s="9" t="inlineStr">
        <is>
          <t>субъективное решение говорящего</t>
        </is>
      </c>
      <c r="H1379" s="25" t="inlineStr">
        <is>
          <t>10+</t>
        </is>
      </c>
      <c r="I1379" s="9">
        <f>IFERROR(INDEX('Темы × классы'!$R:$R,MATCH(E1379,'Темы × классы'!$E:$E,0)),"")</f>
        <v/>
      </c>
      <c r="J1379" s="9">
        <f>IFERROR(INDEX('Темы × классы'!$S:$S,MATCH(E1379,'Темы × классы'!$E:$E,0))&amp;"","")</f>
        <v/>
      </c>
      <c r="K1379" s="9" t="inlineStr">
        <is>
          <t>не начат</t>
        </is>
      </c>
      <c r="L1379" s="9" t="inlineStr">
        <is>
          <t>Spotlight / 10 класс / Module 4 · Earth Alert! / must/mustn't / must/mustn't: must — обязанность, необходимость</t>
        </is>
      </c>
    </row>
    <row r="1380">
      <c r="A1380" s="25" t="n">
        <v>10</v>
      </c>
      <c r="B1380" s="9" t="inlineStr">
        <is>
          <t>Module 4 · Earth Alert!</t>
        </is>
      </c>
      <c r="C1380" s="9" t="inlineStr">
        <is>
          <t>4c</t>
        </is>
      </c>
      <c r="D1380" s="9" t="inlineStr">
        <is>
          <t>must/mustn't</t>
        </is>
      </c>
      <c r="E1380" s="23" t="inlineStr">
        <is>
          <t>must/mustn't: mustn't — запрет</t>
        </is>
      </c>
      <c r="F1380" s="25" t="inlineStr">
        <is>
          <t>повторение</t>
        </is>
      </c>
      <c r="G1380" s="9" t="inlineStr"/>
      <c r="H1380" s="25" t="inlineStr">
        <is>
          <t>10+</t>
        </is>
      </c>
      <c r="I1380" s="9">
        <f>IFERROR(INDEX('Темы × классы'!$R:$R,MATCH(E1380,'Темы × классы'!$E:$E,0)),"")</f>
        <v/>
      </c>
      <c r="J1380" s="9">
        <f>IFERROR(INDEX('Темы × классы'!$S:$S,MATCH(E1380,'Темы × классы'!$E:$E,0))&amp;"","")</f>
        <v/>
      </c>
      <c r="K1380" s="9" t="inlineStr">
        <is>
          <t>не начат</t>
        </is>
      </c>
      <c r="L1380" s="9" t="inlineStr">
        <is>
          <t>Spotlight / 10 класс / Module 4 · Earth Alert! / must/mustn't / must/mustn't: mustn't — запрет</t>
        </is>
      </c>
    </row>
    <row r="1381">
      <c r="A1381" s="25" t="n">
        <v>10</v>
      </c>
      <c r="B1381" s="9" t="inlineStr">
        <is>
          <t>Module 4 · Earth Alert!</t>
        </is>
      </c>
      <c r="C1381" s="9" t="inlineStr">
        <is>
          <t>4c</t>
        </is>
      </c>
      <c r="D1381" s="9" t="inlineStr">
        <is>
          <t>must/mustn't</t>
        </is>
      </c>
      <c r="E1381" s="23" t="inlineStr">
        <is>
          <t>must/mustn't: can't как запрет (= mustn't)</t>
        </is>
      </c>
      <c r="F1381" s="25" t="inlineStr">
        <is>
          <t>повторение</t>
        </is>
      </c>
      <c r="G1381" s="9" t="inlineStr">
        <is>
          <t>mustn't = can't</t>
        </is>
      </c>
      <c r="H1381" s="25" t="inlineStr">
        <is>
          <t>10+</t>
        </is>
      </c>
      <c r="I1381" s="9">
        <f>IFERROR(INDEX('Темы × классы'!$R:$R,MATCH(E1381,'Темы × классы'!$E:$E,0)),"")</f>
        <v/>
      </c>
      <c r="J1381" s="9">
        <f>IFERROR(INDEX('Темы × классы'!$S:$S,MATCH(E1381,'Темы × классы'!$E:$E,0))&amp;"","")</f>
        <v/>
      </c>
      <c r="K1381" s="9" t="inlineStr">
        <is>
          <t>не начат</t>
        </is>
      </c>
      <c r="L1381" s="9" t="inlineStr">
        <is>
          <t>Spotlight / 10 класс / Module 4 · Earth Alert! / must/mustn't / must/mustn't: can't как запрет (= mustn't)</t>
        </is>
      </c>
    </row>
    <row r="1382">
      <c r="A1382" s="25" t="n">
        <v>10</v>
      </c>
      <c r="B1382" s="9" t="inlineStr">
        <is>
          <t>Module 4 · Earth Alert!</t>
        </is>
      </c>
      <c r="C1382" s="9" t="inlineStr">
        <is>
          <t>4c</t>
        </is>
      </c>
      <c r="D1382" s="9" t="inlineStr">
        <is>
          <t>must/mustn't</t>
        </is>
      </c>
      <c r="E1382" s="23" t="inlineStr">
        <is>
          <t>must/mustn't: must — логический вывод</t>
        </is>
      </c>
      <c r="F1382" s="26" t="inlineStr">
        <is>
          <t>новое</t>
        </is>
      </c>
      <c r="G1382" s="9" t="inlineStr">
        <is>
          <t>с простым и перфектным инфинитивом</t>
        </is>
      </c>
      <c r="H1382" s="25" t="inlineStr">
        <is>
          <t>10+</t>
        </is>
      </c>
      <c r="I1382" s="9">
        <f>IFERROR(INDEX('Темы × классы'!$R:$R,MATCH(E1382,'Темы × классы'!$E:$E,0)),"")</f>
        <v/>
      </c>
      <c r="J1382" s="9">
        <f>IFERROR(INDEX('Темы × классы'!$S:$S,MATCH(E1382,'Темы × классы'!$E:$E,0))&amp;"","")</f>
        <v/>
      </c>
      <c r="K1382" s="9" t="inlineStr">
        <is>
          <t>не начат</t>
        </is>
      </c>
      <c r="L1382" s="9" t="inlineStr">
        <is>
          <t>Spotlight / 10 класс / Module 4 · Earth Alert! / must/mustn't / must/mustn't: must — логический вывод</t>
        </is>
      </c>
    </row>
    <row r="1383">
      <c r="A1383" s="25" t="n">
        <v>10</v>
      </c>
      <c r="B1383" s="9" t="inlineStr">
        <is>
          <t>Module 4 · Earth Alert!</t>
        </is>
      </c>
      <c r="C1383" s="9" t="inlineStr">
        <is>
          <t>4c</t>
        </is>
      </c>
      <c r="D1383" s="9" t="inlineStr">
        <is>
          <t>can (permission/request)</t>
        </is>
      </c>
      <c r="E1383" s="23" t="inlineStr">
        <is>
          <t>can (permission/request): can't — запрет</t>
        </is>
      </c>
      <c r="F1383" s="25" t="inlineStr">
        <is>
          <t>повторение</t>
        </is>
      </c>
      <c r="G1383" s="9" t="inlineStr">
        <is>
          <t>mustn't/can't</t>
        </is>
      </c>
      <c r="H1383" s="25" t="inlineStr">
        <is>
          <t>10+</t>
        </is>
      </c>
      <c r="I1383" s="9">
        <f>IFERROR(INDEX('Темы × классы'!$R:$R,MATCH(E1383,'Темы × классы'!$E:$E,0)),"")</f>
        <v/>
      </c>
      <c r="J1383" s="9">
        <f>IFERROR(INDEX('Темы × классы'!$S:$S,MATCH(E1383,'Темы × классы'!$E:$E,0))&amp;"","")</f>
        <v/>
      </c>
      <c r="K1383" s="9" t="inlineStr">
        <is>
          <t>не начат</t>
        </is>
      </c>
      <c r="L1383" s="9" t="inlineStr">
        <is>
          <t>Spotlight / 10 класс / Module 4 · Earth Alert! / can (permission/request) / can (permission/request): can't — запрет</t>
        </is>
      </c>
    </row>
    <row r="1384">
      <c r="A1384" s="25" t="n">
        <v>10</v>
      </c>
      <c r="B1384" s="9" t="inlineStr">
        <is>
          <t>Module 4 · Earth Alert!</t>
        </is>
      </c>
      <c r="C1384" s="9" t="inlineStr">
        <is>
          <t>4c</t>
        </is>
      </c>
      <c r="D1384" s="9" t="inlineStr">
        <is>
          <t>can (permission/request)</t>
        </is>
      </c>
      <c r="E1384" s="23" t="inlineStr">
        <is>
          <t>can (permission/request): can vs may — разрешение (may формальнее)</t>
        </is>
      </c>
      <c r="F1384" s="25" t="inlineStr">
        <is>
          <t>повторение</t>
        </is>
      </c>
      <c r="G1384" s="9" t="inlineStr"/>
      <c r="H1384" s="25" t="inlineStr">
        <is>
          <t>10+</t>
        </is>
      </c>
      <c r="I1384" s="9">
        <f>IFERROR(INDEX('Темы × классы'!$R:$R,MATCH(E1384,'Темы × классы'!$E:$E,0)),"")</f>
        <v/>
      </c>
      <c r="J1384" s="9">
        <f>IFERROR(INDEX('Темы × классы'!$S:$S,MATCH(E1384,'Темы × классы'!$E:$E,0))&amp;"","")</f>
        <v/>
      </c>
      <c r="K1384" s="9" t="inlineStr">
        <is>
          <t>не начат</t>
        </is>
      </c>
      <c r="L1384" s="9" t="inlineStr">
        <is>
          <t>Spotlight / 10 класс / Module 4 · Earth Alert! / can (permission/request) / can (permission/request): can vs may — разрешение (may формальнее)</t>
        </is>
      </c>
    </row>
    <row r="1385">
      <c r="A1385" s="25" t="n">
        <v>10</v>
      </c>
      <c r="B1385" s="9" t="inlineStr">
        <is>
          <t>Module 4 · Earth Alert!</t>
        </is>
      </c>
      <c r="C1385" s="9" t="inlineStr">
        <is>
          <t>4c</t>
        </is>
      </c>
      <c r="D1385" s="9" t="inlineStr">
        <is>
          <t>can (permission/request)</t>
        </is>
      </c>
      <c r="E1385" s="23" t="inlineStr">
        <is>
          <t>can (permission/request): предложения (offers/suggestions) — can, could, would, shall</t>
        </is>
      </c>
      <c r="F1385" s="25" t="inlineStr">
        <is>
          <t>повторение</t>
        </is>
      </c>
      <c r="G1385" s="9" t="inlineStr">
        <is>
          <t>Can we…? Would you like…? Shall I…? We can/could…</t>
        </is>
      </c>
      <c r="H1385" s="25" t="inlineStr">
        <is>
          <t>10+</t>
        </is>
      </c>
      <c r="I1385" s="9">
        <f>IFERROR(INDEX('Темы × классы'!$R:$R,MATCH(E1385,'Темы × классы'!$E:$E,0)),"")</f>
        <v/>
      </c>
      <c r="J1385" s="9">
        <f>IFERROR(INDEX('Темы × классы'!$S:$S,MATCH(E1385,'Темы × классы'!$E:$E,0))&amp;"","")</f>
        <v/>
      </c>
      <c r="K1385" s="9" t="inlineStr">
        <is>
          <t>не начат</t>
        </is>
      </c>
      <c r="L1385" s="9" t="inlineStr">
        <is>
          <t>Spotlight / 10 класс / Module 4 · Earth Alert! / can (permission/request) / can (permission/request): предложения (offers/suggestions) — can, could, would, shall</t>
        </is>
      </c>
    </row>
    <row r="1386">
      <c r="A1386" s="25" t="n">
        <v>10</v>
      </c>
      <c r="B1386" s="9" t="inlineStr">
        <is>
          <t>Module 4 · Earth Alert!</t>
        </is>
      </c>
      <c r="C1386" s="9" t="inlineStr">
        <is>
          <t>4c</t>
        </is>
      </c>
      <c r="D1386" s="9" t="inlineStr">
        <is>
          <t>need/needn't</t>
        </is>
      </c>
      <c r="E1386" s="23" t="inlineStr">
        <is>
          <t>need/needn't: needn't / don't need to — нет необходимости (наст./буд.)</t>
        </is>
      </c>
      <c r="F1386" s="25" t="inlineStr">
        <is>
          <t>повторение</t>
        </is>
      </c>
      <c r="G1386" s="9" t="inlineStr"/>
      <c r="H1386" s="25" t="inlineStr">
        <is>
          <t>10+</t>
        </is>
      </c>
      <c r="I1386" s="9">
        <f>IFERROR(INDEX('Темы × классы'!$R:$R,MATCH(E1386,'Темы × классы'!$E:$E,0)),"")</f>
        <v/>
      </c>
      <c r="J1386" s="9">
        <f>IFERROR(INDEX('Темы × классы'!$S:$S,MATCH(E1386,'Темы × классы'!$E:$E,0))&amp;"","")</f>
        <v/>
      </c>
      <c r="K1386" s="9" t="inlineStr">
        <is>
          <t>не начат</t>
        </is>
      </c>
      <c r="L1386" s="9" t="inlineStr">
        <is>
          <t>Spotlight / 10 класс / Module 4 · Earth Alert! / need/needn't / need/needn't: needn't / don't need to — нет необходимости (наст./буд.)</t>
        </is>
      </c>
    </row>
    <row r="1387">
      <c r="A1387" s="25" t="n">
        <v>10</v>
      </c>
      <c r="B1387" s="9" t="inlineStr">
        <is>
          <t>Module 4 · Earth Alert!</t>
        </is>
      </c>
      <c r="C1387" s="9" t="inlineStr">
        <is>
          <t>4c</t>
        </is>
      </c>
      <c r="D1387" s="9" t="inlineStr">
        <is>
          <t>need/needn't</t>
        </is>
      </c>
      <c r="E1387" s="23" t="inlineStr">
        <is>
          <t>need/needn't: need (= must) как эквивалент модального</t>
        </is>
      </c>
      <c r="F1387" s="26" t="inlineStr">
        <is>
          <t>новое</t>
        </is>
      </c>
      <c r="G1387" s="9" t="inlineStr">
        <is>
          <t>need как эквивалент must</t>
        </is>
      </c>
      <c r="H1387" s="25" t="inlineStr">
        <is>
          <t>10+</t>
        </is>
      </c>
      <c r="I1387" s="9">
        <f>IFERROR(INDEX('Темы × классы'!$R:$R,MATCH(E1387,'Темы × классы'!$E:$E,0)),"")</f>
        <v/>
      </c>
      <c r="J1387" s="9">
        <f>IFERROR(INDEX('Темы × классы'!$S:$S,MATCH(E1387,'Темы × классы'!$E:$E,0))&amp;"","")</f>
        <v/>
      </c>
      <c r="K1387" s="9" t="inlineStr">
        <is>
          <t>не начат</t>
        </is>
      </c>
      <c r="L1387" s="9" t="inlineStr">
        <is>
          <t>Spotlight / 10 класс / Module 4 · Earth Alert! / need/needn't / need/needn't: need (= must) как эквивалент модального</t>
        </is>
      </c>
    </row>
    <row r="1388">
      <c r="A1388" s="25" t="n">
        <v>10</v>
      </c>
      <c r="B1388" s="9" t="inlineStr">
        <is>
          <t>Module 4 · Earth Alert!</t>
        </is>
      </c>
      <c r="C1388" s="9" t="inlineStr">
        <is>
          <t>4c</t>
        </is>
      </c>
      <c r="D1388" s="9" t="inlineStr">
        <is>
          <t>should/shouldn't</t>
        </is>
      </c>
      <c r="E1388" s="23" t="inlineStr">
        <is>
          <t>should/shouldn't: значение — совет, рекомендация; утверждение should + глагол без to</t>
        </is>
      </c>
      <c r="F1388" s="25" t="inlineStr">
        <is>
          <t>повторение</t>
        </is>
      </c>
      <c r="G1388" s="9" t="inlineStr"/>
      <c r="H1388" s="25" t="inlineStr">
        <is>
          <t>10+</t>
        </is>
      </c>
      <c r="I1388" s="9">
        <f>IFERROR(INDEX('Темы × классы'!$R:$R,MATCH(E1388,'Темы × классы'!$E:$E,0)),"")</f>
        <v/>
      </c>
      <c r="J1388" s="9">
        <f>IFERROR(INDEX('Темы × классы'!$S:$S,MATCH(E1388,'Темы × классы'!$E:$E,0))&amp;"","")</f>
        <v/>
      </c>
      <c r="K1388" s="9" t="inlineStr">
        <is>
          <t>не начат</t>
        </is>
      </c>
      <c r="L1388" s="9" t="inlineStr">
        <is>
          <t>Spotlight / 10 класс / Module 4 · Earth Alert! / should/shouldn't / should/shouldn't: значение — совет, рекомендация; утверждение should + глагол без to</t>
        </is>
      </c>
    </row>
    <row r="1389">
      <c r="A1389" s="25" t="n">
        <v>10</v>
      </c>
      <c r="B1389" s="9" t="inlineStr">
        <is>
          <t>Module 4 · Earth Alert!</t>
        </is>
      </c>
      <c r="C1389" s="9" t="inlineStr">
        <is>
          <t>4c</t>
        </is>
      </c>
      <c r="D1389" s="9" t="inlineStr">
        <is>
          <t>should/shouldn't</t>
        </is>
      </c>
      <c r="E1389" s="23" t="inlineStr">
        <is>
          <t>should/shouldn't: ought to (= should)</t>
        </is>
      </c>
      <c r="F1389" s="25" t="inlineStr">
        <is>
          <t>повторение</t>
        </is>
      </c>
      <c r="G1389" s="9" t="inlineStr">
        <is>
          <t>You ought to abide by the rules</t>
        </is>
      </c>
      <c r="H1389" s="25" t="inlineStr">
        <is>
          <t>10+</t>
        </is>
      </c>
      <c r="I1389" s="9">
        <f>IFERROR(INDEX('Темы × классы'!$R:$R,MATCH(E1389,'Темы × классы'!$E:$E,0)),"")</f>
        <v/>
      </c>
      <c r="J1389" s="9">
        <f>IFERROR(INDEX('Темы × классы'!$S:$S,MATCH(E1389,'Темы × классы'!$E:$E,0))&amp;"","")</f>
        <v/>
      </c>
      <c r="K1389" s="9" t="inlineStr">
        <is>
          <t>не начат</t>
        </is>
      </c>
      <c r="L1389" s="9" t="inlineStr">
        <is>
          <t>Spotlight / 10 класс / Module 4 · Earth Alert! / should/shouldn't / should/shouldn't: ought to (= should)</t>
        </is>
      </c>
    </row>
    <row r="1390">
      <c r="A1390" s="25" t="n">
        <v>10</v>
      </c>
      <c r="B1390" s="9" t="inlineStr">
        <is>
          <t>Module 4 · Earth Alert!</t>
        </is>
      </c>
      <c r="C1390" s="9" t="inlineStr">
        <is>
          <t>4c</t>
        </is>
      </c>
      <c r="D1390" s="9" t="inlineStr">
        <is>
          <t>should/shouldn't</t>
        </is>
      </c>
      <c r="E1390" s="23" t="inlineStr">
        <is>
          <t>should/shouldn't: значение — обязательство, долг (слабая обязанность)</t>
        </is>
      </c>
      <c r="F1390" s="25" t="inlineStr">
        <is>
          <t>повторение</t>
        </is>
      </c>
      <c r="G1390" s="9" t="inlineStr">
        <is>
          <t>долг, слабая обязанность</t>
        </is>
      </c>
      <c r="H1390" s="25" t="inlineStr">
        <is>
          <t>10+</t>
        </is>
      </c>
      <c r="I1390" s="9">
        <f>IFERROR(INDEX('Темы × классы'!$R:$R,MATCH(E1390,'Темы × классы'!$E:$E,0)),"")</f>
        <v/>
      </c>
      <c r="J1390" s="9">
        <f>IFERROR(INDEX('Темы × классы'!$S:$S,MATCH(E1390,'Темы × классы'!$E:$E,0))&amp;"","")</f>
        <v/>
      </c>
      <c r="K1390" s="9" t="inlineStr">
        <is>
          <t>не начат</t>
        </is>
      </c>
      <c r="L1390" s="9" t="inlineStr">
        <is>
          <t>Spotlight / 10 класс / Module 4 · Earth Alert! / should/shouldn't / should/shouldn't: значение — обязательство, долг (слабая обязанность)</t>
        </is>
      </c>
    </row>
    <row r="1391">
      <c r="A1391" s="25" t="n">
        <v>10</v>
      </c>
      <c r="B1391" s="9" t="inlineStr">
        <is>
          <t>Module 4 · Earth Alert!</t>
        </is>
      </c>
      <c r="C1391" s="9" t="inlineStr">
        <is>
          <t>4c</t>
        </is>
      </c>
      <c r="D1391" s="9" t="inlineStr">
        <is>
          <t>should/shouldn't</t>
        </is>
      </c>
      <c r="E1391" s="23" t="inlineStr">
        <is>
          <t>should/shouldn't: значение — критика (should / should have V3)</t>
        </is>
      </c>
      <c r="F1391" s="25" t="inlineStr">
        <is>
          <t>повторение</t>
        </is>
      </c>
      <c r="G1391" s="9" t="inlineStr"/>
      <c r="H1391" s="25" t="inlineStr">
        <is>
          <t>10+</t>
        </is>
      </c>
      <c r="I1391" s="9">
        <f>IFERROR(INDEX('Темы × классы'!$R:$R,MATCH(E1391,'Темы × классы'!$E:$E,0)),"")</f>
        <v/>
      </c>
      <c r="J1391" s="9">
        <f>IFERROR(INDEX('Темы × классы'!$S:$S,MATCH(E1391,'Темы × классы'!$E:$E,0))&amp;"","")</f>
        <v/>
      </c>
      <c r="K1391" s="9" t="inlineStr">
        <is>
          <t>не начат</t>
        </is>
      </c>
      <c r="L1391" s="9" t="inlineStr">
        <is>
          <t>Spotlight / 10 класс / Module 4 · Earth Alert! / should/shouldn't / should/shouldn't: значение — критика (should / should have V3)</t>
        </is>
      </c>
    </row>
    <row r="1392">
      <c r="A1392" s="25" t="n">
        <v>10</v>
      </c>
      <c r="B1392" s="9" t="inlineStr">
        <is>
          <t>Module 4 · Earth Alert!</t>
        </is>
      </c>
      <c r="C1392" s="9" t="inlineStr">
        <is>
          <t>4c</t>
        </is>
      </c>
      <c r="D1392" s="9" t="inlineStr">
        <is>
          <t>should/shouldn't</t>
        </is>
      </c>
      <c r="E1392" s="23" t="inlineStr">
        <is>
          <t>should/shouldn't: значение — вероятность ~90% (о будущем)</t>
        </is>
      </c>
      <c r="F1392" s="25" t="inlineStr">
        <is>
          <t>повторение</t>
        </is>
      </c>
      <c r="G1392" s="9" t="inlineStr"/>
      <c r="H1392" s="25" t="inlineStr">
        <is>
          <t>10+</t>
        </is>
      </c>
      <c r="I1392" s="9">
        <f>IFERROR(INDEX('Темы × классы'!$R:$R,MATCH(E1392,'Темы × классы'!$E:$E,0)),"")</f>
        <v/>
      </c>
      <c r="J1392" s="9">
        <f>IFERROR(INDEX('Темы × классы'!$S:$S,MATCH(E1392,'Темы × классы'!$E:$E,0))&amp;"","")</f>
        <v/>
      </c>
      <c r="K1392" s="9" t="inlineStr">
        <is>
          <t>не начат</t>
        </is>
      </c>
      <c r="L1392" s="9" t="inlineStr">
        <is>
          <t>Spotlight / 10 класс / Module 4 · Earth Alert! / should/shouldn't / should/shouldn't: значение — вероятность ~90% (о будущем)</t>
        </is>
      </c>
    </row>
    <row r="1393">
      <c r="A1393" s="25" t="n">
        <v>10</v>
      </c>
      <c r="B1393" s="9" t="inlineStr">
        <is>
          <t>Module 4 · Earth Alert!</t>
        </is>
      </c>
      <c r="C1393" s="9" t="inlineStr">
        <is>
          <t>4c</t>
        </is>
      </c>
      <c r="D1393" s="9" t="inlineStr">
        <is>
          <t>should/shouldn't</t>
        </is>
      </c>
      <c r="E1393" s="23" t="inlineStr">
        <is>
          <t>should/shouldn't: Shall I…? — просьба о совете</t>
        </is>
      </c>
      <c r="F1393" s="25" t="inlineStr">
        <is>
          <t>повторение</t>
        </is>
      </c>
      <c r="G1393" s="9" t="inlineStr"/>
      <c r="H1393" s="25" t="inlineStr">
        <is>
          <t>10+</t>
        </is>
      </c>
      <c r="I1393" s="9">
        <f>IFERROR(INDEX('Темы × классы'!$R:$R,MATCH(E1393,'Темы × классы'!$E:$E,0)),"")</f>
        <v/>
      </c>
      <c r="J1393" s="9">
        <f>IFERROR(INDEX('Темы × классы'!$S:$S,MATCH(E1393,'Темы × классы'!$E:$E,0))&amp;"","")</f>
        <v/>
      </c>
      <c r="K1393" s="9" t="inlineStr">
        <is>
          <t>не начат</t>
        </is>
      </c>
      <c r="L1393" s="9" t="inlineStr">
        <is>
          <t>Spotlight / 10 класс / Module 4 · Earth Alert! / should/shouldn't / should/shouldn't: Shall I…? — просьба о совете</t>
        </is>
      </c>
    </row>
    <row r="1394">
      <c r="A1394" s="25" t="n">
        <v>10</v>
      </c>
      <c r="B1394" s="9" t="inlineStr">
        <is>
          <t>Module 4 · Earth Alert!</t>
        </is>
      </c>
      <c r="C1394" s="9" t="inlineStr">
        <is>
          <t>4c</t>
        </is>
      </c>
      <c r="D1394" s="9" t="inlineStr">
        <is>
          <t>should/shouldn't</t>
        </is>
      </c>
      <c r="E1394" s="23" t="inlineStr">
        <is>
          <t>should/shouldn't: Shall I…? — предложение помощи</t>
        </is>
      </c>
      <c r="F1394" s="26" t="inlineStr">
        <is>
          <t>новое</t>
        </is>
      </c>
      <c r="G1394" s="9" t="inlineStr">
        <is>
          <t>Shall I give you a lift?</t>
        </is>
      </c>
      <c r="H1394" s="25" t="inlineStr">
        <is>
          <t>10+</t>
        </is>
      </c>
      <c r="I1394" s="9">
        <f>IFERROR(INDEX('Темы × классы'!$R:$R,MATCH(E1394,'Темы × классы'!$E:$E,0)),"")</f>
        <v/>
      </c>
      <c r="J1394" s="9">
        <f>IFERROR(INDEX('Темы × классы'!$S:$S,MATCH(E1394,'Темы × классы'!$E:$E,0))&amp;"","")</f>
        <v/>
      </c>
      <c r="K1394" s="9" t="inlineStr">
        <is>
          <t>не начат</t>
        </is>
      </c>
      <c r="L1394" s="9" t="inlineStr">
        <is>
          <t>Spotlight / 10 класс / Module 4 · Earth Alert! / should/shouldn't / should/shouldn't: Shall I…? — предложение помощи</t>
        </is>
      </c>
    </row>
    <row r="1395">
      <c r="A1395" s="25" t="n">
        <v>10</v>
      </c>
      <c r="B1395" s="9" t="inlineStr">
        <is>
          <t>Module 4 · Earth Alert!</t>
        </is>
      </c>
      <c r="C1395" s="9" t="inlineStr">
        <is>
          <t>4c</t>
        </is>
      </c>
      <c r="D1395" s="9" t="inlineStr">
        <is>
          <t>Modal verbs (deduction)</t>
        </is>
      </c>
      <c r="E1395" s="23" t="inlineStr">
        <is>
          <t>Modal verbs (deduction): must — уверенность (о настоящем)</t>
        </is>
      </c>
      <c r="F1395" s="25" t="inlineStr">
        <is>
          <t>повторение</t>
        </is>
      </c>
      <c r="G1395" s="9" t="inlineStr"/>
      <c r="H1395" s="25" t="inlineStr">
        <is>
          <t>10+</t>
        </is>
      </c>
      <c r="I1395" s="9">
        <f>IFERROR(INDEX('Темы × классы'!$R:$R,MATCH(E1395,'Темы × классы'!$E:$E,0)),"")</f>
        <v/>
      </c>
      <c r="J1395" s="9">
        <f>IFERROR(INDEX('Темы × классы'!$S:$S,MATCH(E1395,'Темы × классы'!$E:$E,0))&amp;"","")</f>
        <v/>
      </c>
      <c r="K1395" s="9" t="inlineStr">
        <is>
          <t>не начат</t>
        </is>
      </c>
      <c r="L1395" s="9" t="inlineStr">
        <is>
          <t>Spotlight / 10 класс / Module 4 · Earth Alert! / Modal verbs (deduction) / Modal verbs (deduction): must — уверенность (о настоящем)</t>
        </is>
      </c>
    </row>
    <row r="1396">
      <c r="A1396" s="25" t="n">
        <v>10</v>
      </c>
      <c r="B1396" s="9" t="inlineStr">
        <is>
          <t>Module 4 · Earth Alert!</t>
        </is>
      </c>
      <c r="C1396" s="9" t="inlineStr">
        <is>
          <t>4c</t>
        </is>
      </c>
      <c r="D1396" s="9" t="inlineStr">
        <is>
          <t>Modal verbs (deduction)</t>
        </is>
      </c>
      <c r="E1396" s="23" t="inlineStr">
        <is>
          <t>Modal verbs (deduction): may/might/could — вероятность (о настоящем)</t>
        </is>
      </c>
      <c r="F1396" s="25" t="inlineStr">
        <is>
          <t>повторение</t>
        </is>
      </c>
      <c r="G1396" s="9" t="inlineStr"/>
      <c r="H1396" s="25" t="inlineStr">
        <is>
          <t>10+</t>
        </is>
      </c>
      <c r="I1396" s="9">
        <f>IFERROR(INDEX('Темы × классы'!$R:$R,MATCH(E1396,'Темы × классы'!$E:$E,0)),"")</f>
        <v/>
      </c>
      <c r="J1396" s="9">
        <f>IFERROR(INDEX('Темы × классы'!$S:$S,MATCH(E1396,'Темы × классы'!$E:$E,0))&amp;"","")</f>
        <v/>
      </c>
      <c r="K1396" s="9" t="inlineStr">
        <is>
          <t>не начат</t>
        </is>
      </c>
      <c r="L1396" s="9" t="inlineStr">
        <is>
          <t>Spotlight / 10 класс / Module 4 · Earth Alert! / Modal verbs (deduction) / Modal verbs (deduction): may/might/could — вероятность (о настоящем)</t>
        </is>
      </c>
    </row>
    <row r="1397">
      <c r="A1397" s="25" t="n">
        <v>10</v>
      </c>
      <c r="B1397" s="9" t="inlineStr">
        <is>
          <t>Module 4 · Earth Alert!</t>
        </is>
      </c>
      <c r="C1397" s="9" t="inlineStr">
        <is>
          <t>4c</t>
        </is>
      </c>
      <c r="D1397" s="9" t="inlineStr">
        <is>
          <t>Modal verbs (deduction)</t>
        </is>
      </c>
      <c r="E1397" s="23" t="inlineStr">
        <is>
          <t>Modal verbs (deduction): can't/couldn't — невозможность (о настоящем)</t>
        </is>
      </c>
      <c r="F1397" s="25" t="inlineStr">
        <is>
          <t>повторение</t>
        </is>
      </c>
      <c r="G1397" s="9" t="inlineStr"/>
      <c r="H1397" s="25" t="inlineStr">
        <is>
          <t>10+</t>
        </is>
      </c>
      <c r="I1397" s="9">
        <f>IFERROR(INDEX('Темы × классы'!$R:$R,MATCH(E1397,'Темы × классы'!$E:$E,0)),"")</f>
        <v/>
      </c>
      <c r="J1397" s="9">
        <f>IFERROR(INDEX('Темы × классы'!$S:$S,MATCH(E1397,'Темы × классы'!$E:$E,0))&amp;"","")</f>
        <v/>
      </c>
      <c r="K1397" s="9" t="inlineStr">
        <is>
          <t>не начат</t>
        </is>
      </c>
      <c r="L1397" s="9" t="inlineStr">
        <is>
          <t>Spotlight / 10 класс / Module 4 · Earth Alert! / Modal verbs (deduction) / Modal verbs (deduction): can't/couldn't — невозможность (о настоящем)</t>
        </is>
      </c>
    </row>
    <row r="1398">
      <c r="A1398" s="25" t="n">
        <v>10</v>
      </c>
      <c r="B1398" s="9" t="inlineStr">
        <is>
          <t>Module 4 · Earth Alert!</t>
        </is>
      </c>
      <c r="C1398" s="9" t="inlineStr">
        <is>
          <t>4c</t>
        </is>
      </c>
      <c r="D1398" s="9" t="inlineStr">
        <is>
          <t>Modal verbs (deduction)</t>
        </is>
      </c>
      <c r="E1398" s="23" t="inlineStr">
        <is>
          <t>Modal verbs (deduction): выводы о прошлом — must/may/might/could/can't + have V3</t>
        </is>
      </c>
      <c r="F1398" s="25" t="inlineStr">
        <is>
          <t>повторение</t>
        </is>
      </c>
      <c r="G1398" s="9" t="inlineStr">
        <is>
          <t>must have been delayed, couldn't have cooked</t>
        </is>
      </c>
      <c r="H1398" s="25" t="inlineStr">
        <is>
          <t>10+</t>
        </is>
      </c>
      <c r="I1398" s="9">
        <f>IFERROR(INDEX('Темы × классы'!$R:$R,MATCH(E1398,'Темы × классы'!$E:$E,0)),"")</f>
        <v/>
      </c>
      <c r="J1398" s="9">
        <f>IFERROR(INDEX('Темы × классы'!$S:$S,MATCH(E1398,'Темы × классы'!$E:$E,0))&amp;"","")</f>
        <v/>
      </c>
      <c r="K1398" s="9" t="inlineStr">
        <is>
          <t>не начат</t>
        </is>
      </c>
      <c r="L1398" s="9" t="inlineStr">
        <is>
          <t>Spotlight / 10 класс / Module 4 · Earth Alert! / Modal verbs (deduction) / Modal verbs (deduction): выводы о прошлом — must/may/might/could/can't + have V3</t>
        </is>
      </c>
    </row>
    <row r="1399">
      <c r="A1399" s="25" t="n">
        <v>10</v>
      </c>
      <c r="B1399" s="9" t="inlineStr">
        <is>
          <t>Module 4 · Earth Alert!</t>
        </is>
      </c>
      <c r="C1399" s="9" t="inlineStr">
        <is>
          <t>4c</t>
        </is>
      </c>
      <c r="D1399" s="9" t="inlineStr">
        <is>
          <t>Modal verbs (deduction)</t>
        </is>
      </c>
      <c r="E1399" s="23" t="inlineStr">
        <is>
          <t>Modal verbs (deduction): вероятность — will (100%) vs should/ought to (90%)</t>
        </is>
      </c>
      <c r="F1399" s="26" t="inlineStr">
        <is>
          <t>новое</t>
        </is>
      </c>
      <c r="G1399" s="9" t="inlineStr">
        <is>
          <t>will 100%, should/ought to 90%</t>
        </is>
      </c>
      <c r="H1399" s="25" t="inlineStr">
        <is>
          <t>10+</t>
        </is>
      </c>
      <c r="I1399" s="9">
        <f>IFERROR(INDEX('Темы × классы'!$R:$R,MATCH(E1399,'Темы × классы'!$E:$E,0)),"")</f>
        <v/>
      </c>
      <c r="J1399" s="9">
        <f>IFERROR(INDEX('Темы × классы'!$S:$S,MATCH(E1399,'Темы × классы'!$E:$E,0))&amp;"","")</f>
        <v/>
      </c>
      <c r="K1399" s="9" t="inlineStr">
        <is>
          <t>не начат</t>
        </is>
      </c>
      <c r="L1399" s="9" t="inlineStr">
        <is>
          <t>Spotlight / 10 класс / Module 4 · Earth Alert! / Modal verbs (deduction) / Modal verbs (deduction): вероятность — will (100%) vs should/ought to (90%)</t>
        </is>
      </c>
    </row>
    <row r="1400">
      <c r="A1400" s="25" t="n">
        <v>10</v>
      </c>
      <c r="B1400" s="9" t="inlineStr">
        <is>
          <t>Module 4 · Earth Alert!</t>
        </is>
      </c>
      <c r="C1400" s="9" t="inlineStr">
        <is>
          <t>4c</t>
        </is>
      </c>
      <c r="D1400" s="9" t="inlineStr">
        <is>
          <t>Modal verbs (deduction)</t>
        </is>
      </c>
      <c r="E1400" s="23" t="inlineStr">
        <is>
          <t>Modal verbs (deduction): критика — could/should/ought to (+ have V3)</t>
        </is>
      </c>
      <c r="F1400" s="26" t="inlineStr">
        <is>
          <t>новое</t>
        </is>
      </c>
      <c r="G1400" s="9" t="inlineStr">
        <is>
          <t>could (at least), should, ought to</t>
        </is>
      </c>
      <c r="H1400" s="25" t="inlineStr">
        <is>
          <t>10+</t>
        </is>
      </c>
      <c r="I1400" s="9">
        <f>IFERROR(INDEX('Темы × классы'!$R:$R,MATCH(E1400,'Темы × классы'!$E:$E,0)),"")</f>
        <v/>
      </c>
      <c r="J1400" s="9">
        <f>IFERROR(INDEX('Темы × классы'!$S:$S,MATCH(E1400,'Темы × классы'!$E:$E,0))&amp;"","")</f>
        <v/>
      </c>
      <c r="K1400" s="9" t="inlineStr">
        <is>
          <t>не начат</t>
        </is>
      </c>
      <c r="L1400" s="9" t="inlineStr">
        <is>
          <t>Spotlight / 10 класс / Module 4 · Earth Alert! / Modal verbs (deduction) / Modal verbs (deduction): критика — could/should/ought to (+ have V3)</t>
        </is>
      </c>
    </row>
    <row r="1401">
      <c r="A1401" s="25" t="n">
        <v>10</v>
      </c>
      <c r="B1401" s="9" t="inlineStr">
        <is>
          <t>Module 4 · Earth Alert!</t>
        </is>
      </c>
      <c r="C1401" s="9" t="inlineStr">
        <is>
          <t>4c</t>
        </is>
      </c>
      <c r="D1401" s="9" t="inlineStr">
        <is>
          <t>Modal verbs (functions)</t>
        </is>
      </c>
      <c r="E1401" s="23" t="inlineStr">
        <is>
          <t>Modal verbs: общие правила формы — без -s/-ing/-ed, + инфинитив без to</t>
        </is>
      </c>
      <c r="F1401" s="25" t="inlineStr">
        <is>
          <t>повторение</t>
        </is>
      </c>
      <c r="G1401" s="9" t="inlineStr"/>
      <c r="H1401" s="25" t="inlineStr">
        <is>
          <t>10+</t>
        </is>
      </c>
      <c r="I1401" s="9">
        <f>IFERROR(INDEX('Темы × классы'!$R:$R,MATCH(E1401,'Темы × классы'!$E:$E,0)),"")</f>
        <v/>
      </c>
      <c r="J1401" s="9">
        <f>IFERROR(INDEX('Темы × классы'!$S:$S,MATCH(E1401,'Темы × классы'!$E:$E,0))&amp;"","")</f>
        <v/>
      </c>
      <c r="K1401" s="9" t="inlineStr">
        <is>
          <t>не начат</t>
        </is>
      </c>
      <c r="L1401" s="9" t="inlineStr">
        <is>
          <t>Spotlight / 10 класс / Module 4 · Earth Alert! / Modal verbs (functions) / Modal verbs: общие правила формы — без -s/-ing/-ed, + инфинитив без to</t>
        </is>
      </c>
    </row>
    <row r="1402">
      <c r="A1402" s="25" t="n">
        <v>10</v>
      </c>
      <c r="B1402" s="9" t="inlineStr">
        <is>
          <t>Module 4 · Earth Alert!</t>
        </is>
      </c>
      <c r="C1402" s="9" t="inlineStr">
        <is>
          <t>4c</t>
        </is>
      </c>
      <c r="D1402" s="9" t="inlineStr">
        <is>
          <t>Modal verbs (functions)</t>
        </is>
      </c>
      <c r="E1402" s="23" t="inlineStr">
        <is>
          <t>Modal verbs: вопрос и отрицание (инверсия, not)</t>
        </is>
      </c>
      <c r="F1402" s="25" t="inlineStr">
        <is>
          <t>повторение</t>
        </is>
      </c>
      <c r="G1402" s="9" t="inlineStr"/>
      <c r="H1402" s="25" t="inlineStr">
        <is>
          <t>10+</t>
        </is>
      </c>
      <c r="I1402" s="9">
        <f>IFERROR(INDEX('Темы × классы'!$R:$R,MATCH(E1402,'Темы × классы'!$E:$E,0)),"")</f>
        <v/>
      </c>
      <c r="J1402" s="9">
        <f>IFERROR(INDEX('Темы × классы'!$S:$S,MATCH(E1402,'Темы × классы'!$E:$E,0))&amp;"","")</f>
        <v/>
      </c>
      <c r="K1402" s="9" t="inlineStr">
        <is>
          <t>не начат</t>
        </is>
      </c>
      <c r="L1402" s="9" t="inlineStr">
        <is>
          <t>Spotlight / 10 класс / Module 4 · Earth Alert! / Modal verbs (functions) / Modal verbs: вопрос и отрицание (инверсия, not)</t>
        </is>
      </c>
    </row>
    <row r="1403">
      <c r="A1403" s="25" t="n">
        <v>10</v>
      </c>
      <c r="B1403" s="9" t="inlineStr">
        <is>
          <t>Module 4 · Earth Alert!</t>
        </is>
      </c>
      <c r="C1403" s="9" t="inlineStr">
        <is>
          <t>4c</t>
        </is>
      </c>
      <c r="D1403" s="9" t="inlineStr">
        <is>
          <t>Modal verbs (functions)</t>
        </is>
      </c>
      <c r="E1403" s="23" t="inlineStr">
        <is>
          <t>Modal verbs: + простой инфинитив (наст./буд.) vs + перфектный инфинитив (прошлое)</t>
        </is>
      </c>
      <c r="F1403" s="25" t="inlineStr">
        <is>
          <t>повторение</t>
        </is>
      </c>
      <c r="G1403" s="9" t="inlineStr"/>
      <c r="H1403" s="25" t="inlineStr">
        <is>
          <t>10+</t>
        </is>
      </c>
      <c r="I1403" s="9">
        <f>IFERROR(INDEX('Темы × классы'!$R:$R,MATCH(E1403,'Темы × классы'!$E:$E,0)),"")</f>
        <v/>
      </c>
      <c r="J1403" s="9">
        <f>IFERROR(INDEX('Темы × классы'!$S:$S,MATCH(E1403,'Темы × классы'!$E:$E,0))&amp;"","")</f>
        <v/>
      </c>
      <c r="K1403" s="9" t="inlineStr">
        <is>
          <t>не начат</t>
        </is>
      </c>
      <c r="L1403" s="9" t="inlineStr">
        <is>
          <t>Spotlight / 10 класс / Module 4 · Earth Alert! / Modal verbs (functions) / Modal verbs: + простой инфинитив (наст./буд.) vs + перфектный инфинитив (прошлое)</t>
        </is>
      </c>
    </row>
    <row r="1404">
      <c r="A1404" s="25" t="n">
        <v>10</v>
      </c>
      <c r="B1404" s="9" t="inlineStr">
        <is>
          <t>Module 4 · Earth Alert!</t>
        </is>
      </c>
      <c r="C1404" s="9" t="inlineStr">
        <is>
          <t>4c</t>
        </is>
      </c>
      <c r="D1404" s="9" t="inlineStr">
        <is>
          <t>Modal verbs (functions)</t>
        </is>
      </c>
      <c r="E1404" s="23" t="inlineStr">
        <is>
          <t>Modal verbs: формы инфинитива — simple / continuous / perfect / perfect continuous</t>
        </is>
      </c>
      <c r="F1404" s="25" t="inlineStr">
        <is>
          <t>повторение</t>
        </is>
      </c>
      <c r="G1404" s="9" t="inlineStr"/>
      <c r="H1404" s="25" t="inlineStr">
        <is>
          <t>10+</t>
        </is>
      </c>
      <c r="I1404" s="9">
        <f>IFERROR(INDEX('Темы × классы'!$R:$R,MATCH(E1404,'Темы × классы'!$E:$E,0)),"")</f>
        <v/>
      </c>
      <c r="J1404" s="9">
        <f>IFERROR(INDEX('Темы × классы'!$S:$S,MATCH(E1404,'Темы × классы'!$E:$E,0))&amp;"","")</f>
        <v/>
      </c>
      <c r="K1404" s="9" t="inlineStr">
        <is>
          <t>не начат</t>
        </is>
      </c>
      <c r="L1404" s="9" t="inlineStr">
        <is>
          <t>Spotlight / 10 класс / Module 4 · Earth Alert! / Modal verbs (functions) / Modal verbs: формы инфинитива — simple / continuous / perfect / perfect continuous</t>
        </is>
      </c>
    </row>
    <row r="1405">
      <c r="A1405" s="25" t="n">
        <v>10</v>
      </c>
      <c r="B1405" s="9" t="inlineStr">
        <is>
          <t>Module 4 · Earth Alert!</t>
        </is>
      </c>
      <c r="C1405" s="9" t="inlineStr">
        <is>
          <t>4c</t>
        </is>
      </c>
      <c r="D1405" s="9" t="inlineStr">
        <is>
          <t>Modal verbs (functions)</t>
        </is>
      </c>
      <c r="E1405" s="23" t="inlineStr">
        <is>
          <t>Modal verbs: эквиваленты модальных (need, had better, have (got) to, be able to, used to)</t>
        </is>
      </c>
      <c r="F1405" s="26" t="inlineStr">
        <is>
          <t>новое</t>
        </is>
      </c>
      <c r="G1405" s="9" t="inlineStr">
        <is>
          <t>need, had better, have (got) to, be able to, used to</t>
        </is>
      </c>
      <c r="H1405" s="25" t="inlineStr">
        <is>
          <t>10+</t>
        </is>
      </c>
      <c r="I1405" s="9">
        <f>IFERROR(INDEX('Темы × классы'!$R:$R,MATCH(E1405,'Темы × классы'!$E:$E,0)),"")</f>
        <v/>
      </c>
      <c r="J1405" s="9">
        <f>IFERROR(INDEX('Темы × классы'!$S:$S,MATCH(E1405,'Темы × классы'!$E:$E,0))&amp;"","")</f>
        <v/>
      </c>
      <c r="K1405" s="9" t="inlineStr">
        <is>
          <t>не начат</t>
        </is>
      </c>
      <c r="L1405" s="9" t="inlineStr">
        <is>
          <t>Spotlight / 10 класс / Module 4 · Earth Alert! / Modal verbs (functions) / Modal verbs: эквиваленты модальных (need, had better, have (got) to, be able to, used to)</t>
        </is>
      </c>
    </row>
    <row r="1406">
      <c r="A1406" s="25" t="n">
        <v>10</v>
      </c>
      <c r="B1406" s="9" t="inlineStr">
        <is>
          <t>Module 4 · Earth Alert!</t>
        </is>
      </c>
      <c r="C1406" s="9" t="inlineStr">
        <is>
          <t>4c</t>
        </is>
      </c>
      <c r="D1406" s="9" t="inlineStr">
        <is>
          <t>can/could (ability past)</t>
        </is>
      </c>
      <c r="E1406" s="23" t="inlineStr">
        <is>
          <t>can/could (ability past): could — общая способность в прошлом</t>
        </is>
      </c>
      <c r="F1406" s="27" t="inlineStr">
        <is>
          <t>расширение</t>
        </is>
      </c>
      <c r="G1406" s="9" t="inlineStr">
        <is>
          <t>общая повторяющаяся способность</t>
        </is>
      </c>
      <c r="H1406" s="25" t="inlineStr">
        <is>
          <t>10+</t>
        </is>
      </c>
      <c r="I1406" s="9">
        <f>IFERROR(INDEX('Темы × классы'!$R:$R,MATCH(E1406,'Темы × классы'!$E:$E,0)),"")</f>
        <v/>
      </c>
      <c r="J1406" s="9">
        <f>IFERROR(INDEX('Темы × классы'!$S:$S,MATCH(E1406,'Темы × классы'!$E:$E,0))&amp;"","")</f>
        <v/>
      </c>
      <c r="K1406" s="9" t="inlineStr">
        <is>
          <t>не начат</t>
        </is>
      </c>
      <c r="L1406" s="9" t="inlineStr">
        <is>
          <t>Spotlight / 10 класс / Module 4 · Earth Alert! / can/could (ability past) / can/could (ability past): could — общая способность в прошлом</t>
        </is>
      </c>
    </row>
    <row r="1407">
      <c r="A1407" s="25" t="n">
        <v>10</v>
      </c>
      <c r="B1407" s="9" t="inlineStr">
        <is>
          <t>Module 4 · Earth Alert!</t>
        </is>
      </c>
      <c r="C1407" s="9" t="inlineStr">
        <is>
          <t>4c</t>
        </is>
      </c>
      <c r="D1407" s="9" t="inlineStr">
        <is>
          <t>can/could (ability past)</t>
        </is>
      </c>
      <c r="E1407" s="23" t="inlineStr">
        <is>
          <t>can/could (ability past): was/were able to — способность в конкретной ситуации</t>
        </is>
      </c>
      <c r="F1407" s="25" t="inlineStr">
        <is>
          <t>повторение</t>
        </is>
      </c>
      <c r="G1407" s="9" t="inlineStr"/>
      <c r="H1407" s="25" t="inlineStr">
        <is>
          <t>10+</t>
        </is>
      </c>
      <c r="I1407" s="9">
        <f>IFERROR(INDEX('Темы × классы'!$R:$R,MATCH(E1407,'Темы × классы'!$E:$E,0)),"")</f>
        <v/>
      </c>
      <c r="J1407" s="9">
        <f>IFERROR(INDEX('Темы × классы'!$S:$S,MATCH(E1407,'Темы × классы'!$E:$E,0))&amp;"","")</f>
        <v/>
      </c>
      <c r="K1407" s="9" t="inlineStr">
        <is>
          <t>не начат</t>
        </is>
      </c>
      <c r="L1407" s="9" t="inlineStr">
        <is>
          <t>Spotlight / 10 класс / Module 4 · Earth Alert! / can/could (ability past) / can/could (ability past): was/were able to — способность в конкретной ситуации</t>
        </is>
      </c>
    </row>
    <row r="1408">
      <c r="A1408" s="25" t="n">
        <v>10</v>
      </c>
      <c r="B1408" s="9" t="inlineStr">
        <is>
          <t>Module 4 · Earth Alert!</t>
        </is>
      </c>
      <c r="C1408" s="9" t="inlineStr">
        <is>
          <t>4c</t>
        </is>
      </c>
      <c r="D1408" s="9" t="inlineStr">
        <is>
          <t>can/could (ability past)</t>
        </is>
      </c>
      <c r="E1408" s="23" t="inlineStr">
        <is>
          <t>can/could (ability past): couldn't — неспособность в прошлом</t>
        </is>
      </c>
      <c r="F1408" s="27" t="inlineStr">
        <is>
          <t>расширение</t>
        </is>
      </c>
      <c r="G1408" s="9" t="inlineStr">
        <is>
          <t>любая неспособность в прошлом</t>
        </is>
      </c>
      <c r="H1408" s="25" t="inlineStr">
        <is>
          <t>10+</t>
        </is>
      </c>
      <c r="I1408" s="9">
        <f>IFERROR(INDEX('Темы × классы'!$R:$R,MATCH(E1408,'Темы × классы'!$E:$E,0)),"")</f>
        <v/>
      </c>
      <c r="J1408" s="9">
        <f>IFERROR(INDEX('Темы × классы'!$S:$S,MATCH(E1408,'Темы × классы'!$E:$E,0))&amp;"","")</f>
        <v/>
      </c>
      <c r="K1408" s="9" t="inlineStr">
        <is>
          <t>не начат</t>
        </is>
      </c>
      <c r="L1408" s="9" t="inlineStr">
        <is>
          <t>Spotlight / 10 класс / Module 4 · Earth Alert! / can/could (ability past) / can/could (ability past): couldn't — неспособность в прошлом</t>
        </is>
      </c>
    </row>
    <row r="1409">
      <c r="A1409" s="25" t="n">
        <v>10</v>
      </c>
      <c r="B1409" s="9" t="inlineStr">
        <is>
          <t>Module 4 · Earth Alert!</t>
        </is>
      </c>
      <c r="C1409" s="9" t="inlineStr">
        <is>
          <t>4c</t>
        </is>
      </c>
      <c r="D1409" s="9" t="inlineStr">
        <is>
          <t>Phrasal verbs</t>
        </is>
      </c>
      <c r="E1409" s="23" t="inlineStr">
        <is>
          <t>Phrasal verbs: run</t>
        </is>
      </c>
      <c r="F1409" s="25" t="inlineStr">
        <is>
          <t>повторение</t>
        </is>
      </c>
      <c r="G1409" s="9" t="inlineStr">
        <is>
          <t>Фразовые глаголы с run (ToC: «phrasal verbs (run)»); состав частиц и значения в источнике не даны.</t>
        </is>
      </c>
      <c r="H1409" s="25" t="inlineStr">
        <is>
          <t>10+</t>
        </is>
      </c>
      <c r="I1409" s="9">
        <f>IFERROR(INDEX('Темы × классы'!$R:$R,MATCH(E1409,'Темы × классы'!$E:$E,0)),"")</f>
        <v/>
      </c>
      <c r="J1409" s="9">
        <f>IFERROR(INDEX('Темы × классы'!$S:$S,MATCH(E1409,'Темы × классы'!$E:$E,0))&amp;"","")</f>
        <v/>
      </c>
      <c r="K1409" s="9" t="inlineStr">
        <is>
          <t>не начат</t>
        </is>
      </c>
      <c r="L1409" s="9" t="inlineStr">
        <is>
          <t>Spotlight / 10 класс / Module 4 · Earth Alert! / Phrasal verbs / Phrasal verbs: run</t>
        </is>
      </c>
    </row>
    <row r="1410">
      <c r="A1410" s="25" t="n">
        <v>10</v>
      </c>
      <c r="B1410" s="9" t="inlineStr">
        <is>
          <t>Module 4 · Earth Alert!</t>
        </is>
      </c>
      <c r="C1410" s="9" t="inlineStr">
        <is>
          <t>4c</t>
        </is>
      </c>
      <c r="D1410" s="9" t="inlineStr">
        <is>
          <t>Word formation</t>
        </is>
      </c>
      <c r="E1410" s="23" t="inlineStr">
        <is>
          <t>Word formation: negative adjectives</t>
        </is>
      </c>
      <c r="F1410" s="25" t="inlineStr">
        <is>
          <t>повторение</t>
        </is>
      </c>
      <c r="G1410" s="9" t="inlineStr">
        <is>
          <t>Образование отрицательных прилагательных (ToC: «forming negative adjectives»).</t>
        </is>
      </c>
      <c r="H1410" s="25" t="inlineStr">
        <is>
          <t>10+</t>
        </is>
      </c>
      <c r="I1410" s="9">
        <f>IFERROR(INDEX('Темы × классы'!$R:$R,MATCH(E1410,'Темы × классы'!$E:$E,0)),"")</f>
        <v/>
      </c>
      <c r="J1410" s="9">
        <f>IFERROR(INDEX('Темы × классы'!$S:$S,MATCH(E1410,'Темы × классы'!$E:$E,0))&amp;"","")</f>
        <v/>
      </c>
      <c r="K1410" s="9" t="inlineStr">
        <is>
          <t>не начат</t>
        </is>
      </c>
      <c r="L1410" s="9" t="inlineStr">
        <is>
          <t>Spotlight / 10 класс / Module 4 · Earth Alert! / Word formation / Word formation: negative adjectives</t>
        </is>
      </c>
    </row>
    <row r="1411">
      <c r="A1411" s="25" t="n">
        <v>10</v>
      </c>
      <c r="B1411" s="9" t="inlineStr">
        <is>
          <t>Module 5 · Holidays</t>
        </is>
      </c>
      <c r="C1411" s="9" t="inlineStr">
        <is>
          <t>5c</t>
        </is>
      </c>
      <c r="D1411" s="9" t="inlineStr">
        <is>
          <t>Past Simple</t>
        </is>
      </c>
      <c r="E1411" s="23" t="inlineStr">
        <is>
          <t>Past Simple: правильные глаголы — утверждение (-ed)</t>
        </is>
      </c>
      <c r="F1411" s="25" t="inlineStr">
        <is>
          <t>повторение</t>
        </is>
      </c>
      <c r="G1411" s="9" t="inlineStr"/>
      <c r="H1411" s="25" t="inlineStr">
        <is>
          <t>10+</t>
        </is>
      </c>
      <c r="I1411" s="9">
        <f>IFERROR(INDEX('Темы × классы'!$R:$R,MATCH(E1411,'Темы × классы'!$E:$E,0)),"")</f>
        <v/>
      </c>
      <c r="J1411" s="9">
        <f>IFERROR(INDEX('Темы × классы'!$S:$S,MATCH(E1411,'Темы × классы'!$E:$E,0))&amp;"","")</f>
        <v/>
      </c>
      <c r="K1411" s="9" t="inlineStr">
        <is>
          <t>не начат</t>
        </is>
      </c>
      <c r="L1411" s="9" t="inlineStr">
        <is>
          <t>Spotlight / 10 класс / Module 5 · Holidays / Past Simple / Past Simple: правильные глаголы — утверждение (-ed)</t>
        </is>
      </c>
    </row>
    <row r="1412">
      <c r="A1412" s="25" t="n">
        <v>10</v>
      </c>
      <c r="B1412" s="9" t="inlineStr">
        <is>
          <t>Module 5 · Holidays</t>
        </is>
      </c>
      <c r="C1412" s="9" t="inlineStr">
        <is>
          <t>5c</t>
        </is>
      </c>
      <c r="D1412" s="9" t="inlineStr">
        <is>
          <t>Past Simple</t>
        </is>
      </c>
      <c r="E1412" s="23" t="inlineStr">
        <is>
          <t>Past Simple: орфография -ed</t>
        </is>
      </c>
      <c r="F1412" s="25" t="inlineStr">
        <is>
          <t>повторение</t>
        </is>
      </c>
      <c r="G1412" s="9" t="inlineStr"/>
      <c r="H1412" s="25" t="inlineStr">
        <is>
          <t>10+</t>
        </is>
      </c>
      <c r="I1412" s="9">
        <f>IFERROR(INDEX('Темы × классы'!$R:$R,MATCH(E1412,'Темы × классы'!$E:$E,0)),"")</f>
        <v/>
      </c>
      <c r="J1412" s="9">
        <f>IFERROR(INDEX('Темы × классы'!$S:$S,MATCH(E1412,'Темы × классы'!$E:$E,0))&amp;"","")</f>
        <v/>
      </c>
      <c r="K1412" s="9" t="inlineStr">
        <is>
          <t>не начат</t>
        </is>
      </c>
      <c r="L1412" s="9" t="inlineStr">
        <is>
          <t>Spotlight / 10 класс / Module 5 · Holidays / Past Simple / Past Simple: орфография -ed</t>
        </is>
      </c>
    </row>
    <row r="1413">
      <c r="A1413" s="25" t="n">
        <v>10</v>
      </c>
      <c r="B1413" s="9" t="inlineStr">
        <is>
          <t>Module 5 · Holidays</t>
        </is>
      </c>
      <c r="C1413" s="9" t="inlineStr">
        <is>
          <t>5c</t>
        </is>
      </c>
      <c r="D1413" s="9" t="inlineStr">
        <is>
          <t>Past Simple</t>
        </is>
      </c>
      <c r="E1413" s="23" t="inlineStr">
        <is>
          <t>Past Simple: неправильные глаголы — утверждение</t>
        </is>
      </c>
      <c r="F1413" s="25" t="inlineStr">
        <is>
          <t>повторение</t>
        </is>
      </c>
      <c r="G1413" s="9" t="inlineStr">
        <is>
          <t>по таблице GR20</t>
        </is>
      </c>
      <c r="H1413" s="25" t="inlineStr">
        <is>
          <t>10+</t>
        </is>
      </c>
      <c r="I1413" s="9">
        <f>IFERROR(INDEX('Темы × классы'!$R:$R,MATCH(E1413,'Темы × классы'!$E:$E,0)),"")</f>
        <v/>
      </c>
      <c r="J1413" s="9">
        <f>IFERROR(INDEX('Темы × классы'!$S:$S,MATCH(E1413,'Темы × классы'!$E:$E,0))&amp;"","")</f>
        <v/>
      </c>
      <c r="K1413" s="9" t="inlineStr">
        <is>
          <t>не начат</t>
        </is>
      </c>
      <c r="L1413" s="9" t="inlineStr">
        <is>
          <t>Spotlight / 10 класс / Module 5 · Holidays / Past Simple / Past Simple: неправильные глаголы — утверждение</t>
        </is>
      </c>
    </row>
    <row r="1414">
      <c r="A1414" s="25" t="n">
        <v>10</v>
      </c>
      <c r="B1414" s="9" t="inlineStr">
        <is>
          <t>Module 5 · Holidays</t>
        </is>
      </c>
      <c r="C1414" s="9" t="inlineStr">
        <is>
          <t>5c</t>
        </is>
      </c>
      <c r="D1414" s="9" t="inlineStr">
        <is>
          <t>Past Simple</t>
        </is>
      </c>
      <c r="E1414" s="23" t="inlineStr">
        <is>
          <t>Past Simple: одна форма для всех лиц, исключение was/were</t>
        </is>
      </c>
      <c r="F1414" s="25" t="inlineStr">
        <is>
          <t>повторение</t>
        </is>
      </c>
      <c r="G1414" s="9" t="inlineStr"/>
      <c r="H1414" s="25" t="inlineStr">
        <is>
          <t>10+</t>
        </is>
      </c>
      <c r="I1414" s="9">
        <f>IFERROR(INDEX('Темы × классы'!$R:$R,MATCH(E1414,'Темы × классы'!$E:$E,0)),"")</f>
        <v/>
      </c>
      <c r="J1414" s="9">
        <f>IFERROR(INDEX('Темы × классы'!$S:$S,MATCH(E1414,'Темы × классы'!$E:$E,0))&amp;"","")</f>
        <v/>
      </c>
      <c r="K1414" s="9" t="inlineStr">
        <is>
          <t>не начат</t>
        </is>
      </c>
      <c r="L1414" s="9" t="inlineStr">
        <is>
          <t>Spotlight / 10 класс / Module 5 · Holidays / Past Simple / Past Simple: одна форма для всех лиц, исключение was/were</t>
        </is>
      </c>
    </row>
    <row r="1415">
      <c r="A1415" s="25" t="n">
        <v>10</v>
      </c>
      <c r="B1415" s="9" t="inlineStr">
        <is>
          <t>Module 5 · Holidays</t>
        </is>
      </c>
      <c r="C1415" s="9" t="inlineStr">
        <is>
          <t>5c</t>
        </is>
      </c>
      <c r="D1415" s="9" t="inlineStr">
        <is>
          <t>Past Simple</t>
        </is>
      </c>
      <c r="E1415" s="23" t="inlineStr">
        <is>
          <t>Past Simple: значение — действие в прошлом (yesterday, ago)</t>
        </is>
      </c>
      <c r="F1415" s="25" t="inlineStr">
        <is>
          <t>повторение</t>
        </is>
      </c>
      <c r="G1415" s="9" t="inlineStr">
        <is>
          <t>завершённые действия</t>
        </is>
      </c>
      <c r="H1415" s="25" t="inlineStr">
        <is>
          <t>10+</t>
        </is>
      </c>
      <c r="I1415" s="9">
        <f>IFERROR(INDEX('Темы × классы'!$R:$R,MATCH(E1415,'Темы × классы'!$E:$E,0)),"")</f>
        <v/>
      </c>
      <c r="J1415" s="9">
        <f>IFERROR(INDEX('Темы × классы'!$S:$S,MATCH(E1415,'Темы × классы'!$E:$E,0))&amp;"","")</f>
        <v/>
      </c>
      <c r="K1415" s="9" t="inlineStr">
        <is>
          <t>не начат</t>
        </is>
      </c>
      <c r="L1415" s="9" t="inlineStr">
        <is>
          <t>Spotlight / 10 класс / Module 5 · Holidays / Past Simple / Past Simple: значение — действие в прошлом (yesterday, ago)</t>
        </is>
      </c>
    </row>
    <row r="1416">
      <c r="A1416" s="25" t="n">
        <v>10</v>
      </c>
      <c r="B1416" s="9" t="inlineStr">
        <is>
          <t>Module 5 · Holidays</t>
        </is>
      </c>
      <c r="C1416" s="9" t="inlineStr">
        <is>
          <t>5c</t>
        </is>
      </c>
      <c r="D1416" s="9" t="inlineStr">
        <is>
          <t>Past Simple</t>
        </is>
      </c>
      <c r="E1416" s="23" t="inlineStr">
        <is>
          <t>Past Simple: значение — действие в указанное время в прошлом</t>
        </is>
      </c>
      <c r="F1416" s="25" t="inlineStr">
        <is>
          <t>повторение</t>
        </is>
      </c>
      <c r="G1416" s="9" t="inlineStr"/>
      <c r="H1416" s="25" t="inlineStr">
        <is>
          <t>10+</t>
        </is>
      </c>
      <c r="I1416" s="9">
        <f>IFERROR(INDEX('Темы × классы'!$R:$R,MATCH(E1416,'Темы × классы'!$E:$E,0)),"")</f>
        <v/>
      </c>
      <c r="J1416" s="9">
        <f>IFERROR(INDEX('Темы × классы'!$S:$S,MATCH(E1416,'Темы × классы'!$E:$E,0))&amp;"","")</f>
        <v/>
      </c>
      <c r="K1416" s="9" t="inlineStr">
        <is>
          <t>не начат</t>
        </is>
      </c>
      <c r="L1416" s="9" t="inlineStr">
        <is>
          <t>Spotlight / 10 класс / Module 5 · Holidays / Past Simple / Past Simple: значение — действие в указанное время в прошлом</t>
        </is>
      </c>
    </row>
    <row r="1417">
      <c r="A1417" s="25" t="n">
        <v>10</v>
      </c>
      <c r="B1417" s="9" t="inlineStr">
        <is>
          <t>Module 5 · Holidays</t>
        </is>
      </c>
      <c r="C1417" s="9" t="inlineStr">
        <is>
          <t>5c</t>
        </is>
      </c>
      <c r="D1417" s="9" t="inlineStr">
        <is>
          <t>Past Simple</t>
        </is>
      </c>
      <c r="E1417" s="23" t="inlineStr">
        <is>
          <t>Past Simple: значение — повторяющиеся действия и привычки в прошлом</t>
        </is>
      </c>
      <c r="F1417" s="25" t="inlineStr">
        <is>
          <t>повторение</t>
        </is>
      </c>
      <c r="G1417" s="9" t="inlineStr">
        <is>
          <t>прошлые привычки</t>
        </is>
      </c>
      <c r="H1417" s="25" t="inlineStr">
        <is>
          <t>10+</t>
        </is>
      </c>
      <c r="I1417" s="9">
        <f>IFERROR(INDEX('Темы × классы'!$R:$R,MATCH(E1417,'Темы × классы'!$E:$E,0)),"")</f>
        <v/>
      </c>
      <c r="J1417" s="9">
        <f>IFERROR(INDEX('Темы × классы'!$S:$S,MATCH(E1417,'Темы × классы'!$E:$E,0))&amp;"","")</f>
        <v/>
      </c>
      <c r="K1417" s="9" t="inlineStr">
        <is>
          <t>не начат</t>
        </is>
      </c>
      <c r="L1417" s="9" t="inlineStr">
        <is>
          <t>Spotlight / 10 класс / Module 5 · Holidays / Past Simple / Past Simple: значение — повторяющиеся действия и привычки в прошлом</t>
        </is>
      </c>
    </row>
    <row r="1418">
      <c r="A1418" s="25" t="n">
        <v>10</v>
      </c>
      <c r="B1418" s="9" t="inlineStr">
        <is>
          <t>Module 5 · Holidays</t>
        </is>
      </c>
      <c r="C1418" s="9" t="inlineStr">
        <is>
          <t>5c</t>
        </is>
      </c>
      <c r="D1418" s="9" t="inlineStr">
        <is>
          <t>Past Simple</t>
        </is>
      </c>
      <c r="E1418" s="23" t="inlineStr">
        <is>
          <t>Past Simple: значение — последовательные действия</t>
        </is>
      </c>
      <c r="F1418" s="25" t="inlineStr">
        <is>
          <t>повторение</t>
        </is>
      </c>
      <c r="G1418" s="9" t="inlineStr"/>
      <c r="H1418" s="25" t="inlineStr">
        <is>
          <t>10+</t>
        </is>
      </c>
      <c r="I1418" s="9">
        <f>IFERROR(INDEX('Темы × классы'!$R:$R,MATCH(E1418,'Темы × классы'!$E:$E,0)),"")</f>
        <v/>
      </c>
      <c r="J1418" s="9">
        <f>IFERROR(INDEX('Темы × классы'!$S:$S,MATCH(E1418,'Темы × классы'!$E:$E,0))&amp;"","")</f>
        <v/>
      </c>
      <c r="K1418" s="9" t="inlineStr">
        <is>
          <t>не начат</t>
        </is>
      </c>
      <c r="L1418" s="9" t="inlineStr">
        <is>
          <t>Spotlight / 10 класс / Module 5 · Holidays / Past Simple / Past Simple: значение — последовательные действия</t>
        </is>
      </c>
    </row>
    <row r="1419">
      <c r="A1419" s="25" t="n">
        <v>10</v>
      </c>
      <c r="B1419" s="9" t="inlineStr">
        <is>
          <t>Module 5 · Holidays</t>
        </is>
      </c>
      <c r="C1419" s="9" t="inlineStr">
        <is>
          <t>5c</t>
        </is>
      </c>
      <c r="D1419" s="9" t="inlineStr">
        <is>
          <t>Past Simple</t>
        </is>
      </c>
      <c r="E1419" s="23" t="inlineStr">
        <is>
          <t>Past Simple: значение — завершённые действия без связи с настоящим</t>
        </is>
      </c>
      <c r="F1419" s="25" t="inlineStr">
        <is>
          <t>повторение</t>
        </is>
      </c>
      <c r="G1419" s="9" t="inlineStr"/>
      <c r="H1419" s="25" t="inlineStr">
        <is>
          <t>10+</t>
        </is>
      </c>
      <c r="I1419" s="9">
        <f>IFERROR(INDEX('Темы × классы'!$R:$R,MATCH(E1419,'Темы × классы'!$E:$E,0)),"")</f>
        <v/>
      </c>
      <c r="J1419" s="9">
        <f>IFERROR(INDEX('Темы × классы'!$S:$S,MATCH(E1419,'Темы × классы'!$E:$E,0))&amp;"","")</f>
        <v/>
      </c>
      <c r="K1419" s="9" t="inlineStr">
        <is>
          <t>не начат</t>
        </is>
      </c>
      <c r="L1419" s="9" t="inlineStr">
        <is>
          <t>Spotlight / 10 класс / Module 5 · Holidays / Past Simple / Past Simple: значение — завершённые действия без связи с настоящим</t>
        </is>
      </c>
    </row>
    <row r="1420">
      <c r="A1420" s="25" t="n">
        <v>10</v>
      </c>
      <c r="B1420" s="9" t="inlineStr">
        <is>
          <t>Module 5 · Holidays</t>
        </is>
      </c>
      <c r="C1420" s="9" t="inlineStr">
        <is>
          <t>5c</t>
        </is>
      </c>
      <c r="D1420" s="9" t="inlineStr">
        <is>
          <t>Past Continuous</t>
        </is>
      </c>
      <c r="E1420" s="23" t="inlineStr">
        <is>
          <t>Past Continuous: утверждение (was/were + V-ing)</t>
        </is>
      </c>
      <c r="F1420" s="25" t="inlineStr">
        <is>
          <t>повторение</t>
        </is>
      </c>
      <c r="G1420" s="9" t="inlineStr"/>
      <c r="H1420" s="25" t="inlineStr">
        <is>
          <t>10+</t>
        </is>
      </c>
      <c r="I1420" s="9">
        <f>IFERROR(INDEX('Темы × классы'!$R:$R,MATCH(E1420,'Темы × классы'!$E:$E,0)),"")</f>
        <v/>
      </c>
      <c r="J1420" s="9">
        <f>IFERROR(INDEX('Темы × классы'!$S:$S,MATCH(E1420,'Темы × классы'!$E:$E,0))&amp;"","")</f>
        <v/>
      </c>
      <c r="K1420" s="9" t="inlineStr">
        <is>
          <t>не начат</t>
        </is>
      </c>
      <c r="L1420" s="9" t="inlineStr">
        <is>
          <t>Spotlight / 10 класс / Module 5 · Holidays / Past Continuous / Past Continuous: утверждение (was/were + V-ing)</t>
        </is>
      </c>
    </row>
    <row r="1421">
      <c r="A1421" s="25" t="n">
        <v>10</v>
      </c>
      <c r="B1421" s="9" t="inlineStr">
        <is>
          <t>Module 5 · Holidays</t>
        </is>
      </c>
      <c r="C1421" s="9" t="inlineStr">
        <is>
          <t>5c</t>
        </is>
      </c>
      <c r="D1421" s="9" t="inlineStr">
        <is>
          <t>Past Continuous</t>
        </is>
      </c>
      <c r="E1421" s="23" t="inlineStr">
        <is>
          <t>Past Continuous: значение — действие в процессе в момент прошлого</t>
        </is>
      </c>
      <c r="F1421" s="25" t="inlineStr">
        <is>
          <t>повторение</t>
        </is>
      </c>
      <c r="G1421" s="9" t="inlineStr"/>
      <c r="H1421" s="25" t="inlineStr">
        <is>
          <t>10+</t>
        </is>
      </c>
      <c r="I1421" s="9">
        <f>IFERROR(INDEX('Темы × классы'!$R:$R,MATCH(E1421,'Темы × классы'!$E:$E,0)),"")</f>
        <v/>
      </c>
      <c r="J1421" s="9">
        <f>IFERROR(INDEX('Темы × классы'!$S:$S,MATCH(E1421,'Темы × классы'!$E:$E,0))&amp;"","")</f>
        <v/>
      </c>
      <c r="K1421" s="9" t="inlineStr">
        <is>
          <t>не начат</t>
        </is>
      </c>
      <c r="L1421" s="9" t="inlineStr">
        <is>
          <t>Spotlight / 10 класс / Module 5 · Holidays / Past Continuous / Past Continuous: значение — действие в процессе в момент прошлого</t>
        </is>
      </c>
    </row>
    <row r="1422">
      <c r="A1422" s="25" t="n">
        <v>10</v>
      </c>
      <c r="B1422" s="9" t="inlineStr">
        <is>
          <t>Module 5 · Holidays</t>
        </is>
      </c>
      <c r="C1422" s="9" t="inlineStr">
        <is>
          <t>5c</t>
        </is>
      </c>
      <c r="D1422" s="9" t="inlineStr">
        <is>
          <t>Past Continuous</t>
        </is>
      </c>
      <c r="E1422" s="23" t="inlineStr">
        <is>
          <t>Past Continuous: значение — длительное действие, прерванное другим (when)</t>
        </is>
      </c>
      <c r="F1422" s="25" t="inlineStr">
        <is>
          <t>повторение</t>
        </is>
      </c>
      <c r="G1422" s="9" t="inlineStr"/>
      <c r="H1422" s="25" t="inlineStr">
        <is>
          <t>10+</t>
        </is>
      </c>
      <c r="I1422" s="9">
        <f>IFERROR(INDEX('Темы × классы'!$R:$R,MATCH(E1422,'Темы × классы'!$E:$E,0)),"")</f>
        <v/>
      </c>
      <c r="J1422" s="9">
        <f>IFERROR(INDEX('Темы × классы'!$S:$S,MATCH(E1422,'Темы × классы'!$E:$E,0))&amp;"","")</f>
        <v/>
      </c>
      <c r="K1422" s="9" t="inlineStr">
        <is>
          <t>не начат</t>
        </is>
      </c>
      <c r="L1422" s="9" t="inlineStr">
        <is>
          <t>Spotlight / 10 класс / Module 5 · Holidays / Past Continuous / Past Continuous: значение — длительное действие, прерванное другим (when)</t>
        </is>
      </c>
    </row>
    <row r="1423">
      <c r="A1423" s="25" t="n">
        <v>10</v>
      </c>
      <c r="B1423" s="9" t="inlineStr">
        <is>
          <t>Module 5 · Holidays</t>
        </is>
      </c>
      <c r="C1423" s="9" t="inlineStr">
        <is>
          <t>5c</t>
        </is>
      </c>
      <c r="D1423" s="9" t="inlineStr">
        <is>
          <t>Past Continuous</t>
        </is>
      </c>
      <c r="E1423" s="23" t="inlineStr">
        <is>
          <t>Past Continuous: значение — одновременные действия (while)</t>
        </is>
      </c>
      <c r="F1423" s="25" t="inlineStr">
        <is>
          <t>повторение</t>
        </is>
      </c>
      <c r="G1423" s="9" t="inlineStr"/>
      <c r="H1423" s="25" t="inlineStr">
        <is>
          <t>10+</t>
        </is>
      </c>
      <c r="I1423" s="9">
        <f>IFERROR(INDEX('Темы × классы'!$R:$R,MATCH(E1423,'Темы × классы'!$E:$E,0)),"")</f>
        <v/>
      </c>
      <c r="J1423" s="9">
        <f>IFERROR(INDEX('Темы × классы'!$S:$S,MATCH(E1423,'Темы × классы'!$E:$E,0))&amp;"","")</f>
        <v/>
      </c>
      <c r="K1423" s="9" t="inlineStr">
        <is>
          <t>не начат</t>
        </is>
      </c>
      <c r="L1423" s="9" t="inlineStr">
        <is>
          <t>Spotlight / 10 класс / Module 5 · Holidays / Past Continuous / Past Continuous: значение — одновременные действия (while)</t>
        </is>
      </c>
    </row>
    <row r="1424">
      <c r="A1424" s="25" t="n">
        <v>10</v>
      </c>
      <c r="B1424" s="9" t="inlineStr">
        <is>
          <t>Module 5 · Holidays</t>
        </is>
      </c>
      <c r="C1424" s="9" t="inlineStr">
        <is>
          <t>5c</t>
        </is>
      </c>
      <c r="D1424" s="9" t="inlineStr">
        <is>
          <t>Past Continuous</t>
        </is>
      </c>
      <c r="E1424" s="23" t="inlineStr">
        <is>
          <t>Past Continuous: значение — фон и атмосфера в рассказе</t>
        </is>
      </c>
      <c r="F1424" s="25" t="inlineStr">
        <is>
          <t>повторение</t>
        </is>
      </c>
      <c r="G1424" s="9" t="inlineStr"/>
      <c r="H1424" s="25" t="inlineStr">
        <is>
          <t>10+</t>
        </is>
      </c>
      <c r="I1424" s="9">
        <f>IFERROR(INDEX('Темы × классы'!$R:$R,MATCH(E1424,'Темы × классы'!$E:$E,0)),"")</f>
        <v/>
      </c>
      <c r="J1424" s="9">
        <f>IFERROR(INDEX('Темы × классы'!$S:$S,MATCH(E1424,'Темы × классы'!$E:$E,0))&amp;"","")</f>
        <v/>
      </c>
      <c r="K1424" s="9" t="inlineStr">
        <is>
          <t>не начат</t>
        </is>
      </c>
      <c r="L1424" s="9" t="inlineStr">
        <is>
          <t>Spotlight / 10 класс / Module 5 · Holidays / Past Continuous / Past Continuous: значение — фон и атмосфера в рассказе</t>
        </is>
      </c>
    </row>
    <row r="1425">
      <c r="A1425" s="25" t="n">
        <v>10</v>
      </c>
      <c r="B1425" s="9" t="inlineStr">
        <is>
          <t>Module 5 · Holidays</t>
        </is>
      </c>
      <c r="C1425" s="9" t="inlineStr">
        <is>
          <t>5c</t>
        </is>
      </c>
      <c r="D1425" s="9" t="inlineStr">
        <is>
          <t>Past Simple vs Past Continuous</t>
        </is>
      </c>
      <c r="E1425" s="23" t="inlineStr">
        <is>
          <t>Past Simple vs Past Continuous: указанное время — завершённое vs в процессе</t>
        </is>
      </c>
      <c r="F1425" s="25" t="inlineStr">
        <is>
          <t>повторение</t>
        </is>
      </c>
      <c r="G1425" s="9" t="inlineStr"/>
      <c r="H1425" s="25" t="inlineStr">
        <is>
          <t>10+</t>
        </is>
      </c>
      <c r="I1425" s="9">
        <f>IFERROR(INDEX('Темы × классы'!$R:$R,MATCH(E1425,'Темы × классы'!$E:$E,0)),"")</f>
        <v/>
      </c>
      <c r="J1425" s="9">
        <f>IFERROR(INDEX('Темы × классы'!$S:$S,MATCH(E1425,'Темы × классы'!$E:$E,0))&amp;"","")</f>
        <v/>
      </c>
      <c r="K1425" s="9" t="inlineStr">
        <is>
          <t>не начат</t>
        </is>
      </c>
      <c r="L1425" s="9" t="inlineStr">
        <is>
          <t>Spotlight / 10 класс / Module 5 · Holidays / Past Simple vs Past Continuous / Past Simple vs Past Continuous: указанное время — завершённое vs в процессе</t>
        </is>
      </c>
    </row>
    <row r="1426">
      <c r="A1426" s="25" t="n">
        <v>10</v>
      </c>
      <c r="B1426" s="9" t="inlineStr">
        <is>
          <t>Module 5 · Holidays</t>
        </is>
      </c>
      <c r="C1426" s="9" t="inlineStr">
        <is>
          <t>5c</t>
        </is>
      </c>
      <c r="D1426" s="9" t="inlineStr">
        <is>
          <t>Past Simple vs Past Continuous</t>
        </is>
      </c>
      <c r="E1426" s="23" t="inlineStr">
        <is>
          <t>Past Simple vs Past Continuous: последовательные vs одновременные действия</t>
        </is>
      </c>
      <c r="F1426" s="25" t="inlineStr">
        <is>
          <t>повторение</t>
        </is>
      </c>
      <c r="G1426" s="9" t="inlineStr"/>
      <c r="H1426" s="25" t="inlineStr">
        <is>
          <t>10+</t>
        </is>
      </c>
      <c r="I1426" s="9">
        <f>IFERROR(INDEX('Темы × классы'!$R:$R,MATCH(E1426,'Темы × классы'!$E:$E,0)),"")</f>
        <v/>
      </c>
      <c r="J1426" s="9">
        <f>IFERROR(INDEX('Темы × классы'!$S:$S,MATCH(E1426,'Темы × классы'!$E:$E,0))&amp;"","")</f>
        <v/>
      </c>
      <c r="K1426" s="9" t="inlineStr">
        <is>
          <t>не начат</t>
        </is>
      </c>
      <c r="L1426" s="9" t="inlineStr">
        <is>
          <t>Spotlight / 10 класс / Module 5 · Holidays / Past Simple vs Past Continuous / Past Simple vs Past Continuous: последовательные vs одновременные действия</t>
        </is>
      </c>
    </row>
    <row r="1427">
      <c r="A1427" s="25" t="n">
        <v>10</v>
      </c>
      <c r="B1427" s="9" t="inlineStr">
        <is>
          <t>Module 5 · Holidays</t>
        </is>
      </c>
      <c r="C1427" s="9" t="inlineStr">
        <is>
          <t>5c</t>
        </is>
      </c>
      <c r="D1427" s="9" t="inlineStr">
        <is>
          <t>Past Simple vs Past Continuous</t>
        </is>
      </c>
      <c r="E1427" s="23" t="inlineStr">
        <is>
          <t>Past Simple vs Past Continuous: прерванное (PC) и прерывающее (PS) действие</t>
        </is>
      </c>
      <c r="F1427" s="25" t="inlineStr">
        <is>
          <t>повторение</t>
        </is>
      </c>
      <c r="G1427" s="9" t="inlineStr"/>
      <c r="H1427" s="25" t="inlineStr">
        <is>
          <t>10+</t>
        </is>
      </c>
      <c r="I1427" s="9">
        <f>IFERROR(INDEX('Темы × классы'!$R:$R,MATCH(E1427,'Темы × классы'!$E:$E,0)),"")</f>
        <v/>
      </c>
      <c r="J1427" s="9">
        <f>IFERROR(INDEX('Темы × классы'!$S:$S,MATCH(E1427,'Темы × классы'!$E:$E,0))&amp;"","")</f>
        <v/>
      </c>
      <c r="K1427" s="9" t="inlineStr">
        <is>
          <t>не начат</t>
        </is>
      </c>
      <c r="L1427" s="9" t="inlineStr">
        <is>
          <t>Spotlight / 10 класс / Module 5 · Holidays / Past Simple vs Past Continuous / Past Simple vs Past Continuous: прерванное (PC) и прерывающее (PS) действие</t>
        </is>
      </c>
    </row>
    <row r="1428">
      <c r="A1428" s="25" t="n">
        <v>10</v>
      </c>
      <c r="B1428" s="9" t="inlineStr">
        <is>
          <t>Module 5 · Holidays</t>
        </is>
      </c>
      <c r="C1428" s="9" t="inlineStr">
        <is>
          <t>5c</t>
        </is>
      </c>
      <c r="D1428" s="9" t="inlineStr">
        <is>
          <t>Past Perfect</t>
        </is>
      </c>
      <c r="E1428" s="23" t="inlineStr">
        <is>
          <t>Past Perfect: образование (had + V3)</t>
        </is>
      </c>
      <c r="F1428" s="25" t="inlineStr">
        <is>
          <t>повторение</t>
        </is>
      </c>
      <c r="G1428" s="9" t="inlineStr"/>
      <c r="H1428" s="25" t="inlineStr">
        <is>
          <t>10+</t>
        </is>
      </c>
      <c r="I1428" s="9">
        <f>IFERROR(INDEX('Темы × классы'!$R:$R,MATCH(E1428,'Темы × классы'!$E:$E,0)),"")</f>
        <v/>
      </c>
      <c r="J1428" s="9">
        <f>IFERROR(INDEX('Темы × классы'!$S:$S,MATCH(E1428,'Темы × классы'!$E:$E,0))&amp;"","")</f>
        <v/>
      </c>
      <c r="K1428" s="9" t="inlineStr">
        <is>
          <t>не начат</t>
        </is>
      </c>
      <c r="L1428" s="9" t="inlineStr">
        <is>
          <t>Spotlight / 10 класс / Module 5 · Holidays / Past Perfect / Past Perfect: образование (had + V3)</t>
        </is>
      </c>
    </row>
    <row r="1429">
      <c r="A1429" s="25" t="n">
        <v>10</v>
      </c>
      <c r="B1429" s="9" t="inlineStr">
        <is>
          <t>Module 5 · Holidays</t>
        </is>
      </c>
      <c r="C1429" s="9" t="inlineStr">
        <is>
          <t>5c</t>
        </is>
      </c>
      <c r="D1429" s="9" t="inlineStr">
        <is>
          <t>Past Perfect</t>
        </is>
      </c>
      <c r="E1429" s="23" t="inlineStr">
        <is>
          <t>Past Perfect: значение — действие до другого действия/момента в прошлом</t>
        </is>
      </c>
      <c r="F1429" s="27" t="inlineStr">
        <is>
          <t>расширение</t>
        </is>
      </c>
      <c r="G1429" s="9" t="inlineStr">
        <is>
          <t>добавлено «до момента в прошлом»</t>
        </is>
      </c>
      <c r="H1429" s="25" t="inlineStr">
        <is>
          <t>10+</t>
        </is>
      </c>
      <c r="I1429" s="9">
        <f>IFERROR(INDEX('Темы × классы'!$R:$R,MATCH(E1429,'Темы × классы'!$E:$E,0)),"")</f>
        <v/>
      </c>
      <c r="J1429" s="9">
        <f>IFERROR(INDEX('Темы × классы'!$S:$S,MATCH(E1429,'Темы × классы'!$E:$E,0))&amp;"","")</f>
        <v/>
      </c>
      <c r="K1429" s="9" t="inlineStr">
        <is>
          <t>не начат</t>
        </is>
      </c>
      <c r="L1429" s="9" t="inlineStr">
        <is>
          <t>Spotlight / 10 класс / Module 5 · Holidays / Past Perfect / Past Perfect: значение — действие до другого действия/момента в прошлом</t>
        </is>
      </c>
    </row>
    <row r="1430">
      <c r="A1430" s="25" t="n">
        <v>10</v>
      </c>
      <c r="B1430" s="9" t="inlineStr">
        <is>
          <t>Module 5 · Holidays</t>
        </is>
      </c>
      <c r="C1430" s="9" t="inlineStr">
        <is>
          <t>5c</t>
        </is>
      </c>
      <c r="D1430" s="9" t="inlineStr">
        <is>
          <t>Past Perfect</t>
        </is>
      </c>
      <c r="E1430" s="23" t="inlineStr">
        <is>
          <t>Past Perfect: значение — завершённое действие с результатом в прошлом</t>
        </is>
      </c>
      <c r="F1430" s="25" t="inlineStr">
        <is>
          <t>повторение</t>
        </is>
      </c>
      <c r="G1430" s="9" t="inlineStr">
        <is>
          <t>прошедший эквивалент Present Perfect</t>
        </is>
      </c>
      <c r="H1430" s="25" t="inlineStr">
        <is>
          <t>10+</t>
        </is>
      </c>
      <c r="I1430" s="9">
        <f>IFERROR(INDEX('Темы × классы'!$R:$R,MATCH(E1430,'Темы × классы'!$E:$E,0)),"")</f>
        <v/>
      </c>
      <c r="J1430" s="9">
        <f>IFERROR(INDEX('Темы × классы'!$S:$S,MATCH(E1430,'Темы × классы'!$E:$E,0))&amp;"","")</f>
        <v/>
      </c>
      <c r="K1430" s="9" t="inlineStr">
        <is>
          <t>не начат</t>
        </is>
      </c>
      <c r="L1430" s="9" t="inlineStr">
        <is>
          <t>Spotlight / 10 класс / Module 5 · Holidays / Past Perfect / Past Perfect: значение — завершённое действие с результатом в прошлом</t>
        </is>
      </c>
    </row>
    <row r="1431">
      <c r="A1431" s="25" t="n">
        <v>10</v>
      </c>
      <c r="B1431" s="9" t="inlineStr">
        <is>
          <t>Module 5 · Holidays</t>
        </is>
      </c>
      <c r="C1431" s="9" t="inlineStr">
        <is>
          <t>5c</t>
        </is>
      </c>
      <c r="D1431" s="9" t="inlineStr">
        <is>
          <t>Past Perfect</t>
        </is>
      </c>
      <c r="E1431" s="23" t="inlineStr">
        <is>
          <t>Past Perfect vs Past Simple: с before/after без разницы</t>
        </is>
      </c>
      <c r="F1431" s="26" t="inlineStr">
        <is>
          <t>новое</t>
        </is>
      </c>
      <c r="G1431" s="9" t="inlineStr">
        <is>
          <t>с before/after возможен Past Simple без разницы</t>
        </is>
      </c>
      <c r="H1431" s="25" t="inlineStr">
        <is>
          <t>10+</t>
        </is>
      </c>
      <c r="I1431" s="9">
        <f>IFERROR(INDEX('Темы × классы'!$R:$R,MATCH(E1431,'Темы × классы'!$E:$E,0)),"")</f>
        <v/>
      </c>
      <c r="J1431" s="9">
        <f>IFERROR(INDEX('Темы × классы'!$S:$S,MATCH(E1431,'Темы × классы'!$E:$E,0))&amp;"","")</f>
        <v/>
      </c>
      <c r="K1431" s="9" t="inlineStr">
        <is>
          <t>не начат</t>
        </is>
      </c>
      <c r="L1431" s="9" t="inlineStr">
        <is>
          <t>Spotlight / 10 класс / Module 5 · Holidays / Past Perfect / Past Perfect vs Past Simple: с before/after без разницы</t>
        </is>
      </c>
    </row>
    <row r="1432">
      <c r="A1432" s="25" t="n">
        <v>10</v>
      </c>
      <c r="B1432" s="9" t="inlineStr">
        <is>
          <t>Module 5 · Holidays</t>
        </is>
      </c>
      <c r="C1432" s="9" t="inlineStr">
        <is>
          <t>5c</t>
        </is>
      </c>
      <c r="D1432" s="9" t="inlineStr">
        <is>
          <t>Past Perfect Continuous</t>
        </is>
      </c>
      <c r="E1432" s="23" t="inlineStr">
        <is>
          <t>Past Perfect Continuous: образование (had been + V-ing)</t>
        </is>
      </c>
      <c r="F1432" s="25" t="inlineStr">
        <is>
          <t>повторение</t>
        </is>
      </c>
      <c r="G1432" s="9" t="inlineStr"/>
      <c r="H1432" s="25" t="inlineStr">
        <is>
          <t>10+</t>
        </is>
      </c>
      <c r="I1432" s="9">
        <f>IFERROR(INDEX('Темы × классы'!$R:$R,MATCH(E1432,'Темы × классы'!$E:$E,0)),"")</f>
        <v/>
      </c>
      <c r="J1432" s="9">
        <f>IFERROR(INDEX('Темы × классы'!$S:$S,MATCH(E1432,'Темы × классы'!$E:$E,0))&amp;"","")</f>
        <v/>
      </c>
      <c r="K1432" s="9" t="inlineStr">
        <is>
          <t>не начат</t>
        </is>
      </c>
      <c r="L1432" s="9" t="inlineStr">
        <is>
          <t>Spotlight / 10 класс / Module 5 · Holidays / Past Perfect Continuous / Past Perfect Continuous: образование (had been + V-ing)</t>
        </is>
      </c>
    </row>
    <row r="1433">
      <c r="A1433" s="25" t="n">
        <v>10</v>
      </c>
      <c r="B1433" s="9" t="inlineStr">
        <is>
          <t>Module 5 · Holidays</t>
        </is>
      </c>
      <c r="C1433" s="9" t="inlineStr">
        <is>
          <t>5c</t>
        </is>
      </c>
      <c r="D1433" s="9" t="inlineStr">
        <is>
          <t>Past Perfect Continuous</t>
        </is>
      </c>
      <c r="E1433" s="23" t="inlineStr">
        <is>
          <t>Past Perfect Continuous: значение — длительность до другого прошлого действия</t>
        </is>
      </c>
      <c r="F1433" s="25" t="inlineStr">
        <is>
          <t>повторение</t>
        </is>
      </c>
      <c r="G1433" s="9" t="inlineStr">
        <is>
          <t>since/for, до другого действия или момента</t>
        </is>
      </c>
      <c r="H1433" s="25" t="inlineStr">
        <is>
          <t>10+</t>
        </is>
      </c>
      <c r="I1433" s="9">
        <f>IFERROR(INDEX('Темы × классы'!$R:$R,MATCH(E1433,'Темы × классы'!$E:$E,0)),"")</f>
        <v/>
      </c>
      <c r="J1433" s="9">
        <f>IFERROR(INDEX('Темы × классы'!$S:$S,MATCH(E1433,'Темы × классы'!$E:$E,0))&amp;"","")</f>
        <v/>
      </c>
      <c r="K1433" s="9" t="inlineStr">
        <is>
          <t>не начат</t>
        </is>
      </c>
      <c r="L1433" s="9" t="inlineStr">
        <is>
          <t>Spotlight / 10 класс / Module 5 · Holidays / Past Perfect Continuous / Past Perfect Continuous: значение — длительность до другого прошлого действия</t>
        </is>
      </c>
    </row>
    <row r="1434">
      <c r="A1434" s="25" t="n">
        <v>10</v>
      </c>
      <c r="B1434" s="9" t="inlineStr">
        <is>
          <t>Module 5 · Holidays</t>
        </is>
      </c>
      <c r="C1434" s="9" t="inlineStr">
        <is>
          <t>5c</t>
        </is>
      </c>
      <c r="D1434" s="9" t="inlineStr">
        <is>
          <t>Past Perfect Continuous</t>
        </is>
      </c>
      <c r="E1434" s="23" t="inlineStr">
        <is>
          <t>Past Perfect Continuous: значение — длительное действие с видимым результатом в прошлом</t>
        </is>
      </c>
      <c r="F1434" s="25" t="inlineStr">
        <is>
          <t>повторение</t>
        </is>
      </c>
      <c r="G1434" s="9" t="inlineStr"/>
      <c r="H1434" s="25" t="inlineStr">
        <is>
          <t>10+</t>
        </is>
      </c>
      <c r="I1434" s="9">
        <f>IFERROR(INDEX('Темы × классы'!$R:$R,MATCH(E1434,'Темы × классы'!$E:$E,0)),"")</f>
        <v/>
      </c>
      <c r="J1434" s="9">
        <f>IFERROR(INDEX('Темы × классы'!$S:$S,MATCH(E1434,'Темы × классы'!$E:$E,0))&amp;"","")</f>
        <v/>
      </c>
      <c r="K1434" s="9" t="inlineStr">
        <is>
          <t>не начат</t>
        </is>
      </c>
      <c r="L1434" s="9" t="inlineStr">
        <is>
          <t>Spotlight / 10 класс / Module 5 · Holidays / Past Perfect Continuous / Past Perfect Continuous: значение — длительное действие с видимым результатом в прошлом</t>
        </is>
      </c>
    </row>
    <row r="1435">
      <c r="A1435" s="25" t="n">
        <v>10</v>
      </c>
      <c r="B1435" s="9" t="inlineStr">
        <is>
          <t>Module 5 · Holidays</t>
        </is>
      </c>
      <c r="C1435" s="9" t="inlineStr">
        <is>
          <t>5c</t>
        </is>
      </c>
      <c r="D1435" s="9" t="inlineStr">
        <is>
          <t>much/many/a lot of</t>
        </is>
      </c>
      <c r="E1435" s="23" t="inlineStr">
        <is>
          <t>much/many/a lot of: a lot of / lots of — в утверждениях (исчисляемые и неисчисляемые)</t>
        </is>
      </c>
      <c r="F1435" s="25" t="inlineStr">
        <is>
          <t>повторение</t>
        </is>
      </c>
      <c r="G1435" s="9" t="inlineStr"/>
      <c r="H1435" s="25" t="inlineStr">
        <is>
          <t>10+</t>
        </is>
      </c>
      <c r="I1435" s="9">
        <f>IFERROR(INDEX('Темы × классы'!$R:$R,MATCH(E1435,'Темы × классы'!$E:$E,0)),"")</f>
        <v/>
      </c>
      <c r="J1435" s="9">
        <f>IFERROR(INDEX('Темы × классы'!$S:$S,MATCH(E1435,'Темы × классы'!$E:$E,0))&amp;"","")</f>
        <v/>
      </c>
      <c r="K1435" s="9" t="inlineStr">
        <is>
          <t>не начат</t>
        </is>
      </c>
      <c r="L1435" s="9" t="inlineStr">
        <is>
          <t>Spotlight / 10 класс / Module 5 · Holidays / much/many/a lot of / much/many/a lot of: a lot of / lots of — в утверждениях (исчисляемые и неисчисляемые)</t>
        </is>
      </c>
    </row>
    <row r="1436">
      <c r="A1436" s="25" t="n">
        <v>10</v>
      </c>
      <c r="B1436" s="9" t="inlineStr">
        <is>
          <t>Module 5 · Holidays</t>
        </is>
      </c>
      <c r="C1436" s="9" t="inlineStr">
        <is>
          <t>5c</t>
        </is>
      </c>
      <c r="D1436" s="9" t="inlineStr">
        <is>
          <t>much/many/a lot of</t>
        </is>
      </c>
      <c r="E1436" s="23" t="inlineStr">
        <is>
          <t>much/many/a lot of: much/many — отрицание</t>
        </is>
      </c>
      <c r="F1436" s="25" t="inlineStr">
        <is>
          <t>повторение</t>
        </is>
      </c>
      <c r="G1436" s="9" t="inlineStr"/>
      <c r="H1436" s="25" t="inlineStr">
        <is>
          <t>10+</t>
        </is>
      </c>
      <c r="I1436" s="9">
        <f>IFERROR(INDEX('Темы × классы'!$R:$R,MATCH(E1436,'Темы × классы'!$E:$E,0)),"")</f>
        <v/>
      </c>
      <c r="J1436" s="9">
        <f>IFERROR(INDEX('Темы × классы'!$S:$S,MATCH(E1436,'Темы × классы'!$E:$E,0))&amp;"","")</f>
        <v/>
      </c>
      <c r="K1436" s="9" t="inlineStr">
        <is>
          <t>не начат</t>
        </is>
      </c>
      <c r="L1436" s="9" t="inlineStr">
        <is>
          <t>Spotlight / 10 класс / Module 5 · Holidays / much/many/a lot of / much/many/a lot of: much/many — отрицание</t>
        </is>
      </c>
    </row>
    <row r="1437">
      <c r="A1437" s="25" t="n">
        <v>10</v>
      </c>
      <c r="B1437" s="9" t="inlineStr">
        <is>
          <t>Module 5 · Holidays</t>
        </is>
      </c>
      <c r="C1437" s="9" t="inlineStr">
        <is>
          <t>5c</t>
        </is>
      </c>
      <c r="D1437" s="9" t="inlineStr">
        <is>
          <t>much/many/a lot of</t>
        </is>
      </c>
      <c r="E1437" s="23" t="inlineStr">
        <is>
          <t>much/many/a lot of: much/many — вопросы</t>
        </is>
      </c>
      <c r="F1437" s="25" t="inlineStr">
        <is>
          <t>повторение</t>
        </is>
      </c>
      <c r="G1437" s="9" t="inlineStr"/>
      <c r="H1437" s="25" t="inlineStr">
        <is>
          <t>10+</t>
        </is>
      </c>
      <c r="I1437" s="9">
        <f>IFERROR(INDEX('Темы × классы'!$R:$R,MATCH(E1437,'Темы × классы'!$E:$E,0)),"")</f>
        <v/>
      </c>
      <c r="J1437" s="9">
        <f>IFERROR(INDEX('Темы × классы'!$S:$S,MATCH(E1437,'Темы × классы'!$E:$E,0))&amp;"","")</f>
        <v/>
      </c>
      <c r="K1437" s="9" t="inlineStr">
        <is>
          <t>не начат</t>
        </is>
      </c>
      <c r="L1437" s="9" t="inlineStr">
        <is>
          <t>Spotlight / 10 класс / Module 5 · Holidays / much/many/a lot of / much/many/a lot of: much/many — вопросы</t>
        </is>
      </c>
    </row>
    <row r="1438">
      <c r="A1438" s="25" t="n">
        <v>10</v>
      </c>
      <c r="B1438" s="9" t="inlineStr">
        <is>
          <t>Module 5 · Holidays</t>
        </is>
      </c>
      <c r="C1438" s="9" t="inlineStr">
        <is>
          <t>5c</t>
        </is>
      </c>
      <c r="D1438" s="9" t="inlineStr">
        <is>
          <t>much/many/a lot of</t>
        </is>
      </c>
      <c r="E1438" s="23" t="inlineStr">
        <is>
          <t>much/many/a lot of: краткие ответы и a lot / lots без существительного</t>
        </is>
      </c>
      <c r="F1438" s="25" t="inlineStr">
        <is>
          <t>повторение</t>
        </is>
      </c>
      <c r="G1438" s="9" t="inlineStr">
        <is>
          <t>There's lots going on</t>
        </is>
      </c>
      <c r="H1438" s="25" t="inlineStr">
        <is>
          <t>10+</t>
        </is>
      </c>
      <c r="I1438" s="9">
        <f>IFERROR(INDEX('Темы × классы'!$R:$R,MATCH(E1438,'Темы × классы'!$E:$E,0)),"")</f>
        <v/>
      </c>
      <c r="J1438" s="9">
        <f>IFERROR(INDEX('Темы × классы'!$S:$S,MATCH(E1438,'Темы × классы'!$E:$E,0))&amp;"","")</f>
        <v/>
      </c>
      <c r="K1438" s="9" t="inlineStr">
        <is>
          <t>не начат</t>
        </is>
      </c>
      <c r="L1438" s="9" t="inlineStr">
        <is>
          <t>Spotlight / 10 класс / Module 5 · Holidays / much/many/a lot of / much/many/a lot of: краткие ответы и a lot / lots без существительного</t>
        </is>
      </c>
    </row>
    <row r="1439">
      <c r="A1439" s="25" t="n">
        <v>10</v>
      </c>
      <c r="B1439" s="9" t="inlineStr">
        <is>
          <t>Module 5 · Holidays</t>
        </is>
      </c>
      <c r="C1439" s="9" t="inlineStr">
        <is>
          <t>5c</t>
        </is>
      </c>
      <c r="D1439" s="9" t="inlineStr">
        <is>
          <t>Articles (a/an/the/zero)</t>
        </is>
      </c>
      <c r="E1439" s="23" t="inlineStr">
        <is>
          <t>Articles: a/an — первое упоминание, значение «один»</t>
        </is>
      </c>
      <c r="F1439" s="25" t="inlineStr">
        <is>
          <t>повторение</t>
        </is>
      </c>
      <c r="G1439" s="9" t="inlineStr"/>
      <c r="H1439" s="25" t="inlineStr">
        <is>
          <t>10+</t>
        </is>
      </c>
      <c r="I1439" s="9">
        <f>IFERROR(INDEX('Темы × классы'!$R:$R,MATCH(E1439,'Темы × классы'!$E:$E,0)),"")</f>
        <v/>
      </c>
      <c r="J1439" s="9">
        <f>IFERROR(INDEX('Темы × классы'!$S:$S,MATCH(E1439,'Темы × классы'!$E:$E,0))&amp;"","")</f>
        <v/>
      </c>
      <c r="K1439" s="9" t="inlineStr">
        <is>
          <t>не начат</t>
        </is>
      </c>
      <c r="L1439" s="9" t="inlineStr">
        <is>
          <t>Spotlight / 10 класс / Module 5 · Holidays / Articles (a/an/the/zero) / Articles: a/an — первое упоминание, значение «один»</t>
        </is>
      </c>
    </row>
    <row r="1440">
      <c r="A1440" s="25" t="n">
        <v>10</v>
      </c>
      <c r="B1440" s="9" t="inlineStr">
        <is>
          <t>Module 5 · Holidays</t>
        </is>
      </c>
      <c r="C1440" s="9" t="inlineStr">
        <is>
          <t>5c</t>
        </is>
      </c>
      <c r="D1440" s="9" t="inlineStr">
        <is>
          <t>Articles (a/an/the/zero)</t>
        </is>
      </c>
      <c r="E1440" s="23" t="inlineStr">
        <is>
          <t>Articles: the — известный, упомянутый ранее предмет</t>
        </is>
      </c>
      <c r="F1440" s="25" t="inlineStr">
        <is>
          <t>повторение</t>
        </is>
      </c>
      <c r="G1440" s="9" t="inlineStr"/>
      <c r="H1440" s="25" t="inlineStr">
        <is>
          <t>10+</t>
        </is>
      </c>
      <c r="I1440" s="9">
        <f>IFERROR(INDEX('Темы × классы'!$R:$R,MATCH(E1440,'Темы × классы'!$E:$E,0)),"")</f>
        <v/>
      </c>
      <c r="J1440" s="9">
        <f>IFERROR(INDEX('Темы × классы'!$S:$S,MATCH(E1440,'Темы × классы'!$E:$E,0))&amp;"","")</f>
        <v/>
      </c>
      <c r="K1440" s="9" t="inlineStr">
        <is>
          <t>не начат</t>
        </is>
      </c>
      <c r="L1440" s="9" t="inlineStr">
        <is>
          <t>Spotlight / 10 класс / Module 5 · Holidays / Articles (a/an/the/zero) / Articles: the — известный, упомянутый ранее предмет</t>
        </is>
      </c>
    </row>
    <row r="1441">
      <c r="A1441" s="25" t="n">
        <v>10</v>
      </c>
      <c r="B1441" s="9" t="inlineStr">
        <is>
          <t>Module 5 · Holidays</t>
        </is>
      </c>
      <c r="C1441" s="9" t="inlineStr">
        <is>
          <t>5c</t>
        </is>
      </c>
      <c r="D1441" s="9" t="inlineStr">
        <is>
          <t>Articles (a/an/the/zero)</t>
        </is>
      </c>
      <c r="E1441" s="23" t="inlineStr">
        <is>
          <t>Articles: нулевой артикль — мн. ч. и неисчисляемые в общем значении</t>
        </is>
      </c>
      <c r="F1441" s="25" t="inlineStr">
        <is>
          <t>повторение</t>
        </is>
      </c>
      <c r="G1441" s="9" t="inlineStr">
        <is>
          <t>не the + мн. ч.</t>
        </is>
      </c>
      <c r="H1441" s="25" t="inlineStr">
        <is>
          <t>10+</t>
        </is>
      </c>
      <c r="I1441" s="9">
        <f>IFERROR(INDEX('Темы × классы'!$R:$R,MATCH(E1441,'Темы × классы'!$E:$E,0)),"")</f>
        <v/>
      </c>
      <c r="J1441" s="9">
        <f>IFERROR(INDEX('Темы × классы'!$S:$S,MATCH(E1441,'Темы × классы'!$E:$E,0))&amp;"","")</f>
        <v/>
      </c>
      <c r="K1441" s="9" t="inlineStr">
        <is>
          <t>не начат</t>
        </is>
      </c>
      <c r="L1441" s="9" t="inlineStr">
        <is>
          <t>Spotlight / 10 класс / Module 5 · Holidays / Articles (a/an/the/zero) / Articles: нулевой артикль — мн. ч. и неисчисляемые в общем значении</t>
        </is>
      </c>
    </row>
    <row r="1442">
      <c r="A1442" s="25" t="n">
        <v>10</v>
      </c>
      <c r="B1442" s="9" t="inlineStr">
        <is>
          <t>Module 5 · Holidays</t>
        </is>
      </c>
      <c r="C1442" s="9" t="inlineStr">
        <is>
          <t>5c</t>
        </is>
      </c>
      <c r="D1442" s="9" t="inlineStr">
        <is>
          <t>Articles (a/an/the/zero)</t>
        </is>
      </c>
      <c r="E1442" s="23" t="inlineStr">
        <is>
          <t>Articles: a/an = per; деньги, дроби, меры, частота, скорость</t>
        </is>
      </c>
      <c r="F1442" s="25" t="inlineStr">
        <is>
          <t>повторение</t>
        </is>
      </c>
      <c r="G1442" s="9" t="inlineStr">
        <is>
          <t>+ a million, £4 a litre</t>
        </is>
      </c>
      <c r="H1442" s="25" t="inlineStr">
        <is>
          <t>10+</t>
        </is>
      </c>
      <c r="I1442" s="9">
        <f>IFERROR(INDEX('Темы × классы'!$R:$R,MATCH(E1442,'Темы × классы'!$E:$E,0)),"")</f>
        <v/>
      </c>
      <c r="J1442" s="9">
        <f>IFERROR(INDEX('Темы × классы'!$S:$S,MATCH(E1442,'Темы × классы'!$E:$E,0))&amp;"","")</f>
        <v/>
      </c>
      <c r="K1442" s="9" t="inlineStr">
        <is>
          <t>не начат</t>
        </is>
      </c>
      <c r="L1442" s="9" t="inlineStr">
        <is>
          <t>Spotlight / 10 класс / Module 5 · Holidays / Articles (a/an/the/zero) / Articles: a/an = per; деньги, дроби, меры, частота, скорость</t>
        </is>
      </c>
    </row>
    <row r="1443">
      <c r="A1443" s="25" t="n">
        <v>10</v>
      </c>
      <c r="B1443" s="9" t="inlineStr">
        <is>
          <t>Module 5 · Holidays</t>
        </is>
      </c>
      <c r="C1443" s="9" t="inlineStr">
        <is>
          <t>5c</t>
        </is>
      </c>
      <c r="D1443" s="9" t="inlineStr">
        <is>
          <t>Articles (a/an/the/zero)</t>
        </is>
      </c>
      <c r="E1443" s="23" t="inlineStr">
        <is>
          <t>Articles: a/an с болезнями (a cold, но flu)</t>
        </is>
      </c>
      <c r="F1443" s="25" t="inlineStr">
        <is>
          <t>повторение</t>
        </is>
      </c>
      <c r="G1443" s="9" t="inlineStr"/>
      <c r="H1443" s="25" t="inlineStr">
        <is>
          <t>10+</t>
        </is>
      </c>
      <c r="I1443" s="9">
        <f>IFERROR(INDEX('Темы × классы'!$R:$R,MATCH(E1443,'Темы × классы'!$E:$E,0)),"")</f>
        <v/>
      </c>
      <c r="J1443" s="9">
        <f>IFERROR(INDEX('Темы × классы'!$S:$S,MATCH(E1443,'Темы × классы'!$E:$E,0))&amp;"","")</f>
        <v/>
      </c>
      <c r="K1443" s="9" t="inlineStr">
        <is>
          <t>не начат</t>
        </is>
      </c>
      <c r="L1443" s="9" t="inlineStr">
        <is>
          <t>Spotlight / 10 класс / Module 5 · Holidays / Articles (a/an/the/zero) / Articles: a/an с болезнями (a cold, но flu)</t>
        </is>
      </c>
    </row>
    <row r="1444">
      <c r="A1444" s="25" t="n">
        <v>10</v>
      </c>
      <c r="B1444" s="9" t="inlineStr">
        <is>
          <t>Module 5 · Holidays</t>
        </is>
      </c>
      <c r="C1444" s="9" t="inlineStr">
        <is>
          <t>5c</t>
        </is>
      </c>
      <c r="D1444" s="9" t="inlineStr">
        <is>
          <t>Articles (a/an/the/zero)</t>
        </is>
      </c>
      <c r="E1444" s="23" t="inlineStr">
        <is>
          <t>Articles: a/the + ед. ч. — обобщение группы</t>
        </is>
      </c>
      <c r="F1444" s="26" t="inlineStr">
        <is>
          <t>новое</t>
        </is>
      </c>
      <c r="G1444" s="9" t="inlineStr"/>
      <c r="H1444" s="25" t="inlineStr">
        <is>
          <t>10+</t>
        </is>
      </c>
      <c r="I1444" s="9">
        <f>IFERROR(INDEX('Темы × классы'!$R:$R,MATCH(E1444,'Темы × классы'!$E:$E,0)),"")</f>
        <v/>
      </c>
      <c r="J1444" s="9">
        <f>IFERROR(INDEX('Темы × классы'!$S:$S,MATCH(E1444,'Темы × классы'!$E:$E,0))&amp;"","")</f>
        <v/>
      </c>
      <c r="K1444" s="9" t="inlineStr">
        <is>
          <t>не начат</t>
        </is>
      </c>
      <c r="L1444" s="9" t="inlineStr">
        <is>
          <t>Spotlight / 10 класс / Module 5 · Holidays / Articles (a/an/the/zero) / Articles: a/the + ед. ч. — обобщение группы</t>
        </is>
      </c>
    </row>
    <row r="1445">
      <c r="A1445" s="25" t="n">
        <v>10</v>
      </c>
      <c r="B1445" s="9" t="inlineStr">
        <is>
          <t>Module 5 · Holidays</t>
        </is>
      </c>
      <c r="C1445" s="9" t="inlineStr">
        <is>
          <t>5c</t>
        </is>
      </c>
      <c r="D1445" s="9" t="inlineStr">
        <is>
          <t>Articles (a/an/the/zero)</t>
        </is>
      </c>
      <c r="E1445" s="23" t="inlineStr">
        <is>
          <t>Articles: the — уникальные объекты, музыкальные инструменты, исторические события</t>
        </is>
      </c>
      <c r="F1445" s="25" t="inlineStr">
        <is>
          <t>повторение</t>
        </is>
      </c>
      <c r="G1445" s="9" t="inlineStr">
        <is>
          <t>the moon, play the flute</t>
        </is>
      </c>
      <c r="H1445" s="25" t="inlineStr">
        <is>
          <t>10+</t>
        </is>
      </c>
      <c r="I1445" s="9">
        <f>IFERROR(INDEX('Темы × классы'!$R:$R,MATCH(E1445,'Темы × классы'!$E:$E,0)),"")</f>
        <v/>
      </c>
      <c r="J1445" s="9">
        <f>IFERROR(INDEX('Темы × классы'!$S:$S,MATCH(E1445,'Темы × классы'!$E:$E,0))&amp;"","")</f>
        <v/>
      </c>
      <c r="K1445" s="9" t="inlineStr">
        <is>
          <t>не начат</t>
        </is>
      </c>
      <c r="L1445" s="9" t="inlineStr">
        <is>
          <t>Spotlight / 10 класс / Module 5 · Holidays / Articles (a/an/the/zero) / Articles: the — уникальные объекты, музыкальные инструменты, исторические события</t>
        </is>
      </c>
    </row>
    <row r="1446">
      <c r="A1446" s="25" t="n">
        <v>10</v>
      </c>
      <c r="B1446" s="9" t="inlineStr">
        <is>
          <t>Module 5 · Holidays</t>
        </is>
      </c>
      <c r="C1446" s="9" t="inlineStr">
        <is>
          <t>5c</t>
        </is>
      </c>
      <c r="D1446" s="9" t="inlineStr">
        <is>
          <t>Articles (a/an/the/zero)</t>
        </is>
      </c>
      <c r="E1446" s="23" t="inlineStr">
        <is>
          <t>Articles: the и нулевой — географические названия</t>
        </is>
      </c>
      <c r="F1446" s="25" t="inlineStr">
        <is>
          <t>повторение</t>
        </is>
      </c>
      <c r="G1446" s="9" t="inlineStr"/>
      <c r="H1446" s="25" t="inlineStr">
        <is>
          <t>10+</t>
        </is>
      </c>
      <c r="I1446" s="9">
        <f>IFERROR(INDEX('Темы × классы'!$R:$R,MATCH(E1446,'Темы × классы'!$E:$E,0)),"")</f>
        <v/>
      </c>
      <c r="J1446" s="9">
        <f>IFERROR(INDEX('Темы × классы'!$S:$S,MATCH(E1446,'Темы × классы'!$E:$E,0))&amp;"","")</f>
        <v/>
      </c>
      <c r="K1446" s="9" t="inlineStr">
        <is>
          <t>не начат</t>
        </is>
      </c>
      <c r="L1446" s="9" t="inlineStr">
        <is>
          <t>Spotlight / 10 класс / Module 5 · Holidays / Articles (a/an/the/zero) / Articles: the и нулевой — географические названия</t>
        </is>
      </c>
    </row>
    <row r="1447">
      <c r="A1447" s="25" t="n">
        <v>10</v>
      </c>
      <c r="B1447" s="9" t="inlineStr">
        <is>
          <t>Module 5 · Holidays</t>
        </is>
      </c>
      <c r="C1447" s="9" t="inlineStr">
        <is>
          <t>5c</t>
        </is>
      </c>
      <c r="D1447" s="9" t="inlineStr">
        <is>
          <t>Articles (a/an/the/zero)</t>
        </is>
      </c>
      <c r="E1447" s="23" t="inlineStr">
        <is>
          <t>Articles: the и нулевой — театры, отели, музеи, газеты; названия с именем (Victoria Station, Harrods)</t>
        </is>
      </c>
      <c r="F1447" s="25" t="inlineStr">
        <is>
          <t>повторение</t>
        </is>
      </c>
      <c r="G1447" s="9" t="inlineStr">
        <is>
          <t>Glasgow Airport, Harrods, но the White House</t>
        </is>
      </c>
      <c r="H1447" s="25" t="inlineStr">
        <is>
          <t>10+</t>
        </is>
      </c>
      <c r="I1447" s="9">
        <f>IFERROR(INDEX('Темы × классы'!$R:$R,MATCH(E1447,'Темы × классы'!$E:$E,0)),"")</f>
        <v/>
      </c>
      <c r="J1447" s="9">
        <f>IFERROR(INDEX('Темы × классы'!$S:$S,MATCH(E1447,'Темы × классы'!$E:$E,0))&amp;"","")</f>
        <v/>
      </c>
      <c r="K1447" s="9" t="inlineStr">
        <is>
          <t>не начат</t>
        </is>
      </c>
      <c r="L1447" s="9" t="inlineStr">
        <is>
          <t>Spotlight / 10 класс / Module 5 · Holidays / Articles (a/an/the/zero) / Articles: the и нулевой — театры, отели, музеи, газеты; названия с именем (Victoria Station, Harrods)</t>
        </is>
      </c>
    </row>
    <row r="1448">
      <c r="A1448" s="25" t="n">
        <v>10</v>
      </c>
      <c r="B1448" s="9" t="inlineStr">
        <is>
          <t>Module 5 · Holidays</t>
        </is>
      </c>
      <c r="C1448" s="9" t="inlineStr">
        <is>
          <t>5c</t>
        </is>
      </c>
      <c r="D1448" s="9" t="inlineStr">
        <is>
          <t>Articles (a/an/the/zero)</t>
        </is>
      </c>
      <c r="E1448" s="23" t="inlineStr">
        <is>
          <t>Articles: the — люди: фамилии, титулы, the + прилагательное (the rich)</t>
        </is>
      </c>
      <c r="F1448" s="25" t="inlineStr">
        <is>
          <t>повторение</t>
        </is>
      </c>
      <c r="G1448" s="9" t="inlineStr">
        <is>
          <t>the Smiths, the elderly</t>
        </is>
      </c>
      <c r="H1448" s="25" t="inlineStr">
        <is>
          <t>10+</t>
        </is>
      </c>
      <c r="I1448" s="9">
        <f>IFERROR(INDEX('Темы × классы'!$R:$R,MATCH(E1448,'Темы × классы'!$E:$E,0)),"")</f>
        <v/>
      </c>
      <c r="J1448" s="9">
        <f>IFERROR(INDEX('Темы × классы'!$S:$S,MATCH(E1448,'Темы × классы'!$E:$E,0))&amp;"","")</f>
        <v/>
      </c>
      <c r="K1448" s="9" t="inlineStr">
        <is>
          <t>не начат</t>
        </is>
      </c>
      <c r="L1448" s="9" t="inlineStr">
        <is>
          <t>Spotlight / 10 класс / Module 5 · Holidays / Articles (a/an/the/zero) / Articles: the — люди: фамилии, титулы, the + прилагательное (the rich)</t>
        </is>
      </c>
    </row>
    <row r="1449">
      <c r="A1449" s="25" t="n">
        <v>10</v>
      </c>
      <c r="B1449" s="9" t="inlineStr">
        <is>
          <t>Module 5 · Holidays</t>
        </is>
      </c>
      <c r="C1449" s="9" t="inlineStr">
        <is>
          <t>5c</t>
        </is>
      </c>
      <c r="D1449" s="9" t="inlineStr">
        <is>
          <t>Articles (a/an/the/zero)</t>
        </is>
      </c>
      <c r="E1449" s="23" t="inlineStr">
        <is>
          <t>Articles: нулевой артикль — имена, спорт, дни, месяцы, праздники, цвета, напитки, еда, языки</t>
        </is>
      </c>
      <c r="F1449" s="25" t="inlineStr">
        <is>
          <t>повторение</t>
        </is>
      </c>
      <c r="G1449" s="9" t="inlineStr"/>
      <c r="H1449" s="25" t="inlineStr">
        <is>
          <t>10+</t>
        </is>
      </c>
      <c r="I1449" s="9">
        <f>IFERROR(INDEX('Темы × классы'!$R:$R,MATCH(E1449,'Темы × классы'!$E:$E,0)),"")</f>
        <v/>
      </c>
      <c r="J1449" s="9">
        <f>IFERROR(INDEX('Темы × классы'!$S:$S,MATCH(E1449,'Темы × классы'!$E:$E,0))&amp;"","")</f>
        <v/>
      </c>
      <c r="K1449" s="9" t="inlineStr">
        <is>
          <t>не начат</t>
        </is>
      </c>
      <c r="L1449" s="9" t="inlineStr">
        <is>
          <t>Spotlight / 10 класс / Module 5 · Holidays / Articles (a/an/the/zero) / Articles: нулевой артикль — имена, спорт, дни, месяцы, праздники, цвета, напитки, еда, языки</t>
        </is>
      </c>
    </row>
    <row r="1450">
      <c r="A1450" s="25" t="n">
        <v>10</v>
      </c>
      <c r="B1450" s="9" t="inlineStr">
        <is>
          <t>Module 5 · Holidays</t>
        </is>
      </c>
      <c r="C1450" s="9" t="inlineStr">
        <is>
          <t>5c</t>
        </is>
      </c>
      <c r="D1450" s="9" t="inlineStr">
        <is>
          <t>Articles (a/an/the/zero)</t>
        </is>
      </c>
      <c r="E1450" s="23" t="inlineStr">
        <is>
          <t>Articles: нулевой артикль — school, hospital, church, bed по назначению</t>
        </is>
      </c>
      <c r="F1450" s="25" t="inlineStr">
        <is>
          <t>повторение</t>
        </is>
      </c>
      <c r="G1450" s="9" t="inlineStr"/>
      <c r="H1450" s="25" t="inlineStr">
        <is>
          <t>10+</t>
        </is>
      </c>
      <c r="I1450" s="9">
        <f>IFERROR(INDEX('Темы × классы'!$R:$R,MATCH(E1450,'Темы × классы'!$E:$E,0)),"")</f>
        <v/>
      </c>
      <c r="J1450" s="9">
        <f>IFERROR(INDEX('Темы × классы'!$S:$S,MATCH(E1450,'Темы × классы'!$E:$E,0))&amp;"","")</f>
        <v/>
      </c>
      <c r="K1450" s="9" t="inlineStr">
        <is>
          <t>не начат</t>
        </is>
      </c>
      <c r="L1450" s="9" t="inlineStr">
        <is>
          <t>Spotlight / 10 класс / Module 5 · Holidays / Articles (a/an/the/zero) / Articles: нулевой артикль — school, hospital, church, bed по назначению</t>
        </is>
      </c>
    </row>
    <row r="1451">
      <c r="A1451" s="25" t="n">
        <v>10</v>
      </c>
      <c r="B1451" s="9" t="inlineStr">
        <is>
          <t>Module 5 · Holidays</t>
        </is>
      </c>
      <c r="C1451" s="9" t="inlineStr">
        <is>
          <t>5c</t>
        </is>
      </c>
      <c r="D1451" s="9" t="inlineStr">
        <is>
          <t>a few/a little</t>
        </is>
      </c>
      <c r="E1451" s="23" t="inlineStr">
        <is>
          <t>a few/a little: a few — с исчисляемыми мн. ч. («несколько»)</t>
        </is>
      </c>
      <c r="F1451" s="25" t="inlineStr">
        <is>
          <t>повторение</t>
        </is>
      </c>
      <c r="G1451" s="9" t="inlineStr"/>
      <c r="H1451" s="25" t="inlineStr">
        <is>
          <t>10+</t>
        </is>
      </c>
      <c r="I1451" s="9">
        <f>IFERROR(INDEX('Темы × классы'!$R:$R,MATCH(E1451,'Темы × классы'!$E:$E,0)),"")</f>
        <v/>
      </c>
      <c r="J1451" s="9">
        <f>IFERROR(INDEX('Темы × классы'!$S:$S,MATCH(E1451,'Темы × классы'!$E:$E,0))&amp;"","")</f>
        <v/>
      </c>
      <c r="K1451" s="9" t="inlineStr">
        <is>
          <t>не начат</t>
        </is>
      </c>
      <c r="L1451" s="9" t="inlineStr">
        <is>
          <t>Spotlight / 10 класс / Module 5 · Holidays / a few/a little / a few/a little: a few — с исчисляемыми мн. ч. («несколько»)</t>
        </is>
      </c>
    </row>
    <row r="1452">
      <c r="A1452" s="25" t="n">
        <v>10</v>
      </c>
      <c r="B1452" s="9" t="inlineStr">
        <is>
          <t>Module 5 · Holidays</t>
        </is>
      </c>
      <c r="C1452" s="9" t="inlineStr">
        <is>
          <t>5c</t>
        </is>
      </c>
      <c r="D1452" s="9" t="inlineStr">
        <is>
          <t>a few/a little</t>
        </is>
      </c>
      <c r="E1452" s="23" t="inlineStr">
        <is>
          <t>a few/a little: a little — с неисчисляемыми («немного»)</t>
        </is>
      </c>
      <c r="F1452" s="25" t="inlineStr">
        <is>
          <t>повторение</t>
        </is>
      </c>
      <c r="G1452" s="9" t="inlineStr"/>
      <c r="H1452" s="25" t="inlineStr">
        <is>
          <t>10+</t>
        </is>
      </c>
      <c r="I1452" s="9">
        <f>IFERROR(INDEX('Темы × классы'!$R:$R,MATCH(E1452,'Темы × классы'!$E:$E,0)),"")</f>
        <v/>
      </c>
      <c r="J1452" s="9">
        <f>IFERROR(INDEX('Темы × классы'!$S:$S,MATCH(E1452,'Темы × классы'!$E:$E,0))&amp;"","")</f>
        <v/>
      </c>
      <c r="K1452" s="9" t="inlineStr">
        <is>
          <t>не начат</t>
        </is>
      </c>
      <c r="L1452" s="9" t="inlineStr">
        <is>
          <t>Spotlight / 10 класс / Module 5 · Holidays / a few/a little / a few/a little: a little — с неисчисляемыми («немного»)</t>
        </is>
      </c>
    </row>
    <row r="1453">
      <c r="A1453" s="25" t="n">
        <v>10</v>
      </c>
      <c r="B1453" s="9" t="inlineStr">
        <is>
          <t>Module 5 · Holidays</t>
        </is>
      </c>
      <c r="C1453" s="9" t="inlineStr">
        <is>
          <t>5c</t>
        </is>
      </c>
      <c r="D1453" s="9" t="inlineStr">
        <is>
          <t>a few/a little</t>
        </is>
      </c>
      <c r="E1453" s="23" t="inlineStr">
        <is>
          <t>a few/a little: few / little — «мало»</t>
        </is>
      </c>
      <c r="F1453" s="25" t="inlineStr">
        <is>
          <t>повторение</t>
        </is>
      </c>
      <c r="G1453" s="9" t="inlineStr"/>
      <c r="H1453" s="25" t="inlineStr">
        <is>
          <t>10+</t>
        </is>
      </c>
      <c r="I1453" s="9">
        <f>IFERROR(INDEX('Темы × классы'!$R:$R,MATCH(E1453,'Темы × классы'!$E:$E,0)),"")</f>
        <v/>
      </c>
      <c r="J1453" s="9">
        <f>IFERROR(INDEX('Темы × классы'!$S:$S,MATCH(E1453,'Темы × классы'!$E:$E,0))&amp;"","")</f>
        <v/>
      </c>
      <c r="K1453" s="9" t="inlineStr">
        <is>
          <t>не начат</t>
        </is>
      </c>
      <c r="L1453" s="9" t="inlineStr">
        <is>
          <t>Spotlight / 10 класс / Module 5 · Holidays / a few/a little / a few/a little: few / little — «мало»</t>
        </is>
      </c>
    </row>
    <row r="1454">
      <c r="A1454" s="25" t="n">
        <v>10</v>
      </c>
      <c r="B1454" s="9" t="inlineStr">
        <is>
          <t>Module 5 · Holidays</t>
        </is>
      </c>
      <c r="C1454" s="9" t="inlineStr">
        <is>
          <t>5c</t>
        </is>
      </c>
      <c r="D1454" s="9" t="inlineStr">
        <is>
          <t>a few/a little</t>
        </is>
      </c>
      <c r="E1454" s="23" t="inlineStr">
        <is>
          <t>a few/a little: a few vs few, a little vs little — «немного, но достаточно» vs «почти нет»</t>
        </is>
      </c>
      <c r="F1454" s="25" t="inlineStr">
        <is>
          <t>повторение</t>
        </is>
      </c>
      <c r="G1454" s="9" t="inlineStr"/>
      <c r="H1454" s="25" t="inlineStr">
        <is>
          <t>10+</t>
        </is>
      </c>
      <c r="I1454" s="9">
        <f>IFERROR(INDEX('Темы × классы'!$R:$R,MATCH(E1454,'Темы × классы'!$E:$E,0)),"")</f>
        <v/>
      </c>
      <c r="J1454" s="9">
        <f>IFERROR(INDEX('Темы × классы'!$S:$S,MATCH(E1454,'Темы × классы'!$E:$E,0))&amp;"","")</f>
        <v/>
      </c>
      <c r="K1454" s="9" t="inlineStr">
        <is>
          <t>не начат</t>
        </is>
      </c>
      <c r="L1454" s="9" t="inlineStr">
        <is>
          <t>Spotlight / 10 класс / Module 5 · Holidays / a few/a little / a few/a little: a few vs few, a little vs little — «немного, но достаточно» vs «почти нет»</t>
        </is>
      </c>
    </row>
    <row r="1455">
      <c r="A1455" s="25" t="n">
        <v>10</v>
      </c>
      <c r="B1455" s="9" t="inlineStr">
        <is>
          <t>Module 5 · Holidays</t>
        </is>
      </c>
      <c r="C1455" s="9" t="inlineStr">
        <is>
          <t>5c</t>
        </is>
      </c>
      <c r="D1455" s="9" t="inlineStr">
        <is>
          <t>a few/a little</t>
        </is>
      </c>
      <c r="E1455" s="23" t="inlineStr">
        <is>
          <t>a few/a little: very few / very little</t>
        </is>
      </c>
      <c r="F1455" s="25" t="inlineStr">
        <is>
          <t>повторение</t>
        </is>
      </c>
      <c r="G1455" s="9" t="inlineStr"/>
      <c r="H1455" s="25" t="inlineStr">
        <is>
          <t>10+</t>
        </is>
      </c>
      <c r="I1455" s="9">
        <f>IFERROR(INDEX('Темы × классы'!$R:$R,MATCH(E1455,'Темы × классы'!$E:$E,0)),"")</f>
        <v/>
      </c>
      <c r="J1455" s="9">
        <f>IFERROR(INDEX('Темы × классы'!$S:$S,MATCH(E1455,'Темы × классы'!$E:$E,0))&amp;"","")</f>
        <v/>
      </c>
      <c r="K1455" s="9" t="inlineStr">
        <is>
          <t>не начат</t>
        </is>
      </c>
      <c r="L1455" s="9" t="inlineStr">
        <is>
          <t>Spotlight / 10 класс / Module 5 · Holidays / a few/a little / a few/a little: very few / very little</t>
        </is>
      </c>
    </row>
    <row r="1456">
      <c r="A1456" s="25" t="n">
        <v>10</v>
      </c>
      <c r="B1456" s="9" t="inlineStr">
        <is>
          <t>Module 5 · Holidays</t>
        </is>
      </c>
      <c r="C1456" s="9" t="inlineStr">
        <is>
          <t>5c</t>
        </is>
      </c>
      <c r="D1456" s="9" t="inlineStr">
        <is>
          <t>Determiners (every/each)</t>
        </is>
      </c>
      <c r="E1456" s="23" t="inlineStr">
        <is>
          <t>Determiners (every/each): every + ед. ч. — вся группа (= all)</t>
        </is>
      </c>
      <c r="F1456" s="25" t="inlineStr">
        <is>
          <t>повторение</t>
        </is>
      </c>
      <c r="G1456" s="9" t="inlineStr"/>
      <c r="H1456" s="25" t="inlineStr">
        <is>
          <t>10+</t>
        </is>
      </c>
      <c r="I1456" s="9">
        <f>IFERROR(INDEX('Темы × классы'!$R:$R,MATCH(E1456,'Темы × классы'!$E:$E,0)),"")</f>
        <v/>
      </c>
      <c r="J1456" s="9">
        <f>IFERROR(INDEX('Темы × классы'!$S:$S,MATCH(E1456,'Темы × классы'!$E:$E,0))&amp;"","")</f>
        <v/>
      </c>
      <c r="K1456" s="9" t="inlineStr">
        <is>
          <t>не начат</t>
        </is>
      </c>
      <c r="L1456" s="9" t="inlineStr">
        <is>
          <t>Spotlight / 10 класс / Module 5 · Holidays / Determiners (every/each) / Determiners (every/each): every + ед. ч. — вся группа (= all)</t>
        </is>
      </c>
    </row>
    <row r="1457">
      <c r="A1457" s="25" t="n">
        <v>10</v>
      </c>
      <c r="B1457" s="9" t="inlineStr">
        <is>
          <t>Module 5 · Holidays</t>
        </is>
      </c>
      <c r="C1457" s="9" t="inlineStr">
        <is>
          <t>5c</t>
        </is>
      </c>
      <c r="D1457" s="9" t="inlineStr">
        <is>
          <t>Determiners (every/each)</t>
        </is>
      </c>
      <c r="E1457" s="23" t="inlineStr">
        <is>
          <t>Determiners (every/each): each + ед. ч. — каждый в отдельности</t>
        </is>
      </c>
      <c r="F1457" s="25" t="inlineStr">
        <is>
          <t>повторение</t>
        </is>
      </c>
      <c r="G1457" s="9" t="inlineStr"/>
      <c r="H1457" s="25" t="inlineStr">
        <is>
          <t>10+</t>
        </is>
      </c>
      <c r="I1457" s="9">
        <f>IFERROR(INDEX('Темы × классы'!$R:$R,MATCH(E1457,'Темы × классы'!$E:$E,0)),"")</f>
        <v/>
      </c>
      <c r="J1457" s="9">
        <f>IFERROR(INDEX('Темы × классы'!$S:$S,MATCH(E1457,'Темы × классы'!$E:$E,0))&amp;"","")</f>
        <v/>
      </c>
      <c r="K1457" s="9" t="inlineStr">
        <is>
          <t>не начат</t>
        </is>
      </c>
      <c r="L1457" s="9" t="inlineStr">
        <is>
          <t>Spotlight / 10 класс / Module 5 · Holidays / Determiners (every/each) / Determiners (every/each): each + ед. ч. — каждый в отдельности</t>
        </is>
      </c>
    </row>
    <row r="1458">
      <c r="A1458" s="25" t="n">
        <v>10</v>
      </c>
      <c r="B1458" s="9" t="inlineStr">
        <is>
          <t>Module 5 · Holidays</t>
        </is>
      </c>
      <c r="C1458" s="9" t="inlineStr">
        <is>
          <t>5c</t>
        </is>
      </c>
      <c r="D1458" s="9" t="inlineStr">
        <is>
          <t>Determiners (every/each)</t>
        </is>
      </c>
      <c r="E1458" s="23" t="inlineStr">
        <is>
          <t>Determiners (every/each): every vs each — о двух vs о трёх и более</t>
        </is>
      </c>
      <c r="F1458" s="25" t="inlineStr">
        <is>
          <t>повторение</t>
        </is>
      </c>
      <c r="G1458" s="9" t="inlineStr"/>
      <c r="H1458" s="25" t="inlineStr">
        <is>
          <t>10+</t>
        </is>
      </c>
      <c r="I1458" s="9">
        <f>IFERROR(INDEX('Темы × классы'!$R:$R,MATCH(E1458,'Темы × классы'!$E:$E,0)),"")</f>
        <v/>
      </c>
      <c r="J1458" s="9">
        <f>IFERROR(INDEX('Темы × классы'!$S:$S,MATCH(E1458,'Темы × классы'!$E:$E,0))&amp;"","")</f>
        <v/>
      </c>
      <c r="K1458" s="9" t="inlineStr">
        <is>
          <t>не начат</t>
        </is>
      </c>
      <c r="L1458" s="9" t="inlineStr">
        <is>
          <t>Spotlight / 10 класс / Module 5 · Holidays / Determiners (every/each) / Determiners (every/each): every vs each — о двух vs о трёх и более</t>
        </is>
      </c>
    </row>
    <row r="1459">
      <c r="A1459" s="25" t="n">
        <v>10</v>
      </c>
      <c r="B1459" s="9" t="inlineStr">
        <is>
          <t>Module 5 · Holidays</t>
        </is>
      </c>
      <c r="C1459" s="9" t="inlineStr">
        <is>
          <t>5c</t>
        </is>
      </c>
      <c r="D1459" s="9" t="inlineStr">
        <is>
          <t>Determiners (every/each)</t>
        </is>
      </c>
      <c r="E1459" s="23" t="inlineStr">
        <is>
          <t>Determiners (every/each): each (one) of / every one of</t>
        </is>
      </c>
      <c r="F1459" s="25" t="inlineStr">
        <is>
          <t>повторение</t>
        </is>
      </c>
      <c r="G1459" s="9" t="inlineStr"/>
      <c r="H1459" s="25" t="inlineStr">
        <is>
          <t>10+</t>
        </is>
      </c>
      <c r="I1459" s="9">
        <f>IFERROR(INDEX('Темы × классы'!$R:$R,MATCH(E1459,'Темы × классы'!$E:$E,0)),"")</f>
        <v/>
      </c>
      <c r="J1459" s="9">
        <f>IFERROR(INDEX('Темы × классы'!$S:$S,MATCH(E1459,'Темы × классы'!$E:$E,0))&amp;"","")</f>
        <v/>
      </c>
      <c r="K1459" s="9" t="inlineStr">
        <is>
          <t>не начат</t>
        </is>
      </c>
      <c r="L1459" s="9" t="inlineStr">
        <is>
          <t>Spotlight / 10 класс / Module 5 · Holidays / Determiners (every/each) / Determiners (every/each): each (one) of / every one of</t>
        </is>
      </c>
    </row>
    <row r="1460">
      <c r="A1460" s="25" t="n">
        <v>10</v>
      </c>
      <c r="B1460" s="9" t="inlineStr">
        <is>
          <t>Module 5 · Holidays</t>
        </is>
      </c>
      <c r="C1460" s="9" t="inlineStr">
        <is>
          <t>5c</t>
        </is>
      </c>
      <c r="D1460" s="9" t="inlineStr">
        <is>
          <t>Indefinite pronouns (some-/any-/no-/every-)</t>
        </is>
      </c>
      <c r="E1460" s="23" t="inlineStr">
        <is>
          <t>Indefinite pronouns: some/any/no + неисчисляемые и мн. ч.</t>
        </is>
      </c>
      <c r="F1460" s="25" t="inlineStr">
        <is>
          <t>повторение</t>
        </is>
      </c>
      <c r="G1460" s="9" t="inlineStr"/>
      <c r="H1460" s="25" t="inlineStr">
        <is>
          <t>10+</t>
        </is>
      </c>
      <c r="I1460" s="9">
        <f>IFERROR(INDEX('Темы × классы'!$R:$R,MATCH(E1460,'Темы × классы'!$E:$E,0)),"")</f>
        <v/>
      </c>
      <c r="J1460" s="9">
        <f>IFERROR(INDEX('Темы × классы'!$S:$S,MATCH(E1460,'Темы × классы'!$E:$E,0))&amp;"","")</f>
        <v/>
      </c>
      <c r="K1460" s="9" t="inlineStr">
        <is>
          <t>не начат</t>
        </is>
      </c>
      <c r="L1460" s="9" t="inlineStr">
        <is>
          <t>Spotlight / 10 класс / Module 5 · Holidays / Indefinite pronouns (some-/any-/no-/every-) / Indefinite pronouns: some/any/no + неисчисляемые и мн. ч.</t>
        </is>
      </c>
    </row>
    <row r="1461">
      <c r="A1461" s="25" t="n">
        <v>10</v>
      </c>
      <c r="B1461" s="9" t="inlineStr">
        <is>
          <t>Module 5 · Holidays</t>
        </is>
      </c>
      <c r="C1461" s="9" t="inlineStr">
        <is>
          <t>5c</t>
        </is>
      </c>
      <c r="D1461" s="9" t="inlineStr">
        <is>
          <t>Indefinite pronouns (some-/any-/no-/every-)</t>
        </is>
      </c>
      <c r="E1461" s="23" t="inlineStr">
        <is>
          <t>Indefinite pronouns: производные — люди, вещи, места (somebody, anything, nowhere)</t>
        </is>
      </c>
      <c r="F1461" s="25" t="inlineStr">
        <is>
          <t>повторение</t>
        </is>
      </c>
      <c r="G1461" s="9" t="inlineStr">
        <is>
          <t>производные упомянуты без таблицы</t>
        </is>
      </c>
      <c r="H1461" s="25" t="inlineStr">
        <is>
          <t>10+</t>
        </is>
      </c>
      <c r="I1461" s="9">
        <f>IFERROR(INDEX('Темы × классы'!$R:$R,MATCH(E1461,'Темы × классы'!$E:$E,0)),"")</f>
        <v/>
      </c>
      <c r="J1461" s="9">
        <f>IFERROR(INDEX('Темы × классы'!$S:$S,MATCH(E1461,'Темы × классы'!$E:$E,0))&amp;"","")</f>
        <v/>
      </c>
      <c r="K1461" s="9" t="inlineStr">
        <is>
          <t>не начат</t>
        </is>
      </c>
      <c r="L1461" s="9" t="inlineStr">
        <is>
          <t>Spotlight / 10 класс / Module 5 · Holidays / Indefinite pronouns (some-/any-/no-/every-) / Indefinite pronouns: производные — люди, вещи, места (somebody, anything, nowhere)</t>
        </is>
      </c>
    </row>
    <row r="1462">
      <c r="A1462" s="25" t="n">
        <v>10</v>
      </c>
      <c r="B1462" s="9" t="inlineStr">
        <is>
          <t>Module 5 · Holidays</t>
        </is>
      </c>
      <c r="C1462" s="9" t="inlineStr">
        <is>
          <t>5c</t>
        </is>
      </c>
      <c r="D1462" s="9" t="inlineStr">
        <is>
          <t>Indefinite pronouns (some-/any-/no-/every-)</t>
        </is>
      </c>
      <c r="E1462" s="23" t="inlineStr">
        <is>
          <t>Indefinite pronouns: some- — в утверждениях</t>
        </is>
      </c>
      <c r="F1462" s="25" t="inlineStr">
        <is>
          <t>повторение</t>
        </is>
      </c>
      <c r="G1462" s="9" t="inlineStr"/>
      <c r="H1462" s="25" t="inlineStr">
        <is>
          <t>10+</t>
        </is>
      </c>
      <c r="I1462" s="9">
        <f>IFERROR(INDEX('Темы × классы'!$R:$R,MATCH(E1462,'Темы × классы'!$E:$E,0)),"")</f>
        <v/>
      </c>
      <c r="J1462" s="9">
        <f>IFERROR(INDEX('Темы × классы'!$S:$S,MATCH(E1462,'Темы × классы'!$E:$E,0))&amp;"","")</f>
        <v/>
      </c>
      <c r="K1462" s="9" t="inlineStr">
        <is>
          <t>не начат</t>
        </is>
      </c>
      <c r="L1462" s="9" t="inlineStr">
        <is>
          <t>Spotlight / 10 класс / Module 5 · Holidays / Indefinite pronouns (some-/any-/no-/every-) / Indefinite pronouns: some- — в утверждениях</t>
        </is>
      </c>
    </row>
    <row r="1463">
      <c r="A1463" s="25" t="n">
        <v>10</v>
      </c>
      <c r="B1463" s="9" t="inlineStr">
        <is>
          <t>Module 5 · Holidays</t>
        </is>
      </c>
      <c r="C1463" s="9" t="inlineStr">
        <is>
          <t>5c</t>
        </is>
      </c>
      <c r="D1463" s="9" t="inlineStr">
        <is>
          <t>Indefinite pronouns (some-/any-/no-/every-)</t>
        </is>
      </c>
      <c r="E1463" s="23" t="inlineStr">
        <is>
          <t>Indefinite pronouns: some- в вопросах — предложения и просьбы</t>
        </is>
      </c>
      <c r="F1463" s="25" t="inlineStr">
        <is>
          <t>повторение</t>
        </is>
      </c>
      <c r="G1463" s="9" t="inlineStr"/>
      <c r="H1463" s="25" t="inlineStr">
        <is>
          <t>10+</t>
        </is>
      </c>
      <c r="I1463" s="9">
        <f>IFERROR(INDEX('Темы × классы'!$R:$R,MATCH(E1463,'Темы × классы'!$E:$E,0)),"")</f>
        <v/>
      </c>
      <c r="J1463" s="9">
        <f>IFERROR(INDEX('Темы × классы'!$S:$S,MATCH(E1463,'Темы × классы'!$E:$E,0))&amp;"","")</f>
        <v/>
      </c>
      <c r="K1463" s="9" t="inlineStr">
        <is>
          <t>не начат</t>
        </is>
      </c>
      <c r="L1463" s="9" t="inlineStr">
        <is>
          <t>Spotlight / 10 класс / Module 5 · Holidays / Indefinite pronouns (some-/any-/no-/every-) / Indefinite pronouns: some- в вопросах — предложения и просьбы</t>
        </is>
      </c>
    </row>
    <row r="1464">
      <c r="A1464" s="25" t="n">
        <v>10</v>
      </c>
      <c r="B1464" s="9" t="inlineStr">
        <is>
          <t>Module 5 · Holidays</t>
        </is>
      </c>
      <c r="C1464" s="9" t="inlineStr">
        <is>
          <t>5c</t>
        </is>
      </c>
      <c r="D1464" s="9" t="inlineStr">
        <is>
          <t>Indefinite pronouns (some-/any-/no-/every-)</t>
        </is>
      </c>
      <c r="E1464" s="23" t="inlineStr">
        <is>
          <t>Indefinite pronouns: any- — в вопросах</t>
        </is>
      </c>
      <c r="F1464" s="25" t="inlineStr">
        <is>
          <t>повторение</t>
        </is>
      </c>
      <c r="G1464" s="9" t="inlineStr"/>
      <c r="H1464" s="25" t="inlineStr">
        <is>
          <t>10+</t>
        </is>
      </c>
      <c r="I1464" s="9">
        <f>IFERROR(INDEX('Темы × классы'!$R:$R,MATCH(E1464,'Темы × классы'!$E:$E,0)),"")</f>
        <v/>
      </c>
      <c r="J1464" s="9">
        <f>IFERROR(INDEX('Темы × классы'!$S:$S,MATCH(E1464,'Темы × классы'!$E:$E,0))&amp;"","")</f>
        <v/>
      </c>
      <c r="K1464" s="9" t="inlineStr">
        <is>
          <t>не начат</t>
        </is>
      </c>
      <c r="L1464" s="9" t="inlineStr">
        <is>
          <t>Spotlight / 10 класс / Module 5 · Holidays / Indefinite pronouns (some-/any-/no-/every-) / Indefinite pronouns: any- — в вопросах</t>
        </is>
      </c>
    </row>
    <row r="1465">
      <c r="A1465" s="25" t="n">
        <v>10</v>
      </c>
      <c r="B1465" s="9" t="inlineStr">
        <is>
          <t>Module 5 · Holidays</t>
        </is>
      </c>
      <c r="C1465" s="9" t="inlineStr">
        <is>
          <t>5c</t>
        </is>
      </c>
      <c r="D1465" s="9" t="inlineStr">
        <is>
          <t>Indefinite pronouns (some-/any-/no-/every-)</t>
        </is>
      </c>
      <c r="E1465" s="23" t="inlineStr">
        <is>
          <t>Indefinite pronouns: not any- в отрицаниях; any после without, never, rarely</t>
        </is>
      </c>
      <c r="F1465" s="25" t="inlineStr">
        <is>
          <t>повторение</t>
        </is>
      </c>
      <c r="G1465" s="9" t="inlineStr"/>
      <c r="H1465" s="25" t="inlineStr">
        <is>
          <t>10+</t>
        </is>
      </c>
      <c r="I1465" s="9">
        <f>IFERROR(INDEX('Темы × классы'!$R:$R,MATCH(E1465,'Темы × классы'!$E:$E,0)),"")</f>
        <v/>
      </c>
      <c r="J1465" s="9">
        <f>IFERROR(INDEX('Темы × классы'!$S:$S,MATCH(E1465,'Темы × классы'!$E:$E,0))&amp;"","")</f>
        <v/>
      </c>
      <c r="K1465" s="9" t="inlineStr">
        <is>
          <t>не начат</t>
        </is>
      </c>
      <c r="L1465" s="9" t="inlineStr">
        <is>
          <t>Spotlight / 10 класс / Module 5 · Holidays / Indefinite pronouns (some-/any-/no-/every-) / Indefinite pronouns: not any- в отрицаниях; any после without, never, rarely</t>
        </is>
      </c>
    </row>
    <row r="1466">
      <c r="A1466" s="25" t="n">
        <v>10</v>
      </c>
      <c r="B1466" s="9" t="inlineStr">
        <is>
          <t>Module 5 · Holidays</t>
        </is>
      </c>
      <c r="C1466" s="9" t="inlineStr">
        <is>
          <t>5c</t>
        </is>
      </c>
      <c r="D1466" s="9" t="inlineStr">
        <is>
          <t>Indefinite pronouns (some-/any-/no-/every-)</t>
        </is>
      </c>
      <c r="E1466" s="23" t="inlineStr">
        <is>
          <t>Indefinite pronouns: any в утверждении = «любой, неважно кто/что»</t>
        </is>
      </c>
      <c r="F1466" s="25" t="inlineStr">
        <is>
          <t>повторение</t>
        </is>
      </c>
      <c r="G1466" s="9" t="inlineStr">
        <is>
          <t>Anyone can take part</t>
        </is>
      </c>
      <c r="H1466" s="25" t="inlineStr">
        <is>
          <t>10+</t>
        </is>
      </c>
      <c r="I1466" s="9">
        <f>IFERROR(INDEX('Темы × классы'!$R:$R,MATCH(E1466,'Темы × классы'!$E:$E,0)),"")</f>
        <v/>
      </c>
      <c r="J1466" s="9">
        <f>IFERROR(INDEX('Темы × классы'!$S:$S,MATCH(E1466,'Темы × классы'!$E:$E,0))&amp;"","")</f>
        <v/>
      </c>
      <c r="K1466" s="9" t="inlineStr">
        <is>
          <t>не начат</t>
        </is>
      </c>
      <c r="L1466" s="9" t="inlineStr">
        <is>
          <t>Spotlight / 10 класс / Module 5 · Holidays / Indefinite pronouns (some-/any-/no-/every-) / Indefinite pronouns: any в утверждении = «любой, неважно кто/что»</t>
        </is>
      </c>
    </row>
    <row r="1467">
      <c r="A1467" s="25" t="n">
        <v>10</v>
      </c>
      <c r="B1467" s="9" t="inlineStr">
        <is>
          <t>Module 5 · Holidays</t>
        </is>
      </c>
      <c r="C1467" s="9" t="inlineStr">
        <is>
          <t>5c</t>
        </is>
      </c>
      <c r="D1467" s="9" t="inlineStr">
        <is>
          <t>Indefinite pronouns (some-/any-/no-/every-)</t>
        </is>
      </c>
      <c r="E1467" s="23" t="inlineStr">
        <is>
          <t>Indefinite pronouns: no- вместо not any (глагол утвердительный)</t>
        </is>
      </c>
      <c r="F1467" s="27" t="inlineStr">
        <is>
          <t>расширение</t>
        </is>
      </c>
      <c r="G1467" s="9" t="inlineStr">
        <is>
          <t>примеры замен: haven't got any → 've got no; wasn't anybody → was nobody</t>
        </is>
      </c>
      <c r="H1467" s="25" t="inlineStr">
        <is>
          <t>10+</t>
        </is>
      </c>
      <c r="I1467" s="9">
        <f>IFERROR(INDEX('Темы × классы'!$R:$R,MATCH(E1467,'Темы × классы'!$E:$E,0)),"")</f>
        <v/>
      </c>
      <c r="J1467" s="9">
        <f>IFERROR(INDEX('Темы × классы'!$S:$S,MATCH(E1467,'Темы × классы'!$E:$E,0))&amp;"","")</f>
        <v/>
      </c>
      <c r="K1467" s="9" t="inlineStr">
        <is>
          <t>не начат</t>
        </is>
      </c>
      <c r="L1467" s="9" t="inlineStr">
        <is>
          <t>Spotlight / 10 класс / Module 5 · Holidays / Indefinite pronouns (some-/any-/no-/every-) / Indefinite pronouns: no- вместо not any (глагол утвердительный)</t>
        </is>
      </c>
    </row>
    <row r="1468">
      <c r="A1468" s="25" t="n">
        <v>10</v>
      </c>
      <c r="B1468" s="9" t="inlineStr">
        <is>
          <t>Module 5 · Holidays</t>
        </is>
      </c>
      <c r="C1468" s="9" t="inlineStr">
        <is>
          <t>5c</t>
        </is>
      </c>
      <c r="D1468" s="9" t="inlineStr">
        <is>
          <t>Indefinite pronouns (some-/any-/no-/every-)</t>
        </is>
      </c>
      <c r="E1468" s="23" t="inlineStr">
        <is>
          <t>Indefinite pronouns: глагол после производных — в ед. ч.</t>
        </is>
      </c>
      <c r="F1468" s="25" t="inlineStr">
        <is>
          <t>повторение</t>
        </is>
      </c>
      <c r="G1468" s="9" t="inlineStr"/>
      <c r="H1468" s="25" t="inlineStr">
        <is>
          <t>10+</t>
        </is>
      </c>
      <c r="I1468" s="9">
        <f>IFERROR(INDEX('Темы × классы'!$R:$R,MATCH(E1468,'Темы × классы'!$E:$E,0)),"")</f>
        <v/>
      </c>
      <c r="J1468" s="9">
        <f>IFERROR(INDEX('Темы × классы'!$S:$S,MATCH(E1468,'Темы × классы'!$E:$E,0))&amp;"","")</f>
        <v/>
      </c>
      <c r="K1468" s="9" t="inlineStr">
        <is>
          <t>не начат</t>
        </is>
      </c>
      <c r="L1468" s="9" t="inlineStr">
        <is>
          <t>Spotlight / 10 класс / Module 5 · Holidays / Indefinite pronouns (some-/any-/no-/every-) / Indefinite pronouns: глагол после производных — в ед. ч.</t>
        </is>
      </c>
    </row>
    <row r="1469">
      <c r="A1469" s="25" t="n">
        <v>10</v>
      </c>
      <c r="B1469" s="9" t="inlineStr">
        <is>
          <t>Module 5 · Holidays</t>
        </is>
      </c>
      <c r="C1469" s="9" t="inlineStr">
        <is>
          <t>5e</t>
        </is>
      </c>
      <c r="D1469" s="9" t="inlineStr">
        <is>
          <t>Adjectives -ed/-ing</t>
        </is>
      </c>
      <c r="E1469" s="23" t="inlineStr">
        <is>
          <t>Adjectives -ed/-ing: -ing — каков предмет/явление (amazing)</t>
        </is>
      </c>
      <c r="F1469" s="25" t="inlineStr">
        <is>
          <t>повторение</t>
        </is>
      </c>
      <c r="G1469" s="9" t="inlineStr">
        <is>
          <t>It was an exciting story</t>
        </is>
      </c>
      <c r="H1469" s="25" t="inlineStr">
        <is>
          <t>10+</t>
        </is>
      </c>
      <c r="I1469" s="9">
        <f>IFERROR(INDEX('Темы × классы'!$R:$R,MATCH(E1469,'Темы × классы'!$E:$E,0)),"")</f>
        <v/>
      </c>
      <c r="J1469" s="9">
        <f>IFERROR(INDEX('Темы × классы'!$S:$S,MATCH(E1469,'Темы × классы'!$E:$E,0))&amp;"","")</f>
        <v/>
      </c>
      <c r="K1469" s="9" t="inlineStr">
        <is>
          <t>не начат</t>
        </is>
      </c>
      <c r="L1469" s="9" t="inlineStr">
        <is>
          <t>Spotlight / 10 класс / Module 5 · Holidays / Adjectives -ed/-ing / Adjectives -ed/-ing: -ing — каков предмет/явление (amazing)</t>
        </is>
      </c>
    </row>
    <row r="1470">
      <c r="A1470" s="25" t="n">
        <v>10</v>
      </c>
      <c r="B1470" s="9" t="inlineStr">
        <is>
          <t>Module 5 · Holidays</t>
        </is>
      </c>
      <c r="C1470" s="9" t="inlineStr">
        <is>
          <t>5e</t>
        </is>
      </c>
      <c r="D1470" s="9" t="inlineStr">
        <is>
          <t>Adjectives -ed/-ing</t>
        </is>
      </c>
      <c r="E1470" s="23" t="inlineStr">
        <is>
          <t>Adjectives -ed/-ing: -ed — что чувствует человек (amazed)</t>
        </is>
      </c>
      <c r="F1470" s="25" t="inlineStr">
        <is>
          <t>повторение</t>
        </is>
      </c>
      <c r="G1470" s="9" t="inlineStr">
        <is>
          <t>We were excited by the news</t>
        </is>
      </c>
      <c r="H1470" s="25" t="inlineStr">
        <is>
          <t>10+</t>
        </is>
      </c>
      <c r="I1470" s="9">
        <f>IFERROR(INDEX('Темы × классы'!$R:$R,MATCH(E1470,'Темы × классы'!$E:$E,0)),"")</f>
        <v/>
      </c>
      <c r="J1470" s="9">
        <f>IFERROR(INDEX('Темы × классы'!$S:$S,MATCH(E1470,'Темы × классы'!$E:$E,0))&amp;"","")</f>
        <v/>
      </c>
      <c r="K1470" s="9" t="inlineStr">
        <is>
          <t>не начат</t>
        </is>
      </c>
      <c r="L1470" s="9" t="inlineStr">
        <is>
          <t>Spotlight / 10 класс / Module 5 · Holidays / Adjectives -ed/-ing / Adjectives -ed/-ing: -ed — что чувствует человек (amazed)</t>
        </is>
      </c>
    </row>
    <row r="1471">
      <c r="A1471" s="25" t="n">
        <v>10</v>
      </c>
      <c r="B1471" s="9" t="inlineStr">
        <is>
          <t>Module 5 · Holidays</t>
        </is>
      </c>
      <c r="C1471" s="9" t="inlineStr">
        <is>
          <t>5c</t>
        </is>
      </c>
      <c r="D1471" s="9" t="inlineStr">
        <is>
          <t>Phrasal verbs</t>
        </is>
      </c>
      <c r="E1471" s="23" t="inlineStr">
        <is>
          <t>Phrasal verbs: get</t>
        </is>
      </c>
      <c r="F1471" s="25" t="inlineStr">
        <is>
          <t>повторение</t>
        </is>
      </c>
      <c r="G1471" s="9" t="inlineStr">
        <is>
          <t>Фразовые глаголы с get (ToC: «phrasal verbs (get)»); состав частиц и значения в источнике не даны.</t>
        </is>
      </c>
      <c r="H1471" s="25" t="inlineStr">
        <is>
          <t>10+</t>
        </is>
      </c>
      <c r="I1471" s="9">
        <f>IFERROR(INDEX('Темы × классы'!$R:$R,MATCH(E1471,'Темы × классы'!$E:$E,0)),"")</f>
        <v/>
      </c>
      <c r="J1471" s="9">
        <f>IFERROR(INDEX('Темы × классы'!$S:$S,MATCH(E1471,'Темы × классы'!$E:$E,0))&amp;"","")</f>
        <v/>
      </c>
      <c r="K1471" s="9" t="inlineStr">
        <is>
          <t>не начат</t>
        </is>
      </c>
      <c r="L1471" s="9" t="inlineStr">
        <is>
          <t>Spotlight / 10 класс / Module 5 · Holidays / Phrasal verbs / Phrasal verbs: get</t>
        </is>
      </c>
    </row>
    <row r="1472">
      <c r="A1472" s="25" t="n">
        <v>10</v>
      </c>
      <c r="B1472" s="9" t="inlineStr">
        <is>
          <t>Module 5 · Holidays</t>
        </is>
      </c>
      <c r="C1472" s="9" t="inlineStr">
        <is>
          <t>5c</t>
        </is>
      </c>
      <c r="D1472" s="9" t="inlineStr">
        <is>
          <t>Word formation</t>
        </is>
      </c>
      <c r="E1472" s="23" t="inlineStr">
        <is>
          <t>Word formation: compound nouns</t>
        </is>
      </c>
      <c r="F1472" s="25" t="inlineStr">
        <is>
          <t>повторение</t>
        </is>
      </c>
      <c r="G1472" s="9" t="inlineStr">
        <is>
          <t>Сложные существительные (ToC: «compound nouns»).</t>
        </is>
      </c>
      <c r="H1472" s="25" t="inlineStr">
        <is>
          <t>10+</t>
        </is>
      </c>
      <c r="I1472" s="9">
        <f>IFERROR(INDEX('Темы × классы'!$R:$R,MATCH(E1472,'Темы × классы'!$E:$E,0)),"")</f>
        <v/>
      </c>
      <c r="J1472" s="9">
        <f>IFERROR(INDEX('Темы × классы'!$S:$S,MATCH(E1472,'Темы × классы'!$E:$E,0))&amp;"","")</f>
        <v/>
      </c>
      <c r="K1472" s="9" t="inlineStr">
        <is>
          <t>не начат</t>
        </is>
      </c>
      <c r="L1472" s="9" t="inlineStr">
        <is>
          <t>Spotlight / 10 класс / Module 5 · Holidays / Word formation / Word formation: compound nouns</t>
        </is>
      </c>
    </row>
    <row r="1473">
      <c r="A1473" s="25" t="n">
        <v>10</v>
      </c>
      <c r="B1473" s="9" t="inlineStr">
        <is>
          <t>Module 5 · Holidays</t>
        </is>
      </c>
      <c r="C1473" s="9" t="inlineStr">
        <is>
          <t>5c</t>
        </is>
      </c>
      <c r="D1473" s="9" t="inlineStr">
        <is>
          <t>Idioms &amp; collocations</t>
        </is>
      </c>
      <c r="E1473" s="23" t="inlineStr">
        <is>
          <t>Idioms &amp; collocations</t>
        </is>
      </c>
      <c r="F1473" s="25" t="inlineStr">
        <is>
          <t>повторение</t>
        </is>
      </c>
      <c r="G1473" s="9" t="inlineStr">
        <is>
          <t>Сочетания прилагательное + существительное (ToC: «adjective noun collocations»).</t>
        </is>
      </c>
      <c r="H1473" s="25" t="inlineStr">
        <is>
          <t>10+</t>
        </is>
      </c>
      <c r="I1473" s="9">
        <f>IFERROR(INDEX('Темы × классы'!$R:$R,MATCH(E1473,'Темы × классы'!$E:$E,0)),"")</f>
        <v/>
      </c>
      <c r="J1473" s="9">
        <f>IFERROR(INDEX('Темы × классы'!$S:$S,MATCH(E1473,'Темы × классы'!$E:$E,0))&amp;"","")</f>
        <v/>
      </c>
      <c r="K1473" s="9" t="inlineStr">
        <is>
          <t>не начат</t>
        </is>
      </c>
      <c r="L1473" s="9" t="inlineStr">
        <is>
          <t>Spotlight / 10 класс / Module 5 · Holidays / Idioms &amp; collocations / Idioms &amp; collocations</t>
        </is>
      </c>
    </row>
    <row r="1474">
      <c r="A1474" s="25" t="n">
        <v>10</v>
      </c>
      <c r="B1474" s="9" t="inlineStr">
        <is>
          <t>Module 6 · Food &amp; Health</t>
        </is>
      </c>
      <c r="C1474" s="9" t="inlineStr">
        <is>
          <t>6c</t>
        </is>
      </c>
      <c r="D1474" s="9" t="inlineStr">
        <is>
          <t>Conditionals (Type 0)</t>
        </is>
      </c>
      <c r="E1474" s="23" t="inlineStr">
        <is>
          <t>Conditionals Type 0: форма If/When + Present Simple — Present Simple</t>
        </is>
      </c>
      <c r="F1474" s="25" t="inlineStr">
        <is>
          <t>повторение</t>
        </is>
      </c>
      <c r="G1474" s="9" t="inlineStr"/>
      <c r="H1474" s="25" t="inlineStr">
        <is>
          <t>10+</t>
        </is>
      </c>
      <c r="I1474" s="9">
        <f>IFERROR(INDEX('Темы × классы'!$R:$R,MATCH(E1474,'Темы × классы'!$E:$E,0)),"")</f>
        <v/>
      </c>
      <c r="J1474" s="9">
        <f>IFERROR(INDEX('Темы × классы'!$S:$S,MATCH(E1474,'Темы × классы'!$E:$E,0))&amp;"","")</f>
        <v/>
      </c>
      <c r="K1474" s="9" t="inlineStr">
        <is>
          <t>не начат</t>
        </is>
      </c>
      <c r="L1474" s="9" t="inlineStr">
        <is>
          <t>Spotlight / 10 класс / Module 6 · Food &amp; Health / Conditionals (Type 0) / Conditionals Type 0: форма If/When + Present Simple — Present Simple</t>
        </is>
      </c>
    </row>
    <row r="1475">
      <c r="A1475" s="25" t="n">
        <v>10</v>
      </c>
      <c r="B1475" s="9" t="inlineStr">
        <is>
          <t>Module 6 · Food &amp; Health</t>
        </is>
      </c>
      <c r="C1475" s="9" t="inlineStr">
        <is>
          <t>6c</t>
        </is>
      </c>
      <c r="D1475" s="9" t="inlineStr">
        <is>
          <t>Conditionals (Type 0)</t>
        </is>
      </c>
      <c r="E1475" s="23" t="inlineStr">
        <is>
          <t>Conditionals Type 0: значение — общие истины, научные факты</t>
        </is>
      </c>
      <c r="F1475" s="25" t="inlineStr">
        <is>
          <t>повторение</t>
        </is>
      </c>
      <c r="G1475" s="9" t="inlineStr"/>
      <c r="H1475" s="25" t="inlineStr">
        <is>
          <t>10+</t>
        </is>
      </c>
      <c r="I1475" s="9">
        <f>IFERROR(INDEX('Темы × классы'!$R:$R,MATCH(E1475,'Темы × классы'!$E:$E,0)),"")</f>
        <v/>
      </c>
      <c r="J1475" s="9">
        <f>IFERROR(INDEX('Темы × классы'!$S:$S,MATCH(E1475,'Темы × классы'!$E:$E,0))&amp;"","")</f>
        <v/>
      </c>
      <c r="K1475" s="9" t="inlineStr">
        <is>
          <t>не начат</t>
        </is>
      </c>
      <c r="L1475" s="9" t="inlineStr">
        <is>
          <t>Spotlight / 10 класс / Module 6 · Food &amp; Health / Conditionals (Type 0) / Conditionals Type 0: значение — общие истины, научные факты</t>
        </is>
      </c>
    </row>
    <row r="1476">
      <c r="A1476" s="25" t="n">
        <v>10</v>
      </c>
      <c r="B1476" s="9" t="inlineStr">
        <is>
          <t>Module 6 · Food &amp; Health</t>
        </is>
      </c>
      <c r="C1476" s="9" t="inlineStr">
        <is>
          <t>6c</t>
        </is>
      </c>
      <c r="D1476" s="9" t="inlineStr">
        <is>
          <t>Conditionals (Type 0)</t>
        </is>
      </c>
      <c r="E1476" s="23" t="inlineStr">
        <is>
          <t>Conditionals Type 0: when вместо if</t>
        </is>
      </c>
      <c r="F1476" s="25" t="inlineStr">
        <is>
          <t>повторение</t>
        </is>
      </c>
      <c r="G1476" s="9" t="inlineStr"/>
      <c r="H1476" s="25" t="inlineStr">
        <is>
          <t>10+</t>
        </is>
      </c>
      <c r="I1476" s="9">
        <f>IFERROR(INDEX('Темы × классы'!$R:$R,MATCH(E1476,'Темы × классы'!$E:$E,0)),"")</f>
        <v/>
      </c>
      <c r="J1476" s="9">
        <f>IFERROR(INDEX('Темы × классы'!$S:$S,MATCH(E1476,'Темы × классы'!$E:$E,0))&amp;"","")</f>
        <v/>
      </c>
      <c r="K1476" s="9" t="inlineStr">
        <is>
          <t>не начат</t>
        </is>
      </c>
      <c r="L1476" s="9" t="inlineStr">
        <is>
          <t>Spotlight / 10 класс / Module 6 · Food &amp; Health / Conditionals (Type 0) / Conditionals Type 0: when вместо if</t>
        </is>
      </c>
    </row>
    <row r="1477">
      <c r="A1477" s="25" t="n">
        <v>10</v>
      </c>
      <c r="B1477" s="9" t="inlineStr">
        <is>
          <t>Module 6 · Food &amp; Health</t>
        </is>
      </c>
      <c r="C1477" s="9" t="inlineStr">
        <is>
          <t>6c</t>
        </is>
      </c>
      <c r="D1477" s="9" t="inlineStr">
        <is>
          <t>Conditionals (Type 1)</t>
        </is>
      </c>
      <c r="E1477" s="23" t="inlineStr">
        <is>
          <t>Conditionals Type 1: форма If + Present Simple — will + V</t>
        </is>
      </c>
      <c r="F1477" s="25" t="inlineStr">
        <is>
          <t>повторение</t>
        </is>
      </c>
      <c r="G1477" s="9" t="inlineStr"/>
      <c r="H1477" s="25" t="inlineStr">
        <is>
          <t>10+</t>
        </is>
      </c>
      <c r="I1477" s="9">
        <f>IFERROR(INDEX('Темы × классы'!$R:$R,MATCH(E1477,'Темы × классы'!$E:$E,0)),"")</f>
        <v/>
      </c>
      <c r="J1477" s="9">
        <f>IFERROR(INDEX('Темы × классы'!$S:$S,MATCH(E1477,'Темы × классы'!$E:$E,0))&amp;"","")</f>
        <v/>
      </c>
      <c r="K1477" s="9" t="inlineStr">
        <is>
          <t>не начат</t>
        </is>
      </c>
      <c r="L1477" s="9" t="inlineStr">
        <is>
          <t>Spotlight / 10 класс / Module 6 · Food &amp; Health / Conditionals (Type 1) / Conditionals Type 1: форма If + Present Simple — will + V</t>
        </is>
      </c>
    </row>
    <row r="1478">
      <c r="A1478" s="25" t="n">
        <v>10</v>
      </c>
      <c r="B1478" s="9" t="inlineStr">
        <is>
          <t>Module 6 · Food &amp; Health</t>
        </is>
      </c>
      <c r="C1478" s="9" t="inlineStr">
        <is>
          <t>6c</t>
        </is>
      </c>
      <c r="D1478" s="9" t="inlineStr">
        <is>
          <t>Conditionals (Type 1)</t>
        </is>
      </c>
      <c r="E1478" s="23" t="inlineStr">
        <is>
          <t>Conditionals Type 1: главная часть с Imperative / can, must, may</t>
        </is>
      </c>
      <c r="F1478" s="25" t="inlineStr">
        <is>
          <t>повторение</t>
        </is>
      </c>
      <c r="G1478" s="9" t="inlineStr"/>
      <c r="H1478" s="25" t="inlineStr">
        <is>
          <t>10+</t>
        </is>
      </c>
      <c r="I1478" s="9">
        <f>IFERROR(INDEX('Темы × классы'!$R:$R,MATCH(E1478,'Темы × классы'!$E:$E,0)),"")</f>
        <v/>
      </c>
      <c r="J1478" s="9">
        <f>IFERROR(INDEX('Темы × классы'!$S:$S,MATCH(E1478,'Темы × классы'!$E:$E,0))&amp;"","")</f>
        <v/>
      </c>
      <c r="K1478" s="9" t="inlineStr">
        <is>
          <t>не начат</t>
        </is>
      </c>
      <c r="L1478" s="9" t="inlineStr">
        <is>
          <t>Spotlight / 10 класс / Module 6 · Food &amp; Health / Conditionals (Type 1) / Conditionals Type 1: главная часть с Imperative / can, must, may</t>
        </is>
      </c>
    </row>
    <row r="1479">
      <c r="A1479" s="25" t="n">
        <v>10</v>
      </c>
      <c r="B1479" s="9" t="inlineStr">
        <is>
          <t>Module 6 · Food &amp; Health</t>
        </is>
      </c>
      <c r="C1479" s="9" t="inlineStr">
        <is>
          <t>6c</t>
        </is>
      </c>
      <c r="D1479" s="9" t="inlineStr">
        <is>
          <t>Conditionals (Type 1)</t>
        </is>
      </c>
      <c r="E1479" s="23" t="inlineStr">
        <is>
          <t>Conditionals Type 1: значение — реальная/вероятная ситуация в настоящем/будущем</t>
        </is>
      </c>
      <c r="F1479" s="25" t="inlineStr">
        <is>
          <t>повторение</t>
        </is>
      </c>
      <c r="G1479" s="9" t="inlineStr"/>
      <c r="H1479" s="25" t="inlineStr">
        <is>
          <t>10+</t>
        </is>
      </c>
      <c r="I1479" s="9">
        <f>IFERROR(INDEX('Темы × классы'!$R:$R,MATCH(E1479,'Темы × классы'!$E:$E,0)),"")</f>
        <v/>
      </c>
      <c r="J1479" s="9">
        <f>IFERROR(INDEX('Темы × классы'!$S:$S,MATCH(E1479,'Темы × классы'!$E:$E,0))&amp;"","")</f>
        <v/>
      </c>
      <c r="K1479" s="9" t="inlineStr">
        <is>
          <t>не начат</t>
        </is>
      </c>
      <c r="L1479" s="9" t="inlineStr">
        <is>
          <t>Spotlight / 10 класс / Module 6 · Food &amp; Health / Conditionals (Type 1) / Conditionals Type 1: значение — реальная/вероятная ситуация в настоящем/будущем</t>
        </is>
      </c>
    </row>
    <row r="1480">
      <c r="A1480" s="25" t="n">
        <v>10</v>
      </c>
      <c r="B1480" s="9" t="inlineStr">
        <is>
          <t>Module 6 · Food &amp; Health</t>
        </is>
      </c>
      <c r="C1480" s="9" t="inlineStr">
        <is>
          <t>6c</t>
        </is>
      </c>
      <c r="D1480" s="9" t="inlineStr">
        <is>
          <t>Conditionals (Type 1)</t>
        </is>
      </c>
      <c r="E1480" s="23" t="inlineStr">
        <is>
          <t>Conditionals Type 1: запятая, если if-часть впереди</t>
        </is>
      </c>
      <c r="F1480" s="25" t="inlineStr">
        <is>
          <t>повторение</t>
        </is>
      </c>
      <c r="G1480" s="9" t="inlineStr"/>
      <c r="H1480" s="25" t="inlineStr">
        <is>
          <t>10+</t>
        </is>
      </c>
      <c r="I1480" s="9">
        <f>IFERROR(INDEX('Темы × классы'!$R:$R,MATCH(E1480,'Темы × классы'!$E:$E,0)),"")</f>
        <v/>
      </c>
      <c r="J1480" s="9">
        <f>IFERROR(INDEX('Темы × классы'!$S:$S,MATCH(E1480,'Темы × классы'!$E:$E,0))&amp;"","")</f>
        <v/>
      </c>
      <c r="K1480" s="9" t="inlineStr">
        <is>
          <t>не начат</t>
        </is>
      </c>
      <c r="L1480" s="9" t="inlineStr">
        <is>
          <t>Spotlight / 10 класс / Module 6 · Food &amp; Health / Conditionals (Type 1) / Conditionals Type 1: запятая, если if-часть впереди</t>
        </is>
      </c>
    </row>
    <row r="1481">
      <c r="A1481" s="25" t="n">
        <v>10</v>
      </c>
      <c r="B1481" s="9" t="inlineStr">
        <is>
          <t>Module 6 · Food &amp; Health</t>
        </is>
      </c>
      <c r="C1481" s="9" t="inlineStr">
        <is>
          <t>6c</t>
        </is>
      </c>
      <c r="D1481" s="9" t="inlineStr">
        <is>
          <t>Conditionals (Type 1)</t>
        </is>
      </c>
      <c r="E1481" s="23" t="inlineStr">
        <is>
          <t>Conditionals Type 1: unless = if not</t>
        </is>
      </c>
      <c r="F1481" s="25" t="inlineStr">
        <is>
          <t>повторение</t>
        </is>
      </c>
      <c r="G1481" s="9" t="inlineStr"/>
      <c r="H1481" s="25" t="inlineStr">
        <is>
          <t>10+</t>
        </is>
      </c>
      <c r="I1481" s="9">
        <f>IFERROR(INDEX('Темы × классы'!$R:$R,MATCH(E1481,'Темы × классы'!$E:$E,0)),"")</f>
        <v/>
      </c>
      <c r="J1481" s="9">
        <f>IFERROR(INDEX('Темы × классы'!$S:$S,MATCH(E1481,'Темы × классы'!$E:$E,0))&amp;"","")</f>
        <v/>
      </c>
      <c r="K1481" s="9" t="inlineStr">
        <is>
          <t>не начат</t>
        </is>
      </c>
      <c r="L1481" s="9" t="inlineStr">
        <is>
          <t>Spotlight / 10 класс / Module 6 · Food &amp; Health / Conditionals (Type 1) / Conditionals Type 1: unless = if not</t>
        </is>
      </c>
    </row>
    <row r="1482">
      <c r="A1482" s="25" t="n">
        <v>10</v>
      </c>
      <c r="B1482" s="9" t="inlineStr">
        <is>
          <t>Module 6 · Food &amp; Health</t>
        </is>
      </c>
      <c r="C1482" s="9" t="inlineStr">
        <is>
          <t>6c</t>
        </is>
      </c>
      <c r="D1482" s="9" t="inlineStr">
        <is>
          <t>Conditionals (Type 2)</t>
        </is>
      </c>
      <c r="E1482" s="23" t="inlineStr">
        <is>
          <t>Conditionals Type 2: форма If + Past Simple — would/could/might + V</t>
        </is>
      </c>
      <c r="F1482" s="25" t="inlineStr">
        <is>
          <t>повторение</t>
        </is>
      </c>
      <c r="G1482" s="9" t="inlineStr"/>
      <c r="H1482" s="25" t="inlineStr">
        <is>
          <t>10+</t>
        </is>
      </c>
      <c r="I1482" s="9">
        <f>IFERROR(INDEX('Темы × классы'!$R:$R,MATCH(E1482,'Темы × классы'!$E:$E,0)),"")</f>
        <v/>
      </c>
      <c r="J1482" s="9">
        <f>IFERROR(INDEX('Темы × классы'!$S:$S,MATCH(E1482,'Темы × классы'!$E:$E,0))&amp;"","")</f>
        <v/>
      </c>
      <c r="K1482" s="9" t="inlineStr">
        <is>
          <t>не начат</t>
        </is>
      </c>
      <c r="L1482" s="9" t="inlineStr">
        <is>
          <t>Spotlight / 10 класс / Module 6 · Food &amp; Health / Conditionals (Type 2) / Conditionals Type 2: форма If + Past Simple — would/could/might + V</t>
        </is>
      </c>
    </row>
    <row r="1483">
      <c r="A1483" s="25" t="n">
        <v>10</v>
      </c>
      <c r="B1483" s="9" t="inlineStr">
        <is>
          <t>Module 6 · Food &amp; Health</t>
        </is>
      </c>
      <c r="C1483" s="9" t="inlineStr">
        <is>
          <t>6c</t>
        </is>
      </c>
      <c r="D1483" s="9" t="inlineStr">
        <is>
          <t>Conditionals (Type 2)</t>
        </is>
      </c>
      <c r="E1483" s="23" t="inlineStr">
        <is>
          <t>Conditionals Type 2: If + Past Continuous</t>
        </is>
      </c>
      <c r="F1483" s="25" t="inlineStr">
        <is>
          <t>повторение</t>
        </is>
      </c>
      <c r="G1483" s="9" t="inlineStr"/>
      <c r="H1483" s="25" t="inlineStr">
        <is>
          <t>10+</t>
        </is>
      </c>
      <c r="I1483" s="9">
        <f>IFERROR(INDEX('Темы × классы'!$R:$R,MATCH(E1483,'Темы × классы'!$E:$E,0)),"")</f>
        <v/>
      </c>
      <c r="J1483" s="9">
        <f>IFERROR(INDEX('Темы × классы'!$S:$S,MATCH(E1483,'Темы × классы'!$E:$E,0))&amp;"","")</f>
        <v/>
      </c>
      <c r="K1483" s="9" t="inlineStr">
        <is>
          <t>не начат</t>
        </is>
      </c>
      <c r="L1483" s="9" t="inlineStr">
        <is>
          <t>Spotlight / 10 класс / Module 6 · Food &amp; Health / Conditionals (Type 2) / Conditionals Type 2: If + Past Continuous</t>
        </is>
      </c>
    </row>
    <row r="1484">
      <c r="A1484" s="25" t="n">
        <v>10</v>
      </c>
      <c r="B1484" s="9" t="inlineStr">
        <is>
          <t>Module 6 · Food &amp; Health</t>
        </is>
      </c>
      <c r="C1484" s="9" t="inlineStr">
        <is>
          <t>6c</t>
        </is>
      </c>
      <c r="D1484" s="9" t="inlineStr">
        <is>
          <t>Conditionals (Type 2)</t>
        </is>
      </c>
      <c r="E1484" s="23" t="inlineStr">
        <is>
          <t>Conditionals Type 2: значение — воображаемая/маловероятная ситуация в настоящем/будущем</t>
        </is>
      </c>
      <c r="F1484" s="25" t="inlineStr">
        <is>
          <t>повторение</t>
        </is>
      </c>
      <c r="G1484" s="9" t="inlineStr"/>
      <c r="H1484" s="25" t="inlineStr">
        <is>
          <t>10+</t>
        </is>
      </c>
      <c r="I1484" s="9">
        <f>IFERROR(INDEX('Темы × классы'!$R:$R,MATCH(E1484,'Темы × классы'!$E:$E,0)),"")</f>
        <v/>
      </c>
      <c r="J1484" s="9">
        <f>IFERROR(INDEX('Темы × классы'!$S:$S,MATCH(E1484,'Темы × классы'!$E:$E,0))&amp;"","")</f>
        <v/>
      </c>
      <c r="K1484" s="9" t="inlineStr">
        <is>
          <t>не начат</t>
        </is>
      </c>
      <c r="L1484" s="9" t="inlineStr">
        <is>
          <t>Spotlight / 10 класс / Module 6 · Food &amp; Health / Conditionals (Type 2) / Conditionals Type 2: значение — воображаемая/маловероятная ситуация в настоящем/будущем</t>
        </is>
      </c>
    </row>
    <row r="1485">
      <c r="A1485" s="25" t="n">
        <v>10</v>
      </c>
      <c r="B1485" s="9" t="inlineStr">
        <is>
          <t>Module 6 · Food &amp; Health</t>
        </is>
      </c>
      <c r="C1485" s="9" t="inlineStr">
        <is>
          <t>6c</t>
        </is>
      </c>
      <c r="D1485" s="9" t="inlineStr">
        <is>
          <t>Conditionals (Type 2)</t>
        </is>
      </c>
      <c r="E1485" s="23" t="inlineStr">
        <is>
          <t>Conditionals Type 2: were/was для I, he, she, it</t>
        </is>
      </c>
      <c r="F1485" s="25" t="inlineStr">
        <is>
          <t>повторение</t>
        </is>
      </c>
      <c r="G1485" s="9" t="inlineStr"/>
      <c r="H1485" s="25" t="inlineStr">
        <is>
          <t>10+</t>
        </is>
      </c>
      <c r="I1485" s="9">
        <f>IFERROR(INDEX('Темы × классы'!$R:$R,MATCH(E1485,'Темы × классы'!$E:$E,0)),"")</f>
        <v/>
      </c>
      <c r="J1485" s="9">
        <f>IFERROR(INDEX('Темы × классы'!$S:$S,MATCH(E1485,'Темы × классы'!$E:$E,0))&amp;"","")</f>
        <v/>
      </c>
      <c r="K1485" s="9" t="inlineStr">
        <is>
          <t>не начат</t>
        </is>
      </c>
      <c r="L1485" s="9" t="inlineStr">
        <is>
          <t>Spotlight / 10 класс / Module 6 · Food &amp; Health / Conditionals (Type 2) / Conditionals Type 2: were/was для I, he, she, it</t>
        </is>
      </c>
    </row>
    <row r="1486">
      <c r="A1486" s="25" t="n">
        <v>10</v>
      </c>
      <c r="B1486" s="9" t="inlineStr">
        <is>
          <t>Module 6 · Food &amp; Health</t>
        </is>
      </c>
      <c r="C1486" s="9" t="inlineStr">
        <is>
          <t>6c</t>
        </is>
      </c>
      <c r="D1486" s="9" t="inlineStr">
        <is>
          <t>Conditionals (Type 2)</t>
        </is>
      </c>
      <c r="E1486" s="23" t="inlineStr">
        <is>
          <t>Conditionals Type 2: If I were you — совет</t>
        </is>
      </c>
      <c r="F1486" s="25" t="inlineStr">
        <is>
          <t>повторение</t>
        </is>
      </c>
      <c r="G1486" s="9" t="inlineStr"/>
      <c r="H1486" s="25" t="inlineStr">
        <is>
          <t>10+</t>
        </is>
      </c>
      <c r="I1486" s="9">
        <f>IFERROR(INDEX('Темы × классы'!$R:$R,MATCH(E1486,'Темы × классы'!$E:$E,0)),"")</f>
        <v/>
      </c>
      <c r="J1486" s="9">
        <f>IFERROR(INDEX('Темы × классы'!$S:$S,MATCH(E1486,'Темы × классы'!$E:$E,0))&amp;"","")</f>
        <v/>
      </c>
      <c r="K1486" s="9" t="inlineStr">
        <is>
          <t>не начат</t>
        </is>
      </c>
      <c r="L1486" s="9" t="inlineStr">
        <is>
          <t>Spotlight / 10 класс / Module 6 · Food &amp; Health / Conditionals (Type 2) / Conditionals Type 2: If I were you — совет</t>
        </is>
      </c>
    </row>
    <row r="1487">
      <c r="A1487" s="25" t="n">
        <v>10</v>
      </c>
      <c r="B1487" s="9" t="inlineStr">
        <is>
          <t>Module 6 · Food &amp; Health</t>
        </is>
      </c>
      <c r="C1487" s="9" t="inlineStr">
        <is>
          <t>6c</t>
        </is>
      </c>
      <c r="D1487" s="9" t="inlineStr">
        <is>
          <t>Conditionals (Type 3)</t>
        </is>
      </c>
      <c r="E1487" s="23" t="inlineStr">
        <is>
          <t>Conditionals Type 3: форма If + Past Perfect — would/could/might have + V3</t>
        </is>
      </c>
      <c r="F1487" s="25" t="inlineStr">
        <is>
          <t>повторение</t>
        </is>
      </c>
      <c r="G1487" s="9" t="inlineStr"/>
      <c r="H1487" s="25" t="inlineStr">
        <is>
          <t>10+</t>
        </is>
      </c>
      <c r="I1487" s="9">
        <f>IFERROR(INDEX('Темы × классы'!$R:$R,MATCH(E1487,'Темы × классы'!$E:$E,0)),"")</f>
        <v/>
      </c>
      <c r="J1487" s="9">
        <f>IFERROR(INDEX('Темы × классы'!$S:$S,MATCH(E1487,'Темы × классы'!$E:$E,0))&amp;"","")</f>
        <v/>
      </c>
      <c r="K1487" s="9" t="inlineStr">
        <is>
          <t>не начат</t>
        </is>
      </c>
      <c r="L1487" s="9" t="inlineStr">
        <is>
          <t>Spotlight / 10 класс / Module 6 · Food &amp; Health / Conditionals (Type 3) / Conditionals Type 3: форма If + Past Perfect — would/could/might have + V3</t>
        </is>
      </c>
    </row>
    <row r="1488">
      <c r="A1488" s="25" t="n">
        <v>10</v>
      </c>
      <c r="B1488" s="9" t="inlineStr">
        <is>
          <t>Module 6 · Food &amp; Health</t>
        </is>
      </c>
      <c r="C1488" s="9" t="inlineStr">
        <is>
          <t>6c</t>
        </is>
      </c>
      <c r="D1488" s="9" t="inlineStr">
        <is>
          <t>Conditionals (Type 3)</t>
        </is>
      </c>
      <c r="E1488" s="23" t="inlineStr">
        <is>
          <t>Conditionals Type 3: If + Past Perfect Continuous</t>
        </is>
      </c>
      <c r="F1488" s="25" t="inlineStr">
        <is>
          <t>повторение</t>
        </is>
      </c>
      <c r="G1488" s="9" t="inlineStr"/>
      <c r="H1488" s="25" t="inlineStr">
        <is>
          <t>10+</t>
        </is>
      </c>
      <c r="I1488" s="9">
        <f>IFERROR(INDEX('Темы × классы'!$R:$R,MATCH(E1488,'Темы × классы'!$E:$E,0)),"")</f>
        <v/>
      </c>
      <c r="J1488" s="9">
        <f>IFERROR(INDEX('Темы × классы'!$S:$S,MATCH(E1488,'Темы × классы'!$E:$E,0))&amp;"","")</f>
        <v/>
      </c>
      <c r="K1488" s="9" t="inlineStr">
        <is>
          <t>не начат</t>
        </is>
      </c>
      <c r="L1488" s="9" t="inlineStr">
        <is>
          <t>Spotlight / 10 класс / Module 6 · Food &amp; Health / Conditionals (Type 3) / Conditionals Type 3: If + Past Perfect Continuous</t>
        </is>
      </c>
    </row>
    <row r="1489">
      <c r="A1489" s="25" t="n">
        <v>10</v>
      </c>
      <c r="B1489" s="9" t="inlineStr">
        <is>
          <t>Module 6 · Food &amp; Health</t>
        </is>
      </c>
      <c r="C1489" s="9" t="inlineStr">
        <is>
          <t>6c</t>
        </is>
      </c>
      <c r="D1489" s="9" t="inlineStr">
        <is>
          <t>Conditionals (Type 3)</t>
        </is>
      </c>
      <c r="E1489" s="23" t="inlineStr">
        <is>
          <t>Conditionals Type 3: значение — нереальная ситуация в прошлом</t>
        </is>
      </c>
      <c r="F1489" s="25" t="inlineStr">
        <is>
          <t>повторение</t>
        </is>
      </c>
      <c r="G1489" s="9" t="inlineStr"/>
      <c r="H1489" s="25" t="inlineStr">
        <is>
          <t>10+</t>
        </is>
      </c>
      <c r="I1489" s="9">
        <f>IFERROR(INDEX('Темы × классы'!$R:$R,MATCH(E1489,'Темы × классы'!$E:$E,0)),"")</f>
        <v/>
      </c>
      <c r="J1489" s="9">
        <f>IFERROR(INDEX('Темы × классы'!$S:$S,MATCH(E1489,'Темы × классы'!$E:$E,0))&amp;"","")</f>
        <v/>
      </c>
      <c r="K1489" s="9" t="inlineStr">
        <is>
          <t>не начат</t>
        </is>
      </c>
      <c r="L1489" s="9" t="inlineStr">
        <is>
          <t>Spotlight / 10 класс / Module 6 · Food &amp; Health / Conditionals (Type 3) / Conditionals Type 3: значение — нереальная ситуация в прошлом</t>
        </is>
      </c>
    </row>
    <row r="1490">
      <c r="A1490" s="25" t="n">
        <v>10</v>
      </c>
      <c r="B1490" s="9" t="inlineStr">
        <is>
          <t>Module 6 · Food &amp; Health</t>
        </is>
      </c>
      <c r="C1490" s="9" t="inlineStr">
        <is>
          <t>6c</t>
        </is>
      </c>
      <c r="D1490" s="9" t="inlineStr">
        <is>
          <t>Conditionals (Type 3)</t>
        </is>
      </c>
      <c r="E1490" s="23" t="inlineStr">
        <is>
          <t>Conditionals Type 3: значение — сожаление, критика</t>
        </is>
      </c>
      <c r="F1490" s="25" t="inlineStr">
        <is>
          <t>повторение</t>
        </is>
      </c>
      <c r="G1490" s="9" t="inlineStr"/>
      <c r="H1490" s="25" t="inlineStr">
        <is>
          <t>10+</t>
        </is>
      </c>
      <c r="I1490" s="9">
        <f>IFERROR(INDEX('Темы × классы'!$R:$R,MATCH(E1490,'Темы × классы'!$E:$E,0)),"")</f>
        <v/>
      </c>
      <c r="J1490" s="9">
        <f>IFERROR(INDEX('Темы × классы'!$S:$S,MATCH(E1490,'Темы × классы'!$E:$E,0))&amp;"","")</f>
        <v/>
      </c>
      <c r="K1490" s="9" t="inlineStr">
        <is>
          <t>не начат</t>
        </is>
      </c>
      <c r="L1490" s="9" t="inlineStr">
        <is>
          <t>Spotlight / 10 класс / Module 6 · Food &amp; Health / Conditionals (Type 3) / Conditionals Type 3: значение — сожаление, критика</t>
        </is>
      </c>
    </row>
    <row r="1491">
      <c r="A1491" s="25" t="n">
        <v>10</v>
      </c>
      <c r="B1491" s="9" t="inlineStr">
        <is>
          <t>Module 6 · Food &amp; Health</t>
        </is>
      </c>
      <c r="C1491" s="9" t="inlineStr">
        <is>
          <t>6c</t>
        </is>
      </c>
      <c r="D1491" s="9" t="inlineStr">
        <is>
          <t>Wishes (I wish / If only)</t>
        </is>
      </c>
      <c r="E1491" s="23" t="inlineStr">
        <is>
          <t>Wishes: I wish / If only + Past Simple/Continuous — желание изменить настоящее</t>
        </is>
      </c>
      <c r="F1491" s="25" t="inlineStr">
        <is>
          <t>повторение</t>
        </is>
      </c>
      <c r="G1491" s="9" t="inlineStr"/>
      <c r="H1491" s="25" t="inlineStr">
        <is>
          <t>10+</t>
        </is>
      </c>
      <c r="I1491" s="9">
        <f>IFERROR(INDEX('Темы × классы'!$R:$R,MATCH(E1491,'Темы × классы'!$E:$E,0)),"")</f>
        <v/>
      </c>
      <c r="J1491" s="9">
        <f>IFERROR(INDEX('Темы × классы'!$S:$S,MATCH(E1491,'Темы × классы'!$E:$E,0))&amp;"","")</f>
        <v/>
      </c>
      <c r="K1491" s="9" t="inlineStr">
        <is>
          <t>не начат</t>
        </is>
      </c>
      <c r="L1491" s="9" t="inlineStr">
        <is>
          <t>Spotlight / 10 класс / Module 6 · Food &amp; Health / Wishes (I wish / If only) / Wishes: I wish / If only + Past Simple/Continuous — желание изменить настоящее</t>
        </is>
      </c>
    </row>
    <row r="1492">
      <c r="A1492" s="25" t="n">
        <v>10</v>
      </c>
      <c r="B1492" s="9" t="inlineStr">
        <is>
          <t>Module 6 · Food &amp; Health</t>
        </is>
      </c>
      <c r="C1492" s="9" t="inlineStr">
        <is>
          <t>6c</t>
        </is>
      </c>
      <c r="D1492" s="9" t="inlineStr">
        <is>
          <t>Wishes (I wish / If only)</t>
        </is>
      </c>
      <c r="E1492" s="23" t="inlineStr">
        <is>
          <t>Wishes: I wish / If only + Past Perfect — сожаление о прошлом</t>
        </is>
      </c>
      <c r="F1492" s="25" t="inlineStr">
        <is>
          <t>повторение</t>
        </is>
      </c>
      <c r="G1492" s="9" t="inlineStr"/>
      <c r="H1492" s="25" t="inlineStr">
        <is>
          <t>10+</t>
        </is>
      </c>
      <c r="I1492" s="9">
        <f>IFERROR(INDEX('Темы × классы'!$R:$R,MATCH(E1492,'Темы × классы'!$E:$E,0)),"")</f>
        <v/>
      </c>
      <c r="J1492" s="9">
        <f>IFERROR(INDEX('Темы × классы'!$S:$S,MATCH(E1492,'Темы × классы'!$E:$E,0))&amp;"","")</f>
        <v/>
      </c>
      <c r="K1492" s="9" t="inlineStr">
        <is>
          <t>не начат</t>
        </is>
      </c>
      <c r="L1492" s="9" t="inlineStr">
        <is>
          <t>Spotlight / 10 класс / Module 6 · Food &amp; Health / Wishes (I wish / If only) / Wishes: I wish / If only + Past Perfect — сожаление о прошлом</t>
        </is>
      </c>
    </row>
    <row r="1493">
      <c r="A1493" s="25" t="n">
        <v>10</v>
      </c>
      <c r="B1493" s="9" t="inlineStr">
        <is>
          <t>Module 6 · Food &amp; Health</t>
        </is>
      </c>
      <c r="C1493" s="9" t="inlineStr">
        <is>
          <t>6c</t>
        </is>
      </c>
      <c r="D1493" s="9" t="inlineStr">
        <is>
          <t>Wishes (I wish / If only)</t>
        </is>
      </c>
      <c r="E1493" s="23" t="inlineStr">
        <is>
          <t>Wishes: I wish / If only + would + V — раздражение, просьба изменить поведение</t>
        </is>
      </c>
      <c r="F1493" s="25" t="inlineStr">
        <is>
          <t>повторение</t>
        </is>
      </c>
      <c r="G1493" s="9" t="inlineStr"/>
      <c r="H1493" s="25" t="inlineStr">
        <is>
          <t>10+</t>
        </is>
      </c>
      <c r="I1493" s="9">
        <f>IFERROR(INDEX('Темы × классы'!$R:$R,MATCH(E1493,'Темы × классы'!$E:$E,0)),"")</f>
        <v/>
      </c>
      <c r="J1493" s="9">
        <f>IFERROR(INDEX('Темы × классы'!$S:$S,MATCH(E1493,'Темы × классы'!$E:$E,0))&amp;"","")</f>
        <v/>
      </c>
      <c r="K1493" s="9" t="inlineStr">
        <is>
          <t>не начат</t>
        </is>
      </c>
      <c r="L1493" s="9" t="inlineStr">
        <is>
          <t>Spotlight / 10 класс / Module 6 · Food &amp; Health / Wishes (I wish / If only) / Wishes: I wish / If only + would + V — раздражение, просьба изменить поведение</t>
        </is>
      </c>
    </row>
    <row r="1494">
      <c r="A1494" s="25" t="n">
        <v>10</v>
      </c>
      <c r="B1494" s="9" t="inlineStr">
        <is>
          <t>Module 6 · Food &amp; Health</t>
        </is>
      </c>
      <c r="C1494" s="9" t="inlineStr">
        <is>
          <t>6c</t>
        </is>
      </c>
      <c r="D1494" s="9" t="inlineStr">
        <is>
          <t>Wishes (I wish / If only)</t>
        </is>
      </c>
      <c r="E1494" s="23" t="inlineStr">
        <is>
          <t>Wishes: were вместо was</t>
        </is>
      </c>
      <c r="F1494" s="25" t="inlineStr">
        <is>
          <t>повторение</t>
        </is>
      </c>
      <c r="G1494" s="9" t="inlineStr"/>
      <c r="H1494" s="25" t="inlineStr">
        <is>
          <t>10+</t>
        </is>
      </c>
      <c r="I1494" s="9">
        <f>IFERROR(INDEX('Темы × классы'!$R:$R,MATCH(E1494,'Темы × классы'!$E:$E,0)),"")</f>
        <v/>
      </c>
      <c r="J1494" s="9">
        <f>IFERROR(INDEX('Темы × классы'!$S:$S,MATCH(E1494,'Темы × классы'!$E:$E,0))&amp;"","")</f>
        <v/>
      </c>
      <c r="K1494" s="9" t="inlineStr">
        <is>
          <t>не начат</t>
        </is>
      </c>
      <c r="L1494" s="9" t="inlineStr">
        <is>
          <t>Spotlight / 10 класс / Module 6 · Food &amp; Health / Wishes (I wish / If only) / Wishes: were вместо was</t>
        </is>
      </c>
    </row>
    <row r="1495">
      <c r="A1495" s="25" t="n">
        <v>10</v>
      </c>
      <c r="B1495" s="9" t="inlineStr">
        <is>
          <t>Module 6 · Food &amp; Health</t>
        </is>
      </c>
      <c r="C1495" s="9" t="inlineStr">
        <is>
          <t>6c</t>
        </is>
      </c>
      <c r="D1495" s="9" t="inlineStr">
        <is>
          <t>Wishes (I wish / If only)</t>
        </is>
      </c>
      <c r="E1495" s="23" t="inlineStr">
        <is>
          <t>Wishes: If only vs I wish — эмоциональность</t>
        </is>
      </c>
      <c r="F1495" s="25" t="inlineStr">
        <is>
          <t>повторение</t>
        </is>
      </c>
      <c r="G1495" s="9" t="inlineStr"/>
      <c r="H1495" s="25" t="inlineStr">
        <is>
          <t>10+</t>
        </is>
      </c>
      <c r="I1495" s="9">
        <f>IFERROR(INDEX('Темы × классы'!$R:$R,MATCH(E1495,'Темы × классы'!$E:$E,0)),"")</f>
        <v/>
      </c>
      <c r="J1495" s="9">
        <f>IFERROR(INDEX('Темы × классы'!$S:$S,MATCH(E1495,'Темы × классы'!$E:$E,0))&amp;"","")</f>
        <v/>
      </c>
      <c r="K1495" s="9" t="inlineStr">
        <is>
          <t>не начат</t>
        </is>
      </c>
      <c r="L1495" s="9" t="inlineStr">
        <is>
          <t>Spotlight / 10 класс / Module 6 · Food &amp; Health / Wishes (I wish / If only) / Wishes: If only vs I wish — эмоциональность</t>
        </is>
      </c>
    </row>
    <row r="1496">
      <c r="A1496" s="25" t="n">
        <v>10</v>
      </c>
      <c r="B1496" s="9" t="inlineStr">
        <is>
          <t>Module 6 · Food &amp; Health</t>
        </is>
      </c>
      <c r="C1496" s="9" t="inlineStr">
        <is>
          <t>6c</t>
        </is>
      </c>
      <c r="D1496" s="9" t="inlineStr">
        <is>
          <t>Conditional linkers (unless, provided…)</t>
        </is>
      </c>
      <c r="E1496" s="23" t="inlineStr">
        <is>
          <t>Conditional linkers: unless, provided/providing (that), as long as, on condition (that)</t>
        </is>
      </c>
      <c r="F1496" s="25" t="inlineStr">
        <is>
          <t>повторение</t>
        </is>
      </c>
      <c r="G1496" s="9" t="inlineStr"/>
      <c r="H1496" s="25" t="inlineStr">
        <is>
          <t>10+</t>
        </is>
      </c>
      <c r="I1496" s="9">
        <f>IFERROR(INDEX('Темы × классы'!$R:$R,MATCH(E1496,'Темы × классы'!$E:$E,0)),"")</f>
        <v/>
      </c>
      <c r="J1496" s="9">
        <f>IFERROR(INDEX('Темы × классы'!$S:$S,MATCH(E1496,'Темы × классы'!$E:$E,0))&amp;"","")</f>
        <v/>
      </c>
      <c r="K1496" s="9" t="inlineStr">
        <is>
          <t>не начат</t>
        </is>
      </c>
      <c r="L1496" s="9" t="inlineStr">
        <is>
          <t>Spotlight / 10 класс / Module 6 · Food &amp; Health / Conditional linkers (unless, provided…) / Conditional linkers: unless, provided/providing (that), as long as, on condition (that)</t>
        </is>
      </c>
    </row>
    <row r="1497">
      <c r="A1497" s="25" t="n">
        <v>10</v>
      </c>
      <c r="B1497" s="9" t="inlineStr">
        <is>
          <t>Module 6 · Food &amp; Health</t>
        </is>
      </c>
      <c r="C1497" s="9" t="inlineStr">
        <is>
          <t>6c</t>
        </is>
      </c>
      <c r="D1497" s="9" t="inlineStr">
        <is>
          <t>Conditional linkers (unless, provided…)</t>
        </is>
      </c>
      <c r="E1497" s="23" t="inlineStr">
        <is>
          <t>Conditional linkers: but for, otherwise, or else</t>
        </is>
      </c>
      <c r="F1497" s="25" t="inlineStr">
        <is>
          <t>повторение</t>
        </is>
      </c>
      <c r="G1497" s="9" t="inlineStr"/>
      <c r="H1497" s="25" t="inlineStr">
        <is>
          <t>10+</t>
        </is>
      </c>
      <c r="I1497" s="9">
        <f>IFERROR(INDEX('Темы × классы'!$R:$R,MATCH(E1497,'Темы × классы'!$E:$E,0)),"")</f>
        <v/>
      </c>
      <c r="J1497" s="9">
        <f>IFERROR(INDEX('Темы × классы'!$S:$S,MATCH(E1497,'Темы × классы'!$E:$E,0))&amp;"","")</f>
        <v/>
      </c>
      <c r="K1497" s="9" t="inlineStr">
        <is>
          <t>не начат</t>
        </is>
      </c>
      <c r="L1497" s="9" t="inlineStr">
        <is>
          <t>Spotlight / 10 класс / Module 6 · Food &amp; Health / Conditional linkers (unless, provided…) / Conditional linkers: but for, otherwise, or else</t>
        </is>
      </c>
    </row>
    <row r="1498">
      <c r="A1498" s="25" t="n">
        <v>10</v>
      </c>
      <c r="B1498" s="9" t="inlineStr">
        <is>
          <t>Module 6 · Food &amp; Health</t>
        </is>
      </c>
      <c r="C1498" s="9" t="inlineStr">
        <is>
          <t>6c</t>
        </is>
      </c>
      <c r="D1498" s="9" t="inlineStr">
        <is>
          <t>Conditional linkers (unless, provided…)</t>
        </is>
      </c>
      <c r="E1498" s="23" t="inlineStr">
        <is>
          <t>Conditional linkers: what if, supposing, even if</t>
        </is>
      </c>
      <c r="F1498" s="25" t="inlineStr">
        <is>
          <t>повторение</t>
        </is>
      </c>
      <c r="G1498" s="9" t="inlineStr"/>
      <c r="H1498" s="25" t="inlineStr">
        <is>
          <t>10+</t>
        </is>
      </c>
      <c r="I1498" s="9">
        <f>IFERROR(INDEX('Темы × классы'!$R:$R,MATCH(E1498,'Темы × классы'!$E:$E,0)),"")</f>
        <v/>
      </c>
      <c r="J1498" s="9">
        <f>IFERROR(INDEX('Темы × классы'!$S:$S,MATCH(E1498,'Темы × классы'!$E:$E,0))&amp;"","")</f>
        <v/>
      </c>
      <c r="K1498" s="9" t="inlineStr">
        <is>
          <t>не начат</t>
        </is>
      </c>
      <c r="L1498" s="9" t="inlineStr">
        <is>
          <t>Spotlight / 10 класс / Module 6 · Food &amp; Health / Conditional linkers (unless, provided…) / Conditional linkers: what if, supposing, even if</t>
        </is>
      </c>
    </row>
    <row r="1499">
      <c r="A1499" s="25" t="n">
        <v>10</v>
      </c>
      <c r="B1499" s="9" t="inlineStr">
        <is>
          <t>Module 6 · Food &amp; Health</t>
        </is>
      </c>
      <c r="C1499" s="9" t="inlineStr">
        <is>
          <t>6c</t>
        </is>
      </c>
      <c r="D1499" s="9" t="inlineStr">
        <is>
          <t>Conditional linkers (unless, provided…)</t>
        </is>
      </c>
      <c r="E1499" s="23" t="inlineStr">
        <is>
          <t>Conditional linkers: only if (+ инверсия в главном предложении)</t>
        </is>
      </c>
      <c r="F1499" s="25" t="inlineStr">
        <is>
          <t>повторение</t>
        </is>
      </c>
      <c r="G1499" s="9" t="inlineStr">
        <is>
          <t>Only if you are dressed formally, will you…</t>
        </is>
      </c>
      <c r="H1499" s="25" t="inlineStr">
        <is>
          <t>10+</t>
        </is>
      </c>
      <c r="I1499" s="9">
        <f>IFERROR(INDEX('Темы × классы'!$R:$R,MATCH(E1499,'Темы × классы'!$E:$E,0)),"")</f>
        <v/>
      </c>
      <c r="J1499" s="9">
        <f>IFERROR(INDEX('Темы × классы'!$S:$S,MATCH(E1499,'Темы × классы'!$E:$E,0))&amp;"","")</f>
        <v/>
      </c>
      <c r="K1499" s="9" t="inlineStr">
        <is>
          <t>не начат</t>
        </is>
      </c>
      <c r="L1499" s="9" t="inlineStr">
        <is>
          <t>Spotlight / 10 класс / Module 6 · Food &amp; Health / Conditional linkers (unless, provided…) / Conditional linkers: only if (+ инверсия в главном предложении)</t>
        </is>
      </c>
    </row>
    <row r="1500">
      <c r="A1500" s="25" t="n">
        <v>10</v>
      </c>
      <c r="B1500" s="9" t="inlineStr">
        <is>
          <t>Module 6 · Food &amp; Health</t>
        </is>
      </c>
      <c r="C1500" s="9" t="inlineStr">
        <is>
          <t>6c</t>
        </is>
      </c>
      <c r="D1500" s="9" t="inlineStr">
        <is>
          <t>Conditional linkers (unless, provided…)</t>
        </is>
      </c>
      <c r="E1500" s="23" t="inlineStr">
        <is>
          <t>Conditional linkers: will/would/should в if-части (просьба, раздражение, сомнение)</t>
        </is>
      </c>
      <c r="F1500" s="25" t="inlineStr">
        <is>
          <t>повторение</t>
        </is>
      </c>
      <c r="G1500" s="9" t="inlineStr">
        <is>
          <t>If she should need help…</t>
        </is>
      </c>
      <c r="H1500" s="25" t="inlineStr">
        <is>
          <t>10+</t>
        </is>
      </c>
      <c r="I1500" s="9">
        <f>IFERROR(INDEX('Темы × классы'!$R:$R,MATCH(E1500,'Темы × классы'!$E:$E,0)),"")</f>
        <v/>
      </c>
      <c r="J1500" s="9">
        <f>IFERROR(INDEX('Темы × классы'!$S:$S,MATCH(E1500,'Темы × классы'!$E:$E,0))&amp;"","")</f>
        <v/>
      </c>
      <c r="K1500" s="9" t="inlineStr">
        <is>
          <t>не начат</t>
        </is>
      </c>
      <c r="L1500" s="9" t="inlineStr">
        <is>
          <t>Spotlight / 10 класс / Module 6 · Food &amp; Health / Conditional linkers (unless, provided…) / Conditional linkers: will/would/should в if-части (просьба, раздражение, сомнение)</t>
        </is>
      </c>
    </row>
    <row r="1501">
      <c r="A1501" s="25" t="n">
        <v>10</v>
      </c>
      <c r="B1501" s="9" t="inlineStr">
        <is>
          <t>Module 6 · Food &amp; Health</t>
        </is>
      </c>
      <c r="C1501" s="9" t="inlineStr">
        <is>
          <t>6c</t>
        </is>
      </c>
      <c r="D1501" s="9" t="inlineStr">
        <is>
          <t>Inversion</t>
        </is>
      </c>
      <c r="E1501" s="23" t="inlineStr">
        <is>
          <t>Inversion: условные без if — Should/Were/Had + подлежащее</t>
        </is>
      </c>
      <c r="F1501" s="25" t="inlineStr">
        <is>
          <t>повторение</t>
        </is>
      </c>
      <c r="G1501" s="9" t="inlineStr">
        <is>
          <t>Should he pass / Were I / Had I known</t>
        </is>
      </c>
      <c r="H1501" s="25" t="inlineStr">
        <is>
          <t>10+</t>
        </is>
      </c>
      <c r="I1501" s="9">
        <f>IFERROR(INDEX('Темы × классы'!$R:$R,MATCH(E1501,'Темы × классы'!$E:$E,0)),"")</f>
        <v/>
      </c>
      <c r="J1501" s="9">
        <f>IFERROR(INDEX('Темы × классы'!$S:$S,MATCH(E1501,'Темы × классы'!$E:$E,0))&amp;"","")</f>
        <v/>
      </c>
      <c r="K1501" s="9" t="inlineStr">
        <is>
          <t>не начат</t>
        </is>
      </c>
      <c r="L1501" s="9" t="inlineStr">
        <is>
          <t>Spotlight / 10 класс / Module 6 · Food &amp; Health / Inversion / Inversion: условные без if — Should/Were/Had + подлежащее</t>
        </is>
      </c>
    </row>
    <row r="1502">
      <c r="A1502" s="25" t="n">
        <v>10</v>
      </c>
      <c r="B1502" s="9" t="inlineStr">
        <is>
          <t>Module 6 · Food &amp; Health</t>
        </is>
      </c>
      <c r="C1502" s="9" t="inlineStr">
        <is>
          <t>6c</t>
        </is>
      </c>
      <c r="D1502" s="9" t="inlineStr">
        <is>
          <t>Phrasal verbs</t>
        </is>
      </c>
      <c r="E1502" s="23" t="inlineStr">
        <is>
          <t>Phrasal verbs: give</t>
        </is>
      </c>
      <c r="F1502" s="25" t="inlineStr">
        <is>
          <t>повторение</t>
        </is>
      </c>
      <c r="G1502" s="9" t="inlineStr">
        <is>
          <t>Фразовые глаголы с give (ToC: «phrasal verbs (give)»); состав частиц и значения в источнике не даны.</t>
        </is>
      </c>
      <c r="H1502" s="25" t="inlineStr">
        <is>
          <t>10+</t>
        </is>
      </c>
      <c r="I1502" s="9">
        <f>IFERROR(INDEX('Темы × классы'!$R:$R,MATCH(E1502,'Темы × классы'!$E:$E,0)),"")</f>
        <v/>
      </c>
      <c r="J1502" s="9">
        <f>IFERROR(INDEX('Темы × классы'!$S:$S,MATCH(E1502,'Темы × классы'!$E:$E,0))&amp;"","")</f>
        <v/>
      </c>
      <c r="K1502" s="9" t="inlineStr">
        <is>
          <t>не начат</t>
        </is>
      </c>
      <c r="L1502" s="9" t="inlineStr">
        <is>
          <t>Spotlight / 10 класс / Module 6 · Food &amp; Health / Phrasal verbs / Phrasal verbs: give</t>
        </is>
      </c>
    </row>
    <row r="1503">
      <c r="A1503" s="25" t="n">
        <v>10</v>
      </c>
      <c r="B1503" s="9" t="inlineStr">
        <is>
          <t>Module 6 · Food &amp; Health</t>
        </is>
      </c>
      <c r="C1503" s="9" t="inlineStr">
        <is>
          <t>6c</t>
        </is>
      </c>
      <c r="D1503" s="9" t="inlineStr">
        <is>
          <t>Word formation</t>
        </is>
      </c>
      <c r="E1503" s="23" t="inlineStr">
        <is>
          <t>Word formation: prefixes</t>
        </is>
      </c>
      <c r="F1503" s="26" t="inlineStr">
        <is>
          <t>новое</t>
        </is>
      </c>
      <c r="G1503" s="9" t="inlineStr">
        <is>
          <t>Приставки (ToC: «prefixes»).</t>
        </is>
      </c>
      <c r="H1503" s="25" t="inlineStr">
        <is>
          <t>10+</t>
        </is>
      </c>
      <c r="I1503" s="9">
        <f>IFERROR(INDEX('Темы × классы'!$R:$R,MATCH(E1503,'Темы × классы'!$E:$E,0)),"")</f>
        <v/>
      </c>
      <c r="J1503" s="9">
        <f>IFERROR(INDEX('Темы × классы'!$S:$S,MATCH(E1503,'Темы × классы'!$E:$E,0))&amp;"","")</f>
        <v/>
      </c>
      <c r="K1503" s="9" t="inlineStr">
        <is>
          <t>не начат</t>
        </is>
      </c>
      <c r="L1503" s="9" t="inlineStr">
        <is>
          <t>Spotlight / 10 класс / Module 6 · Food &amp; Health / Word formation / Word formation: prefixes</t>
        </is>
      </c>
    </row>
    <row r="1504">
      <c r="A1504" s="25" t="n">
        <v>10</v>
      </c>
      <c r="B1504" s="9" t="inlineStr">
        <is>
          <t>Module 7 · Let's have fun</t>
        </is>
      </c>
      <c r="C1504" s="9" t="inlineStr">
        <is>
          <t>7e</t>
        </is>
      </c>
      <c r="D1504" s="9" t="inlineStr">
        <is>
          <t>Modal verbs (functions)</t>
        </is>
      </c>
      <c r="E1504" s="23" t="inlineStr">
        <is>
          <t>Modal verbs: обзор значений модальных (систематизация)</t>
        </is>
      </c>
      <c r="F1504" s="25" t="inlineStr">
        <is>
          <t>повторение</t>
        </is>
      </c>
      <c r="G1504" s="9" t="inlineStr">
        <is>
          <t>7e: повторение модальных по разделу Module 4 (рецензия) — проверить</t>
        </is>
      </c>
      <c r="H1504" s="25" t="inlineStr">
        <is>
          <t>10+</t>
        </is>
      </c>
      <c r="I1504" s="9">
        <f>IFERROR(INDEX('Темы × классы'!$R:$R,MATCH(E1504,'Темы × классы'!$E:$E,0)),"")</f>
        <v/>
      </c>
      <c r="J1504" s="9">
        <f>IFERROR(INDEX('Темы × классы'!$S:$S,MATCH(E1504,'Темы × классы'!$E:$E,0))&amp;"","")</f>
        <v/>
      </c>
      <c r="K1504" s="9" t="inlineStr">
        <is>
          <t>не начат</t>
        </is>
      </c>
      <c r="L1504" s="9" t="inlineStr">
        <is>
          <t>Spotlight / 10 класс / Module 7 · Let's have fun / Modal verbs (functions) / Modal verbs: обзор значений модальных (систематизация)</t>
        </is>
      </c>
    </row>
    <row r="1505">
      <c r="A1505" s="25" t="n">
        <v>10</v>
      </c>
      <c r="B1505" s="9" t="inlineStr">
        <is>
          <t>Module 7 · Let's have fun</t>
        </is>
      </c>
      <c r="C1505" s="9" t="inlineStr">
        <is>
          <t>7c</t>
        </is>
      </c>
      <c r="D1505" s="9" t="inlineStr">
        <is>
          <t>Passive Voice</t>
        </is>
      </c>
      <c r="E1505" s="23" t="inlineStr">
        <is>
          <t>Passive Voice: форма be + V3 — Present Simple и Past Simple</t>
        </is>
      </c>
      <c r="F1505" s="25" t="inlineStr">
        <is>
          <t>повторение</t>
        </is>
      </c>
      <c r="G1505" s="9" t="inlineStr"/>
      <c r="H1505" s="25" t="inlineStr">
        <is>
          <t>10+</t>
        </is>
      </c>
      <c r="I1505" s="9">
        <f>IFERROR(INDEX('Темы × классы'!$R:$R,MATCH(E1505,'Темы × классы'!$E:$E,0)),"")</f>
        <v/>
      </c>
      <c r="J1505" s="9">
        <f>IFERROR(INDEX('Темы × классы'!$S:$S,MATCH(E1505,'Темы × классы'!$E:$E,0))&amp;"","")</f>
        <v/>
      </c>
      <c r="K1505" s="9" t="inlineStr">
        <is>
          <t>не начат</t>
        </is>
      </c>
      <c r="L1505" s="9" t="inlineStr">
        <is>
          <t>Spotlight / 10 класс / Module 7 · Let's have fun / Passive Voice / Passive Voice: форма be + V3 — Present Simple и Past Simple</t>
        </is>
      </c>
    </row>
    <row r="1506">
      <c r="A1506" s="25" t="n">
        <v>10</v>
      </c>
      <c r="B1506" s="9" t="inlineStr">
        <is>
          <t>Module 7 · Let's have fun</t>
        </is>
      </c>
      <c r="C1506" s="9" t="inlineStr">
        <is>
          <t>7c</t>
        </is>
      </c>
      <c r="D1506" s="9" t="inlineStr">
        <is>
          <t>Passive Voice</t>
        </is>
      </c>
      <c r="E1506" s="23" t="inlineStr">
        <is>
          <t>Passive Voice: Continuous (is/was being + V3)</t>
        </is>
      </c>
      <c r="F1506" s="25" t="inlineStr">
        <is>
          <t>повторение</t>
        </is>
      </c>
      <c r="G1506" s="9" t="inlineStr"/>
      <c r="H1506" s="25" t="inlineStr">
        <is>
          <t>10+</t>
        </is>
      </c>
      <c r="I1506" s="9">
        <f>IFERROR(INDEX('Темы × классы'!$R:$R,MATCH(E1506,'Темы × классы'!$E:$E,0)),"")</f>
        <v/>
      </c>
      <c r="J1506" s="9">
        <f>IFERROR(INDEX('Темы × классы'!$S:$S,MATCH(E1506,'Темы × классы'!$E:$E,0))&amp;"","")</f>
        <v/>
      </c>
      <c r="K1506" s="9" t="inlineStr">
        <is>
          <t>не начат</t>
        </is>
      </c>
      <c r="L1506" s="9" t="inlineStr">
        <is>
          <t>Spotlight / 10 класс / Module 7 · Let's have fun / Passive Voice / Passive Voice: Continuous (is/was being + V3)</t>
        </is>
      </c>
    </row>
    <row r="1507">
      <c r="A1507" s="25" t="n">
        <v>10</v>
      </c>
      <c r="B1507" s="9" t="inlineStr">
        <is>
          <t>Module 7 · Let's have fun</t>
        </is>
      </c>
      <c r="C1507" s="9" t="inlineStr">
        <is>
          <t>7c</t>
        </is>
      </c>
      <c r="D1507" s="9" t="inlineStr">
        <is>
          <t>Passive Voice</t>
        </is>
      </c>
      <c r="E1507" s="23" t="inlineStr">
        <is>
          <t>Passive Voice: Present/Past Perfect (has/had been + V3)</t>
        </is>
      </c>
      <c r="F1507" s="25" t="inlineStr">
        <is>
          <t>повторение</t>
        </is>
      </c>
      <c r="G1507" s="9" t="inlineStr"/>
      <c r="H1507" s="25" t="inlineStr">
        <is>
          <t>10+</t>
        </is>
      </c>
      <c r="I1507" s="9">
        <f>IFERROR(INDEX('Темы × классы'!$R:$R,MATCH(E1507,'Темы × классы'!$E:$E,0)),"")</f>
        <v/>
      </c>
      <c r="J1507" s="9">
        <f>IFERROR(INDEX('Темы × классы'!$S:$S,MATCH(E1507,'Темы × классы'!$E:$E,0))&amp;"","")</f>
        <v/>
      </c>
      <c r="K1507" s="9" t="inlineStr">
        <is>
          <t>не начат</t>
        </is>
      </c>
      <c r="L1507" s="9" t="inlineStr">
        <is>
          <t>Spotlight / 10 класс / Module 7 · Let's have fun / Passive Voice / Passive Voice: Present/Past Perfect (has/had been + V3)</t>
        </is>
      </c>
    </row>
    <row r="1508">
      <c r="A1508" s="25" t="n">
        <v>10</v>
      </c>
      <c r="B1508" s="9" t="inlineStr">
        <is>
          <t>Module 7 · Let's have fun</t>
        </is>
      </c>
      <c r="C1508" s="9" t="inlineStr">
        <is>
          <t>7c</t>
        </is>
      </c>
      <c r="D1508" s="9" t="inlineStr">
        <is>
          <t>Passive Voice</t>
        </is>
      </c>
      <c r="E1508" s="23" t="inlineStr">
        <is>
          <t>Passive Voice: Future Simple (will be + V3)</t>
        </is>
      </c>
      <c r="F1508" s="25" t="inlineStr">
        <is>
          <t>повторение</t>
        </is>
      </c>
      <c r="G1508" s="9" t="inlineStr"/>
      <c r="H1508" s="25" t="inlineStr">
        <is>
          <t>10+</t>
        </is>
      </c>
      <c r="I1508" s="9">
        <f>IFERROR(INDEX('Темы × классы'!$R:$R,MATCH(E1508,'Темы × классы'!$E:$E,0)),"")</f>
        <v/>
      </c>
      <c r="J1508" s="9">
        <f>IFERROR(INDEX('Темы × классы'!$S:$S,MATCH(E1508,'Темы × классы'!$E:$E,0))&amp;"","")</f>
        <v/>
      </c>
      <c r="K1508" s="9" t="inlineStr">
        <is>
          <t>не начат</t>
        </is>
      </c>
      <c r="L1508" s="9" t="inlineStr">
        <is>
          <t>Spotlight / 10 класс / Module 7 · Let's have fun / Passive Voice / Passive Voice: Future Simple (will be + V3)</t>
        </is>
      </c>
    </row>
    <row r="1509">
      <c r="A1509" s="25" t="n">
        <v>10</v>
      </c>
      <c r="B1509" s="9" t="inlineStr">
        <is>
          <t>Module 7 · Let's have fun</t>
        </is>
      </c>
      <c r="C1509" s="9" t="inlineStr">
        <is>
          <t>7c</t>
        </is>
      </c>
      <c r="D1509" s="9" t="inlineStr">
        <is>
          <t>Passive Voice</t>
        </is>
      </c>
      <c r="E1509" s="23" t="inlineStr">
        <is>
          <t>Passive Voice: Future Perfect (will have been + V3)</t>
        </is>
      </c>
      <c r="F1509" s="25" t="inlineStr">
        <is>
          <t>повторение</t>
        </is>
      </c>
      <c r="G1509" s="9" t="inlineStr"/>
      <c r="H1509" s="25" t="inlineStr">
        <is>
          <t>10+</t>
        </is>
      </c>
      <c r="I1509" s="9">
        <f>IFERROR(INDEX('Темы × классы'!$R:$R,MATCH(E1509,'Темы × классы'!$E:$E,0)),"")</f>
        <v/>
      </c>
      <c r="J1509" s="9">
        <f>IFERROR(INDEX('Темы × классы'!$S:$S,MATCH(E1509,'Темы × классы'!$E:$E,0))&amp;"","")</f>
        <v/>
      </c>
      <c r="K1509" s="9" t="inlineStr">
        <is>
          <t>не начат</t>
        </is>
      </c>
      <c r="L1509" s="9" t="inlineStr">
        <is>
          <t>Spotlight / 10 класс / Module 7 · Let's have fun / Passive Voice / Passive Voice: Future Perfect (will have been + V3)</t>
        </is>
      </c>
    </row>
    <row r="1510">
      <c r="A1510" s="25" t="n">
        <v>10</v>
      </c>
      <c r="B1510" s="9" t="inlineStr">
        <is>
          <t>Module 7 · Let's have fun</t>
        </is>
      </c>
      <c r="C1510" s="9" t="inlineStr">
        <is>
          <t>7c</t>
        </is>
      </c>
      <c r="D1510" s="9" t="inlineStr">
        <is>
          <t>Passive Voice</t>
        </is>
      </c>
      <c r="E1510" s="23" t="inlineStr">
        <is>
          <t>Passive Voice: инфинитив и модальные (has to be / can be + V3)</t>
        </is>
      </c>
      <c r="F1510" s="25" t="inlineStr">
        <is>
          <t>повторение</t>
        </is>
      </c>
      <c r="G1510" s="9" t="inlineStr"/>
      <c r="H1510" s="25" t="inlineStr">
        <is>
          <t>10+</t>
        </is>
      </c>
      <c r="I1510" s="9">
        <f>IFERROR(INDEX('Темы × классы'!$R:$R,MATCH(E1510,'Темы × классы'!$E:$E,0)),"")</f>
        <v/>
      </c>
      <c r="J1510" s="9">
        <f>IFERROR(INDEX('Темы × классы'!$S:$S,MATCH(E1510,'Темы × классы'!$E:$E,0))&amp;"","")</f>
        <v/>
      </c>
      <c r="K1510" s="9" t="inlineStr">
        <is>
          <t>не начат</t>
        </is>
      </c>
      <c r="L1510" s="9" t="inlineStr">
        <is>
          <t>Spotlight / 10 класс / Module 7 · Let's have fun / Passive Voice / Passive Voice: инфинитив и модальные (has to be / can be + V3)</t>
        </is>
      </c>
    </row>
    <row r="1511">
      <c r="A1511" s="25" t="n">
        <v>10</v>
      </c>
      <c r="B1511" s="9" t="inlineStr">
        <is>
          <t>Module 7 · Let's have fun</t>
        </is>
      </c>
      <c r="C1511" s="9" t="inlineStr">
        <is>
          <t>7c</t>
        </is>
      </c>
      <c r="D1511" s="9" t="inlineStr">
        <is>
          <t>Passive Voice</t>
        </is>
      </c>
      <c r="E1511" s="23" t="inlineStr">
        <is>
          <t>Passive Voice: преобразование active → passive</t>
        </is>
      </c>
      <c r="F1511" s="25" t="inlineStr">
        <is>
          <t>повторение</t>
        </is>
      </c>
      <c r="G1511" s="9" t="inlineStr"/>
      <c r="H1511" s="25" t="inlineStr">
        <is>
          <t>10+</t>
        </is>
      </c>
      <c r="I1511" s="9">
        <f>IFERROR(INDEX('Темы × классы'!$R:$R,MATCH(E1511,'Темы × классы'!$E:$E,0)),"")</f>
        <v/>
      </c>
      <c r="J1511" s="9">
        <f>IFERROR(INDEX('Темы × классы'!$S:$S,MATCH(E1511,'Темы × классы'!$E:$E,0))&amp;"","")</f>
        <v/>
      </c>
      <c r="K1511" s="9" t="inlineStr">
        <is>
          <t>не начат</t>
        </is>
      </c>
      <c r="L1511" s="9" t="inlineStr">
        <is>
          <t>Spotlight / 10 класс / Module 7 · Let's have fun / Passive Voice / Passive Voice: преобразование active → passive</t>
        </is>
      </c>
    </row>
    <row r="1512">
      <c r="A1512" s="25" t="n">
        <v>10</v>
      </c>
      <c r="B1512" s="9" t="inlineStr">
        <is>
          <t>Module 7 · Let's have fun</t>
        </is>
      </c>
      <c r="C1512" s="9" t="inlineStr">
        <is>
          <t>7c</t>
        </is>
      </c>
      <c r="D1512" s="9" t="inlineStr">
        <is>
          <t>Passive Voice</t>
        </is>
      </c>
      <c r="E1512" s="23" t="inlineStr">
        <is>
          <t>Passive Voice: значение — исполнитель неизвестен/неважен/очевиден</t>
        </is>
      </c>
      <c r="F1512" s="25" t="inlineStr">
        <is>
          <t>повторение</t>
        </is>
      </c>
      <c r="G1512" s="9" t="inlineStr"/>
      <c r="H1512" s="25" t="inlineStr">
        <is>
          <t>10+</t>
        </is>
      </c>
      <c r="I1512" s="9">
        <f>IFERROR(INDEX('Темы × классы'!$R:$R,MATCH(E1512,'Темы × классы'!$E:$E,0)),"")</f>
        <v/>
      </c>
      <c r="J1512" s="9">
        <f>IFERROR(INDEX('Темы × классы'!$S:$S,MATCH(E1512,'Темы × классы'!$E:$E,0))&amp;"","")</f>
        <v/>
      </c>
      <c r="K1512" s="9" t="inlineStr">
        <is>
          <t>не начат</t>
        </is>
      </c>
      <c r="L1512" s="9" t="inlineStr">
        <is>
          <t>Spotlight / 10 класс / Module 7 · Let's have fun / Passive Voice / Passive Voice: значение — исполнитель неизвестен/неважен/очевиден</t>
        </is>
      </c>
    </row>
    <row r="1513">
      <c r="A1513" s="25" t="n">
        <v>10</v>
      </c>
      <c r="B1513" s="9" t="inlineStr">
        <is>
          <t>Module 7 · Let's have fun</t>
        </is>
      </c>
      <c r="C1513" s="9" t="inlineStr">
        <is>
          <t>7c</t>
        </is>
      </c>
      <c r="D1513" s="9" t="inlineStr">
        <is>
          <t>Passive Voice</t>
        </is>
      </c>
      <c r="E1513" s="23" t="inlineStr">
        <is>
          <t>Passive Voice: значение — действие важнее исполнителя (новости, инструкции, реклама)</t>
        </is>
      </c>
      <c r="F1513" s="25" t="inlineStr">
        <is>
          <t>повторение</t>
        </is>
      </c>
      <c r="G1513" s="9" t="inlineStr"/>
      <c r="H1513" s="25" t="inlineStr">
        <is>
          <t>10+</t>
        </is>
      </c>
      <c r="I1513" s="9">
        <f>IFERROR(INDEX('Темы × классы'!$R:$R,MATCH(E1513,'Темы × классы'!$E:$E,0)),"")</f>
        <v/>
      </c>
      <c r="J1513" s="9">
        <f>IFERROR(INDEX('Темы × классы'!$S:$S,MATCH(E1513,'Темы × классы'!$E:$E,0))&amp;"","")</f>
        <v/>
      </c>
      <c r="K1513" s="9" t="inlineStr">
        <is>
          <t>не начат</t>
        </is>
      </c>
      <c r="L1513" s="9" t="inlineStr">
        <is>
          <t>Spotlight / 10 класс / Module 7 · Let's have fun / Passive Voice / Passive Voice: значение — действие важнее исполнителя (новости, инструкции, реклама)</t>
        </is>
      </c>
    </row>
    <row r="1514">
      <c r="A1514" s="25" t="n">
        <v>10</v>
      </c>
      <c r="B1514" s="9" t="inlineStr">
        <is>
          <t>Module 7 · Let's have fun</t>
        </is>
      </c>
      <c r="C1514" s="9" t="inlineStr">
        <is>
          <t>7c</t>
        </is>
      </c>
      <c r="D1514" s="9" t="inlineStr">
        <is>
          <t>Passive Voice</t>
        </is>
      </c>
      <c r="E1514" s="23" t="inlineStr">
        <is>
          <t>Passive Voice: значение — уход от ответственности</t>
        </is>
      </c>
      <c r="F1514" s="25" t="inlineStr">
        <is>
          <t>повторение</t>
        </is>
      </c>
      <c r="G1514" s="9" t="inlineStr"/>
      <c r="H1514" s="25" t="inlineStr">
        <is>
          <t>10+</t>
        </is>
      </c>
      <c r="I1514" s="9">
        <f>IFERROR(INDEX('Темы × классы'!$R:$R,MATCH(E1514,'Темы × классы'!$E:$E,0)),"")</f>
        <v/>
      </c>
      <c r="J1514" s="9">
        <f>IFERROR(INDEX('Темы × классы'!$S:$S,MATCH(E1514,'Темы × классы'!$E:$E,0))&amp;"","")</f>
        <v/>
      </c>
      <c r="K1514" s="9" t="inlineStr">
        <is>
          <t>не начат</t>
        </is>
      </c>
      <c r="L1514" s="9" t="inlineStr">
        <is>
          <t>Spotlight / 10 класс / Module 7 · Let's have fun / Passive Voice / Passive Voice: значение — уход от ответственности</t>
        </is>
      </c>
    </row>
    <row r="1515">
      <c r="A1515" s="25" t="n">
        <v>10</v>
      </c>
      <c r="B1515" s="9" t="inlineStr">
        <is>
          <t>Module 7 · Let's have fun</t>
        </is>
      </c>
      <c r="C1515" s="9" t="inlineStr">
        <is>
          <t>7c</t>
        </is>
      </c>
      <c r="D1515" s="9" t="inlineStr">
        <is>
          <t>Passive Voice</t>
        </is>
      </c>
      <c r="E1515" s="23" t="inlineStr">
        <is>
          <t>Passive Voice: значение — акцент на исполнителе</t>
        </is>
      </c>
      <c r="F1515" s="25" t="inlineStr">
        <is>
          <t>повторение</t>
        </is>
      </c>
      <c r="G1515" s="9" t="inlineStr"/>
      <c r="H1515" s="25" t="inlineStr">
        <is>
          <t>10+</t>
        </is>
      </c>
      <c r="I1515" s="9">
        <f>IFERROR(INDEX('Темы × классы'!$R:$R,MATCH(E1515,'Темы × классы'!$E:$E,0)),"")</f>
        <v/>
      </c>
      <c r="J1515" s="9">
        <f>IFERROR(INDEX('Темы × классы'!$S:$S,MATCH(E1515,'Темы × классы'!$E:$E,0))&amp;"","")</f>
        <v/>
      </c>
      <c r="K1515" s="9" t="inlineStr">
        <is>
          <t>не начат</t>
        </is>
      </c>
      <c r="L1515" s="9" t="inlineStr">
        <is>
          <t>Spotlight / 10 класс / Module 7 · Let's have fun / Passive Voice / Passive Voice: значение — акцент на исполнителе</t>
        </is>
      </c>
    </row>
    <row r="1516">
      <c r="A1516" s="25" t="n">
        <v>10</v>
      </c>
      <c r="B1516" s="9" t="inlineStr">
        <is>
          <t>Module 7 · Let's have fun</t>
        </is>
      </c>
      <c r="C1516" s="9" t="inlineStr">
        <is>
          <t>7c</t>
        </is>
      </c>
      <c r="D1516" s="9" t="inlineStr">
        <is>
          <t>Passive Voice</t>
        </is>
      </c>
      <c r="E1516" s="23" t="inlineStr">
        <is>
          <t>Passive Voice: значение — формальность, вежливость</t>
        </is>
      </c>
      <c r="F1516" s="25" t="inlineStr">
        <is>
          <t>повторение</t>
        </is>
      </c>
      <c r="G1516" s="9" t="inlineStr"/>
      <c r="H1516" s="25" t="inlineStr">
        <is>
          <t>10+</t>
        </is>
      </c>
      <c r="I1516" s="9">
        <f>IFERROR(INDEX('Темы × классы'!$R:$R,MATCH(E1516,'Темы × классы'!$E:$E,0)),"")</f>
        <v/>
      </c>
      <c r="J1516" s="9">
        <f>IFERROR(INDEX('Темы × классы'!$S:$S,MATCH(E1516,'Темы × классы'!$E:$E,0))&amp;"","")</f>
        <v/>
      </c>
      <c r="K1516" s="9" t="inlineStr">
        <is>
          <t>не начат</t>
        </is>
      </c>
      <c r="L1516" s="9" t="inlineStr">
        <is>
          <t>Spotlight / 10 класс / Module 7 · Let's have fun / Passive Voice / Passive Voice: значение — формальность, вежливость</t>
        </is>
      </c>
    </row>
    <row r="1517">
      <c r="A1517" s="25" t="n">
        <v>10</v>
      </c>
      <c r="B1517" s="9" t="inlineStr">
        <is>
          <t>Module 7 · Let's have fun</t>
        </is>
      </c>
      <c r="C1517" s="9" t="inlineStr">
        <is>
          <t>7c</t>
        </is>
      </c>
      <c r="D1517" s="9" t="inlineStr">
        <is>
          <t>Passive Voice</t>
        </is>
      </c>
      <c r="E1517" s="23" t="inlineStr">
        <is>
          <t>Passive Voice: by + исполнитель vs with + инструмент/материал</t>
        </is>
      </c>
      <c r="F1517" s="25" t="inlineStr">
        <is>
          <t>повторение</t>
        </is>
      </c>
      <c r="G1517" s="9" t="inlineStr"/>
      <c r="H1517" s="25" t="inlineStr">
        <is>
          <t>10+</t>
        </is>
      </c>
      <c r="I1517" s="9">
        <f>IFERROR(INDEX('Темы × классы'!$R:$R,MATCH(E1517,'Темы × классы'!$E:$E,0)),"")</f>
        <v/>
      </c>
      <c r="J1517" s="9">
        <f>IFERROR(INDEX('Темы × классы'!$S:$S,MATCH(E1517,'Темы × классы'!$E:$E,0))&amp;"","")</f>
        <v/>
      </c>
      <c r="K1517" s="9" t="inlineStr">
        <is>
          <t>не начат</t>
        </is>
      </c>
      <c r="L1517" s="9" t="inlineStr">
        <is>
          <t>Spotlight / 10 класс / Module 7 · Let's have fun / Passive Voice / Passive Voice: by + исполнитель vs with + инструмент/материал</t>
        </is>
      </c>
    </row>
    <row r="1518">
      <c r="A1518" s="25" t="n">
        <v>10</v>
      </c>
      <c r="B1518" s="9" t="inlineStr">
        <is>
          <t>Module 7 · Let's have fun</t>
        </is>
      </c>
      <c r="C1518" s="9" t="inlineStr">
        <is>
          <t>7c</t>
        </is>
      </c>
      <c r="D1518" s="9" t="inlineStr">
        <is>
          <t>Passive Voice</t>
        </is>
      </c>
      <c r="E1518" s="23" t="inlineStr">
        <is>
          <t>Passive Voice: когда агент опускается (they, people, someone…)</t>
        </is>
      </c>
      <c r="F1518" s="25" t="inlineStr">
        <is>
          <t>повторение</t>
        </is>
      </c>
      <c r="G1518" s="9" t="inlineStr"/>
      <c r="H1518" s="25" t="inlineStr">
        <is>
          <t>10+</t>
        </is>
      </c>
      <c r="I1518" s="9">
        <f>IFERROR(INDEX('Темы × классы'!$R:$R,MATCH(E1518,'Темы × классы'!$E:$E,0)),"")</f>
        <v/>
      </c>
      <c r="J1518" s="9">
        <f>IFERROR(INDEX('Темы × классы'!$S:$S,MATCH(E1518,'Темы × классы'!$E:$E,0))&amp;"","")</f>
        <v/>
      </c>
      <c r="K1518" s="9" t="inlineStr">
        <is>
          <t>не начат</t>
        </is>
      </c>
      <c r="L1518" s="9" t="inlineStr">
        <is>
          <t>Spotlight / 10 класс / Module 7 · Let's have fun / Passive Voice / Passive Voice: когда агент опускается (they, people, someone…)</t>
        </is>
      </c>
    </row>
    <row r="1519">
      <c r="A1519" s="25" t="n">
        <v>10</v>
      </c>
      <c r="B1519" s="9" t="inlineStr">
        <is>
          <t>Module 7 · Let's have fun</t>
        </is>
      </c>
      <c r="C1519" s="9" t="inlineStr">
        <is>
          <t>7c</t>
        </is>
      </c>
      <c r="D1519" s="9" t="inlineStr">
        <is>
          <t>Passive Voice</t>
        </is>
      </c>
      <c r="E1519" s="23" t="inlineStr">
        <is>
          <t>Passive Voice: глаголы без пассива (непереходные; have, fit, suit, resemble…)</t>
        </is>
      </c>
      <c r="F1519" s="25" t="inlineStr">
        <is>
          <t>повторение</t>
        </is>
      </c>
      <c r="G1519" s="9" t="inlineStr"/>
      <c r="H1519" s="25" t="inlineStr">
        <is>
          <t>10+</t>
        </is>
      </c>
      <c r="I1519" s="9">
        <f>IFERROR(INDEX('Темы × классы'!$R:$R,MATCH(E1519,'Темы × классы'!$E:$E,0)),"")</f>
        <v/>
      </c>
      <c r="J1519" s="9">
        <f>IFERROR(INDEX('Темы × классы'!$S:$S,MATCH(E1519,'Темы × классы'!$E:$E,0))&amp;"","")</f>
        <v/>
      </c>
      <c r="K1519" s="9" t="inlineStr">
        <is>
          <t>не начат</t>
        </is>
      </c>
      <c r="L1519" s="9" t="inlineStr">
        <is>
          <t>Spotlight / 10 класс / Module 7 · Let's have fun / Passive Voice / Passive Voice: глаголы без пассива (непереходные; have, fit, suit, resemble…)</t>
        </is>
      </c>
    </row>
    <row r="1520">
      <c r="A1520" s="25" t="n">
        <v>10</v>
      </c>
      <c r="B1520" s="9" t="inlineStr">
        <is>
          <t>Module 7 · Let's have fun</t>
        </is>
      </c>
      <c r="C1520" s="9" t="inlineStr">
        <is>
          <t>7c</t>
        </is>
      </c>
      <c r="D1520" s="9" t="inlineStr">
        <is>
          <t>Passive Voice</t>
        </is>
      </c>
      <c r="E1520" s="23" t="inlineStr">
        <is>
          <t>Passive Voice: get вместо be</t>
        </is>
      </c>
      <c r="F1520" s="25" t="inlineStr">
        <is>
          <t>повторение</t>
        </is>
      </c>
      <c r="G1520" s="9" t="inlineStr"/>
      <c r="H1520" s="25" t="inlineStr">
        <is>
          <t>10+</t>
        </is>
      </c>
      <c r="I1520" s="9">
        <f>IFERROR(INDEX('Темы × классы'!$R:$R,MATCH(E1520,'Темы × классы'!$E:$E,0)),"")</f>
        <v/>
      </c>
      <c r="J1520" s="9">
        <f>IFERROR(INDEX('Темы × классы'!$S:$S,MATCH(E1520,'Темы × классы'!$E:$E,0))&amp;"","")</f>
        <v/>
      </c>
      <c r="K1520" s="9" t="inlineStr">
        <is>
          <t>не начат</t>
        </is>
      </c>
      <c r="L1520" s="9" t="inlineStr">
        <is>
          <t>Spotlight / 10 класс / Module 7 · Let's have fun / Passive Voice / Passive Voice: get вместо be</t>
        </is>
      </c>
    </row>
    <row r="1521">
      <c r="A1521" s="25" t="n">
        <v>10</v>
      </c>
      <c r="B1521" s="9" t="inlineStr">
        <is>
          <t>Module 7 · Let's have fun</t>
        </is>
      </c>
      <c r="C1521" s="9" t="inlineStr">
        <is>
          <t>7c</t>
        </is>
      </c>
      <c r="D1521" s="9" t="inlineStr">
        <is>
          <t>Passive Voice</t>
        </is>
      </c>
      <c r="E1521" s="23" t="inlineStr">
        <is>
          <t>Passive Voice: глаголы с двумя дополнениями (give, offer, send…)</t>
        </is>
      </c>
      <c r="F1521" s="25" t="inlineStr">
        <is>
          <t>повторение</t>
        </is>
      </c>
      <c r="G1521" s="9" t="inlineStr"/>
      <c r="H1521" s="25" t="inlineStr">
        <is>
          <t>10+</t>
        </is>
      </c>
      <c r="I1521" s="9">
        <f>IFERROR(INDEX('Темы × классы'!$R:$R,MATCH(E1521,'Темы × классы'!$E:$E,0)),"")</f>
        <v/>
      </c>
      <c r="J1521" s="9">
        <f>IFERROR(INDEX('Темы × классы'!$S:$S,MATCH(E1521,'Темы × классы'!$E:$E,0))&amp;"","")</f>
        <v/>
      </c>
      <c r="K1521" s="9" t="inlineStr">
        <is>
          <t>не начат</t>
        </is>
      </c>
      <c r="L1521" s="9" t="inlineStr">
        <is>
          <t>Spotlight / 10 класс / Module 7 · Let's have fun / Passive Voice / Passive Voice: глаголы с двумя дополнениями (give, offer, send…)</t>
        </is>
      </c>
    </row>
    <row r="1522">
      <c r="A1522" s="25" t="n">
        <v>10</v>
      </c>
      <c r="B1522" s="9" t="inlineStr">
        <is>
          <t>Module 7 · Let's have fun</t>
        </is>
      </c>
      <c r="C1522" s="9" t="inlineStr">
        <is>
          <t>7c</t>
        </is>
      </c>
      <c r="D1522" s="9" t="inlineStr">
        <is>
          <t>Passive Voice</t>
        </is>
      </c>
      <c r="E1522" s="23" t="inlineStr">
        <is>
          <t>Passive Voice: by в вопросах с who/whom/which</t>
        </is>
      </c>
      <c r="F1522" s="25" t="inlineStr">
        <is>
          <t>повторение</t>
        </is>
      </c>
      <c r="G1522" s="9" t="inlineStr"/>
      <c r="H1522" s="25" t="inlineStr">
        <is>
          <t>10+</t>
        </is>
      </c>
      <c r="I1522" s="9">
        <f>IFERROR(INDEX('Темы × классы'!$R:$R,MATCH(E1522,'Темы × классы'!$E:$E,0)),"")</f>
        <v/>
      </c>
      <c r="J1522" s="9">
        <f>IFERROR(INDEX('Темы × классы'!$S:$S,MATCH(E1522,'Темы × классы'!$E:$E,0))&amp;"","")</f>
        <v/>
      </c>
      <c r="K1522" s="9" t="inlineStr">
        <is>
          <t>не начат</t>
        </is>
      </c>
      <c r="L1522" s="9" t="inlineStr">
        <is>
          <t>Spotlight / 10 класс / Module 7 · Let's have fun / Passive Voice / Passive Voice: by в вопросах с who/whom/which</t>
        </is>
      </c>
    </row>
    <row r="1523">
      <c r="A1523" s="25" t="n">
        <v>10</v>
      </c>
      <c r="B1523" s="9" t="inlineStr">
        <is>
          <t>Module 7 · Let's have fun</t>
        </is>
      </c>
      <c r="C1523" s="9" t="inlineStr">
        <is>
          <t>7c</t>
        </is>
      </c>
      <c r="D1523" s="9" t="inlineStr">
        <is>
          <t>Passive Voice</t>
        </is>
      </c>
      <c r="E1523" s="23" t="inlineStr">
        <is>
          <t>Passive Voice: make/hear/see/help + to-inf в пассиве; see/hear/watch + -ing</t>
        </is>
      </c>
      <c r="F1523" s="25" t="inlineStr">
        <is>
          <t>повторение</t>
        </is>
      </c>
      <c r="G1523" s="9" t="inlineStr"/>
      <c r="H1523" s="25" t="inlineStr">
        <is>
          <t>10+</t>
        </is>
      </c>
      <c r="I1523" s="9">
        <f>IFERROR(INDEX('Темы × классы'!$R:$R,MATCH(E1523,'Темы × классы'!$E:$E,0)),"")</f>
        <v/>
      </c>
      <c r="J1523" s="9">
        <f>IFERROR(INDEX('Темы × классы'!$S:$S,MATCH(E1523,'Темы × классы'!$E:$E,0))&amp;"","")</f>
        <v/>
      </c>
      <c r="K1523" s="9" t="inlineStr">
        <is>
          <t>не начат</t>
        </is>
      </c>
      <c r="L1523" s="9" t="inlineStr">
        <is>
          <t>Spotlight / 10 класс / Module 7 · Let's have fun / Passive Voice / Passive Voice: make/hear/see/help + to-inf в пассиве; see/hear/watch + -ing</t>
        </is>
      </c>
    </row>
    <row r="1524">
      <c r="A1524" s="25" t="n">
        <v>10</v>
      </c>
      <c r="B1524" s="9" t="inlineStr">
        <is>
          <t>Module 7 · Let's have fun</t>
        </is>
      </c>
      <c r="C1524" s="9" t="inlineStr">
        <is>
          <t>7c</t>
        </is>
      </c>
      <c r="D1524" s="9" t="inlineStr">
        <is>
          <t>Phrasal verbs</t>
        </is>
      </c>
      <c r="E1524" s="23" t="inlineStr">
        <is>
          <t>Phrasal verbs: turn</t>
        </is>
      </c>
      <c r="F1524" s="25" t="inlineStr">
        <is>
          <t>повторение</t>
        </is>
      </c>
      <c r="G1524" s="9" t="inlineStr">
        <is>
          <t>Фразовые глаголы с turn (ToC: «phrasal verbs (turn)»); состав частиц и значения в источнике не даны.</t>
        </is>
      </c>
      <c r="H1524" s="25" t="inlineStr">
        <is>
          <t>10+</t>
        </is>
      </c>
      <c r="I1524" s="9">
        <f>IFERROR(INDEX('Темы × классы'!$R:$R,MATCH(E1524,'Темы × классы'!$E:$E,0)),"")</f>
        <v/>
      </c>
      <c r="J1524" s="9">
        <f>IFERROR(INDEX('Темы × классы'!$S:$S,MATCH(E1524,'Темы × классы'!$E:$E,0))&amp;"","")</f>
        <v/>
      </c>
      <c r="K1524" s="9" t="inlineStr">
        <is>
          <t>не начат</t>
        </is>
      </c>
      <c r="L1524" s="9" t="inlineStr">
        <is>
          <t>Spotlight / 10 класс / Module 7 · Let's have fun / Phrasal verbs / Phrasal verbs: turn</t>
        </is>
      </c>
    </row>
    <row r="1525">
      <c r="A1525" s="25" t="n">
        <v>10</v>
      </c>
      <c r="B1525" s="9" t="inlineStr">
        <is>
          <t>Module 7 · Let's have fun</t>
        </is>
      </c>
      <c r="C1525" s="9" t="inlineStr">
        <is>
          <t>7c</t>
        </is>
      </c>
      <c r="D1525" s="9" t="inlineStr">
        <is>
          <t>Word formation</t>
        </is>
      </c>
      <c r="E1525" s="23" t="inlineStr">
        <is>
          <t>Word formation: compound adjectives</t>
        </is>
      </c>
      <c r="F1525" s="25" t="inlineStr">
        <is>
          <t>повторение</t>
        </is>
      </c>
      <c r="G1525" s="9" t="inlineStr">
        <is>
          <t>Образование сложных прилагательных (ToC: «forming compound adjectives»).</t>
        </is>
      </c>
      <c r="H1525" s="25" t="inlineStr">
        <is>
          <t>10+</t>
        </is>
      </c>
      <c r="I1525" s="9">
        <f>IFERROR(INDEX('Темы × классы'!$R:$R,MATCH(E1525,'Темы × классы'!$E:$E,0)),"")</f>
        <v/>
      </c>
      <c r="J1525" s="9">
        <f>IFERROR(INDEX('Темы × классы'!$S:$S,MATCH(E1525,'Темы × классы'!$E:$E,0))&amp;"","")</f>
        <v/>
      </c>
      <c r="K1525" s="9" t="inlineStr">
        <is>
          <t>не начат</t>
        </is>
      </c>
      <c r="L1525" s="9" t="inlineStr">
        <is>
          <t>Spotlight / 10 класс / Module 7 · Let's have fun / Word formation / Word formation: compound adjectives</t>
        </is>
      </c>
    </row>
    <row r="1526">
      <c r="A1526" s="25" t="n">
        <v>10</v>
      </c>
      <c r="B1526" s="9" t="inlineStr">
        <is>
          <t>Module 8 · Technology</t>
        </is>
      </c>
      <c r="C1526" s="9" t="inlineStr">
        <is>
          <t>8c</t>
        </is>
      </c>
      <c r="D1526" s="9" t="inlineStr">
        <is>
          <t>Reported Speech: modal verbs</t>
        </is>
      </c>
      <c r="E1526" s="23" t="inlineStr">
        <is>
          <t>Reported Speech: modal verbs: will/shall → would</t>
        </is>
      </c>
      <c r="F1526" s="25" t="inlineStr">
        <is>
          <t>повторение</t>
        </is>
      </c>
      <c r="G1526" s="9" t="inlineStr"/>
      <c r="H1526" s="25" t="inlineStr">
        <is>
          <t>10+</t>
        </is>
      </c>
      <c r="I1526" s="9">
        <f>IFERROR(INDEX('Темы × классы'!$R:$R,MATCH(E1526,'Темы × классы'!$E:$E,0)),"")</f>
        <v/>
      </c>
      <c r="J1526" s="9">
        <f>IFERROR(INDEX('Темы × классы'!$S:$S,MATCH(E1526,'Темы × классы'!$E:$E,0))&amp;"","")</f>
        <v/>
      </c>
      <c r="K1526" s="9" t="inlineStr">
        <is>
          <t>не начат</t>
        </is>
      </c>
      <c r="L1526" s="9" t="inlineStr">
        <is>
          <t>Spotlight / 10 класс / Module 8 · Technology / Reported Speech: modal verbs / Reported Speech: modal verbs: will/shall → would</t>
        </is>
      </c>
    </row>
    <row r="1527">
      <c r="A1527" s="25" t="n">
        <v>10</v>
      </c>
      <c r="B1527" s="9" t="inlineStr">
        <is>
          <t>Module 8 · Technology</t>
        </is>
      </c>
      <c r="C1527" s="9" t="inlineStr">
        <is>
          <t>8c</t>
        </is>
      </c>
      <c r="D1527" s="9" t="inlineStr">
        <is>
          <t>Reported Speech: modal verbs</t>
        </is>
      </c>
      <c r="E1527" s="23" t="inlineStr">
        <is>
          <t>Reported Speech: modal verbs: can → could / would be able to</t>
        </is>
      </c>
      <c r="F1527" s="25" t="inlineStr">
        <is>
          <t>повторение</t>
        </is>
      </c>
      <c r="G1527" s="9" t="inlineStr"/>
      <c r="H1527" s="25" t="inlineStr">
        <is>
          <t>10+</t>
        </is>
      </c>
      <c r="I1527" s="9">
        <f>IFERROR(INDEX('Темы × классы'!$R:$R,MATCH(E1527,'Темы × классы'!$E:$E,0)),"")</f>
        <v/>
      </c>
      <c r="J1527" s="9">
        <f>IFERROR(INDEX('Темы × классы'!$S:$S,MATCH(E1527,'Темы × классы'!$E:$E,0))&amp;"","")</f>
        <v/>
      </c>
      <c r="K1527" s="9" t="inlineStr">
        <is>
          <t>не начат</t>
        </is>
      </c>
      <c r="L1527" s="9" t="inlineStr">
        <is>
          <t>Spotlight / 10 класс / Module 8 · Technology / Reported Speech: modal verbs / Reported Speech: modal verbs: can → could / would be able to</t>
        </is>
      </c>
    </row>
    <row r="1528">
      <c r="A1528" s="25" t="n">
        <v>10</v>
      </c>
      <c r="B1528" s="9" t="inlineStr">
        <is>
          <t>Module 8 · Technology</t>
        </is>
      </c>
      <c r="C1528" s="9" t="inlineStr">
        <is>
          <t>8c</t>
        </is>
      </c>
      <c r="D1528" s="9" t="inlineStr">
        <is>
          <t>Reported Speech: modal verbs</t>
        </is>
      </c>
      <c r="E1528" s="23" t="inlineStr">
        <is>
          <t>Reported Speech: modal verbs: may → might/could</t>
        </is>
      </c>
      <c r="F1528" s="25" t="inlineStr">
        <is>
          <t>повторение</t>
        </is>
      </c>
      <c r="G1528" s="9" t="inlineStr"/>
      <c r="H1528" s="25" t="inlineStr">
        <is>
          <t>10+</t>
        </is>
      </c>
      <c r="I1528" s="9">
        <f>IFERROR(INDEX('Темы × классы'!$R:$R,MATCH(E1528,'Темы × классы'!$E:$E,0)),"")</f>
        <v/>
      </c>
      <c r="J1528" s="9">
        <f>IFERROR(INDEX('Темы × классы'!$S:$S,MATCH(E1528,'Темы × классы'!$E:$E,0))&amp;"","")</f>
        <v/>
      </c>
      <c r="K1528" s="9" t="inlineStr">
        <is>
          <t>не начат</t>
        </is>
      </c>
      <c r="L1528" s="9" t="inlineStr">
        <is>
          <t>Spotlight / 10 класс / Module 8 · Technology / Reported Speech: modal verbs / Reported Speech: modal verbs: may → might/could</t>
        </is>
      </c>
    </row>
    <row r="1529">
      <c r="A1529" s="25" t="n">
        <v>10</v>
      </c>
      <c r="B1529" s="9" t="inlineStr">
        <is>
          <t>Module 8 · Technology</t>
        </is>
      </c>
      <c r="C1529" s="9" t="inlineStr">
        <is>
          <t>8c</t>
        </is>
      </c>
      <c r="D1529" s="9" t="inlineStr">
        <is>
          <t>Reported Speech: modal verbs</t>
        </is>
      </c>
      <c r="E1529" s="23" t="inlineStr">
        <is>
          <t>Reported Speech: modal verbs: shall → should / would / offered</t>
        </is>
      </c>
      <c r="F1529" s="25" t="inlineStr">
        <is>
          <t>повторение</t>
        </is>
      </c>
      <c r="G1529" s="9" t="inlineStr"/>
      <c r="H1529" s="25" t="inlineStr">
        <is>
          <t>10+</t>
        </is>
      </c>
      <c r="I1529" s="9">
        <f>IFERROR(INDEX('Темы × классы'!$R:$R,MATCH(E1529,'Темы × классы'!$E:$E,0)),"")</f>
        <v/>
      </c>
      <c r="J1529" s="9">
        <f>IFERROR(INDEX('Темы × классы'!$S:$S,MATCH(E1529,'Темы × классы'!$E:$E,0))&amp;"","")</f>
        <v/>
      </c>
      <c r="K1529" s="9" t="inlineStr">
        <is>
          <t>не начат</t>
        </is>
      </c>
      <c r="L1529" s="9" t="inlineStr">
        <is>
          <t>Spotlight / 10 класс / Module 8 · Technology / Reported Speech: modal verbs / Reported Speech: modal verbs: shall → should / would / offered</t>
        </is>
      </c>
    </row>
    <row r="1530">
      <c r="A1530" s="25" t="n">
        <v>10</v>
      </c>
      <c r="B1530" s="9" t="inlineStr">
        <is>
          <t>Module 8 · Technology</t>
        </is>
      </c>
      <c r="C1530" s="9" t="inlineStr">
        <is>
          <t>8c</t>
        </is>
      </c>
      <c r="D1530" s="9" t="inlineStr">
        <is>
          <t>Reported Speech: modal verbs</t>
        </is>
      </c>
      <c r="E1530" s="23" t="inlineStr">
        <is>
          <t>Reported Speech: modal verbs: must → had to (обязанность) / must (вывод)</t>
        </is>
      </c>
      <c r="F1530" s="25" t="inlineStr">
        <is>
          <t>повторение</t>
        </is>
      </c>
      <c r="G1530" s="9" t="inlineStr"/>
      <c r="H1530" s="25" t="inlineStr">
        <is>
          <t>10+</t>
        </is>
      </c>
      <c r="I1530" s="9">
        <f>IFERROR(INDEX('Темы × классы'!$R:$R,MATCH(E1530,'Темы × классы'!$E:$E,0)),"")</f>
        <v/>
      </c>
      <c r="J1530" s="9">
        <f>IFERROR(INDEX('Темы × классы'!$S:$S,MATCH(E1530,'Темы × классы'!$E:$E,0))&amp;"","")</f>
        <v/>
      </c>
      <c r="K1530" s="9" t="inlineStr">
        <is>
          <t>не начат</t>
        </is>
      </c>
      <c r="L1530" s="9" t="inlineStr">
        <is>
          <t>Spotlight / 10 класс / Module 8 · Technology / Reported Speech: modal verbs / Reported Speech: modal verbs: must → had to (обязанность) / must (вывод)</t>
        </is>
      </c>
    </row>
    <row r="1531">
      <c r="A1531" s="25" t="n">
        <v>10</v>
      </c>
      <c r="B1531" s="9" t="inlineStr">
        <is>
          <t>Module 8 · Technology</t>
        </is>
      </c>
      <c r="C1531" s="9" t="inlineStr">
        <is>
          <t>8c</t>
        </is>
      </c>
      <c r="D1531" s="9" t="inlineStr">
        <is>
          <t>Reported Speech: modal verbs</t>
        </is>
      </c>
      <c r="E1531" s="23" t="inlineStr">
        <is>
          <t>Reported Speech: modal verbs: needn't → didn't need to / didn't have to / wouldn't have to</t>
        </is>
      </c>
      <c r="F1531" s="25" t="inlineStr">
        <is>
          <t>повторение</t>
        </is>
      </c>
      <c r="G1531" s="9" t="inlineStr"/>
      <c r="H1531" s="25" t="inlineStr">
        <is>
          <t>10+</t>
        </is>
      </c>
      <c r="I1531" s="9">
        <f>IFERROR(INDEX('Темы × классы'!$R:$R,MATCH(E1531,'Темы × классы'!$E:$E,0)),"")</f>
        <v/>
      </c>
      <c r="J1531" s="9">
        <f>IFERROR(INDEX('Темы × классы'!$S:$S,MATCH(E1531,'Темы × классы'!$E:$E,0))&amp;"","")</f>
        <v/>
      </c>
      <c r="K1531" s="9" t="inlineStr">
        <is>
          <t>не начат</t>
        </is>
      </c>
      <c r="L1531" s="9" t="inlineStr">
        <is>
          <t>Spotlight / 10 класс / Module 8 · Technology / Reported Speech: modal verbs / Reported Speech: modal verbs: needn't → didn't need to / didn't have to / wouldn't have to</t>
        </is>
      </c>
    </row>
    <row r="1532">
      <c r="A1532" s="25" t="n">
        <v>10</v>
      </c>
      <c r="B1532" s="9" t="inlineStr">
        <is>
          <t>Module 8 · Technology</t>
        </is>
      </c>
      <c r="C1532" s="9" t="inlineStr">
        <is>
          <t>8c</t>
        </is>
      </c>
      <c r="D1532" s="9" t="inlineStr">
        <is>
          <t>Reported Speech: modal verbs</t>
        </is>
      </c>
      <c r="E1532" s="23" t="inlineStr">
        <is>
          <t>Reported Speech: modal verbs: не меняются (would, could, used to, mustn't, should, might, ought to, had better)</t>
        </is>
      </c>
      <c r="F1532" s="25" t="inlineStr">
        <is>
          <t>повторение</t>
        </is>
      </c>
      <c r="G1532" s="9" t="inlineStr"/>
      <c r="H1532" s="25" t="inlineStr">
        <is>
          <t>10+</t>
        </is>
      </c>
      <c r="I1532" s="9">
        <f>IFERROR(INDEX('Темы × классы'!$R:$R,MATCH(E1532,'Темы × классы'!$E:$E,0)),"")</f>
        <v/>
      </c>
      <c r="J1532" s="9">
        <f>IFERROR(INDEX('Темы × классы'!$S:$S,MATCH(E1532,'Темы × классы'!$E:$E,0))&amp;"","")</f>
        <v/>
      </c>
      <c r="K1532" s="9" t="inlineStr">
        <is>
          <t>не начат</t>
        </is>
      </c>
      <c r="L1532" s="9" t="inlineStr">
        <is>
          <t>Spotlight / 10 класс / Module 8 · Technology / Reported Speech: modal verbs / Reported Speech: modal verbs: не меняются (would, could, used to, mustn't, should, might, ought to, had better)</t>
        </is>
      </c>
    </row>
    <row r="1533">
      <c r="A1533" s="25" t="n">
        <v>10</v>
      </c>
      <c r="B1533" s="9" t="inlineStr">
        <is>
          <t>Module 8 · Technology</t>
        </is>
      </c>
      <c r="C1533" s="9" t="inlineStr">
        <is>
          <t>8c</t>
        </is>
      </c>
      <c r="D1533" s="9" t="inlineStr">
        <is>
          <t>Reported Speech</t>
        </is>
      </c>
      <c r="E1533" s="23" t="inlineStr">
        <is>
          <t>Reported Speech: прямая vs косвенная речь, that можно опустить</t>
        </is>
      </c>
      <c r="F1533" s="25" t="inlineStr">
        <is>
          <t>повторение</t>
        </is>
      </c>
      <c r="G1533" s="9" t="inlineStr"/>
      <c r="H1533" s="25" t="inlineStr">
        <is>
          <t>10+</t>
        </is>
      </c>
      <c r="I1533" s="9">
        <f>IFERROR(INDEX('Темы × классы'!$R:$R,MATCH(E1533,'Темы × классы'!$E:$E,0)),"")</f>
        <v/>
      </c>
      <c r="J1533" s="9">
        <f>IFERROR(INDEX('Темы × классы'!$S:$S,MATCH(E1533,'Темы × классы'!$E:$E,0))&amp;"","")</f>
        <v/>
      </c>
      <c r="K1533" s="9" t="inlineStr">
        <is>
          <t>не начат</t>
        </is>
      </c>
      <c r="L1533" s="9" t="inlineStr">
        <is>
          <t>Spotlight / 10 класс / Module 8 · Technology / Reported Speech / Reported Speech: прямая vs косвенная речь, that можно опустить</t>
        </is>
      </c>
    </row>
    <row r="1534">
      <c r="A1534" s="25" t="n">
        <v>10</v>
      </c>
      <c r="B1534" s="9" t="inlineStr">
        <is>
          <t>Module 8 · Technology</t>
        </is>
      </c>
      <c r="C1534" s="9" t="inlineStr">
        <is>
          <t>8c</t>
        </is>
      </c>
      <c r="D1534" s="9" t="inlineStr">
        <is>
          <t>Reported Speech</t>
        </is>
      </c>
      <c r="E1534" s="23" t="inlineStr">
        <is>
          <t>Reported Speech: say vs tell (say to sb, tell sb)</t>
        </is>
      </c>
      <c r="F1534" s="25" t="inlineStr">
        <is>
          <t>повторение</t>
        </is>
      </c>
      <c r="G1534" s="9" t="inlineStr"/>
      <c r="H1534" s="25" t="inlineStr">
        <is>
          <t>10+</t>
        </is>
      </c>
      <c r="I1534" s="9">
        <f>IFERROR(INDEX('Темы × классы'!$R:$R,MATCH(E1534,'Темы × классы'!$E:$E,0)),"")</f>
        <v/>
      </c>
      <c r="J1534" s="9">
        <f>IFERROR(INDEX('Темы × классы'!$S:$S,MATCH(E1534,'Темы × классы'!$E:$E,0))&amp;"","")</f>
        <v/>
      </c>
      <c r="K1534" s="9" t="inlineStr">
        <is>
          <t>не начат</t>
        </is>
      </c>
      <c r="L1534" s="9" t="inlineStr">
        <is>
          <t>Spotlight / 10 класс / Module 8 · Technology / Reported Speech / Reported Speech: say vs tell (say to sb, tell sb)</t>
        </is>
      </c>
    </row>
    <row r="1535">
      <c r="A1535" s="25" t="n">
        <v>10</v>
      </c>
      <c r="B1535" s="9" t="inlineStr">
        <is>
          <t>Module 8 · Technology</t>
        </is>
      </c>
      <c r="C1535" s="9" t="inlineStr">
        <is>
          <t>8c</t>
        </is>
      </c>
      <c r="D1535" s="9" t="inlineStr">
        <is>
          <t>Reported Speech</t>
        </is>
      </c>
      <c r="E1535" s="23" t="inlineStr">
        <is>
          <t>Reported Speech: say + to-inf; speak/talk about (не say about)</t>
        </is>
      </c>
      <c r="F1535" s="25" t="inlineStr">
        <is>
          <t>повторение</t>
        </is>
      </c>
      <c r="G1535" s="9" t="inlineStr"/>
      <c r="H1535" s="25" t="inlineStr">
        <is>
          <t>10+</t>
        </is>
      </c>
      <c r="I1535" s="9">
        <f>IFERROR(INDEX('Темы × классы'!$R:$R,MATCH(E1535,'Темы × классы'!$E:$E,0)),"")</f>
        <v/>
      </c>
      <c r="J1535" s="9">
        <f>IFERROR(INDEX('Темы × классы'!$S:$S,MATCH(E1535,'Темы × классы'!$E:$E,0))&amp;"","")</f>
        <v/>
      </c>
      <c r="K1535" s="9" t="inlineStr">
        <is>
          <t>не начат</t>
        </is>
      </c>
      <c r="L1535" s="9" t="inlineStr">
        <is>
          <t>Spotlight / 10 класс / Module 8 · Technology / Reported Speech / Reported Speech: say + to-inf; speak/talk about (не say about)</t>
        </is>
      </c>
    </row>
    <row r="1536">
      <c r="A1536" s="25" t="n">
        <v>10</v>
      </c>
      <c r="B1536" s="9" t="inlineStr">
        <is>
          <t>Module 8 · Technology</t>
        </is>
      </c>
      <c r="C1536" s="9" t="inlineStr">
        <is>
          <t>8c</t>
        </is>
      </c>
      <c r="D1536" s="9" t="inlineStr">
        <is>
          <t>Reported Speech</t>
        </is>
      </c>
      <c r="E1536" s="23" t="inlineStr">
        <is>
          <t>Reported Speech: устойчивые сочетания с say/tell/ask</t>
        </is>
      </c>
      <c r="F1536" s="25" t="inlineStr">
        <is>
          <t>повторение</t>
        </is>
      </c>
      <c r="G1536" s="9" t="inlineStr"/>
      <c r="H1536" s="25" t="inlineStr">
        <is>
          <t>10+</t>
        </is>
      </c>
      <c r="I1536" s="9">
        <f>IFERROR(INDEX('Темы × классы'!$R:$R,MATCH(E1536,'Темы × классы'!$E:$E,0)),"")</f>
        <v/>
      </c>
      <c r="J1536" s="9">
        <f>IFERROR(INDEX('Темы × классы'!$S:$S,MATCH(E1536,'Темы × классы'!$E:$E,0))&amp;"","")</f>
        <v/>
      </c>
      <c r="K1536" s="9" t="inlineStr">
        <is>
          <t>не начат</t>
        </is>
      </c>
      <c r="L1536" s="9" t="inlineStr">
        <is>
          <t>Spotlight / 10 класс / Module 8 · Technology / Reported Speech / Reported Speech: устойчивые сочетания с say/tell/ask</t>
        </is>
      </c>
    </row>
    <row r="1537">
      <c r="A1537" s="25" t="n">
        <v>10</v>
      </c>
      <c r="B1537" s="9" t="inlineStr">
        <is>
          <t>Module 8 · Technology</t>
        </is>
      </c>
      <c r="C1537" s="9" t="inlineStr">
        <is>
          <t>8c</t>
        </is>
      </c>
      <c r="D1537" s="9" t="inlineStr">
        <is>
          <t>Reported Speech</t>
        </is>
      </c>
      <c r="E1537" s="23" t="inlineStr">
        <is>
          <t>Reported Speech: без сдвига времён — вводящий глагол в настоящем (up-to-date reporting)</t>
        </is>
      </c>
      <c r="F1537" s="25" t="inlineStr">
        <is>
          <t>повторение</t>
        </is>
      </c>
      <c r="G1537" s="9" t="inlineStr"/>
      <c r="H1537" s="25" t="inlineStr">
        <is>
          <t>10+</t>
        </is>
      </c>
      <c r="I1537" s="9">
        <f>IFERROR(INDEX('Темы × классы'!$R:$R,MATCH(E1537,'Темы × классы'!$E:$E,0)),"")</f>
        <v/>
      </c>
      <c r="J1537" s="9">
        <f>IFERROR(INDEX('Темы × классы'!$S:$S,MATCH(E1537,'Темы × классы'!$E:$E,0))&amp;"","")</f>
        <v/>
      </c>
      <c r="K1537" s="9" t="inlineStr">
        <is>
          <t>не начат</t>
        </is>
      </c>
      <c r="L1537" s="9" t="inlineStr">
        <is>
          <t>Spotlight / 10 класс / Module 8 · Technology / Reported Speech / Reported Speech: без сдвига времён — вводящий глагол в настоящем (up-to-date reporting)</t>
        </is>
      </c>
    </row>
    <row r="1538">
      <c r="A1538" s="25" t="n">
        <v>10</v>
      </c>
      <c r="B1538" s="9" t="inlineStr">
        <is>
          <t>Module 8 · Technology</t>
        </is>
      </c>
      <c r="C1538" s="9" t="inlineStr">
        <is>
          <t>8c</t>
        </is>
      </c>
      <c r="D1538" s="9" t="inlineStr">
        <is>
          <t>Reported Speech</t>
        </is>
      </c>
      <c r="E1538" s="23" t="inlineStr">
        <is>
          <t>Reported Speech: без сдвига времён — общие истины, условные 2/3 типа, wish, сразу после сказанного</t>
        </is>
      </c>
      <c r="F1538" s="25" t="inlineStr">
        <is>
          <t>повторение</t>
        </is>
      </c>
      <c r="G1538" s="9" t="inlineStr">
        <is>
          <t>+ unreal past</t>
        </is>
      </c>
      <c r="H1538" s="25" t="inlineStr">
        <is>
          <t>10+</t>
        </is>
      </c>
      <c r="I1538" s="9">
        <f>IFERROR(INDEX('Темы × классы'!$R:$R,MATCH(E1538,'Темы × классы'!$E:$E,0)),"")</f>
        <v/>
      </c>
      <c r="J1538" s="9">
        <f>IFERROR(INDEX('Темы × классы'!$S:$S,MATCH(E1538,'Темы × классы'!$E:$E,0))&amp;"","")</f>
        <v/>
      </c>
      <c r="K1538" s="9" t="inlineStr">
        <is>
          <t>не начат</t>
        </is>
      </c>
      <c r="L1538" s="9" t="inlineStr">
        <is>
          <t>Spotlight / 10 класс / Module 8 · Technology / Reported Speech / Reported Speech: без сдвига времён — общие истины, условные 2/3 типа, wish, сразу после сказанного</t>
        </is>
      </c>
    </row>
    <row r="1539">
      <c r="A1539" s="25" t="n">
        <v>10</v>
      </c>
      <c r="B1539" s="9" t="inlineStr">
        <is>
          <t>Module 8 · Technology</t>
        </is>
      </c>
      <c r="C1539" s="9" t="inlineStr">
        <is>
          <t>8c</t>
        </is>
      </c>
      <c r="D1539" s="9" t="inlineStr">
        <is>
          <t>Reported Speech</t>
        </is>
      </c>
      <c r="E1539" s="23" t="inlineStr">
        <is>
          <t>Reported Speech: сдвиг времён (Present → Past, Past → Past Perfect, will → would)</t>
        </is>
      </c>
      <c r="F1539" s="25" t="inlineStr">
        <is>
          <t>повторение</t>
        </is>
      </c>
      <c r="G1539" s="9" t="inlineStr"/>
      <c r="H1539" s="25" t="inlineStr">
        <is>
          <t>10+</t>
        </is>
      </c>
      <c r="I1539" s="9">
        <f>IFERROR(INDEX('Темы × классы'!$R:$R,MATCH(E1539,'Темы × классы'!$E:$E,0)),"")</f>
        <v/>
      </c>
      <c r="J1539" s="9">
        <f>IFERROR(INDEX('Темы × классы'!$S:$S,MATCH(E1539,'Темы × классы'!$E:$E,0))&amp;"","")</f>
        <v/>
      </c>
      <c r="K1539" s="9" t="inlineStr">
        <is>
          <t>не начат</t>
        </is>
      </c>
      <c r="L1539" s="9" t="inlineStr">
        <is>
          <t>Spotlight / 10 класс / Module 8 · Technology / Reported Speech / Reported Speech: сдвиг времён (Present → Past, Past → Past Perfect, will → would)</t>
        </is>
      </c>
    </row>
    <row r="1540">
      <c r="A1540" s="25" t="n">
        <v>10</v>
      </c>
      <c r="B1540" s="9" t="inlineStr">
        <is>
          <t>Module 8 · Technology</t>
        </is>
      </c>
      <c r="C1540" s="9" t="inlineStr">
        <is>
          <t>8c</t>
        </is>
      </c>
      <c r="D1540" s="9" t="inlineStr">
        <is>
          <t>Reported Speech</t>
        </is>
      </c>
      <c r="E1540" s="23" t="inlineStr">
        <is>
          <t>Reported Speech: слова времени и места (now → then, yesterday → the day before…)</t>
        </is>
      </c>
      <c r="F1540" s="25" t="inlineStr">
        <is>
          <t>повторение</t>
        </is>
      </c>
      <c r="G1540" s="9" t="inlineStr"/>
      <c r="H1540" s="25" t="inlineStr">
        <is>
          <t>10+</t>
        </is>
      </c>
      <c r="I1540" s="9">
        <f>IFERROR(INDEX('Темы × классы'!$R:$R,MATCH(E1540,'Темы × классы'!$E:$E,0)),"")</f>
        <v/>
      </c>
      <c r="J1540" s="9">
        <f>IFERROR(INDEX('Темы × классы'!$S:$S,MATCH(E1540,'Темы × классы'!$E:$E,0))&amp;"","")</f>
        <v/>
      </c>
      <c r="K1540" s="9" t="inlineStr">
        <is>
          <t>не начат</t>
        </is>
      </c>
      <c r="L1540" s="9" t="inlineStr">
        <is>
          <t>Spotlight / 10 класс / Module 8 · Technology / Reported Speech / Reported Speech: слова времени и места (now → then, yesterday → the day before…)</t>
        </is>
      </c>
    </row>
    <row r="1541">
      <c r="A1541" s="25" t="n">
        <v>10</v>
      </c>
      <c r="B1541" s="9" t="inlineStr">
        <is>
          <t>Module 8 · Technology</t>
        </is>
      </c>
      <c r="C1541" s="9" t="inlineStr">
        <is>
          <t>8c</t>
        </is>
      </c>
      <c r="D1541" s="9" t="inlineStr">
        <is>
          <t>Reported commands/requests</t>
        </is>
      </c>
      <c r="E1541" s="23" t="inlineStr">
        <is>
          <t>Reported commands: приказы — order/tell + sb + (not) to-inf</t>
        </is>
      </c>
      <c r="F1541" s="25" t="inlineStr">
        <is>
          <t>повторение</t>
        </is>
      </c>
      <c r="G1541" s="9" t="inlineStr"/>
      <c r="H1541" s="25" t="inlineStr">
        <is>
          <t>10+</t>
        </is>
      </c>
      <c r="I1541" s="9">
        <f>IFERROR(INDEX('Темы × классы'!$R:$R,MATCH(E1541,'Темы × классы'!$E:$E,0)),"")</f>
        <v/>
      </c>
      <c r="J1541" s="9">
        <f>IFERROR(INDEX('Темы × классы'!$S:$S,MATCH(E1541,'Темы × классы'!$E:$E,0))&amp;"","")</f>
        <v/>
      </c>
      <c r="K1541" s="9" t="inlineStr">
        <is>
          <t>не начат</t>
        </is>
      </c>
      <c r="L1541" s="9" t="inlineStr">
        <is>
          <t>Spotlight / 10 класс / Module 8 · Technology / Reported commands/requests / Reported commands: приказы — order/tell + sb + (not) to-inf</t>
        </is>
      </c>
    </row>
    <row r="1542">
      <c r="A1542" s="25" t="n">
        <v>10</v>
      </c>
      <c r="B1542" s="9" t="inlineStr">
        <is>
          <t>Module 8 · Technology</t>
        </is>
      </c>
      <c r="C1542" s="9" t="inlineStr">
        <is>
          <t>8c</t>
        </is>
      </c>
      <c r="D1542" s="9" t="inlineStr">
        <is>
          <t>Reported commands/requests</t>
        </is>
      </c>
      <c r="E1542" s="23" t="inlineStr">
        <is>
          <t>Reported requests: ask/beg + sb + (not) to-inf</t>
        </is>
      </c>
      <c r="F1542" s="25" t="inlineStr">
        <is>
          <t>повторение</t>
        </is>
      </c>
      <c r="G1542" s="9" t="inlineStr"/>
      <c r="H1542" s="25" t="inlineStr">
        <is>
          <t>10+</t>
        </is>
      </c>
      <c r="I1542" s="9">
        <f>IFERROR(INDEX('Темы × классы'!$R:$R,MATCH(E1542,'Темы × классы'!$E:$E,0)),"")</f>
        <v/>
      </c>
      <c r="J1542" s="9">
        <f>IFERROR(INDEX('Темы × классы'!$S:$S,MATCH(E1542,'Темы × классы'!$E:$E,0))&amp;"","")</f>
        <v/>
      </c>
      <c r="K1542" s="9" t="inlineStr">
        <is>
          <t>не начат</t>
        </is>
      </c>
      <c r="L1542" s="9" t="inlineStr">
        <is>
          <t>Spotlight / 10 класс / Module 8 · Technology / Reported commands/requests / Reported requests: ask/beg + sb + (not) to-inf</t>
        </is>
      </c>
    </row>
    <row r="1543">
      <c r="A1543" s="25" t="n">
        <v>10</v>
      </c>
      <c r="B1543" s="9" t="inlineStr">
        <is>
          <t>Module 8 · Technology</t>
        </is>
      </c>
      <c r="C1543" s="9" t="inlineStr">
        <is>
          <t>8c</t>
        </is>
      </c>
      <c r="D1543" s="9" t="inlineStr">
        <is>
          <t>Reported commands/requests</t>
        </is>
      </c>
      <c r="E1543" s="23" t="inlineStr">
        <is>
          <t>Reported suggestions: suggest + -ing / that sb (should) …</t>
        </is>
      </c>
      <c r="F1543" s="25" t="inlineStr">
        <is>
          <t>повторение</t>
        </is>
      </c>
      <c r="G1543" s="9" t="inlineStr"/>
      <c r="H1543" s="25" t="inlineStr">
        <is>
          <t>10+</t>
        </is>
      </c>
      <c r="I1543" s="9">
        <f>IFERROR(INDEX('Темы × классы'!$R:$R,MATCH(E1543,'Темы × классы'!$E:$E,0)),"")</f>
        <v/>
      </c>
      <c r="J1543" s="9">
        <f>IFERROR(INDEX('Темы × классы'!$S:$S,MATCH(E1543,'Темы × классы'!$E:$E,0))&amp;"","")</f>
        <v/>
      </c>
      <c r="K1543" s="9" t="inlineStr">
        <is>
          <t>не начат</t>
        </is>
      </c>
      <c r="L1543" s="9" t="inlineStr">
        <is>
          <t>Spotlight / 10 класс / Module 8 · Technology / Reported commands/requests / Reported suggestions: suggest + -ing / that sb (should) …</t>
        </is>
      </c>
    </row>
    <row r="1544">
      <c r="A1544" s="25" t="n">
        <v>10</v>
      </c>
      <c r="B1544" s="9" t="inlineStr">
        <is>
          <t>Module 8 · Technology</t>
        </is>
      </c>
      <c r="C1544" s="9" t="inlineStr">
        <is>
          <t>8c</t>
        </is>
      </c>
      <c r="D1544" s="9" t="inlineStr">
        <is>
          <t>Reported commands/requests</t>
        </is>
      </c>
      <c r="E1544" s="23" t="inlineStr">
        <is>
          <t>Reported advice: advise + sb + (not) to-inf</t>
        </is>
      </c>
      <c r="F1544" s="25" t="inlineStr">
        <is>
          <t>повторение</t>
        </is>
      </c>
      <c r="G1544" s="9" t="inlineStr"/>
      <c r="H1544" s="25" t="inlineStr">
        <is>
          <t>10+</t>
        </is>
      </c>
      <c r="I1544" s="9">
        <f>IFERROR(INDEX('Темы × классы'!$R:$R,MATCH(E1544,'Темы × классы'!$E:$E,0)),"")</f>
        <v/>
      </c>
      <c r="J1544" s="9">
        <f>IFERROR(INDEX('Темы × классы'!$S:$S,MATCH(E1544,'Темы × классы'!$E:$E,0))&amp;"","")</f>
        <v/>
      </c>
      <c r="K1544" s="9" t="inlineStr">
        <is>
          <t>не начат</t>
        </is>
      </c>
      <c r="L1544" s="9" t="inlineStr">
        <is>
          <t>Spotlight / 10 класс / Module 8 · Technology / Reported commands/requests / Reported advice: advise + sb + (not) to-inf</t>
        </is>
      </c>
    </row>
    <row r="1545">
      <c r="A1545" s="25" t="n">
        <v>10</v>
      </c>
      <c r="B1545" s="9" t="inlineStr">
        <is>
          <t>Module 8 · Technology</t>
        </is>
      </c>
      <c r="C1545" s="9" t="inlineStr">
        <is>
          <t>8c</t>
        </is>
      </c>
      <c r="D1545" s="9" t="inlineStr">
        <is>
          <t>Reporting verbs</t>
        </is>
      </c>
      <c r="E1545" s="23" t="inlineStr">
        <is>
          <t>Reporting verbs: + to-inf (agree, claim, offer, promise, refuse, threaten…)</t>
        </is>
      </c>
      <c r="F1545" s="25" t="inlineStr">
        <is>
          <t>повторение</t>
        </is>
      </c>
      <c r="G1545" s="9" t="inlineStr"/>
      <c r="H1545" s="25" t="inlineStr">
        <is>
          <t>10+</t>
        </is>
      </c>
      <c r="I1545" s="9">
        <f>IFERROR(INDEX('Темы × классы'!$R:$R,MATCH(E1545,'Темы × классы'!$E:$E,0)),"")</f>
        <v/>
      </c>
      <c r="J1545" s="9">
        <f>IFERROR(INDEX('Темы × классы'!$S:$S,MATCH(E1545,'Темы × классы'!$E:$E,0))&amp;"","")</f>
        <v/>
      </c>
      <c r="K1545" s="9" t="inlineStr">
        <is>
          <t>не начат</t>
        </is>
      </c>
      <c r="L1545" s="9" t="inlineStr">
        <is>
          <t>Spotlight / 10 класс / Module 8 · Technology / Reporting verbs / Reporting verbs: + to-inf (agree, claim, offer, promise, refuse, threaten…)</t>
        </is>
      </c>
    </row>
    <row r="1546">
      <c r="A1546" s="25" t="n">
        <v>10</v>
      </c>
      <c r="B1546" s="9" t="inlineStr">
        <is>
          <t>Module 8 · Technology</t>
        </is>
      </c>
      <c r="C1546" s="9" t="inlineStr">
        <is>
          <t>8c</t>
        </is>
      </c>
      <c r="D1546" s="9" t="inlineStr">
        <is>
          <t>Reporting verbs</t>
        </is>
      </c>
      <c r="E1546" s="23" t="inlineStr">
        <is>
          <t>Reporting verbs: + sb + to-inf (advise, allow, encourage, order, remind, warn…)</t>
        </is>
      </c>
      <c r="F1546" s="25" t="inlineStr">
        <is>
          <t>повторение</t>
        </is>
      </c>
      <c r="G1546" s="9" t="inlineStr"/>
      <c r="H1546" s="25" t="inlineStr">
        <is>
          <t>10+</t>
        </is>
      </c>
      <c r="I1546" s="9">
        <f>IFERROR(INDEX('Темы × классы'!$R:$R,MATCH(E1546,'Темы × классы'!$E:$E,0)),"")</f>
        <v/>
      </c>
      <c r="J1546" s="9">
        <f>IFERROR(INDEX('Темы × классы'!$S:$S,MATCH(E1546,'Темы × классы'!$E:$E,0))&amp;"","")</f>
        <v/>
      </c>
      <c r="K1546" s="9" t="inlineStr">
        <is>
          <t>не начат</t>
        </is>
      </c>
      <c r="L1546" s="9" t="inlineStr">
        <is>
          <t>Spotlight / 10 класс / Module 8 · Technology / Reporting verbs / Reporting verbs: + sb + to-inf (advise, allow, encourage, order, remind, warn…)</t>
        </is>
      </c>
    </row>
    <row r="1547">
      <c r="A1547" s="25" t="n">
        <v>10</v>
      </c>
      <c r="B1547" s="9" t="inlineStr">
        <is>
          <t>Module 8 · Technology</t>
        </is>
      </c>
      <c r="C1547" s="9" t="inlineStr">
        <is>
          <t>8c</t>
        </is>
      </c>
      <c r="D1547" s="9" t="inlineStr">
        <is>
          <t>Reporting verbs</t>
        </is>
      </c>
      <c r="E1547" s="23" t="inlineStr">
        <is>
          <t>Reporting verbs: + (предлог +) -ing (accuse sb of, apologise for, deny, insist on, suggest…)</t>
        </is>
      </c>
      <c r="F1547" s="25" t="inlineStr">
        <is>
          <t>повторение</t>
        </is>
      </c>
      <c r="G1547" s="9" t="inlineStr"/>
      <c r="H1547" s="25" t="inlineStr">
        <is>
          <t>10+</t>
        </is>
      </c>
      <c r="I1547" s="9">
        <f>IFERROR(INDEX('Темы × классы'!$R:$R,MATCH(E1547,'Темы × классы'!$E:$E,0)),"")</f>
        <v/>
      </c>
      <c r="J1547" s="9">
        <f>IFERROR(INDEX('Темы × классы'!$S:$S,MATCH(E1547,'Темы × классы'!$E:$E,0))&amp;"","")</f>
        <v/>
      </c>
      <c r="K1547" s="9" t="inlineStr">
        <is>
          <t>не начат</t>
        </is>
      </c>
      <c r="L1547" s="9" t="inlineStr">
        <is>
          <t>Spotlight / 10 класс / Module 8 · Technology / Reporting verbs / Reporting verbs: + (предлог +) -ing (accuse sb of, apologise for, deny, insist on, suggest…)</t>
        </is>
      </c>
    </row>
    <row r="1548">
      <c r="A1548" s="25" t="n">
        <v>10</v>
      </c>
      <c r="B1548" s="9" t="inlineStr">
        <is>
          <t>Module 8 · Technology</t>
        </is>
      </c>
      <c r="C1548" s="9" t="inlineStr">
        <is>
          <t>8c</t>
        </is>
      </c>
      <c r="D1548" s="9" t="inlineStr">
        <is>
          <t>Reporting verbs</t>
        </is>
      </c>
      <c r="E1548" s="23" t="inlineStr">
        <is>
          <t>Reporting verbs: + that-clause (agree, claim, explain, inform sb, promise…)</t>
        </is>
      </c>
      <c r="F1548" s="25" t="inlineStr">
        <is>
          <t>повторение</t>
        </is>
      </c>
      <c r="G1548" s="9" t="inlineStr"/>
      <c r="H1548" s="25" t="inlineStr">
        <is>
          <t>10+</t>
        </is>
      </c>
      <c r="I1548" s="9">
        <f>IFERROR(INDEX('Темы × классы'!$R:$R,MATCH(E1548,'Темы × классы'!$E:$E,0)),"")</f>
        <v/>
      </c>
      <c r="J1548" s="9">
        <f>IFERROR(INDEX('Темы × классы'!$S:$S,MATCH(E1548,'Темы × классы'!$E:$E,0))&amp;"","")</f>
        <v/>
      </c>
      <c r="K1548" s="9" t="inlineStr">
        <is>
          <t>не начат</t>
        </is>
      </c>
      <c r="L1548" s="9" t="inlineStr">
        <is>
          <t>Spotlight / 10 класс / Module 8 · Technology / Reporting verbs / Reporting verbs: + that-clause (agree, claim, explain, inform sb, promise…)</t>
        </is>
      </c>
    </row>
    <row r="1549">
      <c r="A1549" s="25" t="n">
        <v>10</v>
      </c>
      <c r="B1549" s="9" t="inlineStr">
        <is>
          <t>Module 8 · Technology</t>
        </is>
      </c>
      <c r="C1549" s="9" t="inlineStr">
        <is>
          <t>8c</t>
        </is>
      </c>
      <c r="D1549" s="9" t="inlineStr">
        <is>
          <t>Reporting verbs</t>
        </is>
      </c>
      <c r="E1549" s="23" t="inlineStr">
        <is>
          <t>Reporting verbs: explain/wonder + вопросительное слово (+ to-inf / clause)</t>
        </is>
      </c>
      <c r="F1549" s="25" t="inlineStr">
        <is>
          <t>повторение</t>
        </is>
      </c>
      <c r="G1549" s="9" t="inlineStr"/>
      <c r="H1549" s="25" t="inlineStr">
        <is>
          <t>10+</t>
        </is>
      </c>
      <c r="I1549" s="9">
        <f>IFERROR(INDEX('Темы × классы'!$R:$R,MATCH(E1549,'Темы × классы'!$E:$E,0)),"")</f>
        <v/>
      </c>
      <c r="J1549" s="9">
        <f>IFERROR(INDEX('Темы × классы'!$S:$S,MATCH(E1549,'Темы × классы'!$E:$E,0))&amp;"","")</f>
        <v/>
      </c>
      <c r="K1549" s="9" t="inlineStr">
        <is>
          <t>не начат</t>
        </is>
      </c>
      <c r="L1549" s="9" t="inlineStr">
        <is>
          <t>Spotlight / 10 класс / Module 8 · Technology / Reporting verbs / Reporting verbs: explain/wonder + вопросительное слово (+ to-inf / clause)</t>
        </is>
      </c>
    </row>
    <row r="1550">
      <c r="A1550" s="25" t="n">
        <v>10</v>
      </c>
      <c r="B1550" s="9" t="inlineStr">
        <is>
          <t>Module 8 · Technology</t>
        </is>
      </c>
      <c r="C1550" s="9" t="inlineStr">
        <is>
          <t>8c</t>
        </is>
      </c>
      <c r="D1550" s="9" t="inlineStr">
        <is>
          <t>Reporting verbs</t>
        </is>
      </c>
      <c r="E1550" s="23" t="inlineStr">
        <is>
          <t>Reporting verbs: пересказ диалогов — связки, восклицания, краткие ответы, question tags</t>
        </is>
      </c>
      <c r="F1550" s="26" t="inlineStr">
        <is>
          <t>новое</t>
        </is>
      </c>
      <c r="G1550" s="9" t="inlineStr">
        <is>
          <t>and, as, adding that, explaining that…; exclaim, thank; question tags опускаются</t>
        </is>
      </c>
      <c r="H1550" s="25" t="inlineStr">
        <is>
          <t>10+</t>
        </is>
      </c>
      <c r="I1550" s="9">
        <f>IFERROR(INDEX('Темы × классы'!$R:$R,MATCH(E1550,'Темы × классы'!$E:$E,0)),"")</f>
        <v/>
      </c>
      <c r="J1550" s="9">
        <f>IFERROR(INDEX('Темы × классы'!$S:$S,MATCH(E1550,'Темы × классы'!$E:$E,0))&amp;"","")</f>
        <v/>
      </c>
      <c r="K1550" s="9" t="inlineStr">
        <is>
          <t>не начат</t>
        </is>
      </c>
      <c r="L1550" s="9" t="inlineStr">
        <is>
          <t>Spotlight / 10 класс / Module 8 · Technology / Reporting verbs / Reporting verbs: пересказ диалогов — связки, восклицания, краткие ответы, question tags</t>
        </is>
      </c>
    </row>
    <row r="1551">
      <c r="A1551" s="25" t="n">
        <v>10</v>
      </c>
      <c r="B1551" s="9" t="inlineStr">
        <is>
          <t>Module 8 · Technology</t>
        </is>
      </c>
      <c r="C1551" s="9" t="inlineStr">
        <is>
          <t>8c</t>
        </is>
      </c>
      <c r="D1551" s="9" t="inlineStr">
        <is>
          <t>Relative pronouns / Relative clauses</t>
        </is>
      </c>
      <c r="E1551" s="23" t="inlineStr">
        <is>
          <t>Relative clauses: who(m) / which / that — люди и предметы</t>
        </is>
      </c>
      <c r="F1551" s="25" t="inlineStr">
        <is>
          <t>повторение</t>
        </is>
      </c>
      <c r="G1551" s="9" t="inlineStr"/>
      <c r="H1551" s="25" t="inlineStr">
        <is>
          <t>10+</t>
        </is>
      </c>
      <c r="I1551" s="9">
        <f>IFERROR(INDEX('Темы × классы'!$R:$R,MATCH(E1551,'Темы × классы'!$E:$E,0)),"")</f>
        <v/>
      </c>
      <c r="J1551" s="9">
        <f>IFERROR(INDEX('Темы × классы'!$S:$S,MATCH(E1551,'Темы × классы'!$E:$E,0))&amp;"","")</f>
        <v/>
      </c>
      <c r="K1551" s="9" t="inlineStr">
        <is>
          <t>не начат</t>
        </is>
      </c>
      <c r="L1551" s="9" t="inlineStr">
        <is>
          <t>Spotlight / 10 класс / Module 8 · Technology / Relative pronouns / Relative clauses / Relative clauses: who(m) / which / that — люди и предметы</t>
        </is>
      </c>
    </row>
    <row r="1552">
      <c r="A1552" s="25" t="n">
        <v>10</v>
      </c>
      <c r="B1552" s="9" t="inlineStr">
        <is>
          <t>Module 8 · Technology</t>
        </is>
      </c>
      <c r="C1552" s="9" t="inlineStr">
        <is>
          <t>8c</t>
        </is>
      </c>
      <c r="D1552" s="9" t="inlineStr">
        <is>
          <t>Relative pronouns / Relative clauses</t>
        </is>
      </c>
      <c r="E1552" s="23" t="inlineStr">
        <is>
          <t>Relative clauses: whose — принадлежность</t>
        </is>
      </c>
      <c r="F1552" s="25" t="inlineStr">
        <is>
          <t>повторение</t>
        </is>
      </c>
      <c r="G1552" s="9" t="inlineStr"/>
      <c r="H1552" s="25" t="inlineStr">
        <is>
          <t>10+</t>
        </is>
      </c>
      <c r="I1552" s="9">
        <f>IFERROR(INDEX('Темы × классы'!$R:$R,MATCH(E1552,'Темы × классы'!$E:$E,0)),"")</f>
        <v/>
      </c>
      <c r="J1552" s="9">
        <f>IFERROR(INDEX('Темы × классы'!$S:$S,MATCH(E1552,'Темы × классы'!$E:$E,0))&amp;"","")</f>
        <v/>
      </c>
      <c r="K1552" s="9" t="inlineStr">
        <is>
          <t>не начат</t>
        </is>
      </c>
      <c r="L1552" s="9" t="inlineStr">
        <is>
          <t>Spotlight / 10 класс / Module 8 · Technology / Relative pronouns / Relative clauses / Relative clauses: whose — принадлежность</t>
        </is>
      </c>
    </row>
    <row r="1553">
      <c r="A1553" s="25" t="n">
        <v>10</v>
      </c>
      <c r="B1553" s="9" t="inlineStr">
        <is>
          <t>Module 8 · Technology</t>
        </is>
      </c>
      <c r="C1553" s="9" t="inlineStr">
        <is>
          <t>8c</t>
        </is>
      </c>
      <c r="D1553" s="9" t="inlineStr">
        <is>
          <t>Relative pronouns / Relative clauses</t>
        </is>
      </c>
      <c r="E1553" s="23" t="inlineStr">
        <is>
          <t>Relative clauses: опущение who/which/that (дополнение vs подлежащее)</t>
        </is>
      </c>
      <c r="F1553" s="25" t="inlineStr">
        <is>
          <t>повторение</t>
        </is>
      </c>
      <c r="G1553" s="9" t="inlineStr"/>
      <c r="H1553" s="25" t="inlineStr">
        <is>
          <t>10+</t>
        </is>
      </c>
      <c r="I1553" s="9">
        <f>IFERROR(INDEX('Темы × классы'!$R:$R,MATCH(E1553,'Темы × классы'!$E:$E,0)),"")</f>
        <v/>
      </c>
      <c r="J1553" s="9">
        <f>IFERROR(INDEX('Темы × классы'!$S:$S,MATCH(E1553,'Темы × классы'!$E:$E,0))&amp;"","")</f>
        <v/>
      </c>
      <c r="K1553" s="9" t="inlineStr">
        <is>
          <t>не начат</t>
        </is>
      </c>
      <c r="L1553" s="9" t="inlineStr">
        <is>
          <t>Spotlight / 10 класс / Module 8 · Technology / Relative pronouns / Relative clauses / Relative clauses: опущение who/which/that (дополнение vs подлежащее)</t>
        </is>
      </c>
    </row>
    <row r="1554">
      <c r="A1554" s="25" t="n">
        <v>10</v>
      </c>
      <c r="B1554" s="9" t="inlineStr">
        <is>
          <t>Module 8 · Technology</t>
        </is>
      </c>
      <c r="C1554" s="9" t="inlineStr">
        <is>
          <t>8c</t>
        </is>
      </c>
      <c r="D1554" s="9" t="inlineStr">
        <is>
          <t>Relative pronouns / Relative clauses</t>
        </is>
      </c>
      <c r="E1554" s="23" t="inlineStr">
        <is>
          <t>Relative clauses: относительные наречия when / where / why</t>
        </is>
      </c>
      <c r="F1554" s="25" t="inlineStr">
        <is>
          <t>повторение</t>
        </is>
      </c>
      <c r="G1554" s="9" t="inlineStr"/>
      <c r="H1554" s="25" t="inlineStr">
        <is>
          <t>10+</t>
        </is>
      </c>
      <c r="I1554" s="9">
        <f>IFERROR(INDEX('Темы × классы'!$R:$R,MATCH(E1554,'Темы × классы'!$E:$E,0)),"")</f>
        <v/>
      </c>
      <c r="J1554" s="9">
        <f>IFERROR(INDEX('Темы × классы'!$S:$S,MATCH(E1554,'Темы × классы'!$E:$E,0))&amp;"","")</f>
        <v/>
      </c>
      <c r="K1554" s="9" t="inlineStr">
        <is>
          <t>не начат</t>
        </is>
      </c>
      <c r="L1554" s="9" t="inlineStr">
        <is>
          <t>Spotlight / 10 класс / Module 8 · Technology / Relative pronouns / Relative clauses / Relative clauses: относительные наречия when / where / why</t>
        </is>
      </c>
    </row>
    <row r="1555">
      <c r="A1555" s="25" t="n">
        <v>10</v>
      </c>
      <c r="B1555" s="9" t="inlineStr">
        <is>
          <t>Module 8 · Technology</t>
        </is>
      </c>
      <c r="C1555" s="9" t="inlineStr">
        <is>
          <t>8c</t>
        </is>
      </c>
      <c r="D1555" s="9" t="inlineStr">
        <is>
          <t>Relative pronouns / Relative clauses</t>
        </is>
      </c>
      <c r="E1555" s="23" t="inlineStr">
        <is>
          <t>Relative clauses: defining vs non-defining (запятые, без that)</t>
        </is>
      </c>
      <c r="F1555" s="25" t="inlineStr">
        <is>
          <t>повторение</t>
        </is>
      </c>
      <c r="G1555" s="9" t="inlineStr"/>
      <c r="H1555" s="25" t="inlineStr">
        <is>
          <t>10+</t>
        </is>
      </c>
      <c r="I1555" s="9">
        <f>IFERROR(INDEX('Темы × классы'!$R:$R,MATCH(E1555,'Темы × классы'!$E:$E,0)),"")</f>
        <v/>
      </c>
      <c r="J1555" s="9">
        <f>IFERROR(INDEX('Темы × классы'!$S:$S,MATCH(E1555,'Темы × классы'!$E:$E,0))&amp;"","")</f>
        <v/>
      </c>
      <c r="K1555" s="9" t="inlineStr">
        <is>
          <t>не начат</t>
        </is>
      </c>
      <c r="L1555" s="9" t="inlineStr">
        <is>
          <t>Spotlight / 10 класс / Module 8 · Technology / Relative pronouns / Relative clauses / Relative clauses: defining vs non-defining (запятые, без that)</t>
        </is>
      </c>
    </row>
    <row r="1556">
      <c r="A1556" s="25" t="n">
        <v>10</v>
      </c>
      <c r="B1556" s="9" t="inlineStr">
        <is>
          <t>Module 8 · Technology</t>
        </is>
      </c>
      <c r="C1556" s="9" t="inlineStr">
        <is>
          <t>8c</t>
        </is>
      </c>
      <c r="D1556" s="9" t="inlineStr">
        <is>
          <t>Relative pronouns / Relative clauses</t>
        </is>
      </c>
      <c r="E1556" s="23" t="inlineStr">
        <is>
          <t>Relative clauses: which, относящееся ко всему предложению</t>
        </is>
      </c>
      <c r="F1556" s="25" t="inlineStr">
        <is>
          <t>повторение</t>
        </is>
      </c>
      <c r="G1556" s="9" t="inlineStr"/>
      <c r="H1556" s="25" t="inlineStr">
        <is>
          <t>10+</t>
        </is>
      </c>
      <c r="I1556" s="9">
        <f>IFERROR(INDEX('Темы × классы'!$R:$R,MATCH(E1556,'Темы × классы'!$E:$E,0)),"")</f>
        <v/>
      </c>
      <c r="J1556" s="9">
        <f>IFERROR(INDEX('Темы × классы'!$S:$S,MATCH(E1556,'Темы × классы'!$E:$E,0))&amp;"","")</f>
        <v/>
      </c>
      <c r="K1556" s="9" t="inlineStr">
        <is>
          <t>не начат</t>
        </is>
      </c>
      <c r="L1556" s="9" t="inlineStr">
        <is>
          <t>Spotlight / 10 класс / Module 8 · Technology / Relative pronouns / Relative clauses / Relative clauses: which, относящееся ко всему предложению</t>
        </is>
      </c>
    </row>
    <row r="1557">
      <c r="A1557" s="25" t="n">
        <v>10</v>
      </c>
      <c r="B1557" s="9" t="inlineStr">
        <is>
          <t>Module 8 · Technology</t>
        </is>
      </c>
      <c r="C1557" s="9" t="inlineStr">
        <is>
          <t>8c</t>
        </is>
      </c>
      <c r="D1557" s="9" t="inlineStr">
        <is>
          <t>Relative pronouns / Relative clauses</t>
        </is>
      </c>
      <c r="E1557" s="23" t="inlineStr">
        <is>
          <t>Relative clauses: of which / whose для предметов</t>
        </is>
      </c>
      <c r="F1557" s="25" t="inlineStr">
        <is>
          <t>повторение</t>
        </is>
      </c>
      <c r="G1557" s="9" t="inlineStr"/>
      <c r="H1557" s="25" t="inlineStr">
        <is>
          <t>10+</t>
        </is>
      </c>
      <c r="I1557" s="9">
        <f>IFERROR(INDEX('Темы × классы'!$R:$R,MATCH(E1557,'Темы × классы'!$E:$E,0)),"")</f>
        <v/>
      </c>
      <c r="J1557" s="9">
        <f>IFERROR(INDEX('Темы × классы'!$S:$S,MATCH(E1557,'Темы × классы'!$E:$E,0))&amp;"","")</f>
        <v/>
      </c>
      <c r="K1557" s="9" t="inlineStr">
        <is>
          <t>не начат</t>
        </is>
      </c>
      <c r="L1557" s="9" t="inlineStr">
        <is>
          <t>Spotlight / 10 класс / Module 8 · Technology / Relative pronouns / Relative clauses / Relative clauses: of which / whose для предметов</t>
        </is>
      </c>
    </row>
    <row r="1558">
      <c r="A1558" s="25" t="n">
        <v>10</v>
      </c>
      <c r="B1558" s="9" t="inlineStr">
        <is>
          <t>Module 8 · Technology</t>
        </is>
      </c>
      <c r="C1558" s="9" t="inlineStr">
        <is>
          <t>8c</t>
        </is>
      </c>
      <c r="D1558" s="9" t="inlineStr">
        <is>
          <t>Relative pronouns / Relative clauses</t>
        </is>
      </c>
      <c r="E1558" s="23" t="inlineStr">
        <is>
          <t>Relative clauses: some of / most of + whom/which/whose</t>
        </is>
      </c>
      <c r="F1558" s="25" t="inlineStr">
        <is>
          <t>повторение</t>
        </is>
      </c>
      <c r="G1558" s="9" t="inlineStr"/>
      <c r="H1558" s="25" t="inlineStr">
        <is>
          <t>10+</t>
        </is>
      </c>
      <c r="I1558" s="9">
        <f>IFERROR(INDEX('Темы × классы'!$R:$R,MATCH(E1558,'Темы × классы'!$E:$E,0)),"")</f>
        <v/>
      </c>
      <c r="J1558" s="9">
        <f>IFERROR(INDEX('Темы × классы'!$S:$S,MATCH(E1558,'Темы × классы'!$E:$E,0))&amp;"","")</f>
        <v/>
      </c>
      <c r="K1558" s="9" t="inlineStr">
        <is>
          <t>не начат</t>
        </is>
      </c>
      <c r="L1558" s="9" t="inlineStr">
        <is>
          <t>Spotlight / 10 класс / Module 8 · Technology / Relative pronouns / Relative clauses / Relative clauses: some of / most of + whom/which/whose</t>
        </is>
      </c>
    </row>
    <row r="1559">
      <c r="A1559" s="25" t="n">
        <v>10</v>
      </c>
      <c r="B1559" s="9" t="inlineStr">
        <is>
          <t>Module 8 · Technology</t>
        </is>
      </c>
      <c r="C1559" s="9" t="inlineStr">
        <is>
          <t>8c</t>
        </is>
      </c>
      <c r="D1559" s="9" t="inlineStr">
        <is>
          <t>Relative pronouns / Relative clauses</t>
        </is>
      </c>
      <c r="E1559" s="23" t="inlineStr">
        <is>
          <t>Relative clauses: that не после запятой и не после предлога</t>
        </is>
      </c>
      <c r="F1559" s="25" t="inlineStr">
        <is>
          <t>повторение</t>
        </is>
      </c>
      <c r="G1559" s="9" t="inlineStr"/>
      <c r="H1559" s="25" t="inlineStr">
        <is>
          <t>10+</t>
        </is>
      </c>
      <c r="I1559" s="9">
        <f>IFERROR(INDEX('Темы × классы'!$R:$R,MATCH(E1559,'Темы × классы'!$E:$E,0)),"")</f>
        <v/>
      </c>
      <c r="J1559" s="9">
        <f>IFERROR(INDEX('Темы × классы'!$S:$S,MATCH(E1559,'Темы × классы'!$E:$E,0))&amp;"","")</f>
        <v/>
      </c>
      <c r="K1559" s="9" t="inlineStr">
        <is>
          <t>не начат</t>
        </is>
      </c>
      <c r="L1559" s="9" t="inlineStr">
        <is>
          <t>Spotlight / 10 класс / Module 8 · Technology / Relative pronouns / Relative clauses / Relative clauses: that не после запятой и не после предлога</t>
        </is>
      </c>
    </row>
    <row r="1560">
      <c r="A1560" s="25" t="n">
        <v>10</v>
      </c>
      <c r="B1560" s="9" t="inlineStr">
        <is>
          <t>Module 8 · Technology</t>
        </is>
      </c>
      <c r="C1560" s="9" t="inlineStr">
        <is>
          <t>8c</t>
        </is>
      </c>
      <c r="D1560" s="9" t="inlineStr">
        <is>
          <t>Indirect questions</t>
        </is>
      </c>
      <c r="E1560" s="23" t="inlineStr">
        <is>
          <t>Indirect questions: Could you tell me…? / Do you know…? — прямой порядок слов</t>
        </is>
      </c>
      <c r="F1560" s="25" t="inlineStr">
        <is>
          <t>повторение</t>
        </is>
      </c>
      <c r="G1560" s="9" t="inlineStr"/>
      <c r="H1560" s="25" t="inlineStr">
        <is>
          <t>10+</t>
        </is>
      </c>
      <c r="I1560" s="9">
        <f>IFERROR(INDEX('Темы × классы'!$R:$R,MATCH(E1560,'Темы × классы'!$E:$E,0)),"")</f>
        <v/>
      </c>
      <c r="J1560" s="9">
        <f>IFERROR(INDEX('Темы × классы'!$S:$S,MATCH(E1560,'Темы × классы'!$E:$E,0))&amp;"","")</f>
        <v/>
      </c>
      <c r="K1560" s="9" t="inlineStr">
        <is>
          <t>не начат</t>
        </is>
      </c>
      <c r="L1560" s="9" t="inlineStr">
        <is>
          <t>Spotlight / 10 класс / Module 8 · Technology / Indirect questions / Indirect questions: Could you tell me…? / Do you know…? — прямой порядок слов</t>
        </is>
      </c>
    </row>
    <row r="1561">
      <c r="A1561" s="25" t="n">
        <v>10</v>
      </c>
      <c r="B1561" s="9" t="inlineStr">
        <is>
          <t>Module 8 · Technology</t>
        </is>
      </c>
      <c r="C1561" s="9" t="inlineStr">
        <is>
          <t>8c</t>
        </is>
      </c>
      <c r="D1561" s="9" t="inlineStr">
        <is>
          <t>Indirect questions</t>
        </is>
      </c>
      <c r="E1561" s="23" t="inlineStr">
        <is>
          <t>Indirect questions: I wonder / I want to know / I doubt — без вопросительного знака</t>
        </is>
      </c>
      <c r="F1561" s="25" t="inlineStr">
        <is>
          <t>повторение</t>
        </is>
      </c>
      <c r="G1561" s="9" t="inlineStr"/>
      <c r="H1561" s="25" t="inlineStr">
        <is>
          <t>10+</t>
        </is>
      </c>
      <c r="I1561" s="9">
        <f>IFERROR(INDEX('Темы × классы'!$R:$R,MATCH(E1561,'Темы × классы'!$E:$E,0)),"")</f>
        <v/>
      </c>
      <c r="J1561" s="9">
        <f>IFERROR(INDEX('Темы × классы'!$S:$S,MATCH(E1561,'Темы × классы'!$E:$E,0))&amp;"","")</f>
        <v/>
      </c>
      <c r="K1561" s="9" t="inlineStr">
        <is>
          <t>не начат</t>
        </is>
      </c>
      <c r="L1561" s="9" t="inlineStr">
        <is>
          <t>Spotlight / 10 класс / Module 8 · Technology / Indirect questions / Indirect questions: I wonder / I want to know / I doubt — без вопросительного знака</t>
        </is>
      </c>
    </row>
    <row r="1562">
      <c r="A1562" s="25" t="n">
        <v>10</v>
      </c>
      <c r="B1562" s="9" t="inlineStr">
        <is>
          <t>Module 8 · Technology</t>
        </is>
      </c>
      <c r="C1562" s="9" t="inlineStr">
        <is>
          <t>8c</t>
        </is>
      </c>
      <c r="D1562" s="9" t="inlineStr">
        <is>
          <t>Reported questions</t>
        </is>
      </c>
      <c r="E1562" s="23" t="inlineStr">
        <is>
          <t>Reported questions: вводящие глаголы ask, inquire, wonder, want to know</t>
        </is>
      </c>
      <c r="F1562" s="25" t="inlineStr">
        <is>
          <t>повторение</t>
        </is>
      </c>
      <c r="G1562" s="9" t="inlineStr"/>
      <c r="H1562" s="25" t="inlineStr">
        <is>
          <t>10+</t>
        </is>
      </c>
      <c r="I1562" s="9">
        <f>IFERROR(INDEX('Темы × классы'!$R:$R,MATCH(E1562,'Темы × классы'!$E:$E,0)),"")</f>
        <v/>
      </c>
      <c r="J1562" s="9">
        <f>IFERROR(INDEX('Темы × классы'!$S:$S,MATCH(E1562,'Темы × классы'!$E:$E,0))&amp;"","")</f>
        <v/>
      </c>
      <c r="K1562" s="9" t="inlineStr">
        <is>
          <t>не начат</t>
        </is>
      </c>
      <c r="L1562" s="9" t="inlineStr">
        <is>
          <t>Spotlight / 10 класс / Module 8 · Technology / Reported questions / Reported questions: вводящие глаголы ask, inquire, wonder, want to know</t>
        </is>
      </c>
    </row>
    <row r="1563">
      <c r="A1563" s="25" t="n">
        <v>10</v>
      </c>
      <c r="B1563" s="9" t="inlineStr">
        <is>
          <t>Module 8 · Technology</t>
        </is>
      </c>
      <c r="C1563" s="9" t="inlineStr">
        <is>
          <t>8c</t>
        </is>
      </c>
      <c r="D1563" s="9" t="inlineStr">
        <is>
          <t>Reported questions</t>
        </is>
      </c>
      <c r="E1563" s="23" t="inlineStr">
        <is>
          <t>Reported questions: специальные вопросы — то же вопросительное слово</t>
        </is>
      </c>
      <c r="F1563" s="25" t="inlineStr">
        <is>
          <t>повторение</t>
        </is>
      </c>
      <c r="G1563" s="9" t="inlineStr"/>
      <c r="H1563" s="25" t="inlineStr">
        <is>
          <t>10+</t>
        </is>
      </c>
      <c r="I1563" s="9">
        <f>IFERROR(INDEX('Темы × классы'!$R:$R,MATCH(E1563,'Темы × классы'!$E:$E,0)),"")</f>
        <v/>
      </c>
      <c r="J1563" s="9">
        <f>IFERROR(INDEX('Темы × классы'!$S:$S,MATCH(E1563,'Темы × классы'!$E:$E,0))&amp;"","")</f>
        <v/>
      </c>
      <c r="K1563" s="9" t="inlineStr">
        <is>
          <t>не начат</t>
        </is>
      </c>
      <c r="L1563" s="9" t="inlineStr">
        <is>
          <t>Spotlight / 10 класс / Module 8 · Technology / Reported questions / Reported questions: специальные вопросы — то же вопросительное слово</t>
        </is>
      </c>
    </row>
    <row r="1564">
      <c r="A1564" s="25" t="n">
        <v>10</v>
      </c>
      <c r="B1564" s="9" t="inlineStr">
        <is>
          <t>Module 8 · Technology</t>
        </is>
      </c>
      <c r="C1564" s="9" t="inlineStr">
        <is>
          <t>8c</t>
        </is>
      </c>
      <c r="D1564" s="9" t="inlineStr">
        <is>
          <t>Reported questions</t>
        </is>
      </c>
      <c r="E1564" s="23" t="inlineStr">
        <is>
          <t>Reported questions: общие вопросы — if/whether</t>
        </is>
      </c>
      <c r="F1564" s="25" t="inlineStr">
        <is>
          <t>повторение</t>
        </is>
      </c>
      <c r="G1564" s="9" t="inlineStr"/>
      <c r="H1564" s="25" t="inlineStr">
        <is>
          <t>10+</t>
        </is>
      </c>
      <c r="I1564" s="9">
        <f>IFERROR(INDEX('Темы × классы'!$R:$R,MATCH(E1564,'Темы × классы'!$E:$E,0)),"")</f>
        <v/>
      </c>
      <c r="J1564" s="9">
        <f>IFERROR(INDEX('Темы × классы'!$S:$S,MATCH(E1564,'Темы × классы'!$E:$E,0))&amp;"","")</f>
        <v/>
      </c>
      <c r="K1564" s="9" t="inlineStr">
        <is>
          <t>не начат</t>
        </is>
      </c>
      <c r="L1564" s="9" t="inlineStr">
        <is>
          <t>Spotlight / 10 класс / Module 8 · Technology / Reported questions / Reported questions: общие вопросы — if/whether</t>
        </is>
      </c>
    </row>
    <row r="1565">
      <c r="A1565" s="25" t="n">
        <v>10</v>
      </c>
      <c r="B1565" s="9" t="inlineStr">
        <is>
          <t>Module 8 · Technology</t>
        </is>
      </c>
      <c r="C1565" s="9" t="inlineStr">
        <is>
          <t>8c</t>
        </is>
      </c>
      <c r="D1565" s="9" t="inlineStr">
        <is>
          <t>Reported questions</t>
        </is>
      </c>
      <c r="E1565" s="23" t="inlineStr">
        <is>
          <t>Reported questions: прямой порядок слов, без «?», без please/well/oh</t>
        </is>
      </c>
      <c r="F1565" s="25" t="inlineStr">
        <is>
          <t>повторение</t>
        </is>
      </c>
      <c r="G1565" s="9" t="inlineStr"/>
      <c r="H1565" s="25" t="inlineStr">
        <is>
          <t>10+</t>
        </is>
      </c>
      <c r="I1565" s="9">
        <f>IFERROR(INDEX('Темы × классы'!$R:$R,MATCH(E1565,'Темы × классы'!$E:$E,0)),"")</f>
        <v/>
      </c>
      <c r="J1565" s="9">
        <f>IFERROR(INDEX('Темы × классы'!$S:$S,MATCH(E1565,'Темы × классы'!$E:$E,0))&amp;"","")</f>
        <v/>
      </c>
      <c r="K1565" s="9" t="inlineStr">
        <is>
          <t>не начат</t>
        </is>
      </c>
      <c r="L1565" s="9" t="inlineStr">
        <is>
          <t>Spotlight / 10 класс / Module 8 · Technology / Reported questions / Reported questions: прямой порядок слов, без «?», без please/well/oh</t>
        </is>
      </c>
    </row>
    <row r="1566">
      <c r="A1566" s="25" t="n">
        <v>10</v>
      </c>
      <c r="B1566" s="9" t="inlineStr">
        <is>
          <t>Module 8 · Technology</t>
        </is>
      </c>
      <c r="C1566" s="9" t="inlineStr">
        <is>
          <t>8c</t>
        </is>
      </c>
      <c r="D1566" s="9" t="inlineStr">
        <is>
          <t>Reported questions</t>
        </is>
      </c>
      <c r="E1566" s="23" t="inlineStr">
        <is>
          <t>Reported questions: сдвиг времён, местоимений и слов времени</t>
        </is>
      </c>
      <c r="F1566" s="25" t="inlineStr">
        <is>
          <t>повторение</t>
        </is>
      </c>
      <c r="G1566" s="9" t="inlineStr"/>
      <c r="H1566" s="25" t="inlineStr">
        <is>
          <t>10+</t>
        </is>
      </c>
      <c r="I1566" s="9">
        <f>IFERROR(INDEX('Темы × классы'!$R:$R,MATCH(E1566,'Темы × классы'!$E:$E,0)),"")</f>
        <v/>
      </c>
      <c r="J1566" s="9">
        <f>IFERROR(INDEX('Темы × классы'!$S:$S,MATCH(E1566,'Темы × классы'!$E:$E,0))&amp;"","")</f>
        <v/>
      </c>
      <c r="K1566" s="9" t="inlineStr">
        <is>
          <t>не начат</t>
        </is>
      </c>
      <c r="L1566" s="9" t="inlineStr">
        <is>
          <t>Spotlight / 10 класс / Module 8 · Technology / Reported questions / Reported questions: сдвиг времён, местоимений и слов времени</t>
        </is>
      </c>
    </row>
    <row r="1567">
      <c r="A1567" s="25" t="n">
        <v>10</v>
      </c>
      <c r="B1567" s="9" t="inlineStr">
        <is>
          <t>Module 8 · Technology</t>
        </is>
      </c>
      <c r="C1567" s="9" t="inlineStr">
        <is>
          <t>8c</t>
        </is>
      </c>
      <c r="D1567" s="9" t="inlineStr">
        <is>
          <t>Phrasal verbs</t>
        </is>
      </c>
      <c r="E1567" s="23" t="inlineStr">
        <is>
          <t>Phrasal verbs: bring</t>
        </is>
      </c>
      <c r="F1567" s="25" t="inlineStr">
        <is>
          <t>повторение</t>
        </is>
      </c>
      <c r="G1567" s="9" t="inlineStr">
        <is>
          <t>Фразовые глаголы с bring (ToC: «phrasal verbs (bring)»); состав частиц и значения в источнике не даны.</t>
        </is>
      </c>
      <c r="H1567" s="25" t="inlineStr">
        <is>
          <t>10+</t>
        </is>
      </c>
      <c r="I1567" s="9">
        <f>IFERROR(INDEX('Темы × классы'!$R:$R,MATCH(E1567,'Темы × классы'!$E:$E,0)),"")</f>
        <v/>
      </c>
      <c r="J1567" s="9">
        <f>IFERROR(INDEX('Темы × классы'!$S:$S,MATCH(E1567,'Темы × классы'!$E:$E,0))&amp;"","")</f>
        <v/>
      </c>
      <c r="K1567" s="9" t="inlineStr">
        <is>
          <t>не начат</t>
        </is>
      </c>
      <c r="L1567" s="9" t="inlineStr">
        <is>
          <t>Spotlight / 10 класс / Module 8 · Technology / Phrasal verbs / Phrasal verbs: bring</t>
        </is>
      </c>
    </row>
    <row r="1568">
      <c r="A1568" s="25" t="n">
        <v>10</v>
      </c>
      <c r="B1568" s="9" t="inlineStr">
        <is>
          <t>Module 8 · Technology</t>
        </is>
      </c>
      <c r="C1568" s="9" t="inlineStr">
        <is>
          <t>8c</t>
        </is>
      </c>
      <c r="D1568" s="9" t="inlineStr">
        <is>
          <t>Word formation</t>
        </is>
      </c>
      <c r="E1568" s="23" t="inlineStr">
        <is>
          <t>Word formation: forming verbs</t>
        </is>
      </c>
      <c r="F1568" s="26" t="inlineStr">
        <is>
          <t>новое</t>
        </is>
      </c>
      <c r="G1568" s="9" t="inlineStr">
        <is>
          <t>Образование глаголов (ToC: «forming verbs»).</t>
        </is>
      </c>
      <c r="H1568" s="25" t="inlineStr">
        <is>
          <t>10+</t>
        </is>
      </c>
      <c r="I1568" s="9">
        <f>IFERROR(INDEX('Темы × классы'!$R:$R,MATCH(E1568,'Темы × классы'!$E:$E,0)),"")</f>
        <v/>
      </c>
      <c r="J1568" s="9">
        <f>IFERROR(INDEX('Темы × классы'!$S:$S,MATCH(E1568,'Темы × классы'!$E:$E,0))&amp;"","")</f>
        <v/>
      </c>
      <c r="K1568" s="9" t="inlineStr">
        <is>
          <t>не начат</t>
        </is>
      </c>
      <c r="L1568" s="9" t="inlineStr">
        <is>
          <t>Spotlight / 10 класс / Module 8 · Technology / Word formation / Word formation: forming verbs</t>
        </is>
      </c>
    </row>
    <row r="1569">
      <c r="A1569" s="25" t="n">
        <v>11</v>
      </c>
      <c r="B1569" s="9" t="inlineStr">
        <is>
          <t>Module 1 · Relationships</t>
        </is>
      </c>
      <c r="C1569" s="9" t="inlineStr">
        <is>
          <t>1c</t>
        </is>
      </c>
      <c r="D1569" s="9" t="inlineStr">
        <is>
          <t>Past Simple</t>
        </is>
      </c>
      <c r="E1569" s="23" t="inlineStr">
        <is>
          <t>Past Simple: правильные глаголы — утверждение (-ed)</t>
        </is>
      </c>
      <c r="F1569" s="25" t="inlineStr">
        <is>
          <t>повторение</t>
        </is>
      </c>
      <c r="G1569" s="9" t="inlineStr"/>
      <c r="H1569" s="25" t="inlineStr">
        <is>
          <t>10+</t>
        </is>
      </c>
      <c r="I1569" s="9">
        <f>IFERROR(INDEX('Темы × классы'!$R:$R,MATCH(E1569,'Темы × классы'!$E:$E,0)),"")</f>
        <v/>
      </c>
      <c r="J1569" s="9">
        <f>IFERROR(INDEX('Темы × классы'!$S:$S,MATCH(E1569,'Темы × классы'!$E:$E,0))&amp;"","")</f>
        <v/>
      </c>
      <c r="K1569" s="9" t="inlineStr">
        <is>
          <t>не начат</t>
        </is>
      </c>
      <c r="L1569" s="9" t="inlineStr">
        <is>
          <t>Spotlight / 11 класс / Module 1 · Relationships / Past Simple / Past Simple: правильные глаголы — утверждение (-ed)</t>
        </is>
      </c>
    </row>
    <row r="1570">
      <c r="A1570" s="25" t="n">
        <v>11</v>
      </c>
      <c r="B1570" s="9" t="inlineStr">
        <is>
          <t>Module 1 · Relationships</t>
        </is>
      </c>
      <c r="C1570" s="9" t="inlineStr">
        <is>
          <t>1c</t>
        </is>
      </c>
      <c r="D1570" s="9" t="inlineStr">
        <is>
          <t>Past Simple</t>
        </is>
      </c>
      <c r="E1570" s="23" t="inlineStr">
        <is>
          <t>Past Simple: орфография -ed</t>
        </is>
      </c>
      <c r="F1570" s="25" t="inlineStr">
        <is>
          <t>повторение</t>
        </is>
      </c>
      <c r="G1570" s="9" t="inlineStr"/>
      <c r="H1570" s="25" t="inlineStr">
        <is>
          <t>10+</t>
        </is>
      </c>
      <c r="I1570" s="9">
        <f>IFERROR(INDEX('Темы × классы'!$R:$R,MATCH(E1570,'Темы × классы'!$E:$E,0)),"")</f>
        <v/>
      </c>
      <c r="J1570" s="9">
        <f>IFERROR(INDEX('Темы × классы'!$S:$S,MATCH(E1570,'Темы × классы'!$E:$E,0))&amp;"","")</f>
        <v/>
      </c>
      <c r="K1570" s="9" t="inlineStr">
        <is>
          <t>не начат</t>
        </is>
      </c>
      <c r="L1570" s="9" t="inlineStr">
        <is>
          <t>Spotlight / 11 класс / Module 1 · Relationships / Past Simple / Past Simple: орфография -ed</t>
        </is>
      </c>
    </row>
    <row r="1571">
      <c r="A1571" s="25" t="n">
        <v>11</v>
      </c>
      <c r="B1571" s="9" t="inlineStr">
        <is>
          <t>Module 1 · Relationships</t>
        </is>
      </c>
      <c r="C1571" s="9" t="inlineStr">
        <is>
          <t>1c</t>
        </is>
      </c>
      <c r="D1571" s="9" t="inlineStr">
        <is>
          <t>Past Simple</t>
        </is>
      </c>
      <c r="E1571" s="23" t="inlineStr">
        <is>
          <t>Past Simple: неправильные глаголы — утверждение</t>
        </is>
      </c>
      <c r="F1571" s="25" t="inlineStr">
        <is>
          <t>повторение</t>
        </is>
      </c>
      <c r="G1571" s="9" t="inlineStr"/>
      <c r="H1571" s="25" t="inlineStr">
        <is>
          <t>10+</t>
        </is>
      </c>
      <c r="I1571" s="9">
        <f>IFERROR(INDEX('Темы × классы'!$R:$R,MATCH(E1571,'Темы × классы'!$E:$E,0)),"")</f>
        <v/>
      </c>
      <c r="J1571" s="9">
        <f>IFERROR(INDEX('Темы × классы'!$S:$S,MATCH(E1571,'Темы × классы'!$E:$E,0))&amp;"","")</f>
        <v/>
      </c>
      <c r="K1571" s="9" t="inlineStr">
        <is>
          <t>не начат</t>
        </is>
      </c>
      <c r="L1571" s="9" t="inlineStr">
        <is>
          <t>Spotlight / 11 класс / Module 1 · Relationships / Past Simple / Past Simple: неправильные глаголы — утверждение</t>
        </is>
      </c>
    </row>
    <row r="1572">
      <c r="A1572" s="25" t="n">
        <v>11</v>
      </c>
      <c r="B1572" s="9" t="inlineStr">
        <is>
          <t>Module 1 · Relationships</t>
        </is>
      </c>
      <c r="C1572" s="9" t="inlineStr">
        <is>
          <t>1c</t>
        </is>
      </c>
      <c r="D1572" s="9" t="inlineStr">
        <is>
          <t>Past Simple</t>
        </is>
      </c>
      <c r="E1572" s="23" t="inlineStr">
        <is>
          <t>Past Simple: одна форма для всех лиц, исключение was/were</t>
        </is>
      </c>
      <c r="F1572" s="25" t="inlineStr">
        <is>
          <t>повторение</t>
        </is>
      </c>
      <c r="G1572" s="9" t="inlineStr"/>
      <c r="H1572" s="25" t="inlineStr">
        <is>
          <t>10+</t>
        </is>
      </c>
      <c r="I1572" s="9">
        <f>IFERROR(INDEX('Темы × классы'!$R:$R,MATCH(E1572,'Темы × классы'!$E:$E,0)),"")</f>
        <v/>
      </c>
      <c r="J1572" s="9">
        <f>IFERROR(INDEX('Темы × классы'!$S:$S,MATCH(E1572,'Темы × классы'!$E:$E,0))&amp;"","")</f>
        <v/>
      </c>
      <c r="K1572" s="9" t="inlineStr">
        <is>
          <t>не начат</t>
        </is>
      </c>
      <c r="L1572" s="9" t="inlineStr">
        <is>
          <t>Spotlight / 11 класс / Module 1 · Relationships / Past Simple / Past Simple: одна форма для всех лиц, исключение was/were</t>
        </is>
      </c>
    </row>
    <row r="1573">
      <c r="A1573" s="25" t="n">
        <v>11</v>
      </c>
      <c r="B1573" s="9" t="inlineStr">
        <is>
          <t>Module 1 · Relationships</t>
        </is>
      </c>
      <c r="C1573" s="9" t="inlineStr">
        <is>
          <t>1c</t>
        </is>
      </c>
      <c r="D1573" s="9" t="inlineStr">
        <is>
          <t>Past Simple</t>
        </is>
      </c>
      <c r="E1573" s="23" t="inlineStr">
        <is>
          <t>Past Simple: значение — действие в прошлом (yesterday, ago)</t>
        </is>
      </c>
      <c r="F1573" s="25" t="inlineStr">
        <is>
          <t>повторение</t>
        </is>
      </c>
      <c r="G1573" s="9" t="inlineStr"/>
      <c r="H1573" s="25" t="inlineStr">
        <is>
          <t>10+</t>
        </is>
      </c>
      <c r="I1573" s="9">
        <f>IFERROR(INDEX('Темы × классы'!$R:$R,MATCH(E1573,'Темы × классы'!$E:$E,0)),"")</f>
        <v/>
      </c>
      <c r="J1573" s="9">
        <f>IFERROR(INDEX('Темы × классы'!$S:$S,MATCH(E1573,'Темы × классы'!$E:$E,0))&amp;"","")</f>
        <v/>
      </c>
      <c r="K1573" s="9" t="inlineStr">
        <is>
          <t>не начат</t>
        </is>
      </c>
      <c r="L1573" s="9" t="inlineStr">
        <is>
          <t>Spotlight / 11 класс / Module 1 · Relationships / Past Simple / Past Simple: значение — действие в прошлом (yesterday, ago)</t>
        </is>
      </c>
    </row>
    <row r="1574">
      <c r="A1574" s="25" t="n">
        <v>11</v>
      </c>
      <c r="B1574" s="9" t="inlineStr">
        <is>
          <t>Module 1 · Relationships</t>
        </is>
      </c>
      <c r="C1574" s="9" t="inlineStr">
        <is>
          <t>1c</t>
        </is>
      </c>
      <c r="D1574" s="9" t="inlineStr">
        <is>
          <t>Past Simple</t>
        </is>
      </c>
      <c r="E1574" s="23" t="inlineStr">
        <is>
          <t>Past Simple: значение — действие в указанное время в прошлом</t>
        </is>
      </c>
      <c r="F1574" s="25" t="inlineStr">
        <is>
          <t>повторение</t>
        </is>
      </c>
      <c r="G1574" s="9" t="inlineStr"/>
      <c r="H1574" s="25" t="inlineStr">
        <is>
          <t>10+</t>
        </is>
      </c>
      <c r="I1574" s="9">
        <f>IFERROR(INDEX('Темы × классы'!$R:$R,MATCH(E1574,'Темы × классы'!$E:$E,0)),"")</f>
        <v/>
      </c>
      <c r="J1574" s="9">
        <f>IFERROR(INDEX('Темы × классы'!$S:$S,MATCH(E1574,'Темы × классы'!$E:$E,0))&amp;"","")</f>
        <v/>
      </c>
      <c r="K1574" s="9" t="inlineStr">
        <is>
          <t>не начат</t>
        </is>
      </c>
      <c r="L1574" s="9" t="inlineStr">
        <is>
          <t>Spotlight / 11 класс / Module 1 · Relationships / Past Simple / Past Simple: значение — действие в указанное время в прошлом</t>
        </is>
      </c>
    </row>
    <row r="1575">
      <c r="A1575" s="25" t="n">
        <v>11</v>
      </c>
      <c r="B1575" s="9" t="inlineStr">
        <is>
          <t>Module 1 · Relationships</t>
        </is>
      </c>
      <c r="C1575" s="9" t="inlineStr">
        <is>
          <t>1c</t>
        </is>
      </c>
      <c r="D1575" s="9" t="inlineStr">
        <is>
          <t>Past Simple</t>
        </is>
      </c>
      <c r="E1575" s="23" t="inlineStr">
        <is>
          <t>Past Simple: значение — повторяющиеся действия и привычки в прошлом</t>
        </is>
      </c>
      <c r="F1575" s="25" t="inlineStr">
        <is>
          <t>повторение</t>
        </is>
      </c>
      <c r="G1575" s="9" t="inlineStr"/>
      <c r="H1575" s="25" t="inlineStr">
        <is>
          <t>10+</t>
        </is>
      </c>
      <c r="I1575" s="9">
        <f>IFERROR(INDEX('Темы × классы'!$R:$R,MATCH(E1575,'Темы × классы'!$E:$E,0)),"")</f>
        <v/>
      </c>
      <c r="J1575" s="9">
        <f>IFERROR(INDEX('Темы × классы'!$S:$S,MATCH(E1575,'Темы × классы'!$E:$E,0))&amp;"","")</f>
        <v/>
      </c>
      <c r="K1575" s="9" t="inlineStr">
        <is>
          <t>не начат</t>
        </is>
      </c>
      <c r="L1575" s="9" t="inlineStr">
        <is>
          <t>Spotlight / 11 класс / Module 1 · Relationships / Past Simple / Past Simple: значение — повторяющиеся действия и привычки в прошлом</t>
        </is>
      </c>
    </row>
    <row r="1576">
      <c r="A1576" s="25" t="n">
        <v>11</v>
      </c>
      <c r="B1576" s="9" t="inlineStr">
        <is>
          <t>Module 1 · Relationships</t>
        </is>
      </c>
      <c r="C1576" s="9" t="inlineStr">
        <is>
          <t>1c</t>
        </is>
      </c>
      <c r="D1576" s="9" t="inlineStr">
        <is>
          <t>Past Simple</t>
        </is>
      </c>
      <c r="E1576" s="23" t="inlineStr">
        <is>
          <t>Past Simple: значение — последовательные действия</t>
        </is>
      </c>
      <c r="F1576" s="25" t="inlineStr">
        <is>
          <t>повторение</t>
        </is>
      </c>
      <c r="G1576" s="9" t="inlineStr"/>
      <c r="H1576" s="25" t="inlineStr">
        <is>
          <t>10+</t>
        </is>
      </c>
      <c r="I1576" s="9">
        <f>IFERROR(INDEX('Темы × классы'!$R:$R,MATCH(E1576,'Темы × классы'!$E:$E,0)),"")</f>
        <v/>
      </c>
      <c r="J1576" s="9">
        <f>IFERROR(INDEX('Темы × классы'!$S:$S,MATCH(E1576,'Темы × классы'!$E:$E,0))&amp;"","")</f>
        <v/>
      </c>
      <c r="K1576" s="9" t="inlineStr">
        <is>
          <t>не начат</t>
        </is>
      </c>
      <c r="L1576" s="9" t="inlineStr">
        <is>
          <t>Spotlight / 11 класс / Module 1 · Relationships / Past Simple / Past Simple: значение — последовательные действия</t>
        </is>
      </c>
    </row>
    <row r="1577">
      <c r="A1577" s="25" t="n">
        <v>11</v>
      </c>
      <c r="B1577" s="9" t="inlineStr">
        <is>
          <t>Module 1 · Relationships</t>
        </is>
      </c>
      <c r="C1577" s="9" t="inlineStr">
        <is>
          <t>1c</t>
        </is>
      </c>
      <c r="D1577" s="9" t="inlineStr">
        <is>
          <t>Past Simple</t>
        </is>
      </c>
      <c r="E1577" s="23" t="inlineStr">
        <is>
          <t>Past Simple: значение — завершённые действия без связи с настоящим</t>
        </is>
      </c>
      <c r="F1577" s="25" t="inlineStr">
        <is>
          <t>повторение</t>
        </is>
      </c>
      <c r="G1577" s="9" t="inlineStr">
        <is>
          <t>Henry James wrote many novels</t>
        </is>
      </c>
      <c r="H1577" s="25" t="inlineStr">
        <is>
          <t>10+</t>
        </is>
      </c>
      <c r="I1577" s="9">
        <f>IFERROR(INDEX('Темы × классы'!$R:$R,MATCH(E1577,'Темы × классы'!$E:$E,0)),"")</f>
        <v/>
      </c>
      <c r="J1577" s="9">
        <f>IFERROR(INDEX('Темы × классы'!$S:$S,MATCH(E1577,'Темы × классы'!$E:$E,0))&amp;"","")</f>
        <v/>
      </c>
      <c r="K1577" s="9" t="inlineStr">
        <is>
          <t>не начат</t>
        </is>
      </c>
      <c r="L1577" s="9" t="inlineStr">
        <is>
          <t>Spotlight / 11 класс / Module 1 · Relationships / Past Simple / Past Simple: значение — завершённые действия без связи с настоящим</t>
        </is>
      </c>
    </row>
    <row r="1578">
      <c r="A1578" s="25" t="n">
        <v>11</v>
      </c>
      <c r="B1578" s="9" t="inlineStr">
        <is>
          <t>Module 1 · Relationships</t>
        </is>
      </c>
      <c r="C1578" s="9" t="inlineStr">
        <is>
          <t>1c</t>
        </is>
      </c>
      <c r="D1578" s="9" t="inlineStr">
        <is>
          <t>Present Continuous</t>
        </is>
      </c>
      <c r="E1578" s="23" t="inlineStr">
        <is>
          <t>Present Continuous: утверждение (am/is/are + V-ing)</t>
        </is>
      </c>
      <c r="F1578" s="25" t="inlineStr">
        <is>
          <t>повторение</t>
        </is>
      </c>
      <c r="G1578" s="9" t="inlineStr"/>
      <c r="H1578" s="25" t="inlineStr">
        <is>
          <t>10+</t>
        </is>
      </c>
      <c r="I1578" s="9">
        <f>IFERROR(INDEX('Темы × классы'!$R:$R,MATCH(E1578,'Темы × классы'!$E:$E,0)),"")</f>
        <v/>
      </c>
      <c r="J1578" s="9">
        <f>IFERROR(INDEX('Темы × классы'!$S:$S,MATCH(E1578,'Темы × классы'!$E:$E,0))&amp;"","")</f>
        <v/>
      </c>
      <c r="K1578" s="9" t="inlineStr">
        <is>
          <t>не начат</t>
        </is>
      </c>
      <c r="L1578" s="9" t="inlineStr">
        <is>
          <t>Spotlight / 11 класс / Module 1 · Relationships / Present Continuous / Present Continuous: утверждение (am/is/are + V-ing)</t>
        </is>
      </c>
    </row>
    <row r="1579">
      <c r="A1579" s="25" t="n">
        <v>11</v>
      </c>
      <c r="B1579" s="9" t="inlineStr">
        <is>
          <t>Module 1 · Relationships</t>
        </is>
      </c>
      <c r="C1579" s="9" t="inlineStr">
        <is>
          <t>1c</t>
        </is>
      </c>
      <c r="D1579" s="9" t="inlineStr">
        <is>
          <t>Present Continuous</t>
        </is>
      </c>
      <c r="E1579" s="23" t="inlineStr">
        <is>
          <t>Present Continuous: орфография -ing</t>
        </is>
      </c>
      <c r="F1579" s="25" t="inlineStr">
        <is>
          <t>повторение</t>
        </is>
      </c>
      <c r="G1579" s="9" t="inlineStr"/>
      <c r="H1579" s="25" t="inlineStr">
        <is>
          <t>10+</t>
        </is>
      </c>
      <c r="I1579" s="9">
        <f>IFERROR(INDEX('Темы × классы'!$R:$R,MATCH(E1579,'Темы × классы'!$E:$E,0)),"")</f>
        <v/>
      </c>
      <c r="J1579" s="9">
        <f>IFERROR(INDEX('Темы × классы'!$S:$S,MATCH(E1579,'Темы × классы'!$E:$E,0))&amp;"","")</f>
        <v/>
      </c>
      <c r="K1579" s="9" t="inlineStr">
        <is>
          <t>не начат</t>
        </is>
      </c>
      <c r="L1579" s="9" t="inlineStr">
        <is>
          <t>Spotlight / 11 класс / Module 1 · Relationships / Present Continuous / Present Continuous: орфография -ing</t>
        </is>
      </c>
    </row>
    <row r="1580">
      <c r="A1580" s="25" t="n">
        <v>11</v>
      </c>
      <c r="B1580" s="9" t="inlineStr">
        <is>
          <t>Module 1 · Relationships</t>
        </is>
      </c>
      <c r="C1580" s="9" t="inlineStr">
        <is>
          <t>1c</t>
        </is>
      </c>
      <c r="D1580" s="9" t="inlineStr">
        <is>
          <t>Present Continuous</t>
        </is>
      </c>
      <c r="E1580" s="23" t="inlineStr">
        <is>
          <t>Present Continuous: значение — действие сейчас (now)</t>
        </is>
      </c>
      <c r="F1580" s="25" t="inlineStr">
        <is>
          <t>повторение</t>
        </is>
      </c>
      <c r="G1580" s="9" t="inlineStr"/>
      <c r="H1580" s="25" t="inlineStr">
        <is>
          <t>10+</t>
        </is>
      </c>
      <c r="I1580" s="9">
        <f>IFERROR(INDEX('Темы × классы'!$R:$R,MATCH(E1580,'Темы × классы'!$E:$E,0)),"")</f>
        <v/>
      </c>
      <c r="J1580" s="9">
        <f>IFERROR(INDEX('Темы × классы'!$S:$S,MATCH(E1580,'Темы × классы'!$E:$E,0))&amp;"","")</f>
        <v/>
      </c>
      <c r="K1580" s="9" t="inlineStr">
        <is>
          <t>не начат</t>
        </is>
      </c>
      <c r="L1580" s="9" t="inlineStr">
        <is>
          <t>Spotlight / 11 класс / Module 1 · Relationships / Present Continuous / Present Continuous: значение — действие сейчас (now)</t>
        </is>
      </c>
    </row>
    <row r="1581">
      <c r="A1581" s="25" t="n">
        <v>11</v>
      </c>
      <c r="B1581" s="9" t="inlineStr">
        <is>
          <t>Module 1 · Relationships</t>
        </is>
      </c>
      <c r="C1581" s="9" t="inlineStr">
        <is>
          <t>1c</t>
        </is>
      </c>
      <c r="D1581" s="9" t="inlineStr">
        <is>
          <t>Present Continuous</t>
        </is>
      </c>
      <c r="E1581" s="23" t="inlineStr">
        <is>
          <t>Present Continuous: значение — действие в настоящий период (these days)</t>
        </is>
      </c>
      <c r="F1581" s="25" t="inlineStr">
        <is>
          <t>повторение</t>
        </is>
      </c>
      <c r="G1581" s="9" t="inlineStr"/>
      <c r="H1581" s="25" t="inlineStr">
        <is>
          <t>10+</t>
        </is>
      </c>
      <c r="I1581" s="9">
        <f>IFERROR(INDEX('Темы × классы'!$R:$R,MATCH(E1581,'Темы × классы'!$E:$E,0)),"")</f>
        <v/>
      </c>
      <c r="J1581" s="9">
        <f>IFERROR(INDEX('Темы × классы'!$S:$S,MATCH(E1581,'Темы × классы'!$E:$E,0))&amp;"","")</f>
        <v/>
      </c>
      <c r="K1581" s="9" t="inlineStr">
        <is>
          <t>не начат</t>
        </is>
      </c>
      <c r="L1581" s="9" t="inlineStr">
        <is>
          <t>Spotlight / 11 класс / Module 1 · Relationships / Present Continuous / Present Continuous: значение — действие в настоящий период (these days)</t>
        </is>
      </c>
    </row>
    <row r="1582">
      <c r="A1582" s="25" t="n">
        <v>11</v>
      </c>
      <c r="B1582" s="9" t="inlineStr">
        <is>
          <t>Module 1 · Relationships</t>
        </is>
      </c>
      <c r="C1582" s="9" t="inlineStr">
        <is>
          <t>1c</t>
        </is>
      </c>
      <c r="D1582" s="9" t="inlineStr">
        <is>
          <t>Present Continuous</t>
        </is>
      </c>
      <c r="E1582" s="23" t="inlineStr">
        <is>
          <t>Present Continuous: значение — запланированное будущее</t>
        </is>
      </c>
      <c r="F1582" s="25" t="inlineStr">
        <is>
          <t>повторение</t>
        </is>
      </c>
      <c r="G1582" s="9" t="inlineStr"/>
      <c r="H1582" s="25" t="inlineStr">
        <is>
          <t>10+</t>
        </is>
      </c>
      <c r="I1582" s="9">
        <f>IFERROR(INDEX('Темы × классы'!$R:$R,MATCH(E1582,'Темы × классы'!$E:$E,0)),"")</f>
        <v/>
      </c>
      <c r="J1582" s="9">
        <f>IFERROR(INDEX('Темы × классы'!$S:$S,MATCH(E1582,'Темы × классы'!$E:$E,0))&amp;"","")</f>
        <v/>
      </c>
      <c r="K1582" s="9" t="inlineStr">
        <is>
          <t>не начат</t>
        </is>
      </c>
      <c r="L1582" s="9" t="inlineStr">
        <is>
          <t>Spotlight / 11 класс / Module 1 · Relationships / Present Continuous / Present Continuous: значение — запланированное будущее</t>
        </is>
      </c>
    </row>
    <row r="1583">
      <c r="A1583" s="25" t="n">
        <v>11</v>
      </c>
      <c r="B1583" s="9" t="inlineStr">
        <is>
          <t>Module 1 · Relationships</t>
        </is>
      </c>
      <c r="C1583" s="9" t="inlineStr">
        <is>
          <t>1c</t>
        </is>
      </c>
      <c r="D1583" s="9" t="inlineStr">
        <is>
          <t>Present Continuous</t>
        </is>
      </c>
      <c r="E1583" s="23" t="inlineStr">
        <is>
          <t>Present Continuous: значение — временные ситуации</t>
        </is>
      </c>
      <c r="F1583" s="25" t="inlineStr">
        <is>
          <t>повторение</t>
        </is>
      </c>
      <c r="G1583" s="9" t="inlineStr"/>
      <c r="H1583" s="25" t="inlineStr">
        <is>
          <t>10+</t>
        </is>
      </c>
      <c r="I1583" s="9">
        <f>IFERROR(INDEX('Темы × классы'!$R:$R,MATCH(E1583,'Темы × классы'!$E:$E,0)),"")</f>
        <v/>
      </c>
      <c r="J1583" s="9">
        <f>IFERROR(INDEX('Темы × классы'!$S:$S,MATCH(E1583,'Темы × классы'!$E:$E,0))&amp;"","")</f>
        <v/>
      </c>
      <c r="K1583" s="9" t="inlineStr">
        <is>
          <t>не начат</t>
        </is>
      </c>
      <c r="L1583" s="9" t="inlineStr">
        <is>
          <t>Spotlight / 11 класс / Module 1 · Relationships / Present Continuous / Present Continuous: значение — временные ситуации</t>
        </is>
      </c>
    </row>
    <row r="1584">
      <c r="A1584" s="25" t="n">
        <v>11</v>
      </c>
      <c r="B1584" s="9" t="inlineStr">
        <is>
          <t>Module 1 · Relationships</t>
        </is>
      </c>
      <c r="C1584" s="9" t="inlineStr">
        <is>
          <t>1c</t>
        </is>
      </c>
      <c r="D1584" s="9" t="inlineStr">
        <is>
          <t>Present Continuous</t>
        </is>
      </c>
      <c r="E1584" s="23" t="inlineStr">
        <is>
          <t>Present Continuous: значение — меняющиеся и развивающиеся ситуации</t>
        </is>
      </c>
      <c r="F1584" s="25" t="inlineStr">
        <is>
          <t>повторение</t>
        </is>
      </c>
      <c r="G1584" s="9" t="inlineStr"/>
      <c r="H1584" s="25" t="inlineStr">
        <is>
          <t>10+</t>
        </is>
      </c>
      <c r="I1584" s="9">
        <f>IFERROR(INDEX('Темы × классы'!$R:$R,MATCH(E1584,'Темы × классы'!$E:$E,0)),"")</f>
        <v/>
      </c>
      <c r="J1584" s="9">
        <f>IFERROR(INDEX('Темы × классы'!$S:$S,MATCH(E1584,'Темы × классы'!$E:$E,0))&amp;"","")</f>
        <v/>
      </c>
      <c r="K1584" s="9" t="inlineStr">
        <is>
          <t>не начат</t>
        </is>
      </c>
      <c r="L1584" s="9" t="inlineStr">
        <is>
          <t>Spotlight / 11 класс / Module 1 · Relationships / Present Continuous / Present Continuous: значение — меняющиеся и развивающиеся ситуации</t>
        </is>
      </c>
    </row>
    <row r="1585">
      <c r="A1585" s="25" t="n">
        <v>11</v>
      </c>
      <c r="B1585" s="9" t="inlineStr">
        <is>
          <t>Module 1 · Relationships</t>
        </is>
      </c>
      <c r="C1585" s="9" t="inlineStr">
        <is>
          <t>1c</t>
        </is>
      </c>
      <c r="D1585" s="9" t="inlineStr">
        <is>
          <t>Present Continuous</t>
        </is>
      </c>
      <c r="E1585" s="23" t="inlineStr">
        <is>
          <t>Present Continuous: значение — always + раздражение</t>
        </is>
      </c>
      <c r="F1585" s="25" t="inlineStr">
        <is>
          <t>повторение</t>
        </is>
      </c>
      <c r="G1585" s="9" t="inlineStr"/>
      <c r="H1585" s="25" t="inlineStr">
        <is>
          <t>10+</t>
        </is>
      </c>
      <c r="I1585" s="9">
        <f>IFERROR(INDEX('Темы × классы'!$R:$R,MATCH(E1585,'Темы × классы'!$E:$E,0)),"")</f>
        <v/>
      </c>
      <c r="J1585" s="9">
        <f>IFERROR(INDEX('Темы × классы'!$S:$S,MATCH(E1585,'Темы × классы'!$E:$E,0))&amp;"","")</f>
        <v/>
      </c>
      <c r="K1585" s="9" t="inlineStr">
        <is>
          <t>не начат</t>
        </is>
      </c>
      <c r="L1585" s="9" t="inlineStr">
        <is>
          <t>Spotlight / 11 класс / Module 1 · Relationships / Present Continuous / Present Continuous: значение — always + раздражение</t>
        </is>
      </c>
    </row>
    <row r="1586">
      <c r="A1586" s="25" t="n">
        <v>11</v>
      </c>
      <c r="B1586" s="9" t="inlineStr">
        <is>
          <t>Module 1 · Relationships</t>
        </is>
      </c>
      <c r="C1586" s="9" t="inlineStr">
        <is>
          <t>1c</t>
        </is>
      </c>
      <c r="D1586" s="9" t="inlineStr">
        <is>
          <t>Present Simple</t>
        </is>
      </c>
      <c r="E1586" s="23" t="inlineStr">
        <is>
          <t>Present Simple: утверждение (I/you/we/they V, he/she/it V-s)</t>
        </is>
      </c>
      <c r="F1586" s="25" t="inlineStr">
        <is>
          <t>повторение</t>
        </is>
      </c>
      <c r="G1586" s="9" t="inlineStr">
        <is>
          <t>только V/V-s</t>
        </is>
      </c>
      <c r="H1586" s="25" t="inlineStr">
        <is>
          <t>10+</t>
        </is>
      </c>
      <c r="I1586" s="9">
        <f>IFERROR(INDEX('Темы × классы'!$R:$R,MATCH(E1586,'Темы × классы'!$E:$E,0)),"")</f>
        <v/>
      </c>
      <c r="J1586" s="9">
        <f>IFERROR(INDEX('Темы × классы'!$S:$S,MATCH(E1586,'Темы × классы'!$E:$E,0))&amp;"","")</f>
        <v/>
      </c>
      <c r="K1586" s="9" t="inlineStr">
        <is>
          <t>не начат</t>
        </is>
      </c>
      <c r="L1586" s="9" t="inlineStr">
        <is>
          <t>Spotlight / 11 класс / Module 1 · Relationships / Present Simple / Present Simple: утверждение (I/you/we/they V, he/she/it V-s)</t>
        </is>
      </c>
    </row>
    <row r="1587">
      <c r="A1587" s="25" t="n">
        <v>11</v>
      </c>
      <c r="B1587" s="9" t="inlineStr">
        <is>
          <t>Module 1 · Relationships</t>
        </is>
      </c>
      <c r="C1587" s="9" t="inlineStr">
        <is>
          <t>1c</t>
        </is>
      </c>
      <c r="D1587" s="9" t="inlineStr">
        <is>
          <t>Present Simple</t>
        </is>
      </c>
      <c r="E1587" s="23" t="inlineStr">
        <is>
          <t>Present Simple: орфография окончания -s/-es (3 л. ед. ч.)</t>
        </is>
      </c>
      <c r="F1587" s="25" t="inlineStr">
        <is>
          <t>повторение</t>
        </is>
      </c>
      <c r="G1587" s="9" t="inlineStr">
        <is>
          <t>fry – fries, pay – pays</t>
        </is>
      </c>
      <c r="H1587" s="25" t="inlineStr">
        <is>
          <t>10+</t>
        </is>
      </c>
      <c r="I1587" s="9">
        <f>IFERROR(INDEX('Темы × классы'!$R:$R,MATCH(E1587,'Темы × классы'!$E:$E,0)),"")</f>
        <v/>
      </c>
      <c r="J1587" s="9">
        <f>IFERROR(INDEX('Темы × классы'!$S:$S,MATCH(E1587,'Темы × классы'!$E:$E,0))&amp;"","")</f>
        <v/>
      </c>
      <c r="K1587" s="9" t="inlineStr">
        <is>
          <t>не начат</t>
        </is>
      </c>
      <c r="L1587" s="9" t="inlineStr">
        <is>
          <t>Spotlight / 11 класс / Module 1 · Relationships / Present Simple / Present Simple: орфография окончания -s/-es (3 л. ед. ч.)</t>
        </is>
      </c>
    </row>
    <row r="1588">
      <c r="A1588" s="25" t="n">
        <v>11</v>
      </c>
      <c r="B1588" s="9" t="inlineStr">
        <is>
          <t>Module 1 · Relationships</t>
        </is>
      </c>
      <c r="C1588" s="9" t="inlineStr">
        <is>
          <t>1c</t>
        </is>
      </c>
      <c r="D1588" s="9" t="inlineStr">
        <is>
          <t>Present Simple</t>
        </is>
      </c>
      <c r="E1588" s="23" t="inlineStr">
        <is>
          <t>Present Simple: значение — регулярные действия, распорядок дня, привычки</t>
        </is>
      </c>
      <c r="F1588" s="25" t="inlineStr">
        <is>
          <t>повторение</t>
        </is>
      </c>
      <c r="G1588" s="9" t="inlineStr">
        <is>
          <t>daily routines, повторяющиеся действия, привычки</t>
        </is>
      </c>
      <c r="H1588" s="25" t="inlineStr">
        <is>
          <t>10+</t>
        </is>
      </c>
      <c r="I1588" s="9">
        <f>IFERROR(INDEX('Темы × классы'!$R:$R,MATCH(E1588,'Темы × классы'!$E:$E,0)),"")</f>
        <v/>
      </c>
      <c r="J1588" s="9">
        <f>IFERROR(INDEX('Темы × классы'!$S:$S,MATCH(E1588,'Темы × классы'!$E:$E,0))&amp;"","")</f>
        <v/>
      </c>
      <c r="K1588" s="9" t="inlineStr">
        <is>
          <t>не начат</t>
        </is>
      </c>
      <c r="L1588" s="9" t="inlineStr">
        <is>
          <t>Spotlight / 11 класс / Module 1 · Relationships / Present Simple / Present Simple: значение — регулярные действия, распорядок дня, привычки</t>
        </is>
      </c>
    </row>
    <row r="1589">
      <c r="A1589" s="25" t="n">
        <v>11</v>
      </c>
      <c r="B1589" s="9" t="inlineStr">
        <is>
          <t>Module 1 · Relationships</t>
        </is>
      </c>
      <c r="C1589" s="9" t="inlineStr">
        <is>
          <t>1c</t>
        </is>
      </c>
      <c r="D1589" s="9" t="inlineStr">
        <is>
          <t>Present Simple</t>
        </is>
      </c>
      <c r="E1589" s="23" t="inlineStr">
        <is>
          <t>Present Simple: значение — постоянные состояния и действия</t>
        </is>
      </c>
      <c r="F1589" s="25" t="inlineStr">
        <is>
          <t>повторение</t>
        </is>
      </c>
      <c r="G1589" s="9" t="inlineStr"/>
      <c r="H1589" s="25" t="inlineStr">
        <is>
          <t>10+</t>
        </is>
      </c>
      <c r="I1589" s="9">
        <f>IFERROR(INDEX('Темы × классы'!$R:$R,MATCH(E1589,'Темы × классы'!$E:$E,0)),"")</f>
        <v/>
      </c>
      <c r="J1589" s="9">
        <f>IFERROR(INDEX('Темы × классы'!$S:$S,MATCH(E1589,'Темы × классы'!$E:$E,0))&amp;"","")</f>
        <v/>
      </c>
      <c r="K1589" s="9" t="inlineStr">
        <is>
          <t>не начат</t>
        </is>
      </c>
      <c r="L1589" s="9" t="inlineStr">
        <is>
          <t>Spotlight / 11 класс / Module 1 · Relationships / Present Simple / Present Simple: значение — постоянные состояния и действия</t>
        </is>
      </c>
    </row>
    <row r="1590">
      <c r="A1590" s="25" t="n">
        <v>11</v>
      </c>
      <c r="B1590" s="9" t="inlineStr">
        <is>
          <t>Module 1 · Relationships</t>
        </is>
      </c>
      <c r="C1590" s="9" t="inlineStr">
        <is>
          <t>1c</t>
        </is>
      </c>
      <c r="D1590" s="9" t="inlineStr">
        <is>
          <t>Present Simple</t>
        </is>
      </c>
      <c r="E1590" s="23" t="inlineStr">
        <is>
          <t>Present Simple: значение — расписания и программы (будущее по расписанию)</t>
        </is>
      </c>
      <c r="F1590" s="25" t="inlineStr">
        <is>
          <t>повторение</t>
        </is>
      </c>
      <c r="G1590" s="9" t="inlineStr">
        <is>
          <t>The play starts at 8:00</t>
        </is>
      </c>
      <c r="H1590" s="25" t="inlineStr">
        <is>
          <t>10+</t>
        </is>
      </c>
      <c r="I1590" s="9">
        <f>IFERROR(INDEX('Темы × классы'!$R:$R,MATCH(E1590,'Темы × классы'!$E:$E,0)),"")</f>
        <v/>
      </c>
      <c r="J1590" s="9">
        <f>IFERROR(INDEX('Темы × классы'!$S:$S,MATCH(E1590,'Темы × классы'!$E:$E,0))&amp;"","")</f>
        <v/>
      </c>
      <c r="K1590" s="9" t="inlineStr">
        <is>
          <t>не начат</t>
        </is>
      </c>
      <c r="L1590" s="9" t="inlineStr">
        <is>
          <t>Spotlight / 11 класс / Module 1 · Relationships / Present Simple / Present Simple: значение — расписания и программы (будущее по расписанию)</t>
        </is>
      </c>
    </row>
    <row r="1591">
      <c r="A1591" s="25" t="n">
        <v>11</v>
      </c>
      <c r="B1591" s="9" t="inlineStr">
        <is>
          <t>Module 1 · Relationships</t>
        </is>
      </c>
      <c r="C1591" s="9" t="inlineStr">
        <is>
          <t>1c</t>
        </is>
      </c>
      <c r="D1591" s="9" t="inlineStr">
        <is>
          <t>Present Simple</t>
        </is>
      </c>
      <c r="E1591" s="23" t="inlineStr">
        <is>
          <t>Present Simple: значение — обзоры, спортивные комментарии, повествование</t>
        </is>
      </c>
      <c r="F1591" s="25" t="inlineStr">
        <is>
          <t>повторение</t>
        </is>
      </c>
      <c r="G1591" s="9" t="inlineStr"/>
      <c r="H1591" s="25" t="inlineStr">
        <is>
          <t>10+</t>
        </is>
      </c>
      <c r="I1591" s="9">
        <f>IFERROR(INDEX('Темы × классы'!$R:$R,MATCH(E1591,'Темы × классы'!$E:$E,0)),"")</f>
        <v/>
      </c>
      <c r="J1591" s="9">
        <f>IFERROR(INDEX('Темы × классы'!$S:$S,MATCH(E1591,'Темы × классы'!$E:$E,0))&amp;"","")</f>
        <v/>
      </c>
      <c r="K1591" s="9" t="inlineStr">
        <is>
          <t>не начат</t>
        </is>
      </c>
      <c r="L1591" s="9" t="inlineStr">
        <is>
          <t>Spotlight / 11 класс / Module 1 · Relationships / Present Simple / Present Simple: значение — обзоры, спортивные комментарии, повествование</t>
        </is>
      </c>
    </row>
    <row r="1592">
      <c r="A1592" s="25" t="n">
        <v>11</v>
      </c>
      <c r="B1592" s="9" t="inlineStr">
        <is>
          <t>Module 1 · Relationships</t>
        </is>
      </c>
      <c r="C1592" s="9" t="inlineStr">
        <is>
          <t>1c</t>
        </is>
      </c>
      <c r="D1592" s="9" t="inlineStr">
        <is>
          <t>Present Simple</t>
        </is>
      </c>
      <c r="E1592" s="23" t="inlineStr">
        <is>
          <t>Present Simple: значение — восклицания (Here comes …!)</t>
        </is>
      </c>
      <c r="F1592" s="25" t="inlineStr">
        <is>
          <t>повторение</t>
        </is>
      </c>
      <c r="G1592" s="9" t="inlineStr"/>
      <c r="H1592" s="25" t="inlineStr">
        <is>
          <t>10+</t>
        </is>
      </c>
      <c r="I1592" s="9">
        <f>IFERROR(INDEX('Темы × классы'!$R:$R,MATCH(E1592,'Темы × классы'!$E:$E,0)),"")</f>
        <v/>
      </c>
      <c r="J1592" s="9">
        <f>IFERROR(INDEX('Темы × классы'!$S:$S,MATCH(E1592,'Темы × классы'!$E:$E,0))&amp;"","")</f>
        <v/>
      </c>
      <c r="K1592" s="9" t="inlineStr">
        <is>
          <t>не начат</t>
        </is>
      </c>
      <c r="L1592" s="9" t="inlineStr">
        <is>
          <t>Spotlight / 11 класс / Module 1 · Relationships / Present Simple / Present Simple: значение — восклицания (Here comes …!)</t>
        </is>
      </c>
    </row>
    <row r="1593">
      <c r="A1593" s="25" t="n">
        <v>11</v>
      </c>
      <c r="B1593" s="9" t="inlineStr">
        <is>
          <t>Module 1 · Relationships</t>
        </is>
      </c>
      <c r="C1593" s="9" t="inlineStr">
        <is>
          <t>1c</t>
        </is>
      </c>
      <c r="D1593" s="9" t="inlineStr">
        <is>
          <t>Future Simple (will)</t>
        </is>
      </c>
      <c r="E1593" s="23" t="inlineStr">
        <is>
          <t>Future Simple (will): утверждение (will/'ll + V)</t>
        </is>
      </c>
      <c r="F1593" s="25" t="inlineStr">
        <is>
          <t>повторение</t>
        </is>
      </c>
      <c r="G1593" s="9" t="inlineStr"/>
      <c r="H1593" s="25" t="inlineStr">
        <is>
          <t>10+</t>
        </is>
      </c>
      <c r="I1593" s="9">
        <f>IFERROR(INDEX('Темы × классы'!$R:$R,MATCH(E1593,'Темы × классы'!$E:$E,0)),"")</f>
        <v/>
      </c>
      <c r="J1593" s="9">
        <f>IFERROR(INDEX('Темы × классы'!$S:$S,MATCH(E1593,'Темы × классы'!$E:$E,0))&amp;"","")</f>
        <v/>
      </c>
      <c r="K1593" s="9" t="inlineStr">
        <is>
          <t>не начат</t>
        </is>
      </c>
      <c r="L1593" s="9" t="inlineStr">
        <is>
          <t>Spotlight / 11 класс / Module 1 · Relationships / Future Simple (will) / Future Simple (will): утверждение (will/'ll + V)</t>
        </is>
      </c>
    </row>
    <row r="1594">
      <c r="A1594" s="25" t="n">
        <v>11</v>
      </c>
      <c r="B1594" s="9" t="inlineStr">
        <is>
          <t>Module 1 · Relationships</t>
        </is>
      </c>
      <c r="C1594" s="9" t="inlineStr">
        <is>
          <t>1c</t>
        </is>
      </c>
      <c r="D1594" s="9" t="inlineStr">
        <is>
          <t>Future Simple (will)</t>
        </is>
      </c>
      <c r="E1594" s="23" t="inlineStr">
        <is>
          <t>Future Simple (will): значение — предсказание/предположение</t>
        </is>
      </c>
      <c r="F1594" s="25" t="inlineStr">
        <is>
          <t>повторение</t>
        </is>
      </c>
      <c r="G1594" s="9" t="inlineStr"/>
      <c r="H1594" s="25" t="inlineStr">
        <is>
          <t>10+</t>
        </is>
      </c>
      <c r="I1594" s="9">
        <f>IFERROR(INDEX('Темы × классы'!$R:$R,MATCH(E1594,'Темы × классы'!$E:$E,0)),"")</f>
        <v/>
      </c>
      <c r="J1594" s="9">
        <f>IFERROR(INDEX('Темы × классы'!$S:$S,MATCH(E1594,'Темы × классы'!$E:$E,0))&amp;"","")</f>
        <v/>
      </c>
      <c r="K1594" s="9" t="inlineStr">
        <is>
          <t>не начат</t>
        </is>
      </c>
      <c r="L1594" s="9" t="inlineStr">
        <is>
          <t>Spotlight / 11 класс / Module 1 · Relationships / Future Simple (will) / Future Simple (will): значение — предсказание/предположение</t>
        </is>
      </c>
    </row>
    <row r="1595">
      <c r="A1595" s="25" t="n">
        <v>11</v>
      </c>
      <c r="B1595" s="9" t="inlineStr">
        <is>
          <t>Module 1 · Relationships</t>
        </is>
      </c>
      <c r="C1595" s="9" t="inlineStr">
        <is>
          <t>1c</t>
        </is>
      </c>
      <c r="D1595" s="9" t="inlineStr">
        <is>
          <t>Future Simple (will)</t>
        </is>
      </c>
      <c r="E1595" s="23" t="inlineStr">
        <is>
          <t>Future Simple (will): значение — решение в момент речи</t>
        </is>
      </c>
      <c r="F1595" s="25" t="inlineStr">
        <is>
          <t>повторение</t>
        </is>
      </c>
      <c r="G1595" s="9" t="inlineStr">
        <is>
          <t>on-the-spot decisions</t>
        </is>
      </c>
      <c r="H1595" s="25" t="inlineStr">
        <is>
          <t>10+</t>
        </is>
      </c>
      <c r="I1595" s="9">
        <f>IFERROR(INDEX('Темы × классы'!$R:$R,MATCH(E1595,'Темы × классы'!$E:$E,0)),"")</f>
        <v/>
      </c>
      <c r="J1595" s="9">
        <f>IFERROR(INDEX('Темы × классы'!$S:$S,MATCH(E1595,'Темы × классы'!$E:$E,0))&amp;"","")</f>
        <v/>
      </c>
      <c r="K1595" s="9" t="inlineStr">
        <is>
          <t>не начат</t>
        </is>
      </c>
      <c r="L1595" s="9" t="inlineStr">
        <is>
          <t>Spotlight / 11 класс / Module 1 · Relationships / Future Simple (will) / Future Simple (will): значение — решение в момент речи</t>
        </is>
      </c>
    </row>
    <row r="1596">
      <c r="A1596" s="25" t="n">
        <v>11</v>
      </c>
      <c r="B1596" s="9" t="inlineStr">
        <is>
          <t>Module 1 · Relationships</t>
        </is>
      </c>
      <c r="C1596" s="9" t="inlineStr">
        <is>
          <t>1c</t>
        </is>
      </c>
      <c r="D1596" s="9" t="inlineStr">
        <is>
          <t>Future Simple (will)</t>
        </is>
      </c>
      <c r="E1596" s="23" t="inlineStr">
        <is>
          <t>Future Simple (will): значение — обещания</t>
        </is>
      </c>
      <c r="F1596" s="25" t="inlineStr">
        <is>
          <t>повторение</t>
        </is>
      </c>
      <c r="G1596" s="9" t="inlineStr"/>
      <c r="H1596" s="25" t="inlineStr">
        <is>
          <t>10+</t>
        </is>
      </c>
      <c r="I1596" s="9">
        <f>IFERROR(INDEX('Темы × классы'!$R:$R,MATCH(E1596,'Темы × классы'!$E:$E,0)),"")</f>
        <v/>
      </c>
      <c r="J1596" s="9">
        <f>IFERROR(INDEX('Темы × классы'!$S:$S,MATCH(E1596,'Темы × классы'!$E:$E,0))&amp;"","")</f>
        <v/>
      </c>
      <c r="K1596" s="9" t="inlineStr">
        <is>
          <t>не начат</t>
        </is>
      </c>
      <c r="L1596" s="9" t="inlineStr">
        <is>
          <t>Spotlight / 11 класс / Module 1 · Relationships / Future Simple (will) / Future Simple (will): значение — обещания</t>
        </is>
      </c>
    </row>
    <row r="1597">
      <c r="A1597" s="25" t="n">
        <v>11</v>
      </c>
      <c r="B1597" s="9" t="inlineStr">
        <is>
          <t>Module 1 · Relationships</t>
        </is>
      </c>
      <c r="C1597" s="9" t="inlineStr">
        <is>
          <t>1c</t>
        </is>
      </c>
      <c r="D1597" s="9" t="inlineStr">
        <is>
          <t>Future Simple (will)</t>
        </is>
      </c>
      <c r="E1597" s="23" t="inlineStr">
        <is>
          <t>Future Simple (will): значение — просьбы (Will you…?)</t>
        </is>
      </c>
      <c r="F1597" s="25" t="inlineStr">
        <is>
          <t>повторение</t>
        </is>
      </c>
      <c r="G1597" s="9" t="inlineStr"/>
      <c r="H1597" s="25" t="inlineStr">
        <is>
          <t>10+</t>
        </is>
      </c>
      <c r="I1597" s="9">
        <f>IFERROR(INDEX('Темы × классы'!$R:$R,MATCH(E1597,'Темы × классы'!$E:$E,0)),"")</f>
        <v/>
      </c>
      <c r="J1597" s="9">
        <f>IFERROR(INDEX('Темы × классы'!$S:$S,MATCH(E1597,'Темы × классы'!$E:$E,0))&amp;"","")</f>
        <v/>
      </c>
      <c r="K1597" s="9" t="inlineStr">
        <is>
          <t>не начат</t>
        </is>
      </c>
      <c r="L1597" s="9" t="inlineStr">
        <is>
          <t>Spotlight / 11 класс / Module 1 · Relationships / Future Simple (will) / Future Simple (will): значение — просьбы (Will you…?)</t>
        </is>
      </c>
    </row>
    <row r="1598">
      <c r="A1598" s="25" t="n">
        <v>11</v>
      </c>
      <c r="B1598" s="9" t="inlineStr">
        <is>
          <t>Module 1 · Relationships</t>
        </is>
      </c>
      <c r="C1598" s="9" t="inlineStr">
        <is>
          <t>1c</t>
        </is>
      </c>
      <c r="D1598" s="9" t="inlineStr">
        <is>
          <t>Future Simple (will)</t>
        </is>
      </c>
      <c r="E1598" s="23" t="inlineStr">
        <is>
          <t>Future Simple (will): значение — угрозы и предупреждения</t>
        </is>
      </c>
      <c r="F1598" s="25" t="inlineStr">
        <is>
          <t>повторение</t>
        </is>
      </c>
      <c r="G1598" s="9" t="inlineStr"/>
      <c r="H1598" s="25" t="inlineStr">
        <is>
          <t>10+</t>
        </is>
      </c>
      <c r="I1598" s="9">
        <f>IFERROR(INDEX('Темы × классы'!$R:$R,MATCH(E1598,'Темы × классы'!$E:$E,0)),"")</f>
        <v/>
      </c>
      <c r="J1598" s="9">
        <f>IFERROR(INDEX('Темы × классы'!$S:$S,MATCH(E1598,'Темы × классы'!$E:$E,0))&amp;"","")</f>
        <v/>
      </c>
      <c r="K1598" s="9" t="inlineStr">
        <is>
          <t>не начат</t>
        </is>
      </c>
      <c r="L1598" s="9" t="inlineStr">
        <is>
          <t>Spotlight / 11 класс / Module 1 · Relationships / Future Simple (will) / Future Simple (will): значение — угрозы и предупреждения</t>
        </is>
      </c>
    </row>
    <row r="1599">
      <c r="A1599" s="25" t="n">
        <v>11</v>
      </c>
      <c r="B1599" s="9" t="inlineStr">
        <is>
          <t>Module 1 · Relationships</t>
        </is>
      </c>
      <c r="C1599" s="9" t="inlineStr">
        <is>
          <t>1c</t>
        </is>
      </c>
      <c r="D1599" s="9" t="inlineStr">
        <is>
          <t>Future Simple (will)</t>
        </is>
      </c>
      <c r="E1599" s="23" t="inlineStr">
        <is>
          <t>Future Simple (will): значение — надежды, страхи, предложения, комментарии</t>
        </is>
      </c>
      <c r="F1599" s="25" t="inlineStr">
        <is>
          <t>повторение</t>
        </is>
      </c>
      <c r="G1599" s="9" t="inlineStr"/>
      <c r="H1599" s="25" t="inlineStr">
        <is>
          <t>10+</t>
        </is>
      </c>
      <c r="I1599" s="9">
        <f>IFERROR(INDEX('Темы × классы'!$R:$R,MATCH(E1599,'Темы × классы'!$E:$E,0)),"")</f>
        <v/>
      </c>
      <c r="J1599" s="9">
        <f>IFERROR(INDEX('Темы × классы'!$S:$S,MATCH(E1599,'Темы × классы'!$E:$E,0))&amp;"","")</f>
        <v/>
      </c>
      <c r="K1599" s="9" t="inlineStr">
        <is>
          <t>не начат</t>
        </is>
      </c>
      <c r="L1599" s="9" t="inlineStr">
        <is>
          <t>Spotlight / 11 класс / Module 1 · Relationships / Future Simple (will) / Future Simple (will): значение — надежды, страхи, предложения, комментарии</t>
        </is>
      </c>
    </row>
    <row r="1600">
      <c r="A1600" s="25" t="n">
        <v>11</v>
      </c>
      <c r="B1600" s="9" t="inlineStr">
        <is>
          <t>Module 1 · Relationships</t>
        </is>
      </c>
      <c r="C1600" s="9" t="inlineStr">
        <is>
          <t>1c</t>
        </is>
      </c>
      <c r="D1600" s="9" t="inlineStr">
        <is>
          <t>Future Simple (will)</t>
        </is>
      </c>
      <c r="E1600" s="23" t="inlineStr">
        <is>
          <t>Future Simple (will): значение — ещё не решили/не уверены (Maybe I'll…)</t>
        </is>
      </c>
      <c r="F1600" s="25" t="inlineStr">
        <is>
          <t>повторение</t>
        </is>
      </c>
      <c r="G1600" s="9" t="inlineStr">
        <is>
          <t>Maybe I'll go…</t>
        </is>
      </c>
      <c r="H1600" s="25" t="inlineStr">
        <is>
          <t>10+</t>
        </is>
      </c>
      <c r="I1600" s="9">
        <f>IFERROR(INDEX('Темы × классы'!$R:$R,MATCH(E1600,'Темы × классы'!$E:$E,0)),"")</f>
        <v/>
      </c>
      <c r="J1600" s="9">
        <f>IFERROR(INDEX('Темы × классы'!$S:$S,MATCH(E1600,'Темы × классы'!$E:$E,0))&amp;"","")</f>
        <v/>
      </c>
      <c r="K1600" s="9" t="inlineStr">
        <is>
          <t>не начат</t>
        </is>
      </c>
      <c r="L1600" s="9" t="inlineStr">
        <is>
          <t>Spotlight / 11 класс / Module 1 · Relationships / Future Simple (will) / Future Simple (will): значение — ещё не решили/не уверены (Maybe I'll…)</t>
        </is>
      </c>
    </row>
    <row r="1601">
      <c r="A1601" s="25" t="n">
        <v>11</v>
      </c>
      <c r="B1601" s="9" t="inlineStr">
        <is>
          <t>Module 1 · Relationships</t>
        </is>
      </c>
      <c r="C1601" s="9" t="inlineStr">
        <is>
          <t>1c</t>
        </is>
      </c>
      <c r="D1601" s="9" t="inlineStr">
        <is>
          <t>Future Simple (will)</t>
        </is>
      </c>
      <c r="E1601" s="23" t="inlineStr">
        <is>
          <t>Future Simple (will): Shall I/we? — предложение, просьба о совете</t>
        </is>
      </c>
      <c r="F1601" s="25" t="inlineStr">
        <is>
          <t>повторение</t>
        </is>
      </c>
      <c r="G1601" s="9" t="inlineStr">
        <is>
          <t>предложения, помощь, совет</t>
        </is>
      </c>
      <c r="H1601" s="25" t="inlineStr">
        <is>
          <t>10+</t>
        </is>
      </c>
      <c r="I1601" s="9">
        <f>IFERROR(INDEX('Темы × классы'!$R:$R,MATCH(E1601,'Темы × классы'!$E:$E,0)),"")</f>
        <v/>
      </c>
      <c r="J1601" s="9">
        <f>IFERROR(INDEX('Темы × классы'!$S:$S,MATCH(E1601,'Темы × классы'!$E:$E,0))&amp;"","")</f>
        <v/>
      </c>
      <c r="K1601" s="9" t="inlineStr">
        <is>
          <t>не начат</t>
        </is>
      </c>
      <c r="L1601" s="9" t="inlineStr">
        <is>
          <t>Spotlight / 11 класс / Module 1 · Relationships / Future Simple (will) / Future Simple (will): Shall I/we? — предложение, просьба о совете</t>
        </is>
      </c>
    </row>
    <row r="1602">
      <c r="A1602" s="25" t="n">
        <v>11</v>
      </c>
      <c r="B1602" s="9" t="inlineStr">
        <is>
          <t>Module 1 · Relationships</t>
        </is>
      </c>
      <c r="C1602" s="9" t="inlineStr">
        <is>
          <t>1c</t>
        </is>
      </c>
      <c r="D1602" s="9" t="inlineStr">
        <is>
          <t>Present Simple vs Present Continuous</t>
        </is>
      </c>
      <c r="E1602" s="23" t="inlineStr">
        <is>
          <t>Present Simple vs Present Continuous: постоянное состояние vs временная ситуация</t>
        </is>
      </c>
      <c r="F1602" s="25" t="inlineStr">
        <is>
          <t>повторение</t>
        </is>
      </c>
      <c r="G1602" s="9" t="inlineStr"/>
      <c r="H1602" s="25" t="inlineStr">
        <is>
          <t>10+</t>
        </is>
      </c>
      <c r="I1602" s="9">
        <f>IFERROR(INDEX('Темы × классы'!$R:$R,MATCH(E1602,'Темы × классы'!$E:$E,0)),"")</f>
        <v/>
      </c>
      <c r="J1602" s="9">
        <f>IFERROR(INDEX('Темы × классы'!$S:$S,MATCH(E1602,'Темы × классы'!$E:$E,0))&amp;"","")</f>
        <v/>
      </c>
      <c r="K1602" s="9" t="inlineStr">
        <is>
          <t>не начат</t>
        </is>
      </c>
      <c r="L1602" s="9" t="inlineStr">
        <is>
          <t>Spotlight / 11 класс / Module 1 · Relationships / Present Simple vs Present Continuous / Present Simple vs Present Continuous: постоянное состояние vs временная ситуация</t>
        </is>
      </c>
    </row>
    <row r="1603">
      <c r="A1603" s="25" t="n">
        <v>11</v>
      </c>
      <c r="B1603" s="9" t="inlineStr">
        <is>
          <t>Module 1 · Relationships</t>
        </is>
      </c>
      <c r="C1603" s="9" t="inlineStr">
        <is>
          <t>1c</t>
        </is>
      </c>
      <c r="D1603" s="9" t="inlineStr">
        <is>
          <t>Present Simple vs Present Continuous</t>
        </is>
      </c>
      <c r="E1603" s="23" t="inlineStr">
        <is>
          <t>Present Simple vs Present Continuous: повторяющиеся действия vs настоящий период (these days)</t>
        </is>
      </c>
      <c r="F1603" s="25" t="inlineStr">
        <is>
          <t>повторение</t>
        </is>
      </c>
      <c r="G1603" s="9" t="inlineStr"/>
      <c r="H1603" s="25" t="inlineStr">
        <is>
          <t>10+</t>
        </is>
      </c>
      <c r="I1603" s="9">
        <f>IFERROR(INDEX('Темы × классы'!$R:$R,MATCH(E1603,'Темы × классы'!$E:$E,0)),"")</f>
        <v/>
      </c>
      <c r="J1603" s="9">
        <f>IFERROR(INDEX('Темы × классы'!$S:$S,MATCH(E1603,'Темы × классы'!$E:$E,0))&amp;"","")</f>
        <v/>
      </c>
      <c r="K1603" s="9" t="inlineStr">
        <is>
          <t>не начат</t>
        </is>
      </c>
      <c r="L1603" s="9" t="inlineStr">
        <is>
          <t>Spotlight / 11 класс / Module 1 · Relationships / Present Simple vs Present Continuous / Present Simple vs Present Continuous: повторяющиеся действия vs настоящий период (these days)</t>
        </is>
      </c>
    </row>
    <row r="1604">
      <c r="A1604" s="25" t="n">
        <v>11</v>
      </c>
      <c r="B1604" s="9" t="inlineStr">
        <is>
          <t>Module 1 · Relationships</t>
        </is>
      </c>
      <c r="C1604" s="9" t="inlineStr">
        <is>
          <t>1c</t>
        </is>
      </c>
      <c r="D1604" s="9" t="inlineStr">
        <is>
          <t>be going to</t>
        </is>
      </c>
      <c r="E1604" s="23" t="inlineStr">
        <is>
          <t>be going to: утверждение (am/is/are going to + V)</t>
        </is>
      </c>
      <c r="F1604" s="25" t="inlineStr">
        <is>
          <t>повторение</t>
        </is>
      </c>
      <c r="G1604" s="9" t="inlineStr">
        <is>
          <t>am/is/are + going to + bare infinitive</t>
        </is>
      </c>
      <c r="H1604" s="25" t="inlineStr">
        <is>
          <t>10+</t>
        </is>
      </c>
      <c r="I1604" s="9">
        <f>IFERROR(INDEX('Темы × классы'!$R:$R,MATCH(E1604,'Темы × классы'!$E:$E,0)),"")</f>
        <v/>
      </c>
      <c r="J1604" s="9">
        <f>IFERROR(INDEX('Темы × классы'!$S:$S,MATCH(E1604,'Темы × классы'!$E:$E,0))&amp;"","")</f>
        <v/>
      </c>
      <c r="K1604" s="9" t="inlineStr">
        <is>
          <t>не начат</t>
        </is>
      </c>
      <c r="L1604" s="9" t="inlineStr">
        <is>
          <t>Spotlight / 11 класс / Module 1 · Relationships / be going to / be going to: утверждение (am/is/are going to + V)</t>
        </is>
      </c>
    </row>
    <row r="1605">
      <c r="A1605" s="25" t="n">
        <v>11</v>
      </c>
      <c r="B1605" s="9" t="inlineStr">
        <is>
          <t>Module 1 · Relationships</t>
        </is>
      </c>
      <c r="C1605" s="9" t="inlineStr">
        <is>
          <t>1c</t>
        </is>
      </c>
      <c r="D1605" s="9" t="inlineStr">
        <is>
          <t>be going to</t>
        </is>
      </c>
      <c r="E1605" s="23" t="inlineStr">
        <is>
          <t>be going to: значение — планы и намерения</t>
        </is>
      </c>
      <c r="F1605" s="25" t="inlineStr">
        <is>
          <t>повторение</t>
        </is>
      </c>
      <c r="G1605" s="9" t="inlineStr"/>
      <c r="H1605" s="25" t="inlineStr">
        <is>
          <t>10+</t>
        </is>
      </c>
      <c r="I1605" s="9">
        <f>IFERROR(INDEX('Темы × классы'!$R:$R,MATCH(E1605,'Темы × классы'!$E:$E,0)),"")</f>
        <v/>
      </c>
      <c r="J1605" s="9">
        <f>IFERROR(INDEX('Темы × классы'!$S:$S,MATCH(E1605,'Темы × классы'!$E:$E,0))&amp;"","")</f>
        <v/>
      </c>
      <c r="K1605" s="9" t="inlineStr">
        <is>
          <t>не начат</t>
        </is>
      </c>
      <c r="L1605" s="9" t="inlineStr">
        <is>
          <t>Spotlight / 11 класс / Module 1 · Relationships / be going to / be going to: значение — планы и намерения</t>
        </is>
      </c>
    </row>
    <row r="1606">
      <c r="A1606" s="25" t="n">
        <v>11</v>
      </c>
      <c r="B1606" s="9" t="inlineStr">
        <is>
          <t>Module 1 · Relationships</t>
        </is>
      </c>
      <c r="C1606" s="9" t="inlineStr">
        <is>
          <t>1c</t>
        </is>
      </c>
      <c r="D1606" s="9" t="inlineStr">
        <is>
          <t>be going to</t>
        </is>
      </c>
      <c r="E1606" s="23" t="inlineStr">
        <is>
          <t>be going to: значение — предсказание по очевидным признакам</t>
        </is>
      </c>
      <c r="F1606" s="25" t="inlineStr">
        <is>
          <t>повторение</t>
        </is>
      </c>
      <c r="G1606" s="9" t="inlineStr"/>
      <c r="H1606" s="25" t="inlineStr">
        <is>
          <t>10+</t>
        </is>
      </c>
      <c r="I1606" s="9">
        <f>IFERROR(INDEX('Темы × классы'!$R:$R,MATCH(E1606,'Темы × классы'!$E:$E,0)),"")</f>
        <v/>
      </c>
      <c r="J1606" s="9">
        <f>IFERROR(INDEX('Темы × классы'!$S:$S,MATCH(E1606,'Темы × классы'!$E:$E,0))&amp;"","")</f>
        <v/>
      </c>
      <c r="K1606" s="9" t="inlineStr">
        <is>
          <t>не начат</t>
        </is>
      </c>
      <c r="L1606" s="9" t="inlineStr">
        <is>
          <t>Spotlight / 11 класс / Module 1 · Relationships / be going to / be going to: значение — предсказание по очевидным признакам</t>
        </is>
      </c>
    </row>
    <row r="1607">
      <c r="A1607" s="25" t="n">
        <v>11</v>
      </c>
      <c r="B1607" s="9" t="inlineStr">
        <is>
          <t>Module 1 · Relationships</t>
        </is>
      </c>
      <c r="C1607" s="9" t="inlineStr">
        <is>
          <t>1c</t>
        </is>
      </c>
      <c r="D1607" s="9" t="inlineStr">
        <is>
          <t>be going to</t>
        </is>
      </c>
      <c r="E1607" s="23" t="inlineStr">
        <is>
          <t>be going to vs will: план/признаки vs решение в момент речи/мнение</t>
        </is>
      </c>
      <c r="F1607" s="25" t="inlineStr">
        <is>
          <t>повторение</t>
        </is>
      </c>
      <c r="G1607" s="9" t="inlineStr">
        <is>
          <t>I'm thirsty. I think I'll have a glass of water</t>
        </is>
      </c>
      <c r="H1607" s="25" t="inlineStr">
        <is>
          <t>10+</t>
        </is>
      </c>
      <c r="I1607" s="9">
        <f>IFERROR(INDEX('Темы × классы'!$R:$R,MATCH(E1607,'Темы × классы'!$E:$E,0)),"")</f>
        <v/>
      </c>
      <c r="J1607" s="9">
        <f>IFERROR(INDEX('Темы × классы'!$S:$S,MATCH(E1607,'Темы × классы'!$E:$E,0))&amp;"","")</f>
        <v/>
      </c>
      <c r="K1607" s="9" t="inlineStr">
        <is>
          <t>не начат</t>
        </is>
      </c>
      <c r="L1607" s="9" t="inlineStr">
        <is>
          <t>Spotlight / 11 класс / Module 1 · Relationships / be going to / be going to vs will: план/признаки vs решение в момент речи/мнение</t>
        </is>
      </c>
    </row>
    <row r="1608">
      <c r="A1608" s="25" t="n">
        <v>11</v>
      </c>
      <c r="B1608" s="9" t="inlineStr">
        <is>
          <t>Module 1 · Relationships</t>
        </is>
      </c>
      <c r="C1608" s="9" t="inlineStr">
        <is>
          <t>1c</t>
        </is>
      </c>
      <c r="D1608" s="9" t="inlineStr">
        <is>
          <t>Present Perfect</t>
        </is>
      </c>
      <c r="E1608" s="23" t="inlineStr">
        <is>
          <t>Present Perfect: утверждение (have/has + V3)</t>
        </is>
      </c>
      <c r="F1608" s="25" t="inlineStr">
        <is>
          <t>повторение</t>
        </is>
      </c>
      <c r="G1608" s="9" t="inlineStr"/>
      <c r="H1608" s="25" t="inlineStr">
        <is>
          <t>10+</t>
        </is>
      </c>
      <c r="I1608" s="9">
        <f>IFERROR(INDEX('Темы × классы'!$R:$R,MATCH(E1608,'Темы × классы'!$E:$E,0)),"")</f>
        <v/>
      </c>
      <c r="J1608" s="9">
        <f>IFERROR(INDEX('Темы × классы'!$S:$S,MATCH(E1608,'Темы × классы'!$E:$E,0))&amp;"","")</f>
        <v/>
      </c>
      <c r="K1608" s="9" t="inlineStr">
        <is>
          <t>не начат</t>
        </is>
      </c>
      <c r="L1608" s="9" t="inlineStr">
        <is>
          <t>Spotlight / 11 класс / Module 1 · Relationships / Present Perfect / Present Perfect: утверждение (have/has + V3)</t>
        </is>
      </c>
    </row>
    <row r="1609">
      <c r="A1609" s="25" t="n">
        <v>11</v>
      </c>
      <c r="B1609" s="9" t="inlineStr">
        <is>
          <t>Module 1 · Relationships</t>
        </is>
      </c>
      <c r="C1609" s="9" t="inlineStr">
        <is>
          <t>1c</t>
        </is>
      </c>
      <c r="D1609" s="9" t="inlineStr">
        <is>
          <t>Present Perfect</t>
        </is>
      </c>
      <c r="E1609" s="23" t="inlineStr">
        <is>
          <t>Present Perfect: V3 правильных глаголов (-ed, орфография)</t>
        </is>
      </c>
      <c r="F1609" s="25" t="inlineStr">
        <is>
          <t>повторение</t>
        </is>
      </c>
      <c r="G1609" s="9" t="inlineStr"/>
      <c r="H1609" s="25" t="inlineStr">
        <is>
          <t>10+</t>
        </is>
      </c>
      <c r="I1609" s="9">
        <f>IFERROR(INDEX('Темы × классы'!$R:$R,MATCH(E1609,'Темы × классы'!$E:$E,0)),"")</f>
        <v/>
      </c>
      <c r="J1609" s="9">
        <f>IFERROR(INDEX('Темы × классы'!$S:$S,MATCH(E1609,'Темы × классы'!$E:$E,0))&amp;"","")</f>
        <v/>
      </c>
      <c r="K1609" s="9" t="inlineStr">
        <is>
          <t>не начат</t>
        </is>
      </c>
      <c r="L1609" s="9" t="inlineStr">
        <is>
          <t>Spotlight / 11 класс / Module 1 · Relationships / Present Perfect / Present Perfect: V3 правильных глаголов (-ed, орфография)</t>
        </is>
      </c>
    </row>
    <row r="1610">
      <c r="A1610" s="25" t="n">
        <v>11</v>
      </c>
      <c r="B1610" s="9" t="inlineStr">
        <is>
          <t>Module 1 · Relationships</t>
        </is>
      </c>
      <c r="C1610" s="9" t="inlineStr">
        <is>
          <t>1c</t>
        </is>
      </c>
      <c r="D1610" s="9" t="inlineStr">
        <is>
          <t>Present Perfect</t>
        </is>
      </c>
      <c r="E1610" s="23" t="inlineStr">
        <is>
          <t>Present Perfect: V3 неправильных глаголов</t>
        </is>
      </c>
      <c r="F1610" s="25" t="inlineStr">
        <is>
          <t>повторение</t>
        </is>
      </c>
      <c r="G1610" s="9" t="inlineStr"/>
      <c r="H1610" s="25" t="inlineStr">
        <is>
          <t>10+</t>
        </is>
      </c>
      <c r="I1610" s="9">
        <f>IFERROR(INDEX('Темы × классы'!$R:$R,MATCH(E1610,'Темы × классы'!$E:$E,0)),"")</f>
        <v/>
      </c>
      <c r="J1610" s="9">
        <f>IFERROR(INDEX('Темы × классы'!$S:$S,MATCH(E1610,'Темы × классы'!$E:$E,0))&amp;"","")</f>
        <v/>
      </c>
      <c r="K1610" s="9" t="inlineStr">
        <is>
          <t>не начат</t>
        </is>
      </c>
      <c r="L1610" s="9" t="inlineStr">
        <is>
          <t>Spotlight / 11 класс / Module 1 · Relationships / Present Perfect / Present Perfect: V3 неправильных глаголов</t>
        </is>
      </c>
    </row>
    <row r="1611">
      <c r="A1611" s="25" t="n">
        <v>11</v>
      </c>
      <c r="B1611" s="9" t="inlineStr">
        <is>
          <t>Module 1 · Relationships</t>
        </is>
      </c>
      <c r="C1611" s="9" t="inlineStr">
        <is>
          <t>1c</t>
        </is>
      </c>
      <c r="D1611" s="9" t="inlineStr">
        <is>
          <t>Present Perfect</t>
        </is>
      </c>
      <c r="E1611" s="23" t="inlineStr">
        <is>
          <t>Present Perfect: значение — жизненный опыт, перемены (ever/never)</t>
        </is>
      </c>
      <c r="F1611" s="25" t="inlineStr">
        <is>
          <t>повторение</t>
        </is>
      </c>
      <c r="G1611" s="9" t="inlineStr"/>
      <c r="H1611" s="25" t="inlineStr">
        <is>
          <t>10+</t>
        </is>
      </c>
      <c r="I1611" s="9">
        <f>IFERROR(INDEX('Темы × классы'!$R:$R,MATCH(E1611,'Темы × классы'!$E:$E,0)),"")</f>
        <v/>
      </c>
      <c r="J1611" s="9">
        <f>IFERROR(INDEX('Темы × классы'!$S:$S,MATCH(E1611,'Темы × классы'!$E:$E,0))&amp;"","")</f>
        <v/>
      </c>
      <c r="K1611" s="9" t="inlineStr">
        <is>
          <t>не начат</t>
        </is>
      </c>
      <c r="L1611" s="9" t="inlineStr">
        <is>
          <t>Spotlight / 11 класс / Module 1 · Relationships / Present Perfect / Present Perfect: значение — жизненный опыт, перемены (ever/never)</t>
        </is>
      </c>
    </row>
    <row r="1612">
      <c r="A1612" s="25" t="n">
        <v>11</v>
      </c>
      <c r="B1612" s="9" t="inlineStr">
        <is>
          <t>Module 1 · Relationships</t>
        </is>
      </c>
      <c r="C1612" s="9" t="inlineStr">
        <is>
          <t>1c</t>
        </is>
      </c>
      <c r="D1612" s="9" t="inlineStr">
        <is>
          <t>Present Perfect</t>
        </is>
      </c>
      <c r="E1612" s="23" t="inlineStr">
        <is>
          <t>Present Perfect: значение — результат в настоящем</t>
        </is>
      </c>
      <c r="F1612" s="25" t="inlineStr">
        <is>
          <t>повторение</t>
        </is>
      </c>
      <c r="G1612" s="9" t="inlineStr"/>
      <c r="H1612" s="25" t="inlineStr">
        <is>
          <t>10+</t>
        </is>
      </c>
      <c r="I1612" s="9">
        <f>IFERROR(INDEX('Темы × классы'!$R:$R,MATCH(E1612,'Темы × классы'!$E:$E,0)),"")</f>
        <v/>
      </c>
      <c r="J1612" s="9">
        <f>IFERROR(INDEX('Темы × классы'!$S:$S,MATCH(E1612,'Темы × классы'!$E:$E,0))&amp;"","")</f>
        <v/>
      </c>
      <c r="K1612" s="9" t="inlineStr">
        <is>
          <t>не начат</t>
        </is>
      </c>
      <c r="L1612" s="9" t="inlineStr">
        <is>
          <t>Spotlight / 11 класс / Module 1 · Relationships / Present Perfect / Present Perfect: значение — результат в настоящем</t>
        </is>
      </c>
    </row>
    <row r="1613">
      <c r="A1613" s="25" t="n">
        <v>11</v>
      </c>
      <c r="B1613" s="9" t="inlineStr">
        <is>
          <t>Module 1 · Relationships</t>
        </is>
      </c>
      <c r="C1613" s="9" t="inlineStr">
        <is>
          <t>1c</t>
        </is>
      </c>
      <c r="D1613" s="9" t="inlineStr">
        <is>
          <t>Present Perfect</t>
        </is>
      </c>
      <c r="E1613" s="23" t="inlineStr">
        <is>
          <t>Present Perfect: значение — недавно завершённое действие (just)</t>
        </is>
      </c>
      <c r="F1613" s="25" t="inlineStr">
        <is>
          <t>повторение</t>
        </is>
      </c>
      <c r="G1613" s="9" t="inlineStr"/>
      <c r="H1613" s="25" t="inlineStr">
        <is>
          <t>10+</t>
        </is>
      </c>
      <c r="I1613" s="9">
        <f>IFERROR(INDEX('Темы × классы'!$R:$R,MATCH(E1613,'Темы × классы'!$E:$E,0)),"")</f>
        <v/>
      </c>
      <c r="J1613" s="9">
        <f>IFERROR(INDEX('Темы × классы'!$S:$S,MATCH(E1613,'Темы × классы'!$E:$E,0))&amp;"","")</f>
        <v/>
      </c>
      <c r="K1613" s="9" t="inlineStr">
        <is>
          <t>не начат</t>
        </is>
      </c>
      <c r="L1613" s="9" t="inlineStr">
        <is>
          <t>Spotlight / 11 класс / Module 1 · Relationships / Present Perfect / Present Perfect: значение — недавно завершённое действие (just)</t>
        </is>
      </c>
    </row>
    <row r="1614">
      <c r="A1614" s="25" t="n">
        <v>11</v>
      </c>
      <c r="B1614" s="9" t="inlineStr">
        <is>
          <t>Module 1 · Relationships</t>
        </is>
      </c>
      <c r="C1614" s="9" t="inlineStr">
        <is>
          <t>1c</t>
        </is>
      </c>
      <c r="D1614" s="9" t="inlineStr">
        <is>
          <t>Present Perfect</t>
        </is>
      </c>
      <c r="E1614" s="23" t="inlineStr">
        <is>
          <t>Present Perfect: значение — неуказанное время в прошлом</t>
        </is>
      </c>
      <c r="F1614" s="25" t="inlineStr">
        <is>
          <t>повторение</t>
        </is>
      </c>
      <c r="G1614" s="9" t="inlineStr"/>
      <c r="H1614" s="25" t="inlineStr">
        <is>
          <t>10+</t>
        </is>
      </c>
      <c r="I1614" s="9">
        <f>IFERROR(INDEX('Темы × классы'!$R:$R,MATCH(E1614,'Темы × классы'!$E:$E,0)),"")</f>
        <v/>
      </c>
      <c r="J1614" s="9">
        <f>IFERROR(INDEX('Темы × классы'!$S:$S,MATCH(E1614,'Темы × классы'!$E:$E,0))&amp;"","")</f>
        <v/>
      </c>
      <c r="K1614" s="9" t="inlineStr">
        <is>
          <t>не начат</t>
        </is>
      </c>
      <c r="L1614" s="9" t="inlineStr">
        <is>
          <t>Spotlight / 11 класс / Module 1 · Relationships / Present Perfect / Present Perfect: значение — неуказанное время в прошлом</t>
        </is>
      </c>
    </row>
    <row r="1615">
      <c r="A1615" s="25" t="n">
        <v>11</v>
      </c>
      <c r="B1615" s="9" t="inlineStr">
        <is>
          <t>Module 1 · Relationships</t>
        </is>
      </c>
      <c r="C1615" s="9" t="inlineStr">
        <is>
          <t>1c</t>
        </is>
      </c>
      <c r="D1615" s="9" t="inlineStr">
        <is>
          <t>Present Perfect</t>
        </is>
      </c>
      <c r="E1615" s="23" t="inlineStr">
        <is>
          <t>Present Perfect: значение — с прошлого до настоящего (stative verbs, for/since)</t>
        </is>
      </c>
      <c r="F1615" s="25" t="inlineStr">
        <is>
          <t>повторение</t>
        </is>
      </c>
      <c r="G1615" s="9" t="inlineStr">
        <is>
          <t>know, be, have, possess, own</t>
        </is>
      </c>
      <c r="H1615" s="25" t="inlineStr">
        <is>
          <t>10+</t>
        </is>
      </c>
      <c r="I1615" s="9">
        <f>IFERROR(INDEX('Темы × классы'!$R:$R,MATCH(E1615,'Темы × классы'!$E:$E,0)),"")</f>
        <v/>
      </c>
      <c r="J1615" s="9">
        <f>IFERROR(INDEX('Темы × классы'!$S:$S,MATCH(E1615,'Темы × классы'!$E:$E,0))&amp;"","")</f>
        <v/>
      </c>
      <c r="K1615" s="9" t="inlineStr">
        <is>
          <t>не начат</t>
        </is>
      </c>
      <c r="L1615" s="9" t="inlineStr">
        <is>
          <t>Spotlight / 11 класс / Module 1 · Relationships / Present Perfect / Present Perfect: значение — с прошлого до настоящего (stative verbs, for/since)</t>
        </is>
      </c>
    </row>
    <row r="1616">
      <c r="A1616" s="25" t="n">
        <v>11</v>
      </c>
      <c r="B1616" s="9" t="inlineStr">
        <is>
          <t>Module 1 · Relationships</t>
        </is>
      </c>
      <c r="C1616" s="9" t="inlineStr">
        <is>
          <t>1c</t>
        </is>
      </c>
      <c r="D1616" s="9" t="inlineStr">
        <is>
          <t>Present Perfect</t>
        </is>
      </c>
      <c r="E1616" s="23" t="inlineStr">
        <is>
          <t>Present Perfect: значение — незаконченный период (today, this week, so far)</t>
        </is>
      </c>
      <c r="F1616" s="25" t="inlineStr">
        <is>
          <t>повторение</t>
        </is>
      </c>
      <c r="G1616" s="9" t="inlineStr"/>
      <c r="H1616" s="25" t="inlineStr">
        <is>
          <t>10+</t>
        </is>
      </c>
      <c r="I1616" s="9">
        <f>IFERROR(INDEX('Темы × классы'!$R:$R,MATCH(E1616,'Темы × классы'!$E:$E,0)),"")</f>
        <v/>
      </c>
      <c r="J1616" s="9">
        <f>IFERROR(INDEX('Темы × классы'!$S:$S,MATCH(E1616,'Темы × классы'!$E:$E,0))&amp;"","")</f>
        <v/>
      </c>
      <c r="K1616" s="9" t="inlineStr">
        <is>
          <t>не начат</t>
        </is>
      </c>
      <c r="L1616" s="9" t="inlineStr">
        <is>
          <t>Spotlight / 11 класс / Module 1 · Relationships / Present Perfect / Present Perfect: значение — незаконченный период (today, this week, so far)</t>
        </is>
      </c>
    </row>
    <row r="1617">
      <c r="A1617" s="25" t="n">
        <v>11</v>
      </c>
      <c r="B1617" s="9" t="inlineStr">
        <is>
          <t>Module 1 · Relationships</t>
        </is>
      </c>
      <c r="C1617" s="9" t="inlineStr">
        <is>
          <t>1c</t>
        </is>
      </c>
      <c r="D1617" s="9" t="inlineStr">
        <is>
          <t>Present Perfect</t>
        </is>
      </c>
      <c r="E1617" s="23" t="inlineStr">
        <is>
          <t>Present Perfect: значение — акцент на количестве (seven times this week)</t>
        </is>
      </c>
      <c r="F1617" s="25" t="inlineStr">
        <is>
          <t>повторение</t>
        </is>
      </c>
      <c r="G1617" s="9" t="inlineStr"/>
      <c r="H1617" s="25" t="inlineStr">
        <is>
          <t>10+</t>
        </is>
      </c>
      <c r="I1617" s="9">
        <f>IFERROR(INDEX('Темы × классы'!$R:$R,MATCH(E1617,'Темы × классы'!$E:$E,0)),"")</f>
        <v/>
      </c>
      <c r="J1617" s="9">
        <f>IFERROR(INDEX('Темы × классы'!$S:$S,MATCH(E1617,'Темы × классы'!$E:$E,0))&amp;"","")</f>
        <v/>
      </c>
      <c r="K1617" s="9" t="inlineStr">
        <is>
          <t>не начат</t>
        </is>
      </c>
      <c r="L1617" s="9" t="inlineStr">
        <is>
          <t>Spotlight / 11 класс / Module 1 · Relationships / Present Perfect / Present Perfect: значение — акцент на количестве (seven times this week)</t>
        </is>
      </c>
    </row>
    <row r="1618">
      <c r="A1618" s="25" t="n">
        <v>11</v>
      </c>
      <c r="B1618" s="9" t="inlineStr">
        <is>
          <t>Module 1 · Relationships</t>
        </is>
      </c>
      <c r="C1618" s="9" t="inlineStr">
        <is>
          <t>1c</t>
        </is>
      </c>
      <c r="D1618" s="9" t="inlineStr">
        <is>
          <t>Present Perfect</t>
        </is>
      </c>
      <c r="E1618" s="23" t="inlineStr">
        <is>
          <t>Present Perfect: слова-маркеры already / yet / just / ever / never</t>
        </is>
      </c>
      <c r="F1618" s="25" t="inlineStr">
        <is>
          <t>повторение</t>
        </is>
      </c>
      <c r="G1618" s="9" t="inlineStr"/>
      <c r="H1618" s="25" t="inlineStr">
        <is>
          <t>10+</t>
        </is>
      </c>
      <c r="I1618" s="9">
        <f>IFERROR(INDEX('Темы × классы'!$R:$R,MATCH(E1618,'Темы × классы'!$E:$E,0)),"")</f>
        <v/>
      </c>
      <c r="J1618" s="9">
        <f>IFERROR(INDEX('Темы × классы'!$S:$S,MATCH(E1618,'Темы × классы'!$E:$E,0))&amp;"","")</f>
        <v/>
      </c>
      <c r="K1618" s="9" t="inlineStr">
        <is>
          <t>не начат</t>
        </is>
      </c>
      <c r="L1618" s="9" t="inlineStr">
        <is>
          <t>Spotlight / 11 класс / Module 1 · Relationships / Present Perfect / Present Perfect: слова-маркеры already / yet / just / ever / never</t>
        </is>
      </c>
    </row>
    <row r="1619">
      <c r="A1619" s="25" t="n">
        <v>11</v>
      </c>
      <c r="B1619" s="9" t="inlineStr">
        <is>
          <t>Module 1 · Relationships</t>
        </is>
      </c>
      <c r="C1619" s="9" t="inlineStr">
        <is>
          <t>1c</t>
        </is>
      </c>
      <c r="D1619" s="9" t="inlineStr">
        <is>
          <t>Stative verbs</t>
        </is>
      </c>
      <c r="E1619" s="23" t="inlineStr">
        <is>
          <t>Stative verbs: глаголы состояния не употребляются в Continuous</t>
        </is>
      </c>
      <c r="F1619" s="25" t="inlineStr">
        <is>
          <t>повторение</t>
        </is>
      </c>
      <c r="G1619" s="9" t="inlineStr"/>
      <c r="H1619" s="25" t="inlineStr">
        <is>
          <t>10+</t>
        </is>
      </c>
      <c r="I1619" s="9">
        <f>IFERROR(INDEX('Темы × классы'!$R:$R,MATCH(E1619,'Темы × классы'!$E:$E,0)),"")</f>
        <v/>
      </c>
      <c r="J1619" s="9">
        <f>IFERROR(INDEX('Темы × классы'!$S:$S,MATCH(E1619,'Темы × классы'!$E:$E,0))&amp;"","")</f>
        <v/>
      </c>
      <c r="K1619" s="9" t="inlineStr">
        <is>
          <t>не начат</t>
        </is>
      </c>
      <c r="L1619" s="9" t="inlineStr">
        <is>
          <t>Spotlight / 11 класс / Module 1 · Relationships / Stative verbs / Stative verbs: глаголы состояния не употребляются в Continuous</t>
        </is>
      </c>
    </row>
    <row r="1620">
      <c r="A1620" s="25" t="n">
        <v>11</v>
      </c>
      <c r="B1620" s="9" t="inlineStr">
        <is>
          <t>Module 1 · Relationships</t>
        </is>
      </c>
      <c r="C1620" s="9" t="inlineStr">
        <is>
          <t>1c</t>
        </is>
      </c>
      <c r="D1620" s="9" t="inlineStr">
        <is>
          <t>Stative verbs</t>
        </is>
      </c>
      <c r="E1620" s="23" t="inlineStr">
        <is>
          <t>Stative verbs: группы глаголов (восприятие, мышление, чувства, прочие)</t>
        </is>
      </c>
      <c r="F1620" s="25" t="inlineStr">
        <is>
          <t>повторение</t>
        </is>
      </c>
      <c r="G1620" s="9" t="inlineStr"/>
      <c r="H1620" s="25" t="inlineStr">
        <is>
          <t>10+</t>
        </is>
      </c>
      <c r="I1620" s="9">
        <f>IFERROR(INDEX('Темы × классы'!$R:$R,MATCH(E1620,'Темы × классы'!$E:$E,0)),"")</f>
        <v/>
      </c>
      <c r="J1620" s="9">
        <f>IFERROR(INDEX('Темы × классы'!$S:$S,MATCH(E1620,'Темы × классы'!$E:$E,0))&amp;"","")</f>
        <v/>
      </c>
      <c r="K1620" s="9" t="inlineStr">
        <is>
          <t>не начат</t>
        </is>
      </c>
      <c r="L1620" s="9" t="inlineStr">
        <is>
          <t>Spotlight / 11 класс / Module 1 · Relationships / Stative verbs / Stative verbs: группы глаголов (восприятие, мышление, чувства, прочие)</t>
        </is>
      </c>
    </row>
    <row r="1621">
      <c r="A1621" s="25" t="n">
        <v>11</v>
      </c>
      <c r="B1621" s="9" t="inlineStr">
        <is>
          <t>Module 1 · Relationships</t>
        </is>
      </c>
      <c r="C1621" s="9" t="inlineStr">
        <is>
          <t>1c</t>
        </is>
      </c>
      <c r="D1621" s="9" t="inlineStr">
        <is>
          <t>Stative verbs</t>
        </is>
      </c>
      <c r="E1621" s="23" t="inlineStr">
        <is>
          <t>Stative verbs: разное значение в Simple и Continuous (think, have, see, taste…)</t>
        </is>
      </c>
      <c r="F1621" s="25" t="inlineStr">
        <is>
          <t>повторение</t>
        </is>
      </c>
      <c r="G1621" s="9" t="inlineStr"/>
      <c r="H1621" s="25" t="inlineStr">
        <is>
          <t>10+</t>
        </is>
      </c>
      <c r="I1621" s="9">
        <f>IFERROR(INDEX('Темы × классы'!$R:$R,MATCH(E1621,'Темы × классы'!$E:$E,0)),"")</f>
        <v/>
      </c>
      <c r="J1621" s="9">
        <f>IFERROR(INDEX('Темы × классы'!$S:$S,MATCH(E1621,'Темы × классы'!$E:$E,0))&amp;"","")</f>
        <v/>
      </c>
      <c r="K1621" s="9" t="inlineStr">
        <is>
          <t>не начат</t>
        </is>
      </c>
      <c r="L1621" s="9" t="inlineStr">
        <is>
          <t>Spotlight / 11 класс / Module 1 · Relationships / Stative verbs / Stative verbs: разное значение в Simple и Continuous (think, have, see, taste…)</t>
        </is>
      </c>
    </row>
    <row r="1622">
      <c r="A1622" s="25" t="n">
        <v>11</v>
      </c>
      <c r="B1622" s="9" t="inlineStr">
        <is>
          <t>Module 1 · Relationships</t>
        </is>
      </c>
      <c r="C1622" s="9" t="inlineStr">
        <is>
          <t>1c</t>
        </is>
      </c>
      <c r="D1622" s="9" t="inlineStr">
        <is>
          <t>Stative verbs</t>
        </is>
      </c>
      <c r="E1622" s="23" t="inlineStr">
        <is>
          <t>Stative verbs: look, feel, hurt, ache — Simple = Continuous</t>
        </is>
      </c>
      <c r="F1622" s="25" t="inlineStr">
        <is>
          <t>повторение</t>
        </is>
      </c>
      <c r="G1622" s="9" t="inlineStr"/>
      <c r="H1622" s="25" t="inlineStr">
        <is>
          <t>10+</t>
        </is>
      </c>
      <c r="I1622" s="9">
        <f>IFERROR(INDEX('Темы × классы'!$R:$R,MATCH(E1622,'Темы × классы'!$E:$E,0)),"")</f>
        <v/>
      </c>
      <c r="J1622" s="9">
        <f>IFERROR(INDEX('Темы × классы'!$S:$S,MATCH(E1622,'Темы × классы'!$E:$E,0))&amp;"","")</f>
        <v/>
      </c>
      <c r="K1622" s="9" t="inlineStr">
        <is>
          <t>не начат</t>
        </is>
      </c>
      <c r="L1622" s="9" t="inlineStr">
        <is>
          <t>Spotlight / 11 класс / Module 1 · Relationships / Stative verbs / Stative verbs: look, feel, hurt, ache — Simple = Continuous</t>
        </is>
      </c>
    </row>
    <row r="1623">
      <c r="A1623" s="25" t="n">
        <v>11</v>
      </c>
      <c r="B1623" s="9" t="inlineStr">
        <is>
          <t>Module 1 · Relationships</t>
        </is>
      </c>
      <c r="C1623" s="9" t="inlineStr">
        <is>
          <t>1c</t>
        </is>
      </c>
      <c r="D1623" s="9" t="inlineStr">
        <is>
          <t>Stative verbs</t>
        </is>
      </c>
      <c r="E1623" s="23" t="inlineStr">
        <is>
          <t>Stative verbs: enjoy в Continuous — конкретное удовольствие</t>
        </is>
      </c>
      <c r="F1623" s="25" t="inlineStr">
        <is>
          <t>повторение</t>
        </is>
      </c>
      <c r="G1623" s="9" t="inlineStr"/>
      <c r="H1623" s="25" t="inlineStr">
        <is>
          <t>10+</t>
        </is>
      </c>
      <c r="I1623" s="9">
        <f>IFERROR(INDEX('Темы × классы'!$R:$R,MATCH(E1623,'Темы × классы'!$E:$E,0)),"")</f>
        <v/>
      </c>
      <c r="J1623" s="9">
        <f>IFERROR(INDEX('Темы × классы'!$S:$S,MATCH(E1623,'Темы × классы'!$E:$E,0))&amp;"","")</f>
        <v/>
      </c>
      <c r="K1623" s="9" t="inlineStr">
        <is>
          <t>не начат</t>
        </is>
      </c>
      <c r="L1623" s="9" t="inlineStr">
        <is>
          <t>Spotlight / 11 класс / Module 1 · Relationships / Stative verbs / Stative verbs: enjoy в Continuous — конкретное удовольствие</t>
        </is>
      </c>
    </row>
    <row r="1624">
      <c r="A1624" s="25" t="n">
        <v>11</v>
      </c>
      <c r="B1624" s="9" t="inlineStr">
        <is>
          <t>Module 1 · Relationships</t>
        </is>
      </c>
      <c r="C1624" s="9" t="inlineStr">
        <is>
          <t>1c</t>
        </is>
      </c>
      <c r="D1624" s="9" t="inlineStr">
        <is>
          <t>Future forms (comparison)</t>
        </is>
      </c>
      <c r="E1624" s="23" t="inlineStr">
        <is>
          <t>Future forms: Present Continuous — договорённости на ближайшее будущее</t>
        </is>
      </c>
      <c r="F1624" s="25" t="inlineStr">
        <is>
          <t>повторение</t>
        </is>
      </c>
      <c r="G1624" s="9" t="inlineStr">
        <is>
          <t>твёрдые договорённости</t>
        </is>
      </c>
      <c r="H1624" s="25" t="inlineStr">
        <is>
          <t>10+</t>
        </is>
      </c>
      <c r="I1624" s="9">
        <f>IFERROR(INDEX('Темы × классы'!$R:$R,MATCH(E1624,'Темы × классы'!$E:$E,0)),"")</f>
        <v/>
      </c>
      <c r="J1624" s="9">
        <f>IFERROR(INDEX('Темы × классы'!$S:$S,MATCH(E1624,'Темы × классы'!$E:$E,0))&amp;"","")</f>
        <v/>
      </c>
      <c r="K1624" s="9" t="inlineStr">
        <is>
          <t>не начат</t>
        </is>
      </c>
      <c r="L1624" s="9" t="inlineStr">
        <is>
          <t>Spotlight / 11 класс / Module 1 · Relationships / Future forms (comparison) / Future forms: Present Continuous — договорённости на ближайшее будущее</t>
        </is>
      </c>
    </row>
    <row r="1625">
      <c r="A1625" s="25" t="n">
        <v>11</v>
      </c>
      <c r="B1625" s="9" t="inlineStr">
        <is>
          <t>Module 1 · Relationships</t>
        </is>
      </c>
      <c r="C1625" s="9" t="inlineStr">
        <is>
          <t>1c</t>
        </is>
      </c>
      <c r="D1625" s="9" t="inlineStr">
        <is>
          <t>Future forms (comparison)</t>
        </is>
      </c>
      <c r="E1625" s="23" t="inlineStr">
        <is>
          <t>Future forms: Present Simple — расписания и программы</t>
        </is>
      </c>
      <c r="F1625" s="25" t="inlineStr">
        <is>
          <t>повторение</t>
        </is>
      </c>
      <c r="G1625" s="9" t="inlineStr"/>
      <c r="H1625" s="25" t="inlineStr">
        <is>
          <t>10+</t>
        </is>
      </c>
      <c r="I1625" s="9">
        <f>IFERROR(INDEX('Темы × классы'!$R:$R,MATCH(E1625,'Темы × классы'!$E:$E,0)),"")</f>
        <v/>
      </c>
      <c r="J1625" s="9">
        <f>IFERROR(INDEX('Темы × классы'!$S:$S,MATCH(E1625,'Темы × классы'!$E:$E,0))&amp;"","")</f>
        <v/>
      </c>
      <c r="K1625" s="9" t="inlineStr">
        <is>
          <t>не начат</t>
        </is>
      </c>
      <c r="L1625" s="9" t="inlineStr">
        <is>
          <t>Spotlight / 11 класс / Module 1 · Relationships / Future forms (comparison) / Future forms: Present Simple — расписания и программы</t>
        </is>
      </c>
    </row>
    <row r="1626">
      <c r="A1626" s="25" t="n">
        <v>11</v>
      </c>
      <c r="B1626" s="9" t="inlineStr">
        <is>
          <t>Module 1 · Relationships</t>
        </is>
      </c>
      <c r="C1626" s="9" t="inlineStr">
        <is>
          <t>1c</t>
        </is>
      </c>
      <c r="D1626" s="9" t="inlineStr">
        <is>
          <t>Future forms (comparison)</t>
        </is>
      </c>
      <c r="E1626" s="23" t="inlineStr">
        <is>
          <t>Future forms: will vs be going to — решение в момент речи vs план</t>
        </is>
      </c>
      <c r="F1626" s="25" t="inlineStr">
        <is>
          <t>повторение</t>
        </is>
      </c>
      <c r="G1626" s="9" t="inlineStr"/>
      <c r="H1626" s="25" t="inlineStr">
        <is>
          <t>10+</t>
        </is>
      </c>
      <c r="I1626" s="9">
        <f>IFERROR(INDEX('Темы × классы'!$R:$R,MATCH(E1626,'Темы × классы'!$E:$E,0)),"")</f>
        <v/>
      </c>
      <c r="J1626" s="9">
        <f>IFERROR(INDEX('Темы × классы'!$S:$S,MATCH(E1626,'Темы × классы'!$E:$E,0))&amp;"","")</f>
        <v/>
      </c>
      <c r="K1626" s="9" t="inlineStr">
        <is>
          <t>не начат</t>
        </is>
      </c>
      <c r="L1626" s="9" t="inlineStr">
        <is>
          <t>Spotlight / 11 класс / Module 1 · Relationships / Future forms (comparison) / Future forms: will vs be going to — решение в момент речи vs план</t>
        </is>
      </c>
    </row>
    <row r="1627">
      <c r="A1627" s="25" t="n">
        <v>11</v>
      </c>
      <c r="B1627" s="9" t="inlineStr">
        <is>
          <t>Module 1 · Relationships</t>
        </is>
      </c>
      <c r="C1627" s="9" t="inlineStr">
        <is>
          <t>1c</t>
        </is>
      </c>
      <c r="D1627" s="9" t="inlineStr">
        <is>
          <t>Future forms (comparison)</t>
        </is>
      </c>
      <c r="E1627" s="23" t="inlineStr">
        <is>
          <t>Future forms: will vs be going to — прогноз-мнение vs прогноз по признакам</t>
        </is>
      </c>
      <c r="F1627" s="25" t="inlineStr">
        <is>
          <t>повторение</t>
        </is>
      </c>
      <c r="G1627" s="9" t="inlineStr"/>
      <c r="H1627" s="25" t="inlineStr">
        <is>
          <t>10+</t>
        </is>
      </c>
      <c r="I1627" s="9">
        <f>IFERROR(INDEX('Темы × классы'!$R:$R,MATCH(E1627,'Темы × классы'!$E:$E,0)),"")</f>
        <v/>
      </c>
      <c r="J1627" s="9">
        <f>IFERROR(INDEX('Темы × классы'!$S:$S,MATCH(E1627,'Темы × классы'!$E:$E,0))&amp;"","")</f>
        <v/>
      </c>
      <c r="K1627" s="9" t="inlineStr">
        <is>
          <t>не начат</t>
        </is>
      </c>
      <c r="L1627" s="9" t="inlineStr">
        <is>
          <t>Spotlight / 11 класс / Module 1 · Relationships / Future forms (comparison) / Future forms: will vs be going to — прогноз-мнение vs прогноз по признакам</t>
        </is>
      </c>
    </row>
    <row r="1628">
      <c r="A1628" s="25" t="n">
        <v>11</v>
      </c>
      <c r="B1628" s="9" t="inlineStr">
        <is>
          <t>Module 1 · Relationships</t>
        </is>
      </c>
      <c r="C1628" s="9" t="inlineStr">
        <is>
          <t>1c</t>
        </is>
      </c>
      <c r="D1628" s="9" t="inlineStr">
        <is>
          <t>Future forms (comparison)</t>
        </is>
      </c>
      <c r="E1628" s="23" t="inlineStr">
        <is>
          <t>Future forms: обзор всех способов выражения будущего</t>
        </is>
      </c>
      <c r="F1628" s="25" t="inlineStr">
        <is>
          <t>повторение</t>
        </is>
      </c>
      <c r="G1628" s="9" t="inlineStr">
        <is>
          <t>сводной таблицы нет</t>
        </is>
      </c>
      <c r="H1628" s="25" t="inlineStr">
        <is>
          <t>10+</t>
        </is>
      </c>
      <c r="I1628" s="9">
        <f>IFERROR(INDEX('Темы × классы'!$R:$R,MATCH(E1628,'Темы × классы'!$E:$E,0)),"")</f>
        <v/>
      </c>
      <c r="J1628" s="9">
        <f>IFERROR(INDEX('Темы × классы'!$S:$S,MATCH(E1628,'Темы × классы'!$E:$E,0))&amp;"","")</f>
        <v/>
      </c>
      <c r="K1628" s="9" t="inlineStr">
        <is>
          <t>не начат</t>
        </is>
      </c>
      <c r="L1628" s="9" t="inlineStr">
        <is>
          <t>Spotlight / 11 класс / Module 1 · Relationships / Future forms (comparison) / Future forms: обзор всех способов выражения будущего</t>
        </is>
      </c>
    </row>
    <row r="1629">
      <c r="A1629" s="25" t="n">
        <v>11</v>
      </c>
      <c r="B1629" s="9" t="inlineStr">
        <is>
          <t>Module 1 · Relationships</t>
        </is>
      </c>
      <c r="C1629" s="9" t="inlineStr">
        <is>
          <t>1c</t>
        </is>
      </c>
      <c r="D1629" s="9" t="inlineStr">
        <is>
          <t>Future forms (comparison)</t>
        </is>
      </c>
      <c r="E1629" s="23" t="inlineStr">
        <is>
          <t>Future forms: Future Continuous/Future Perfect в системе будущих форм</t>
        </is>
      </c>
      <c r="F1629" s="25" t="inlineStr">
        <is>
          <t>повторение</t>
        </is>
      </c>
      <c r="G1629" s="9" t="inlineStr">
        <is>
          <t>только Future Continuous</t>
        </is>
      </c>
      <c r="H1629" s="25" t="inlineStr">
        <is>
          <t>10+</t>
        </is>
      </c>
      <c r="I1629" s="9">
        <f>IFERROR(INDEX('Темы × классы'!$R:$R,MATCH(E1629,'Темы × классы'!$E:$E,0)),"")</f>
        <v/>
      </c>
      <c r="J1629" s="9">
        <f>IFERROR(INDEX('Темы × классы'!$S:$S,MATCH(E1629,'Темы × классы'!$E:$E,0))&amp;"","")</f>
        <v/>
      </c>
      <c r="K1629" s="9" t="inlineStr">
        <is>
          <t>не начат</t>
        </is>
      </c>
      <c r="L1629" s="9" t="inlineStr">
        <is>
          <t>Spotlight / 11 класс / Module 1 · Relationships / Future forms (comparison) / Future forms: Future Continuous/Future Perfect в системе будущих форм</t>
        </is>
      </c>
    </row>
    <row r="1630">
      <c r="A1630" s="25" t="n">
        <v>11</v>
      </c>
      <c r="B1630" s="9" t="inlineStr">
        <is>
          <t>Module 1 · Relationships</t>
        </is>
      </c>
      <c r="C1630" s="9" t="inlineStr">
        <is>
          <t>1c</t>
        </is>
      </c>
      <c r="D1630" s="9" t="inlineStr">
        <is>
          <t>Past Continuous</t>
        </is>
      </c>
      <c r="E1630" s="23" t="inlineStr">
        <is>
          <t>Past Continuous: утверждение (was/were + V-ing)</t>
        </is>
      </c>
      <c r="F1630" s="25" t="inlineStr">
        <is>
          <t>повторение</t>
        </is>
      </c>
      <c r="G1630" s="9" t="inlineStr"/>
      <c r="H1630" s="25" t="inlineStr">
        <is>
          <t>10+</t>
        </is>
      </c>
      <c r="I1630" s="9">
        <f>IFERROR(INDEX('Темы × классы'!$R:$R,MATCH(E1630,'Темы × классы'!$E:$E,0)),"")</f>
        <v/>
      </c>
      <c r="J1630" s="9">
        <f>IFERROR(INDEX('Темы × классы'!$S:$S,MATCH(E1630,'Темы × классы'!$E:$E,0))&amp;"","")</f>
        <v/>
      </c>
      <c r="K1630" s="9" t="inlineStr">
        <is>
          <t>не начат</t>
        </is>
      </c>
      <c r="L1630" s="9" t="inlineStr">
        <is>
          <t>Spotlight / 11 класс / Module 1 · Relationships / Past Continuous / Past Continuous: утверждение (was/were + V-ing)</t>
        </is>
      </c>
    </row>
    <row r="1631">
      <c r="A1631" s="25" t="n">
        <v>11</v>
      </c>
      <c r="B1631" s="9" t="inlineStr">
        <is>
          <t>Module 1 · Relationships</t>
        </is>
      </c>
      <c r="C1631" s="9" t="inlineStr">
        <is>
          <t>1c</t>
        </is>
      </c>
      <c r="D1631" s="9" t="inlineStr">
        <is>
          <t>Past Continuous</t>
        </is>
      </c>
      <c r="E1631" s="23" t="inlineStr">
        <is>
          <t>Past Continuous: значение — действие в процессе в момент прошлого</t>
        </is>
      </c>
      <c r="F1631" s="25" t="inlineStr">
        <is>
          <t>повторение</t>
        </is>
      </c>
      <c r="G1631" s="9" t="inlineStr"/>
      <c r="H1631" s="25" t="inlineStr">
        <is>
          <t>10+</t>
        </is>
      </c>
      <c r="I1631" s="9">
        <f>IFERROR(INDEX('Темы × классы'!$R:$R,MATCH(E1631,'Темы × классы'!$E:$E,0)),"")</f>
        <v/>
      </c>
      <c r="J1631" s="9">
        <f>IFERROR(INDEX('Темы × классы'!$S:$S,MATCH(E1631,'Темы × классы'!$E:$E,0))&amp;"","")</f>
        <v/>
      </c>
      <c r="K1631" s="9" t="inlineStr">
        <is>
          <t>не начат</t>
        </is>
      </c>
      <c r="L1631" s="9" t="inlineStr">
        <is>
          <t>Spotlight / 11 класс / Module 1 · Relationships / Past Continuous / Past Continuous: значение — действие в процессе в момент прошлого</t>
        </is>
      </c>
    </row>
    <row r="1632">
      <c r="A1632" s="25" t="n">
        <v>11</v>
      </c>
      <c r="B1632" s="9" t="inlineStr">
        <is>
          <t>Module 1 · Relationships</t>
        </is>
      </c>
      <c r="C1632" s="9" t="inlineStr">
        <is>
          <t>1c</t>
        </is>
      </c>
      <c r="D1632" s="9" t="inlineStr">
        <is>
          <t>Past Continuous</t>
        </is>
      </c>
      <c r="E1632" s="23" t="inlineStr">
        <is>
          <t>Past Continuous: значение — длительное действие, прерванное другим (when)</t>
        </is>
      </c>
      <c r="F1632" s="25" t="inlineStr">
        <is>
          <t>повторение</t>
        </is>
      </c>
      <c r="G1632" s="9" t="inlineStr"/>
      <c r="H1632" s="25" t="inlineStr">
        <is>
          <t>10+</t>
        </is>
      </c>
      <c r="I1632" s="9">
        <f>IFERROR(INDEX('Темы × классы'!$R:$R,MATCH(E1632,'Темы × классы'!$E:$E,0)),"")</f>
        <v/>
      </c>
      <c r="J1632" s="9">
        <f>IFERROR(INDEX('Темы × классы'!$S:$S,MATCH(E1632,'Темы × классы'!$E:$E,0))&amp;"","")</f>
        <v/>
      </c>
      <c r="K1632" s="9" t="inlineStr">
        <is>
          <t>не начат</t>
        </is>
      </c>
      <c r="L1632" s="9" t="inlineStr">
        <is>
          <t>Spotlight / 11 класс / Module 1 · Relationships / Past Continuous / Past Continuous: значение — длительное действие, прерванное другим (when)</t>
        </is>
      </c>
    </row>
    <row r="1633">
      <c r="A1633" s="25" t="n">
        <v>11</v>
      </c>
      <c r="B1633" s="9" t="inlineStr">
        <is>
          <t>Module 1 · Relationships</t>
        </is>
      </c>
      <c r="C1633" s="9" t="inlineStr">
        <is>
          <t>1c</t>
        </is>
      </c>
      <c r="D1633" s="9" t="inlineStr">
        <is>
          <t>Past Continuous</t>
        </is>
      </c>
      <c r="E1633" s="23" t="inlineStr">
        <is>
          <t>Past Continuous: значение — одновременные действия (while)</t>
        </is>
      </c>
      <c r="F1633" s="25" t="inlineStr">
        <is>
          <t>повторение</t>
        </is>
      </c>
      <c r="G1633" s="9" t="inlineStr"/>
      <c r="H1633" s="25" t="inlineStr">
        <is>
          <t>10+</t>
        </is>
      </c>
      <c r="I1633" s="9">
        <f>IFERROR(INDEX('Темы × классы'!$R:$R,MATCH(E1633,'Темы × классы'!$E:$E,0)),"")</f>
        <v/>
      </c>
      <c r="J1633" s="9">
        <f>IFERROR(INDEX('Темы × классы'!$S:$S,MATCH(E1633,'Темы × классы'!$E:$E,0))&amp;"","")</f>
        <v/>
      </c>
      <c r="K1633" s="9" t="inlineStr">
        <is>
          <t>не начат</t>
        </is>
      </c>
      <c r="L1633" s="9" t="inlineStr">
        <is>
          <t>Spotlight / 11 класс / Module 1 · Relationships / Past Continuous / Past Continuous: значение — одновременные действия (while)</t>
        </is>
      </c>
    </row>
    <row r="1634">
      <c r="A1634" s="25" t="n">
        <v>11</v>
      </c>
      <c r="B1634" s="9" t="inlineStr">
        <is>
          <t>Module 1 · Relationships</t>
        </is>
      </c>
      <c r="C1634" s="9" t="inlineStr">
        <is>
          <t>1c</t>
        </is>
      </c>
      <c r="D1634" s="9" t="inlineStr">
        <is>
          <t>Past Continuous</t>
        </is>
      </c>
      <c r="E1634" s="23" t="inlineStr">
        <is>
          <t>Past Continuous: значение — фон и атмосфера в рассказе</t>
        </is>
      </c>
      <c r="F1634" s="25" t="inlineStr">
        <is>
          <t>повторение</t>
        </is>
      </c>
      <c r="G1634" s="9" t="inlineStr">
        <is>
          <t>background</t>
        </is>
      </c>
      <c r="H1634" s="25" t="inlineStr">
        <is>
          <t>10+</t>
        </is>
      </c>
      <c r="I1634" s="9">
        <f>IFERROR(INDEX('Темы × классы'!$R:$R,MATCH(E1634,'Темы × классы'!$E:$E,0)),"")</f>
        <v/>
      </c>
      <c r="J1634" s="9">
        <f>IFERROR(INDEX('Темы × классы'!$S:$S,MATCH(E1634,'Темы × классы'!$E:$E,0))&amp;"","")</f>
        <v/>
      </c>
      <c r="K1634" s="9" t="inlineStr">
        <is>
          <t>не начат</t>
        </is>
      </c>
      <c r="L1634" s="9" t="inlineStr">
        <is>
          <t>Spotlight / 11 класс / Module 1 · Relationships / Past Continuous / Past Continuous: значение — фон и атмосфера в рассказе</t>
        </is>
      </c>
    </row>
    <row r="1635">
      <c r="A1635" s="25" t="n">
        <v>11</v>
      </c>
      <c r="B1635" s="9" t="inlineStr">
        <is>
          <t>Module 1 · Relationships</t>
        </is>
      </c>
      <c r="C1635" s="9" t="inlineStr">
        <is>
          <t>1c</t>
        </is>
      </c>
      <c r="D1635" s="9" t="inlineStr">
        <is>
          <t>Past Simple vs Past Continuous</t>
        </is>
      </c>
      <c r="E1635" s="23" t="inlineStr">
        <is>
          <t>Past Simple vs Past Continuous: указанное время — завершённое vs в процессе</t>
        </is>
      </c>
      <c r="F1635" s="25" t="inlineStr">
        <is>
          <t>повторение</t>
        </is>
      </c>
      <c r="G1635" s="9" t="inlineStr"/>
      <c r="H1635" s="25" t="inlineStr">
        <is>
          <t>10+</t>
        </is>
      </c>
      <c r="I1635" s="9">
        <f>IFERROR(INDEX('Темы × классы'!$R:$R,MATCH(E1635,'Темы × классы'!$E:$E,0)),"")</f>
        <v/>
      </c>
      <c r="J1635" s="9">
        <f>IFERROR(INDEX('Темы × классы'!$S:$S,MATCH(E1635,'Темы × классы'!$E:$E,0))&amp;"","")</f>
        <v/>
      </c>
      <c r="K1635" s="9" t="inlineStr">
        <is>
          <t>не начат</t>
        </is>
      </c>
      <c r="L1635" s="9" t="inlineStr">
        <is>
          <t>Spotlight / 11 класс / Module 1 · Relationships / Past Simple vs Past Continuous / Past Simple vs Past Continuous: указанное время — завершённое vs в процессе</t>
        </is>
      </c>
    </row>
    <row r="1636">
      <c r="A1636" s="25" t="n">
        <v>11</v>
      </c>
      <c r="B1636" s="9" t="inlineStr">
        <is>
          <t>Module 1 · Relationships</t>
        </is>
      </c>
      <c r="C1636" s="9" t="inlineStr">
        <is>
          <t>1c</t>
        </is>
      </c>
      <c r="D1636" s="9" t="inlineStr">
        <is>
          <t>Past Simple vs Past Continuous</t>
        </is>
      </c>
      <c r="E1636" s="23" t="inlineStr">
        <is>
          <t>Past Simple vs Past Continuous: последовательные vs одновременные действия</t>
        </is>
      </c>
      <c r="F1636" s="25" t="inlineStr">
        <is>
          <t>повторение</t>
        </is>
      </c>
      <c r="G1636" s="9" t="inlineStr"/>
      <c r="H1636" s="25" t="inlineStr">
        <is>
          <t>10+</t>
        </is>
      </c>
      <c r="I1636" s="9">
        <f>IFERROR(INDEX('Темы × классы'!$R:$R,MATCH(E1636,'Темы × классы'!$E:$E,0)),"")</f>
        <v/>
      </c>
      <c r="J1636" s="9">
        <f>IFERROR(INDEX('Темы × классы'!$S:$S,MATCH(E1636,'Темы × классы'!$E:$E,0))&amp;"","")</f>
        <v/>
      </c>
      <c r="K1636" s="9" t="inlineStr">
        <is>
          <t>не начат</t>
        </is>
      </c>
      <c r="L1636" s="9" t="inlineStr">
        <is>
          <t>Spotlight / 11 класс / Module 1 · Relationships / Past Simple vs Past Continuous / Past Simple vs Past Continuous: последовательные vs одновременные действия</t>
        </is>
      </c>
    </row>
    <row r="1637">
      <c r="A1637" s="25" t="n">
        <v>11</v>
      </c>
      <c r="B1637" s="9" t="inlineStr">
        <is>
          <t>Module 1 · Relationships</t>
        </is>
      </c>
      <c r="C1637" s="9" t="inlineStr">
        <is>
          <t>1c</t>
        </is>
      </c>
      <c r="D1637" s="9" t="inlineStr">
        <is>
          <t>Past Simple vs Past Continuous</t>
        </is>
      </c>
      <c r="E1637" s="23" t="inlineStr">
        <is>
          <t>Past Simple vs Past Continuous: прерванное (PC) и прерывающее (PS) действие</t>
        </is>
      </c>
      <c r="F1637" s="25" t="inlineStr">
        <is>
          <t>повторение</t>
        </is>
      </c>
      <c r="G1637" s="9" t="inlineStr"/>
      <c r="H1637" s="25" t="inlineStr">
        <is>
          <t>10+</t>
        </is>
      </c>
      <c r="I1637" s="9">
        <f>IFERROR(INDEX('Темы × классы'!$R:$R,MATCH(E1637,'Темы × классы'!$E:$E,0)),"")</f>
        <v/>
      </c>
      <c r="J1637" s="9">
        <f>IFERROR(INDEX('Темы × классы'!$S:$S,MATCH(E1637,'Темы × классы'!$E:$E,0))&amp;"","")</f>
        <v/>
      </c>
      <c r="K1637" s="9" t="inlineStr">
        <is>
          <t>не начат</t>
        </is>
      </c>
      <c r="L1637" s="9" t="inlineStr">
        <is>
          <t>Spotlight / 11 класс / Module 1 · Relationships / Past Simple vs Past Continuous / Past Simple vs Past Continuous: прерванное (PC) и прерывающее (PS) действие</t>
        </is>
      </c>
    </row>
    <row r="1638">
      <c r="A1638" s="25" t="n">
        <v>11</v>
      </c>
      <c r="B1638" s="9" t="inlineStr">
        <is>
          <t>Module 1 · Relationships</t>
        </is>
      </c>
      <c r="C1638" s="9" t="inlineStr">
        <is>
          <t>1c</t>
        </is>
      </c>
      <c r="D1638" s="9" t="inlineStr">
        <is>
          <t>Present Perfect Continuous</t>
        </is>
      </c>
      <c r="E1638" s="23" t="inlineStr">
        <is>
          <t>Present Perfect Continuous: образование (have/has been + V-ing)</t>
        </is>
      </c>
      <c r="F1638" s="25" t="inlineStr">
        <is>
          <t>повторение</t>
        </is>
      </c>
      <c r="G1638" s="9" t="inlineStr"/>
      <c r="H1638" s="25" t="inlineStr">
        <is>
          <t>10+</t>
        </is>
      </c>
      <c r="I1638" s="9">
        <f>IFERROR(INDEX('Темы × классы'!$R:$R,MATCH(E1638,'Темы × классы'!$E:$E,0)),"")</f>
        <v/>
      </c>
      <c r="J1638" s="9">
        <f>IFERROR(INDEX('Темы × классы'!$S:$S,MATCH(E1638,'Темы × классы'!$E:$E,0))&amp;"","")</f>
        <v/>
      </c>
      <c r="K1638" s="9" t="inlineStr">
        <is>
          <t>не начат</t>
        </is>
      </c>
      <c r="L1638" s="9" t="inlineStr">
        <is>
          <t>Spotlight / 11 класс / Module 1 · Relationships / Present Perfect Continuous / Present Perfect Continuous: образование (have/has been + V-ing)</t>
        </is>
      </c>
    </row>
    <row r="1639">
      <c r="A1639" s="25" t="n">
        <v>11</v>
      </c>
      <c r="B1639" s="9" t="inlineStr">
        <is>
          <t>Module 1 · Relationships</t>
        </is>
      </c>
      <c r="C1639" s="9" t="inlineStr">
        <is>
          <t>1c</t>
        </is>
      </c>
      <c r="D1639" s="9" t="inlineStr">
        <is>
          <t>Present Perfect Continuous</t>
        </is>
      </c>
      <c r="E1639" s="23" t="inlineStr">
        <is>
          <t>Present Perfect Continuous: значение — длительность до настоящего (since/for/how long)</t>
        </is>
      </c>
      <c r="F1639" s="25" t="inlineStr">
        <is>
          <t>повторение</t>
        </is>
      </c>
      <c r="G1639" s="9" t="inlineStr"/>
      <c r="H1639" s="25" t="inlineStr">
        <is>
          <t>10+</t>
        </is>
      </c>
      <c r="I1639" s="9">
        <f>IFERROR(INDEX('Темы × классы'!$R:$R,MATCH(E1639,'Темы × классы'!$E:$E,0)),"")</f>
        <v/>
      </c>
      <c r="J1639" s="9">
        <f>IFERROR(INDEX('Темы × классы'!$S:$S,MATCH(E1639,'Темы × классы'!$E:$E,0))&amp;"","")</f>
        <v/>
      </c>
      <c r="K1639" s="9" t="inlineStr">
        <is>
          <t>не начат</t>
        </is>
      </c>
      <c r="L1639" s="9" t="inlineStr">
        <is>
          <t>Spotlight / 11 класс / Module 1 · Relationships / Present Perfect Continuous / Present Perfect Continuous: значение — длительность до настоящего (since/for/how long)</t>
        </is>
      </c>
    </row>
    <row r="1640">
      <c r="A1640" s="25" t="n">
        <v>11</v>
      </c>
      <c r="B1640" s="9" t="inlineStr">
        <is>
          <t>Module 1 · Relationships</t>
        </is>
      </c>
      <c r="C1640" s="9" t="inlineStr">
        <is>
          <t>1c</t>
        </is>
      </c>
      <c r="D1640" s="9" t="inlineStr">
        <is>
          <t>Present Perfect Continuous</t>
        </is>
      </c>
      <c r="E1640" s="23" t="inlineStr">
        <is>
          <t>Present Perfect Continuous: значение — видимый результат длительного действия</t>
        </is>
      </c>
      <c r="F1640" s="25" t="inlineStr">
        <is>
          <t>повторение</t>
        </is>
      </c>
      <c r="G1640" s="9" t="inlineStr"/>
      <c r="H1640" s="25" t="inlineStr">
        <is>
          <t>10+</t>
        </is>
      </c>
      <c r="I1640" s="9">
        <f>IFERROR(INDEX('Темы × классы'!$R:$R,MATCH(E1640,'Темы × классы'!$E:$E,0)),"")</f>
        <v/>
      </c>
      <c r="J1640" s="9">
        <f>IFERROR(INDEX('Темы × классы'!$S:$S,MATCH(E1640,'Темы × классы'!$E:$E,0))&amp;"","")</f>
        <v/>
      </c>
      <c r="K1640" s="9" t="inlineStr">
        <is>
          <t>не начат</t>
        </is>
      </c>
      <c r="L1640" s="9" t="inlineStr">
        <is>
          <t>Spotlight / 11 класс / Module 1 · Relationships / Present Perfect Continuous / Present Perfect Continuous: значение — видимый результат длительного действия</t>
        </is>
      </c>
    </row>
    <row r="1641">
      <c r="A1641" s="25" t="n">
        <v>11</v>
      </c>
      <c r="B1641" s="9" t="inlineStr">
        <is>
          <t>Module 1 · Relationships</t>
        </is>
      </c>
      <c r="C1641" s="9" t="inlineStr">
        <is>
          <t>1c</t>
        </is>
      </c>
      <c r="D1641" s="9" t="inlineStr">
        <is>
          <t>Present Perfect Continuous</t>
        </is>
      </c>
      <c r="E1641" s="23" t="inlineStr">
        <is>
          <t>Present Perfect Continuous: значение — раздражение/критика</t>
        </is>
      </c>
      <c r="F1641" s="25" t="inlineStr">
        <is>
          <t>повторение</t>
        </is>
      </c>
      <c r="G1641" s="9" t="inlineStr">
        <is>
          <t>раздражение/гнев/критика</t>
        </is>
      </c>
      <c r="H1641" s="25" t="inlineStr">
        <is>
          <t>10+</t>
        </is>
      </c>
      <c r="I1641" s="9">
        <f>IFERROR(INDEX('Темы × классы'!$R:$R,MATCH(E1641,'Темы × классы'!$E:$E,0)),"")</f>
        <v/>
      </c>
      <c r="J1641" s="9">
        <f>IFERROR(INDEX('Темы × классы'!$S:$S,MATCH(E1641,'Темы × классы'!$E:$E,0))&amp;"","")</f>
        <v/>
      </c>
      <c r="K1641" s="9" t="inlineStr">
        <is>
          <t>не начат</t>
        </is>
      </c>
      <c r="L1641" s="9" t="inlineStr">
        <is>
          <t>Spotlight / 11 класс / Module 1 · Relationships / Present Perfect Continuous / Present Perfect Continuous: значение — раздражение/критика</t>
        </is>
      </c>
    </row>
    <row r="1642">
      <c r="A1642" s="25" t="n">
        <v>11</v>
      </c>
      <c r="B1642" s="9" t="inlineStr">
        <is>
          <t>Module 1 · Relationships</t>
        </is>
      </c>
      <c r="C1642" s="9" t="inlineStr">
        <is>
          <t>1c</t>
        </is>
      </c>
      <c r="D1642" s="9" t="inlineStr">
        <is>
          <t>Present Perfect Continuous</t>
        </is>
      </c>
      <c r="E1642" s="23" t="inlineStr">
        <is>
          <t>Present Perfect Continuous: значение — повторяющиеся действия до настоящего</t>
        </is>
      </c>
      <c r="F1642" s="25" t="inlineStr">
        <is>
          <t>повторение</t>
        </is>
      </c>
      <c r="G1642" s="9" t="inlineStr"/>
      <c r="H1642" s="25" t="inlineStr">
        <is>
          <t>10+</t>
        </is>
      </c>
      <c r="I1642" s="9">
        <f>IFERROR(INDEX('Темы × классы'!$R:$R,MATCH(E1642,'Темы × классы'!$E:$E,0)),"")</f>
        <v/>
      </c>
      <c r="J1642" s="9">
        <f>IFERROR(INDEX('Темы × классы'!$S:$S,MATCH(E1642,'Темы × классы'!$E:$E,0))&amp;"","")</f>
        <v/>
      </c>
      <c r="K1642" s="9" t="inlineStr">
        <is>
          <t>не начат</t>
        </is>
      </c>
      <c r="L1642" s="9" t="inlineStr">
        <is>
          <t>Spotlight / 11 класс / Module 1 · Relationships / Present Perfect Continuous / Present Perfect Continuous: значение — повторяющиеся действия до настоящего</t>
        </is>
      </c>
    </row>
    <row r="1643">
      <c r="A1643" s="25" t="n">
        <v>11</v>
      </c>
      <c r="B1643" s="9" t="inlineStr">
        <is>
          <t>Module 1 · Relationships</t>
        </is>
      </c>
      <c r="C1643" s="9" t="inlineStr">
        <is>
          <t>1c</t>
        </is>
      </c>
      <c r="D1643" s="9" t="inlineStr">
        <is>
          <t>Present Perfect vs Past Simple</t>
        </is>
      </c>
      <c r="E1643" s="23" t="inlineStr">
        <is>
          <t>Present Perfect vs Past Simple: указанное время vs неуказанное время</t>
        </is>
      </c>
      <c r="F1643" s="25" t="inlineStr">
        <is>
          <t>повторение</t>
        </is>
      </c>
      <c r="G1643" s="9" t="inlineStr">
        <is>
          <t>Liz watched a film yesterday vs Liz has watched a film</t>
        </is>
      </c>
      <c r="H1643" s="25" t="inlineStr">
        <is>
          <t>10+</t>
        </is>
      </c>
      <c r="I1643" s="9">
        <f>IFERROR(INDEX('Темы × классы'!$R:$R,MATCH(E1643,'Темы × классы'!$E:$E,0)),"")</f>
        <v/>
      </c>
      <c r="J1643" s="9">
        <f>IFERROR(INDEX('Темы × классы'!$S:$S,MATCH(E1643,'Темы × классы'!$E:$E,0))&amp;"","")</f>
        <v/>
      </c>
      <c r="K1643" s="9" t="inlineStr">
        <is>
          <t>не начат</t>
        </is>
      </c>
      <c r="L1643" s="9" t="inlineStr">
        <is>
          <t>Spotlight / 11 класс / Module 1 · Relationships / Present Perfect vs Past Simple / Present Perfect vs Past Simple: указанное время vs неуказанное время</t>
        </is>
      </c>
    </row>
    <row r="1644">
      <c r="A1644" s="25" t="n">
        <v>11</v>
      </c>
      <c r="B1644" s="9" t="inlineStr">
        <is>
          <t>Module 1 · Relationships</t>
        </is>
      </c>
      <c r="C1644" s="9" t="inlineStr">
        <is>
          <t>1c</t>
        </is>
      </c>
      <c r="D1644" s="9" t="inlineStr">
        <is>
          <t>Present Perfect vs Past Simple</t>
        </is>
      </c>
      <c r="E1644" s="23" t="inlineStr">
        <is>
          <t>Present Perfect vs Past Simple: закончилось в прошлом vs длится до сих пор</t>
        </is>
      </c>
      <c r="F1644" s="25" t="inlineStr">
        <is>
          <t>повторение</t>
        </is>
      </c>
      <c r="G1644" s="9" t="inlineStr">
        <is>
          <t>had an earache for a week vs has lived here for two years</t>
        </is>
      </c>
      <c r="H1644" s="25" t="inlineStr">
        <is>
          <t>10+</t>
        </is>
      </c>
      <c r="I1644" s="9">
        <f>IFERROR(INDEX('Темы × классы'!$R:$R,MATCH(E1644,'Темы × классы'!$E:$E,0)),"")</f>
        <v/>
      </c>
      <c r="J1644" s="9">
        <f>IFERROR(INDEX('Темы × классы'!$S:$S,MATCH(E1644,'Темы × классы'!$E:$E,0))&amp;"","")</f>
        <v/>
      </c>
      <c r="K1644" s="9" t="inlineStr">
        <is>
          <t>не начат</t>
        </is>
      </c>
      <c r="L1644" s="9" t="inlineStr">
        <is>
          <t>Spotlight / 11 класс / Module 1 · Relationships / Present Perfect vs Past Simple / Present Perfect vs Past Simple: закончилось в прошлом vs длится до сих пор</t>
        </is>
      </c>
    </row>
    <row r="1645">
      <c r="A1645" s="25" t="n">
        <v>11</v>
      </c>
      <c r="B1645" s="9" t="inlineStr">
        <is>
          <t>Module 1 · Relationships</t>
        </is>
      </c>
      <c r="C1645" s="9" t="inlineStr">
        <is>
          <t>1c</t>
        </is>
      </c>
      <c r="D1645" s="9" t="inlineStr">
        <is>
          <t>have gone to / have been to / have been in</t>
        </is>
      </c>
      <c r="E1645" s="23" t="inlineStr">
        <is>
          <t>have gone to vs have been to: уехал и не вернулся vs побывал</t>
        </is>
      </c>
      <c r="F1645" s="25" t="inlineStr">
        <is>
          <t>повторение</t>
        </is>
      </c>
      <c r="G1645" s="9" t="inlineStr">
        <is>
          <t>в пути или там</t>
        </is>
      </c>
      <c r="H1645" s="25" t="inlineStr">
        <is>
          <t>10+</t>
        </is>
      </c>
      <c r="I1645" s="9">
        <f>IFERROR(INDEX('Темы × классы'!$R:$R,MATCH(E1645,'Темы × классы'!$E:$E,0)),"")</f>
        <v/>
      </c>
      <c r="J1645" s="9">
        <f>IFERROR(INDEX('Темы × классы'!$S:$S,MATCH(E1645,'Темы × классы'!$E:$E,0))&amp;"","")</f>
        <v/>
      </c>
      <c r="K1645" s="9" t="inlineStr">
        <is>
          <t>не начат</t>
        </is>
      </c>
      <c r="L1645" s="9" t="inlineStr">
        <is>
          <t>Spotlight / 11 класс / Module 1 · Relationships / have gone to / have been to / have been in / have gone to vs have been to: уехал и не вернулся vs побывал</t>
        </is>
      </c>
    </row>
    <row r="1646">
      <c r="A1646" s="25" t="n">
        <v>11</v>
      </c>
      <c r="B1646" s="9" t="inlineStr">
        <is>
          <t>Module 1 · Relationships</t>
        </is>
      </c>
      <c r="C1646" s="9" t="inlineStr">
        <is>
          <t>1c</t>
        </is>
      </c>
      <c r="D1646" s="9" t="inlineStr">
        <is>
          <t>have gone to / have been to / have been in</t>
        </is>
      </c>
      <c r="E1646" s="23" t="inlineStr">
        <is>
          <t>have been in: находится там (в течение периода)</t>
        </is>
      </c>
      <c r="F1646" s="25" t="inlineStr">
        <is>
          <t>повторение</t>
        </is>
      </c>
      <c r="G1646" s="9" t="inlineStr"/>
      <c r="H1646" s="25" t="inlineStr">
        <is>
          <t>10+</t>
        </is>
      </c>
      <c r="I1646" s="9">
        <f>IFERROR(INDEX('Темы × классы'!$R:$R,MATCH(E1646,'Темы × классы'!$E:$E,0)),"")</f>
        <v/>
      </c>
      <c r="J1646" s="9">
        <f>IFERROR(INDEX('Темы × классы'!$S:$S,MATCH(E1646,'Темы × классы'!$E:$E,0))&amp;"","")</f>
        <v/>
      </c>
      <c r="K1646" s="9" t="inlineStr">
        <is>
          <t>не начат</t>
        </is>
      </c>
      <c r="L1646" s="9" t="inlineStr">
        <is>
          <t>Spotlight / 11 класс / Module 1 · Relationships / have gone to / have been to / have been in / have been in: находится там (в течение периода)</t>
        </is>
      </c>
    </row>
    <row r="1647">
      <c r="A1647" s="25" t="n">
        <v>11</v>
      </c>
      <c r="B1647" s="9" t="inlineStr">
        <is>
          <t>Module 1 · Relationships</t>
        </is>
      </c>
      <c r="C1647" s="9" t="inlineStr">
        <is>
          <t>1c</t>
        </is>
      </c>
      <c r="D1647" s="9" t="inlineStr">
        <is>
          <t>Future Continuous</t>
        </is>
      </c>
      <c r="E1647" s="23" t="inlineStr">
        <is>
          <t>Future Continuous: образование (will be + V-ing)</t>
        </is>
      </c>
      <c r="F1647" s="25" t="inlineStr">
        <is>
          <t>повторение</t>
        </is>
      </c>
      <c r="G1647" s="9" t="inlineStr">
        <is>
          <t>will be + Present Participle</t>
        </is>
      </c>
      <c r="H1647" s="25" t="inlineStr">
        <is>
          <t>10+</t>
        </is>
      </c>
      <c r="I1647" s="9">
        <f>IFERROR(INDEX('Темы × классы'!$R:$R,MATCH(E1647,'Темы × классы'!$E:$E,0)),"")</f>
        <v/>
      </c>
      <c r="J1647" s="9">
        <f>IFERROR(INDEX('Темы × классы'!$S:$S,MATCH(E1647,'Темы × классы'!$E:$E,0))&amp;"","")</f>
        <v/>
      </c>
      <c r="K1647" s="9" t="inlineStr">
        <is>
          <t>не начат</t>
        </is>
      </c>
      <c r="L1647" s="9" t="inlineStr">
        <is>
          <t>Spotlight / 11 класс / Module 1 · Relationships / Future Continuous / Future Continuous: образование (will be + V-ing)</t>
        </is>
      </c>
    </row>
    <row r="1648">
      <c r="A1648" s="25" t="n">
        <v>11</v>
      </c>
      <c r="B1648" s="9" t="inlineStr">
        <is>
          <t>Module 1 · Relationships</t>
        </is>
      </c>
      <c r="C1648" s="9" t="inlineStr">
        <is>
          <t>1c</t>
        </is>
      </c>
      <c r="D1648" s="9" t="inlineStr">
        <is>
          <t>Future Continuous</t>
        </is>
      </c>
      <c r="E1648" s="23" t="inlineStr">
        <is>
          <t>Future Continuous: значение — действие в процессе в момент будущего</t>
        </is>
      </c>
      <c r="F1648" s="25" t="inlineStr">
        <is>
          <t>повторение</t>
        </is>
      </c>
      <c r="G1648" s="9" t="inlineStr"/>
      <c r="H1648" s="25" t="inlineStr">
        <is>
          <t>10+</t>
        </is>
      </c>
      <c r="I1648" s="9">
        <f>IFERROR(INDEX('Темы × классы'!$R:$R,MATCH(E1648,'Темы × классы'!$E:$E,0)),"")</f>
        <v/>
      </c>
      <c r="J1648" s="9">
        <f>IFERROR(INDEX('Темы × классы'!$S:$S,MATCH(E1648,'Темы × классы'!$E:$E,0))&amp;"","")</f>
        <v/>
      </c>
      <c r="K1648" s="9" t="inlineStr">
        <is>
          <t>не начат</t>
        </is>
      </c>
      <c r="L1648" s="9" t="inlineStr">
        <is>
          <t>Spotlight / 11 класс / Module 1 · Relationships / Future Continuous / Future Continuous: значение — действие в процессе в момент будущего</t>
        </is>
      </c>
    </row>
    <row r="1649">
      <c r="A1649" s="25" t="n">
        <v>11</v>
      </c>
      <c r="B1649" s="9" t="inlineStr">
        <is>
          <t>Module 1 · Relationships</t>
        </is>
      </c>
      <c r="C1649" s="9" t="inlineStr">
        <is>
          <t>1c</t>
        </is>
      </c>
      <c r="D1649" s="9" t="inlineStr">
        <is>
          <t>Future Continuous</t>
        </is>
      </c>
      <c r="E1649" s="23" t="inlineStr">
        <is>
          <t>Future Continuous: значение — по распорядку/договорённости</t>
        </is>
      </c>
      <c r="F1649" s="25" t="inlineStr">
        <is>
          <t>повторение</t>
        </is>
      </c>
      <c r="G1649" s="9" t="inlineStr"/>
      <c r="H1649" s="25" t="inlineStr">
        <is>
          <t>10+</t>
        </is>
      </c>
      <c r="I1649" s="9">
        <f>IFERROR(INDEX('Темы × классы'!$R:$R,MATCH(E1649,'Темы × классы'!$E:$E,0)),"")</f>
        <v/>
      </c>
      <c r="J1649" s="9">
        <f>IFERROR(INDEX('Темы × классы'!$S:$S,MATCH(E1649,'Темы × классы'!$E:$E,0))&amp;"","")</f>
        <v/>
      </c>
      <c r="K1649" s="9" t="inlineStr">
        <is>
          <t>не начат</t>
        </is>
      </c>
      <c r="L1649" s="9" t="inlineStr">
        <is>
          <t>Spotlight / 11 класс / Module 1 · Relationships / Future Continuous / Future Continuous: значение — по распорядку/договорённости</t>
        </is>
      </c>
    </row>
    <row r="1650">
      <c r="A1650" s="25" t="n">
        <v>11</v>
      </c>
      <c r="B1650" s="9" t="inlineStr">
        <is>
          <t>Module 1 · Relationships</t>
        </is>
      </c>
      <c r="C1650" s="9" t="inlineStr">
        <is>
          <t>1c</t>
        </is>
      </c>
      <c r="D1650" s="9" t="inlineStr">
        <is>
          <t>Future Continuous</t>
        </is>
      </c>
      <c r="E1650" s="23" t="inlineStr">
        <is>
          <t>Future Continuous: значение — вежливый вопрос о планах</t>
        </is>
      </c>
      <c r="F1650" s="25" t="inlineStr">
        <is>
          <t>повторение</t>
        </is>
      </c>
      <c r="G1650" s="9" t="inlineStr">
        <is>
          <t>Will you be watching the show tonight?</t>
        </is>
      </c>
      <c r="H1650" s="25" t="inlineStr">
        <is>
          <t>10+</t>
        </is>
      </c>
      <c r="I1650" s="9">
        <f>IFERROR(INDEX('Темы × классы'!$R:$R,MATCH(E1650,'Темы × классы'!$E:$E,0)),"")</f>
        <v/>
      </c>
      <c r="J1650" s="9">
        <f>IFERROR(INDEX('Темы × классы'!$S:$S,MATCH(E1650,'Темы × классы'!$E:$E,0))&amp;"","")</f>
        <v/>
      </c>
      <c r="K1650" s="9" t="inlineStr">
        <is>
          <t>не начат</t>
        </is>
      </c>
      <c r="L1650" s="9" t="inlineStr">
        <is>
          <t>Spotlight / 11 класс / Module 1 · Relationships / Future Continuous / Future Continuous: значение — вежливый вопрос о планах</t>
        </is>
      </c>
    </row>
    <row r="1651">
      <c r="A1651" s="25" t="n">
        <v>11</v>
      </c>
      <c r="B1651" s="9" t="inlineStr">
        <is>
          <t>Module 1 · Relationships</t>
        </is>
      </c>
      <c r="C1651" s="9" t="inlineStr"/>
      <c r="D1651" s="9" t="inlineStr">
        <is>
          <t>Irregular verbs (list)</t>
        </is>
      </c>
      <c r="E1651" s="23" t="inlineStr">
        <is>
          <t>Irregular verbs: таблица Infinitive – Past – Past Participle</t>
        </is>
      </c>
      <c r="F1651" s="25" t="inlineStr">
        <is>
          <t>повторение</t>
        </is>
      </c>
      <c r="G1651" s="9" t="inlineStr"/>
      <c r="H1651" s="25" t="inlineStr">
        <is>
          <t>10+</t>
        </is>
      </c>
      <c r="I1651" s="9">
        <f>IFERROR(INDEX('Темы × классы'!$R:$R,MATCH(E1651,'Темы × классы'!$E:$E,0)),"")</f>
        <v/>
      </c>
      <c r="J1651" s="9">
        <f>IFERROR(INDEX('Темы × классы'!$S:$S,MATCH(E1651,'Темы × классы'!$E:$E,0))&amp;"","")</f>
        <v/>
      </c>
      <c r="K1651" s="9" t="inlineStr">
        <is>
          <t>не начат</t>
        </is>
      </c>
      <c r="L1651" s="9" t="inlineStr">
        <is>
          <t>Spotlight / 11 класс / Module 1 · Relationships / Irregular verbs (list) / Irregular verbs: таблица Infinitive – Past – Past Participle</t>
        </is>
      </c>
    </row>
    <row r="1652">
      <c r="A1652" s="25" t="n">
        <v>11</v>
      </c>
      <c r="B1652" s="9" t="inlineStr">
        <is>
          <t>Module 1 · Relationships</t>
        </is>
      </c>
      <c r="C1652" s="9" t="inlineStr"/>
      <c r="D1652" s="9" t="inlineStr">
        <is>
          <t>Irregular verbs (list)</t>
        </is>
      </c>
      <c r="E1652" s="23" t="inlineStr">
        <is>
          <t>Irregular verbs: двойные и особые формы (burnt/burned, got/gotten, can – could)</t>
        </is>
      </c>
      <c r="F1652" s="25" t="inlineStr">
        <is>
          <t>повторение</t>
        </is>
      </c>
      <c r="G1652" s="9" t="inlineStr"/>
      <c r="H1652" s="25" t="inlineStr">
        <is>
          <t>10+</t>
        </is>
      </c>
      <c r="I1652" s="9">
        <f>IFERROR(INDEX('Темы × классы'!$R:$R,MATCH(E1652,'Темы × классы'!$E:$E,0)),"")</f>
        <v/>
      </c>
      <c r="J1652" s="9">
        <f>IFERROR(INDEX('Темы × классы'!$S:$S,MATCH(E1652,'Темы × классы'!$E:$E,0))&amp;"","")</f>
        <v/>
      </c>
      <c r="K1652" s="9" t="inlineStr">
        <is>
          <t>не начат</t>
        </is>
      </c>
      <c r="L1652" s="9" t="inlineStr">
        <is>
          <t>Spotlight / 11 класс / Module 1 · Relationships / Irregular verbs (list) / Irregular verbs: двойные и особые формы (burnt/burned, got/gotten, can – could)</t>
        </is>
      </c>
    </row>
    <row r="1653">
      <c r="A1653" s="25" t="n">
        <v>11</v>
      </c>
      <c r="B1653" s="9" t="inlineStr">
        <is>
          <t>Module 1 · Relationships</t>
        </is>
      </c>
      <c r="C1653" s="9" t="inlineStr">
        <is>
          <t>1c</t>
        </is>
      </c>
      <c r="D1653" s="9" t="inlineStr">
        <is>
          <t>used to</t>
        </is>
      </c>
      <c r="E1653" s="23" t="inlineStr">
        <is>
          <t>used to: значение — прошлые привычки и регулярные действия</t>
        </is>
      </c>
      <c r="F1653" s="25" t="inlineStr">
        <is>
          <t>повторение</t>
        </is>
      </c>
      <c r="G1653" s="9" t="inlineStr">
        <is>
          <t>I used to work very hard (I don't any more)</t>
        </is>
      </c>
      <c r="H1653" s="25" t="inlineStr">
        <is>
          <t>10+</t>
        </is>
      </c>
      <c r="I1653" s="9">
        <f>IFERROR(INDEX('Темы × классы'!$R:$R,MATCH(E1653,'Темы × классы'!$E:$E,0)),"")</f>
        <v/>
      </c>
      <c r="J1653" s="9">
        <f>IFERROR(INDEX('Темы × классы'!$S:$S,MATCH(E1653,'Темы × классы'!$E:$E,0))&amp;"","")</f>
        <v/>
      </c>
      <c r="K1653" s="9" t="inlineStr">
        <is>
          <t>не начат</t>
        </is>
      </c>
      <c r="L1653" s="9" t="inlineStr">
        <is>
          <t>Spotlight / 11 класс / Module 1 · Relationships / used to / used to: значение — прошлые привычки и регулярные действия</t>
        </is>
      </c>
    </row>
    <row r="1654">
      <c r="A1654" s="25" t="n">
        <v>11</v>
      </c>
      <c r="B1654" s="9" t="inlineStr">
        <is>
          <t>Module 1 · Relationships</t>
        </is>
      </c>
      <c r="C1654" s="9" t="inlineStr">
        <is>
          <t>1c</t>
        </is>
      </c>
      <c r="D1654" s="9" t="inlineStr">
        <is>
          <t>used to</t>
        </is>
      </c>
      <c r="E1654" s="23" t="inlineStr">
        <is>
          <t>used to vs be/get used to + -ing</t>
        </is>
      </c>
      <c r="F1654" s="25" t="inlineStr">
        <is>
          <t>повторение</t>
        </is>
      </c>
      <c r="G1654" s="9" t="inlineStr"/>
      <c r="H1654" s="25" t="inlineStr">
        <is>
          <t>10+</t>
        </is>
      </c>
      <c r="I1654" s="9">
        <f>IFERROR(INDEX('Темы × классы'!$R:$R,MATCH(E1654,'Темы × классы'!$E:$E,0)),"")</f>
        <v/>
      </c>
      <c r="J1654" s="9">
        <f>IFERROR(INDEX('Темы × классы'!$S:$S,MATCH(E1654,'Темы × классы'!$E:$E,0))&amp;"","")</f>
        <v/>
      </c>
      <c r="K1654" s="9" t="inlineStr">
        <is>
          <t>не начат</t>
        </is>
      </c>
      <c r="L1654" s="9" t="inlineStr">
        <is>
          <t>Spotlight / 11 класс / Module 1 · Relationships / used to / used to vs be/get used to + -ing</t>
        </is>
      </c>
    </row>
    <row r="1655">
      <c r="A1655" s="25" t="n">
        <v>11</v>
      </c>
      <c r="B1655" s="9" t="inlineStr">
        <is>
          <t>Module 1 · Relationships</t>
        </is>
      </c>
      <c r="C1655" s="9" t="inlineStr">
        <is>
          <t>1c</t>
        </is>
      </c>
      <c r="D1655" s="9" t="inlineStr">
        <is>
          <t>used to</t>
        </is>
      </c>
      <c r="E1655" s="23" t="inlineStr">
        <is>
          <t>used to и would (used to = would)</t>
        </is>
      </c>
      <c r="F1655" s="26" t="inlineStr">
        <is>
          <t>новое</t>
        </is>
      </c>
      <c r="G1655" s="9" t="inlineStr">
        <is>
          <t>semi-modals: used to (= would)</t>
        </is>
      </c>
      <c r="H1655" s="25" t="inlineStr">
        <is>
          <t>10+</t>
        </is>
      </c>
      <c r="I1655" s="9">
        <f>IFERROR(INDEX('Темы × классы'!$R:$R,MATCH(E1655,'Темы × классы'!$E:$E,0)),"")</f>
        <v/>
      </c>
      <c r="J1655" s="9">
        <f>IFERROR(INDEX('Темы × классы'!$S:$S,MATCH(E1655,'Темы × классы'!$E:$E,0))&amp;"","")</f>
        <v/>
      </c>
      <c r="K1655" s="9" t="inlineStr">
        <is>
          <t>не начат</t>
        </is>
      </c>
      <c r="L1655" s="9" t="inlineStr">
        <is>
          <t>Spotlight / 11 класс / Module 1 · Relationships / used to / used to и would (used to = would)</t>
        </is>
      </c>
    </row>
    <row r="1656">
      <c r="A1656" s="25" t="n">
        <v>11</v>
      </c>
      <c r="B1656" s="9" t="inlineStr">
        <is>
          <t>Module 1 · Relationships</t>
        </is>
      </c>
      <c r="C1656" s="9" t="inlineStr">
        <is>
          <t>1c</t>
        </is>
      </c>
      <c r="D1656" s="9" t="inlineStr">
        <is>
          <t>be/get used to</t>
        </is>
      </c>
      <c r="E1656" s="23" t="inlineStr">
        <is>
          <t>be/get used to: be used to + -ing — привык</t>
        </is>
      </c>
      <c r="F1656" s="25" t="inlineStr">
        <is>
          <t>повторение</t>
        </is>
      </c>
      <c r="G1656" s="9" t="inlineStr">
        <is>
          <t>I'm used to working very hard</t>
        </is>
      </c>
      <c r="H1656" s="25" t="inlineStr">
        <is>
          <t>10+</t>
        </is>
      </c>
      <c r="I1656" s="9">
        <f>IFERROR(INDEX('Темы × классы'!$R:$R,MATCH(E1656,'Темы × классы'!$E:$E,0)),"")</f>
        <v/>
      </c>
      <c r="J1656" s="9">
        <f>IFERROR(INDEX('Темы × классы'!$S:$S,MATCH(E1656,'Темы × классы'!$E:$E,0))&amp;"","")</f>
        <v/>
      </c>
      <c r="K1656" s="9" t="inlineStr">
        <is>
          <t>не начат</t>
        </is>
      </c>
      <c r="L1656" s="9" t="inlineStr">
        <is>
          <t>Spotlight / 11 класс / Module 1 · Relationships / be/get used to / be/get used to: be used to + -ing — привык</t>
        </is>
      </c>
    </row>
    <row r="1657">
      <c r="A1657" s="25" t="n">
        <v>11</v>
      </c>
      <c r="B1657" s="9" t="inlineStr">
        <is>
          <t>Module 1 · Relationships</t>
        </is>
      </c>
      <c r="C1657" s="9" t="inlineStr">
        <is>
          <t>1c</t>
        </is>
      </c>
      <c r="D1657" s="9" t="inlineStr">
        <is>
          <t>be/get used to</t>
        </is>
      </c>
      <c r="E1657" s="23" t="inlineStr">
        <is>
          <t>be/get used to: get used to + -ing — привыкаю</t>
        </is>
      </c>
      <c r="F1657" s="25" t="inlineStr">
        <is>
          <t>повторение</t>
        </is>
      </c>
      <c r="G1657" s="9" t="inlineStr">
        <is>
          <t>разница be/get не объясняется</t>
        </is>
      </c>
      <c r="H1657" s="25" t="inlineStr">
        <is>
          <t>10+</t>
        </is>
      </c>
      <c r="I1657" s="9">
        <f>IFERROR(INDEX('Темы × классы'!$R:$R,MATCH(E1657,'Темы × классы'!$E:$E,0)),"")</f>
        <v/>
      </c>
      <c r="J1657" s="9">
        <f>IFERROR(INDEX('Темы × классы'!$S:$S,MATCH(E1657,'Темы × классы'!$E:$E,0))&amp;"","")</f>
        <v/>
      </c>
      <c r="K1657" s="9" t="inlineStr">
        <is>
          <t>не начат</t>
        </is>
      </c>
      <c r="L1657" s="9" t="inlineStr">
        <is>
          <t>Spotlight / 11 класс / Module 1 · Relationships / be/get used to / be/get used to: get used to + -ing — привыкаю</t>
        </is>
      </c>
    </row>
    <row r="1658">
      <c r="A1658" s="25" t="n">
        <v>11</v>
      </c>
      <c r="B1658" s="9" t="inlineStr">
        <is>
          <t>Module 1 · Relationships</t>
        </is>
      </c>
      <c r="C1658" s="9" t="inlineStr">
        <is>
          <t>1c</t>
        </is>
      </c>
      <c r="D1658" s="9" t="inlineStr">
        <is>
          <t>be/get used to</t>
        </is>
      </c>
      <c r="E1658" s="23" t="inlineStr">
        <is>
          <t>be/get used to vs used to + V (to — предлог vs частица)</t>
        </is>
      </c>
      <c r="F1658" s="25" t="inlineStr">
        <is>
          <t>повторение</t>
        </is>
      </c>
      <c r="G1658" s="9" t="inlineStr"/>
      <c r="H1658" s="25" t="inlineStr">
        <is>
          <t>10+</t>
        </is>
      </c>
      <c r="I1658" s="9">
        <f>IFERROR(INDEX('Темы × классы'!$R:$R,MATCH(E1658,'Темы × классы'!$E:$E,0)),"")</f>
        <v/>
      </c>
      <c r="J1658" s="9">
        <f>IFERROR(INDEX('Темы × классы'!$S:$S,MATCH(E1658,'Темы × классы'!$E:$E,0))&amp;"","")</f>
        <v/>
      </c>
      <c r="K1658" s="9" t="inlineStr">
        <is>
          <t>не начат</t>
        </is>
      </c>
      <c r="L1658" s="9" t="inlineStr">
        <is>
          <t>Spotlight / 11 класс / Module 1 · Relationships / be/get used to / be/get used to vs used to + V (to — предлог vs частица)</t>
        </is>
      </c>
    </row>
    <row r="1659">
      <c r="A1659" s="25" t="n">
        <v>11</v>
      </c>
      <c r="B1659" s="9" t="inlineStr">
        <is>
          <t>Module 1 · Relationships</t>
        </is>
      </c>
      <c r="C1659" s="9" t="inlineStr">
        <is>
          <t>1c</t>
        </is>
      </c>
      <c r="D1659" s="9" t="inlineStr">
        <is>
          <t>Adverbs of frequency</t>
        </is>
      </c>
      <c r="E1659" s="23" t="inlineStr">
        <is>
          <t>Adverbs of frequency: место — перед смысловым глаголом, после be</t>
        </is>
      </c>
      <c r="F1659" s="25" t="inlineStr">
        <is>
          <t>повторение</t>
        </is>
      </c>
      <c r="G1659" s="9" t="inlineStr"/>
      <c r="H1659" s="25" t="inlineStr">
        <is>
          <t>10+</t>
        </is>
      </c>
      <c r="I1659" s="9">
        <f>IFERROR(INDEX('Темы × классы'!$R:$R,MATCH(E1659,'Темы × классы'!$E:$E,0)),"")</f>
        <v/>
      </c>
      <c r="J1659" s="9">
        <f>IFERROR(INDEX('Темы × классы'!$S:$S,MATCH(E1659,'Темы × классы'!$E:$E,0))&amp;"","")</f>
        <v/>
      </c>
      <c r="K1659" s="9" t="inlineStr">
        <is>
          <t>не начат</t>
        </is>
      </c>
      <c r="L1659" s="9" t="inlineStr">
        <is>
          <t>Spotlight / 11 класс / Module 1 · Relationships / Adverbs of frequency / Adverbs of frequency: место — перед смысловым глаголом, после be</t>
        </is>
      </c>
    </row>
    <row r="1660">
      <c r="A1660" s="25" t="n">
        <v>11</v>
      </c>
      <c r="B1660" s="9" t="inlineStr">
        <is>
          <t>Module 1 · Relationships</t>
        </is>
      </c>
      <c r="C1660" s="9" t="inlineStr">
        <is>
          <t>1c</t>
        </is>
      </c>
      <c r="D1660" s="9" t="inlineStr">
        <is>
          <t>Adverbs of frequency</t>
        </is>
      </c>
      <c r="E1660" s="23" t="inlineStr">
        <is>
          <t>Adverbs of frequency: место — после вспомогательных и модальных глаголов</t>
        </is>
      </c>
      <c r="F1660" s="25" t="inlineStr">
        <is>
          <t>повторение</t>
        </is>
      </c>
      <c r="G1660" s="9" t="inlineStr"/>
      <c r="H1660" s="25" t="inlineStr">
        <is>
          <t>10+</t>
        </is>
      </c>
      <c r="I1660" s="9">
        <f>IFERROR(INDEX('Темы × классы'!$R:$R,MATCH(E1660,'Темы × классы'!$E:$E,0)),"")</f>
        <v/>
      </c>
      <c r="J1660" s="9">
        <f>IFERROR(INDEX('Темы × классы'!$S:$S,MATCH(E1660,'Темы × классы'!$E:$E,0))&amp;"","")</f>
        <v/>
      </c>
      <c r="K1660" s="9" t="inlineStr">
        <is>
          <t>не начат</t>
        </is>
      </c>
      <c r="L1660" s="9" t="inlineStr">
        <is>
          <t>Spotlight / 11 класс / Module 1 · Relationships / Adverbs of frequency / Adverbs of frequency: место — после вспомогательных и модальных глаголов</t>
        </is>
      </c>
    </row>
    <row r="1661">
      <c r="A1661" s="25" t="n">
        <v>11</v>
      </c>
      <c r="B1661" s="9" t="inlineStr">
        <is>
          <t>Module 1 · Relationships</t>
        </is>
      </c>
      <c r="C1661" s="9" t="inlineStr">
        <is>
          <t>1c</t>
        </is>
      </c>
      <c r="D1661" s="9" t="inlineStr">
        <is>
          <t>Adverbs of frequency</t>
        </is>
      </c>
      <c r="E1661" s="23" t="inlineStr">
        <is>
          <t>Adverbs of frequency: шкала частотности в % (always 100% … never 0%)</t>
        </is>
      </c>
      <c r="F1661" s="25" t="inlineStr">
        <is>
          <t>повторение</t>
        </is>
      </c>
      <c r="G1661" s="9" t="inlineStr"/>
      <c r="H1661" s="25" t="inlineStr">
        <is>
          <t>10+</t>
        </is>
      </c>
      <c r="I1661" s="9">
        <f>IFERROR(INDEX('Темы × классы'!$R:$R,MATCH(E1661,'Темы × классы'!$E:$E,0)),"")</f>
        <v/>
      </c>
      <c r="J1661" s="9">
        <f>IFERROR(INDEX('Темы × классы'!$S:$S,MATCH(E1661,'Темы × классы'!$E:$E,0))&amp;"","")</f>
        <v/>
      </c>
      <c r="K1661" s="9" t="inlineStr">
        <is>
          <t>не начат</t>
        </is>
      </c>
      <c r="L1661" s="9" t="inlineStr">
        <is>
          <t>Spotlight / 11 класс / Module 1 · Relationships / Adverbs of frequency / Adverbs of frequency: шкала частотности в % (always 100% … never 0%)</t>
        </is>
      </c>
    </row>
    <row r="1662">
      <c r="A1662" s="25" t="n">
        <v>11</v>
      </c>
      <c r="B1662" s="9" t="inlineStr">
        <is>
          <t>Module 1 · Relationships</t>
        </is>
      </c>
      <c r="C1662" s="9" t="inlineStr">
        <is>
          <t>1c</t>
        </is>
      </c>
      <c r="D1662" s="9" t="inlineStr">
        <is>
          <t>Phrasal verbs</t>
        </is>
      </c>
      <c r="E1662" s="23" t="inlineStr">
        <is>
          <t>Phrasal verbs: come</t>
        </is>
      </c>
      <c r="F1662" s="25" t="inlineStr">
        <is>
          <t>повторение</t>
        </is>
      </c>
      <c r="G1662" s="9" t="inlineStr">
        <is>
          <t>come + частицы (English in Use 1c); конкретные частицы в доступных страницах не даны.</t>
        </is>
      </c>
      <c r="H1662" s="25" t="inlineStr">
        <is>
          <t>10+</t>
        </is>
      </c>
      <c r="I1662" s="9">
        <f>IFERROR(INDEX('Темы × классы'!$R:$R,MATCH(E1662,'Темы × классы'!$E:$E,0)),"")</f>
        <v/>
      </c>
      <c r="J1662" s="9">
        <f>IFERROR(INDEX('Темы × классы'!$S:$S,MATCH(E1662,'Темы × классы'!$E:$E,0))&amp;"","")</f>
        <v/>
      </c>
      <c r="K1662" s="9" t="inlineStr">
        <is>
          <t>не начат</t>
        </is>
      </c>
      <c r="L1662" s="9" t="inlineStr">
        <is>
          <t>Spotlight / 11 класс / Module 1 · Relationships / Phrasal verbs / Phrasal verbs: come</t>
        </is>
      </c>
    </row>
    <row r="1663">
      <c r="A1663" s="25" t="n">
        <v>11</v>
      </c>
      <c r="B1663" s="9" t="inlineStr">
        <is>
          <t>Module 1 · Relationships</t>
        </is>
      </c>
      <c r="C1663" s="9" t="inlineStr">
        <is>
          <t>1c</t>
        </is>
      </c>
      <c r="D1663" s="9" t="inlineStr">
        <is>
          <t>Dependent prepositions</t>
        </is>
      </c>
      <c r="E1663" s="23" t="inlineStr">
        <is>
          <t>Dependent prepositions</t>
        </is>
      </c>
      <c r="F1663" s="25" t="inlineStr">
        <is>
          <t>повторение</t>
        </is>
      </c>
      <c r="G1663" s="9" t="inlineStr">
        <is>
          <t>Dependent prepositions (English in Use 1c); конкретные сочетания в доступных страницах не даны.</t>
        </is>
      </c>
      <c r="H1663" s="25" t="inlineStr">
        <is>
          <t>10+</t>
        </is>
      </c>
      <c r="I1663" s="9">
        <f>IFERROR(INDEX('Темы × классы'!$R:$R,MATCH(E1663,'Темы × классы'!$E:$E,0)),"")</f>
        <v/>
      </c>
      <c r="J1663" s="9">
        <f>IFERROR(INDEX('Темы × классы'!$S:$S,MATCH(E1663,'Темы × классы'!$E:$E,0))&amp;"","")</f>
        <v/>
      </c>
      <c r="K1663" s="9" t="inlineStr">
        <is>
          <t>не начат</t>
        </is>
      </c>
      <c r="L1663" s="9" t="inlineStr">
        <is>
          <t>Spotlight / 11 класс / Module 1 · Relationships / Dependent prepositions / Dependent prepositions</t>
        </is>
      </c>
    </row>
    <row r="1664">
      <c r="A1664" s="25" t="n">
        <v>11</v>
      </c>
      <c r="B1664" s="9" t="inlineStr">
        <is>
          <t>Module 1 · Relationships</t>
        </is>
      </c>
      <c r="C1664" s="9" t="inlineStr">
        <is>
          <t>1b</t>
        </is>
      </c>
      <c r="D1664" s="9" t="inlineStr">
        <is>
          <t>Idioms &amp; collocations</t>
        </is>
      </c>
      <c r="E1664" s="23" t="inlineStr">
        <is>
          <t>Idioms &amp; collocations</t>
        </is>
      </c>
      <c r="F1664" s="25" t="inlineStr">
        <is>
          <t>повторение</t>
        </is>
      </c>
      <c r="G1664" s="9" t="inlineStr">
        <is>
          <t>Idioms related to people (1b).</t>
        </is>
      </c>
      <c r="H1664" s="25" t="inlineStr">
        <is>
          <t>10+</t>
        </is>
      </c>
      <c r="I1664" s="9">
        <f>IFERROR(INDEX('Темы × классы'!$R:$R,MATCH(E1664,'Темы × классы'!$E:$E,0)),"")</f>
        <v/>
      </c>
      <c r="J1664" s="9">
        <f>IFERROR(INDEX('Темы × классы'!$S:$S,MATCH(E1664,'Темы × классы'!$E:$E,0))&amp;"","")</f>
        <v/>
      </c>
      <c r="K1664" s="9" t="inlineStr">
        <is>
          <t>не начат</t>
        </is>
      </c>
      <c r="L1664" s="9" t="inlineStr">
        <is>
          <t>Spotlight / 11 класс / Module 1 · Relationships / Idioms &amp; collocations / Idioms &amp; collocations</t>
        </is>
      </c>
    </row>
    <row r="1665">
      <c r="A1665" s="25" t="n">
        <v>11</v>
      </c>
      <c r="B1665" s="9" t="inlineStr">
        <is>
          <t>Module 2 · Where there's a will there's a way</t>
        </is>
      </c>
      <c r="C1665" s="9" t="inlineStr">
        <is>
          <t>2c</t>
        </is>
      </c>
      <c r="D1665" s="9" t="inlineStr">
        <is>
          <t>so / such</t>
        </is>
      </c>
      <c r="E1665" s="23" t="inlineStr">
        <is>
          <t>so / such: so + прил./нареч.; so + many/much/few/little + сущ.</t>
        </is>
      </c>
      <c r="F1665" s="25" t="inlineStr">
        <is>
          <t>повторение</t>
        </is>
      </c>
      <c r="G1665" s="9" t="inlineStr"/>
      <c r="H1665" s="25" t="inlineStr">
        <is>
          <t>10+</t>
        </is>
      </c>
      <c r="I1665" s="9">
        <f>IFERROR(INDEX('Темы × классы'!$R:$R,MATCH(E1665,'Темы × классы'!$E:$E,0)),"")</f>
        <v/>
      </c>
      <c r="J1665" s="9">
        <f>IFERROR(INDEX('Темы × классы'!$S:$S,MATCH(E1665,'Темы × классы'!$E:$E,0))&amp;"","")</f>
        <v/>
      </c>
      <c r="K1665" s="9" t="inlineStr">
        <is>
          <t>не начат</t>
        </is>
      </c>
      <c r="L1665" s="9" t="inlineStr">
        <is>
          <t>Spotlight / 11 класс / Module 2 · Where there's a will there's a way / so / such / so / such: so + прил./нареч.; so + many/much/few/little + сущ.</t>
        </is>
      </c>
    </row>
    <row r="1666">
      <c r="A1666" s="25" t="n">
        <v>11</v>
      </c>
      <c r="B1666" s="9" t="inlineStr">
        <is>
          <t>Module 2 · Where there's a will there's a way</t>
        </is>
      </c>
      <c r="C1666" s="9" t="inlineStr">
        <is>
          <t>2c</t>
        </is>
      </c>
      <c r="D1666" s="9" t="inlineStr">
        <is>
          <t>so / such</t>
        </is>
      </c>
      <c r="E1666" s="23" t="inlineStr">
        <is>
          <t>so / such: such (a/an) + (прил.) + сущ.; such a lot of</t>
        </is>
      </c>
      <c r="F1666" s="25" t="inlineStr">
        <is>
          <t>повторение</t>
        </is>
      </c>
      <c r="G1666" s="9" t="inlineStr"/>
      <c r="H1666" s="25" t="inlineStr">
        <is>
          <t>10+</t>
        </is>
      </c>
      <c r="I1666" s="9">
        <f>IFERROR(INDEX('Темы × классы'!$R:$R,MATCH(E1666,'Темы × классы'!$E:$E,0)),"")</f>
        <v/>
      </c>
      <c r="J1666" s="9">
        <f>IFERROR(INDEX('Темы × классы'!$S:$S,MATCH(E1666,'Темы × классы'!$E:$E,0))&amp;"","")</f>
        <v/>
      </c>
      <c r="K1666" s="9" t="inlineStr">
        <is>
          <t>не начат</t>
        </is>
      </c>
      <c r="L1666" s="9" t="inlineStr">
        <is>
          <t>Spotlight / 11 класс / Module 2 · Where there's a will there's a way / so / such / so / such: such (a/an) + (прил.) + сущ.; such a lot of</t>
        </is>
      </c>
    </row>
    <row r="1667">
      <c r="A1667" s="25" t="n">
        <v>11</v>
      </c>
      <c r="B1667" s="9" t="inlineStr">
        <is>
          <t>Module 2 · Where there's a will there's a way</t>
        </is>
      </c>
      <c r="C1667" s="9" t="inlineStr">
        <is>
          <t>2c</t>
        </is>
      </c>
      <c r="D1667" s="9" t="inlineStr">
        <is>
          <t>so / such</t>
        </is>
      </c>
      <c r="E1667" s="23" t="inlineStr">
        <is>
          <t>so / such: so + прил. + a(n) + сущ.</t>
        </is>
      </c>
      <c r="F1667" s="25" t="inlineStr">
        <is>
          <t>повторение</t>
        </is>
      </c>
      <c r="G1667" s="9" t="inlineStr">
        <is>
          <t>so popular a restaurant</t>
        </is>
      </c>
      <c r="H1667" s="25" t="inlineStr">
        <is>
          <t>10+</t>
        </is>
      </c>
      <c r="I1667" s="9">
        <f>IFERROR(INDEX('Темы × классы'!$R:$R,MATCH(E1667,'Темы × классы'!$E:$E,0)),"")</f>
        <v/>
      </c>
      <c r="J1667" s="9">
        <f>IFERROR(INDEX('Темы × классы'!$S:$S,MATCH(E1667,'Темы × классы'!$E:$E,0))&amp;"","")</f>
        <v/>
      </c>
      <c r="K1667" s="9" t="inlineStr">
        <is>
          <t>не начат</t>
        </is>
      </c>
      <c r="L1667" s="9" t="inlineStr">
        <is>
          <t>Spotlight / 11 класс / Module 2 · Where there's a will there's a way / so / such / so / such: so + прил. + a(n) + сущ.</t>
        </is>
      </c>
    </row>
    <row r="1668">
      <c r="A1668" s="25" t="n">
        <v>11</v>
      </c>
      <c r="B1668" s="9" t="inlineStr">
        <is>
          <t>Module 2 · Where there's a will there's a way</t>
        </is>
      </c>
      <c r="C1668" s="9" t="inlineStr">
        <is>
          <t>2c</t>
        </is>
      </c>
      <c r="D1668" s="9" t="inlineStr">
        <is>
          <t>Relative pronouns / Relative clauses</t>
        </is>
      </c>
      <c r="E1668" s="23" t="inlineStr">
        <is>
          <t>Relative clauses: who(m) / which / that — люди и предметы</t>
        </is>
      </c>
      <c r="F1668" s="25" t="inlineStr">
        <is>
          <t>повторение</t>
        </is>
      </c>
      <c r="G1668" s="9" t="inlineStr"/>
      <c r="H1668" s="25" t="inlineStr">
        <is>
          <t>10+</t>
        </is>
      </c>
      <c r="I1668" s="9">
        <f>IFERROR(INDEX('Темы × классы'!$R:$R,MATCH(E1668,'Темы × классы'!$E:$E,0)),"")</f>
        <v/>
      </c>
      <c r="J1668" s="9">
        <f>IFERROR(INDEX('Темы × классы'!$S:$S,MATCH(E1668,'Темы × классы'!$E:$E,0))&amp;"","")</f>
        <v/>
      </c>
      <c r="K1668" s="9" t="inlineStr">
        <is>
          <t>не начат</t>
        </is>
      </c>
      <c r="L1668" s="9" t="inlineStr">
        <is>
          <t>Spotlight / 11 класс / Module 2 · Where there's a will there's a way / Relative pronouns / Relative clauses / Relative clauses: who(m) / which / that — люди и предметы</t>
        </is>
      </c>
    </row>
    <row r="1669">
      <c r="A1669" s="25" t="n">
        <v>11</v>
      </c>
      <c r="B1669" s="9" t="inlineStr">
        <is>
          <t>Module 2 · Where there's a will there's a way</t>
        </is>
      </c>
      <c r="C1669" s="9" t="inlineStr">
        <is>
          <t>2c</t>
        </is>
      </c>
      <c r="D1669" s="9" t="inlineStr">
        <is>
          <t>Relative pronouns / Relative clauses</t>
        </is>
      </c>
      <c r="E1669" s="23" t="inlineStr">
        <is>
          <t>Relative clauses: whose — принадлежность</t>
        </is>
      </c>
      <c r="F1669" s="25" t="inlineStr">
        <is>
          <t>повторение</t>
        </is>
      </c>
      <c r="G1669" s="9" t="inlineStr"/>
      <c r="H1669" s="25" t="inlineStr">
        <is>
          <t>10+</t>
        </is>
      </c>
      <c r="I1669" s="9">
        <f>IFERROR(INDEX('Темы × классы'!$R:$R,MATCH(E1669,'Темы × классы'!$E:$E,0)),"")</f>
        <v/>
      </c>
      <c r="J1669" s="9">
        <f>IFERROR(INDEX('Темы × классы'!$S:$S,MATCH(E1669,'Темы × классы'!$E:$E,0))&amp;"","")</f>
        <v/>
      </c>
      <c r="K1669" s="9" t="inlineStr">
        <is>
          <t>не начат</t>
        </is>
      </c>
      <c r="L1669" s="9" t="inlineStr">
        <is>
          <t>Spotlight / 11 класс / Module 2 · Where there's a will there's a way / Relative pronouns / Relative clauses / Relative clauses: whose — принадлежность</t>
        </is>
      </c>
    </row>
    <row r="1670">
      <c r="A1670" s="25" t="n">
        <v>11</v>
      </c>
      <c r="B1670" s="9" t="inlineStr">
        <is>
          <t>Module 2 · Where there's a will there's a way</t>
        </is>
      </c>
      <c r="C1670" s="9" t="inlineStr">
        <is>
          <t>2c</t>
        </is>
      </c>
      <c r="D1670" s="9" t="inlineStr">
        <is>
          <t>Relative pronouns / Relative clauses</t>
        </is>
      </c>
      <c r="E1670" s="23" t="inlineStr">
        <is>
          <t>Relative clauses: опущение who/which/that (дополнение vs подлежащее)</t>
        </is>
      </c>
      <c r="F1670" s="25" t="inlineStr">
        <is>
          <t>повторение</t>
        </is>
      </c>
      <c r="G1670" s="9" t="inlineStr"/>
      <c r="H1670" s="25" t="inlineStr">
        <is>
          <t>10+</t>
        </is>
      </c>
      <c r="I1670" s="9">
        <f>IFERROR(INDEX('Темы × классы'!$R:$R,MATCH(E1670,'Темы × классы'!$E:$E,0)),"")</f>
        <v/>
      </c>
      <c r="J1670" s="9">
        <f>IFERROR(INDEX('Темы × классы'!$S:$S,MATCH(E1670,'Темы × классы'!$E:$E,0))&amp;"","")</f>
        <v/>
      </c>
      <c r="K1670" s="9" t="inlineStr">
        <is>
          <t>не начат</t>
        </is>
      </c>
      <c r="L1670" s="9" t="inlineStr">
        <is>
          <t>Spotlight / 11 класс / Module 2 · Where there's a will there's a way / Relative pronouns / Relative clauses / Relative clauses: опущение who/which/that (дополнение vs подлежащее)</t>
        </is>
      </c>
    </row>
    <row r="1671">
      <c r="A1671" s="25" t="n">
        <v>11</v>
      </c>
      <c r="B1671" s="9" t="inlineStr">
        <is>
          <t>Module 2 · Where there's a will there's a way</t>
        </is>
      </c>
      <c r="C1671" s="9" t="inlineStr">
        <is>
          <t>2c</t>
        </is>
      </c>
      <c r="D1671" s="9" t="inlineStr">
        <is>
          <t>Relative pronouns / Relative clauses</t>
        </is>
      </c>
      <c r="E1671" s="23" t="inlineStr">
        <is>
          <t>Relative clauses: defining vs non-defining (запятые, без that)</t>
        </is>
      </c>
      <c r="F1671" s="25" t="inlineStr">
        <is>
          <t>повторение</t>
        </is>
      </c>
      <c r="G1671" s="9" t="inlineStr"/>
      <c r="H1671" s="25" t="inlineStr">
        <is>
          <t>10+</t>
        </is>
      </c>
      <c r="I1671" s="9">
        <f>IFERROR(INDEX('Темы × классы'!$R:$R,MATCH(E1671,'Темы × классы'!$E:$E,0)),"")</f>
        <v/>
      </c>
      <c r="J1671" s="9">
        <f>IFERROR(INDEX('Темы × классы'!$S:$S,MATCH(E1671,'Темы × классы'!$E:$E,0))&amp;"","")</f>
        <v/>
      </c>
      <c r="K1671" s="9" t="inlineStr">
        <is>
          <t>не начат</t>
        </is>
      </c>
      <c r="L1671" s="9" t="inlineStr">
        <is>
          <t>Spotlight / 11 класс / Module 2 · Where there's a will there's a way / Relative pronouns / Relative clauses / Relative clauses: defining vs non-defining (запятые, без that)</t>
        </is>
      </c>
    </row>
    <row r="1672">
      <c r="A1672" s="25" t="n">
        <v>11</v>
      </c>
      <c r="B1672" s="9" t="inlineStr">
        <is>
          <t>Module 2 · Where there's a will there's a way</t>
        </is>
      </c>
      <c r="C1672" s="9" t="inlineStr">
        <is>
          <t>2c</t>
        </is>
      </c>
      <c r="D1672" s="9" t="inlineStr">
        <is>
          <t>Relative pronouns / Relative clauses</t>
        </is>
      </c>
      <c r="E1672" s="23" t="inlineStr">
        <is>
          <t>Relative clauses: which, относящееся ко всему предложению</t>
        </is>
      </c>
      <c r="F1672" s="25" t="inlineStr">
        <is>
          <t>повторение</t>
        </is>
      </c>
      <c r="G1672" s="9" t="inlineStr"/>
      <c r="H1672" s="25" t="inlineStr">
        <is>
          <t>10+</t>
        </is>
      </c>
      <c r="I1672" s="9">
        <f>IFERROR(INDEX('Темы × классы'!$R:$R,MATCH(E1672,'Темы × классы'!$E:$E,0)),"")</f>
        <v/>
      </c>
      <c r="J1672" s="9">
        <f>IFERROR(INDEX('Темы × классы'!$S:$S,MATCH(E1672,'Темы × классы'!$E:$E,0))&amp;"","")</f>
        <v/>
      </c>
      <c r="K1672" s="9" t="inlineStr">
        <is>
          <t>не начат</t>
        </is>
      </c>
      <c r="L1672" s="9" t="inlineStr">
        <is>
          <t>Spotlight / 11 класс / Module 2 · Where there's a will there's a way / Relative pronouns / Relative clauses / Relative clauses: which, относящееся ко всему предложению</t>
        </is>
      </c>
    </row>
    <row r="1673">
      <c r="A1673" s="25" t="n">
        <v>11</v>
      </c>
      <c r="B1673" s="9" t="inlineStr">
        <is>
          <t>Module 2 · Where there's a will there's a way</t>
        </is>
      </c>
      <c r="C1673" s="9" t="inlineStr">
        <is>
          <t>2c</t>
        </is>
      </c>
      <c r="D1673" s="9" t="inlineStr">
        <is>
          <t>Relative pronouns / Relative clauses</t>
        </is>
      </c>
      <c r="E1673" s="23" t="inlineStr">
        <is>
          <t>Relative clauses: of which / whose для предметов</t>
        </is>
      </c>
      <c r="F1673" s="25" t="inlineStr">
        <is>
          <t>повторение</t>
        </is>
      </c>
      <c r="G1673" s="9" t="inlineStr"/>
      <c r="H1673" s="25" t="inlineStr">
        <is>
          <t>10+</t>
        </is>
      </c>
      <c r="I1673" s="9">
        <f>IFERROR(INDEX('Темы × классы'!$R:$R,MATCH(E1673,'Темы × классы'!$E:$E,0)),"")</f>
        <v/>
      </c>
      <c r="J1673" s="9">
        <f>IFERROR(INDEX('Темы × классы'!$S:$S,MATCH(E1673,'Темы × классы'!$E:$E,0))&amp;"","")</f>
        <v/>
      </c>
      <c r="K1673" s="9" t="inlineStr">
        <is>
          <t>не начат</t>
        </is>
      </c>
      <c r="L1673" s="9" t="inlineStr">
        <is>
          <t>Spotlight / 11 класс / Module 2 · Where there's a will there's a way / Relative pronouns / Relative clauses / Relative clauses: of which / whose для предметов</t>
        </is>
      </c>
    </row>
    <row r="1674">
      <c r="A1674" s="25" t="n">
        <v>11</v>
      </c>
      <c r="B1674" s="9" t="inlineStr">
        <is>
          <t>Module 2 · Where there's a will there's a way</t>
        </is>
      </c>
      <c r="C1674" s="9" t="inlineStr">
        <is>
          <t>2c</t>
        </is>
      </c>
      <c r="D1674" s="9" t="inlineStr">
        <is>
          <t>Relative pronouns / Relative clauses</t>
        </is>
      </c>
      <c r="E1674" s="23" t="inlineStr">
        <is>
          <t>Relative clauses: some of / most of + whom/which/whose</t>
        </is>
      </c>
      <c r="F1674" s="25" t="inlineStr">
        <is>
          <t>повторение</t>
        </is>
      </c>
      <c r="G1674" s="9" t="inlineStr">
        <is>
          <t>most of which</t>
        </is>
      </c>
      <c r="H1674" s="25" t="inlineStr">
        <is>
          <t>10+</t>
        </is>
      </c>
      <c r="I1674" s="9">
        <f>IFERROR(INDEX('Темы × классы'!$R:$R,MATCH(E1674,'Темы × классы'!$E:$E,0)),"")</f>
        <v/>
      </c>
      <c r="J1674" s="9">
        <f>IFERROR(INDEX('Темы × классы'!$S:$S,MATCH(E1674,'Темы × классы'!$E:$E,0))&amp;"","")</f>
        <v/>
      </c>
      <c r="K1674" s="9" t="inlineStr">
        <is>
          <t>не начат</t>
        </is>
      </c>
      <c r="L1674" s="9" t="inlineStr">
        <is>
          <t>Spotlight / 11 класс / Module 2 · Where there's a will there's a way / Relative pronouns / Relative clauses / Relative clauses: some of / most of + whom/which/whose</t>
        </is>
      </c>
    </row>
    <row r="1675">
      <c r="A1675" s="25" t="n">
        <v>11</v>
      </c>
      <c r="B1675" s="9" t="inlineStr">
        <is>
          <t>Module 2 · Where there's a will there's a way</t>
        </is>
      </c>
      <c r="C1675" s="9" t="inlineStr">
        <is>
          <t>2c</t>
        </is>
      </c>
      <c r="D1675" s="9" t="inlineStr">
        <is>
          <t>Relative pronouns / Relative clauses</t>
        </is>
      </c>
      <c r="E1675" s="23" t="inlineStr">
        <is>
          <t>Relative clauses: that не после запятой и не после предлога</t>
        </is>
      </c>
      <c r="F1675" s="25" t="inlineStr">
        <is>
          <t>повторение</t>
        </is>
      </c>
      <c r="G1675" s="9" t="inlineStr"/>
      <c r="H1675" s="25" t="inlineStr">
        <is>
          <t>10+</t>
        </is>
      </c>
      <c r="I1675" s="9">
        <f>IFERROR(INDEX('Темы × классы'!$R:$R,MATCH(E1675,'Темы × классы'!$E:$E,0)),"")</f>
        <v/>
      </c>
      <c r="J1675" s="9">
        <f>IFERROR(INDEX('Темы × классы'!$S:$S,MATCH(E1675,'Темы × классы'!$E:$E,0))&amp;"","")</f>
        <v/>
      </c>
      <c r="K1675" s="9" t="inlineStr">
        <is>
          <t>не начат</t>
        </is>
      </c>
      <c r="L1675" s="9" t="inlineStr">
        <is>
          <t>Spotlight / 11 класс / Module 2 · Where there's a will there's a way / Relative pronouns / Relative clauses / Relative clauses: that не после запятой и не после предлога</t>
        </is>
      </c>
    </row>
    <row r="1676">
      <c r="A1676" s="25" t="n">
        <v>11</v>
      </c>
      <c r="B1676" s="9" t="inlineStr">
        <is>
          <t>Module 2 · Where there's a will there's a way</t>
        </is>
      </c>
      <c r="C1676" s="9" t="inlineStr">
        <is>
          <t>2c</t>
        </is>
      </c>
      <c r="D1676" s="9" t="inlineStr">
        <is>
          <t>Clauses of purpose</t>
        </is>
      </c>
      <c r="E1676" s="23" t="inlineStr">
        <is>
          <t>Clauses of purpose: to / in order to / so as to + infinitive</t>
        </is>
      </c>
      <c r="F1676" s="25" t="inlineStr">
        <is>
          <t>повторение</t>
        </is>
      </c>
      <c r="G1676" s="9" t="inlineStr"/>
      <c r="H1676" s="25" t="inlineStr">
        <is>
          <t>10+</t>
        </is>
      </c>
      <c r="I1676" s="9">
        <f>IFERROR(INDEX('Темы × классы'!$R:$R,MATCH(E1676,'Темы × классы'!$E:$E,0)),"")</f>
        <v/>
      </c>
      <c r="J1676" s="9">
        <f>IFERROR(INDEX('Темы × классы'!$S:$S,MATCH(E1676,'Темы × классы'!$E:$E,0))&amp;"","")</f>
        <v/>
      </c>
      <c r="K1676" s="9" t="inlineStr">
        <is>
          <t>не начат</t>
        </is>
      </c>
      <c r="L1676" s="9" t="inlineStr">
        <is>
          <t>Spotlight / 11 класс / Module 2 · Where there's a will there's a way / Clauses of purpose / Clauses of purpose: to / in order to / so as to + infinitive</t>
        </is>
      </c>
    </row>
    <row r="1677">
      <c r="A1677" s="25" t="n">
        <v>11</v>
      </c>
      <c r="B1677" s="9" t="inlineStr">
        <is>
          <t>Module 2 · Where there's a will there's a way</t>
        </is>
      </c>
      <c r="C1677" s="9" t="inlineStr">
        <is>
          <t>2c</t>
        </is>
      </c>
      <c r="D1677" s="9" t="inlineStr">
        <is>
          <t>Clauses of purpose</t>
        </is>
      </c>
      <c r="E1677" s="23" t="inlineStr">
        <is>
          <t>Clauses of purpose: so that + can/will, could/would</t>
        </is>
      </c>
      <c r="F1677" s="25" t="inlineStr">
        <is>
          <t>повторение</t>
        </is>
      </c>
      <c r="G1677" s="9" t="inlineStr"/>
      <c r="H1677" s="25" t="inlineStr">
        <is>
          <t>10+</t>
        </is>
      </c>
      <c r="I1677" s="9">
        <f>IFERROR(INDEX('Темы × классы'!$R:$R,MATCH(E1677,'Темы × классы'!$E:$E,0)),"")</f>
        <v/>
      </c>
      <c r="J1677" s="9">
        <f>IFERROR(INDEX('Темы × классы'!$S:$S,MATCH(E1677,'Темы × классы'!$E:$E,0))&amp;"","")</f>
        <v/>
      </c>
      <c r="K1677" s="9" t="inlineStr">
        <is>
          <t>не начат</t>
        </is>
      </c>
      <c r="L1677" s="9" t="inlineStr">
        <is>
          <t>Spotlight / 11 класс / Module 2 · Where there's a will there's a way / Clauses of purpose / Clauses of purpose: so that + can/will, could/would</t>
        </is>
      </c>
    </row>
    <row r="1678">
      <c r="A1678" s="25" t="n">
        <v>11</v>
      </c>
      <c r="B1678" s="9" t="inlineStr">
        <is>
          <t>Module 2 · Where there's a will there's a way</t>
        </is>
      </c>
      <c r="C1678" s="9" t="inlineStr">
        <is>
          <t>2c</t>
        </is>
      </c>
      <c r="D1678" s="9" t="inlineStr">
        <is>
          <t>Clauses of purpose</t>
        </is>
      </c>
      <c r="E1678" s="23" t="inlineStr">
        <is>
          <t>Clauses of purpose: with the view to / with the aim of + -ing</t>
        </is>
      </c>
      <c r="F1678" s="25" t="inlineStr">
        <is>
          <t>повторение</t>
        </is>
      </c>
      <c r="G1678" s="9" t="inlineStr"/>
      <c r="H1678" s="25" t="inlineStr">
        <is>
          <t>10+</t>
        </is>
      </c>
      <c r="I1678" s="9">
        <f>IFERROR(INDEX('Темы × классы'!$R:$R,MATCH(E1678,'Темы × классы'!$E:$E,0)),"")</f>
        <v/>
      </c>
      <c r="J1678" s="9">
        <f>IFERROR(INDEX('Темы × классы'!$S:$S,MATCH(E1678,'Темы × классы'!$E:$E,0))&amp;"","")</f>
        <v/>
      </c>
      <c r="K1678" s="9" t="inlineStr">
        <is>
          <t>не начат</t>
        </is>
      </c>
      <c r="L1678" s="9" t="inlineStr">
        <is>
          <t>Spotlight / 11 класс / Module 2 · Where there's a will there's a way / Clauses of purpose / Clauses of purpose: with the view to / with the aim of + -ing</t>
        </is>
      </c>
    </row>
    <row r="1679">
      <c r="A1679" s="25" t="n">
        <v>11</v>
      </c>
      <c r="B1679" s="9" t="inlineStr">
        <is>
          <t>Module 2 · Where there's a will there's a way</t>
        </is>
      </c>
      <c r="C1679" s="9" t="inlineStr">
        <is>
          <t>2c</t>
        </is>
      </c>
      <c r="D1679" s="9" t="inlineStr">
        <is>
          <t>Clauses of purpose</t>
        </is>
      </c>
      <c r="E1679" s="23" t="inlineStr">
        <is>
          <t>Clauses of purpose: for + noun/-ing (назначение предмета)</t>
        </is>
      </c>
      <c r="F1679" s="26" t="inlineStr">
        <is>
          <t>новое</t>
        </is>
      </c>
      <c r="G1679" s="9" t="inlineStr">
        <is>
          <t>a liquid for removing paint</t>
        </is>
      </c>
      <c r="H1679" s="25" t="inlineStr">
        <is>
          <t>10+</t>
        </is>
      </c>
      <c r="I1679" s="9">
        <f>IFERROR(INDEX('Темы × классы'!$R:$R,MATCH(E1679,'Темы × классы'!$E:$E,0)),"")</f>
        <v/>
      </c>
      <c r="J1679" s="9">
        <f>IFERROR(INDEX('Темы × классы'!$S:$S,MATCH(E1679,'Темы × классы'!$E:$E,0))&amp;"","")</f>
        <v/>
      </c>
      <c r="K1679" s="9" t="inlineStr">
        <is>
          <t>не начат</t>
        </is>
      </c>
      <c r="L1679" s="9" t="inlineStr">
        <is>
          <t>Spotlight / 11 класс / Module 2 · Where there's a will there's a way / Clauses of purpose / Clauses of purpose: for + noun/-ing (назначение предмета)</t>
        </is>
      </c>
    </row>
    <row r="1680">
      <c r="A1680" s="25" t="n">
        <v>11</v>
      </c>
      <c r="B1680" s="9" t="inlineStr">
        <is>
          <t>Module 2 · Where there's a will there's a way</t>
        </is>
      </c>
      <c r="C1680" s="9" t="inlineStr">
        <is>
          <t>2c</t>
        </is>
      </c>
      <c r="D1680" s="9" t="inlineStr">
        <is>
          <t>Clauses of purpose</t>
        </is>
      </c>
      <c r="E1680" s="23" t="inlineStr">
        <is>
          <t>Clauses of purpose: in case + Present / Past</t>
        </is>
      </c>
      <c r="F1680" s="26" t="inlineStr">
        <is>
          <t>новое</t>
        </is>
      </c>
      <c r="G1680" s="9" t="inlineStr">
        <is>
          <t>in case + Present — наст./буд.; + Past — прош.</t>
        </is>
      </c>
      <c r="H1680" s="25" t="inlineStr">
        <is>
          <t>10+</t>
        </is>
      </c>
      <c r="I1680" s="9">
        <f>IFERROR(INDEX('Темы × классы'!$R:$R,MATCH(E1680,'Темы × классы'!$E:$E,0)),"")</f>
        <v/>
      </c>
      <c r="J1680" s="9">
        <f>IFERROR(INDEX('Темы × классы'!$S:$S,MATCH(E1680,'Темы × классы'!$E:$E,0))&amp;"","")</f>
        <v/>
      </c>
      <c r="K1680" s="9" t="inlineStr">
        <is>
          <t>не начат</t>
        </is>
      </c>
      <c r="L1680" s="9" t="inlineStr">
        <is>
          <t>Spotlight / 11 класс / Module 2 · Where there's a will there's a way / Clauses of purpose / Clauses of purpose: in case + Present / Past</t>
        </is>
      </c>
    </row>
    <row r="1681">
      <c r="A1681" s="25" t="n">
        <v>11</v>
      </c>
      <c r="B1681" s="9" t="inlineStr">
        <is>
          <t>Module 2 · Where there's a will there's a way</t>
        </is>
      </c>
      <c r="C1681" s="9" t="inlineStr">
        <is>
          <t>2c</t>
        </is>
      </c>
      <c r="D1681" s="9" t="inlineStr">
        <is>
          <t>Clauses of purpose</t>
        </is>
      </c>
      <c r="E1681" s="23" t="inlineStr">
        <is>
          <t>Clauses of purpose: отрицательная цель — so as not / in order not to</t>
        </is>
      </c>
      <c r="F1681" s="26" t="inlineStr">
        <is>
          <t>новое</t>
        </is>
      </c>
      <c r="G1681" s="9" t="inlineStr">
        <is>
          <t>одно и то же действующее лицо</t>
        </is>
      </c>
      <c r="H1681" s="25" t="inlineStr">
        <is>
          <t>10+</t>
        </is>
      </c>
      <c r="I1681" s="9">
        <f>IFERROR(INDEX('Темы × классы'!$R:$R,MATCH(E1681,'Темы × классы'!$E:$E,0)),"")</f>
        <v/>
      </c>
      <c r="J1681" s="9">
        <f>IFERROR(INDEX('Темы × классы'!$S:$S,MATCH(E1681,'Темы × классы'!$E:$E,0))&amp;"","")</f>
        <v/>
      </c>
      <c r="K1681" s="9" t="inlineStr">
        <is>
          <t>не начат</t>
        </is>
      </c>
      <c r="L1681" s="9" t="inlineStr">
        <is>
          <t>Spotlight / 11 класс / Module 2 · Where there's a will there's a way / Clauses of purpose / Clauses of purpose: отрицательная цель — so as not / in order not to</t>
        </is>
      </c>
    </row>
    <row r="1682">
      <c r="A1682" s="25" t="n">
        <v>11</v>
      </c>
      <c r="B1682" s="9" t="inlineStr">
        <is>
          <t>Module 2 · Where there's a will there's a way</t>
        </is>
      </c>
      <c r="C1682" s="9" t="inlineStr">
        <is>
          <t>2c</t>
        </is>
      </c>
      <c r="D1682" s="9" t="inlineStr">
        <is>
          <t>Clauses of purpose</t>
        </is>
      </c>
      <c r="E1682" s="23" t="inlineStr">
        <is>
          <t>Clauses of purpose: отрицательная цель — so that + can't/won't, couldn't/wouldn't</t>
        </is>
      </c>
      <c r="F1682" s="26" t="inlineStr">
        <is>
          <t>новое</t>
        </is>
      </c>
      <c r="G1682" s="9" t="inlineStr">
        <is>
          <t>разные действующие лица</t>
        </is>
      </c>
      <c r="H1682" s="25" t="inlineStr">
        <is>
          <t>10+</t>
        </is>
      </c>
      <c r="I1682" s="9">
        <f>IFERROR(INDEX('Темы × классы'!$R:$R,MATCH(E1682,'Темы × классы'!$E:$E,0)),"")</f>
        <v/>
      </c>
      <c r="J1682" s="9">
        <f>IFERROR(INDEX('Темы × классы'!$S:$S,MATCH(E1682,'Темы × классы'!$E:$E,0))&amp;"","")</f>
        <v/>
      </c>
      <c r="K1682" s="9" t="inlineStr">
        <is>
          <t>не начат</t>
        </is>
      </c>
      <c r="L1682" s="9" t="inlineStr">
        <is>
          <t>Spotlight / 11 класс / Module 2 · Where there's a will there's a way / Clauses of purpose / Clauses of purpose: отрицательная цель — so that + can't/won't, couldn't/wouldn't</t>
        </is>
      </c>
    </row>
    <row r="1683">
      <c r="A1683" s="25" t="n">
        <v>11</v>
      </c>
      <c r="B1683" s="9" t="inlineStr">
        <is>
          <t>Module 2 · Where there's a will there's a way</t>
        </is>
      </c>
      <c r="C1683" s="9" t="inlineStr">
        <is>
          <t>2c</t>
        </is>
      </c>
      <c r="D1683" s="9" t="inlineStr">
        <is>
          <t>Clauses of purpose</t>
        </is>
      </c>
      <c r="E1683" s="23" t="inlineStr">
        <is>
          <t>Clauses of purpose: for fear / lest; for fear of</t>
        </is>
      </c>
      <c r="F1683" s="26" t="inlineStr">
        <is>
          <t>новое</t>
        </is>
      </c>
      <c r="G1683" s="9" t="inlineStr">
        <is>
          <t>for fear/lest + might/should; for fear of sth/doing</t>
        </is>
      </c>
      <c r="H1683" s="25" t="inlineStr">
        <is>
          <t>10+</t>
        </is>
      </c>
      <c r="I1683" s="9">
        <f>IFERROR(INDEX('Темы × классы'!$R:$R,MATCH(E1683,'Темы × классы'!$E:$E,0)),"")</f>
        <v/>
      </c>
      <c r="J1683" s="9">
        <f>IFERROR(INDEX('Темы × классы'!$S:$S,MATCH(E1683,'Темы × классы'!$E:$E,0))&amp;"","")</f>
        <v/>
      </c>
      <c r="K1683" s="9" t="inlineStr">
        <is>
          <t>не начат</t>
        </is>
      </c>
      <c r="L1683" s="9" t="inlineStr">
        <is>
          <t>Spotlight / 11 класс / Module 2 · Where there's a will there's a way / Clauses of purpose / Clauses of purpose: for fear / lest; for fear of</t>
        </is>
      </c>
    </row>
    <row r="1684">
      <c r="A1684" s="25" t="n">
        <v>11</v>
      </c>
      <c r="B1684" s="9" t="inlineStr">
        <is>
          <t>Module 2 · Where there's a will there's a way</t>
        </is>
      </c>
      <c r="C1684" s="9" t="inlineStr">
        <is>
          <t>2c</t>
        </is>
      </c>
      <c r="D1684" s="9" t="inlineStr">
        <is>
          <t>Clauses of purpose</t>
        </is>
      </c>
      <c r="E1684" s="23" t="inlineStr">
        <is>
          <t>Clauses of purpose: prevent … (from) + -ing / avoid + -ing</t>
        </is>
      </c>
      <c r="F1684" s="26" t="inlineStr">
        <is>
          <t>новое</t>
        </is>
      </c>
      <c r="G1684" s="9" t="inlineStr">
        <is>
          <t>prevent + noun/pronoun (+ from) + -ing; avoid + -ing</t>
        </is>
      </c>
      <c r="H1684" s="25" t="inlineStr">
        <is>
          <t>10+</t>
        </is>
      </c>
      <c r="I1684" s="9">
        <f>IFERROR(INDEX('Темы × классы'!$R:$R,MATCH(E1684,'Темы × классы'!$E:$E,0)),"")</f>
        <v/>
      </c>
      <c r="J1684" s="9">
        <f>IFERROR(INDEX('Темы × классы'!$S:$S,MATCH(E1684,'Темы × классы'!$E:$E,0))&amp;"","")</f>
        <v/>
      </c>
      <c r="K1684" s="9" t="inlineStr">
        <is>
          <t>не начат</t>
        </is>
      </c>
      <c r="L1684" s="9" t="inlineStr">
        <is>
          <t>Spotlight / 11 класс / Module 2 · Where there's a will there's a way / Clauses of purpose / Clauses of purpose: prevent … (from) + -ing / avoid + -ing</t>
        </is>
      </c>
    </row>
    <row r="1685">
      <c r="A1685" s="25" t="n">
        <v>11</v>
      </c>
      <c r="B1685" s="9" t="inlineStr">
        <is>
          <t>Module 2 · Where there's a will there's a way</t>
        </is>
      </c>
      <c r="C1685" s="9" t="inlineStr">
        <is>
          <t>2c</t>
        </is>
      </c>
      <c r="D1685" s="9" t="inlineStr">
        <is>
          <t>Clauses of result</t>
        </is>
      </c>
      <c r="E1685" s="23" t="inlineStr">
        <is>
          <t>Clauses of result: such … that</t>
        </is>
      </c>
      <c r="F1685" s="25" t="inlineStr">
        <is>
          <t>повторение</t>
        </is>
      </c>
      <c r="G1685" s="9" t="inlineStr"/>
      <c r="H1685" s="25" t="inlineStr">
        <is>
          <t>10+</t>
        </is>
      </c>
      <c r="I1685" s="9">
        <f>IFERROR(INDEX('Темы × классы'!$R:$R,MATCH(E1685,'Темы × классы'!$E:$E,0)),"")</f>
        <v/>
      </c>
      <c r="J1685" s="9">
        <f>IFERROR(INDEX('Темы × классы'!$S:$S,MATCH(E1685,'Темы × классы'!$E:$E,0))&amp;"","")</f>
        <v/>
      </c>
      <c r="K1685" s="9" t="inlineStr">
        <is>
          <t>не начат</t>
        </is>
      </c>
      <c r="L1685" s="9" t="inlineStr">
        <is>
          <t>Spotlight / 11 класс / Module 2 · Where there's a will there's a way / Clauses of result / Clauses of result: such … that</t>
        </is>
      </c>
    </row>
    <row r="1686">
      <c r="A1686" s="25" t="n">
        <v>11</v>
      </c>
      <c r="B1686" s="9" t="inlineStr">
        <is>
          <t>Module 2 · Where there's a will there's a way</t>
        </is>
      </c>
      <c r="C1686" s="9" t="inlineStr">
        <is>
          <t>2c</t>
        </is>
      </c>
      <c r="D1686" s="9" t="inlineStr">
        <is>
          <t>Clauses of result</t>
        </is>
      </c>
      <c r="E1686" s="23" t="inlineStr">
        <is>
          <t>Clauses of result: so … that</t>
        </is>
      </c>
      <c r="F1686" s="25" t="inlineStr">
        <is>
          <t>повторение</t>
        </is>
      </c>
      <c r="G1686" s="9" t="inlineStr"/>
      <c r="H1686" s="25" t="inlineStr">
        <is>
          <t>10+</t>
        </is>
      </c>
      <c r="I1686" s="9">
        <f>IFERROR(INDEX('Темы × классы'!$R:$R,MATCH(E1686,'Темы × классы'!$E:$E,0)),"")</f>
        <v/>
      </c>
      <c r="J1686" s="9">
        <f>IFERROR(INDEX('Темы × классы'!$S:$S,MATCH(E1686,'Темы × классы'!$E:$E,0))&amp;"","")</f>
        <v/>
      </c>
      <c r="K1686" s="9" t="inlineStr">
        <is>
          <t>не начат</t>
        </is>
      </c>
      <c r="L1686" s="9" t="inlineStr">
        <is>
          <t>Spotlight / 11 класс / Module 2 · Where there's a will there's a way / Clauses of result / Clauses of result: so … that</t>
        </is>
      </c>
    </row>
    <row r="1687">
      <c r="A1687" s="25" t="n">
        <v>11</v>
      </c>
      <c r="B1687" s="9" t="inlineStr">
        <is>
          <t>Module 2 · Where there's a will there's a way</t>
        </is>
      </c>
      <c r="C1687" s="9" t="inlineStr">
        <is>
          <t>2c</t>
        </is>
      </c>
      <c r="D1687" s="9" t="inlineStr">
        <is>
          <t>Clauses of result</t>
        </is>
      </c>
      <c r="E1687" s="23" t="inlineStr">
        <is>
          <t>Clauses of result: as a result / as a consequence / consequently / therefore / so</t>
        </is>
      </c>
      <c r="F1687" s="25" t="inlineStr">
        <is>
          <t>повторение</t>
        </is>
      </c>
      <c r="G1687" s="9" t="inlineStr"/>
      <c r="H1687" s="25" t="inlineStr">
        <is>
          <t>10+</t>
        </is>
      </c>
      <c r="I1687" s="9">
        <f>IFERROR(INDEX('Темы × классы'!$R:$R,MATCH(E1687,'Темы × классы'!$E:$E,0)),"")</f>
        <v/>
      </c>
      <c r="J1687" s="9">
        <f>IFERROR(INDEX('Темы × классы'!$S:$S,MATCH(E1687,'Темы × классы'!$E:$E,0))&amp;"","")</f>
        <v/>
      </c>
      <c r="K1687" s="9" t="inlineStr">
        <is>
          <t>не начат</t>
        </is>
      </c>
      <c r="L1687" s="9" t="inlineStr">
        <is>
          <t>Spotlight / 11 класс / Module 2 · Where there's a will there's a way / Clauses of result / Clauses of result: as a result / as a consequence / consequently / therefore / so</t>
        </is>
      </c>
    </row>
    <row r="1688">
      <c r="A1688" s="25" t="n">
        <v>11</v>
      </c>
      <c r="B1688" s="9" t="inlineStr">
        <is>
          <t>Module 2 · Where there's a will there's a way</t>
        </is>
      </c>
      <c r="C1688" s="9" t="inlineStr">
        <is>
          <t>2c</t>
        </is>
      </c>
      <c r="D1688" s="9" t="inlineStr">
        <is>
          <t>Clauses of reason</t>
        </is>
      </c>
      <c r="E1688" s="23" t="inlineStr">
        <is>
          <t>Clauses of reason: as / because / for / on the grounds that</t>
        </is>
      </c>
      <c r="F1688" s="26" t="inlineStr">
        <is>
          <t>новое</t>
        </is>
      </c>
      <c r="G1688" s="9" t="inlineStr">
        <is>
          <t>because отвечает на why; for — после запятой, очень формально</t>
        </is>
      </c>
      <c r="H1688" s="25" t="inlineStr">
        <is>
          <t>10+</t>
        </is>
      </c>
      <c r="I1688" s="9">
        <f>IFERROR(INDEX('Темы × классы'!$R:$R,MATCH(E1688,'Темы × классы'!$E:$E,0)),"")</f>
        <v/>
      </c>
      <c r="J1688" s="9">
        <f>IFERROR(INDEX('Темы × классы'!$S:$S,MATCH(E1688,'Темы × классы'!$E:$E,0))&amp;"","")</f>
        <v/>
      </c>
      <c r="K1688" s="9" t="inlineStr">
        <is>
          <t>не начат</t>
        </is>
      </c>
      <c r="L1688" s="9" t="inlineStr">
        <is>
          <t>Spotlight / 11 класс / Module 2 · Where there's a will there's a way / Clauses of reason / Clauses of reason: as / because / for / on the grounds that</t>
        </is>
      </c>
    </row>
    <row r="1689">
      <c r="A1689" s="25" t="n">
        <v>11</v>
      </c>
      <c r="B1689" s="9" t="inlineStr">
        <is>
          <t>Module 2 · Where there's a will there's a way</t>
        </is>
      </c>
      <c r="C1689" s="9" t="inlineStr">
        <is>
          <t>2c</t>
        </is>
      </c>
      <c r="D1689" s="9" t="inlineStr">
        <is>
          <t>Clauses of reason</t>
        </is>
      </c>
      <c r="E1689" s="23" t="inlineStr">
        <is>
          <t>Clauses of reason: the reason for / the reason (why)</t>
        </is>
      </c>
      <c r="F1689" s="26" t="inlineStr">
        <is>
          <t>новое</t>
        </is>
      </c>
      <c r="G1689" s="9" t="inlineStr">
        <is>
          <t>the reason for, the reason (why)</t>
        </is>
      </c>
      <c r="H1689" s="25" t="inlineStr">
        <is>
          <t>10+</t>
        </is>
      </c>
      <c r="I1689" s="9">
        <f>IFERROR(INDEX('Темы × классы'!$R:$R,MATCH(E1689,'Темы × классы'!$E:$E,0)),"")</f>
        <v/>
      </c>
      <c r="J1689" s="9">
        <f>IFERROR(INDEX('Темы × классы'!$S:$S,MATCH(E1689,'Темы × классы'!$E:$E,0))&amp;"","")</f>
        <v/>
      </c>
      <c r="K1689" s="9" t="inlineStr">
        <is>
          <t>не начат</t>
        </is>
      </c>
      <c r="L1689" s="9" t="inlineStr">
        <is>
          <t>Spotlight / 11 класс / Module 2 · Where there's a will there's a way / Clauses of reason / Clauses of reason: the reason for / the reason (why)</t>
        </is>
      </c>
    </row>
    <row r="1690">
      <c r="A1690" s="25" t="n">
        <v>11</v>
      </c>
      <c r="B1690" s="9" t="inlineStr">
        <is>
          <t>Module 2 · Where there's a will there's a way</t>
        </is>
      </c>
      <c r="C1690" s="9" t="inlineStr">
        <is>
          <t>2c</t>
        </is>
      </c>
      <c r="D1690" s="9" t="inlineStr">
        <is>
          <t>Clauses of reason</t>
        </is>
      </c>
      <c r="E1690" s="23" t="inlineStr">
        <is>
          <t>Clauses of reason: because of / due to (+ the fact that)</t>
        </is>
      </c>
      <c r="F1690" s="26" t="inlineStr">
        <is>
          <t>новое</t>
        </is>
      </c>
      <c r="G1690" s="9" t="inlineStr">
        <is>
          <t>because of / due to + noun/-ing; … the fact that + clause</t>
        </is>
      </c>
      <c r="H1690" s="25" t="inlineStr">
        <is>
          <t>10+</t>
        </is>
      </c>
      <c r="I1690" s="9">
        <f>IFERROR(INDEX('Темы × классы'!$R:$R,MATCH(E1690,'Темы × классы'!$E:$E,0)),"")</f>
        <v/>
      </c>
      <c r="J1690" s="9">
        <f>IFERROR(INDEX('Темы × классы'!$S:$S,MATCH(E1690,'Темы × классы'!$E:$E,0))&amp;"","")</f>
        <v/>
      </c>
      <c r="K1690" s="9" t="inlineStr">
        <is>
          <t>не начат</t>
        </is>
      </c>
      <c r="L1690" s="9" t="inlineStr">
        <is>
          <t>Spotlight / 11 класс / Module 2 · Where there's a will there's a way / Clauses of reason / Clauses of reason: because of / due to (+ the fact that)</t>
        </is>
      </c>
    </row>
    <row r="1691">
      <c r="A1691" s="25" t="n">
        <v>11</v>
      </c>
      <c r="B1691" s="9" t="inlineStr">
        <is>
          <t>Module 2 · Where there's a will there's a way</t>
        </is>
      </c>
      <c r="C1691" s="9" t="inlineStr">
        <is>
          <t>2c</t>
        </is>
      </c>
      <c r="D1691" s="9" t="inlineStr">
        <is>
          <t>Prepositions in relative clauses</t>
        </is>
      </c>
      <c r="E1691" s="23" t="inlineStr">
        <is>
          <t>Prepositions in relative clauses: предлог + whom/which (that невозможен)</t>
        </is>
      </c>
      <c r="F1691" s="25" t="inlineStr">
        <is>
          <t>повторение</t>
        </is>
      </c>
      <c r="G1691" s="9" t="inlineStr">
        <is>
          <t>to whom, of which; ранее в Relative clauses 9–10 кл.</t>
        </is>
      </c>
      <c r="H1691" s="25" t="inlineStr">
        <is>
          <t>10+</t>
        </is>
      </c>
      <c r="I1691" s="9">
        <f>IFERROR(INDEX('Темы × классы'!$R:$R,MATCH(E1691,'Темы × классы'!$E:$E,0)),"")</f>
        <v/>
      </c>
      <c r="J1691" s="9">
        <f>IFERROR(INDEX('Темы × классы'!$S:$S,MATCH(E1691,'Темы × классы'!$E:$E,0))&amp;"","")</f>
        <v/>
      </c>
      <c r="K1691" s="9" t="inlineStr">
        <is>
          <t>не начат</t>
        </is>
      </c>
      <c r="L1691" s="9" t="inlineStr">
        <is>
          <t>Spotlight / 11 класс / Module 2 · Where there's a will there's a way / Prepositions in relative clauses / Prepositions in relative clauses: предлог + whom/which (that невозможен)</t>
        </is>
      </c>
    </row>
    <row r="1692">
      <c r="A1692" s="25" t="n">
        <v>11</v>
      </c>
      <c r="B1692" s="9" t="inlineStr">
        <is>
          <t>Module 2 · Where there's a will there's a way</t>
        </is>
      </c>
      <c r="C1692" s="9" t="inlineStr">
        <is>
          <t>2c</t>
        </is>
      </c>
      <c r="D1692" s="9" t="inlineStr">
        <is>
          <t>Relative adverbs</t>
        </is>
      </c>
      <c r="E1692" s="23" t="inlineStr">
        <is>
          <t>Relative adverbs: when/that — время</t>
        </is>
      </c>
      <c r="F1692" s="25" t="inlineStr">
        <is>
          <t>повторение</t>
        </is>
      </c>
      <c r="G1692" s="9" t="inlineStr">
        <is>
          <t>That was the year (when/that)…; можно опустить; ранее в Relative clauses 7, 9, 10 кл.</t>
        </is>
      </c>
      <c r="H1692" s="25" t="inlineStr">
        <is>
          <t>10+</t>
        </is>
      </c>
      <c r="I1692" s="9">
        <f>IFERROR(INDEX('Темы × классы'!$R:$R,MATCH(E1692,'Темы × классы'!$E:$E,0)),"")</f>
        <v/>
      </c>
      <c r="J1692" s="9">
        <f>IFERROR(INDEX('Темы × классы'!$S:$S,MATCH(E1692,'Темы × классы'!$E:$E,0))&amp;"","")</f>
        <v/>
      </c>
      <c r="K1692" s="9" t="inlineStr">
        <is>
          <t>не начат</t>
        </is>
      </c>
      <c r="L1692" s="9" t="inlineStr">
        <is>
          <t>Spotlight / 11 класс / Module 2 · Where there's a will there's a way / Relative adverbs / Relative adverbs: when/that — время</t>
        </is>
      </c>
    </row>
    <row r="1693">
      <c r="A1693" s="25" t="n">
        <v>11</v>
      </c>
      <c r="B1693" s="9" t="inlineStr">
        <is>
          <t>Module 2 · Where there's a will there's a way</t>
        </is>
      </c>
      <c r="C1693" s="9" t="inlineStr">
        <is>
          <t>2c</t>
        </is>
      </c>
      <c r="D1693" s="9" t="inlineStr">
        <is>
          <t>Relative adverbs</t>
        </is>
      </c>
      <c r="E1693" s="23" t="inlineStr">
        <is>
          <t>Relative adverbs: where — место</t>
        </is>
      </c>
      <c r="F1693" s="25" t="inlineStr">
        <is>
          <t>повторение</t>
        </is>
      </c>
      <c r="G1693" s="9" t="inlineStr">
        <is>
          <t>The restaurant where…</t>
        </is>
      </c>
      <c r="H1693" s="25" t="inlineStr">
        <is>
          <t>10+</t>
        </is>
      </c>
      <c r="I1693" s="9">
        <f>IFERROR(INDEX('Темы × классы'!$R:$R,MATCH(E1693,'Темы × классы'!$E:$E,0)),"")</f>
        <v/>
      </c>
      <c r="J1693" s="9">
        <f>IFERROR(INDEX('Темы × классы'!$S:$S,MATCH(E1693,'Темы × классы'!$E:$E,0))&amp;"","")</f>
        <v/>
      </c>
      <c r="K1693" s="9" t="inlineStr">
        <is>
          <t>не начат</t>
        </is>
      </c>
      <c r="L1693" s="9" t="inlineStr">
        <is>
          <t>Spotlight / 11 класс / Module 2 · Where there's a will there's a way / Relative adverbs / Relative adverbs: where — место</t>
        </is>
      </c>
    </row>
    <row r="1694">
      <c r="A1694" s="25" t="n">
        <v>11</v>
      </c>
      <c r="B1694" s="9" t="inlineStr">
        <is>
          <t>Module 2 · Where there's a will there's a way</t>
        </is>
      </c>
      <c r="C1694" s="9" t="inlineStr">
        <is>
          <t>2c</t>
        </is>
      </c>
      <c r="D1694" s="9" t="inlineStr">
        <is>
          <t>Relative adverbs</t>
        </is>
      </c>
      <c r="E1694" s="23" t="inlineStr">
        <is>
          <t>Relative adverbs: why — причина (the reason why)</t>
        </is>
      </c>
      <c r="F1694" s="25" t="inlineStr">
        <is>
          <t>повторение</t>
        </is>
      </c>
      <c r="G1694" s="9" t="inlineStr">
        <is>
          <t>The reason (why) she was late…; можно опустить</t>
        </is>
      </c>
      <c r="H1694" s="25" t="inlineStr">
        <is>
          <t>10+</t>
        </is>
      </c>
      <c r="I1694" s="9">
        <f>IFERROR(INDEX('Темы × классы'!$R:$R,MATCH(E1694,'Темы × классы'!$E:$E,0)),"")</f>
        <v/>
      </c>
      <c r="J1694" s="9">
        <f>IFERROR(INDEX('Темы × классы'!$S:$S,MATCH(E1694,'Темы × классы'!$E:$E,0))&amp;"","")</f>
        <v/>
      </c>
      <c r="K1694" s="9" t="inlineStr">
        <is>
          <t>не начат</t>
        </is>
      </c>
      <c r="L1694" s="9" t="inlineStr">
        <is>
          <t>Spotlight / 11 класс / Module 2 · Where there's a will there's a way / Relative adverbs / Relative adverbs: why — причина (the reason why)</t>
        </is>
      </c>
    </row>
    <row r="1695">
      <c r="A1695" s="25" t="n">
        <v>11</v>
      </c>
      <c r="B1695" s="9" t="inlineStr">
        <is>
          <t>Module 2 · Where there's a will there's a way</t>
        </is>
      </c>
      <c r="C1695" s="9" t="inlineStr">
        <is>
          <t>2c</t>
        </is>
      </c>
      <c r="D1695" s="9" t="inlineStr">
        <is>
          <t>Phrasal verbs</t>
        </is>
      </c>
      <c r="E1695" s="23" t="inlineStr">
        <is>
          <t>Phrasal verbs: put</t>
        </is>
      </c>
      <c r="F1695" s="25" t="inlineStr">
        <is>
          <t>повторение</t>
        </is>
      </c>
      <c r="G1695" s="9" t="inlineStr">
        <is>
          <t>put + частицы (English in Use 2c); конкретные частицы в доступных страницах не даны.</t>
        </is>
      </c>
      <c r="H1695" s="25" t="inlineStr">
        <is>
          <t>10+</t>
        </is>
      </c>
      <c r="I1695" s="9">
        <f>IFERROR(INDEX('Темы × классы'!$R:$R,MATCH(E1695,'Темы × классы'!$E:$E,0)),"")</f>
        <v/>
      </c>
      <c r="J1695" s="9">
        <f>IFERROR(INDEX('Темы × классы'!$S:$S,MATCH(E1695,'Темы × классы'!$E:$E,0))&amp;"","")</f>
        <v/>
      </c>
      <c r="K1695" s="9" t="inlineStr">
        <is>
          <t>не начат</t>
        </is>
      </c>
      <c r="L1695" s="9" t="inlineStr">
        <is>
          <t>Spotlight / 11 класс / Module 2 · Where there's a will there's a way / Phrasal verbs / Phrasal verbs: put</t>
        </is>
      </c>
    </row>
    <row r="1696">
      <c r="A1696" s="25" t="n">
        <v>11</v>
      </c>
      <c r="B1696" s="9" t="inlineStr">
        <is>
          <t>Module 2 · Where there's a will there's a way</t>
        </is>
      </c>
      <c r="C1696" s="9" t="inlineStr">
        <is>
          <t>2c</t>
        </is>
      </c>
      <c r="D1696" s="9" t="inlineStr">
        <is>
          <t>Dependent prepositions</t>
        </is>
      </c>
      <c r="E1696" s="23" t="inlineStr">
        <is>
          <t>Dependent prepositions</t>
        </is>
      </c>
      <c r="F1696" s="25" t="inlineStr">
        <is>
          <t>повторение</t>
        </is>
      </c>
      <c r="G1696" s="9" t="inlineStr">
        <is>
          <t>Dependent prepositions (English in Use 2c); конкретные сочетания в доступных страницах не даны.</t>
        </is>
      </c>
      <c r="H1696" s="25" t="inlineStr">
        <is>
          <t>10+</t>
        </is>
      </c>
      <c r="I1696" s="9">
        <f>IFERROR(INDEX('Темы × классы'!$R:$R,MATCH(E1696,'Темы × классы'!$E:$E,0)),"")</f>
        <v/>
      </c>
      <c r="J1696" s="9">
        <f>IFERROR(INDEX('Темы × классы'!$S:$S,MATCH(E1696,'Темы × классы'!$E:$E,0))&amp;"","")</f>
        <v/>
      </c>
      <c r="K1696" s="9" t="inlineStr">
        <is>
          <t>не начат</t>
        </is>
      </c>
      <c r="L1696" s="9" t="inlineStr">
        <is>
          <t>Spotlight / 11 класс / Module 2 · Where there's a will there's a way / Dependent prepositions / Dependent prepositions</t>
        </is>
      </c>
    </row>
    <row r="1697">
      <c r="A1697" s="25" t="n">
        <v>11</v>
      </c>
      <c r="B1697" s="9" t="inlineStr">
        <is>
          <t>Module 2 · Where there's a will there's a way</t>
        </is>
      </c>
      <c r="C1697" s="9" t="inlineStr">
        <is>
          <t>2b</t>
        </is>
      </c>
      <c r="D1697" s="9" t="inlineStr">
        <is>
          <t>Idioms &amp; collocations</t>
        </is>
      </c>
      <c r="E1697" s="23" t="inlineStr">
        <is>
          <t>Idioms &amp; collocations</t>
        </is>
      </c>
      <c r="F1697" s="25" t="inlineStr">
        <is>
          <t>повторение</t>
        </is>
      </c>
      <c r="G1697" s="9" t="inlineStr">
        <is>
          <t>Idioms with numbers (2b).</t>
        </is>
      </c>
      <c r="H1697" s="25" t="inlineStr">
        <is>
          <t>10+</t>
        </is>
      </c>
      <c r="I1697" s="9">
        <f>IFERROR(INDEX('Темы × классы'!$R:$R,MATCH(E1697,'Темы × классы'!$E:$E,0)),"")</f>
        <v/>
      </c>
      <c r="J1697" s="9">
        <f>IFERROR(INDEX('Темы × классы'!$S:$S,MATCH(E1697,'Темы × классы'!$E:$E,0))&amp;"","")</f>
        <v/>
      </c>
      <c r="K1697" s="9" t="inlineStr">
        <is>
          <t>не начат</t>
        </is>
      </c>
      <c r="L1697" s="9" t="inlineStr">
        <is>
          <t>Spotlight / 11 класс / Module 2 · Where there's a will there's a way / Idioms &amp; collocations / Idioms &amp; collocations</t>
        </is>
      </c>
    </row>
    <row r="1698">
      <c r="A1698" s="25" t="n">
        <v>11</v>
      </c>
      <c r="B1698" s="9" t="inlineStr">
        <is>
          <t>Module 3 · Responsibility</t>
        </is>
      </c>
      <c r="C1698" s="9" t="inlineStr">
        <is>
          <t>3c</t>
        </is>
      </c>
      <c r="D1698" s="9" t="inlineStr">
        <is>
          <t>Infinitive / -ing form</t>
        </is>
      </c>
      <c r="E1698" s="23" t="inlineStr">
        <is>
          <t>-ing form: в роли подлежащего</t>
        </is>
      </c>
      <c r="F1698" s="25" t="inlineStr">
        <is>
          <t>повторение</t>
        </is>
      </c>
      <c r="G1698" s="9" t="inlineStr"/>
      <c r="H1698" s="25" t="inlineStr">
        <is>
          <t>10+</t>
        </is>
      </c>
      <c r="I1698" s="9">
        <f>IFERROR(INDEX('Темы × классы'!$R:$R,MATCH(E1698,'Темы × классы'!$E:$E,0)),"")</f>
        <v/>
      </c>
      <c r="J1698" s="9">
        <f>IFERROR(INDEX('Темы × классы'!$S:$S,MATCH(E1698,'Темы × классы'!$E:$E,0))&amp;"","")</f>
        <v/>
      </c>
      <c r="K1698" s="9" t="inlineStr">
        <is>
          <t>не начат</t>
        </is>
      </c>
      <c r="L1698" s="9" t="inlineStr">
        <is>
          <t>Spotlight / 11 класс / Module 3 · Responsibility / Infinitive / -ing form / -ing form: в роли подлежащего</t>
        </is>
      </c>
    </row>
    <row r="1699">
      <c r="A1699" s="25" t="n">
        <v>11</v>
      </c>
      <c r="B1699" s="9" t="inlineStr">
        <is>
          <t>Module 3 · Responsibility</t>
        </is>
      </c>
      <c r="C1699" s="9" t="inlineStr">
        <is>
          <t>3c</t>
        </is>
      </c>
      <c r="D1699" s="9" t="inlineStr">
        <is>
          <t>Infinitive / -ing form</t>
        </is>
      </c>
      <c r="E1699" s="23" t="inlineStr">
        <is>
          <t>-ing form: после глаголов admit, avoid, consider, deny, fancy, go, imagine, mind, miss, practise, suggest…</t>
        </is>
      </c>
      <c r="F1699" s="25" t="inlineStr">
        <is>
          <t>повторение</t>
        </is>
      </c>
      <c r="G1699" s="9" t="inlineStr"/>
      <c r="H1699" s="25" t="inlineStr">
        <is>
          <t>10+</t>
        </is>
      </c>
      <c r="I1699" s="9">
        <f>IFERROR(INDEX('Темы × классы'!$R:$R,MATCH(E1699,'Темы × классы'!$E:$E,0)),"")</f>
        <v/>
      </c>
      <c r="J1699" s="9">
        <f>IFERROR(INDEX('Темы × классы'!$S:$S,MATCH(E1699,'Темы × классы'!$E:$E,0))&amp;"","")</f>
        <v/>
      </c>
      <c r="K1699" s="9" t="inlineStr">
        <is>
          <t>не начат</t>
        </is>
      </c>
      <c r="L1699" s="9" t="inlineStr">
        <is>
          <t>Spotlight / 11 класс / Module 3 · Responsibility / Infinitive / -ing form / -ing form: после глаголов admit, avoid, consider, deny, fancy, go, imagine, mind, miss, practise, suggest…</t>
        </is>
      </c>
    </row>
    <row r="1700">
      <c r="A1700" s="25" t="n">
        <v>11</v>
      </c>
      <c r="B1700" s="9" t="inlineStr">
        <is>
          <t>Module 3 · Responsibility</t>
        </is>
      </c>
      <c r="C1700" s="9" t="inlineStr">
        <is>
          <t>3c</t>
        </is>
      </c>
      <c r="D1700" s="9" t="inlineStr">
        <is>
          <t>Infinitive / -ing form</t>
        </is>
      </c>
      <c r="E1700" s="23" t="inlineStr">
        <is>
          <t>-ing form: после like, love, enjoy, prefer, dislike, hate — общее предпочтение</t>
        </is>
      </c>
      <c r="F1700" s="25" t="inlineStr">
        <is>
          <t>повторение</t>
        </is>
      </c>
      <c r="G1700" s="9" t="inlineStr"/>
      <c r="H1700" s="25" t="inlineStr">
        <is>
          <t>10+</t>
        </is>
      </c>
      <c r="I1700" s="9">
        <f>IFERROR(INDEX('Темы × классы'!$R:$R,MATCH(E1700,'Темы × классы'!$E:$E,0)),"")</f>
        <v/>
      </c>
      <c r="J1700" s="9">
        <f>IFERROR(INDEX('Темы × классы'!$S:$S,MATCH(E1700,'Темы × классы'!$E:$E,0))&amp;"","")</f>
        <v/>
      </c>
      <c r="K1700" s="9" t="inlineStr">
        <is>
          <t>не начат</t>
        </is>
      </c>
      <c r="L1700" s="9" t="inlineStr">
        <is>
          <t>Spotlight / 11 класс / Module 3 · Responsibility / Infinitive / -ing form / -ing form: после like, love, enjoy, prefer, dislike, hate — общее предпочтение</t>
        </is>
      </c>
    </row>
    <row r="1701">
      <c r="A1701" s="25" t="n">
        <v>11</v>
      </c>
      <c r="B1701" s="9" t="inlineStr">
        <is>
          <t>Module 3 · Responsibility</t>
        </is>
      </c>
      <c r="C1701" s="9" t="inlineStr">
        <is>
          <t>3c</t>
        </is>
      </c>
      <c r="D1701" s="9" t="inlineStr">
        <is>
          <t>Infinitive / -ing form</t>
        </is>
      </c>
      <c r="E1701" s="23" t="inlineStr">
        <is>
          <t>-ing form: после выражений it's no use, it's (not) worth, can't help, there's no point…</t>
        </is>
      </c>
      <c r="F1701" s="25" t="inlineStr">
        <is>
          <t>повторение</t>
        </is>
      </c>
      <c r="G1701" s="9" t="inlineStr"/>
      <c r="H1701" s="25" t="inlineStr">
        <is>
          <t>10+</t>
        </is>
      </c>
      <c r="I1701" s="9">
        <f>IFERROR(INDEX('Темы × классы'!$R:$R,MATCH(E1701,'Темы × классы'!$E:$E,0)),"")</f>
        <v/>
      </c>
      <c r="J1701" s="9">
        <f>IFERROR(INDEX('Темы × классы'!$S:$S,MATCH(E1701,'Темы × классы'!$E:$E,0))&amp;"","")</f>
        <v/>
      </c>
      <c r="K1701" s="9" t="inlineStr">
        <is>
          <t>не начат</t>
        </is>
      </c>
      <c r="L1701" s="9" t="inlineStr">
        <is>
          <t>Spotlight / 11 класс / Module 3 · Responsibility / Infinitive / -ing form / -ing form: после выражений it's no use, it's (not) worth, can't help, there's no point…</t>
        </is>
      </c>
    </row>
    <row r="1702">
      <c r="A1702" s="25" t="n">
        <v>11</v>
      </c>
      <c r="B1702" s="9" t="inlineStr">
        <is>
          <t>Module 3 · Responsibility</t>
        </is>
      </c>
      <c r="C1702" s="9" t="inlineStr">
        <is>
          <t>3c</t>
        </is>
      </c>
      <c r="D1702" s="9" t="inlineStr">
        <is>
          <t>Infinitive / -ing form</t>
        </is>
      </c>
      <c r="E1702" s="23" t="inlineStr">
        <is>
          <t>-ing form: после spend/waste/lose + время/деньги</t>
        </is>
      </c>
      <c r="F1702" s="25" t="inlineStr">
        <is>
          <t>повторение</t>
        </is>
      </c>
      <c r="G1702" s="9" t="inlineStr"/>
      <c r="H1702" s="25" t="inlineStr">
        <is>
          <t>10+</t>
        </is>
      </c>
      <c r="I1702" s="9">
        <f>IFERROR(INDEX('Темы × классы'!$R:$R,MATCH(E1702,'Темы × классы'!$E:$E,0)),"")</f>
        <v/>
      </c>
      <c r="J1702" s="9">
        <f>IFERROR(INDEX('Темы × классы'!$S:$S,MATCH(E1702,'Темы × классы'!$E:$E,0))&amp;"","")</f>
        <v/>
      </c>
      <c r="K1702" s="9" t="inlineStr">
        <is>
          <t>не начат</t>
        </is>
      </c>
      <c r="L1702" s="9" t="inlineStr">
        <is>
          <t>Spotlight / 11 класс / Module 3 · Responsibility / Infinitive / -ing form / -ing form: после spend/waste/lose + время/деньги</t>
        </is>
      </c>
    </row>
    <row r="1703">
      <c r="A1703" s="25" t="n">
        <v>11</v>
      </c>
      <c r="B1703" s="9" t="inlineStr">
        <is>
          <t>Module 3 · Responsibility</t>
        </is>
      </c>
      <c r="C1703" s="9" t="inlineStr">
        <is>
          <t>3c</t>
        </is>
      </c>
      <c r="D1703" s="9" t="inlineStr">
        <is>
          <t>Infinitive / -ing form</t>
        </is>
      </c>
      <c r="E1703" s="23" t="inlineStr">
        <is>
          <t>-ing form: после предлогов (look forward to, be used to, object to…)</t>
        </is>
      </c>
      <c r="F1703" s="25" t="inlineStr">
        <is>
          <t>повторение</t>
        </is>
      </c>
      <c r="G1703" s="9" t="inlineStr"/>
      <c r="H1703" s="25" t="inlineStr">
        <is>
          <t>10+</t>
        </is>
      </c>
      <c r="I1703" s="9">
        <f>IFERROR(INDEX('Темы × классы'!$R:$R,MATCH(E1703,'Темы × классы'!$E:$E,0)),"")</f>
        <v/>
      </c>
      <c r="J1703" s="9">
        <f>IFERROR(INDEX('Темы × классы'!$S:$S,MATCH(E1703,'Темы × классы'!$E:$E,0))&amp;"","")</f>
        <v/>
      </c>
      <c r="K1703" s="9" t="inlineStr">
        <is>
          <t>не начат</t>
        </is>
      </c>
      <c r="L1703" s="9" t="inlineStr">
        <is>
          <t>Spotlight / 11 класс / Module 3 · Responsibility / Infinitive / -ing form / -ing form: после предлогов (look forward to, be used to, object to…)</t>
        </is>
      </c>
    </row>
    <row r="1704">
      <c r="A1704" s="25" t="n">
        <v>11</v>
      </c>
      <c r="B1704" s="9" t="inlineStr">
        <is>
          <t>Module 3 · Responsibility</t>
        </is>
      </c>
      <c r="C1704" s="9" t="inlineStr">
        <is>
          <t>3c</t>
        </is>
      </c>
      <c r="D1704" s="9" t="inlineStr">
        <is>
          <t>Infinitive / -ing form</t>
        </is>
      </c>
      <c r="E1704" s="23" t="inlineStr">
        <is>
          <t>-ing vs bare infinitive после see, hear, watch, feel — незавершённое vs завершённое</t>
        </is>
      </c>
      <c r="F1704" s="25" t="inlineStr">
        <is>
          <t>повторение</t>
        </is>
      </c>
      <c r="G1704" s="9" t="inlineStr"/>
      <c r="H1704" s="25" t="inlineStr">
        <is>
          <t>10+</t>
        </is>
      </c>
      <c r="I1704" s="9">
        <f>IFERROR(INDEX('Темы × классы'!$R:$R,MATCH(E1704,'Темы × классы'!$E:$E,0)),"")</f>
        <v/>
      </c>
      <c r="J1704" s="9">
        <f>IFERROR(INDEX('Темы × классы'!$S:$S,MATCH(E1704,'Темы × классы'!$E:$E,0))&amp;"","")</f>
        <v/>
      </c>
      <c r="K1704" s="9" t="inlineStr">
        <is>
          <t>не начат</t>
        </is>
      </c>
      <c r="L1704" s="9" t="inlineStr">
        <is>
          <t>Spotlight / 11 класс / Module 3 · Responsibility / Infinitive / -ing form / -ing vs bare infinitive после see, hear, watch, feel — незавершённое vs завершённое</t>
        </is>
      </c>
    </row>
    <row r="1705">
      <c r="A1705" s="25" t="n">
        <v>11</v>
      </c>
      <c r="B1705" s="9" t="inlineStr">
        <is>
          <t>Module 3 · Responsibility</t>
        </is>
      </c>
      <c r="C1705" s="9" t="inlineStr">
        <is>
          <t>3c</t>
        </is>
      </c>
      <c r="D1705" s="9" t="inlineStr">
        <is>
          <t>Infinitive / -ing form</t>
        </is>
      </c>
      <c r="E1705" s="23" t="inlineStr">
        <is>
          <t>-ing form: be/get used to + -ing vs used to + V</t>
        </is>
      </c>
      <c r="F1705" s="25" t="inlineStr">
        <is>
          <t>повторение</t>
        </is>
      </c>
      <c r="G1705" s="9" t="inlineStr"/>
      <c r="H1705" s="25" t="inlineStr">
        <is>
          <t>10+</t>
        </is>
      </c>
      <c r="I1705" s="9">
        <f>IFERROR(INDEX('Темы × классы'!$R:$R,MATCH(E1705,'Темы × классы'!$E:$E,0)),"")</f>
        <v/>
      </c>
      <c r="J1705" s="9">
        <f>IFERROR(INDEX('Темы × классы'!$S:$S,MATCH(E1705,'Темы × классы'!$E:$E,0))&amp;"","")</f>
        <v/>
      </c>
      <c r="K1705" s="9" t="inlineStr">
        <is>
          <t>не начат</t>
        </is>
      </c>
      <c r="L1705" s="9" t="inlineStr">
        <is>
          <t>Spotlight / 11 класс / Module 3 · Responsibility / Infinitive / -ing form / -ing form: be/get used to + -ing vs used to + V</t>
        </is>
      </c>
    </row>
    <row r="1706">
      <c r="A1706" s="25" t="n">
        <v>11</v>
      </c>
      <c r="B1706" s="9" t="inlineStr">
        <is>
          <t>Module 3 · Responsibility</t>
        </is>
      </c>
      <c r="C1706" s="9" t="inlineStr">
        <is>
          <t>3c</t>
        </is>
      </c>
      <c r="D1706" s="9" t="inlineStr">
        <is>
          <t>Infinitive / -ing form</t>
        </is>
      </c>
      <c r="E1706" s="23" t="inlineStr">
        <is>
          <t>to-infinitive: цель</t>
        </is>
      </c>
      <c r="F1706" s="25" t="inlineStr">
        <is>
          <t>повторение</t>
        </is>
      </c>
      <c r="G1706" s="9" t="inlineStr"/>
      <c r="H1706" s="25" t="inlineStr">
        <is>
          <t>10+</t>
        </is>
      </c>
      <c r="I1706" s="9">
        <f>IFERROR(INDEX('Темы × классы'!$R:$R,MATCH(E1706,'Темы × классы'!$E:$E,0)),"")</f>
        <v/>
      </c>
      <c r="J1706" s="9">
        <f>IFERROR(INDEX('Темы × классы'!$S:$S,MATCH(E1706,'Темы × классы'!$E:$E,0))&amp;"","")</f>
        <v/>
      </c>
      <c r="K1706" s="9" t="inlineStr">
        <is>
          <t>не начат</t>
        </is>
      </c>
      <c r="L1706" s="9" t="inlineStr">
        <is>
          <t>Spotlight / 11 класс / Module 3 · Responsibility / Infinitive / -ing form / to-infinitive: цель</t>
        </is>
      </c>
    </row>
    <row r="1707">
      <c r="A1707" s="25" t="n">
        <v>11</v>
      </c>
      <c r="B1707" s="9" t="inlineStr">
        <is>
          <t>Module 3 · Responsibility</t>
        </is>
      </c>
      <c r="C1707" s="9" t="inlineStr">
        <is>
          <t>3c</t>
        </is>
      </c>
      <c r="D1707" s="9" t="inlineStr">
        <is>
          <t>Infinitive / -ing form</t>
        </is>
      </c>
      <c r="E1707" s="23" t="inlineStr">
        <is>
          <t>to-infinitive: после agree, decide, expect, hope, plan, promise, refuse, want</t>
        </is>
      </c>
      <c r="F1707" s="25" t="inlineStr">
        <is>
          <t>повторение</t>
        </is>
      </c>
      <c r="G1707" s="9" t="inlineStr"/>
      <c r="H1707" s="25" t="inlineStr">
        <is>
          <t>10+</t>
        </is>
      </c>
      <c r="I1707" s="9">
        <f>IFERROR(INDEX('Темы × классы'!$R:$R,MATCH(E1707,'Темы × классы'!$E:$E,0)),"")</f>
        <v/>
      </c>
      <c r="J1707" s="9">
        <f>IFERROR(INDEX('Темы × классы'!$S:$S,MATCH(E1707,'Темы × классы'!$E:$E,0))&amp;"","")</f>
        <v/>
      </c>
      <c r="K1707" s="9" t="inlineStr">
        <is>
          <t>не начат</t>
        </is>
      </c>
      <c r="L1707" s="9" t="inlineStr">
        <is>
          <t>Spotlight / 11 класс / Module 3 · Responsibility / Infinitive / -ing form / to-infinitive: после agree, decide, expect, hope, plan, promise, refuse, want</t>
        </is>
      </c>
    </row>
    <row r="1708">
      <c r="A1708" s="25" t="n">
        <v>11</v>
      </c>
      <c r="B1708" s="9" t="inlineStr">
        <is>
          <t>Module 3 · Responsibility</t>
        </is>
      </c>
      <c r="C1708" s="9" t="inlineStr">
        <is>
          <t>3c</t>
        </is>
      </c>
      <c r="D1708" s="9" t="inlineStr">
        <is>
          <t>Infinitive / -ing form</t>
        </is>
      </c>
      <c r="E1708" s="23" t="inlineStr">
        <is>
          <t>to-infinitive: после would like/prefer/love — конкретное предпочтение</t>
        </is>
      </c>
      <c r="F1708" s="25" t="inlineStr">
        <is>
          <t>повторение</t>
        </is>
      </c>
      <c r="G1708" s="9" t="inlineStr"/>
      <c r="H1708" s="25" t="inlineStr">
        <is>
          <t>10+</t>
        </is>
      </c>
      <c r="I1708" s="9">
        <f>IFERROR(INDEX('Темы × классы'!$R:$R,MATCH(E1708,'Темы × классы'!$E:$E,0)),"")</f>
        <v/>
      </c>
      <c r="J1708" s="9">
        <f>IFERROR(INDEX('Темы × классы'!$S:$S,MATCH(E1708,'Темы × классы'!$E:$E,0))&amp;"","")</f>
        <v/>
      </c>
      <c r="K1708" s="9" t="inlineStr">
        <is>
          <t>не начат</t>
        </is>
      </c>
      <c r="L1708" s="9" t="inlineStr">
        <is>
          <t>Spotlight / 11 класс / Module 3 · Responsibility / Infinitive / -ing form / to-infinitive: после would like/prefer/love — конкретное предпочтение</t>
        </is>
      </c>
    </row>
    <row r="1709">
      <c r="A1709" s="25" t="n">
        <v>11</v>
      </c>
      <c r="B1709" s="9" t="inlineStr">
        <is>
          <t>Module 3 · Responsibility</t>
        </is>
      </c>
      <c r="C1709" s="9" t="inlineStr">
        <is>
          <t>3c</t>
        </is>
      </c>
      <c r="D1709" s="9" t="inlineStr">
        <is>
          <t>Infinitive / -ing form</t>
        </is>
      </c>
      <c r="E1709" s="23" t="inlineStr">
        <is>
          <t>to-infinitive: после прилагательных (happy, eager, kind, lucky…); It was kind of you to…</t>
        </is>
      </c>
      <c r="F1709" s="25" t="inlineStr">
        <is>
          <t>повторение</t>
        </is>
      </c>
      <c r="G1709" s="9" t="inlineStr"/>
      <c r="H1709" s="25" t="inlineStr">
        <is>
          <t>10+</t>
        </is>
      </c>
      <c r="I1709" s="9">
        <f>IFERROR(INDEX('Темы × классы'!$R:$R,MATCH(E1709,'Темы × классы'!$E:$E,0)),"")</f>
        <v/>
      </c>
      <c r="J1709" s="9">
        <f>IFERROR(INDEX('Темы × классы'!$S:$S,MATCH(E1709,'Темы × классы'!$E:$E,0))&amp;"","")</f>
        <v/>
      </c>
      <c r="K1709" s="9" t="inlineStr">
        <is>
          <t>не начат</t>
        </is>
      </c>
      <c r="L1709" s="9" t="inlineStr">
        <is>
          <t>Spotlight / 11 класс / Module 3 · Responsibility / Infinitive / -ing form / to-infinitive: после прилагательных (happy, eager, kind, lucky…); It was kind of you to…</t>
        </is>
      </c>
    </row>
    <row r="1710">
      <c r="A1710" s="25" t="n">
        <v>11</v>
      </c>
      <c r="B1710" s="9" t="inlineStr">
        <is>
          <t>Module 3 · Responsibility</t>
        </is>
      </c>
      <c r="C1710" s="9" t="inlineStr">
        <is>
          <t>3c</t>
        </is>
      </c>
      <c r="D1710" s="9" t="inlineStr">
        <is>
          <t>Infinitive / -ing form</t>
        </is>
      </c>
      <c r="E1710" s="23" t="inlineStr">
        <is>
          <t>to-infinitive: после too/enough</t>
        </is>
      </c>
      <c r="F1710" s="25" t="inlineStr">
        <is>
          <t>повторение</t>
        </is>
      </c>
      <c r="G1710" s="9" t="inlineStr"/>
      <c r="H1710" s="25" t="inlineStr">
        <is>
          <t>10+</t>
        </is>
      </c>
      <c r="I1710" s="9">
        <f>IFERROR(INDEX('Темы × классы'!$R:$R,MATCH(E1710,'Темы × классы'!$E:$E,0)),"")</f>
        <v/>
      </c>
      <c r="J1710" s="9">
        <f>IFERROR(INDEX('Темы × классы'!$S:$S,MATCH(E1710,'Темы × классы'!$E:$E,0))&amp;"","")</f>
        <v/>
      </c>
      <c r="K1710" s="9" t="inlineStr">
        <is>
          <t>не начат</t>
        </is>
      </c>
      <c r="L1710" s="9" t="inlineStr">
        <is>
          <t>Spotlight / 11 класс / Module 3 · Responsibility / Infinitive / -ing form / to-infinitive: после too/enough</t>
        </is>
      </c>
    </row>
    <row r="1711">
      <c r="A1711" s="25" t="n">
        <v>11</v>
      </c>
      <c r="B1711" s="9" t="inlineStr">
        <is>
          <t>Module 3 · Responsibility</t>
        </is>
      </c>
      <c r="C1711" s="9" t="inlineStr">
        <is>
          <t>3c</t>
        </is>
      </c>
      <c r="D1711" s="9" t="inlineStr">
        <is>
          <t>Infinitive / -ing form</t>
        </is>
      </c>
      <c r="E1711" s="23" t="inlineStr">
        <is>
          <t>to-infinitive: после be the first/next/last</t>
        </is>
      </c>
      <c r="F1711" s="25" t="inlineStr">
        <is>
          <t>повторение</t>
        </is>
      </c>
      <c r="G1711" s="9" t="inlineStr"/>
      <c r="H1711" s="25" t="inlineStr">
        <is>
          <t>10+</t>
        </is>
      </c>
      <c r="I1711" s="9">
        <f>IFERROR(INDEX('Темы × классы'!$R:$R,MATCH(E1711,'Темы × классы'!$E:$E,0)),"")</f>
        <v/>
      </c>
      <c r="J1711" s="9">
        <f>IFERROR(INDEX('Темы × классы'!$S:$S,MATCH(E1711,'Темы × классы'!$E:$E,0))&amp;"","")</f>
        <v/>
      </c>
      <c r="K1711" s="9" t="inlineStr">
        <is>
          <t>не начат</t>
        </is>
      </c>
      <c r="L1711" s="9" t="inlineStr">
        <is>
          <t>Spotlight / 11 класс / Module 3 · Responsibility / Infinitive / -ing form / to-infinitive: после be the first/next/last</t>
        </is>
      </c>
    </row>
    <row r="1712">
      <c r="A1712" s="25" t="n">
        <v>11</v>
      </c>
      <c r="B1712" s="9" t="inlineStr">
        <is>
          <t>Module 3 · Responsibility</t>
        </is>
      </c>
      <c r="C1712" s="9" t="inlineStr">
        <is>
          <t>3c</t>
        </is>
      </c>
      <c r="D1712" s="9" t="inlineStr">
        <is>
          <t>Infinitive / -ing form</t>
        </is>
      </c>
      <c r="E1712" s="23" t="inlineStr">
        <is>
          <t>to-infinitive: устойчивые выражения (to tell you the truth, to be honest, to sum up…)</t>
        </is>
      </c>
      <c r="F1712" s="25" t="inlineStr">
        <is>
          <t>повторение</t>
        </is>
      </c>
      <c r="G1712" s="9" t="inlineStr"/>
      <c r="H1712" s="25" t="inlineStr">
        <is>
          <t>10+</t>
        </is>
      </c>
      <c r="I1712" s="9">
        <f>IFERROR(INDEX('Темы × классы'!$R:$R,MATCH(E1712,'Темы × классы'!$E:$E,0)),"")</f>
        <v/>
      </c>
      <c r="J1712" s="9">
        <f>IFERROR(INDEX('Темы × классы'!$S:$S,MATCH(E1712,'Темы × классы'!$E:$E,0))&amp;"","")</f>
        <v/>
      </c>
      <c r="K1712" s="9" t="inlineStr">
        <is>
          <t>не начат</t>
        </is>
      </c>
      <c r="L1712" s="9" t="inlineStr">
        <is>
          <t>Spotlight / 11 класс / Module 3 · Responsibility / Infinitive / -ing form / to-infinitive: устойчивые выражения (to tell you the truth, to be honest, to sum up…)</t>
        </is>
      </c>
    </row>
    <row r="1713">
      <c r="A1713" s="25" t="n">
        <v>11</v>
      </c>
      <c r="B1713" s="9" t="inlineStr">
        <is>
          <t>Module 3 · Responsibility</t>
        </is>
      </c>
      <c r="C1713" s="9" t="inlineStr">
        <is>
          <t>3c</t>
        </is>
      </c>
      <c r="D1713" s="9" t="inlineStr">
        <is>
          <t>Infinitive / -ing form</t>
        </is>
      </c>
      <c r="E1713" s="23" t="inlineStr">
        <is>
          <t>to-infinitive: вопросительное слово + to-inf (when to go)</t>
        </is>
      </c>
      <c r="F1713" s="25" t="inlineStr">
        <is>
          <t>повторение</t>
        </is>
      </c>
      <c r="G1713" s="9" t="inlineStr"/>
      <c r="H1713" s="25" t="inlineStr">
        <is>
          <t>10+</t>
        </is>
      </c>
      <c r="I1713" s="9">
        <f>IFERROR(INDEX('Темы × классы'!$R:$R,MATCH(E1713,'Темы × классы'!$E:$E,0)),"")</f>
        <v/>
      </c>
      <c r="J1713" s="9">
        <f>IFERROR(INDEX('Темы × классы'!$S:$S,MATCH(E1713,'Темы × классы'!$E:$E,0))&amp;"","")</f>
        <v/>
      </c>
      <c r="K1713" s="9" t="inlineStr">
        <is>
          <t>не начат</t>
        </is>
      </c>
      <c r="L1713" s="9" t="inlineStr">
        <is>
          <t>Spotlight / 11 класс / Module 3 · Responsibility / Infinitive / -ing form / to-infinitive: вопросительное слово + to-inf (when to go)</t>
        </is>
      </c>
    </row>
    <row r="1714">
      <c r="A1714" s="25" t="n">
        <v>11</v>
      </c>
      <c r="B1714" s="9" t="inlineStr">
        <is>
          <t>Module 3 · Responsibility</t>
        </is>
      </c>
      <c r="C1714" s="9" t="inlineStr">
        <is>
          <t>3c</t>
        </is>
      </c>
      <c r="D1714" s="9" t="inlineStr">
        <is>
          <t>Infinitive / -ing form</t>
        </is>
      </c>
      <c r="E1714" s="23" t="inlineStr">
        <is>
          <t>to-infinitive: после существительных; so + adj + as to; only + to-inf; for + sb + to-inf</t>
        </is>
      </c>
      <c r="F1714" s="25" t="inlineStr">
        <is>
          <t>повторение</t>
        </is>
      </c>
      <c r="G1714" s="9" t="inlineStr"/>
      <c r="H1714" s="25" t="inlineStr">
        <is>
          <t>10+</t>
        </is>
      </c>
      <c r="I1714" s="9">
        <f>IFERROR(INDEX('Темы × классы'!$R:$R,MATCH(E1714,'Темы × классы'!$E:$E,0)),"")</f>
        <v/>
      </c>
      <c r="J1714" s="9">
        <f>IFERROR(INDEX('Темы × классы'!$S:$S,MATCH(E1714,'Темы × классы'!$E:$E,0))&amp;"","")</f>
        <v/>
      </c>
      <c r="K1714" s="9" t="inlineStr">
        <is>
          <t>не начат</t>
        </is>
      </c>
      <c r="L1714" s="9" t="inlineStr">
        <is>
          <t>Spotlight / 11 класс / Module 3 · Responsibility / Infinitive / -ing form / to-infinitive: после существительных; so + adj + as to; only + to-inf; for + sb + to-inf</t>
        </is>
      </c>
    </row>
    <row r="1715">
      <c r="A1715" s="25" t="n">
        <v>11</v>
      </c>
      <c r="B1715" s="9" t="inlineStr">
        <is>
          <t>Module 3 · Responsibility</t>
        </is>
      </c>
      <c r="C1715" s="9" t="inlineStr">
        <is>
          <t>3c</t>
        </is>
      </c>
      <c r="D1715" s="9" t="inlineStr">
        <is>
          <t>Infinitive / -ing form</t>
        </is>
      </c>
      <c r="E1715" s="23" t="inlineStr">
        <is>
          <t>to-infinitive: второй инфинитив после and/or без to</t>
        </is>
      </c>
      <c r="F1715" s="25" t="inlineStr">
        <is>
          <t>повторение</t>
        </is>
      </c>
      <c r="G1715" s="9" t="inlineStr"/>
      <c r="H1715" s="25" t="inlineStr">
        <is>
          <t>10+</t>
        </is>
      </c>
      <c r="I1715" s="9">
        <f>IFERROR(INDEX('Темы × классы'!$R:$R,MATCH(E1715,'Темы × классы'!$E:$E,0)),"")</f>
        <v/>
      </c>
      <c r="J1715" s="9">
        <f>IFERROR(INDEX('Темы × классы'!$S:$S,MATCH(E1715,'Темы × классы'!$E:$E,0))&amp;"","")</f>
        <v/>
      </c>
      <c r="K1715" s="9" t="inlineStr">
        <is>
          <t>не начат</t>
        </is>
      </c>
      <c r="L1715" s="9" t="inlineStr">
        <is>
          <t>Spotlight / 11 класс / Module 3 · Responsibility / Infinitive / -ing form / to-infinitive: второй инфинитив после and/or без to</t>
        </is>
      </c>
    </row>
    <row r="1716">
      <c r="A1716" s="25" t="n">
        <v>11</v>
      </c>
      <c r="B1716" s="9" t="inlineStr">
        <is>
          <t>Module 3 · Responsibility</t>
        </is>
      </c>
      <c r="C1716" s="9" t="inlineStr">
        <is>
          <t>3c</t>
        </is>
      </c>
      <c r="D1716" s="9" t="inlineStr">
        <is>
          <t>Infinitive / -ing form</t>
        </is>
      </c>
      <c r="E1716" s="23" t="inlineStr">
        <is>
          <t>to-infinitive: dare — с to и без</t>
        </is>
      </c>
      <c r="F1716" s="25" t="inlineStr">
        <is>
          <t>повторение</t>
        </is>
      </c>
      <c r="G1716" s="9" t="inlineStr"/>
      <c r="H1716" s="25" t="inlineStr">
        <is>
          <t>10+</t>
        </is>
      </c>
      <c r="I1716" s="9">
        <f>IFERROR(INDEX('Темы × классы'!$R:$R,MATCH(E1716,'Темы × классы'!$E:$E,0)),"")</f>
        <v/>
      </c>
      <c r="J1716" s="9">
        <f>IFERROR(INDEX('Темы × классы'!$S:$S,MATCH(E1716,'Темы × классы'!$E:$E,0))&amp;"","")</f>
        <v/>
      </c>
      <c r="K1716" s="9" t="inlineStr">
        <is>
          <t>не начат</t>
        </is>
      </c>
      <c r="L1716" s="9" t="inlineStr">
        <is>
          <t>Spotlight / 11 класс / Module 3 · Responsibility / Infinitive / -ing form / to-infinitive: dare — с to и без</t>
        </is>
      </c>
    </row>
    <row r="1717">
      <c r="A1717" s="25" t="n">
        <v>11</v>
      </c>
      <c r="B1717" s="9" t="inlineStr">
        <is>
          <t>Module 3 · Responsibility</t>
        </is>
      </c>
      <c r="C1717" s="9" t="inlineStr">
        <is>
          <t>3c</t>
        </is>
      </c>
      <c r="D1717" s="9" t="inlineStr">
        <is>
          <t>Infinitive / -ing form</t>
        </is>
      </c>
      <c r="E1717" s="23" t="inlineStr">
        <is>
          <t>Bare infinitive: после модальных, had better, would rather</t>
        </is>
      </c>
      <c r="F1717" s="25" t="inlineStr">
        <is>
          <t>повторение</t>
        </is>
      </c>
      <c r="G1717" s="9" t="inlineStr"/>
      <c r="H1717" s="25" t="inlineStr">
        <is>
          <t>10+</t>
        </is>
      </c>
      <c r="I1717" s="9">
        <f>IFERROR(INDEX('Темы × классы'!$R:$R,MATCH(E1717,'Темы × классы'!$E:$E,0)),"")</f>
        <v/>
      </c>
      <c r="J1717" s="9">
        <f>IFERROR(INDEX('Темы × классы'!$S:$S,MATCH(E1717,'Темы × классы'!$E:$E,0))&amp;"","")</f>
        <v/>
      </c>
      <c r="K1717" s="9" t="inlineStr">
        <is>
          <t>не начат</t>
        </is>
      </c>
      <c r="L1717" s="9" t="inlineStr">
        <is>
          <t>Spotlight / 11 класс / Module 3 · Responsibility / Infinitive / -ing form / Bare infinitive: после модальных, had better, would rather</t>
        </is>
      </c>
    </row>
    <row r="1718">
      <c r="A1718" s="25" t="n">
        <v>11</v>
      </c>
      <c r="B1718" s="9" t="inlineStr">
        <is>
          <t>Module 3 · Responsibility</t>
        </is>
      </c>
      <c r="C1718" s="9" t="inlineStr">
        <is>
          <t>3c</t>
        </is>
      </c>
      <c r="D1718" s="9" t="inlineStr">
        <is>
          <t>Infinitive / -ing form</t>
        </is>
      </c>
      <c r="E1718" s="23" t="inlineStr">
        <is>
          <t>Bare infinitive: let/make/see/hear/feel + object + V; в пассиве + to (was made to)</t>
        </is>
      </c>
      <c r="F1718" s="25" t="inlineStr">
        <is>
          <t>повторение</t>
        </is>
      </c>
      <c r="G1718" s="9" t="inlineStr"/>
      <c r="H1718" s="25" t="inlineStr">
        <is>
          <t>10+</t>
        </is>
      </c>
      <c r="I1718" s="9">
        <f>IFERROR(INDEX('Темы × классы'!$R:$R,MATCH(E1718,'Темы × классы'!$E:$E,0)),"")</f>
        <v/>
      </c>
      <c r="J1718" s="9">
        <f>IFERROR(INDEX('Темы × классы'!$S:$S,MATCH(E1718,'Темы × классы'!$E:$E,0))&amp;"","")</f>
        <v/>
      </c>
      <c r="K1718" s="9" t="inlineStr">
        <is>
          <t>не начат</t>
        </is>
      </c>
      <c r="L1718" s="9" t="inlineStr">
        <is>
          <t>Spotlight / 11 класс / Module 3 · Responsibility / Infinitive / -ing form / Bare infinitive: let/make/see/hear/feel + object + V; в пассиве + to (was made to)</t>
        </is>
      </c>
    </row>
    <row r="1719">
      <c r="A1719" s="25" t="n">
        <v>11</v>
      </c>
      <c r="B1719" s="9" t="inlineStr">
        <is>
          <t>Module 3 · Responsibility</t>
        </is>
      </c>
      <c r="C1719" s="9" t="inlineStr">
        <is>
          <t>3c</t>
        </is>
      </c>
      <c r="D1719" s="9" t="inlineStr">
        <is>
          <t>Infinitive / -ing form</t>
        </is>
      </c>
      <c r="E1719" s="23" t="inlineStr">
        <is>
          <t>Bare infinitive: help + (to) V</t>
        </is>
      </c>
      <c r="F1719" s="25" t="inlineStr">
        <is>
          <t>повторение</t>
        </is>
      </c>
      <c r="G1719" s="9" t="inlineStr"/>
      <c r="H1719" s="25" t="inlineStr">
        <is>
          <t>10+</t>
        </is>
      </c>
      <c r="I1719" s="9">
        <f>IFERROR(INDEX('Темы × классы'!$R:$R,MATCH(E1719,'Темы × классы'!$E:$E,0)),"")</f>
        <v/>
      </c>
      <c r="J1719" s="9">
        <f>IFERROR(INDEX('Темы × классы'!$S:$S,MATCH(E1719,'Темы × классы'!$E:$E,0))&amp;"","")</f>
        <v/>
      </c>
      <c r="K1719" s="9" t="inlineStr">
        <is>
          <t>не начат</t>
        </is>
      </c>
      <c r="L1719" s="9" t="inlineStr">
        <is>
          <t>Spotlight / 11 класс / Module 3 · Responsibility / Infinitive / -ing form / Bare infinitive: help + (to) V</t>
        </is>
      </c>
    </row>
    <row r="1720">
      <c r="A1720" s="25" t="n">
        <v>11</v>
      </c>
      <c r="B1720" s="9" t="inlineStr">
        <is>
          <t>Module 3 · Responsibility</t>
        </is>
      </c>
      <c r="C1720" s="9" t="inlineStr">
        <is>
          <t>3c</t>
        </is>
      </c>
      <c r="D1720" s="9" t="inlineStr">
        <is>
          <t>Infinitive / -ing form (difference in meaning)</t>
        </is>
      </c>
      <c r="E1720" s="23" t="inlineStr">
        <is>
          <t>Infinitive vs -ing: forget/remember</t>
        </is>
      </c>
      <c r="F1720" s="25" t="inlineStr">
        <is>
          <t>повторение</t>
        </is>
      </c>
      <c r="G1720" s="9" t="inlineStr"/>
      <c r="H1720" s="25" t="inlineStr">
        <is>
          <t>10+</t>
        </is>
      </c>
      <c r="I1720" s="9">
        <f>IFERROR(INDEX('Темы × классы'!$R:$R,MATCH(E1720,'Темы × классы'!$E:$E,0)),"")</f>
        <v/>
      </c>
      <c r="J1720" s="9">
        <f>IFERROR(INDEX('Темы × классы'!$S:$S,MATCH(E1720,'Темы × классы'!$E:$E,0))&amp;"","")</f>
        <v/>
      </c>
      <c r="K1720" s="9" t="inlineStr">
        <is>
          <t>не начат</t>
        </is>
      </c>
      <c r="L1720" s="9" t="inlineStr">
        <is>
          <t>Spotlight / 11 класс / Module 3 · Responsibility / Infinitive / -ing form (difference in meaning) / Infinitive vs -ing: forget/remember</t>
        </is>
      </c>
    </row>
    <row r="1721">
      <c r="A1721" s="25" t="n">
        <v>11</v>
      </c>
      <c r="B1721" s="9" t="inlineStr">
        <is>
          <t>Module 3 · Responsibility</t>
        </is>
      </c>
      <c r="C1721" s="9" t="inlineStr">
        <is>
          <t>3c</t>
        </is>
      </c>
      <c r="D1721" s="9" t="inlineStr">
        <is>
          <t>Infinitive / -ing form (difference in meaning)</t>
        </is>
      </c>
      <c r="E1721" s="23" t="inlineStr">
        <is>
          <t>Infinitive vs -ing: stop</t>
        </is>
      </c>
      <c r="F1721" s="25" t="inlineStr">
        <is>
          <t>повторение</t>
        </is>
      </c>
      <c r="G1721" s="9" t="inlineStr"/>
      <c r="H1721" s="25" t="inlineStr">
        <is>
          <t>10+</t>
        </is>
      </c>
      <c r="I1721" s="9">
        <f>IFERROR(INDEX('Темы × классы'!$R:$R,MATCH(E1721,'Темы × классы'!$E:$E,0)),"")</f>
        <v/>
      </c>
      <c r="J1721" s="9">
        <f>IFERROR(INDEX('Темы × классы'!$S:$S,MATCH(E1721,'Темы × классы'!$E:$E,0))&amp;"","")</f>
        <v/>
      </c>
      <c r="K1721" s="9" t="inlineStr">
        <is>
          <t>не начат</t>
        </is>
      </c>
      <c r="L1721" s="9" t="inlineStr">
        <is>
          <t>Spotlight / 11 класс / Module 3 · Responsibility / Infinitive / -ing form (difference in meaning) / Infinitive vs -ing: stop</t>
        </is>
      </c>
    </row>
    <row r="1722">
      <c r="A1722" s="25" t="n">
        <v>11</v>
      </c>
      <c r="B1722" s="9" t="inlineStr">
        <is>
          <t>Module 3 · Responsibility</t>
        </is>
      </c>
      <c r="C1722" s="9" t="inlineStr">
        <is>
          <t>3c</t>
        </is>
      </c>
      <c r="D1722" s="9" t="inlineStr">
        <is>
          <t>Infinitive / -ing form (difference in meaning)</t>
        </is>
      </c>
      <c r="E1722" s="23" t="inlineStr">
        <is>
          <t>Infinitive vs -ing: try</t>
        </is>
      </c>
      <c r="F1722" s="25" t="inlineStr">
        <is>
          <t>повторение</t>
        </is>
      </c>
      <c r="G1722" s="9" t="inlineStr"/>
      <c r="H1722" s="25" t="inlineStr">
        <is>
          <t>10+</t>
        </is>
      </c>
      <c r="I1722" s="9">
        <f>IFERROR(INDEX('Темы × классы'!$R:$R,MATCH(E1722,'Темы × классы'!$E:$E,0)),"")</f>
        <v/>
      </c>
      <c r="J1722" s="9">
        <f>IFERROR(INDEX('Темы × классы'!$S:$S,MATCH(E1722,'Темы × классы'!$E:$E,0))&amp;"","")</f>
        <v/>
      </c>
      <c r="K1722" s="9" t="inlineStr">
        <is>
          <t>не начат</t>
        </is>
      </c>
      <c r="L1722" s="9" t="inlineStr">
        <is>
          <t>Spotlight / 11 класс / Module 3 · Responsibility / Infinitive / -ing form (difference in meaning) / Infinitive vs -ing: try</t>
        </is>
      </c>
    </row>
    <row r="1723">
      <c r="A1723" s="25" t="n">
        <v>11</v>
      </c>
      <c r="B1723" s="9" t="inlineStr">
        <is>
          <t>Module 3 · Responsibility</t>
        </is>
      </c>
      <c r="C1723" s="9" t="inlineStr">
        <is>
          <t>3c</t>
        </is>
      </c>
      <c r="D1723" s="9" t="inlineStr">
        <is>
          <t>Infinitive / -ing form (difference in meaning)</t>
        </is>
      </c>
      <c r="E1723" s="23" t="inlineStr">
        <is>
          <t>Infinitive vs -ing: regret</t>
        </is>
      </c>
      <c r="F1723" s="25" t="inlineStr">
        <is>
          <t>повторение</t>
        </is>
      </c>
      <c r="G1723" s="9" t="inlineStr"/>
      <c r="H1723" s="25" t="inlineStr">
        <is>
          <t>10+</t>
        </is>
      </c>
      <c r="I1723" s="9">
        <f>IFERROR(INDEX('Темы × классы'!$R:$R,MATCH(E1723,'Темы × классы'!$E:$E,0)),"")</f>
        <v/>
      </c>
      <c r="J1723" s="9">
        <f>IFERROR(INDEX('Темы × классы'!$S:$S,MATCH(E1723,'Темы × классы'!$E:$E,0))&amp;"","")</f>
        <v/>
      </c>
      <c r="K1723" s="9" t="inlineStr">
        <is>
          <t>не начат</t>
        </is>
      </c>
      <c r="L1723" s="9" t="inlineStr">
        <is>
          <t>Spotlight / 11 класс / Module 3 · Responsibility / Infinitive / -ing form (difference in meaning) / Infinitive vs -ing: regret</t>
        </is>
      </c>
    </row>
    <row r="1724">
      <c r="A1724" s="25" t="n">
        <v>11</v>
      </c>
      <c r="B1724" s="9" t="inlineStr">
        <is>
          <t>Module 3 · Responsibility</t>
        </is>
      </c>
      <c r="C1724" s="9" t="inlineStr">
        <is>
          <t>3c</t>
        </is>
      </c>
      <c r="D1724" s="9" t="inlineStr">
        <is>
          <t>Infinitive / -ing form (difference in meaning)</t>
        </is>
      </c>
      <c r="E1724" s="23" t="inlineStr">
        <is>
          <t>Infinitive vs -ing: mean</t>
        </is>
      </c>
      <c r="F1724" s="25" t="inlineStr">
        <is>
          <t>повторение</t>
        </is>
      </c>
      <c r="G1724" s="9" t="inlineStr"/>
      <c r="H1724" s="25" t="inlineStr">
        <is>
          <t>10+</t>
        </is>
      </c>
      <c r="I1724" s="9">
        <f>IFERROR(INDEX('Темы × классы'!$R:$R,MATCH(E1724,'Темы × классы'!$E:$E,0)),"")</f>
        <v/>
      </c>
      <c r="J1724" s="9">
        <f>IFERROR(INDEX('Темы × классы'!$S:$S,MATCH(E1724,'Темы × классы'!$E:$E,0))&amp;"","")</f>
        <v/>
      </c>
      <c r="K1724" s="9" t="inlineStr">
        <is>
          <t>не начат</t>
        </is>
      </c>
      <c r="L1724" s="9" t="inlineStr">
        <is>
          <t>Spotlight / 11 класс / Module 3 · Responsibility / Infinitive / -ing form (difference in meaning) / Infinitive vs -ing: mean</t>
        </is>
      </c>
    </row>
    <row r="1725">
      <c r="A1725" s="25" t="n">
        <v>11</v>
      </c>
      <c r="B1725" s="9" t="inlineStr">
        <is>
          <t>Module 3 · Responsibility</t>
        </is>
      </c>
      <c r="C1725" s="9" t="inlineStr">
        <is>
          <t>3c</t>
        </is>
      </c>
      <c r="D1725" s="9" t="inlineStr">
        <is>
          <t>Infinitive / -ing form (difference in meaning)</t>
        </is>
      </c>
      <c r="E1725" s="23" t="inlineStr">
        <is>
          <t>Infinitive vs -ing: go on</t>
        </is>
      </c>
      <c r="F1725" s="25" t="inlineStr">
        <is>
          <t>повторение</t>
        </is>
      </c>
      <c r="G1725" s="9" t="inlineStr"/>
      <c r="H1725" s="25" t="inlineStr">
        <is>
          <t>10+</t>
        </is>
      </c>
      <c r="I1725" s="9">
        <f>IFERROR(INDEX('Темы × классы'!$R:$R,MATCH(E1725,'Темы × классы'!$E:$E,0)),"")</f>
        <v/>
      </c>
      <c r="J1725" s="9">
        <f>IFERROR(INDEX('Темы × классы'!$S:$S,MATCH(E1725,'Темы × классы'!$E:$E,0))&amp;"","")</f>
        <v/>
      </c>
      <c r="K1725" s="9" t="inlineStr">
        <is>
          <t>не начат</t>
        </is>
      </c>
      <c r="L1725" s="9" t="inlineStr">
        <is>
          <t>Spotlight / 11 класс / Module 3 · Responsibility / Infinitive / -ing form (difference in meaning) / Infinitive vs -ing: go on</t>
        </is>
      </c>
    </row>
    <row r="1726">
      <c r="A1726" s="25" t="n">
        <v>11</v>
      </c>
      <c r="B1726" s="9" t="inlineStr">
        <is>
          <t>Module 3 · Responsibility</t>
        </is>
      </c>
      <c r="C1726" s="9" t="inlineStr">
        <is>
          <t>3c</t>
        </is>
      </c>
      <c r="D1726" s="9" t="inlineStr">
        <is>
          <t>Infinitive / -ing form (difference in meaning)</t>
        </is>
      </c>
      <c r="E1726" s="23" t="inlineStr">
        <is>
          <t>Infinitive vs -ing: hate</t>
        </is>
      </c>
      <c r="F1726" s="25" t="inlineStr">
        <is>
          <t>повторение</t>
        </is>
      </c>
      <c r="G1726" s="9" t="inlineStr"/>
      <c r="H1726" s="25" t="inlineStr">
        <is>
          <t>10+</t>
        </is>
      </c>
      <c r="I1726" s="9">
        <f>IFERROR(INDEX('Темы × классы'!$R:$R,MATCH(E1726,'Темы × классы'!$E:$E,0)),"")</f>
        <v/>
      </c>
      <c r="J1726" s="9">
        <f>IFERROR(INDEX('Темы × классы'!$S:$S,MATCH(E1726,'Темы × классы'!$E:$E,0))&amp;"","")</f>
        <v/>
      </c>
      <c r="K1726" s="9" t="inlineStr">
        <is>
          <t>не начат</t>
        </is>
      </c>
      <c r="L1726" s="9" t="inlineStr">
        <is>
          <t>Spotlight / 11 класс / Module 3 · Responsibility / Infinitive / -ing form (difference in meaning) / Infinitive vs -ing: hate</t>
        </is>
      </c>
    </row>
    <row r="1727">
      <c r="A1727" s="25" t="n">
        <v>11</v>
      </c>
      <c r="B1727" s="9" t="inlineStr">
        <is>
          <t>Module 3 · Responsibility</t>
        </is>
      </c>
      <c r="C1727" s="9" t="inlineStr">
        <is>
          <t>3c</t>
        </is>
      </c>
      <c r="D1727" s="9" t="inlineStr">
        <is>
          <t>Infinitive / -ing form (difference in meaning)</t>
        </is>
      </c>
      <c r="E1727" s="23" t="inlineStr">
        <is>
          <t>Infinitive vs -ing: want (My car wants cleaning)</t>
        </is>
      </c>
      <c r="F1727" s="25" t="inlineStr">
        <is>
          <t>повторение</t>
        </is>
      </c>
      <c r="G1727" s="9" t="inlineStr"/>
      <c r="H1727" s="25" t="inlineStr">
        <is>
          <t>10+</t>
        </is>
      </c>
      <c r="I1727" s="9">
        <f>IFERROR(INDEX('Темы × классы'!$R:$R,MATCH(E1727,'Темы × классы'!$E:$E,0)),"")</f>
        <v/>
      </c>
      <c r="J1727" s="9">
        <f>IFERROR(INDEX('Темы × классы'!$S:$S,MATCH(E1727,'Темы × классы'!$E:$E,0))&amp;"","")</f>
        <v/>
      </c>
      <c r="K1727" s="9" t="inlineStr">
        <is>
          <t>не начат</t>
        </is>
      </c>
      <c r="L1727" s="9" t="inlineStr">
        <is>
          <t>Spotlight / 11 класс / Module 3 · Responsibility / Infinitive / -ing form (difference in meaning) / Infinitive vs -ing: want (My car wants cleaning)</t>
        </is>
      </c>
    </row>
    <row r="1728">
      <c r="A1728" s="25" t="n">
        <v>11</v>
      </c>
      <c r="B1728" s="9" t="inlineStr">
        <is>
          <t>Module 3 · Responsibility</t>
        </is>
      </c>
      <c r="C1728" s="9" t="inlineStr">
        <is>
          <t>3c</t>
        </is>
      </c>
      <c r="D1728" s="9" t="inlineStr">
        <is>
          <t>Infinitive / -ing form (difference in meaning)</t>
        </is>
      </c>
      <c r="E1728" s="23" t="inlineStr">
        <is>
          <t>Infinitive vs -ing: be sorry to / for -ing; be afraid to / of -ing</t>
        </is>
      </c>
      <c r="F1728" s="25" t="inlineStr">
        <is>
          <t>повторение</t>
        </is>
      </c>
      <c r="G1728" s="9" t="inlineStr"/>
      <c r="H1728" s="25" t="inlineStr">
        <is>
          <t>10+</t>
        </is>
      </c>
      <c r="I1728" s="9">
        <f>IFERROR(INDEX('Темы × классы'!$R:$R,MATCH(E1728,'Темы × классы'!$E:$E,0)),"")</f>
        <v/>
      </c>
      <c r="J1728" s="9">
        <f>IFERROR(INDEX('Темы × классы'!$S:$S,MATCH(E1728,'Темы × классы'!$E:$E,0))&amp;"","")</f>
        <v/>
      </c>
      <c r="K1728" s="9" t="inlineStr">
        <is>
          <t>не начат</t>
        </is>
      </c>
      <c r="L1728" s="9" t="inlineStr">
        <is>
          <t>Spotlight / 11 класс / Module 3 · Responsibility / Infinitive / -ing form (difference in meaning) / Infinitive vs -ing: be sorry to / for -ing; be afraid to / of -ing</t>
        </is>
      </c>
    </row>
    <row r="1729">
      <c r="A1729" s="25" t="n">
        <v>11</v>
      </c>
      <c r="B1729" s="9" t="inlineStr">
        <is>
          <t>Module 3 · Responsibility</t>
        </is>
      </c>
      <c r="C1729" s="9" t="inlineStr">
        <is>
          <t>3c</t>
        </is>
      </c>
      <c r="D1729" s="9" t="inlineStr">
        <is>
          <t>Infinitive / -ing form (difference in meaning)</t>
        </is>
      </c>
      <c r="E1729" s="23" t="inlineStr">
        <is>
          <t>Infinitive / -ing без смены значения: begin, start, continue, intend</t>
        </is>
      </c>
      <c r="F1729" s="25" t="inlineStr">
        <is>
          <t>повторение</t>
        </is>
      </c>
      <c r="G1729" s="9" t="inlineStr"/>
      <c r="H1729" s="25" t="inlineStr">
        <is>
          <t>10+</t>
        </is>
      </c>
      <c r="I1729" s="9">
        <f>IFERROR(INDEX('Темы × классы'!$R:$R,MATCH(E1729,'Темы × классы'!$E:$E,0)),"")</f>
        <v/>
      </c>
      <c r="J1729" s="9">
        <f>IFERROR(INDEX('Темы × классы'!$S:$S,MATCH(E1729,'Темы × классы'!$E:$E,0))&amp;"","")</f>
        <v/>
      </c>
      <c r="K1729" s="9" t="inlineStr">
        <is>
          <t>не начат</t>
        </is>
      </c>
      <c r="L1729" s="9" t="inlineStr">
        <is>
          <t>Spotlight / 11 класс / Module 3 · Responsibility / Infinitive / -ing form (difference in meaning) / Infinitive / -ing без смены значения: begin, start, continue, intend</t>
        </is>
      </c>
    </row>
    <row r="1730">
      <c r="A1730" s="25" t="n">
        <v>11</v>
      </c>
      <c r="B1730" s="9" t="inlineStr">
        <is>
          <t>Module 3 · Responsibility</t>
        </is>
      </c>
      <c r="C1730" s="9" t="inlineStr">
        <is>
          <t>3c</t>
        </is>
      </c>
      <c r="D1730" s="9" t="inlineStr">
        <is>
          <t>Infinitive / -ing form (difference in meaning)</t>
        </is>
      </c>
      <c r="E1730" s="23" t="inlineStr">
        <is>
          <t>Infinitive / -ing: advise, allow, encourage, permit, require + object + to-inf / + -ing; в пассиве только to-inf</t>
        </is>
      </c>
      <c r="F1730" s="25" t="inlineStr">
        <is>
          <t>повторение</t>
        </is>
      </c>
      <c r="G1730" s="9" t="inlineStr"/>
      <c r="H1730" s="25" t="inlineStr">
        <is>
          <t>10+</t>
        </is>
      </c>
      <c r="I1730" s="9">
        <f>IFERROR(INDEX('Темы × классы'!$R:$R,MATCH(E1730,'Темы × классы'!$E:$E,0)),"")</f>
        <v/>
      </c>
      <c r="J1730" s="9">
        <f>IFERROR(INDEX('Темы × классы'!$S:$S,MATCH(E1730,'Темы × классы'!$E:$E,0))&amp;"","")</f>
        <v/>
      </c>
      <c r="K1730" s="9" t="inlineStr">
        <is>
          <t>не начат</t>
        </is>
      </c>
      <c r="L1730" s="9" t="inlineStr">
        <is>
          <t>Spotlight / 11 класс / Module 3 · Responsibility / Infinitive / -ing form (difference in meaning) / Infinitive / -ing: advise, allow, encourage, permit, require + object + to-inf / + -ing; в пассиве только to-inf</t>
        </is>
      </c>
    </row>
    <row r="1731">
      <c r="A1731" s="25" t="n">
        <v>11</v>
      </c>
      <c r="B1731" s="9" t="inlineStr">
        <is>
          <t>Module 3 · Responsibility</t>
        </is>
      </c>
      <c r="C1731" s="9" t="inlineStr">
        <is>
          <t>3c</t>
        </is>
      </c>
      <c r="D1731" s="9" t="inlineStr">
        <is>
          <t>Infinitive / -ing form (difference in meaning)</t>
        </is>
      </c>
      <c r="E1731" s="23" t="inlineStr">
        <is>
          <t>Infinitive / -ing: need/require/want + -ing / to be done (пассивное значение)</t>
        </is>
      </c>
      <c r="F1731" s="25" t="inlineStr">
        <is>
          <t>повторение</t>
        </is>
      </c>
      <c r="G1731" s="9" t="inlineStr"/>
      <c r="H1731" s="25" t="inlineStr">
        <is>
          <t>10+</t>
        </is>
      </c>
      <c r="I1731" s="9">
        <f>IFERROR(INDEX('Темы × классы'!$R:$R,MATCH(E1731,'Темы × классы'!$E:$E,0)),"")</f>
        <v/>
      </c>
      <c r="J1731" s="9">
        <f>IFERROR(INDEX('Темы × классы'!$S:$S,MATCH(E1731,'Темы × классы'!$E:$E,0))&amp;"","")</f>
        <v/>
      </c>
      <c r="K1731" s="9" t="inlineStr">
        <is>
          <t>не начат</t>
        </is>
      </c>
      <c r="L1731" s="9" t="inlineStr">
        <is>
          <t>Spotlight / 11 класс / Module 3 · Responsibility / Infinitive / -ing form (difference in meaning) / Infinitive / -ing: need/require/want + -ing / to be done (пассивное значение)</t>
        </is>
      </c>
    </row>
    <row r="1732">
      <c r="A1732" s="25" t="n">
        <v>11</v>
      </c>
      <c r="B1732" s="9" t="inlineStr">
        <is>
          <t>Module 3 · Responsibility</t>
        </is>
      </c>
      <c r="C1732" s="9" t="inlineStr"/>
      <c r="D1732" s="9" t="inlineStr">
        <is>
          <t>Expressing preference (prefer / would rather)</t>
        </is>
      </c>
      <c r="E1732" s="23" t="inlineStr">
        <is>
          <t>Expressing preference: prefer + noun/-ing to noun/-ing — общее предпочтение</t>
        </is>
      </c>
      <c r="F1732" s="25" t="inlineStr">
        <is>
          <t>повторение</t>
        </is>
      </c>
      <c r="G1732" s="9" t="inlineStr"/>
      <c r="H1732" s="25" t="inlineStr">
        <is>
          <t>10+</t>
        </is>
      </c>
      <c r="I1732" s="9">
        <f>IFERROR(INDEX('Темы × классы'!$R:$R,MATCH(E1732,'Темы × классы'!$E:$E,0)),"")</f>
        <v/>
      </c>
      <c r="J1732" s="9">
        <f>IFERROR(INDEX('Темы × классы'!$S:$S,MATCH(E1732,'Темы × классы'!$E:$E,0))&amp;"","")</f>
        <v/>
      </c>
      <c r="K1732" s="9" t="inlineStr">
        <is>
          <t>не начат</t>
        </is>
      </c>
      <c r="L1732" s="9" t="inlineStr">
        <is>
          <t>Spotlight / 11 класс / Module 3 · Responsibility / Expressing preference (prefer / would rather) / Expressing preference: prefer + noun/-ing to noun/-ing — общее предпочтение</t>
        </is>
      </c>
    </row>
    <row r="1733">
      <c r="A1733" s="25" t="n">
        <v>11</v>
      </c>
      <c r="B1733" s="9" t="inlineStr">
        <is>
          <t>Module 3 · Responsibility</t>
        </is>
      </c>
      <c r="C1733" s="9" t="inlineStr"/>
      <c r="D1733" s="9" t="inlineStr">
        <is>
          <t>Expressing preference (prefer / would rather)</t>
        </is>
      </c>
      <c r="E1733" s="23" t="inlineStr">
        <is>
          <t>Expressing preference: prefer + to-inf rather than + bare inf</t>
        </is>
      </c>
      <c r="F1733" s="25" t="inlineStr">
        <is>
          <t>повторение</t>
        </is>
      </c>
      <c r="G1733" s="9" t="inlineStr"/>
      <c r="H1733" s="25" t="inlineStr">
        <is>
          <t>10+</t>
        </is>
      </c>
      <c r="I1733" s="9">
        <f>IFERROR(INDEX('Темы × классы'!$R:$R,MATCH(E1733,'Темы × классы'!$E:$E,0)),"")</f>
        <v/>
      </c>
      <c r="J1733" s="9">
        <f>IFERROR(INDEX('Темы × классы'!$S:$S,MATCH(E1733,'Темы × классы'!$E:$E,0))&amp;"","")</f>
        <v/>
      </c>
      <c r="K1733" s="9" t="inlineStr">
        <is>
          <t>не начат</t>
        </is>
      </c>
      <c r="L1733" s="9" t="inlineStr">
        <is>
          <t>Spotlight / 11 класс / Module 3 · Responsibility / Expressing preference (prefer / would rather) / Expressing preference: prefer + to-inf rather than + bare inf</t>
        </is>
      </c>
    </row>
    <row r="1734">
      <c r="A1734" s="25" t="n">
        <v>11</v>
      </c>
      <c r="B1734" s="9" t="inlineStr">
        <is>
          <t>Module 3 · Responsibility</t>
        </is>
      </c>
      <c r="C1734" s="9" t="inlineStr"/>
      <c r="D1734" s="9" t="inlineStr">
        <is>
          <t>Expressing preference (prefer / would rather)</t>
        </is>
      </c>
      <c r="E1734" s="23" t="inlineStr">
        <is>
          <t>Expressing preference: I'd prefer + to-inf / noun (rather than) — конкретное предпочтение</t>
        </is>
      </c>
      <c r="F1734" s="25" t="inlineStr">
        <is>
          <t>повторение</t>
        </is>
      </c>
      <c r="G1734" s="9" t="inlineStr"/>
      <c r="H1734" s="25" t="inlineStr">
        <is>
          <t>10+</t>
        </is>
      </c>
      <c r="I1734" s="9">
        <f>IFERROR(INDEX('Темы × классы'!$R:$R,MATCH(E1734,'Темы × классы'!$E:$E,0)),"")</f>
        <v/>
      </c>
      <c r="J1734" s="9">
        <f>IFERROR(INDEX('Темы × классы'!$S:$S,MATCH(E1734,'Темы × классы'!$E:$E,0))&amp;"","")</f>
        <v/>
      </c>
      <c r="K1734" s="9" t="inlineStr">
        <is>
          <t>не начат</t>
        </is>
      </c>
      <c r="L1734" s="9" t="inlineStr">
        <is>
          <t>Spotlight / 11 класс / Module 3 · Responsibility / Expressing preference (prefer / would rather) / Expressing preference: I'd prefer + to-inf / noun (rather than) — конкретное предпочтение</t>
        </is>
      </c>
    </row>
    <row r="1735">
      <c r="A1735" s="25" t="n">
        <v>11</v>
      </c>
      <c r="B1735" s="9" t="inlineStr">
        <is>
          <t>Module 3 · Responsibility</t>
        </is>
      </c>
      <c r="C1735" s="9" t="inlineStr"/>
      <c r="D1735" s="9" t="inlineStr">
        <is>
          <t>Expressing preference (prefer / would rather)</t>
        </is>
      </c>
      <c r="E1735" s="23" t="inlineStr">
        <is>
          <t>Expressing preference: I'd rather + bare inf (than + bare inf)</t>
        </is>
      </c>
      <c r="F1735" s="25" t="inlineStr">
        <is>
          <t>повторение</t>
        </is>
      </c>
      <c r="G1735" s="9" t="inlineStr"/>
      <c r="H1735" s="25" t="inlineStr">
        <is>
          <t>10+</t>
        </is>
      </c>
      <c r="I1735" s="9">
        <f>IFERROR(INDEX('Темы × классы'!$R:$R,MATCH(E1735,'Темы × классы'!$E:$E,0)),"")</f>
        <v/>
      </c>
      <c r="J1735" s="9">
        <f>IFERROR(INDEX('Темы × классы'!$S:$S,MATCH(E1735,'Темы × классы'!$E:$E,0))&amp;"","")</f>
        <v/>
      </c>
      <c r="K1735" s="9" t="inlineStr">
        <is>
          <t>не начат</t>
        </is>
      </c>
      <c r="L1735" s="9" t="inlineStr">
        <is>
          <t>Spotlight / 11 класс / Module 3 · Responsibility / Expressing preference (prefer / would rather) / Expressing preference: I'd rather + bare inf (than + bare inf)</t>
        </is>
      </c>
    </row>
    <row r="1736">
      <c r="A1736" s="25" t="n">
        <v>11</v>
      </c>
      <c r="B1736" s="9" t="inlineStr">
        <is>
          <t>Module 3 · Responsibility</t>
        </is>
      </c>
      <c r="C1736" s="9" t="inlineStr">
        <is>
          <t>3c</t>
        </is>
      </c>
      <c r="D1736" s="9" t="inlineStr">
        <is>
          <t>Phrasal verbs</t>
        </is>
      </c>
      <c r="E1736" s="23" t="inlineStr">
        <is>
          <t>Phrasal verbs: keep</t>
        </is>
      </c>
      <c r="F1736" s="25" t="inlineStr">
        <is>
          <t>повторение</t>
        </is>
      </c>
      <c r="G1736" s="9" t="inlineStr">
        <is>
          <t>keep + частицы (English in Use 3c); конкретные частицы в доступных страницах не даны.</t>
        </is>
      </c>
      <c r="H1736" s="25" t="inlineStr">
        <is>
          <t>10+</t>
        </is>
      </c>
      <c r="I1736" s="9">
        <f>IFERROR(INDEX('Темы × классы'!$R:$R,MATCH(E1736,'Темы × классы'!$E:$E,0)),"")</f>
        <v/>
      </c>
      <c r="J1736" s="9">
        <f>IFERROR(INDEX('Темы × классы'!$S:$S,MATCH(E1736,'Темы × классы'!$E:$E,0))&amp;"","")</f>
        <v/>
      </c>
      <c r="K1736" s="9" t="inlineStr">
        <is>
          <t>не начат</t>
        </is>
      </c>
      <c r="L1736" s="9" t="inlineStr">
        <is>
          <t>Spotlight / 11 класс / Module 3 · Responsibility / Phrasal verbs / Phrasal verbs: keep</t>
        </is>
      </c>
    </row>
    <row r="1737">
      <c r="A1737" s="25" t="n">
        <v>11</v>
      </c>
      <c r="B1737" s="9" t="inlineStr">
        <is>
          <t>Module 3 · Responsibility</t>
        </is>
      </c>
      <c r="C1737" s="9" t="inlineStr">
        <is>
          <t>3c</t>
        </is>
      </c>
      <c r="D1737" s="9" t="inlineStr">
        <is>
          <t>Dependent prepositions</t>
        </is>
      </c>
      <c r="E1737" s="23" t="inlineStr">
        <is>
          <t>Dependent prepositions</t>
        </is>
      </c>
      <c r="F1737" s="25" t="inlineStr">
        <is>
          <t>повторение</t>
        </is>
      </c>
      <c r="G1737" s="9" t="inlineStr">
        <is>
          <t>Dependent prepositions (English in Use 3c); конкретные сочетания в доступных страницах не даны. В справочнике М3 (-ing после предлогов): think of, apologise for, object to, look forward to, be used to, in addition to; have difficulty (in), there's no point (in).</t>
        </is>
      </c>
      <c r="H1737" s="25" t="inlineStr">
        <is>
          <t>10+</t>
        </is>
      </c>
      <c r="I1737" s="9">
        <f>IFERROR(INDEX('Темы × классы'!$R:$R,MATCH(E1737,'Темы × классы'!$E:$E,0)),"")</f>
        <v/>
      </c>
      <c r="J1737" s="9">
        <f>IFERROR(INDEX('Темы × классы'!$S:$S,MATCH(E1737,'Темы × классы'!$E:$E,0))&amp;"","")</f>
        <v/>
      </c>
      <c r="K1737" s="9" t="inlineStr">
        <is>
          <t>не начат</t>
        </is>
      </c>
      <c r="L1737" s="9" t="inlineStr">
        <is>
          <t>Spotlight / 11 класс / Module 3 · Responsibility / Dependent prepositions / Dependent prepositions</t>
        </is>
      </c>
    </row>
    <row r="1738">
      <c r="A1738" s="25" t="n">
        <v>11</v>
      </c>
      <c r="B1738" s="9" t="inlineStr">
        <is>
          <t>Module 3 · Responsibility</t>
        </is>
      </c>
      <c r="C1738" s="9" t="inlineStr">
        <is>
          <t>3a</t>
        </is>
      </c>
      <c r="D1738" s="9" t="inlineStr">
        <is>
          <t>Words often confused</t>
        </is>
      </c>
      <c r="E1738" s="23" t="inlineStr">
        <is>
          <t>Words often confused</t>
        </is>
      </c>
      <c r="F1738" s="25" t="inlineStr">
        <is>
          <t>повторение</t>
        </is>
      </c>
      <c r="G1738" s="9" t="inlineStr">
        <is>
          <t>Words often confused (3a, тема crime and the law); конкретные пары в доступных страницах не даны.</t>
        </is>
      </c>
      <c r="H1738" s="25" t="inlineStr">
        <is>
          <t>10+</t>
        </is>
      </c>
      <c r="I1738" s="9">
        <f>IFERROR(INDEX('Темы × классы'!$R:$R,MATCH(E1738,'Темы × классы'!$E:$E,0)),"")</f>
        <v/>
      </c>
      <c r="J1738" s="9">
        <f>IFERROR(INDEX('Темы × классы'!$S:$S,MATCH(E1738,'Темы × классы'!$E:$E,0))&amp;"","")</f>
        <v/>
      </c>
      <c r="K1738" s="9" t="inlineStr">
        <is>
          <t>не начат</t>
        </is>
      </c>
      <c r="L1738" s="9" t="inlineStr">
        <is>
          <t>Spotlight / 11 класс / Module 3 · Responsibility / Words often confused / Words often confused</t>
        </is>
      </c>
    </row>
    <row r="1739">
      <c r="A1739" s="25" t="n">
        <v>11</v>
      </c>
      <c r="B1739" s="9" t="inlineStr">
        <is>
          <t>Module 4 · Danger!</t>
        </is>
      </c>
      <c r="C1739" s="9" t="inlineStr">
        <is>
          <t>4c</t>
        </is>
      </c>
      <c r="D1739" s="9" t="inlineStr">
        <is>
          <t>Causative (have something done)</t>
        </is>
      </c>
      <c r="E1739" s="23" t="inlineStr">
        <is>
          <t>Causative: форма have + object + V3</t>
        </is>
      </c>
      <c r="F1739" s="25" t="inlineStr">
        <is>
          <t>повторение</t>
        </is>
      </c>
      <c r="G1739" s="9" t="inlineStr"/>
      <c r="H1739" s="25" t="inlineStr">
        <is>
          <t>10+</t>
        </is>
      </c>
      <c r="I1739" s="9">
        <f>IFERROR(INDEX('Темы × классы'!$R:$R,MATCH(E1739,'Темы × классы'!$E:$E,0)),"")</f>
        <v/>
      </c>
      <c r="J1739" s="9">
        <f>IFERROR(INDEX('Темы × классы'!$S:$S,MATCH(E1739,'Темы × классы'!$E:$E,0))&amp;"","")</f>
        <v/>
      </c>
      <c r="K1739" s="9" t="inlineStr">
        <is>
          <t>не начат</t>
        </is>
      </c>
      <c r="L1739" s="9" t="inlineStr">
        <is>
          <t>Spotlight / 11 класс / Module 4 · Danger! / Causative (have something done) / Causative: форма have + object + V3</t>
        </is>
      </c>
    </row>
    <row r="1740">
      <c r="A1740" s="25" t="n">
        <v>11</v>
      </c>
      <c r="B1740" s="9" t="inlineStr">
        <is>
          <t>Module 4 · Danger!</t>
        </is>
      </c>
      <c r="C1740" s="9" t="inlineStr">
        <is>
          <t>4c</t>
        </is>
      </c>
      <c r="D1740" s="9" t="inlineStr">
        <is>
          <t>Causative (have something done)</t>
        </is>
      </c>
      <c r="E1740" s="23" t="inlineStr">
        <is>
          <t>Causative: значение — действие выполняет кто-то другой для подлежащего</t>
        </is>
      </c>
      <c r="F1740" s="25" t="inlineStr">
        <is>
          <t>повторение</t>
        </is>
      </c>
      <c r="G1740" s="9" t="inlineStr"/>
      <c r="H1740" s="25" t="inlineStr">
        <is>
          <t>10+</t>
        </is>
      </c>
      <c r="I1740" s="9">
        <f>IFERROR(INDEX('Темы × классы'!$R:$R,MATCH(E1740,'Темы × классы'!$E:$E,0)),"")</f>
        <v/>
      </c>
      <c r="J1740" s="9">
        <f>IFERROR(INDEX('Темы × классы'!$S:$S,MATCH(E1740,'Темы × классы'!$E:$E,0))&amp;"","")</f>
        <v/>
      </c>
      <c r="K1740" s="9" t="inlineStr">
        <is>
          <t>не начат</t>
        </is>
      </c>
      <c r="L1740" s="9" t="inlineStr">
        <is>
          <t>Spotlight / 11 класс / Module 4 · Danger! / Causative (have something done) / Causative: значение — действие выполняет кто-то другой для подлежащего</t>
        </is>
      </c>
    </row>
    <row r="1741">
      <c r="A1741" s="25" t="n">
        <v>11</v>
      </c>
      <c r="B1741" s="9" t="inlineStr">
        <is>
          <t>Module 4 · Danger!</t>
        </is>
      </c>
      <c r="C1741" s="9" t="inlineStr">
        <is>
          <t>4c</t>
        </is>
      </c>
      <c r="D1741" s="9" t="inlineStr">
        <is>
          <t>Causative (have something done)</t>
        </is>
      </c>
      <c r="E1741" s="23" t="inlineStr">
        <is>
          <t>Causative: have sth done в разных временах (Continuous, Perfect, Future)</t>
        </is>
      </c>
      <c r="F1741" s="25" t="inlineStr">
        <is>
          <t>повторение</t>
        </is>
      </c>
      <c r="G1741" s="9" t="inlineStr"/>
      <c r="H1741" s="25" t="inlineStr">
        <is>
          <t>10+</t>
        </is>
      </c>
      <c r="I1741" s="9">
        <f>IFERROR(INDEX('Темы × классы'!$R:$R,MATCH(E1741,'Темы × классы'!$E:$E,0)),"")</f>
        <v/>
      </c>
      <c r="J1741" s="9">
        <f>IFERROR(INDEX('Темы × классы'!$S:$S,MATCH(E1741,'Темы × классы'!$E:$E,0))&amp;"","")</f>
        <v/>
      </c>
      <c r="K1741" s="9" t="inlineStr">
        <is>
          <t>не начат</t>
        </is>
      </c>
      <c r="L1741" s="9" t="inlineStr">
        <is>
          <t>Spotlight / 11 класс / Module 4 · Danger! / Causative (have something done) / Causative: have sth done в разных временах (Continuous, Perfect, Future)</t>
        </is>
      </c>
    </row>
    <row r="1742">
      <c r="A1742" s="25" t="n">
        <v>11</v>
      </c>
      <c r="B1742" s="9" t="inlineStr">
        <is>
          <t>Module 4 · Danger!</t>
        </is>
      </c>
      <c r="C1742" s="9" t="inlineStr">
        <is>
          <t>4c</t>
        </is>
      </c>
      <c r="D1742" s="9" t="inlineStr">
        <is>
          <t>Causative (have something done)</t>
        </is>
      </c>
      <c r="E1742" s="23" t="inlineStr">
        <is>
          <t>Causative: инфинитив, -ing и модальные (to have / having sth done)</t>
        </is>
      </c>
      <c r="F1742" s="25" t="inlineStr">
        <is>
          <t>повторение</t>
        </is>
      </c>
      <c r="G1742" s="9" t="inlineStr"/>
      <c r="H1742" s="25" t="inlineStr">
        <is>
          <t>10+</t>
        </is>
      </c>
      <c r="I1742" s="9">
        <f>IFERROR(INDEX('Темы × классы'!$R:$R,MATCH(E1742,'Темы × классы'!$E:$E,0)),"")</f>
        <v/>
      </c>
      <c r="J1742" s="9">
        <f>IFERROR(INDEX('Темы × классы'!$S:$S,MATCH(E1742,'Темы × классы'!$E:$E,0))&amp;"","")</f>
        <v/>
      </c>
      <c r="K1742" s="9" t="inlineStr">
        <is>
          <t>не начат</t>
        </is>
      </c>
      <c r="L1742" s="9" t="inlineStr">
        <is>
          <t>Spotlight / 11 класс / Module 4 · Danger! / Causative (have something done) / Causative: инфинитив, -ing и модальные (to have / having sth done)</t>
        </is>
      </c>
    </row>
    <row r="1743">
      <c r="A1743" s="25" t="n">
        <v>11</v>
      </c>
      <c r="B1743" s="9" t="inlineStr">
        <is>
          <t>Module 4 · Danger!</t>
        </is>
      </c>
      <c r="C1743" s="9" t="inlineStr">
        <is>
          <t>4c</t>
        </is>
      </c>
      <c r="D1743" s="9" t="inlineStr">
        <is>
          <t>Causative (have something done)</t>
        </is>
      </c>
      <c r="E1743" s="23" t="inlineStr">
        <is>
          <t>Causative: отрицания и вопросы с do/does/did</t>
        </is>
      </c>
      <c r="F1743" s="25" t="inlineStr">
        <is>
          <t>повторение</t>
        </is>
      </c>
      <c r="G1743" s="9" t="inlineStr"/>
      <c r="H1743" s="25" t="inlineStr">
        <is>
          <t>10+</t>
        </is>
      </c>
      <c r="I1743" s="9">
        <f>IFERROR(INDEX('Темы × классы'!$R:$R,MATCH(E1743,'Темы × классы'!$E:$E,0)),"")</f>
        <v/>
      </c>
      <c r="J1743" s="9">
        <f>IFERROR(INDEX('Темы × классы'!$S:$S,MATCH(E1743,'Темы × классы'!$E:$E,0))&amp;"","")</f>
        <v/>
      </c>
      <c r="K1743" s="9" t="inlineStr">
        <is>
          <t>не начат</t>
        </is>
      </c>
      <c r="L1743" s="9" t="inlineStr">
        <is>
          <t>Spotlight / 11 класс / Module 4 · Danger! / Causative (have something done) / Causative: отрицания и вопросы с do/does/did</t>
        </is>
      </c>
    </row>
    <row r="1744">
      <c r="A1744" s="25" t="n">
        <v>11</v>
      </c>
      <c r="B1744" s="9" t="inlineStr">
        <is>
          <t>Module 4 · Danger!</t>
        </is>
      </c>
      <c r="C1744" s="9" t="inlineStr">
        <is>
          <t>4c</t>
        </is>
      </c>
      <c r="D1744" s="9" t="inlineStr">
        <is>
          <t>Causative (have something done)</t>
        </is>
      </c>
      <c r="E1744" s="23" t="inlineStr">
        <is>
          <t>Causative: get sth done вместо have</t>
        </is>
      </c>
      <c r="F1744" s="25" t="inlineStr">
        <is>
          <t>повторение</t>
        </is>
      </c>
      <c r="G1744" s="9" t="inlineStr"/>
      <c r="H1744" s="25" t="inlineStr">
        <is>
          <t>10+</t>
        </is>
      </c>
      <c r="I1744" s="9">
        <f>IFERROR(INDEX('Темы × классы'!$R:$R,MATCH(E1744,'Темы × классы'!$E:$E,0)),"")</f>
        <v/>
      </c>
      <c r="J1744" s="9">
        <f>IFERROR(INDEX('Темы × классы'!$S:$S,MATCH(E1744,'Темы × классы'!$E:$E,0))&amp;"","")</f>
        <v/>
      </c>
      <c r="K1744" s="9" t="inlineStr">
        <is>
          <t>не начат</t>
        </is>
      </c>
      <c r="L1744" s="9" t="inlineStr">
        <is>
          <t>Spotlight / 11 класс / Module 4 · Danger! / Causative (have something done) / Causative: get sth done вместо have</t>
        </is>
      </c>
    </row>
    <row r="1745">
      <c r="A1745" s="25" t="n">
        <v>11</v>
      </c>
      <c r="B1745" s="9" t="inlineStr">
        <is>
          <t>Module 4 · Danger!</t>
        </is>
      </c>
      <c r="C1745" s="9" t="inlineStr">
        <is>
          <t>4c</t>
        </is>
      </c>
      <c r="D1745" s="9" t="inlineStr">
        <is>
          <t>Causative (have something done)</t>
        </is>
      </c>
      <c r="E1745" s="23" t="inlineStr">
        <is>
          <t>Causative: значение — неприятное происшествие (had his car stolen)</t>
        </is>
      </c>
      <c r="F1745" s="25" t="inlineStr">
        <is>
          <t>повторение</t>
        </is>
      </c>
      <c r="G1745" s="9" t="inlineStr"/>
      <c r="H1745" s="25" t="inlineStr">
        <is>
          <t>10+</t>
        </is>
      </c>
      <c r="I1745" s="9">
        <f>IFERROR(INDEX('Темы × классы'!$R:$R,MATCH(E1745,'Темы × классы'!$E:$E,0)),"")</f>
        <v/>
      </c>
      <c r="J1745" s="9">
        <f>IFERROR(INDEX('Темы × классы'!$S:$S,MATCH(E1745,'Темы × классы'!$E:$E,0))&amp;"","")</f>
        <v/>
      </c>
      <c r="K1745" s="9" t="inlineStr">
        <is>
          <t>не начат</t>
        </is>
      </c>
      <c r="L1745" s="9" t="inlineStr">
        <is>
          <t>Spotlight / 11 класс / Module 4 · Danger! / Causative (have something done) / Causative: значение — неприятное происшествие (had his car stolen)</t>
        </is>
      </c>
    </row>
    <row r="1746">
      <c r="A1746" s="25" t="n">
        <v>11</v>
      </c>
      <c r="B1746" s="9" t="inlineStr">
        <is>
          <t>Module 4 · Danger!</t>
        </is>
      </c>
      <c r="C1746" s="9" t="inlineStr">
        <is>
          <t>4c</t>
        </is>
      </c>
      <c r="D1746" s="9" t="inlineStr">
        <is>
          <t>Passive Voice</t>
        </is>
      </c>
      <c r="E1746" s="23" t="inlineStr">
        <is>
          <t>Passive Voice: форма be + V3 — Present Simple и Past Simple</t>
        </is>
      </c>
      <c r="F1746" s="25" t="inlineStr">
        <is>
          <t>повторение</t>
        </is>
      </c>
      <c r="G1746" s="9" t="inlineStr"/>
      <c r="H1746" s="25" t="inlineStr">
        <is>
          <t>10+</t>
        </is>
      </c>
      <c r="I1746" s="9">
        <f>IFERROR(INDEX('Темы × классы'!$R:$R,MATCH(E1746,'Темы × классы'!$E:$E,0)),"")</f>
        <v/>
      </c>
      <c r="J1746" s="9">
        <f>IFERROR(INDEX('Темы × классы'!$S:$S,MATCH(E1746,'Темы × классы'!$E:$E,0))&amp;"","")</f>
        <v/>
      </c>
      <c r="K1746" s="9" t="inlineStr">
        <is>
          <t>не начат</t>
        </is>
      </c>
      <c r="L1746" s="9" t="inlineStr">
        <is>
          <t>Spotlight / 11 класс / Module 4 · Danger! / Passive Voice / Passive Voice: форма be + V3 — Present Simple и Past Simple</t>
        </is>
      </c>
    </row>
    <row r="1747">
      <c r="A1747" s="25" t="n">
        <v>11</v>
      </c>
      <c r="B1747" s="9" t="inlineStr">
        <is>
          <t>Module 4 · Danger!</t>
        </is>
      </c>
      <c r="C1747" s="9" t="inlineStr">
        <is>
          <t>4c</t>
        </is>
      </c>
      <c r="D1747" s="9" t="inlineStr">
        <is>
          <t>Passive Voice</t>
        </is>
      </c>
      <c r="E1747" s="23" t="inlineStr">
        <is>
          <t>Passive Voice: Continuous (is/was being + V3)</t>
        </is>
      </c>
      <c r="F1747" s="25" t="inlineStr">
        <is>
          <t>повторение</t>
        </is>
      </c>
      <c r="G1747" s="9" t="inlineStr"/>
      <c r="H1747" s="25" t="inlineStr">
        <is>
          <t>10+</t>
        </is>
      </c>
      <c r="I1747" s="9">
        <f>IFERROR(INDEX('Темы × классы'!$R:$R,MATCH(E1747,'Темы × классы'!$E:$E,0)),"")</f>
        <v/>
      </c>
      <c r="J1747" s="9">
        <f>IFERROR(INDEX('Темы × классы'!$S:$S,MATCH(E1747,'Темы × классы'!$E:$E,0))&amp;"","")</f>
        <v/>
      </c>
      <c r="K1747" s="9" t="inlineStr">
        <is>
          <t>не начат</t>
        </is>
      </c>
      <c r="L1747" s="9" t="inlineStr">
        <is>
          <t>Spotlight / 11 класс / Module 4 · Danger! / Passive Voice / Passive Voice: Continuous (is/was being + V3)</t>
        </is>
      </c>
    </row>
    <row r="1748">
      <c r="A1748" s="25" t="n">
        <v>11</v>
      </c>
      <c r="B1748" s="9" t="inlineStr">
        <is>
          <t>Module 4 · Danger!</t>
        </is>
      </c>
      <c r="C1748" s="9" t="inlineStr">
        <is>
          <t>4c</t>
        </is>
      </c>
      <c r="D1748" s="9" t="inlineStr">
        <is>
          <t>Passive Voice</t>
        </is>
      </c>
      <c r="E1748" s="23" t="inlineStr">
        <is>
          <t>Passive Voice: Present/Past Perfect (has/had been + V3)</t>
        </is>
      </c>
      <c r="F1748" s="25" t="inlineStr">
        <is>
          <t>повторение</t>
        </is>
      </c>
      <c r="G1748" s="9" t="inlineStr"/>
      <c r="H1748" s="25" t="inlineStr">
        <is>
          <t>10+</t>
        </is>
      </c>
      <c r="I1748" s="9">
        <f>IFERROR(INDEX('Темы × классы'!$R:$R,MATCH(E1748,'Темы × классы'!$E:$E,0)),"")</f>
        <v/>
      </c>
      <c r="J1748" s="9">
        <f>IFERROR(INDEX('Темы × классы'!$S:$S,MATCH(E1748,'Темы × классы'!$E:$E,0))&amp;"","")</f>
        <v/>
      </c>
      <c r="K1748" s="9" t="inlineStr">
        <is>
          <t>не начат</t>
        </is>
      </c>
      <c r="L1748" s="9" t="inlineStr">
        <is>
          <t>Spotlight / 11 класс / Module 4 · Danger! / Passive Voice / Passive Voice: Present/Past Perfect (has/had been + V3)</t>
        </is>
      </c>
    </row>
    <row r="1749">
      <c r="A1749" s="25" t="n">
        <v>11</v>
      </c>
      <c r="B1749" s="9" t="inlineStr">
        <is>
          <t>Module 4 · Danger!</t>
        </is>
      </c>
      <c r="C1749" s="9" t="inlineStr">
        <is>
          <t>4c</t>
        </is>
      </c>
      <c r="D1749" s="9" t="inlineStr">
        <is>
          <t>Passive Voice</t>
        </is>
      </c>
      <c r="E1749" s="23" t="inlineStr">
        <is>
          <t>Passive Voice: Future Simple (will be + V3)</t>
        </is>
      </c>
      <c r="F1749" s="25" t="inlineStr">
        <is>
          <t>повторение</t>
        </is>
      </c>
      <c r="G1749" s="9" t="inlineStr"/>
      <c r="H1749" s="25" t="inlineStr">
        <is>
          <t>10+</t>
        </is>
      </c>
      <c r="I1749" s="9">
        <f>IFERROR(INDEX('Темы × классы'!$R:$R,MATCH(E1749,'Темы × классы'!$E:$E,0)),"")</f>
        <v/>
      </c>
      <c r="J1749" s="9">
        <f>IFERROR(INDEX('Темы × классы'!$S:$S,MATCH(E1749,'Темы × классы'!$E:$E,0))&amp;"","")</f>
        <v/>
      </c>
      <c r="K1749" s="9" t="inlineStr">
        <is>
          <t>не начат</t>
        </is>
      </c>
      <c r="L1749" s="9" t="inlineStr">
        <is>
          <t>Spotlight / 11 класс / Module 4 · Danger! / Passive Voice / Passive Voice: Future Simple (will be + V3)</t>
        </is>
      </c>
    </row>
    <row r="1750">
      <c r="A1750" s="25" t="n">
        <v>11</v>
      </c>
      <c r="B1750" s="9" t="inlineStr">
        <is>
          <t>Module 4 · Danger!</t>
        </is>
      </c>
      <c r="C1750" s="9" t="inlineStr">
        <is>
          <t>4c</t>
        </is>
      </c>
      <c r="D1750" s="9" t="inlineStr">
        <is>
          <t>Passive Voice</t>
        </is>
      </c>
      <c r="E1750" s="23" t="inlineStr">
        <is>
          <t>Passive Voice: Future Perfect (will have been + V3)</t>
        </is>
      </c>
      <c r="F1750" s="25" t="inlineStr">
        <is>
          <t>повторение</t>
        </is>
      </c>
      <c r="G1750" s="9" t="inlineStr"/>
      <c r="H1750" s="25" t="inlineStr">
        <is>
          <t>10+</t>
        </is>
      </c>
      <c r="I1750" s="9">
        <f>IFERROR(INDEX('Темы × классы'!$R:$R,MATCH(E1750,'Темы × классы'!$E:$E,0)),"")</f>
        <v/>
      </c>
      <c r="J1750" s="9">
        <f>IFERROR(INDEX('Темы × классы'!$S:$S,MATCH(E1750,'Темы × классы'!$E:$E,0))&amp;"","")</f>
        <v/>
      </c>
      <c r="K1750" s="9" t="inlineStr">
        <is>
          <t>не начат</t>
        </is>
      </c>
      <c r="L1750" s="9" t="inlineStr">
        <is>
          <t>Spotlight / 11 класс / Module 4 · Danger! / Passive Voice / Passive Voice: Future Perfect (will have been + V3)</t>
        </is>
      </c>
    </row>
    <row r="1751">
      <c r="A1751" s="25" t="n">
        <v>11</v>
      </c>
      <c r="B1751" s="9" t="inlineStr">
        <is>
          <t>Module 4 · Danger!</t>
        </is>
      </c>
      <c r="C1751" s="9" t="inlineStr">
        <is>
          <t>4c</t>
        </is>
      </c>
      <c r="D1751" s="9" t="inlineStr">
        <is>
          <t>Passive Voice</t>
        </is>
      </c>
      <c r="E1751" s="23" t="inlineStr">
        <is>
          <t>Passive Voice: инфинитив и модальные (has to be / can be + V3)</t>
        </is>
      </c>
      <c r="F1751" s="25" t="inlineStr">
        <is>
          <t>повторение</t>
        </is>
      </c>
      <c r="G1751" s="9" t="inlineStr"/>
      <c r="H1751" s="25" t="inlineStr">
        <is>
          <t>10+</t>
        </is>
      </c>
      <c r="I1751" s="9">
        <f>IFERROR(INDEX('Темы × классы'!$R:$R,MATCH(E1751,'Темы × классы'!$E:$E,0)),"")</f>
        <v/>
      </c>
      <c r="J1751" s="9">
        <f>IFERROR(INDEX('Темы × классы'!$S:$S,MATCH(E1751,'Темы × классы'!$E:$E,0))&amp;"","")</f>
        <v/>
      </c>
      <c r="K1751" s="9" t="inlineStr">
        <is>
          <t>не начат</t>
        </is>
      </c>
      <c r="L1751" s="9" t="inlineStr">
        <is>
          <t>Spotlight / 11 класс / Module 4 · Danger! / Passive Voice / Passive Voice: инфинитив и модальные (has to be / can be + V3)</t>
        </is>
      </c>
    </row>
    <row r="1752">
      <c r="A1752" s="25" t="n">
        <v>11</v>
      </c>
      <c r="B1752" s="9" t="inlineStr">
        <is>
          <t>Module 4 · Danger!</t>
        </is>
      </c>
      <c r="C1752" s="9" t="inlineStr">
        <is>
          <t>4c</t>
        </is>
      </c>
      <c r="D1752" s="9" t="inlineStr">
        <is>
          <t>Passive Voice</t>
        </is>
      </c>
      <c r="E1752" s="23" t="inlineStr">
        <is>
          <t>Passive Voice: преобразование active → passive</t>
        </is>
      </c>
      <c r="F1752" s="25" t="inlineStr">
        <is>
          <t>повторение</t>
        </is>
      </c>
      <c r="G1752" s="9" t="inlineStr"/>
      <c r="H1752" s="25" t="inlineStr">
        <is>
          <t>10+</t>
        </is>
      </c>
      <c r="I1752" s="9">
        <f>IFERROR(INDEX('Темы × классы'!$R:$R,MATCH(E1752,'Темы × классы'!$E:$E,0)),"")</f>
        <v/>
      </c>
      <c r="J1752" s="9">
        <f>IFERROR(INDEX('Темы × классы'!$S:$S,MATCH(E1752,'Темы × классы'!$E:$E,0))&amp;"","")</f>
        <v/>
      </c>
      <c r="K1752" s="9" t="inlineStr">
        <is>
          <t>не начат</t>
        </is>
      </c>
      <c r="L1752" s="9" t="inlineStr">
        <is>
          <t>Spotlight / 11 класс / Module 4 · Danger! / Passive Voice / Passive Voice: преобразование active → passive</t>
        </is>
      </c>
    </row>
    <row r="1753">
      <c r="A1753" s="25" t="n">
        <v>11</v>
      </c>
      <c r="B1753" s="9" t="inlineStr">
        <is>
          <t>Module 4 · Danger!</t>
        </is>
      </c>
      <c r="C1753" s="9" t="inlineStr">
        <is>
          <t>4c</t>
        </is>
      </c>
      <c r="D1753" s="9" t="inlineStr">
        <is>
          <t>Passive Voice</t>
        </is>
      </c>
      <c r="E1753" s="23" t="inlineStr">
        <is>
          <t>Passive Voice: значение — исполнитель неизвестен/неважен/очевиден</t>
        </is>
      </c>
      <c r="F1753" s="25" t="inlineStr">
        <is>
          <t>повторение</t>
        </is>
      </c>
      <c r="G1753" s="9" t="inlineStr"/>
      <c r="H1753" s="25" t="inlineStr">
        <is>
          <t>10+</t>
        </is>
      </c>
      <c r="I1753" s="9">
        <f>IFERROR(INDEX('Темы × классы'!$R:$R,MATCH(E1753,'Темы × классы'!$E:$E,0)),"")</f>
        <v/>
      </c>
      <c r="J1753" s="9">
        <f>IFERROR(INDEX('Темы × классы'!$S:$S,MATCH(E1753,'Темы × классы'!$E:$E,0))&amp;"","")</f>
        <v/>
      </c>
      <c r="K1753" s="9" t="inlineStr">
        <is>
          <t>не начат</t>
        </is>
      </c>
      <c r="L1753" s="9" t="inlineStr">
        <is>
          <t>Spotlight / 11 класс / Module 4 · Danger! / Passive Voice / Passive Voice: значение — исполнитель неизвестен/неважен/очевиден</t>
        </is>
      </c>
    </row>
    <row r="1754">
      <c r="A1754" s="25" t="n">
        <v>11</v>
      </c>
      <c r="B1754" s="9" t="inlineStr">
        <is>
          <t>Module 4 · Danger!</t>
        </is>
      </c>
      <c r="C1754" s="9" t="inlineStr">
        <is>
          <t>4c</t>
        </is>
      </c>
      <c r="D1754" s="9" t="inlineStr">
        <is>
          <t>Passive Voice</t>
        </is>
      </c>
      <c r="E1754" s="23" t="inlineStr">
        <is>
          <t>Passive Voice: значение — действие важнее исполнителя (новости, инструкции, реклама)</t>
        </is>
      </c>
      <c r="F1754" s="25" t="inlineStr">
        <is>
          <t>повторение</t>
        </is>
      </c>
      <c r="G1754" s="9" t="inlineStr"/>
      <c r="H1754" s="25" t="inlineStr">
        <is>
          <t>10+</t>
        </is>
      </c>
      <c r="I1754" s="9">
        <f>IFERROR(INDEX('Темы × классы'!$R:$R,MATCH(E1754,'Темы × классы'!$E:$E,0)),"")</f>
        <v/>
      </c>
      <c r="J1754" s="9">
        <f>IFERROR(INDEX('Темы × классы'!$S:$S,MATCH(E1754,'Темы × классы'!$E:$E,0))&amp;"","")</f>
        <v/>
      </c>
      <c r="K1754" s="9" t="inlineStr">
        <is>
          <t>не начат</t>
        </is>
      </c>
      <c r="L1754" s="9" t="inlineStr">
        <is>
          <t>Spotlight / 11 класс / Module 4 · Danger! / Passive Voice / Passive Voice: значение — действие важнее исполнителя (новости, инструкции, реклама)</t>
        </is>
      </c>
    </row>
    <row r="1755">
      <c r="A1755" s="25" t="n">
        <v>11</v>
      </c>
      <c r="B1755" s="9" t="inlineStr">
        <is>
          <t>Module 4 · Danger!</t>
        </is>
      </c>
      <c r="C1755" s="9" t="inlineStr">
        <is>
          <t>4c</t>
        </is>
      </c>
      <c r="D1755" s="9" t="inlineStr">
        <is>
          <t>Passive Voice</t>
        </is>
      </c>
      <c r="E1755" s="23" t="inlineStr">
        <is>
          <t>Passive Voice: значение — уход от ответственности</t>
        </is>
      </c>
      <c r="F1755" s="25" t="inlineStr">
        <is>
          <t>повторение</t>
        </is>
      </c>
      <c r="G1755" s="9" t="inlineStr"/>
      <c r="H1755" s="25" t="inlineStr">
        <is>
          <t>10+</t>
        </is>
      </c>
      <c r="I1755" s="9">
        <f>IFERROR(INDEX('Темы × классы'!$R:$R,MATCH(E1755,'Темы × классы'!$E:$E,0)),"")</f>
        <v/>
      </c>
      <c r="J1755" s="9">
        <f>IFERROR(INDEX('Темы × классы'!$S:$S,MATCH(E1755,'Темы × классы'!$E:$E,0))&amp;"","")</f>
        <v/>
      </c>
      <c r="K1755" s="9" t="inlineStr">
        <is>
          <t>не начат</t>
        </is>
      </c>
      <c r="L1755" s="9" t="inlineStr">
        <is>
          <t>Spotlight / 11 класс / Module 4 · Danger! / Passive Voice / Passive Voice: значение — уход от ответственности</t>
        </is>
      </c>
    </row>
    <row r="1756">
      <c r="A1756" s="25" t="n">
        <v>11</v>
      </c>
      <c r="B1756" s="9" t="inlineStr">
        <is>
          <t>Module 4 · Danger!</t>
        </is>
      </c>
      <c r="C1756" s="9" t="inlineStr">
        <is>
          <t>4c</t>
        </is>
      </c>
      <c r="D1756" s="9" t="inlineStr">
        <is>
          <t>Passive Voice</t>
        </is>
      </c>
      <c r="E1756" s="23" t="inlineStr">
        <is>
          <t>Passive Voice: значение — акцент на исполнителе</t>
        </is>
      </c>
      <c r="F1756" s="25" t="inlineStr">
        <is>
          <t>повторение</t>
        </is>
      </c>
      <c r="G1756" s="9" t="inlineStr"/>
      <c r="H1756" s="25" t="inlineStr">
        <is>
          <t>10+</t>
        </is>
      </c>
      <c r="I1756" s="9">
        <f>IFERROR(INDEX('Темы × классы'!$R:$R,MATCH(E1756,'Темы × классы'!$E:$E,0)),"")</f>
        <v/>
      </c>
      <c r="J1756" s="9">
        <f>IFERROR(INDEX('Темы × классы'!$S:$S,MATCH(E1756,'Темы × классы'!$E:$E,0))&amp;"","")</f>
        <v/>
      </c>
      <c r="K1756" s="9" t="inlineStr">
        <is>
          <t>не начат</t>
        </is>
      </c>
      <c r="L1756" s="9" t="inlineStr">
        <is>
          <t>Spotlight / 11 класс / Module 4 · Danger! / Passive Voice / Passive Voice: значение — акцент на исполнителе</t>
        </is>
      </c>
    </row>
    <row r="1757">
      <c r="A1757" s="25" t="n">
        <v>11</v>
      </c>
      <c r="B1757" s="9" t="inlineStr">
        <is>
          <t>Module 4 · Danger!</t>
        </is>
      </c>
      <c r="C1757" s="9" t="inlineStr">
        <is>
          <t>4c</t>
        </is>
      </c>
      <c r="D1757" s="9" t="inlineStr">
        <is>
          <t>Passive Voice</t>
        </is>
      </c>
      <c r="E1757" s="23" t="inlineStr">
        <is>
          <t>Passive Voice: значение — формальность, вежливость</t>
        </is>
      </c>
      <c r="F1757" s="25" t="inlineStr">
        <is>
          <t>повторение</t>
        </is>
      </c>
      <c r="G1757" s="9" t="inlineStr"/>
      <c r="H1757" s="25" t="inlineStr">
        <is>
          <t>10+</t>
        </is>
      </c>
      <c r="I1757" s="9">
        <f>IFERROR(INDEX('Темы × классы'!$R:$R,MATCH(E1757,'Темы × классы'!$E:$E,0)),"")</f>
        <v/>
      </c>
      <c r="J1757" s="9">
        <f>IFERROR(INDEX('Темы × классы'!$S:$S,MATCH(E1757,'Темы × классы'!$E:$E,0))&amp;"","")</f>
        <v/>
      </c>
      <c r="K1757" s="9" t="inlineStr">
        <is>
          <t>не начат</t>
        </is>
      </c>
      <c r="L1757" s="9" t="inlineStr">
        <is>
          <t>Spotlight / 11 класс / Module 4 · Danger! / Passive Voice / Passive Voice: значение — формальность, вежливость</t>
        </is>
      </c>
    </row>
    <row r="1758">
      <c r="A1758" s="25" t="n">
        <v>11</v>
      </c>
      <c r="B1758" s="9" t="inlineStr">
        <is>
          <t>Module 4 · Danger!</t>
        </is>
      </c>
      <c r="C1758" s="9" t="inlineStr">
        <is>
          <t>4c</t>
        </is>
      </c>
      <c r="D1758" s="9" t="inlineStr">
        <is>
          <t>Passive Voice</t>
        </is>
      </c>
      <c r="E1758" s="23" t="inlineStr">
        <is>
          <t>Passive Voice: by + исполнитель vs with + инструмент/материал</t>
        </is>
      </c>
      <c r="F1758" s="25" t="inlineStr">
        <is>
          <t>повторение</t>
        </is>
      </c>
      <c r="G1758" s="9" t="inlineStr"/>
      <c r="H1758" s="25" t="inlineStr">
        <is>
          <t>10+</t>
        </is>
      </c>
      <c r="I1758" s="9">
        <f>IFERROR(INDEX('Темы × классы'!$R:$R,MATCH(E1758,'Темы × классы'!$E:$E,0)),"")</f>
        <v/>
      </c>
      <c r="J1758" s="9">
        <f>IFERROR(INDEX('Темы × классы'!$S:$S,MATCH(E1758,'Темы × классы'!$E:$E,0))&amp;"","")</f>
        <v/>
      </c>
      <c r="K1758" s="9" t="inlineStr">
        <is>
          <t>не начат</t>
        </is>
      </c>
      <c r="L1758" s="9" t="inlineStr">
        <is>
          <t>Spotlight / 11 класс / Module 4 · Danger! / Passive Voice / Passive Voice: by + исполнитель vs with + инструмент/материал</t>
        </is>
      </c>
    </row>
    <row r="1759">
      <c r="A1759" s="25" t="n">
        <v>11</v>
      </c>
      <c r="B1759" s="9" t="inlineStr">
        <is>
          <t>Module 4 · Danger!</t>
        </is>
      </c>
      <c r="C1759" s="9" t="inlineStr">
        <is>
          <t>4c</t>
        </is>
      </c>
      <c r="D1759" s="9" t="inlineStr">
        <is>
          <t>Passive Voice</t>
        </is>
      </c>
      <c r="E1759" s="23" t="inlineStr">
        <is>
          <t>Passive Voice: когда агент опускается (they, people, someone…)</t>
        </is>
      </c>
      <c r="F1759" s="25" t="inlineStr">
        <is>
          <t>повторение</t>
        </is>
      </c>
      <c r="G1759" s="9" t="inlineStr"/>
      <c r="H1759" s="25" t="inlineStr">
        <is>
          <t>10+</t>
        </is>
      </c>
      <c r="I1759" s="9">
        <f>IFERROR(INDEX('Темы × классы'!$R:$R,MATCH(E1759,'Темы × классы'!$E:$E,0)),"")</f>
        <v/>
      </c>
      <c r="J1759" s="9">
        <f>IFERROR(INDEX('Темы × классы'!$S:$S,MATCH(E1759,'Темы × классы'!$E:$E,0))&amp;"","")</f>
        <v/>
      </c>
      <c r="K1759" s="9" t="inlineStr">
        <is>
          <t>не начат</t>
        </is>
      </c>
      <c r="L1759" s="9" t="inlineStr">
        <is>
          <t>Spotlight / 11 класс / Module 4 · Danger! / Passive Voice / Passive Voice: когда агент опускается (they, people, someone…)</t>
        </is>
      </c>
    </row>
    <row r="1760">
      <c r="A1760" s="25" t="n">
        <v>11</v>
      </c>
      <c r="B1760" s="9" t="inlineStr">
        <is>
          <t>Module 4 · Danger!</t>
        </is>
      </c>
      <c r="C1760" s="9" t="inlineStr">
        <is>
          <t>4c</t>
        </is>
      </c>
      <c r="D1760" s="9" t="inlineStr">
        <is>
          <t>Passive Voice</t>
        </is>
      </c>
      <c r="E1760" s="23" t="inlineStr">
        <is>
          <t>Passive Voice: глаголы без пассива (непереходные; have, fit, suit, resemble…)</t>
        </is>
      </c>
      <c r="F1760" s="25" t="inlineStr">
        <is>
          <t>повторение</t>
        </is>
      </c>
      <c r="G1760" s="9" t="inlineStr"/>
      <c r="H1760" s="25" t="inlineStr">
        <is>
          <t>10+</t>
        </is>
      </c>
      <c r="I1760" s="9">
        <f>IFERROR(INDEX('Темы × классы'!$R:$R,MATCH(E1760,'Темы × классы'!$E:$E,0)),"")</f>
        <v/>
      </c>
      <c r="J1760" s="9">
        <f>IFERROR(INDEX('Темы × классы'!$S:$S,MATCH(E1760,'Темы × классы'!$E:$E,0))&amp;"","")</f>
        <v/>
      </c>
      <c r="K1760" s="9" t="inlineStr">
        <is>
          <t>не начат</t>
        </is>
      </c>
      <c r="L1760" s="9" t="inlineStr">
        <is>
          <t>Spotlight / 11 класс / Module 4 · Danger! / Passive Voice / Passive Voice: глаголы без пассива (непереходные; have, fit, suit, resemble…)</t>
        </is>
      </c>
    </row>
    <row r="1761">
      <c r="A1761" s="25" t="n">
        <v>11</v>
      </c>
      <c r="B1761" s="9" t="inlineStr">
        <is>
          <t>Module 4 · Danger!</t>
        </is>
      </c>
      <c r="C1761" s="9" t="inlineStr">
        <is>
          <t>4c</t>
        </is>
      </c>
      <c r="D1761" s="9" t="inlineStr">
        <is>
          <t>Passive Voice</t>
        </is>
      </c>
      <c r="E1761" s="23" t="inlineStr">
        <is>
          <t>Passive Voice: get вместо be</t>
        </is>
      </c>
      <c r="F1761" s="25" t="inlineStr">
        <is>
          <t>повторение</t>
        </is>
      </c>
      <c r="G1761" s="9" t="inlineStr"/>
      <c r="H1761" s="25" t="inlineStr">
        <is>
          <t>10+</t>
        </is>
      </c>
      <c r="I1761" s="9">
        <f>IFERROR(INDEX('Темы × классы'!$R:$R,MATCH(E1761,'Темы × классы'!$E:$E,0)),"")</f>
        <v/>
      </c>
      <c r="J1761" s="9">
        <f>IFERROR(INDEX('Темы × классы'!$S:$S,MATCH(E1761,'Темы × классы'!$E:$E,0))&amp;"","")</f>
        <v/>
      </c>
      <c r="K1761" s="9" t="inlineStr">
        <is>
          <t>не начат</t>
        </is>
      </c>
      <c r="L1761" s="9" t="inlineStr">
        <is>
          <t>Spotlight / 11 класс / Module 4 · Danger! / Passive Voice / Passive Voice: get вместо be</t>
        </is>
      </c>
    </row>
    <row r="1762">
      <c r="A1762" s="25" t="n">
        <v>11</v>
      </c>
      <c r="B1762" s="9" t="inlineStr">
        <is>
          <t>Module 4 · Danger!</t>
        </is>
      </c>
      <c r="C1762" s="9" t="inlineStr">
        <is>
          <t>4c</t>
        </is>
      </c>
      <c r="D1762" s="9" t="inlineStr">
        <is>
          <t>Passive Voice</t>
        </is>
      </c>
      <c r="E1762" s="23" t="inlineStr">
        <is>
          <t>Passive Voice: глаголы с двумя дополнениями (give, offer, send…)</t>
        </is>
      </c>
      <c r="F1762" s="25" t="inlineStr">
        <is>
          <t>повторение</t>
        </is>
      </c>
      <c r="G1762" s="9" t="inlineStr"/>
      <c r="H1762" s="25" t="inlineStr">
        <is>
          <t>10+</t>
        </is>
      </c>
      <c r="I1762" s="9">
        <f>IFERROR(INDEX('Темы × классы'!$R:$R,MATCH(E1762,'Темы × классы'!$E:$E,0)),"")</f>
        <v/>
      </c>
      <c r="J1762" s="9">
        <f>IFERROR(INDEX('Темы × классы'!$S:$S,MATCH(E1762,'Темы × классы'!$E:$E,0))&amp;"","")</f>
        <v/>
      </c>
      <c r="K1762" s="9" t="inlineStr">
        <is>
          <t>не начат</t>
        </is>
      </c>
      <c r="L1762" s="9" t="inlineStr">
        <is>
          <t>Spotlight / 11 класс / Module 4 · Danger! / Passive Voice / Passive Voice: глаголы с двумя дополнениями (give, offer, send…)</t>
        </is>
      </c>
    </row>
    <row r="1763">
      <c r="A1763" s="25" t="n">
        <v>11</v>
      </c>
      <c r="B1763" s="9" t="inlineStr">
        <is>
          <t>Module 4 · Danger!</t>
        </is>
      </c>
      <c r="C1763" s="9" t="inlineStr">
        <is>
          <t>4c</t>
        </is>
      </c>
      <c r="D1763" s="9" t="inlineStr">
        <is>
          <t>Passive Voice</t>
        </is>
      </c>
      <c r="E1763" s="23" t="inlineStr">
        <is>
          <t>Passive Voice: by в вопросах с who/whom/which</t>
        </is>
      </c>
      <c r="F1763" s="25" t="inlineStr">
        <is>
          <t>повторение</t>
        </is>
      </c>
      <c r="G1763" s="9" t="inlineStr"/>
      <c r="H1763" s="25" t="inlineStr">
        <is>
          <t>10+</t>
        </is>
      </c>
      <c r="I1763" s="9">
        <f>IFERROR(INDEX('Темы × классы'!$R:$R,MATCH(E1763,'Темы × классы'!$E:$E,0)),"")</f>
        <v/>
      </c>
      <c r="J1763" s="9">
        <f>IFERROR(INDEX('Темы × классы'!$S:$S,MATCH(E1763,'Темы × классы'!$E:$E,0))&amp;"","")</f>
        <v/>
      </c>
      <c r="K1763" s="9" t="inlineStr">
        <is>
          <t>не начат</t>
        </is>
      </c>
      <c r="L1763" s="9" t="inlineStr">
        <is>
          <t>Spotlight / 11 класс / Module 4 · Danger! / Passive Voice / Passive Voice: by в вопросах с who/whom/which</t>
        </is>
      </c>
    </row>
    <row r="1764">
      <c r="A1764" s="25" t="n">
        <v>11</v>
      </c>
      <c r="B1764" s="9" t="inlineStr">
        <is>
          <t>Module 4 · Danger!</t>
        </is>
      </c>
      <c r="C1764" s="9" t="inlineStr">
        <is>
          <t>4c</t>
        </is>
      </c>
      <c r="D1764" s="9" t="inlineStr">
        <is>
          <t>Passive Voice</t>
        </is>
      </c>
      <c r="E1764" s="23" t="inlineStr">
        <is>
          <t>Passive Voice: make/hear/see/help + to-inf в пассиве; see/hear/watch + -ing</t>
        </is>
      </c>
      <c r="F1764" s="25" t="inlineStr">
        <is>
          <t>повторение</t>
        </is>
      </c>
      <c r="G1764" s="9" t="inlineStr"/>
      <c r="H1764" s="25" t="inlineStr">
        <is>
          <t>10+</t>
        </is>
      </c>
      <c r="I1764" s="9">
        <f>IFERROR(INDEX('Темы × классы'!$R:$R,MATCH(E1764,'Темы × классы'!$E:$E,0)),"")</f>
        <v/>
      </c>
      <c r="J1764" s="9">
        <f>IFERROR(INDEX('Темы × классы'!$S:$S,MATCH(E1764,'Темы × классы'!$E:$E,0))&amp;"","")</f>
        <v/>
      </c>
      <c r="K1764" s="9" t="inlineStr">
        <is>
          <t>не начат</t>
        </is>
      </c>
      <c r="L1764" s="9" t="inlineStr">
        <is>
          <t>Spotlight / 11 класс / Module 4 · Danger! / Passive Voice / Passive Voice: make/hear/see/help + to-inf в пассиве; see/hear/watch + -ing</t>
        </is>
      </c>
    </row>
    <row r="1765">
      <c r="A1765" s="25" t="n">
        <v>11</v>
      </c>
      <c r="B1765" s="9" t="inlineStr">
        <is>
          <t>Module 4 · Danger!</t>
        </is>
      </c>
      <c r="C1765" s="9" t="inlineStr"/>
      <c r="D1765" s="9" t="inlineStr">
        <is>
          <t>Reflexive pronouns</t>
        </is>
      </c>
      <c r="E1765" s="23" t="inlineStr">
        <is>
          <t>Reflexive pronouns: формы myself … themselves</t>
        </is>
      </c>
      <c r="F1765" s="25" t="inlineStr">
        <is>
          <t>повторение</t>
        </is>
      </c>
      <c r="G1765" s="9" t="inlineStr"/>
      <c r="H1765" s="25" t="inlineStr">
        <is>
          <t>10+</t>
        </is>
      </c>
      <c r="I1765" s="9">
        <f>IFERROR(INDEX('Темы × классы'!$R:$R,MATCH(E1765,'Темы × классы'!$E:$E,0)),"")</f>
        <v/>
      </c>
      <c r="J1765" s="9">
        <f>IFERROR(INDEX('Темы × классы'!$S:$S,MATCH(E1765,'Темы × классы'!$E:$E,0))&amp;"","")</f>
        <v/>
      </c>
      <c r="K1765" s="9" t="inlineStr">
        <is>
          <t>не начат</t>
        </is>
      </c>
      <c r="L1765" s="9" t="inlineStr">
        <is>
          <t>Spotlight / 11 класс / Module 4 · Danger! / Reflexive pronouns / Reflexive pronouns: формы myself … themselves</t>
        </is>
      </c>
    </row>
    <row r="1766">
      <c r="A1766" s="25" t="n">
        <v>11</v>
      </c>
      <c r="B1766" s="9" t="inlineStr">
        <is>
          <t>Module 4 · Danger!</t>
        </is>
      </c>
      <c r="C1766" s="9" t="inlineStr"/>
      <c r="D1766" s="9" t="inlineStr">
        <is>
          <t>Reflexive pronouns</t>
        </is>
      </c>
      <c r="E1766" s="23" t="inlineStr">
        <is>
          <t>Reflexive pronouns: подлежащее = дополнение (cut himself)</t>
        </is>
      </c>
      <c r="F1766" s="25" t="inlineStr">
        <is>
          <t>повторение</t>
        </is>
      </c>
      <c r="G1766" s="9" t="inlineStr"/>
      <c r="H1766" s="25" t="inlineStr">
        <is>
          <t>10+</t>
        </is>
      </c>
      <c r="I1766" s="9">
        <f>IFERROR(INDEX('Темы × классы'!$R:$R,MATCH(E1766,'Темы × классы'!$E:$E,0)),"")</f>
        <v/>
      </c>
      <c r="J1766" s="9">
        <f>IFERROR(INDEX('Темы × классы'!$S:$S,MATCH(E1766,'Темы × классы'!$E:$E,0))&amp;"","")</f>
        <v/>
      </c>
      <c r="K1766" s="9" t="inlineStr">
        <is>
          <t>не начат</t>
        </is>
      </c>
      <c r="L1766" s="9" t="inlineStr">
        <is>
          <t>Spotlight / 11 класс / Module 4 · Danger! / Reflexive pronouns / Reflexive pronouns: подлежащее = дополнение (cut himself)</t>
        </is>
      </c>
    </row>
    <row r="1767">
      <c r="A1767" s="25" t="n">
        <v>11</v>
      </c>
      <c r="B1767" s="9" t="inlineStr">
        <is>
          <t>Module 4 · Danger!</t>
        </is>
      </c>
      <c r="C1767" s="9" t="inlineStr"/>
      <c r="D1767" s="9" t="inlineStr">
        <is>
          <t>Reflexive pronouns</t>
        </is>
      </c>
      <c r="E1767" s="23" t="inlineStr">
        <is>
          <t>Reflexive pronouns: by myself — «сам, в одиночку»</t>
        </is>
      </c>
      <c r="F1767" s="25" t="inlineStr">
        <is>
          <t>повторение</t>
        </is>
      </c>
      <c r="G1767" s="9" t="inlineStr">
        <is>
          <t xml:space="preserve"> = alone, on my own</t>
        </is>
      </c>
      <c r="H1767" s="25" t="inlineStr">
        <is>
          <t>10+</t>
        </is>
      </c>
      <c r="I1767" s="9">
        <f>IFERROR(INDEX('Темы × классы'!$R:$R,MATCH(E1767,'Темы × классы'!$E:$E,0)),"")</f>
        <v/>
      </c>
      <c r="J1767" s="9">
        <f>IFERROR(INDEX('Темы × классы'!$S:$S,MATCH(E1767,'Темы × классы'!$E:$E,0))&amp;"","")</f>
        <v/>
      </c>
      <c r="K1767" s="9" t="inlineStr">
        <is>
          <t>не начат</t>
        </is>
      </c>
      <c r="L1767" s="9" t="inlineStr">
        <is>
          <t>Spotlight / 11 класс / Module 4 · Danger! / Reflexive pronouns / Reflexive pronouns: by myself — «сам, в одиночку»</t>
        </is>
      </c>
    </row>
    <row r="1768">
      <c r="A1768" s="25" t="n">
        <v>11</v>
      </c>
      <c r="B1768" s="9" t="inlineStr">
        <is>
          <t>Module 4 · Danger!</t>
        </is>
      </c>
      <c r="C1768" s="9" t="inlineStr"/>
      <c r="D1768" s="9" t="inlineStr">
        <is>
          <t>Reflexive pronouns</t>
        </is>
      </c>
      <c r="E1768" s="23" t="inlineStr">
        <is>
          <t>Reflexive pronouns: глаголы без возвратного местоимения (wash, dress, meet)</t>
        </is>
      </c>
      <c r="F1768" s="27" t="inlineStr">
        <is>
          <t>расширение</t>
        </is>
      </c>
      <c r="G1768" s="9" t="inlineStr">
        <is>
          <t>добавлены rest, relax, stand up, get up, sit down</t>
        </is>
      </c>
      <c r="H1768" s="25" t="inlineStr">
        <is>
          <t>10+</t>
        </is>
      </c>
      <c r="I1768" s="9">
        <f>IFERROR(INDEX('Темы × классы'!$R:$R,MATCH(E1768,'Темы × классы'!$E:$E,0)),"")</f>
        <v/>
      </c>
      <c r="J1768" s="9">
        <f>IFERROR(INDEX('Темы × классы'!$S:$S,MATCH(E1768,'Темы × классы'!$E:$E,0))&amp;"","")</f>
        <v/>
      </c>
      <c r="K1768" s="9" t="inlineStr">
        <is>
          <t>не начат</t>
        </is>
      </c>
      <c r="L1768" s="9" t="inlineStr">
        <is>
          <t>Spotlight / 11 класс / Module 4 · Danger! / Reflexive pronouns / Reflexive pronouns: глаголы без возвратного местоимения (wash, dress, meet)</t>
        </is>
      </c>
    </row>
    <row r="1769">
      <c r="A1769" s="25" t="n">
        <v>11</v>
      </c>
      <c r="B1769" s="9" t="inlineStr">
        <is>
          <t>Module 4 · Danger!</t>
        </is>
      </c>
      <c r="C1769" s="9" t="inlineStr"/>
      <c r="D1769" s="9" t="inlineStr">
        <is>
          <t>Reflexive pronouns</t>
        </is>
      </c>
      <c r="E1769" s="23" t="inlineStr">
        <is>
          <t>Reflexive pronouns: после be, feel, look, seem</t>
        </is>
      </c>
      <c r="F1769" s="25" t="inlineStr">
        <is>
          <t>повторение</t>
        </is>
      </c>
      <c r="G1769" s="9" t="inlineStr">
        <is>
          <t>Helen doesn't seem herself lately</t>
        </is>
      </c>
      <c r="H1769" s="25" t="inlineStr">
        <is>
          <t>10+</t>
        </is>
      </c>
      <c r="I1769" s="9">
        <f>IFERROR(INDEX('Темы × классы'!$R:$R,MATCH(E1769,'Темы × классы'!$E:$E,0)),"")</f>
        <v/>
      </c>
      <c r="J1769" s="9">
        <f>IFERROR(INDEX('Темы × классы'!$S:$S,MATCH(E1769,'Темы × классы'!$E:$E,0))&amp;"","")</f>
        <v/>
      </c>
      <c r="K1769" s="9" t="inlineStr">
        <is>
          <t>не начат</t>
        </is>
      </c>
      <c r="L1769" s="9" t="inlineStr">
        <is>
          <t>Spotlight / 11 класс / Module 4 · Danger! / Reflexive pronouns / Reflexive pronouns: после be, feel, look, seem</t>
        </is>
      </c>
    </row>
    <row r="1770">
      <c r="A1770" s="25" t="n">
        <v>11</v>
      </c>
      <c r="B1770" s="9" t="inlineStr">
        <is>
          <t>Module 4 · Danger!</t>
        </is>
      </c>
      <c r="C1770" s="9" t="inlineStr"/>
      <c r="D1770" s="9" t="inlineStr">
        <is>
          <t>Reflexive pronouns</t>
        </is>
      </c>
      <c r="E1770" s="23" t="inlineStr">
        <is>
          <t>Reflexive pronouns: после предлогов (но не предлогов места)</t>
        </is>
      </c>
      <c r="F1770" s="25" t="inlineStr">
        <is>
          <t>повторение</t>
        </is>
      </c>
      <c r="G1770" s="9" t="inlineStr">
        <is>
          <t>take care of yourself; behind you, NOT behind yourself</t>
        </is>
      </c>
      <c r="H1770" s="25" t="inlineStr">
        <is>
          <t>10+</t>
        </is>
      </c>
      <c r="I1770" s="9">
        <f>IFERROR(INDEX('Темы × классы'!$R:$R,MATCH(E1770,'Темы × классы'!$E:$E,0)),"")</f>
        <v/>
      </c>
      <c r="J1770" s="9">
        <f>IFERROR(INDEX('Темы × классы'!$S:$S,MATCH(E1770,'Темы × классы'!$E:$E,0))&amp;"","")</f>
        <v/>
      </c>
      <c r="K1770" s="9" t="inlineStr">
        <is>
          <t>не начат</t>
        </is>
      </c>
      <c r="L1770" s="9" t="inlineStr">
        <is>
          <t>Spotlight / 11 класс / Module 4 · Danger! / Reflexive pronouns / Reflexive pronouns: после предлогов (но не предлогов места)</t>
        </is>
      </c>
    </row>
    <row r="1771">
      <c r="A1771" s="25" t="n">
        <v>11</v>
      </c>
      <c r="B1771" s="9" t="inlineStr">
        <is>
          <t>Module 4 · Danger!</t>
        </is>
      </c>
      <c r="C1771" s="9" t="inlineStr"/>
      <c r="D1771" s="9" t="inlineStr">
        <is>
          <t>Reflexive pronouns</t>
        </is>
      </c>
      <c r="E1771" s="23" t="inlineStr">
        <is>
          <t>Reflexive pronouns: устойчивые выражения (Enjoy yourself!, Help yourself, Make yourself at home)</t>
        </is>
      </c>
      <c r="F1771" s="25" t="inlineStr">
        <is>
          <t>повторение</t>
        </is>
      </c>
      <c r="G1771" s="9" t="inlineStr"/>
      <c r="H1771" s="25" t="inlineStr">
        <is>
          <t>10+</t>
        </is>
      </c>
      <c r="I1771" s="9">
        <f>IFERROR(INDEX('Темы × классы'!$R:$R,MATCH(E1771,'Темы × классы'!$E:$E,0)),"")</f>
        <v/>
      </c>
      <c r="J1771" s="9">
        <f>IFERROR(INDEX('Темы × классы'!$S:$S,MATCH(E1771,'Темы × классы'!$E:$E,0))&amp;"","")</f>
        <v/>
      </c>
      <c r="K1771" s="9" t="inlineStr">
        <is>
          <t>не начат</t>
        </is>
      </c>
      <c r="L1771" s="9" t="inlineStr">
        <is>
          <t>Spotlight / 11 класс / Module 4 · Danger! / Reflexive pronouns / Reflexive pronouns: устойчивые выражения (Enjoy yourself!, Help yourself, Make yourself at home)</t>
        </is>
      </c>
    </row>
    <row r="1772">
      <c r="A1772" s="25" t="n">
        <v>11</v>
      </c>
      <c r="B1772" s="9" t="inlineStr">
        <is>
          <t>Module 4 · Danger!</t>
        </is>
      </c>
      <c r="C1772" s="9" t="inlineStr">
        <is>
          <t>4c</t>
        </is>
      </c>
      <c r="D1772" s="9" t="inlineStr">
        <is>
          <t>Phrasal verbs</t>
        </is>
      </c>
      <c r="E1772" s="23" t="inlineStr">
        <is>
          <t>Phrasal verbs: go</t>
        </is>
      </c>
      <c r="F1772" s="25" t="inlineStr">
        <is>
          <t>повторение</t>
        </is>
      </c>
      <c r="G1772" s="9" t="inlineStr">
        <is>
          <t>go + частицы (English in Use 4c); конкретные частицы в доступных страницах не даны.</t>
        </is>
      </c>
      <c r="H1772" s="25" t="inlineStr">
        <is>
          <t>10+</t>
        </is>
      </c>
      <c r="I1772" s="9">
        <f>IFERROR(INDEX('Темы × классы'!$R:$R,MATCH(E1772,'Темы × классы'!$E:$E,0)),"")</f>
        <v/>
      </c>
      <c r="J1772" s="9">
        <f>IFERROR(INDEX('Темы × классы'!$S:$S,MATCH(E1772,'Темы × классы'!$E:$E,0))&amp;"","")</f>
        <v/>
      </c>
      <c r="K1772" s="9" t="inlineStr">
        <is>
          <t>не начат</t>
        </is>
      </c>
      <c r="L1772" s="9" t="inlineStr">
        <is>
          <t>Spotlight / 11 класс / Module 4 · Danger! / Phrasal verbs / Phrasal verbs: go</t>
        </is>
      </c>
    </row>
    <row r="1773">
      <c r="A1773" s="25" t="n">
        <v>11</v>
      </c>
      <c r="B1773" s="9" t="inlineStr">
        <is>
          <t>Module 4 · Danger!</t>
        </is>
      </c>
      <c r="C1773" s="9" t="inlineStr">
        <is>
          <t>4c</t>
        </is>
      </c>
      <c r="D1773" s="9" t="inlineStr">
        <is>
          <t>Dependent prepositions</t>
        </is>
      </c>
      <c r="E1773" s="23" t="inlineStr">
        <is>
          <t>Dependent prepositions</t>
        </is>
      </c>
      <c r="F1773" s="25" t="inlineStr">
        <is>
          <t>повторение</t>
        </is>
      </c>
      <c r="G1773" s="9" t="inlineStr">
        <is>
          <t>Dependent prepositions (English in Use 4c); конкретные сочетания в доступных страницах не даны.</t>
        </is>
      </c>
      <c r="H1773" s="25" t="inlineStr">
        <is>
          <t>10+</t>
        </is>
      </c>
      <c r="I1773" s="9">
        <f>IFERROR(INDEX('Темы × классы'!$R:$R,MATCH(E1773,'Темы × классы'!$E:$E,0)),"")</f>
        <v/>
      </c>
      <c r="J1773" s="9">
        <f>IFERROR(INDEX('Темы × классы'!$S:$S,MATCH(E1773,'Темы × классы'!$E:$E,0))&amp;"","")</f>
        <v/>
      </c>
      <c r="K1773" s="9" t="inlineStr">
        <is>
          <t>не начат</t>
        </is>
      </c>
      <c r="L1773" s="9" t="inlineStr">
        <is>
          <t>Spotlight / 11 класс / Module 4 · Danger! / Dependent prepositions / Dependent prepositions</t>
        </is>
      </c>
    </row>
    <row r="1774">
      <c r="A1774" s="25" t="n">
        <v>11</v>
      </c>
      <c r="B1774" s="9" t="inlineStr">
        <is>
          <t>Module 4 · Danger!</t>
        </is>
      </c>
      <c r="C1774" s="9" t="inlineStr">
        <is>
          <t>4b</t>
        </is>
      </c>
      <c r="D1774" s="9" t="inlineStr">
        <is>
          <t>Idioms &amp; collocations</t>
        </is>
      </c>
      <c r="E1774" s="23" t="inlineStr">
        <is>
          <t>Idioms &amp; collocations</t>
        </is>
      </c>
      <c r="F1774" s="25" t="inlineStr">
        <is>
          <t>повторение</t>
        </is>
      </c>
      <c r="G1774" s="9" t="inlineStr">
        <is>
          <t>Idioms related to health (4b).</t>
        </is>
      </c>
      <c r="H1774" s="25" t="inlineStr">
        <is>
          <t>10+</t>
        </is>
      </c>
      <c r="I1774" s="9">
        <f>IFERROR(INDEX('Темы × классы'!$R:$R,MATCH(E1774,'Темы × классы'!$E:$E,0)),"")</f>
        <v/>
      </c>
      <c r="J1774" s="9">
        <f>IFERROR(INDEX('Темы × классы'!$S:$S,MATCH(E1774,'Темы × классы'!$E:$E,0))&amp;"","")</f>
        <v/>
      </c>
      <c r="K1774" s="9" t="inlineStr">
        <is>
          <t>не начат</t>
        </is>
      </c>
      <c r="L1774" s="9" t="inlineStr">
        <is>
          <t>Spotlight / 11 класс / Module 4 · Danger! / Idioms &amp; collocations / Idioms &amp; collocations</t>
        </is>
      </c>
    </row>
    <row r="1775">
      <c r="A1775" s="25" t="n">
        <v>11</v>
      </c>
      <c r="B1775" s="9" t="inlineStr">
        <is>
          <t>Module 5 · Who are you?</t>
        </is>
      </c>
      <c r="C1775" s="9" t="inlineStr">
        <is>
          <t>5c</t>
        </is>
      </c>
      <c r="D1775" s="9" t="inlineStr">
        <is>
          <t>may/might</t>
        </is>
      </c>
      <c r="E1775" s="23" t="inlineStr">
        <is>
          <t>may/might: can — общая (теоретическая) возможность</t>
        </is>
      </c>
      <c r="F1775" s="25" t="inlineStr">
        <is>
          <t>повторение</t>
        </is>
      </c>
      <c r="G1775" s="9" t="inlineStr">
        <is>
          <t>Going to the gym can be boring</t>
        </is>
      </c>
      <c r="H1775" s="25" t="inlineStr">
        <is>
          <t>10+</t>
        </is>
      </c>
      <c r="I1775" s="9">
        <f>IFERROR(INDEX('Темы × классы'!$R:$R,MATCH(E1775,'Темы × классы'!$E:$E,0)),"")</f>
        <v/>
      </c>
      <c r="J1775" s="9">
        <f>IFERROR(INDEX('Темы × классы'!$S:$S,MATCH(E1775,'Темы × классы'!$E:$E,0))&amp;"","")</f>
        <v/>
      </c>
      <c r="K1775" s="9" t="inlineStr">
        <is>
          <t>не начат</t>
        </is>
      </c>
      <c r="L1775" s="9" t="inlineStr">
        <is>
          <t>Spotlight / 11 класс / Module 5 · Who are you? / may/might / may/might: can — общая (теоретическая) возможность</t>
        </is>
      </c>
    </row>
    <row r="1776">
      <c r="A1776" s="25" t="n">
        <v>11</v>
      </c>
      <c r="B1776" s="9" t="inlineStr">
        <is>
          <t>Module 5 · Who are you?</t>
        </is>
      </c>
      <c r="C1776" s="9" t="inlineStr">
        <is>
          <t>5c</t>
        </is>
      </c>
      <c r="D1776" s="9" t="inlineStr">
        <is>
          <t>may/might</t>
        </is>
      </c>
      <c r="E1776" s="23" t="inlineStr">
        <is>
          <t>may/might: could/may/might — возможность в конкретной ситуации</t>
        </is>
      </c>
      <c r="F1776" s="25" t="inlineStr">
        <is>
          <t>повторение</t>
        </is>
      </c>
      <c r="G1776" s="9" t="inlineStr"/>
      <c r="H1776" s="25" t="inlineStr">
        <is>
          <t>10+</t>
        </is>
      </c>
      <c r="I1776" s="9">
        <f>IFERROR(INDEX('Темы × классы'!$R:$R,MATCH(E1776,'Темы × классы'!$E:$E,0)),"")</f>
        <v/>
      </c>
      <c r="J1776" s="9">
        <f>IFERROR(INDEX('Темы × классы'!$S:$S,MATCH(E1776,'Темы × классы'!$E:$E,0))&amp;"","")</f>
        <v/>
      </c>
      <c r="K1776" s="9" t="inlineStr">
        <is>
          <t>не начат</t>
        </is>
      </c>
      <c r="L1776" s="9" t="inlineStr">
        <is>
          <t>Spotlight / 11 класс / Module 5 · Who are you? / may/might / may/might: could/may/might — возможность в конкретной ситуации</t>
        </is>
      </c>
    </row>
    <row r="1777">
      <c r="A1777" s="25" t="n">
        <v>11</v>
      </c>
      <c r="B1777" s="9" t="inlineStr">
        <is>
          <t>Module 5 · Who are you?</t>
        </is>
      </c>
      <c r="C1777" s="9" t="inlineStr">
        <is>
          <t>5c</t>
        </is>
      </c>
      <c r="D1777" s="9" t="inlineStr">
        <is>
          <t>may/might</t>
        </is>
      </c>
      <c r="E1777" s="23" t="inlineStr">
        <is>
          <t>may/might: возможность в вопросах — can/could/might, но не may</t>
        </is>
      </c>
      <c r="F1777" s="25" t="inlineStr">
        <is>
          <t>повторение</t>
        </is>
      </c>
      <c r="G1777" s="9" t="inlineStr">
        <is>
          <t>How difficult can it be?</t>
        </is>
      </c>
      <c r="H1777" s="25" t="inlineStr">
        <is>
          <t>10+</t>
        </is>
      </c>
      <c r="I1777" s="9">
        <f>IFERROR(INDEX('Темы × классы'!$R:$R,MATCH(E1777,'Темы × классы'!$E:$E,0)),"")</f>
        <v/>
      </c>
      <c r="J1777" s="9">
        <f>IFERROR(INDEX('Темы × классы'!$S:$S,MATCH(E1777,'Темы × классы'!$E:$E,0))&amp;"","")</f>
        <v/>
      </c>
      <c r="K1777" s="9" t="inlineStr">
        <is>
          <t>не начат</t>
        </is>
      </c>
      <c r="L1777" s="9" t="inlineStr">
        <is>
          <t>Spotlight / 11 класс / Module 5 · Who are you? / may/might / may/might: возможность в вопросах — can/could/might, но не may</t>
        </is>
      </c>
    </row>
    <row r="1778">
      <c r="A1778" s="25" t="n">
        <v>11</v>
      </c>
      <c r="B1778" s="9" t="inlineStr">
        <is>
          <t>Module 5 · Who are you?</t>
        </is>
      </c>
      <c r="C1778" s="9" t="inlineStr">
        <is>
          <t>5c</t>
        </is>
      </c>
      <c r="D1778" s="9" t="inlineStr">
        <is>
          <t>may/might</t>
        </is>
      </c>
      <c r="E1778" s="23" t="inlineStr">
        <is>
          <t>may/might: could/might/would + have V3 — было возможно, но не случилось</t>
        </is>
      </c>
      <c r="F1778" s="25" t="inlineStr">
        <is>
          <t>повторение</t>
        </is>
      </c>
      <c r="G1778" s="9" t="inlineStr"/>
      <c r="H1778" s="25" t="inlineStr">
        <is>
          <t>10+</t>
        </is>
      </c>
      <c r="I1778" s="9">
        <f>IFERROR(INDEX('Темы × классы'!$R:$R,MATCH(E1778,'Темы × классы'!$E:$E,0)),"")</f>
        <v/>
      </c>
      <c r="J1778" s="9">
        <f>IFERROR(INDEX('Темы × классы'!$S:$S,MATCH(E1778,'Темы × классы'!$E:$E,0))&amp;"","")</f>
        <v/>
      </c>
      <c r="K1778" s="9" t="inlineStr">
        <is>
          <t>не начат</t>
        </is>
      </c>
      <c r="L1778" s="9" t="inlineStr">
        <is>
          <t>Spotlight / 11 класс / Module 5 · Who are you? / may/might / may/might: could/might/would + have V3 — было возможно, но не случилось</t>
        </is>
      </c>
    </row>
    <row r="1779">
      <c r="A1779" s="25" t="n">
        <v>11</v>
      </c>
      <c r="B1779" s="9" t="inlineStr">
        <is>
          <t>Module 5 · Who are you?</t>
        </is>
      </c>
      <c r="C1779" s="9" t="inlineStr">
        <is>
          <t>5c</t>
        </is>
      </c>
      <c r="D1779" s="9" t="inlineStr">
        <is>
          <t>can (permission/request)</t>
        </is>
      </c>
      <c r="E1779" s="23" t="inlineStr">
        <is>
          <t>can (permission/request): can't — запрет</t>
        </is>
      </c>
      <c r="F1779" s="25" t="inlineStr">
        <is>
          <t>повторение</t>
        </is>
      </c>
      <c r="G1779" s="9" t="inlineStr">
        <is>
          <t>mustn't/can't — против правил/закона</t>
        </is>
      </c>
      <c r="H1779" s="25" t="inlineStr">
        <is>
          <t>10+</t>
        </is>
      </c>
      <c r="I1779" s="9">
        <f>IFERROR(INDEX('Темы × классы'!$R:$R,MATCH(E1779,'Темы × классы'!$E:$E,0)),"")</f>
        <v/>
      </c>
      <c r="J1779" s="9">
        <f>IFERROR(INDEX('Темы × классы'!$S:$S,MATCH(E1779,'Темы × классы'!$E:$E,0))&amp;"","")</f>
        <v/>
      </c>
      <c r="K1779" s="9" t="inlineStr">
        <is>
          <t>не начат</t>
        </is>
      </c>
      <c r="L1779" s="9" t="inlineStr">
        <is>
          <t>Spotlight / 11 класс / Module 5 · Who are you? / can (permission/request) / can (permission/request): can't — запрет</t>
        </is>
      </c>
    </row>
    <row r="1780">
      <c r="A1780" s="25" t="n">
        <v>11</v>
      </c>
      <c r="B1780" s="9" t="inlineStr">
        <is>
          <t>Module 5 · Who are you?</t>
        </is>
      </c>
      <c r="C1780" s="9" t="inlineStr">
        <is>
          <t>5c</t>
        </is>
      </c>
      <c r="D1780" s="9" t="inlineStr">
        <is>
          <t>can (permission/request)</t>
        </is>
      </c>
      <c r="E1780" s="23" t="inlineStr">
        <is>
          <t>can (permission/request): can vs may — разрешение (may формальнее)</t>
        </is>
      </c>
      <c r="F1780" s="25" t="inlineStr">
        <is>
          <t>повторение</t>
        </is>
      </c>
      <c r="G1780" s="9" t="inlineStr"/>
      <c r="H1780" s="25" t="inlineStr">
        <is>
          <t>10+</t>
        </is>
      </c>
      <c r="I1780" s="9">
        <f>IFERROR(INDEX('Темы × классы'!$R:$R,MATCH(E1780,'Темы × классы'!$E:$E,0)),"")</f>
        <v/>
      </c>
      <c r="J1780" s="9">
        <f>IFERROR(INDEX('Темы × классы'!$S:$S,MATCH(E1780,'Темы × классы'!$E:$E,0))&amp;"","")</f>
        <v/>
      </c>
      <c r="K1780" s="9" t="inlineStr">
        <is>
          <t>не начат</t>
        </is>
      </c>
      <c r="L1780" s="9" t="inlineStr">
        <is>
          <t>Spotlight / 11 класс / Module 5 · Who are you? / can (permission/request) / can (permission/request): can vs may — разрешение (may формальнее)</t>
        </is>
      </c>
    </row>
    <row r="1781">
      <c r="A1781" s="25" t="n">
        <v>11</v>
      </c>
      <c r="B1781" s="9" t="inlineStr">
        <is>
          <t>Module 5 · Who are you?</t>
        </is>
      </c>
      <c r="C1781" s="9" t="inlineStr">
        <is>
          <t>5c</t>
        </is>
      </c>
      <c r="D1781" s="9" t="inlineStr">
        <is>
          <t>need/needn't</t>
        </is>
      </c>
      <c r="E1781" s="23" t="inlineStr">
        <is>
          <t>need/needn't: needn't / don't need to — нет необходимости (наст./буд.)</t>
        </is>
      </c>
      <c r="F1781" s="25" t="inlineStr">
        <is>
          <t>повторение</t>
        </is>
      </c>
      <c r="G1781" s="9" t="inlineStr">
        <is>
          <t>don't have to / don't need to / needn't</t>
        </is>
      </c>
      <c r="H1781" s="25" t="inlineStr">
        <is>
          <t>10+</t>
        </is>
      </c>
      <c r="I1781" s="9">
        <f>IFERROR(INDEX('Темы × классы'!$R:$R,MATCH(E1781,'Темы × классы'!$E:$E,0)),"")</f>
        <v/>
      </c>
      <c r="J1781" s="9">
        <f>IFERROR(INDEX('Темы × классы'!$S:$S,MATCH(E1781,'Темы × классы'!$E:$E,0))&amp;"","")</f>
        <v/>
      </c>
      <c r="K1781" s="9" t="inlineStr">
        <is>
          <t>не начат</t>
        </is>
      </c>
      <c r="L1781" s="9" t="inlineStr">
        <is>
          <t>Spotlight / 11 класс / Module 5 · Who are you? / need/needn't / need/needn't: needn't / don't need to — нет необходимости (наст./буд.)</t>
        </is>
      </c>
    </row>
    <row r="1782">
      <c r="A1782" s="25" t="n">
        <v>11</v>
      </c>
      <c r="B1782" s="9" t="inlineStr">
        <is>
          <t>Module 5 · Who are you?</t>
        </is>
      </c>
      <c r="C1782" s="9" t="inlineStr">
        <is>
          <t>5c</t>
        </is>
      </c>
      <c r="D1782" s="9" t="inlineStr">
        <is>
          <t>need/needn't</t>
        </is>
      </c>
      <c r="E1782" s="23" t="inlineStr">
        <is>
          <t>need/needn't: needn't have V3 — не было необходимости, но сделали</t>
        </is>
      </c>
      <c r="F1782" s="26" t="inlineStr">
        <is>
          <t>новое</t>
        </is>
      </c>
      <c r="G1782" s="9" t="inlineStr">
        <is>
          <t>You needn't have cooked so much food</t>
        </is>
      </c>
      <c r="H1782" s="25" t="inlineStr">
        <is>
          <t>10+</t>
        </is>
      </c>
      <c r="I1782" s="9">
        <f>IFERROR(INDEX('Темы × классы'!$R:$R,MATCH(E1782,'Темы × классы'!$E:$E,0)),"")</f>
        <v/>
      </c>
      <c r="J1782" s="9">
        <f>IFERROR(INDEX('Темы × классы'!$S:$S,MATCH(E1782,'Темы × классы'!$E:$E,0))&amp;"","")</f>
        <v/>
      </c>
      <c r="K1782" s="9" t="inlineStr">
        <is>
          <t>не начат</t>
        </is>
      </c>
      <c r="L1782" s="9" t="inlineStr">
        <is>
          <t>Spotlight / 11 класс / Module 5 · Who are you? / need/needn't / need/needn't: needn't have V3 — не было необходимости, но сделали</t>
        </is>
      </c>
    </row>
    <row r="1783">
      <c r="A1783" s="25" t="n">
        <v>11</v>
      </c>
      <c r="B1783" s="9" t="inlineStr">
        <is>
          <t>Module 5 · Who are you?</t>
        </is>
      </c>
      <c r="C1783" s="9" t="inlineStr">
        <is>
          <t>5c</t>
        </is>
      </c>
      <c r="D1783" s="9" t="inlineStr">
        <is>
          <t>need/needn't</t>
        </is>
      </c>
      <c r="E1783" s="23" t="inlineStr">
        <is>
          <t>need/needn't: needn't have vs didn't have to</t>
        </is>
      </c>
      <c r="F1783" s="26" t="inlineStr">
        <is>
          <t>новое</t>
        </is>
      </c>
      <c r="G1783" s="9" t="inlineStr">
        <is>
          <t>didn't have to — неизвестно, сделали ли</t>
        </is>
      </c>
      <c r="H1783" s="25" t="inlineStr">
        <is>
          <t>10+</t>
        </is>
      </c>
      <c r="I1783" s="9">
        <f>IFERROR(INDEX('Темы × классы'!$R:$R,MATCH(E1783,'Темы × классы'!$E:$E,0)),"")</f>
        <v/>
      </c>
      <c r="J1783" s="9">
        <f>IFERROR(INDEX('Темы × классы'!$S:$S,MATCH(E1783,'Темы × классы'!$E:$E,0))&amp;"","")</f>
        <v/>
      </c>
      <c r="K1783" s="9" t="inlineStr">
        <is>
          <t>не начат</t>
        </is>
      </c>
      <c r="L1783" s="9" t="inlineStr">
        <is>
          <t>Spotlight / 11 класс / Module 5 · Who are you? / need/needn't / need/needn't: needn't have vs didn't have to</t>
        </is>
      </c>
    </row>
    <row r="1784">
      <c r="A1784" s="25" t="n">
        <v>11</v>
      </c>
      <c r="B1784" s="9" t="inlineStr">
        <is>
          <t>Module 5 · Who are you?</t>
        </is>
      </c>
      <c r="C1784" s="9" t="inlineStr">
        <is>
          <t>5c</t>
        </is>
      </c>
      <c r="D1784" s="9" t="inlineStr">
        <is>
          <t>need/needn't</t>
        </is>
      </c>
      <c r="E1784" s="23" t="inlineStr">
        <is>
          <t>need/needn't: need (= must) как эквивалент модального</t>
        </is>
      </c>
      <c r="F1784" s="25" t="inlineStr">
        <is>
          <t>повторение</t>
        </is>
      </c>
      <c r="G1784" s="9" t="inlineStr">
        <is>
          <t>в списке semi-modals</t>
        </is>
      </c>
      <c r="H1784" s="25" t="inlineStr">
        <is>
          <t>10+</t>
        </is>
      </c>
      <c r="I1784" s="9">
        <f>IFERROR(INDEX('Темы × классы'!$R:$R,MATCH(E1784,'Темы × классы'!$E:$E,0)),"")</f>
        <v/>
      </c>
      <c r="J1784" s="9">
        <f>IFERROR(INDEX('Темы × классы'!$S:$S,MATCH(E1784,'Темы × классы'!$E:$E,0))&amp;"","")</f>
        <v/>
      </c>
      <c r="K1784" s="9" t="inlineStr">
        <is>
          <t>не начат</t>
        </is>
      </c>
      <c r="L1784" s="9" t="inlineStr">
        <is>
          <t>Spotlight / 11 класс / Module 5 · Who are you? / need/needn't / need/needn't: need (= must) как эквивалент модального</t>
        </is>
      </c>
    </row>
    <row r="1785">
      <c r="A1785" s="25" t="n">
        <v>11</v>
      </c>
      <c r="B1785" s="9" t="inlineStr">
        <is>
          <t>Module 5 · Who are you?</t>
        </is>
      </c>
      <c r="C1785" s="9" t="inlineStr">
        <is>
          <t>5c</t>
        </is>
      </c>
      <c r="D1785" s="9" t="inlineStr">
        <is>
          <t>should/shouldn't</t>
        </is>
      </c>
      <c r="E1785" s="23" t="inlineStr">
        <is>
          <t>should/shouldn't: значение — совет, рекомендация; утверждение should + глагол без to</t>
        </is>
      </c>
      <c r="F1785" s="25" t="inlineStr">
        <is>
          <t>повторение</t>
        </is>
      </c>
      <c r="G1785" s="9" t="inlineStr"/>
      <c r="H1785" s="25" t="inlineStr">
        <is>
          <t>10+</t>
        </is>
      </c>
      <c r="I1785" s="9">
        <f>IFERROR(INDEX('Темы × классы'!$R:$R,MATCH(E1785,'Темы × классы'!$E:$E,0)),"")</f>
        <v/>
      </c>
      <c r="J1785" s="9">
        <f>IFERROR(INDEX('Темы × классы'!$S:$S,MATCH(E1785,'Темы × классы'!$E:$E,0))&amp;"","")</f>
        <v/>
      </c>
      <c r="K1785" s="9" t="inlineStr">
        <is>
          <t>не начат</t>
        </is>
      </c>
      <c r="L1785" s="9" t="inlineStr">
        <is>
          <t>Spotlight / 11 класс / Module 5 · Who are you? / should/shouldn't / should/shouldn't: значение — совет, рекомендация; утверждение should + глагол без to</t>
        </is>
      </c>
    </row>
    <row r="1786">
      <c r="A1786" s="25" t="n">
        <v>11</v>
      </c>
      <c r="B1786" s="9" t="inlineStr">
        <is>
          <t>Module 5 · Who are you?</t>
        </is>
      </c>
      <c r="C1786" s="9" t="inlineStr">
        <is>
          <t>5c</t>
        </is>
      </c>
      <c r="D1786" s="9" t="inlineStr">
        <is>
          <t>should/shouldn't</t>
        </is>
      </c>
      <c r="E1786" s="23" t="inlineStr">
        <is>
          <t>should/shouldn't: ought to (= should)</t>
        </is>
      </c>
      <c r="F1786" s="25" t="inlineStr">
        <is>
          <t>повторение</t>
        </is>
      </c>
      <c r="G1786" s="9" t="inlineStr"/>
      <c r="H1786" s="25" t="inlineStr">
        <is>
          <t>10+</t>
        </is>
      </c>
      <c r="I1786" s="9">
        <f>IFERROR(INDEX('Темы × классы'!$R:$R,MATCH(E1786,'Темы × классы'!$E:$E,0)),"")</f>
        <v/>
      </c>
      <c r="J1786" s="9">
        <f>IFERROR(INDEX('Темы × классы'!$S:$S,MATCH(E1786,'Темы × классы'!$E:$E,0))&amp;"","")</f>
        <v/>
      </c>
      <c r="K1786" s="9" t="inlineStr">
        <is>
          <t>не начат</t>
        </is>
      </c>
      <c r="L1786" s="9" t="inlineStr">
        <is>
          <t>Spotlight / 11 класс / Module 5 · Who are you? / should/shouldn't / should/shouldn't: ought to (= should)</t>
        </is>
      </c>
    </row>
    <row r="1787">
      <c r="A1787" s="25" t="n">
        <v>11</v>
      </c>
      <c r="B1787" s="9" t="inlineStr">
        <is>
          <t>Module 5 · Who are you?</t>
        </is>
      </c>
      <c r="C1787" s="9" t="inlineStr">
        <is>
          <t>5c</t>
        </is>
      </c>
      <c r="D1787" s="9" t="inlineStr">
        <is>
          <t>should/shouldn't</t>
        </is>
      </c>
      <c r="E1787" s="23" t="inlineStr">
        <is>
          <t>should/shouldn't: Shall I…? — просьба о совете</t>
        </is>
      </c>
      <c r="F1787" s="25" t="inlineStr">
        <is>
          <t>повторение</t>
        </is>
      </c>
      <c r="G1787" s="9" t="inlineStr"/>
      <c r="H1787" s="25" t="inlineStr">
        <is>
          <t>10+</t>
        </is>
      </c>
      <c r="I1787" s="9">
        <f>IFERROR(INDEX('Темы × классы'!$R:$R,MATCH(E1787,'Темы × классы'!$E:$E,0)),"")</f>
        <v/>
      </c>
      <c r="J1787" s="9">
        <f>IFERROR(INDEX('Темы × классы'!$S:$S,MATCH(E1787,'Темы × классы'!$E:$E,0))&amp;"","")</f>
        <v/>
      </c>
      <c r="K1787" s="9" t="inlineStr">
        <is>
          <t>не начат</t>
        </is>
      </c>
      <c r="L1787" s="9" t="inlineStr">
        <is>
          <t>Spotlight / 11 класс / Module 5 · Who are you? / should/shouldn't / should/shouldn't: Shall I…? — просьба о совете</t>
        </is>
      </c>
    </row>
    <row r="1788">
      <c r="A1788" s="25" t="n">
        <v>11</v>
      </c>
      <c r="B1788" s="9" t="inlineStr">
        <is>
          <t>Module 5 · Who are you?</t>
        </is>
      </c>
      <c r="C1788" s="9" t="inlineStr">
        <is>
          <t>5c</t>
        </is>
      </c>
      <c r="D1788" s="9" t="inlineStr">
        <is>
          <t>should/shouldn't</t>
        </is>
      </c>
      <c r="E1788" s="23" t="inlineStr">
        <is>
          <t>should/shouldn't: had better (= should)</t>
        </is>
      </c>
      <c r="F1788" s="26" t="inlineStr">
        <is>
          <t>новое</t>
        </is>
      </c>
      <c r="G1788" s="9" t="inlineStr">
        <is>
          <t>в списке semi-modals</t>
        </is>
      </c>
      <c r="H1788" s="25" t="inlineStr">
        <is>
          <t>10+</t>
        </is>
      </c>
      <c r="I1788" s="9">
        <f>IFERROR(INDEX('Темы × классы'!$R:$R,MATCH(E1788,'Темы × классы'!$E:$E,0)),"")</f>
        <v/>
      </c>
      <c r="J1788" s="9">
        <f>IFERROR(INDEX('Темы × классы'!$S:$S,MATCH(E1788,'Темы × классы'!$E:$E,0))&amp;"","")</f>
        <v/>
      </c>
      <c r="K1788" s="9" t="inlineStr">
        <is>
          <t>не начат</t>
        </is>
      </c>
      <c r="L1788" s="9" t="inlineStr">
        <is>
          <t>Spotlight / 11 класс / Module 5 · Who are you? / should/shouldn't / should/shouldn't: had better (= should)</t>
        </is>
      </c>
    </row>
    <row r="1789">
      <c r="A1789" s="25" t="n">
        <v>11</v>
      </c>
      <c r="B1789" s="9" t="inlineStr">
        <is>
          <t>Module 5 · Who are you?</t>
        </is>
      </c>
      <c r="C1789" s="9" t="inlineStr">
        <is>
          <t>5c</t>
        </is>
      </c>
      <c r="D1789" s="9" t="inlineStr">
        <is>
          <t>Modal verbs (deduction)</t>
        </is>
      </c>
      <c r="E1789" s="23" t="inlineStr">
        <is>
          <t>Modal verbs (deduction): must — уверенность (о настоящем)</t>
        </is>
      </c>
      <c r="F1789" s="25" t="inlineStr">
        <is>
          <t>повторение</t>
        </is>
      </c>
      <c r="G1789" s="9" t="inlineStr">
        <is>
          <t>He must be on his way home</t>
        </is>
      </c>
      <c r="H1789" s="25" t="inlineStr">
        <is>
          <t>10+</t>
        </is>
      </c>
      <c r="I1789" s="9">
        <f>IFERROR(INDEX('Темы × классы'!$R:$R,MATCH(E1789,'Темы × классы'!$E:$E,0)),"")</f>
        <v/>
      </c>
      <c r="J1789" s="9">
        <f>IFERROR(INDEX('Темы × классы'!$S:$S,MATCH(E1789,'Темы × классы'!$E:$E,0))&amp;"","")</f>
        <v/>
      </c>
      <c r="K1789" s="9" t="inlineStr">
        <is>
          <t>не начат</t>
        </is>
      </c>
      <c r="L1789" s="9" t="inlineStr">
        <is>
          <t>Spotlight / 11 класс / Module 5 · Who are you? / Modal verbs (deduction) / Modal verbs (deduction): must — уверенность (о настоящем)</t>
        </is>
      </c>
    </row>
    <row r="1790">
      <c r="A1790" s="25" t="n">
        <v>11</v>
      </c>
      <c r="B1790" s="9" t="inlineStr">
        <is>
          <t>Module 5 · Who are you?</t>
        </is>
      </c>
      <c r="C1790" s="9" t="inlineStr">
        <is>
          <t>5c</t>
        </is>
      </c>
      <c r="D1790" s="9" t="inlineStr">
        <is>
          <t>Modal verbs (deduction)</t>
        </is>
      </c>
      <c r="E1790" s="23" t="inlineStr">
        <is>
          <t>Modal verbs (deduction): may/might/could — вероятность (о настоящем)</t>
        </is>
      </c>
      <c r="F1790" s="25" t="inlineStr">
        <is>
          <t>повторение</t>
        </is>
      </c>
      <c r="G1790" s="9" t="inlineStr"/>
      <c r="H1790" s="25" t="inlineStr">
        <is>
          <t>10+</t>
        </is>
      </c>
      <c r="I1790" s="9">
        <f>IFERROR(INDEX('Темы × классы'!$R:$R,MATCH(E1790,'Темы × классы'!$E:$E,0)),"")</f>
        <v/>
      </c>
      <c r="J1790" s="9">
        <f>IFERROR(INDEX('Темы × классы'!$S:$S,MATCH(E1790,'Темы × классы'!$E:$E,0))&amp;"","")</f>
        <v/>
      </c>
      <c r="K1790" s="9" t="inlineStr">
        <is>
          <t>не начат</t>
        </is>
      </c>
      <c r="L1790" s="9" t="inlineStr">
        <is>
          <t>Spotlight / 11 класс / Module 5 · Who are you? / Modal verbs (deduction) / Modal verbs (deduction): may/might/could — вероятность (о настоящем)</t>
        </is>
      </c>
    </row>
    <row r="1791">
      <c r="A1791" s="25" t="n">
        <v>11</v>
      </c>
      <c r="B1791" s="9" t="inlineStr">
        <is>
          <t>Module 5 · Who are you?</t>
        </is>
      </c>
      <c r="C1791" s="9" t="inlineStr">
        <is>
          <t>5c</t>
        </is>
      </c>
      <c r="D1791" s="9" t="inlineStr">
        <is>
          <t>Modal verbs (deduction)</t>
        </is>
      </c>
      <c r="E1791" s="23" t="inlineStr">
        <is>
          <t>Modal verbs (deduction): can't/couldn't — невозможность (о настоящем)</t>
        </is>
      </c>
      <c r="F1791" s="25" t="inlineStr">
        <is>
          <t>повторение</t>
        </is>
      </c>
      <c r="G1791" s="9" t="inlineStr"/>
      <c r="H1791" s="25" t="inlineStr">
        <is>
          <t>10+</t>
        </is>
      </c>
      <c r="I1791" s="9">
        <f>IFERROR(INDEX('Темы × классы'!$R:$R,MATCH(E1791,'Темы × классы'!$E:$E,0)),"")</f>
        <v/>
      </c>
      <c r="J1791" s="9">
        <f>IFERROR(INDEX('Темы × классы'!$S:$S,MATCH(E1791,'Темы × классы'!$E:$E,0))&amp;"","")</f>
        <v/>
      </c>
      <c r="K1791" s="9" t="inlineStr">
        <is>
          <t>не начат</t>
        </is>
      </c>
      <c r="L1791" s="9" t="inlineStr">
        <is>
          <t>Spotlight / 11 класс / Module 5 · Who are you? / Modal verbs (deduction) / Modal verbs (deduction): can't/couldn't — невозможность (о настоящем)</t>
        </is>
      </c>
    </row>
    <row r="1792">
      <c r="A1792" s="25" t="n">
        <v>11</v>
      </c>
      <c r="B1792" s="9" t="inlineStr">
        <is>
          <t>Module 5 · Who are you?</t>
        </is>
      </c>
      <c r="C1792" s="9" t="inlineStr">
        <is>
          <t>5c</t>
        </is>
      </c>
      <c r="D1792" s="9" t="inlineStr">
        <is>
          <t>Modal verbs (deduction)</t>
        </is>
      </c>
      <c r="E1792" s="23" t="inlineStr">
        <is>
          <t>Modal verbs (deduction): выводы о прошлом — must/may/might/could/can't + have V3</t>
        </is>
      </c>
      <c r="F1792" s="25" t="inlineStr">
        <is>
          <t>повторение</t>
        </is>
      </c>
      <c r="G1792" s="9" t="inlineStr">
        <is>
          <t>They could have been killed</t>
        </is>
      </c>
      <c r="H1792" s="25" t="inlineStr">
        <is>
          <t>10+</t>
        </is>
      </c>
      <c r="I1792" s="9">
        <f>IFERROR(INDEX('Темы × классы'!$R:$R,MATCH(E1792,'Темы × классы'!$E:$E,0)),"")</f>
        <v/>
      </c>
      <c r="J1792" s="9">
        <f>IFERROR(INDEX('Темы × классы'!$S:$S,MATCH(E1792,'Темы × классы'!$E:$E,0))&amp;"","")</f>
        <v/>
      </c>
      <c r="K1792" s="9" t="inlineStr">
        <is>
          <t>не начат</t>
        </is>
      </c>
      <c r="L1792" s="9" t="inlineStr">
        <is>
          <t>Spotlight / 11 класс / Module 5 · Who are you? / Modal verbs (deduction) / Modal verbs (deduction): выводы о прошлом — must/may/might/could/can't + have V3</t>
        </is>
      </c>
    </row>
    <row r="1793">
      <c r="A1793" s="25" t="n">
        <v>11</v>
      </c>
      <c r="B1793" s="9" t="inlineStr">
        <is>
          <t>Module 5 · Who are you?</t>
        </is>
      </c>
      <c r="C1793" s="9" t="inlineStr">
        <is>
          <t>5c</t>
        </is>
      </c>
      <c r="D1793" s="9" t="inlineStr">
        <is>
          <t>Modal verbs (deduction)</t>
        </is>
      </c>
      <c r="E1793" s="23" t="inlineStr">
        <is>
          <t>Modal verbs (deduction): вероятность — will (100%) vs should/ought to (90%)</t>
        </is>
      </c>
      <c r="F1793" s="25" t="inlineStr">
        <is>
          <t>повторение</t>
        </is>
      </c>
      <c r="G1793" s="9" t="inlineStr">
        <is>
          <t>should/ought to — только о будущем</t>
        </is>
      </c>
      <c r="H1793" s="25" t="inlineStr">
        <is>
          <t>10+</t>
        </is>
      </c>
      <c r="I1793" s="9">
        <f>IFERROR(INDEX('Темы × классы'!$R:$R,MATCH(E1793,'Темы × классы'!$E:$E,0)),"")</f>
        <v/>
      </c>
      <c r="J1793" s="9">
        <f>IFERROR(INDEX('Темы × классы'!$S:$S,MATCH(E1793,'Темы × классы'!$E:$E,0))&amp;"","")</f>
        <v/>
      </c>
      <c r="K1793" s="9" t="inlineStr">
        <is>
          <t>не начат</t>
        </is>
      </c>
      <c r="L1793" s="9" t="inlineStr">
        <is>
          <t>Spotlight / 11 класс / Module 5 · Who are you? / Modal verbs (deduction) / Modal verbs (deduction): вероятность — will (100%) vs should/ought to (90%)</t>
        </is>
      </c>
    </row>
    <row r="1794">
      <c r="A1794" s="25" t="n">
        <v>11</v>
      </c>
      <c r="B1794" s="9" t="inlineStr">
        <is>
          <t>Module 5 · Who are you?</t>
        </is>
      </c>
      <c r="C1794" s="9" t="inlineStr">
        <is>
          <t>5c</t>
        </is>
      </c>
      <c r="D1794" s="9" t="inlineStr">
        <is>
          <t>Modal verbs (functions)</t>
        </is>
      </c>
      <c r="E1794" s="23" t="inlineStr">
        <is>
          <t>Modal verbs: общие правила формы — без -s/-ing/-ed, + инфинитив без to</t>
        </is>
      </c>
      <c r="F1794" s="25" t="inlineStr">
        <is>
          <t>повторение</t>
        </is>
      </c>
      <c r="G1794" s="9" t="inlineStr"/>
      <c r="H1794" s="25" t="inlineStr">
        <is>
          <t>10+</t>
        </is>
      </c>
      <c r="I1794" s="9">
        <f>IFERROR(INDEX('Темы × классы'!$R:$R,MATCH(E1794,'Темы × классы'!$E:$E,0)),"")</f>
        <v/>
      </c>
      <c r="J1794" s="9">
        <f>IFERROR(INDEX('Темы × классы'!$S:$S,MATCH(E1794,'Темы × классы'!$E:$E,0))&amp;"","")</f>
        <v/>
      </c>
      <c r="K1794" s="9" t="inlineStr">
        <is>
          <t>не начат</t>
        </is>
      </c>
      <c r="L1794" s="9" t="inlineStr">
        <is>
          <t>Spotlight / 11 класс / Module 5 · Who are you? / Modal verbs (functions) / Modal verbs: общие правила формы — без -s/-ing/-ed, + инфинитив без to</t>
        </is>
      </c>
    </row>
    <row r="1795">
      <c r="A1795" s="25" t="n">
        <v>11</v>
      </c>
      <c r="B1795" s="9" t="inlineStr">
        <is>
          <t>Module 5 · Who are you?</t>
        </is>
      </c>
      <c r="C1795" s="9" t="inlineStr">
        <is>
          <t>5c</t>
        </is>
      </c>
      <c r="D1795" s="9" t="inlineStr">
        <is>
          <t>Modal verbs (functions)</t>
        </is>
      </c>
      <c r="E1795" s="23" t="inlineStr">
        <is>
          <t>Modal verbs: вопрос и отрицание (инверсия, not)</t>
        </is>
      </c>
      <c r="F1795" s="25" t="inlineStr">
        <is>
          <t>повторение</t>
        </is>
      </c>
      <c r="G1795" s="9" t="inlineStr"/>
      <c r="H1795" s="25" t="inlineStr">
        <is>
          <t>10+</t>
        </is>
      </c>
      <c r="I1795" s="9">
        <f>IFERROR(INDEX('Темы × классы'!$R:$R,MATCH(E1795,'Темы × классы'!$E:$E,0)),"")</f>
        <v/>
      </c>
      <c r="J1795" s="9">
        <f>IFERROR(INDEX('Темы × классы'!$S:$S,MATCH(E1795,'Темы × классы'!$E:$E,0))&amp;"","")</f>
        <v/>
      </c>
      <c r="K1795" s="9" t="inlineStr">
        <is>
          <t>не начат</t>
        </is>
      </c>
      <c r="L1795" s="9" t="inlineStr">
        <is>
          <t>Spotlight / 11 класс / Module 5 · Who are you? / Modal verbs (functions) / Modal verbs: вопрос и отрицание (инверсия, not)</t>
        </is>
      </c>
    </row>
    <row r="1796">
      <c r="A1796" s="25" t="n">
        <v>11</v>
      </c>
      <c r="B1796" s="9" t="inlineStr">
        <is>
          <t>Module 5 · Who are you?</t>
        </is>
      </c>
      <c r="C1796" s="9" t="inlineStr">
        <is>
          <t>5c</t>
        </is>
      </c>
      <c r="D1796" s="9" t="inlineStr">
        <is>
          <t>Modal verbs (functions)</t>
        </is>
      </c>
      <c r="E1796" s="23" t="inlineStr">
        <is>
          <t>Modal verbs: + простой инфинитив (наст./буд.) vs + перфектный инфинитив (прошлое)</t>
        </is>
      </c>
      <c r="F1796" s="25" t="inlineStr">
        <is>
          <t>повторение</t>
        </is>
      </c>
      <c r="G1796" s="9" t="inlineStr">
        <is>
          <t>незавершённое vs завершённое действие</t>
        </is>
      </c>
      <c r="H1796" s="25" t="inlineStr">
        <is>
          <t>10+</t>
        </is>
      </c>
      <c r="I1796" s="9">
        <f>IFERROR(INDEX('Темы × классы'!$R:$R,MATCH(E1796,'Темы × классы'!$E:$E,0)),"")</f>
        <v/>
      </c>
      <c r="J1796" s="9">
        <f>IFERROR(INDEX('Темы × классы'!$S:$S,MATCH(E1796,'Темы × классы'!$E:$E,0))&amp;"","")</f>
        <v/>
      </c>
      <c r="K1796" s="9" t="inlineStr">
        <is>
          <t>не начат</t>
        </is>
      </c>
      <c r="L1796" s="9" t="inlineStr">
        <is>
          <t>Spotlight / 11 класс / Module 5 · Who are you? / Modal verbs (functions) / Modal verbs: + простой инфинитив (наст./буд.) vs + перфектный инфинитив (прошлое)</t>
        </is>
      </c>
    </row>
    <row r="1797">
      <c r="A1797" s="25" t="n">
        <v>11</v>
      </c>
      <c r="B1797" s="9" t="inlineStr">
        <is>
          <t>Module 5 · Who are you?</t>
        </is>
      </c>
      <c r="C1797" s="9" t="inlineStr">
        <is>
          <t>5c</t>
        </is>
      </c>
      <c r="D1797" s="9" t="inlineStr">
        <is>
          <t>Modal verbs (functions)</t>
        </is>
      </c>
      <c r="E1797" s="23" t="inlineStr">
        <is>
          <t>Modal verbs: формы инфинитива — simple / continuous / perfect / perfect continuous</t>
        </is>
      </c>
      <c r="F1797" s="25" t="inlineStr">
        <is>
          <t>повторение</t>
        </is>
      </c>
      <c r="G1797" s="9" t="inlineStr"/>
      <c r="H1797" s="25" t="inlineStr">
        <is>
          <t>10+</t>
        </is>
      </c>
      <c r="I1797" s="9">
        <f>IFERROR(INDEX('Темы × классы'!$R:$R,MATCH(E1797,'Темы × классы'!$E:$E,0)),"")</f>
        <v/>
      </c>
      <c r="J1797" s="9">
        <f>IFERROR(INDEX('Темы × классы'!$S:$S,MATCH(E1797,'Темы × классы'!$E:$E,0))&amp;"","")</f>
        <v/>
      </c>
      <c r="K1797" s="9" t="inlineStr">
        <is>
          <t>не начат</t>
        </is>
      </c>
      <c r="L1797" s="9" t="inlineStr">
        <is>
          <t>Spotlight / 11 класс / Module 5 · Who are you? / Modal verbs (functions) / Modal verbs: формы инфинитива — simple / continuous / perfect / perfect continuous</t>
        </is>
      </c>
    </row>
    <row r="1798">
      <c r="A1798" s="25" t="n">
        <v>11</v>
      </c>
      <c r="B1798" s="9" t="inlineStr">
        <is>
          <t>Module 5 · Who are you?</t>
        </is>
      </c>
      <c r="C1798" s="9" t="inlineStr">
        <is>
          <t>5c</t>
        </is>
      </c>
      <c r="D1798" s="9" t="inlineStr">
        <is>
          <t>Modal verbs (functions)</t>
        </is>
      </c>
      <c r="E1798" s="23" t="inlineStr">
        <is>
          <t>Modal verbs: значение — критика (could / should / ought to)</t>
        </is>
      </c>
      <c r="F1798" s="25" t="inlineStr">
        <is>
          <t>повторение</t>
        </is>
      </c>
      <c r="G1798" s="9" t="inlineStr">
        <is>
          <t>could at least have called; should have + PP</t>
        </is>
      </c>
      <c r="H1798" s="25" t="inlineStr">
        <is>
          <t>10+</t>
        </is>
      </c>
      <c r="I1798" s="9">
        <f>IFERROR(INDEX('Темы × классы'!$R:$R,MATCH(E1798,'Темы × классы'!$E:$E,0)),"")</f>
        <v/>
      </c>
      <c r="J1798" s="9">
        <f>IFERROR(INDEX('Темы × классы'!$S:$S,MATCH(E1798,'Темы × классы'!$E:$E,0))&amp;"","")</f>
        <v/>
      </c>
      <c r="K1798" s="9" t="inlineStr">
        <is>
          <t>не начат</t>
        </is>
      </c>
      <c r="L1798" s="9" t="inlineStr">
        <is>
          <t>Spotlight / 11 класс / Module 5 · Who are you? / Modal verbs (functions) / Modal verbs: значение — критика (could / should / ought to)</t>
        </is>
      </c>
    </row>
    <row r="1799">
      <c r="A1799" s="25" t="n">
        <v>11</v>
      </c>
      <c r="B1799" s="9" t="inlineStr">
        <is>
          <t>Module 5 · Who are you?</t>
        </is>
      </c>
      <c r="C1799" s="9" t="inlineStr">
        <is>
          <t>5c</t>
        </is>
      </c>
      <c r="D1799" s="9" t="inlineStr">
        <is>
          <t>Modal verbs (functions)</t>
        </is>
      </c>
      <c r="E1799" s="23" t="inlineStr">
        <is>
          <t>Modal verbs: значение — предложения (offers/suggestions)</t>
        </is>
      </c>
      <c r="F1799" s="26" t="inlineStr">
        <is>
          <t>новое</t>
        </is>
      </c>
      <c r="G1799" s="9" t="inlineStr">
        <is>
          <t>Would you like…? Shall I…? Can I…? We can/could…</t>
        </is>
      </c>
      <c r="H1799" s="25" t="inlineStr">
        <is>
          <t>10+</t>
        </is>
      </c>
      <c r="I1799" s="9">
        <f>IFERROR(INDEX('Темы × классы'!$R:$R,MATCH(E1799,'Темы × классы'!$E:$E,0)),"")</f>
        <v/>
      </c>
      <c r="J1799" s="9">
        <f>IFERROR(INDEX('Темы × классы'!$S:$S,MATCH(E1799,'Темы × классы'!$E:$E,0))&amp;"","")</f>
        <v/>
      </c>
      <c r="K1799" s="9" t="inlineStr">
        <is>
          <t>не начат</t>
        </is>
      </c>
      <c r="L1799" s="9" t="inlineStr">
        <is>
          <t>Spotlight / 11 класс / Module 5 · Who are you? / Modal verbs (functions) / Modal verbs: значение — предложения (offers/suggestions)</t>
        </is>
      </c>
    </row>
    <row r="1800">
      <c r="A1800" s="25" t="n">
        <v>11</v>
      </c>
      <c r="B1800" s="9" t="inlineStr">
        <is>
          <t>Module 5 · Who are you?</t>
        </is>
      </c>
      <c r="C1800" s="9" t="inlineStr">
        <is>
          <t>5c</t>
        </is>
      </c>
      <c r="D1800" s="9" t="inlineStr">
        <is>
          <t>Modal verbs (functions)</t>
        </is>
      </c>
      <c r="E1800" s="23" t="inlineStr">
        <is>
          <t>Modal verbs: обзор значений модальных (систематизация)</t>
        </is>
      </c>
      <c r="F1800" s="25" t="inlineStr">
        <is>
          <t>повторение</t>
        </is>
      </c>
      <c r="G1800" s="9" t="inlineStr">
        <is>
          <t>систематизация по функциям</t>
        </is>
      </c>
      <c r="H1800" s="25" t="inlineStr">
        <is>
          <t>10+</t>
        </is>
      </c>
      <c r="I1800" s="9">
        <f>IFERROR(INDEX('Темы × классы'!$R:$R,MATCH(E1800,'Темы × классы'!$E:$E,0)),"")</f>
        <v/>
      </c>
      <c r="J1800" s="9">
        <f>IFERROR(INDEX('Темы × классы'!$S:$S,MATCH(E1800,'Темы × классы'!$E:$E,0))&amp;"","")</f>
        <v/>
      </c>
      <c r="K1800" s="9" t="inlineStr">
        <is>
          <t>не начат</t>
        </is>
      </c>
      <c r="L1800" s="9" t="inlineStr">
        <is>
          <t>Spotlight / 11 класс / Module 5 · Who are you? / Modal verbs (functions) / Modal verbs: обзор значений модальных (систематизация)</t>
        </is>
      </c>
    </row>
    <row r="1801">
      <c r="A1801" s="25" t="n">
        <v>11</v>
      </c>
      <c r="B1801" s="9" t="inlineStr">
        <is>
          <t>Module 5 · Who are you?</t>
        </is>
      </c>
      <c r="C1801" s="9" t="inlineStr">
        <is>
          <t>5c</t>
        </is>
      </c>
      <c r="D1801" s="9" t="inlineStr">
        <is>
          <t>can/could (ability past)</t>
        </is>
      </c>
      <c r="E1801" s="23" t="inlineStr">
        <is>
          <t>can/could (ability past): could — общая способность в прошлом</t>
        </is>
      </c>
      <c r="F1801" s="25" t="inlineStr">
        <is>
          <t>повторение</t>
        </is>
      </c>
      <c r="G1801" s="9" t="inlineStr"/>
      <c r="H1801" s="25" t="inlineStr">
        <is>
          <t>10+</t>
        </is>
      </c>
      <c r="I1801" s="9">
        <f>IFERROR(INDEX('Темы × классы'!$R:$R,MATCH(E1801,'Темы × классы'!$E:$E,0)),"")</f>
        <v/>
      </c>
      <c r="J1801" s="9">
        <f>IFERROR(INDEX('Темы × классы'!$S:$S,MATCH(E1801,'Темы × классы'!$E:$E,0))&amp;"","")</f>
        <v/>
      </c>
      <c r="K1801" s="9" t="inlineStr">
        <is>
          <t>не начат</t>
        </is>
      </c>
      <c r="L1801" s="9" t="inlineStr">
        <is>
          <t>Spotlight / 11 класс / Module 5 · Who are you? / can/could (ability past) / can/could (ability past): could — общая способность в прошлом</t>
        </is>
      </c>
    </row>
    <row r="1802">
      <c r="A1802" s="25" t="n">
        <v>11</v>
      </c>
      <c r="B1802" s="9" t="inlineStr">
        <is>
          <t>Module 5 · Who are you?</t>
        </is>
      </c>
      <c r="C1802" s="9" t="inlineStr">
        <is>
          <t>5c</t>
        </is>
      </c>
      <c r="D1802" s="9" t="inlineStr">
        <is>
          <t>can/could (ability past)</t>
        </is>
      </c>
      <c r="E1802" s="23" t="inlineStr">
        <is>
          <t>can/could (ability past): was/were able to — способность в конкретной ситуации</t>
        </is>
      </c>
      <c r="F1802" s="25" t="inlineStr">
        <is>
          <t>повторение</t>
        </is>
      </c>
      <c r="G1802" s="9" t="inlineStr"/>
      <c r="H1802" s="25" t="inlineStr">
        <is>
          <t>10+</t>
        </is>
      </c>
      <c r="I1802" s="9">
        <f>IFERROR(INDEX('Темы × классы'!$R:$R,MATCH(E1802,'Темы × классы'!$E:$E,0)),"")</f>
        <v/>
      </c>
      <c r="J1802" s="9">
        <f>IFERROR(INDEX('Темы × классы'!$S:$S,MATCH(E1802,'Темы × классы'!$E:$E,0))&amp;"","")</f>
        <v/>
      </c>
      <c r="K1802" s="9" t="inlineStr">
        <is>
          <t>не начат</t>
        </is>
      </c>
      <c r="L1802" s="9" t="inlineStr">
        <is>
          <t>Spotlight / 11 класс / Module 5 · Who are you? / can/could (ability past) / can/could (ability past): was/were able to — способность в конкретной ситуации</t>
        </is>
      </c>
    </row>
    <row r="1803">
      <c r="A1803" s="25" t="n">
        <v>11</v>
      </c>
      <c r="B1803" s="9" t="inlineStr">
        <is>
          <t>Module 5 · Who are you?</t>
        </is>
      </c>
      <c r="C1803" s="9" t="inlineStr">
        <is>
          <t>5c</t>
        </is>
      </c>
      <c r="D1803" s="9" t="inlineStr">
        <is>
          <t>can/could (ability past)</t>
        </is>
      </c>
      <c r="E1803" s="23" t="inlineStr">
        <is>
          <t>can/could (ability past): couldn't — неспособность в прошлом</t>
        </is>
      </c>
      <c r="F1803" s="25" t="inlineStr">
        <is>
          <t>повторение</t>
        </is>
      </c>
      <c r="G1803" s="9" t="inlineStr">
        <is>
          <t>любая неспособность — повторяющаяся или конкретная</t>
        </is>
      </c>
      <c r="H1803" s="25" t="inlineStr">
        <is>
          <t>10+</t>
        </is>
      </c>
      <c r="I1803" s="9">
        <f>IFERROR(INDEX('Темы × классы'!$R:$R,MATCH(E1803,'Темы × классы'!$E:$E,0)),"")</f>
        <v/>
      </c>
      <c r="J1803" s="9">
        <f>IFERROR(INDEX('Темы × классы'!$S:$S,MATCH(E1803,'Темы × классы'!$E:$E,0))&amp;"","")</f>
        <v/>
      </c>
      <c r="K1803" s="9" t="inlineStr">
        <is>
          <t>не начат</t>
        </is>
      </c>
      <c r="L1803" s="9" t="inlineStr">
        <is>
          <t>Spotlight / 11 класс / Module 5 · Who are you? / can/could (ability past) / can/could (ability past): couldn't — неспособность в прошлом</t>
        </is>
      </c>
    </row>
    <row r="1804">
      <c r="A1804" s="25" t="n">
        <v>11</v>
      </c>
      <c r="B1804" s="9" t="inlineStr">
        <is>
          <t>Module 5 · Who are you?</t>
        </is>
      </c>
      <c r="C1804" s="9" t="inlineStr">
        <is>
          <t>5c</t>
        </is>
      </c>
      <c r="D1804" s="9" t="inlineStr">
        <is>
          <t>can/could (ability past)</t>
        </is>
      </c>
      <c r="E1804" s="23" t="inlineStr">
        <is>
          <t>can/could (ability past): be able to в других временах (will be able to)</t>
        </is>
      </c>
      <c r="F1804" s="26" t="inlineStr">
        <is>
          <t>новое</t>
        </is>
      </c>
      <c r="G1804" s="9" t="inlineStr">
        <is>
          <t>Will you be able to help me?</t>
        </is>
      </c>
      <c r="H1804" s="25" t="inlineStr">
        <is>
          <t>10+</t>
        </is>
      </c>
      <c r="I1804" s="9">
        <f>IFERROR(INDEX('Темы × классы'!$R:$R,MATCH(E1804,'Темы × классы'!$E:$E,0)),"")</f>
        <v/>
      </c>
      <c r="J1804" s="9">
        <f>IFERROR(INDEX('Темы × классы'!$S:$S,MATCH(E1804,'Темы × классы'!$E:$E,0))&amp;"","")</f>
        <v/>
      </c>
      <c r="K1804" s="9" t="inlineStr">
        <is>
          <t>не начат</t>
        </is>
      </c>
      <c r="L1804" s="9" t="inlineStr">
        <is>
          <t>Spotlight / 11 класс / Module 5 · Who are you? / can/could (ability past) / can/could (ability past): be able to в других временах (will be able to)</t>
        </is>
      </c>
    </row>
    <row r="1805">
      <c r="A1805" s="25" t="n">
        <v>11</v>
      </c>
      <c r="B1805" s="9" t="inlineStr">
        <is>
          <t>Module 5 · Who are you?</t>
        </is>
      </c>
      <c r="C1805" s="9" t="inlineStr">
        <is>
          <t>5c</t>
        </is>
      </c>
      <c r="D1805" s="9" t="inlineStr">
        <is>
          <t>Semi-modals</t>
        </is>
      </c>
      <c r="E1805" s="23" t="inlineStr">
        <is>
          <t>Semi-modals: need (= must), have (got) to (= must)</t>
        </is>
      </c>
      <c r="F1805" s="26" t="inlineStr">
        <is>
          <t>новое</t>
        </is>
      </c>
      <c r="G1805" s="9" t="inlineStr"/>
      <c r="H1805" s="25" t="inlineStr">
        <is>
          <t>10+</t>
        </is>
      </c>
      <c r="I1805" s="9">
        <f>IFERROR(INDEX('Темы × классы'!$R:$R,MATCH(E1805,'Темы × классы'!$E:$E,0)),"")</f>
        <v/>
      </c>
      <c r="J1805" s="9">
        <f>IFERROR(INDEX('Темы × классы'!$S:$S,MATCH(E1805,'Темы × классы'!$E:$E,0))&amp;"","")</f>
        <v/>
      </c>
      <c r="K1805" s="9" t="inlineStr">
        <is>
          <t>не начат</t>
        </is>
      </c>
      <c r="L1805" s="9" t="inlineStr">
        <is>
          <t>Spotlight / 11 класс / Module 5 · Who are you? / Semi-modals / Semi-modals: need (= must), have (got) to (= must)</t>
        </is>
      </c>
    </row>
    <row r="1806">
      <c r="A1806" s="25" t="n">
        <v>11</v>
      </c>
      <c r="B1806" s="9" t="inlineStr">
        <is>
          <t>Module 5 · Who are you?</t>
        </is>
      </c>
      <c r="C1806" s="9" t="inlineStr">
        <is>
          <t>5c</t>
        </is>
      </c>
      <c r="D1806" s="9" t="inlineStr">
        <is>
          <t>Semi-modals</t>
        </is>
      </c>
      <c r="E1806" s="23" t="inlineStr">
        <is>
          <t>Semi-modals: had better (= should)</t>
        </is>
      </c>
      <c r="F1806" s="26" t="inlineStr">
        <is>
          <t>новое</t>
        </is>
      </c>
      <c r="G1806" s="9" t="inlineStr"/>
      <c r="H1806" s="25" t="inlineStr">
        <is>
          <t>10+</t>
        </is>
      </c>
      <c r="I1806" s="9">
        <f>IFERROR(INDEX('Темы × классы'!$R:$R,MATCH(E1806,'Темы × классы'!$E:$E,0)),"")</f>
        <v/>
      </c>
      <c r="J1806" s="9">
        <f>IFERROR(INDEX('Темы × классы'!$S:$S,MATCH(E1806,'Темы × классы'!$E:$E,0))&amp;"","")</f>
        <v/>
      </c>
      <c r="K1806" s="9" t="inlineStr">
        <is>
          <t>не начат</t>
        </is>
      </c>
      <c r="L1806" s="9" t="inlineStr">
        <is>
          <t>Spotlight / 11 класс / Module 5 · Who are you? / Semi-modals / Semi-modals: had better (= should)</t>
        </is>
      </c>
    </row>
    <row r="1807">
      <c r="A1807" s="25" t="n">
        <v>11</v>
      </c>
      <c r="B1807" s="9" t="inlineStr">
        <is>
          <t>Module 5 · Who are you?</t>
        </is>
      </c>
      <c r="C1807" s="9" t="inlineStr">
        <is>
          <t>5c</t>
        </is>
      </c>
      <c r="D1807" s="9" t="inlineStr">
        <is>
          <t>Semi-modals</t>
        </is>
      </c>
      <c r="E1807" s="23" t="inlineStr">
        <is>
          <t>Semi-modals: be able to (= can)</t>
        </is>
      </c>
      <c r="F1807" s="26" t="inlineStr">
        <is>
          <t>новое</t>
        </is>
      </c>
      <c r="G1807" s="9" t="inlineStr"/>
      <c r="H1807" s="25" t="inlineStr">
        <is>
          <t>10+</t>
        </is>
      </c>
      <c r="I1807" s="9">
        <f>IFERROR(INDEX('Темы × классы'!$R:$R,MATCH(E1807,'Темы × классы'!$E:$E,0)),"")</f>
        <v/>
      </c>
      <c r="J1807" s="9">
        <f>IFERROR(INDEX('Темы × классы'!$S:$S,MATCH(E1807,'Темы × классы'!$E:$E,0))&amp;"","")</f>
        <v/>
      </c>
      <c r="K1807" s="9" t="inlineStr">
        <is>
          <t>не начат</t>
        </is>
      </c>
      <c r="L1807" s="9" t="inlineStr">
        <is>
          <t>Spotlight / 11 класс / Module 5 · Who are you? / Semi-modals / Semi-modals: be able to (= can)</t>
        </is>
      </c>
    </row>
    <row r="1808">
      <c r="A1808" s="25" t="n">
        <v>11</v>
      </c>
      <c r="B1808" s="9" t="inlineStr">
        <is>
          <t>Module 5 · Who are you?</t>
        </is>
      </c>
      <c r="C1808" s="9" t="inlineStr">
        <is>
          <t>5c</t>
        </is>
      </c>
      <c r="D1808" s="9" t="inlineStr">
        <is>
          <t>Semi-modals</t>
        </is>
      </c>
      <c r="E1808" s="23" t="inlineStr">
        <is>
          <t>Semi-modals: used to (= would)</t>
        </is>
      </c>
      <c r="F1808" s="26" t="inlineStr">
        <is>
          <t>новое</t>
        </is>
      </c>
      <c r="G1808" s="9" t="inlineStr"/>
      <c r="H1808" s="25" t="inlineStr">
        <is>
          <t>10+</t>
        </is>
      </c>
      <c r="I1808" s="9">
        <f>IFERROR(INDEX('Темы × классы'!$R:$R,MATCH(E1808,'Темы × классы'!$E:$E,0)),"")</f>
        <v/>
      </c>
      <c r="J1808" s="9">
        <f>IFERROR(INDEX('Темы × классы'!$S:$S,MATCH(E1808,'Темы × классы'!$E:$E,0))&amp;"","")</f>
        <v/>
      </c>
      <c r="K1808" s="9" t="inlineStr">
        <is>
          <t>не начат</t>
        </is>
      </c>
      <c r="L1808" s="9" t="inlineStr">
        <is>
          <t>Spotlight / 11 класс / Module 5 · Who are you? / Semi-modals / Semi-modals: used to (= would)</t>
        </is>
      </c>
    </row>
    <row r="1809">
      <c r="A1809" s="25" t="n">
        <v>11</v>
      </c>
      <c r="B1809" s="9" t="inlineStr">
        <is>
          <t>Module 5 · Who are you?</t>
        </is>
      </c>
      <c r="C1809" s="9" t="inlineStr">
        <is>
          <t>5c</t>
        </is>
      </c>
      <c r="D1809" s="9" t="inlineStr">
        <is>
          <t>must/have to (obligation)</t>
        </is>
      </c>
      <c r="E1809" s="23" t="inlineStr">
        <is>
          <t>must/have to (obligation): must vs have to — субъективная vs объективная необходимость</t>
        </is>
      </c>
      <c r="F1809" s="26" t="inlineStr">
        <is>
          <t>новое</t>
        </is>
      </c>
      <c r="G1809" s="9" t="inlineStr">
        <is>
          <t>must — говорящий решил сам; have to — объективные обстоятельства</t>
        </is>
      </c>
      <c r="H1809" s="25" t="inlineStr">
        <is>
          <t>10+</t>
        </is>
      </c>
      <c r="I1809" s="9">
        <f>IFERROR(INDEX('Темы × классы'!$R:$R,MATCH(E1809,'Темы × классы'!$E:$E,0)),"")</f>
        <v/>
      </c>
      <c r="J1809" s="9">
        <f>IFERROR(INDEX('Темы × классы'!$S:$S,MATCH(E1809,'Темы × классы'!$E:$E,0))&amp;"","")</f>
        <v/>
      </c>
      <c r="K1809" s="9" t="inlineStr">
        <is>
          <t>не начат</t>
        </is>
      </c>
      <c r="L1809" s="9" t="inlineStr">
        <is>
          <t>Spotlight / 11 класс / Module 5 · Who are you? / must/have to (obligation) / must/have to (obligation): must vs have to — субъективная vs объективная необходимость</t>
        </is>
      </c>
    </row>
    <row r="1810">
      <c r="A1810" s="25" t="n">
        <v>11</v>
      </c>
      <c r="B1810" s="9" t="inlineStr">
        <is>
          <t>Module 5 · Who are you?</t>
        </is>
      </c>
      <c r="C1810" s="9" t="inlineStr">
        <is>
          <t>5c</t>
        </is>
      </c>
      <c r="D1810" s="9" t="inlineStr">
        <is>
          <t>must/have to (obligation)</t>
        </is>
      </c>
      <c r="E1810" s="23" t="inlineStr">
        <is>
          <t>must/have to (obligation): had to — прошедшее для must и have to</t>
        </is>
      </c>
      <c r="F1810" s="26" t="inlineStr">
        <is>
          <t>новое</t>
        </is>
      </c>
      <c r="G1810" s="9" t="inlineStr"/>
      <c r="H1810" s="25" t="inlineStr">
        <is>
          <t>10+</t>
        </is>
      </c>
      <c r="I1810" s="9">
        <f>IFERROR(INDEX('Темы × классы'!$R:$R,MATCH(E1810,'Темы × классы'!$E:$E,0)),"")</f>
        <v/>
      </c>
      <c r="J1810" s="9">
        <f>IFERROR(INDEX('Темы × классы'!$S:$S,MATCH(E1810,'Темы × классы'!$E:$E,0))&amp;"","")</f>
        <v/>
      </c>
      <c r="K1810" s="9" t="inlineStr">
        <is>
          <t>не начат</t>
        </is>
      </c>
      <c r="L1810" s="9" t="inlineStr">
        <is>
          <t>Spotlight / 11 класс / Module 5 · Who are you? / must/have to (obligation) / must/have to (obligation): had to — прошедшее для must и have to</t>
        </is>
      </c>
    </row>
    <row r="1811">
      <c r="A1811" s="25" t="n">
        <v>11</v>
      </c>
      <c r="B1811" s="9" t="inlineStr">
        <is>
          <t>Module 5 · Who are you?</t>
        </is>
      </c>
      <c r="C1811" s="9" t="inlineStr">
        <is>
          <t>5c</t>
        </is>
      </c>
      <c r="D1811" s="9" t="inlineStr">
        <is>
          <t>must/have to (obligation)</t>
        </is>
      </c>
      <c r="E1811" s="23" t="inlineStr">
        <is>
          <t>must/have to (obligation): should/ought to — долг, слабая обязанность</t>
        </is>
      </c>
      <c r="F1811" s="26" t="inlineStr">
        <is>
          <t>новое</t>
        </is>
      </c>
      <c r="G1811" s="9" t="inlineStr"/>
      <c r="H1811" s="25" t="inlineStr">
        <is>
          <t>10+</t>
        </is>
      </c>
      <c r="I1811" s="9">
        <f>IFERROR(INDEX('Темы × классы'!$R:$R,MATCH(E1811,'Темы × классы'!$E:$E,0)),"")</f>
        <v/>
      </c>
      <c r="J1811" s="9">
        <f>IFERROR(INDEX('Темы × классы'!$S:$S,MATCH(E1811,'Темы × классы'!$E:$E,0))&amp;"","")</f>
        <v/>
      </c>
      <c r="K1811" s="9" t="inlineStr">
        <is>
          <t>не начат</t>
        </is>
      </c>
      <c r="L1811" s="9" t="inlineStr">
        <is>
          <t>Spotlight / 11 класс / Module 5 · Who are you? / must/have to (obligation) / must/have to (obligation): should/ought to — долг, слабая обязанность</t>
        </is>
      </c>
    </row>
    <row r="1812">
      <c r="A1812" s="25" t="n">
        <v>11</v>
      </c>
      <c r="B1812" s="9" t="inlineStr">
        <is>
          <t>Module 5 · Who are you?</t>
        </is>
      </c>
      <c r="C1812" s="9" t="inlineStr">
        <is>
          <t>5c</t>
        </is>
      </c>
      <c r="D1812" s="9" t="inlineStr">
        <is>
          <t>Phrasal verbs</t>
        </is>
      </c>
      <c r="E1812" s="23" t="inlineStr">
        <is>
          <t>Phrasal verbs: do</t>
        </is>
      </c>
      <c r="F1812" s="26" t="inlineStr">
        <is>
          <t>новое</t>
        </is>
      </c>
      <c r="G1812" s="9" t="inlineStr">
        <is>
          <t>do + частицы (English in Use 5c); конкретные частицы в доступных страницах не даны.</t>
        </is>
      </c>
      <c r="H1812" s="25" t="inlineStr">
        <is>
          <t>10+</t>
        </is>
      </c>
      <c r="I1812" s="9">
        <f>IFERROR(INDEX('Темы × классы'!$R:$R,MATCH(E1812,'Темы × классы'!$E:$E,0)),"")</f>
        <v/>
      </c>
      <c r="J1812" s="9">
        <f>IFERROR(INDEX('Темы × классы'!$S:$S,MATCH(E1812,'Темы × классы'!$E:$E,0))&amp;"","")</f>
        <v/>
      </c>
      <c r="K1812" s="9" t="inlineStr">
        <is>
          <t>не начат</t>
        </is>
      </c>
      <c r="L1812" s="9" t="inlineStr">
        <is>
          <t>Spotlight / 11 класс / Module 5 · Who are you? / Phrasal verbs / Phrasal verbs: do</t>
        </is>
      </c>
    </row>
    <row r="1813">
      <c r="A1813" s="25" t="n">
        <v>11</v>
      </c>
      <c r="B1813" s="9" t="inlineStr">
        <is>
          <t>Module 5 · Who are you?</t>
        </is>
      </c>
      <c r="C1813" s="9" t="inlineStr">
        <is>
          <t>5c</t>
        </is>
      </c>
      <c r="D1813" s="9" t="inlineStr">
        <is>
          <t>Dependent prepositions</t>
        </is>
      </c>
      <c r="E1813" s="23" t="inlineStr">
        <is>
          <t>Dependent prepositions</t>
        </is>
      </c>
      <c r="F1813" s="25" t="inlineStr">
        <is>
          <t>повторение</t>
        </is>
      </c>
      <c r="G1813" s="9" t="inlineStr">
        <is>
          <t>Dependent prepositions (English in Use 5c); конкретные сочетания в доступных страницах не даны.</t>
        </is>
      </c>
      <c r="H1813" s="25" t="inlineStr">
        <is>
          <t>10+</t>
        </is>
      </c>
      <c r="I1813" s="9">
        <f>IFERROR(INDEX('Темы × классы'!$R:$R,MATCH(E1813,'Темы × классы'!$E:$E,0)),"")</f>
        <v/>
      </c>
      <c r="J1813" s="9">
        <f>IFERROR(INDEX('Темы × классы'!$S:$S,MATCH(E1813,'Темы × классы'!$E:$E,0))&amp;"","")</f>
        <v/>
      </c>
      <c r="K1813" s="9" t="inlineStr">
        <is>
          <t>не начат</t>
        </is>
      </c>
      <c r="L1813" s="9" t="inlineStr">
        <is>
          <t>Spotlight / 11 класс / Module 5 · Who are you? / Dependent prepositions / Dependent prepositions</t>
        </is>
      </c>
    </row>
    <row r="1814">
      <c r="A1814" s="25" t="n">
        <v>11</v>
      </c>
      <c r="B1814" s="9" t="inlineStr">
        <is>
          <t>Module 5 · Who are you?</t>
        </is>
      </c>
      <c r="C1814" s="9" t="inlineStr">
        <is>
          <t>5b</t>
        </is>
      </c>
      <c r="D1814" s="9" t="inlineStr">
        <is>
          <t>Idioms &amp; collocations</t>
        </is>
      </c>
      <c r="E1814" s="23" t="inlineStr">
        <is>
          <t>Idioms &amp; collocations</t>
        </is>
      </c>
      <c r="F1814" s="25" t="inlineStr">
        <is>
          <t>повторение</t>
        </is>
      </c>
      <c r="G1814" s="9" t="inlineStr">
        <is>
          <t>Idioms related to parts of houses (5b).</t>
        </is>
      </c>
      <c r="H1814" s="25" t="inlineStr">
        <is>
          <t>10+</t>
        </is>
      </c>
      <c r="I1814" s="9">
        <f>IFERROR(INDEX('Темы × классы'!$R:$R,MATCH(E1814,'Темы × классы'!$E:$E,0)),"")</f>
        <v/>
      </c>
      <c r="J1814" s="9">
        <f>IFERROR(INDEX('Темы × классы'!$S:$S,MATCH(E1814,'Темы × классы'!$E:$E,0))&amp;"","")</f>
        <v/>
      </c>
      <c r="K1814" s="9" t="inlineStr">
        <is>
          <t>не начат</t>
        </is>
      </c>
      <c r="L1814" s="9" t="inlineStr">
        <is>
          <t>Spotlight / 11 класс / Module 5 · Who are you? / Idioms &amp; collocations / Idioms &amp; collocations</t>
        </is>
      </c>
    </row>
    <row r="1815">
      <c r="A1815" s="25" t="n">
        <v>11</v>
      </c>
      <c r="B1815" s="9" t="inlineStr">
        <is>
          <t>Module 6 · Communication</t>
        </is>
      </c>
      <c r="C1815" s="9" t="inlineStr">
        <is>
          <t>6c</t>
        </is>
      </c>
      <c r="D1815" s="9" t="inlineStr">
        <is>
          <t>Reported Speech: modal verbs</t>
        </is>
      </c>
      <c r="E1815" s="23" t="inlineStr">
        <is>
          <t>Reported Speech: modal verbs: will/shall → would</t>
        </is>
      </c>
      <c r="F1815" s="25" t="inlineStr">
        <is>
          <t>повторение</t>
        </is>
      </c>
      <c r="G1815" s="9" t="inlineStr">
        <is>
          <t>will → would</t>
        </is>
      </c>
      <c r="H1815" s="25" t="inlineStr">
        <is>
          <t>10+</t>
        </is>
      </c>
      <c r="I1815" s="9">
        <f>IFERROR(INDEX('Темы × классы'!$R:$R,MATCH(E1815,'Темы × классы'!$E:$E,0)),"")</f>
        <v/>
      </c>
      <c r="J1815" s="9">
        <f>IFERROR(INDEX('Темы × классы'!$S:$S,MATCH(E1815,'Темы × классы'!$E:$E,0))&amp;"","")</f>
        <v/>
      </c>
      <c r="K1815" s="9" t="inlineStr">
        <is>
          <t>не начат</t>
        </is>
      </c>
      <c r="L1815" s="9" t="inlineStr">
        <is>
          <t>Spotlight / 11 класс / Module 6 · Communication / Reported Speech: modal verbs / Reported Speech: modal verbs: will/shall → would</t>
        </is>
      </c>
    </row>
    <row r="1816">
      <c r="A1816" s="25" t="n">
        <v>11</v>
      </c>
      <c r="B1816" s="9" t="inlineStr">
        <is>
          <t>Module 6 · Communication</t>
        </is>
      </c>
      <c r="C1816" s="9" t="inlineStr">
        <is>
          <t>6c</t>
        </is>
      </c>
      <c r="D1816" s="9" t="inlineStr">
        <is>
          <t>Reported Speech: modal verbs</t>
        </is>
      </c>
      <c r="E1816" s="23" t="inlineStr">
        <is>
          <t>Reported Speech: modal verbs: can → could / would be able to</t>
        </is>
      </c>
      <c r="F1816" s="25" t="inlineStr">
        <is>
          <t>повторение</t>
        </is>
      </c>
      <c r="G1816" s="9" t="inlineStr"/>
      <c r="H1816" s="25" t="inlineStr">
        <is>
          <t>10+</t>
        </is>
      </c>
      <c r="I1816" s="9">
        <f>IFERROR(INDEX('Темы × классы'!$R:$R,MATCH(E1816,'Темы × классы'!$E:$E,0)),"")</f>
        <v/>
      </c>
      <c r="J1816" s="9">
        <f>IFERROR(INDEX('Темы × классы'!$S:$S,MATCH(E1816,'Темы × классы'!$E:$E,0))&amp;"","")</f>
        <v/>
      </c>
      <c r="K1816" s="9" t="inlineStr">
        <is>
          <t>не начат</t>
        </is>
      </c>
      <c r="L1816" s="9" t="inlineStr">
        <is>
          <t>Spotlight / 11 класс / Module 6 · Communication / Reported Speech: modal verbs / Reported Speech: modal verbs: can → could / would be able to</t>
        </is>
      </c>
    </row>
    <row r="1817">
      <c r="A1817" s="25" t="n">
        <v>11</v>
      </c>
      <c r="B1817" s="9" t="inlineStr">
        <is>
          <t>Module 6 · Communication</t>
        </is>
      </c>
      <c r="C1817" s="9" t="inlineStr">
        <is>
          <t>6c</t>
        </is>
      </c>
      <c r="D1817" s="9" t="inlineStr">
        <is>
          <t>Reported Speech: modal verbs</t>
        </is>
      </c>
      <c r="E1817" s="23" t="inlineStr">
        <is>
          <t>Reported Speech: modal verbs: may → might/could</t>
        </is>
      </c>
      <c r="F1817" s="25" t="inlineStr">
        <is>
          <t>повторение</t>
        </is>
      </c>
      <c r="G1817" s="9" t="inlineStr">
        <is>
          <t>may → might</t>
        </is>
      </c>
      <c r="H1817" s="25" t="inlineStr">
        <is>
          <t>10+</t>
        </is>
      </c>
      <c r="I1817" s="9">
        <f>IFERROR(INDEX('Темы × классы'!$R:$R,MATCH(E1817,'Темы × классы'!$E:$E,0)),"")</f>
        <v/>
      </c>
      <c r="J1817" s="9">
        <f>IFERROR(INDEX('Темы × классы'!$S:$S,MATCH(E1817,'Темы × классы'!$E:$E,0))&amp;"","")</f>
        <v/>
      </c>
      <c r="K1817" s="9" t="inlineStr">
        <is>
          <t>не начат</t>
        </is>
      </c>
      <c r="L1817" s="9" t="inlineStr">
        <is>
          <t>Spotlight / 11 класс / Module 6 · Communication / Reported Speech: modal verbs / Reported Speech: modal verbs: may → might/could</t>
        </is>
      </c>
    </row>
    <row r="1818">
      <c r="A1818" s="25" t="n">
        <v>11</v>
      </c>
      <c r="B1818" s="9" t="inlineStr">
        <is>
          <t>Module 6 · Communication</t>
        </is>
      </c>
      <c r="C1818" s="9" t="inlineStr">
        <is>
          <t>6c</t>
        </is>
      </c>
      <c r="D1818" s="9" t="inlineStr">
        <is>
          <t>Reported Speech: modal verbs</t>
        </is>
      </c>
      <c r="E1818" s="23" t="inlineStr">
        <is>
          <t>Reported Speech: modal verbs: shall → should / would / offered</t>
        </is>
      </c>
      <c r="F1818" s="25" t="inlineStr">
        <is>
          <t>повторение</t>
        </is>
      </c>
      <c r="G1818" s="9" t="inlineStr"/>
      <c r="H1818" s="25" t="inlineStr">
        <is>
          <t>10+</t>
        </is>
      </c>
      <c r="I1818" s="9">
        <f>IFERROR(INDEX('Темы × классы'!$R:$R,MATCH(E1818,'Темы × классы'!$E:$E,0)),"")</f>
        <v/>
      </c>
      <c r="J1818" s="9">
        <f>IFERROR(INDEX('Темы × классы'!$S:$S,MATCH(E1818,'Темы × классы'!$E:$E,0))&amp;"","")</f>
        <v/>
      </c>
      <c r="K1818" s="9" t="inlineStr">
        <is>
          <t>не начат</t>
        </is>
      </c>
      <c r="L1818" s="9" t="inlineStr">
        <is>
          <t>Spotlight / 11 класс / Module 6 · Communication / Reported Speech: modal verbs / Reported Speech: modal verbs: shall → should / would / offered</t>
        </is>
      </c>
    </row>
    <row r="1819">
      <c r="A1819" s="25" t="n">
        <v>11</v>
      </c>
      <c r="B1819" s="9" t="inlineStr">
        <is>
          <t>Module 6 · Communication</t>
        </is>
      </c>
      <c r="C1819" s="9" t="inlineStr">
        <is>
          <t>6c</t>
        </is>
      </c>
      <c r="D1819" s="9" t="inlineStr">
        <is>
          <t>Reported Speech: modal verbs</t>
        </is>
      </c>
      <c r="E1819" s="23" t="inlineStr">
        <is>
          <t>Reported Speech: modal verbs: must → had to (обязанность) / must (вывод)</t>
        </is>
      </c>
      <c r="F1819" s="25" t="inlineStr">
        <is>
          <t>повторение</t>
        </is>
      </c>
      <c r="G1819" s="9" t="inlineStr"/>
      <c r="H1819" s="25" t="inlineStr">
        <is>
          <t>10+</t>
        </is>
      </c>
      <c r="I1819" s="9">
        <f>IFERROR(INDEX('Темы × классы'!$R:$R,MATCH(E1819,'Темы × классы'!$E:$E,0)),"")</f>
        <v/>
      </c>
      <c r="J1819" s="9">
        <f>IFERROR(INDEX('Темы × классы'!$S:$S,MATCH(E1819,'Темы × классы'!$E:$E,0))&amp;"","")</f>
        <v/>
      </c>
      <c r="K1819" s="9" t="inlineStr">
        <is>
          <t>не начат</t>
        </is>
      </c>
      <c r="L1819" s="9" t="inlineStr">
        <is>
          <t>Spotlight / 11 класс / Module 6 · Communication / Reported Speech: modal verbs / Reported Speech: modal verbs: must → had to (обязанность) / must (вывод)</t>
        </is>
      </c>
    </row>
    <row r="1820">
      <c r="A1820" s="25" t="n">
        <v>11</v>
      </c>
      <c r="B1820" s="9" t="inlineStr">
        <is>
          <t>Module 6 · Communication</t>
        </is>
      </c>
      <c r="C1820" s="9" t="inlineStr">
        <is>
          <t>6c</t>
        </is>
      </c>
      <c r="D1820" s="9" t="inlineStr">
        <is>
          <t>Reported Speech: modal verbs</t>
        </is>
      </c>
      <c r="E1820" s="23" t="inlineStr">
        <is>
          <t>Reported Speech: modal verbs: needn't → didn't need to / didn't have to / wouldn't have to</t>
        </is>
      </c>
      <c r="F1820" s="25" t="inlineStr">
        <is>
          <t>повторение</t>
        </is>
      </c>
      <c r="G1820" s="9" t="inlineStr"/>
      <c r="H1820" s="25" t="inlineStr">
        <is>
          <t>10+</t>
        </is>
      </c>
      <c r="I1820" s="9">
        <f>IFERROR(INDEX('Темы × классы'!$R:$R,MATCH(E1820,'Темы × классы'!$E:$E,0)),"")</f>
        <v/>
      </c>
      <c r="J1820" s="9">
        <f>IFERROR(INDEX('Темы × классы'!$S:$S,MATCH(E1820,'Темы × классы'!$E:$E,0))&amp;"","")</f>
        <v/>
      </c>
      <c r="K1820" s="9" t="inlineStr">
        <is>
          <t>не начат</t>
        </is>
      </c>
      <c r="L1820" s="9" t="inlineStr">
        <is>
          <t>Spotlight / 11 класс / Module 6 · Communication / Reported Speech: modal verbs / Reported Speech: modal verbs: needn't → didn't need to / didn't have to / wouldn't have to</t>
        </is>
      </c>
    </row>
    <row r="1821">
      <c r="A1821" s="25" t="n">
        <v>11</v>
      </c>
      <c r="B1821" s="9" t="inlineStr">
        <is>
          <t>Module 6 · Communication</t>
        </is>
      </c>
      <c r="C1821" s="9" t="inlineStr">
        <is>
          <t>6c</t>
        </is>
      </c>
      <c r="D1821" s="9" t="inlineStr">
        <is>
          <t>Reported Speech: modal verbs</t>
        </is>
      </c>
      <c r="E1821" s="23" t="inlineStr">
        <is>
          <t>Reported Speech: modal verbs: не меняются (would, could, used to, mustn't, should, might, ought to, had better)</t>
        </is>
      </c>
      <c r="F1821" s="25" t="inlineStr">
        <is>
          <t>повторение</t>
        </is>
      </c>
      <c r="G1821" s="9" t="inlineStr">
        <is>
          <t>назван только should</t>
        </is>
      </c>
      <c r="H1821" s="25" t="inlineStr">
        <is>
          <t>10+</t>
        </is>
      </c>
      <c r="I1821" s="9">
        <f>IFERROR(INDEX('Темы × классы'!$R:$R,MATCH(E1821,'Темы × классы'!$E:$E,0)),"")</f>
        <v/>
      </c>
      <c r="J1821" s="9">
        <f>IFERROR(INDEX('Темы × классы'!$S:$S,MATCH(E1821,'Темы × классы'!$E:$E,0))&amp;"","")</f>
        <v/>
      </c>
      <c r="K1821" s="9" t="inlineStr">
        <is>
          <t>не начат</t>
        </is>
      </c>
      <c r="L1821" s="9" t="inlineStr">
        <is>
          <t>Spotlight / 11 класс / Module 6 · Communication / Reported Speech: modal verbs / Reported Speech: modal verbs: не меняются (would, could, used to, mustn't, should, might, ought to, had better)</t>
        </is>
      </c>
    </row>
    <row r="1822">
      <c r="A1822" s="25" t="n">
        <v>11</v>
      </c>
      <c r="B1822" s="9" t="inlineStr">
        <is>
          <t>Module 6 · Communication</t>
        </is>
      </c>
      <c r="C1822" s="9" t="inlineStr">
        <is>
          <t>6c</t>
        </is>
      </c>
      <c r="D1822" s="9" t="inlineStr">
        <is>
          <t>Reported Speech</t>
        </is>
      </c>
      <c r="E1822" s="23" t="inlineStr">
        <is>
          <t>Reported Speech: прямая vs косвенная речь, that можно опустить</t>
        </is>
      </c>
      <c r="F1822" s="25" t="inlineStr">
        <is>
          <t>повторение</t>
        </is>
      </c>
      <c r="G1822" s="9" t="inlineStr"/>
      <c r="H1822" s="25" t="inlineStr">
        <is>
          <t>10+</t>
        </is>
      </c>
      <c r="I1822" s="9">
        <f>IFERROR(INDEX('Темы × классы'!$R:$R,MATCH(E1822,'Темы × классы'!$E:$E,0)),"")</f>
        <v/>
      </c>
      <c r="J1822" s="9">
        <f>IFERROR(INDEX('Темы × классы'!$S:$S,MATCH(E1822,'Темы × классы'!$E:$E,0))&amp;"","")</f>
        <v/>
      </c>
      <c r="K1822" s="9" t="inlineStr">
        <is>
          <t>не начат</t>
        </is>
      </c>
      <c r="L1822" s="9" t="inlineStr">
        <is>
          <t>Spotlight / 11 класс / Module 6 · Communication / Reported Speech / Reported Speech: прямая vs косвенная речь, that можно опустить</t>
        </is>
      </c>
    </row>
    <row r="1823">
      <c r="A1823" s="25" t="n">
        <v>11</v>
      </c>
      <c r="B1823" s="9" t="inlineStr">
        <is>
          <t>Module 6 · Communication</t>
        </is>
      </c>
      <c r="C1823" s="9" t="inlineStr">
        <is>
          <t>6c</t>
        </is>
      </c>
      <c r="D1823" s="9" t="inlineStr">
        <is>
          <t>Reported Speech</t>
        </is>
      </c>
      <c r="E1823" s="23" t="inlineStr">
        <is>
          <t>Reported Speech: say vs tell (say to sb, tell sb)</t>
        </is>
      </c>
      <c r="F1823" s="25" t="inlineStr">
        <is>
          <t>повторение</t>
        </is>
      </c>
      <c r="G1823" s="9" t="inlineStr"/>
      <c r="H1823" s="25" t="inlineStr">
        <is>
          <t>10+</t>
        </is>
      </c>
      <c r="I1823" s="9">
        <f>IFERROR(INDEX('Темы × классы'!$R:$R,MATCH(E1823,'Темы × классы'!$E:$E,0)),"")</f>
        <v/>
      </c>
      <c r="J1823" s="9">
        <f>IFERROR(INDEX('Темы × классы'!$S:$S,MATCH(E1823,'Темы × классы'!$E:$E,0))&amp;"","")</f>
        <v/>
      </c>
      <c r="K1823" s="9" t="inlineStr">
        <is>
          <t>не начат</t>
        </is>
      </c>
      <c r="L1823" s="9" t="inlineStr">
        <is>
          <t>Spotlight / 11 класс / Module 6 · Communication / Reported Speech / Reported Speech: say vs tell (say to sb, tell sb)</t>
        </is>
      </c>
    </row>
    <row r="1824">
      <c r="A1824" s="25" t="n">
        <v>11</v>
      </c>
      <c r="B1824" s="9" t="inlineStr">
        <is>
          <t>Module 6 · Communication</t>
        </is>
      </c>
      <c r="C1824" s="9" t="inlineStr">
        <is>
          <t>6c</t>
        </is>
      </c>
      <c r="D1824" s="9" t="inlineStr">
        <is>
          <t>Reported Speech</t>
        </is>
      </c>
      <c r="E1824" s="23" t="inlineStr">
        <is>
          <t>Reported Speech: say + to-inf; speak/talk about (не say about)</t>
        </is>
      </c>
      <c r="F1824" s="25" t="inlineStr">
        <is>
          <t>повторение</t>
        </is>
      </c>
      <c r="G1824" s="9" t="inlineStr"/>
      <c r="H1824" s="25" t="inlineStr">
        <is>
          <t>10+</t>
        </is>
      </c>
      <c r="I1824" s="9">
        <f>IFERROR(INDEX('Темы × классы'!$R:$R,MATCH(E1824,'Темы × классы'!$E:$E,0)),"")</f>
        <v/>
      </c>
      <c r="J1824" s="9">
        <f>IFERROR(INDEX('Темы × классы'!$S:$S,MATCH(E1824,'Темы × классы'!$E:$E,0))&amp;"","")</f>
        <v/>
      </c>
      <c r="K1824" s="9" t="inlineStr">
        <is>
          <t>не начат</t>
        </is>
      </c>
      <c r="L1824" s="9" t="inlineStr">
        <is>
          <t>Spotlight / 11 класс / Module 6 · Communication / Reported Speech / Reported Speech: say + to-inf; speak/talk about (не say about)</t>
        </is>
      </c>
    </row>
    <row r="1825">
      <c r="A1825" s="25" t="n">
        <v>11</v>
      </c>
      <c r="B1825" s="9" t="inlineStr">
        <is>
          <t>Module 6 · Communication</t>
        </is>
      </c>
      <c r="C1825" s="9" t="inlineStr">
        <is>
          <t>6c</t>
        </is>
      </c>
      <c r="D1825" s="9" t="inlineStr">
        <is>
          <t>Reported Speech</t>
        </is>
      </c>
      <c r="E1825" s="23" t="inlineStr">
        <is>
          <t>Reported Speech: устойчивые сочетания с say/tell/ask</t>
        </is>
      </c>
      <c r="F1825" s="25" t="inlineStr">
        <is>
          <t>повторение</t>
        </is>
      </c>
      <c r="G1825" s="9" t="inlineStr"/>
      <c r="H1825" s="25" t="inlineStr">
        <is>
          <t>10+</t>
        </is>
      </c>
      <c r="I1825" s="9">
        <f>IFERROR(INDEX('Темы × классы'!$R:$R,MATCH(E1825,'Темы × классы'!$E:$E,0)),"")</f>
        <v/>
      </c>
      <c r="J1825" s="9">
        <f>IFERROR(INDEX('Темы × классы'!$S:$S,MATCH(E1825,'Темы × классы'!$E:$E,0))&amp;"","")</f>
        <v/>
      </c>
      <c r="K1825" s="9" t="inlineStr">
        <is>
          <t>не начат</t>
        </is>
      </c>
      <c r="L1825" s="9" t="inlineStr">
        <is>
          <t>Spotlight / 11 класс / Module 6 · Communication / Reported Speech / Reported Speech: устойчивые сочетания с say/tell/ask</t>
        </is>
      </c>
    </row>
    <row r="1826">
      <c r="A1826" s="25" t="n">
        <v>11</v>
      </c>
      <c r="B1826" s="9" t="inlineStr">
        <is>
          <t>Module 6 · Communication</t>
        </is>
      </c>
      <c r="C1826" s="9" t="inlineStr">
        <is>
          <t>6c</t>
        </is>
      </c>
      <c r="D1826" s="9" t="inlineStr">
        <is>
          <t>Reported Speech</t>
        </is>
      </c>
      <c r="E1826" s="23" t="inlineStr">
        <is>
          <t>Reported Speech: смена местоимений</t>
        </is>
      </c>
      <c r="F1826" s="25" t="inlineStr">
        <is>
          <t>повторение</t>
        </is>
      </c>
      <c r="G1826" s="9" t="inlineStr"/>
      <c r="H1826" s="25" t="inlineStr">
        <is>
          <t>10+</t>
        </is>
      </c>
      <c r="I1826" s="9">
        <f>IFERROR(INDEX('Темы × классы'!$R:$R,MATCH(E1826,'Темы × классы'!$E:$E,0)),"")</f>
        <v/>
      </c>
      <c r="J1826" s="9">
        <f>IFERROR(INDEX('Темы × классы'!$S:$S,MATCH(E1826,'Темы × классы'!$E:$E,0))&amp;"","")</f>
        <v/>
      </c>
      <c r="K1826" s="9" t="inlineStr">
        <is>
          <t>не начат</t>
        </is>
      </c>
      <c r="L1826" s="9" t="inlineStr">
        <is>
          <t>Spotlight / 11 класс / Module 6 · Communication / Reported Speech / Reported Speech: смена местоимений</t>
        </is>
      </c>
    </row>
    <row r="1827">
      <c r="A1827" s="25" t="n">
        <v>11</v>
      </c>
      <c r="B1827" s="9" t="inlineStr">
        <is>
          <t>Module 6 · Communication</t>
        </is>
      </c>
      <c r="C1827" s="9" t="inlineStr">
        <is>
          <t>6c</t>
        </is>
      </c>
      <c r="D1827" s="9" t="inlineStr">
        <is>
          <t>Reported Speech</t>
        </is>
      </c>
      <c r="E1827" s="23" t="inlineStr">
        <is>
          <t>Reported Speech: без сдвига времён — вводящий глагол в настоящем (up-to-date reporting)</t>
        </is>
      </c>
      <c r="F1827" s="25" t="inlineStr">
        <is>
          <t>повторение</t>
        </is>
      </c>
      <c r="G1827" s="9" t="inlineStr"/>
      <c r="H1827" s="25" t="inlineStr">
        <is>
          <t>10+</t>
        </is>
      </c>
      <c r="I1827" s="9">
        <f>IFERROR(INDEX('Темы × классы'!$R:$R,MATCH(E1827,'Темы × классы'!$E:$E,0)),"")</f>
        <v/>
      </c>
      <c r="J1827" s="9">
        <f>IFERROR(INDEX('Темы × классы'!$S:$S,MATCH(E1827,'Темы × классы'!$E:$E,0))&amp;"","")</f>
        <v/>
      </c>
      <c r="K1827" s="9" t="inlineStr">
        <is>
          <t>не начат</t>
        </is>
      </c>
      <c r="L1827" s="9" t="inlineStr">
        <is>
          <t>Spotlight / 11 класс / Module 6 · Communication / Reported Speech / Reported Speech: без сдвига времён — вводящий глагол в настоящем (up-to-date reporting)</t>
        </is>
      </c>
    </row>
    <row r="1828">
      <c r="A1828" s="25" t="n">
        <v>11</v>
      </c>
      <c r="B1828" s="9" t="inlineStr">
        <is>
          <t>Module 6 · Communication</t>
        </is>
      </c>
      <c r="C1828" s="9" t="inlineStr">
        <is>
          <t>6c</t>
        </is>
      </c>
      <c r="D1828" s="9" t="inlineStr">
        <is>
          <t>Reported Speech</t>
        </is>
      </c>
      <c r="E1828" s="23" t="inlineStr">
        <is>
          <t>Reported Speech: без сдвига времён — общие истины, условные 2/3 типа, wish, сразу после сказанного</t>
        </is>
      </c>
      <c r="F1828" s="25" t="inlineStr">
        <is>
          <t>повторение</t>
        </is>
      </c>
      <c r="G1828" s="9" t="inlineStr"/>
      <c r="H1828" s="25" t="inlineStr">
        <is>
          <t>10+</t>
        </is>
      </c>
      <c r="I1828" s="9">
        <f>IFERROR(INDEX('Темы × классы'!$R:$R,MATCH(E1828,'Темы × классы'!$E:$E,0)),"")</f>
        <v/>
      </c>
      <c r="J1828" s="9">
        <f>IFERROR(INDEX('Темы × классы'!$S:$S,MATCH(E1828,'Темы × классы'!$E:$E,0))&amp;"","")</f>
        <v/>
      </c>
      <c r="K1828" s="9" t="inlineStr">
        <is>
          <t>не начат</t>
        </is>
      </c>
      <c r="L1828" s="9" t="inlineStr">
        <is>
          <t>Spotlight / 11 класс / Module 6 · Communication / Reported Speech / Reported Speech: без сдвига времён — общие истины, условные 2/3 типа, wish, сразу после сказанного</t>
        </is>
      </c>
    </row>
    <row r="1829">
      <c r="A1829" s="25" t="n">
        <v>11</v>
      </c>
      <c r="B1829" s="9" t="inlineStr">
        <is>
          <t>Module 6 · Communication</t>
        </is>
      </c>
      <c r="C1829" s="9" t="inlineStr">
        <is>
          <t>6c</t>
        </is>
      </c>
      <c r="D1829" s="9" t="inlineStr">
        <is>
          <t>Reported Speech</t>
        </is>
      </c>
      <c r="E1829" s="23" t="inlineStr">
        <is>
          <t>Reported Speech: сдвиг времён (Present → Past, Past → Past Perfect, will → would)</t>
        </is>
      </c>
      <c r="F1829" s="25" t="inlineStr">
        <is>
          <t>повторение</t>
        </is>
      </c>
      <c r="G1829" s="9" t="inlineStr">
        <is>
          <t>Future Simple → Future in the Past (would)</t>
        </is>
      </c>
      <c r="H1829" s="25" t="inlineStr">
        <is>
          <t>10+</t>
        </is>
      </c>
      <c r="I1829" s="9">
        <f>IFERROR(INDEX('Темы × классы'!$R:$R,MATCH(E1829,'Темы × классы'!$E:$E,0)),"")</f>
        <v/>
      </c>
      <c r="J1829" s="9">
        <f>IFERROR(INDEX('Темы × классы'!$S:$S,MATCH(E1829,'Темы × классы'!$E:$E,0))&amp;"","")</f>
        <v/>
      </c>
      <c r="K1829" s="9" t="inlineStr">
        <is>
          <t>не начат</t>
        </is>
      </c>
      <c r="L1829" s="9" t="inlineStr">
        <is>
          <t>Spotlight / 11 класс / Module 6 · Communication / Reported Speech / Reported Speech: сдвиг времён (Present → Past, Past → Past Perfect, will → would)</t>
        </is>
      </c>
    </row>
    <row r="1830">
      <c r="A1830" s="25" t="n">
        <v>11</v>
      </c>
      <c r="B1830" s="9" t="inlineStr">
        <is>
          <t>Module 6 · Communication</t>
        </is>
      </c>
      <c r="C1830" s="9" t="inlineStr">
        <is>
          <t>6c</t>
        </is>
      </c>
      <c r="D1830" s="9" t="inlineStr">
        <is>
          <t>Reported Speech</t>
        </is>
      </c>
      <c r="E1830" s="23" t="inlineStr">
        <is>
          <t>Reported Speech: слова времени и места (now → then, yesterday → the day before…)</t>
        </is>
      </c>
      <c r="F1830" s="25" t="inlineStr">
        <is>
          <t>повторение</t>
        </is>
      </c>
      <c r="G1830" s="9" t="inlineStr"/>
      <c r="H1830" s="25" t="inlineStr">
        <is>
          <t>10+</t>
        </is>
      </c>
      <c r="I1830" s="9">
        <f>IFERROR(INDEX('Темы × классы'!$R:$R,MATCH(E1830,'Темы × классы'!$E:$E,0)),"")</f>
        <v/>
      </c>
      <c r="J1830" s="9">
        <f>IFERROR(INDEX('Темы × классы'!$S:$S,MATCH(E1830,'Темы × классы'!$E:$E,0))&amp;"","")</f>
        <v/>
      </c>
      <c r="K1830" s="9" t="inlineStr">
        <is>
          <t>не начат</t>
        </is>
      </c>
      <c r="L1830" s="9" t="inlineStr">
        <is>
          <t>Spotlight / 11 класс / Module 6 · Communication / Reported Speech / Reported Speech: слова времени и места (now → then, yesterday → the day before…)</t>
        </is>
      </c>
    </row>
    <row r="1831">
      <c r="A1831" s="25" t="n">
        <v>11</v>
      </c>
      <c r="B1831" s="9" t="inlineStr">
        <is>
          <t>Module 6 · Communication</t>
        </is>
      </c>
      <c r="C1831" s="9" t="inlineStr">
        <is>
          <t>6c</t>
        </is>
      </c>
      <c r="D1831" s="9" t="inlineStr">
        <is>
          <t>Reported commands/requests</t>
        </is>
      </c>
      <c r="E1831" s="23" t="inlineStr">
        <is>
          <t>Reported commands: приказы — order/tell + sb + (not) to-inf</t>
        </is>
      </c>
      <c r="F1831" s="25" t="inlineStr">
        <is>
          <t>повторение</t>
        </is>
      </c>
      <c r="G1831" s="9" t="inlineStr">
        <is>
          <t>+ instructions: advise, order, tell</t>
        </is>
      </c>
      <c r="H1831" s="25" t="inlineStr">
        <is>
          <t>10+</t>
        </is>
      </c>
      <c r="I1831" s="9">
        <f>IFERROR(INDEX('Темы × классы'!$R:$R,MATCH(E1831,'Темы × классы'!$E:$E,0)),"")</f>
        <v/>
      </c>
      <c r="J1831" s="9">
        <f>IFERROR(INDEX('Темы × классы'!$S:$S,MATCH(E1831,'Темы × классы'!$E:$E,0))&amp;"","")</f>
        <v/>
      </c>
      <c r="K1831" s="9" t="inlineStr">
        <is>
          <t>не начат</t>
        </is>
      </c>
      <c r="L1831" s="9" t="inlineStr">
        <is>
          <t>Spotlight / 11 класс / Module 6 · Communication / Reported commands/requests / Reported commands: приказы — order/tell + sb + (not) to-inf</t>
        </is>
      </c>
    </row>
    <row r="1832">
      <c r="A1832" s="25" t="n">
        <v>11</v>
      </c>
      <c r="B1832" s="9" t="inlineStr">
        <is>
          <t>Module 6 · Communication</t>
        </is>
      </c>
      <c r="C1832" s="9" t="inlineStr">
        <is>
          <t>6c</t>
        </is>
      </c>
      <c r="D1832" s="9" t="inlineStr">
        <is>
          <t>Reported commands/requests</t>
        </is>
      </c>
      <c r="E1832" s="23" t="inlineStr">
        <is>
          <t>Reported requests: ask/beg + sb + (not) to-inf</t>
        </is>
      </c>
      <c r="F1832" s="25" t="inlineStr">
        <is>
          <t>повторение</t>
        </is>
      </c>
      <c r="G1832" s="9" t="inlineStr"/>
      <c r="H1832" s="25" t="inlineStr">
        <is>
          <t>10+</t>
        </is>
      </c>
      <c r="I1832" s="9">
        <f>IFERROR(INDEX('Темы × классы'!$R:$R,MATCH(E1832,'Темы × классы'!$E:$E,0)),"")</f>
        <v/>
      </c>
      <c r="J1832" s="9">
        <f>IFERROR(INDEX('Темы × классы'!$S:$S,MATCH(E1832,'Темы × классы'!$E:$E,0))&amp;"","")</f>
        <v/>
      </c>
      <c r="K1832" s="9" t="inlineStr">
        <is>
          <t>не начат</t>
        </is>
      </c>
      <c r="L1832" s="9" t="inlineStr">
        <is>
          <t>Spotlight / 11 класс / Module 6 · Communication / Reported commands/requests / Reported requests: ask/beg + sb + (not) to-inf</t>
        </is>
      </c>
    </row>
    <row r="1833">
      <c r="A1833" s="25" t="n">
        <v>11</v>
      </c>
      <c r="B1833" s="9" t="inlineStr">
        <is>
          <t>Module 6 · Communication</t>
        </is>
      </c>
      <c r="C1833" s="9" t="inlineStr">
        <is>
          <t>6c</t>
        </is>
      </c>
      <c r="D1833" s="9" t="inlineStr">
        <is>
          <t>Reported commands/requests</t>
        </is>
      </c>
      <c r="E1833" s="23" t="inlineStr">
        <is>
          <t>Reported suggestions: suggest + -ing / that sb (should) …</t>
        </is>
      </c>
      <c r="F1833" s="25" t="inlineStr">
        <is>
          <t>повторение</t>
        </is>
      </c>
      <c r="G1833" s="9" t="inlineStr"/>
      <c r="H1833" s="25" t="inlineStr">
        <is>
          <t>10+</t>
        </is>
      </c>
      <c r="I1833" s="9">
        <f>IFERROR(INDEX('Темы × классы'!$R:$R,MATCH(E1833,'Темы × классы'!$E:$E,0)),"")</f>
        <v/>
      </c>
      <c r="J1833" s="9">
        <f>IFERROR(INDEX('Темы × классы'!$S:$S,MATCH(E1833,'Темы × классы'!$E:$E,0))&amp;"","")</f>
        <v/>
      </c>
      <c r="K1833" s="9" t="inlineStr">
        <is>
          <t>не начат</t>
        </is>
      </c>
      <c r="L1833" s="9" t="inlineStr">
        <is>
          <t>Spotlight / 11 класс / Module 6 · Communication / Reported commands/requests / Reported suggestions: suggest + -ing / that sb (should) …</t>
        </is>
      </c>
    </row>
    <row r="1834">
      <c r="A1834" s="25" t="n">
        <v>11</v>
      </c>
      <c r="B1834" s="9" t="inlineStr">
        <is>
          <t>Module 6 · Communication</t>
        </is>
      </c>
      <c r="C1834" s="9" t="inlineStr">
        <is>
          <t>6c</t>
        </is>
      </c>
      <c r="D1834" s="9" t="inlineStr">
        <is>
          <t>Reported commands/requests</t>
        </is>
      </c>
      <c r="E1834" s="23" t="inlineStr">
        <is>
          <t>Reported advice: advise + sb + (not) to-inf</t>
        </is>
      </c>
      <c r="F1834" s="25" t="inlineStr">
        <is>
          <t>повторение</t>
        </is>
      </c>
      <c r="G1834" s="9" t="inlineStr"/>
      <c r="H1834" s="25" t="inlineStr">
        <is>
          <t>10+</t>
        </is>
      </c>
      <c r="I1834" s="9">
        <f>IFERROR(INDEX('Темы × классы'!$R:$R,MATCH(E1834,'Темы × классы'!$E:$E,0)),"")</f>
        <v/>
      </c>
      <c r="J1834" s="9">
        <f>IFERROR(INDEX('Темы × классы'!$S:$S,MATCH(E1834,'Темы × классы'!$E:$E,0))&amp;"","")</f>
        <v/>
      </c>
      <c r="K1834" s="9" t="inlineStr">
        <is>
          <t>не начат</t>
        </is>
      </c>
      <c r="L1834" s="9" t="inlineStr">
        <is>
          <t>Spotlight / 11 класс / Module 6 · Communication / Reported commands/requests / Reported advice: advise + sb + (not) to-inf</t>
        </is>
      </c>
    </row>
    <row r="1835">
      <c r="A1835" s="25" t="n">
        <v>11</v>
      </c>
      <c r="B1835" s="9" t="inlineStr">
        <is>
          <t>Module 6 · Communication</t>
        </is>
      </c>
      <c r="C1835" s="9" t="inlineStr">
        <is>
          <t>6c</t>
        </is>
      </c>
      <c r="D1835" s="9" t="inlineStr">
        <is>
          <t>Reporting verbs</t>
        </is>
      </c>
      <c r="E1835" s="23" t="inlineStr">
        <is>
          <t>Reporting verbs: + to-inf (agree, claim, offer, promise, refuse, threaten…)</t>
        </is>
      </c>
      <c r="F1835" s="25" t="inlineStr">
        <is>
          <t>повторение</t>
        </is>
      </c>
      <c r="G1835" s="9" t="inlineStr"/>
      <c r="H1835" s="25" t="inlineStr">
        <is>
          <t>10+</t>
        </is>
      </c>
      <c r="I1835" s="9">
        <f>IFERROR(INDEX('Темы × классы'!$R:$R,MATCH(E1835,'Темы × классы'!$E:$E,0)),"")</f>
        <v/>
      </c>
      <c r="J1835" s="9">
        <f>IFERROR(INDEX('Темы × классы'!$S:$S,MATCH(E1835,'Темы × классы'!$E:$E,0))&amp;"","")</f>
        <v/>
      </c>
      <c r="K1835" s="9" t="inlineStr">
        <is>
          <t>не начат</t>
        </is>
      </c>
      <c r="L1835" s="9" t="inlineStr">
        <is>
          <t>Spotlight / 11 класс / Module 6 · Communication / Reporting verbs / Reporting verbs: + to-inf (agree, claim, offer, promise, refuse, threaten…)</t>
        </is>
      </c>
    </row>
    <row r="1836">
      <c r="A1836" s="25" t="n">
        <v>11</v>
      </c>
      <c r="B1836" s="9" t="inlineStr">
        <is>
          <t>Module 6 · Communication</t>
        </is>
      </c>
      <c r="C1836" s="9" t="inlineStr">
        <is>
          <t>6c</t>
        </is>
      </c>
      <c r="D1836" s="9" t="inlineStr">
        <is>
          <t>Reporting verbs</t>
        </is>
      </c>
      <c r="E1836" s="23" t="inlineStr">
        <is>
          <t>Reporting verbs: + sb + to-inf (advise, allow, encourage, order, remind, warn…)</t>
        </is>
      </c>
      <c r="F1836" s="25" t="inlineStr">
        <is>
          <t>повторение</t>
        </is>
      </c>
      <c r="G1836" s="9" t="inlineStr"/>
      <c r="H1836" s="25" t="inlineStr">
        <is>
          <t>10+</t>
        </is>
      </c>
      <c r="I1836" s="9">
        <f>IFERROR(INDEX('Темы × классы'!$R:$R,MATCH(E1836,'Темы × классы'!$E:$E,0)),"")</f>
        <v/>
      </c>
      <c r="J1836" s="9">
        <f>IFERROR(INDEX('Темы × классы'!$S:$S,MATCH(E1836,'Темы × классы'!$E:$E,0))&amp;"","")</f>
        <v/>
      </c>
      <c r="K1836" s="9" t="inlineStr">
        <is>
          <t>не начат</t>
        </is>
      </c>
      <c r="L1836" s="9" t="inlineStr">
        <is>
          <t>Spotlight / 11 класс / Module 6 · Communication / Reporting verbs / Reporting verbs: + sb + to-inf (advise, allow, encourage, order, remind, warn…)</t>
        </is>
      </c>
    </row>
    <row r="1837">
      <c r="A1837" s="25" t="n">
        <v>11</v>
      </c>
      <c r="B1837" s="9" t="inlineStr">
        <is>
          <t>Module 6 · Communication</t>
        </is>
      </c>
      <c r="C1837" s="9" t="inlineStr">
        <is>
          <t>6c</t>
        </is>
      </c>
      <c r="D1837" s="9" t="inlineStr">
        <is>
          <t>Reporting verbs</t>
        </is>
      </c>
      <c r="E1837" s="23" t="inlineStr">
        <is>
          <t>Reporting verbs: + (предлог +) -ing (accuse sb of, apologise for, deny, insist on, suggest…)</t>
        </is>
      </c>
      <c r="F1837" s="25" t="inlineStr">
        <is>
          <t>повторение</t>
        </is>
      </c>
      <c r="G1837" s="9" t="inlineStr"/>
      <c r="H1837" s="25" t="inlineStr">
        <is>
          <t>10+</t>
        </is>
      </c>
      <c r="I1837" s="9">
        <f>IFERROR(INDEX('Темы × классы'!$R:$R,MATCH(E1837,'Темы × классы'!$E:$E,0)),"")</f>
        <v/>
      </c>
      <c r="J1837" s="9">
        <f>IFERROR(INDEX('Темы × классы'!$S:$S,MATCH(E1837,'Темы × классы'!$E:$E,0))&amp;"","")</f>
        <v/>
      </c>
      <c r="K1837" s="9" t="inlineStr">
        <is>
          <t>не начат</t>
        </is>
      </c>
      <c r="L1837" s="9" t="inlineStr">
        <is>
          <t>Spotlight / 11 класс / Module 6 · Communication / Reporting verbs / Reporting verbs: + (предлог +) -ing (accuse sb of, apologise for, deny, insist on, suggest…)</t>
        </is>
      </c>
    </row>
    <row r="1838">
      <c r="A1838" s="25" t="n">
        <v>11</v>
      </c>
      <c r="B1838" s="9" t="inlineStr">
        <is>
          <t>Module 6 · Communication</t>
        </is>
      </c>
      <c r="C1838" s="9" t="inlineStr">
        <is>
          <t>6c</t>
        </is>
      </c>
      <c r="D1838" s="9" t="inlineStr">
        <is>
          <t>Reporting verbs</t>
        </is>
      </c>
      <c r="E1838" s="23" t="inlineStr">
        <is>
          <t>Reporting verbs: + that-clause (agree, claim, explain, inform sb, promise…)</t>
        </is>
      </c>
      <c r="F1838" s="25" t="inlineStr">
        <is>
          <t>повторение</t>
        </is>
      </c>
      <c r="G1838" s="9" t="inlineStr"/>
      <c r="H1838" s="25" t="inlineStr">
        <is>
          <t>10+</t>
        </is>
      </c>
      <c r="I1838" s="9">
        <f>IFERROR(INDEX('Темы × классы'!$R:$R,MATCH(E1838,'Темы × классы'!$E:$E,0)),"")</f>
        <v/>
      </c>
      <c r="J1838" s="9">
        <f>IFERROR(INDEX('Темы × классы'!$S:$S,MATCH(E1838,'Темы × классы'!$E:$E,0))&amp;"","")</f>
        <v/>
      </c>
      <c r="K1838" s="9" t="inlineStr">
        <is>
          <t>не начат</t>
        </is>
      </c>
      <c r="L1838" s="9" t="inlineStr">
        <is>
          <t>Spotlight / 11 класс / Module 6 · Communication / Reporting verbs / Reporting verbs: + that-clause (agree, claim, explain, inform sb, promise…)</t>
        </is>
      </c>
    </row>
    <row r="1839">
      <c r="A1839" s="25" t="n">
        <v>11</v>
      </c>
      <c r="B1839" s="9" t="inlineStr">
        <is>
          <t>Module 6 · Communication</t>
        </is>
      </c>
      <c r="C1839" s="9" t="inlineStr">
        <is>
          <t>6c</t>
        </is>
      </c>
      <c r="D1839" s="9" t="inlineStr">
        <is>
          <t>Reporting verbs</t>
        </is>
      </c>
      <c r="E1839" s="23" t="inlineStr">
        <is>
          <t>Reporting verbs: explain/wonder + вопросительное слово (+ to-inf / clause)</t>
        </is>
      </c>
      <c r="F1839" s="25" t="inlineStr">
        <is>
          <t>повторение</t>
        </is>
      </c>
      <c r="G1839" s="9" t="inlineStr"/>
      <c r="H1839" s="25" t="inlineStr">
        <is>
          <t>10+</t>
        </is>
      </c>
      <c r="I1839" s="9">
        <f>IFERROR(INDEX('Темы × классы'!$R:$R,MATCH(E1839,'Темы × классы'!$E:$E,0)),"")</f>
        <v/>
      </c>
      <c r="J1839" s="9">
        <f>IFERROR(INDEX('Темы × классы'!$S:$S,MATCH(E1839,'Темы × классы'!$E:$E,0))&amp;"","")</f>
        <v/>
      </c>
      <c r="K1839" s="9" t="inlineStr">
        <is>
          <t>не начат</t>
        </is>
      </c>
      <c r="L1839" s="9" t="inlineStr">
        <is>
          <t>Spotlight / 11 класс / Module 6 · Communication / Reporting verbs / Reporting verbs: explain/wonder + вопросительное слово (+ to-inf / clause)</t>
        </is>
      </c>
    </row>
    <row r="1840">
      <c r="A1840" s="25" t="n">
        <v>11</v>
      </c>
      <c r="B1840" s="9" t="inlineStr">
        <is>
          <t>Module 6 · Communication</t>
        </is>
      </c>
      <c r="C1840" s="9" t="inlineStr">
        <is>
          <t>6c</t>
        </is>
      </c>
      <c r="D1840" s="9" t="inlineStr">
        <is>
          <t>Indirect questions</t>
        </is>
      </c>
      <c r="E1840" s="23" t="inlineStr">
        <is>
          <t>Indirect questions: Could you tell me…? / Do you know…? — прямой порядок слов</t>
        </is>
      </c>
      <c r="F1840" s="25" t="inlineStr">
        <is>
          <t>повторение</t>
        </is>
      </c>
      <c r="G1840" s="9" t="inlineStr"/>
      <c r="H1840" s="25" t="inlineStr">
        <is>
          <t>10+</t>
        </is>
      </c>
      <c r="I1840" s="9">
        <f>IFERROR(INDEX('Темы × классы'!$R:$R,MATCH(E1840,'Темы × классы'!$E:$E,0)),"")</f>
        <v/>
      </c>
      <c r="J1840" s="9">
        <f>IFERROR(INDEX('Темы × классы'!$S:$S,MATCH(E1840,'Темы × классы'!$E:$E,0))&amp;"","")</f>
        <v/>
      </c>
      <c r="K1840" s="9" t="inlineStr">
        <is>
          <t>не начат</t>
        </is>
      </c>
      <c r="L1840" s="9" t="inlineStr">
        <is>
          <t>Spotlight / 11 класс / Module 6 · Communication / Indirect questions / Indirect questions: Could you tell me…? / Do you know…? — прямой порядок слов</t>
        </is>
      </c>
    </row>
    <row r="1841">
      <c r="A1841" s="25" t="n">
        <v>11</v>
      </c>
      <c r="B1841" s="9" t="inlineStr">
        <is>
          <t>Module 6 · Communication</t>
        </is>
      </c>
      <c r="C1841" s="9" t="inlineStr">
        <is>
          <t>6c</t>
        </is>
      </c>
      <c r="D1841" s="9" t="inlineStr">
        <is>
          <t>Indirect questions</t>
        </is>
      </c>
      <c r="E1841" s="23" t="inlineStr">
        <is>
          <t>Indirect questions: I wonder / I want to know / I doubt — без вопросительного знака</t>
        </is>
      </c>
      <c r="F1841" s="25" t="inlineStr">
        <is>
          <t>повторение</t>
        </is>
      </c>
      <c r="G1841" s="9" t="inlineStr"/>
      <c r="H1841" s="25" t="inlineStr">
        <is>
          <t>10+</t>
        </is>
      </c>
      <c r="I1841" s="9">
        <f>IFERROR(INDEX('Темы × классы'!$R:$R,MATCH(E1841,'Темы × классы'!$E:$E,0)),"")</f>
        <v/>
      </c>
      <c r="J1841" s="9">
        <f>IFERROR(INDEX('Темы × классы'!$S:$S,MATCH(E1841,'Темы × классы'!$E:$E,0))&amp;"","")</f>
        <v/>
      </c>
      <c r="K1841" s="9" t="inlineStr">
        <is>
          <t>не начат</t>
        </is>
      </c>
      <c r="L1841" s="9" t="inlineStr">
        <is>
          <t>Spotlight / 11 класс / Module 6 · Communication / Indirect questions / Indirect questions: I wonder / I want to know / I doubt — без вопросительного знака</t>
        </is>
      </c>
    </row>
    <row r="1842">
      <c r="A1842" s="25" t="n">
        <v>11</v>
      </c>
      <c r="B1842" s="9" t="inlineStr">
        <is>
          <t>Module 6 · Communication</t>
        </is>
      </c>
      <c r="C1842" s="9" t="inlineStr">
        <is>
          <t>6c</t>
        </is>
      </c>
      <c r="D1842" s="9" t="inlineStr">
        <is>
          <t>Reported questions</t>
        </is>
      </c>
      <c r="E1842" s="23" t="inlineStr">
        <is>
          <t>Reported questions: вводящие глаголы ask, inquire, wonder, want to know</t>
        </is>
      </c>
      <c r="F1842" s="25" t="inlineStr">
        <is>
          <t>повторение</t>
        </is>
      </c>
      <c r="G1842" s="9" t="inlineStr"/>
      <c r="H1842" s="25" t="inlineStr">
        <is>
          <t>10+</t>
        </is>
      </c>
      <c r="I1842" s="9">
        <f>IFERROR(INDEX('Темы × классы'!$R:$R,MATCH(E1842,'Темы × классы'!$E:$E,0)),"")</f>
        <v/>
      </c>
      <c r="J1842" s="9">
        <f>IFERROR(INDEX('Темы × классы'!$S:$S,MATCH(E1842,'Темы × классы'!$E:$E,0))&amp;"","")</f>
        <v/>
      </c>
      <c r="K1842" s="9" t="inlineStr">
        <is>
          <t>не начат</t>
        </is>
      </c>
      <c r="L1842" s="9" t="inlineStr">
        <is>
          <t>Spotlight / 11 класс / Module 6 · Communication / Reported questions / Reported questions: вводящие глаголы ask, inquire, wonder, want to know</t>
        </is>
      </c>
    </row>
    <row r="1843">
      <c r="A1843" s="25" t="n">
        <v>11</v>
      </c>
      <c r="B1843" s="9" t="inlineStr">
        <is>
          <t>Module 6 · Communication</t>
        </is>
      </c>
      <c r="C1843" s="9" t="inlineStr">
        <is>
          <t>6c</t>
        </is>
      </c>
      <c r="D1843" s="9" t="inlineStr">
        <is>
          <t>Reported questions</t>
        </is>
      </c>
      <c r="E1843" s="23" t="inlineStr">
        <is>
          <t>Reported questions: специальные вопросы — то же вопросительное слово</t>
        </is>
      </c>
      <c r="F1843" s="25" t="inlineStr">
        <is>
          <t>повторение</t>
        </is>
      </c>
      <c r="G1843" s="9" t="inlineStr"/>
      <c r="H1843" s="25" t="inlineStr">
        <is>
          <t>10+</t>
        </is>
      </c>
      <c r="I1843" s="9">
        <f>IFERROR(INDEX('Темы × классы'!$R:$R,MATCH(E1843,'Темы × классы'!$E:$E,0)),"")</f>
        <v/>
      </c>
      <c r="J1843" s="9">
        <f>IFERROR(INDEX('Темы × классы'!$S:$S,MATCH(E1843,'Темы × классы'!$E:$E,0))&amp;"","")</f>
        <v/>
      </c>
      <c r="K1843" s="9" t="inlineStr">
        <is>
          <t>не начат</t>
        </is>
      </c>
      <c r="L1843" s="9" t="inlineStr">
        <is>
          <t>Spotlight / 11 класс / Module 6 · Communication / Reported questions / Reported questions: специальные вопросы — то же вопросительное слово</t>
        </is>
      </c>
    </row>
    <row r="1844">
      <c r="A1844" s="25" t="n">
        <v>11</v>
      </c>
      <c r="B1844" s="9" t="inlineStr">
        <is>
          <t>Module 6 · Communication</t>
        </is>
      </c>
      <c r="C1844" s="9" t="inlineStr">
        <is>
          <t>6c</t>
        </is>
      </c>
      <c r="D1844" s="9" t="inlineStr">
        <is>
          <t>Reported questions</t>
        </is>
      </c>
      <c r="E1844" s="23" t="inlineStr">
        <is>
          <t>Reported questions: общие вопросы — if/whether</t>
        </is>
      </c>
      <c r="F1844" s="25" t="inlineStr">
        <is>
          <t>повторение</t>
        </is>
      </c>
      <c r="G1844" s="9" t="inlineStr"/>
      <c r="H1844" s="25" t="inlineStr">
        <is>
          <t>10+</t>
        </is>
      </c>
      <c r="I1844" s="9">
        <f>IFERROR(INDEX('Темы × классы'!$R:$R,MATCH(E1844,'Темы × классы'!$E:$E,0)),"")</f>
        <v/>
      </c>
      <c r="J1844" s="9">
        <f>IFERROR(INDEX('Темы × классы'!$S:$S,MATCH(E1844,'Темы × классы'!$E:$E,0))&amp;"","")</f>
        <v/>
      </c>
      <c r="K1844" s="9" t="inlineStr">
        <is>
          <t>не начат</t>
        </is>
      </c>
      <c r="L1844" s="9" t="inlineStr">
        <is>
          <t>Spotlight / 11 класс / Module 6 · Communication / Reported questions / Reported questions: общие вопросы — if/whether</t>
        </is>
      </c>
    </row>
    <row r="1845">
      <c r="A1845" s="25" t="n">
        <v>11</v>
      </c>
      <c r="B1845" s="9" t="inlineStr">
        <is>
          <t>Module 6 · Communication</t>
        </is>
      </c>
      <c r="C1845" s="9" t="inlineStr">
        <is>
          <t>6c</t>
        </is>
      </c>
      <c r="D1845" s="9" t="inlineStr">
        <is>
          <t>Reported questions</t>
        </is>
      </c>
      <c r="E1845" s="23" t="inlineStr">
        <is>
          <t>Reported questions: прямой порядок слов, без «?», без please/well/oh</t>
        </is>
      </c>
      <c r="F1845" s="25" t="inlineStr">
        <is>
          <t>повторение</t>
        </is>
      </c>
      <c r="G1845" s="9" t="inlineStr"/>
      <c r="H1845" s="25" t="inlineStr">
        <is>
          <t>10+</t>
        </is>
      </c>
      <c r="I1845" s="9">
        <f>IFERROR(INDEX('Темы × классы'!$R:$R,MATCH(E1845,'Темы × классы'!$E:$E,0)),"")</f>
        <v/>
      </c>
      <c r="J1845" s="9">
        <f>IFERROR(INDEX('Темы × классы'!$S:$S,MATCH(E1845,'Темы × классы'!$E:$E,0))&amp;"","")</f>
        <v/>
      </c>
      <c r="K1845" s="9" t="inlineStr">
        <is>
          <t>не начат</t>
        </is>
      </c>
      <c r="L1845" s="9" t="inlineStr">
        <is>
          <t>Spotlight / 11 класс / Module 6 · Communication / Reported questions / Reported questions: прямой порядок слов, без «?», без please/well/oh</t>
        </is>
      </c>
    </row>
    <row r="1846">
      <c r="A1846" s="25" t="n">
        <v>11</v>
      </c>
      <c r="B1846" s="9" t="inlineStr">
        <is>
          <t>Module 6 · Communication</t>
        </is>
      </c>
      <c r="C1846" s="9" t="inlineStr">
        <is>
          <t>6c</t>
        </is>
      </c>
      <c r="D1846" s="9" t="inlineStr">
        <is>
          <t>Reported questions</t>
        </is>
      </c>
      <c r="E1846" s="23" t="inlineStr">
        <is>
          <t>Reported questions: сдвиг времён, местоимений и слов времени</t>
        </is>
      </c>
      <c r="F1846" s="25" t="inlineStr">
        <is>
          <t>повторение</t>
        </is>
      </c>
      <c r="G1846" s="9" t="inlineStr"/>
      <c r="H1846" s="25" t="inlineStr">
        <is>
          <t>10+</t>
        </is>
      </c>
      <c r="I1846" s="9">
        <f>IFERROR(INDEX('Темы × классы'!$R:$R,MATCH(E1846,'Темы × классы'!$E:$E,0)),"")</f>
        <v/>
      </c>
      <c r="J1846" s="9">
        <f>IFERROR(INDEX('Темы × классы'!$S:$S,MATCH(E1846,'Темы × классы'!$E:$E,0))&amp;"","")</f>
        <v/>
      </c>
      <c r="K1846" s="9" t="inlineStr">
        <is>
          <t>не начат</t>
        </is>
      </c>
      <c r="L1846" s="9" t="inlineStr">
        <is>
          <t>Spotlight / 11 класс / Module 6 · Communication / Reported questions / Reported questions: сдвиг времён, местоимений и слов времени</t>
        </is>
      </c>
    </row>
    <row r="1847">
      <c r="A1847" s="25" t="n">
        <v>11</v>
      </c>
      <c r="B1847" s="9" t="inlineStr">
        <is>
          <t>Module 6 · Communication</t>
        </is>
      </c>
      <c r="C1847" s="9" t="inlineStr">
        <is>
          <t>6c</t>
        </is>
      </c>
      <c r="D1847" s="9" t="inlineStr">
        <is>
          <t>Phrasal verbs</t>
        </is>
      </c>
      <c r="E1847" s="23" t="inlineStr">
        <is>
          <t>Phrasal verbs: talk</t>
        </is>
      </c>
      <c r="F1847" s="26" t="inlineStr">
        <is>
          <t>новое</t>
        </is>
      </c>
      <c r="G1847" s="9" t="inlineStr">
        <is>
          <t>talk + частицы (English in Use 6c); конкретные частицы в доступных страницах не даны.</t>
        </is>
      </c>
      <c r="H1847" s="25" t="inlineStr">
        <is>
          <t>10+</t>
        </is>
      </c>
      <c r="I1847" s="9">
        <f>IFERROR(INDEX('Темы × классы'!$R:$R,MATCH(E1847,'Темы × классы'!$E:$E,0)),"")</f>
        <v/>
      </c>
      <c r="J1847" s="9">
        <f>IFERROR(INDEX('Темы × классы'!$S:$S,MATCH(E1847,'Темы × классы'!$E:$E,0))&amp;"","")</f>
        <v/>
      </c>
      <c r="K1847" s="9" t="inlineStr">
        <is>
          <t>не начат</t>
        </is>
      </c>
      <c r="L1847" s="9" t="inlineStr">
        <is>
          <t>Spotlight / 11 класс / Module 6 · Communication / Phrasal verbs / Phrasal verbs: talk</t>
        </is>
      </c>
    </row>
    <row r="1848">
      <c r="A1848" s="25" t="n">
        <v>11</v>
      </c>
      <c r="B1848" s="9" t="inlineStr">
        <is>
          <t>Module 6 · Communication</t>
        </is>
      </c>
      <c r="C1848" s="9" t="inlineStr">
        <is>
          <t>6c</t>
        </is>
      </c>
      <c r="D1848" s="9" t="inlineStr">
        <is>
          <t>Dependent prepositions</t>
        </is>
      </c>
      <c r="E1848" s="23" t="inlineStr">
        <is>
          <t>Dependent prepositions</t>
        </is>
      </c>
      <c r="F1848" s="25" t="inlineStr">
        <is>
          <t>повторение</t>
        </is>
      </c>
      <c r="G1848" s="9" t="inlineStr">
        <is>
          <t>Dependent prepositions (English in Use 6c); конкретные сочетания в доступных страницах не даны. В справочнике М6 (вводящие глаголы + -ing): accuse sb of, apologise for, admit (to), boast about/of, complain about/of, insist on.</t>
        </is>
      </c>
      <c r="H1848" s="25" t="inlineStr">
        <is>
          <t>10+</t>
        </is>
      </c>
      <c r="I1848" s="9">
        <f>IFERROR(INDEX('Темы × классы'!$R:$R,MATCH(E1848,'Темы × классы'!$E:$E,0)),"")</f>
        <v/>
      </c>
      <c r="J1848" s="9">
        <f>IFERROR(INDEX('Темы × классы'!$S:$S,MATCH(E1848,'Темы × классы'!$E:$E,0))&amp;"","")</f>
        <v/>
      </c>
      <c r="K1848" s="9" t="inlineStr">
        <is>
          <t>не начат</t>
        </is>
      </c>
      <c r="L1848" s="9" t="inlineStr">
        <is>
          <t>Spotlight / 11 класс / Module 6 · Communication / Dependent prepositions / Dependent prepositions</t>
        </is>
      </c>
    </row>
    <row r="1849">
      <c r="A1849" s="25" t="n">
        <v>11</v>
      </c>
      <c r="B1849" s="9" t="inlineStr">
        <is>
          <t>Module 6 · Communication</t>
        </is>
      </c>
      <c r="C1849" s="9" t="inlineStr">
        <is>
          <t>6b</t>
        </is>
      </c>
      <c r="D1849" s="9" t="inlineStr">
        <is>
          <t>Idioms &amp; collocations</t>
        </is>
      </c>
      <c r="E1849" s="23" t="inlineStr">
        <is>
          <t>Idioms &amp; collocations</t>
        </is>
      </c>
      <c r="F1849" s="25" t="inlineStr">
        <is>
          <t>повторение</t>
        </is>
      </c>
      <c r="G1849" s="9" t="inlineStr">
        <is>
          <t>Idioms with talk and speak (6b).</t>
        </is>
      </c>
      <c r="H1849" s="25" t="inlineStr">
        <is>
          <t>10+</t>
        </is>
      </c>
      <c r="I1849" s="9">
        <f>IFERROR(INDEX('Темы × классы'!$R:$R,MATCH(E1849,'Темы × классы'!$E:$E,0)),"")</f>
        <v/>
      </c>
      <c r="J1849" s="9">
        <f>IFERROR(INDEX('Темы × классы'!$S:$S,MATCH(E1849,'Темы × классы'!$E:$E,0))&amp;"","")</f>
        <v/>
      </c>
      <c r="K1849" s="9" t="inlineStr">
        <is>
          <t>не начат</t>
        </is>
      </c>
      <c r="L1849" s="9" t="inlineStr">
        <is>
          <t>Spotlight / 11 класс / Module 6 · Communication / Idioms &amp; collocations / Idioms &amp; collocations</t>
        </is>
      </c>
    </row>
    <row r="1850">
      <c r="A1850" s="25" t="n">
        <v>11</v>
      </c>
      <c r="B1850" s="9" t="inlineStr">
        <is>
          <t>Module 7 · In days to come</t>
        </is>
      </c>
      <c r="C1850" s="9" t="inlineStr">
        <is>
          <t>7c</t>
        </is>
      </c>
      <c r="D1850" s="9" t="inlineStr">
        <is>
          <t>Conditionals (Type 1)</t>
        </is>
      </c>
      <c r="E1850" s="23" t="inlineStr">
        <is>
          <t>Conditionals Type 1: форма If + Present Simple — will + V</t>
        </is>
      </c>
      <c r="F1850" s="25" t="inlineStr">
        <is>
          <t>повторение</t>
        </is>
      </c>
      <c r="G1850" s="9" t="inlineStr">
        <is>
          <t>главная часть — только Future Simple</t>
        </is>
      </c>
      <c r="H1850" s="25" t="inlineStr">
        <is>
          <t>10+</t>
        </is>
      </c>
      <c r="I1850" s="9">
        <f>IFERROR(INDEX('Темы × классы'!$R:$R,MATCH(E1850,'Темы × классы'!$E:$E,0)),"")</f>
        <v/>
      </c>
      <c r="J1850" s="9">
        <f>IFERROR(INDEX('Темы × классы'!$S:$S,MATCH(E1850,'Темы × классы'!$E:$E,0))&amp;"","")</f>
        <v/>
      </c>
      <c r="K1850" s="9" t="inlineStr">
        <is>
          <t>не начат</t>
        </is>
      </c>
      <c r="L1850" s="9" t="inlineStr">
        <is>
          <t>Spotlight / 11 класс / Module 7 · In days to come / Conditionals (Type 1) / Conditionals Type 1: форма If + Present Simple — will + V</t>
        </is>
      </c>
    </row>
    <row r="1851">
      <c r="A1851" s="25" t="n">
        <v>11</v>
      </c>
      <c r="B1851" s="9" t="inlineStr">
        <is>
          <t>Module 7 · In days to come</t>
        </is>
      </c>
      <c r="C1851" s="9" t="inlineStr">
        <is>
          <t>7c</t>
        </is>
      </c>
      <c r="D1851" s="9" t="inlineStr">
        <is>
          <t>Conditionals (Type 1)</t>
        </is>
      </c>
      <c r="E1851" s="23" t="inlineStr">
        <is>
          <t>Conditionals Type 1: значение — реальная/вероятная ситуация в настоящем/будущем</t>
        </is>
      </c>
      <c r="F1851" s="25" t="inlineStr">
        <is>
          <t>повторение</t>
        </is>
      </c>
      <c r="G1851" s="9" t="inlineStr"/>
      <c r="H1851" s="25" t="inlineStr">
        <is>
          <t>10+</t>
        </is>
      </c>
      <c r="I1851" s="9">
        <f>IFERROR(INDEX('Темы × классы'!$R:$R,MATCH(E1851,'Темы × классы'!$E:$E,0)),"")</f>
        <v/>
      </c>
      <c r="J1851" s="9">
        <f>IFERROR(INDEX('Темы × классы'!$S:$S,MATCH(E1851,'Темы × классы'!$E:$E,0))&amp;"","")</f>
        <v/>
      </c>
      <c r="K1851" s="9" t="inlineStr">
        <is>
          <t>не начат</t>
        </is>
      </c>
      <c r="L1851" s="9" t="inlineStr">
        <is>
          <t>Spotlight / 11 класс / Module 7 · In days to come / Conditionals (Type 1) / Conditionals Type 1: значение — реальная/вероятная ситуация в настоящем/будущем</t>
        </is>
      </c>
    </row>
    <row r="1852">
      <c r="A1852" s="25" t="n">
        <v>11</v>
      </c>
      <c r="B1852" s="9" t="inlineStr">
        <is>
          <t>Module 7 · In days to come</t>
        </is>
      </c>
      <c r="C1852" s="9" t="inlineStr">
        <is>
          <t>7c</t>
        </is>
      </c>
      <c r="D1852" s="9" t="inlineStr">
        <is>
          <t>Conditionals (Type 1)</t>
        </is>
      </c>
      <c r="E1852" s="23" t="inlineStr">
        <is>
          <t>Conditionals Type 1: запятая, если if-часть впереди</t>
        </is>
      </c>
      <c r="F1852" s="25" t="inlineStr">
        <is>
          <t>повторение</t>
        </is>
      </c>
      <c r="G1852" s="9" t="inlineStr"/>
      <c r="H1852" s="25" t="inlineStr">
        <is>
          <t>10+</t>
        </is>
      </c>
      <c r="I1852" s="9">
        <f>IFERROR(INDEX('Темы × классы'!$R:$R,MATCH(E1852,'Темы × классы'!$E:$E,0)),"")</f>
        <v/>
      </c>
      <c r="J1852" s="9">
        <f>IFERROR(INDEX('Темы × классы'!$S:$S,MATCH(E1852,'Темы × классы'!$E:$E,0))&amp;"","")</f>
        <v/>
      </c>
      <c r="K1852" s="9" t="inlineStr">
        <is>
          <t>не начат</t>
        </is>
      </c>
      <c r="L1852" s="9" t="inlineStr">
        <is>
          <t>Spotlight / 11 класс / Module 7 · In days to come / Conditionals (Type 1) / Conditionals Type 1: запятая, если if-часть впереди</t>
        </is>
      </c>
    </row>
    <row r="1853">
      <c r="A1853" s="25" t="n">
        <v>11</v>
      </c>
      <c r="B1853" s="9" t="inlineStr">
        <is>
          <t>Module 7 · In days to come</t>
        </is>
      </c>
      <c r="C1853" s="9" t="inlineStr">
        <is>
          <t>7c</t>
        </is>
      </c>
      <c r="D1853" s="9" t="inlineStr">
        <is>
          <t>Conditionals (Type 1)</t>
        </is>
      </c>
      <c r="E1853" s="23" t="inlineStr">
        <is>
          <t>Conditionals Type 1: unless = if not</t>
        </is>
      </c>
      <c r="F1853" s="25" t="inlineStr">
        <is>
          <t>повторение</t>
        </is>
      </c>
      <c r="G1853" s="9" t="inlineStr"/>
      <c r="H1853" s="25" t="inlineStr">
        <is>
          <t>10+</t>
        </is>
      </c>
      <c r="I1853" s="9">
        <f>IFERROR(INDEX('Темы × классы'!$R:$R,MATCH(E1853,'Темы × классы'!$E:$E,0)),"")</f>
        <v/>
      </c>
      <c r="J1853" s="9">
        <f>IFERROR(INDEX('Темы × классы'!$S:$S,MATCH(E1853,'Темы × классы'!$E:$E,0))&amp;"","")</f>
        <v/>
      </c>
      <c r="K1853" s="9" t="inlineStr">
        <is>
          <t>не начат</t>
        </is>
      </c>
      <c r="L1853" s="9" t="inlineStr">
        <is>
          <t>Spotlight / 11 класс / Module 7 · In days to come / Conditionals (Type 1) / Conditionals Type 1: unless = if not</t>
        </is>
      </c>
    </row>
    <row r="1854">
      <c r="A1854" s="25" t="n">
        <v>11</v>
      </c>
      <c r="B1854" s="9" t="inlineStr">
        <is>
          <t>Module 7 · In days to come</t>
        </is>
      </c>
      <c r="C1854" s="9" t="inlineStr">
        <is>
          <t>7c</t>
        </is>
      </c>
      <c r="D1854" s="9" t="inlineStr">
        <is>
          <t>Conditionals (Type 2)</t>
        </is>
      </c>
      <c r="E1854" s="23" t="inlineStr">
        <is>
          <t>Conditionals Type 2: форма If + Past Simple — would/could/might + V</t>
        </is>
      </c>
      <c r="F1854" s="25" t="inlineStr">
        <is>
          <t>повторение</t>
        </is>
      </c>
      <c r="G1854" s="9" t="inlineStr"/>
      <c r="H1854" s="25" t="inlineStr">
        <is>
          <t>10+</t>
        </is>
      </c>
      <c r="I1854" s="9">
        <f>IFERROR(INDEX('Темы × классы'!$R:$R,MATCH(E1854,'Темы × классы'!$E:$E,0)),"")</f>
        <v/>
      </c>
      <c r="J1854" s="9">
        <f>IFERROR(INDEX('Темы × классы'!$S:$S,MATCH(E1854,'Темы × классы'!$E:$E,0))&amp;"","")</f>
        <v/>
      </c>
      <c r="K1854" s="9" t="inlineStr">
        <is>
          <t>не начат</t>
        </is>
      </c>
      <c r="L1854" s="9" t="inlineStr">
        <is>
          <t>Spotlight / 11 класс / Module 7 · In days to come / Conditionals (Type 2) / Conditionals Type 2: форма If + Past Simple — would/could/might + V</t>
        </is>
      </c>
    </row>
    <row r="1855">
      <c r="A1855" s="25" t="n">
        <v>11</v>
      </c>
      <c r="B1855" s="9" t="inlineStr">
        <is>
          <t>Module 7 · In days to come</t>
        </is>
      </c>
      <c r="C1855" s="9" t="inlineStr">
        <is>
          <t>7c</t>
        </is>
      </c>
      <c r="D1855" s="9" t="inlineStr">
        <is>
          <t>Conditionals (Type 2)</t>
        </is>
      </c>
      <c r="E1855" s="23" t="inlineStr">
        <is>
          <t>Conditionals Type 2: If + Past Continuous</t>
        </is>
      </c>
      <c r="F1855" s="25" t="inlineStr">
        <is>
          <t>повторение</t>
        </is>
      </c>
      <c r="G1855" s="9" t="inlineStr"/>
      <c r="H1855" s="25" t="inlineStr">
        <is>
          <t>10+</t>
        </is>
      </c>
      <c r="I1855" s="9">
        <f>IFERROR(INDEX('Темы × классы'!$R:$R,MATCH(E1855,'Темы × классы'!$E:$E,0)),"")</f>
        <v/>
      </c>
      <c r="J1855" s="9">
        <f>IFERROR(INDEX('Темы × классы'!$S:$S,MATCH(E1855,'Темы × классы'!$E:$E,0))&amp;"","")</f>
        <v/>
      </c>
      <c r="K1855" s="9" t="inlineStr">
        <is>
          <t>не начат</t>
        </is>
      </c>
      <c r="L1855" s="9" t="inlineStr">
        <is>
          <t>Spotlight / 11 класс / Module 7 · In days to come / Conditionals (Type 2) / Conditionals Type 2: If + Past Continuous</t>
        </is>
      </c>
    </row>
    <row r="1856">
      <c r="A1856" s="25" t="n">
        <v>11</v>
      </c>
      <c r="B1856" s="9" t="inlineStr">
        <is>
          <t>Module 7 · In days to come</t>
        </is>
      </c>
      <c r="C1856" s="9" t="inlineStr">
        <is>
          <t>7c</t>
        </is>
      </c>
      <c r="D1856" s="9" t="inlineStr">
        <is>
          <t>Conditionals (Type 2)</t>
        </is>
      </c>
      <c r="E1856" s="23" t="inlineStr">
        <is>
          <t>Conditionals Type 2: значение — воображаемая/маловероятная ситуация в настоящем/будущем</t>
        </is>
      </c>
      <c r="F1856" s="25" t="inlineStr">
        <is>
          <t>повторение</t>
        </is>
      </c>
      <c r="G1856" s="9" t="inlineStr"/>
      <c r="H1856" s="25" t="inlineStr">
        <is>
          <t>10+</t>
        </is>
      </c>
      <c r="I1856" s="9">
        <f>IFERROR(INDEX('Темы × классы'!$R:$R,MATCH(E1856,'Темы × классы'!$E:$E,0)),"")</f>
        <v/>
      </c>
      <c r="J1856" s="9">
        <f>IFERROR(INDEX('Темы × классы'!$S:$S,MATCH(E1856,'Темы × классы'!$E:$E,0))&amp;"","")</f>
        <v/>
      </c>
      <c r="K1856" s="9" t="inlineStr">
        <is>
          <t>не начат</t>
        </is>
      </c>
      <c r="L1856" s="9" t="inlineStr">
        <is>
          <t>Spotlight / 11 класс / Module 7 · In days to come / Conditionals (Type 2) / Conditionals Type 2: значение — воображаемая/маловероятная ситуация в настоящем/будущем</t>
        </is>
      </c>
    </row>
    <row r="1857">
      <c r="A1857" s="25" t="n">
        <v>11</v>
      </c>
      <c r="B1857" s="9" t="inlineStr">
        <is>
          <t>Module 7 · In days to come</t>
        </is>
      </c>
      <c r="C1857" s="9" t="inlineStr">
        <is>
          <t>7c</t>
        </is>
      </c>
      <c r="D1857" s="9" t="inlineStr">
        <is>
          <t>Conditionals (Type 2)</t>
        </is>
      </c>
      <c r="E1857" s="23" t="inlineStr">
        <is>
          <t>Conditionals Type 2: were/was для I, he, she, it</t>
        </is>
      </c>
      <c r="F1857" s="25" t="inlineStr">
        <is>
          <t>повторение</t>
        </is>
      </c>
      <c r="G1857" s="9" t="inlineStr"/>
      <c r="H1857" s="25" t="inlineStr">
        <is>
          <t>10+</t>
        </is>
      </c>
      <c r="I1857" s="9">
        <f>IFERROR(INDEX('Темы × классы'!$R:$R,MATCH(E1857,'Темы × классы'!$E:$E,0)),"")</f>
        <v/>
      </c>
      <c r="J1857" s="9">
        <f>IFERROR(INDEX('Темы × классы'!$S:$S,MATCH(E1857,'Темы × классы'!$E:$E,0))&amp;"","")</f>
        <v/>
      </c>
      <c r="K1857" s="9" t="inlineStr">
        <is>
          <t>не начат</t>
        </is>
      </c>
      <c r="L1857" s="9" t="inlineStr">
        <is>
          <t>Spotlight / 11 класс / Module 7 · In days to come / Conditionals (Type 2) / Conditionals Type 2: were/was для I, he, she, it</t>
        </is>
      </c>
    </row>
    <row r="1858">
      <c r="A1858" s="25" t="n">
        <v>11</v>
      </c>
      <c r="B1858" s="9" t="inlineStr">
        <is>
          <t>Module 7 · In days to come</t>
        </is>
      </c>
      <c r="C1858" s="9" t="inlineStr">
        <is>
          <t>7c</t>
        </is>
      </c>
      <c r="D1858" s="9" t="inlineStr">
        <is>
          <t>Conditionals (Type 2)</t>
        </is>
      </c>
      <c r="E1858" s="23" t="inlineStr">
        <is>
          <t>Conditionals Type 2: If I were you — совет</t>
        </is>
      </c>
      <c r="F1858" s="25" t="inlineStr">
        <is>
          <t>повторение</t>
        </is>
      </c>
      <c r="G1858" s="9" t="inlineStr"/>
      <c r="H1858" s="25" t="inlineStr">
        <is>
          <t>10+</t>
        </is>
      </c>
      <c r="I1858" s="9">
        <f>IFERROR(INDEX('Темы × классы'!$R:$R,MATCH(E1858,'Темы × классы'!$E:$E,0)),"")</f>
        <v/>
      </c>
      <c r="J1858" s="9">
        <f>IFERROR(INDEX('Темы × классы'!$S:$S,MATCH(E1858,'Темы × классы'!$E:$E,0))&amp;"","")</f>
        <v/>
      </c>
      <c r="K1858" s="9" t="inlineStr">
        <is>
          <t>не начат</t>
        </is>
      </c>
      <c r="L1858" s="9" t="inlineStr">
        <is>
          <t>Spotlight / 11 класс / Module 7 · In days to come / Conditionals (Type 2) / Conditionals Type 2: If I were you — совет</t>
        </is>
      </c>
    </row>
    <row r="1859">
      <c r="A1859" s="25" t="n">
        <v>11</v>
      </c>
      <c r="B1859" s="9" t="inlineStr">
        <is>
          <t>Module 7 · In days to come</t>
        </is>
      </c>
      <c r="C1859" s="9" t="inlineStr">
        <is>
          <t>7c</t>
        </is>
      </c>
      <c r="D1859" s="9" t="inlineStr">
        <is>
          <t>Conditionals (Type 3)</t>
        </is>
      </c>
      <c r="E1859" s="23" t="inlineStr">
        <is>
          <t>Conditionals Type 3: форма If + Past Perfect — would/could/might have + V3</t>
        </is>
      </c>
      <c r="F1859" s="25" t="inlineStr">
        <is>
          <t>повторение</t>
        </is>
      </c>
      <c r="G1859" s="9" t="inlineStr"/>
      <c r="H1859" s="25" t="inlineStr">
        <is>
          <t>10+</t>
        </is>
      </c>
      <c r="I1859" s="9">
        <f>IFERROR(INDEX('Темы × классы'!$R:$R,MATCH(E1859,'Темы × классы'!$E:$E,0)),"")</f>
        <v/>
      </c>
      <c r="J1859" s="9">
        <f>IFERROR(INDEX('Темы × классы'!$S:$S,MATCH(E1859,'Темы × классы'!$E:$E,0))&amp;"","")</f>
        <v/>
      </c>
      <c r="K1859" s="9" t="inlineStr">
        <is>
          <t>не начат</t>
        </is>
      </c>
      <c r="L1859" s="9" t="inlineStr">
        <is>
          <t>Spotlight / 11 класс / Module 7 · In days to come / Conditionals (Type 3) / Conditionals Type 3: форма If + Past Perfect — would/could/might have + V3</t>
        </is>
      </c>
    </row>
    <row r="1860">
      <c r="A1860" s="25" t="n">
        <v>11</v>
      </c>
      <c r="B1860" s="9" t="inlineStr">
        <is>
          <t>Module 7 · In days to come</t>
        </is>
      </c>
      <c r="C1860" s="9" t="inlineStr">
        <is>
          <t>7c</t>
        </is>
      </c>
      <c r="D1860" s="9" t="inlineStr">
        <is>
          <t>Conditionals (Type 3)</t>
        </is>
      </c>
      <c r="E1860" s="23" t="inlineStr">
        <is>
          <t>Conditionals Type 3: If + Past Perfect Continuous</t>
        </is>
      </c>
      <c r="F1860" s="25" t="inlineStr">
        <is>
          <t>повторение</t>
        </is>
      </c>
      <c r="G1860" s="9" t="inlineStr"/>
      <c r="H1860" s="25" t="inlineStr">
        <is>
          <t>10+</t>
        </is>
      </c>
      <c r="I1860" s="9">
        <f>IFERROR(INDEX('Темы × классы'!$R:$R,MATCH(E1860,'Темы × классы'!$E:$E,0)),"")</f>
        <v/>
      </c>
      <c r="J1860" s="9">
        <f>IFERROR(INDEX('Темы × классы'!$S:$S,MATCH(E1860,'Темы × классы'!$E:$E,0))&amp;"","")</f>
        <v/>
      </c>
      <c r="K1860" s="9" t="inlineStr">
        <is>
          <t>не начат</t>
        </is>
      </c>
      <c r="L1860" s="9" t="inlineStr">
        <is>
          <t>Spotlight / 11 класс / Module 7 · In days to come / Conditionals (Type 3) / Conditionals Type 3: If + Past Perfect Continuous</t>
        </is>
      </c>
    </row>
    <row r="1861">
      <c r="A1861" s="25" t="n">
        <v>11</v>
      </c>
      <c r="B1861" s="9" t="inlineStr">
        <is>
          <t>Module 7 · In days to come</t>
        </is>
      </c>
      <c r="C1861" s="9" t="inlineStr">
        <is>
          <t>7c</t>
        </is>
      </c>
      <c r="D1861" s="9" t="inlineStr">
        <is>
          <t>Conditionals (Type 3)</t>
        </is>
      </c>
      <c r="E1861" s="23" t="inlineStr">
        <is>
          <t>Conditionals Type 3: значение — нереальная ситуация в прошлом</t>
        </is>
      </c>
      <c r="F1861" s="25" t="inlineStr">
        <is>
          <t>повторение</t>
        </is>
      </c>
      <c r="G1861" s="9" t="inlineStr"/>
      <c r="H1861" s="25" t="inlineStr">
        <is>
          <t>10+</t>
        </is>
      </c>
      <c r="I1861" s="9">
        <f>IFERROR(INDEX('Темы × классы'!$R:$R,MATCH(E1861,'Темы × классы'!$E:$E,0)),"")</f>
        <v/>
      </c>
      <c r="J1861" s="9">
        <f>IFERROR(INDEX('Темы × классы'!$S:$S,MATCH(E1861,'Темы × классы'!$E:$E,0))&amp;"","")</f>
        <v/>
      </c>
      <c r="K1861" s="9" t="inlineStr">
        <is>
          <t>не начат</t>
        </is>
      </c>
      <c r="L1861" s="9" t="inlineStr">
        <is>
          <t>Spotlight / 11 класс / Module 7 · In days to come / Conditionals (Type 3) / Conditionals Type 3: значение — нереальная ситуация в прошлом</t>
        </is>
      </c>
    </row>
    <row r="1862">
      <c r="A1862" s="25" t="n">
        <v>11</v>
      </c>
      <c r="B1862" s="9" t="inlineStr">
        <is>
          <t>Module 7 · In days to come</t>
        </is>
      </c>
      <c r="C1862" s="9" t="inlineStr">
        <is>
          <t>7c</t>
        </is>
      </c>
      <c r="D1862" s="9" t="inlineStr">
        <is>
          <t>Conditionals (Type 3)</t>
        </is>
      </c>
      <c r="E1862" s="23" t="inlineStr">
        <is>
          <t>Conditionals Type 3: значение — сожаление, критика</t>
        </is>
      </c>
      <c r="F1862" s="25" t="inlineStr">
        <is>
          <t>повторение</t>
        </is>
      </c>
      <c r="G1862" s="9" t="inlineStr"/>
      <c r="H1862" s="25" t="inlineStr">
        <is>
          <t>10+</t>
        </is>
      </c>
      <c r="I1862" s="9">
        <f>IFERROR(INDEX('Темы × классы'!$R:$R,MATCH(E1862,'Темы × классы'!$E:$E,0)),"")</f>
        <v/>
      </c>
      <c r="J1862" s="9">
        <f>IFERROR(INDEX('Темы × классы'!$S:$S,MATCH(E1862,'Темы × классы'!$E:$E,0))&amp;"","")</f>
        <v/>
      </c>
      <c r="K1862" s="9" t="inlineStr">
        <is>
          <t>не начат</t>
        </is>
      </c>
      <c r="L1862" s="9" t="inlineStr">
        <is>
          <t>Spotlight / 11 класс / Module 7 · In days to come / Conditionals (Type 3) / Conditionals Type 3: значение — сожаление, критика</t>
        </is>
      </c>
    </row>
    <row r="1863">
      <c r="A1863" s="25" t="n">
        <v>11</v>
      </c>
      <c r="B1863" s="9" t="inlineStr">
        <is>
          <t>Module 7 · In days to come</t>
        </is>
      </c>
      <c r="C1863" s="9" t="inlineStr">
        <is>
          <t>7c</t>
        </is>
      </c>
      <c r="D1863" s="9" t="inlineStr">
        <is>
          <t>Wishes (I wish / If only)</t>
        </is>
      </c>
      <c r="E1863" s="23" t="inlineStr">
        <is>
          <t>Wishes: I wish / If only + Past Simple/Continuous — желание изменить настоящее</t>
        </is>
      </c>
      <c r="F1863" s="25" t="inlineStr">
        <is>
          <t>повторение</t>
        </is>
      </c>
      <c r="G1863" s="9" t="inlineStr"/>
      <c r="H1863" s="25" t="inlineStr">
        <is>
          <t>10+</t>
        </is>
      </c>
      <c r="I1863" s="9">
        <f>IFERROR(INDEX('Темы × классы'!$R:$R,MATCH(E1863,'Темы × классы'!$E:$E,0)),"")</f>
        <v/>
      </c>
      <c r="J1863" s="9">
        <f>IFERROR(INDEX('Темы × классы'!$S:$S,MATCH(E1863,'Темы × классы'!$E:$E,0))&amp;"","")</f>
        <v/>
      </c>
      <c r="K1863" s="9" t="inlineStr">
        <is>
          <t>не начат</t>
        </is>
      </c>
      <c r="L1863" s="9" t="inlineStr">
        <is>
          <t>Spotlight / 11 класс / Module 7 · In days to come / Wishes (I wish / If only) / Wishes: I wish / If only + Past Simple/Continuous — желание изменить настоящее</t>
        </is>
      </c>
    </row>
    <row r="1864">
      <c r="A1864" s="25" t="n">
        <v>11</v>
      </c>
      <c r="B1864" s="9" t="inlineStr">
        <is>
          <t>Module 7 · In days to come</t>
        </is>
      </c>
      <c r="C1864" s="9" t="inlineStr">
        <is>
          <t>7c</t>
        </is>
      </c>
      <c r="D1864" s="9" t="inlineStr">
        <is>
          <t>Wishes (I wish / If only)</t>
        </is>
      </c>
      <c r="E1864" s="23" t="inlineStr">
        <is>
          <t>Wishes: I wish / If only + Past Perfect — сожаление о прошлом</t>
        </is>
      </c>
      <c r="F1864" s="25" t="inlineStr">
        <is>
          <t>повторение</t>
        </is>
      </c>
      <c r="G1864" s="9" t="inlineStr"/>
      <c r="H1864" s="25" t="inlineStr">
        <is>
          <t>10+</t>
        </is>
      </c>
      <c r="I1864" s="9">
        <f>IFERROR(INDEX('Темы × классы'!$R:$R,MATCH(E1864,'Темы × классы'!$E:$E,0)),"")</f>
        <v/>
      </c>
      <c r="J1864" s="9">
        <f>IFERROR(INDEX('Темы × классы'!$S:$S,MATCH(E1864,'Темы × классы'!$E:$E,0))&amp;"","")</f>
        <v/>
      </c>
      <c r="K1864" s="9" t="inlineStr">
        <is>
          <t>не начат</t>
        </is>
      </c>
      <c r="L1864" s="9" t="inlineStr">
        <is>
          <t>Spotlight / 11 класс / Module 7 · In days to come / Wishes (I wish / If only) / Wishes: I wish / If only + Past Perfect — сожаление о прошлом</t>
        </is>
      </c>
    </row>
    <row r="1865">
      <c r="A1865" s="25" t="n">
        <v>11</v>
      </c>
      <c r="B1865" s="9" t="inlineStr">
        <is>
          <t>Module 7 · In days to come</t>
        </is>
      </c>
      <c r="C1865" s="9" t="inlineStr">
        <is>
          <t>7c</t>
        </is>
      </c>
      <c r="D1865" s="9" t="inlineStr">
        <is>
          <t>Wishes (I wish / If only)</t>
        </is>
      </c>
      <c r="E1865" s="23" t="inlineStr">
        <is>
          <t>Wishes: I wish / If only + would + V — раздражение, просьба изменить поведение</t>
        </is>
      </c>
      <c r="F1865" s="25" t="inlineStr">
        <is>
          <t>повторение</t>
        </is>
      </c>
      <c r="G1865" s="9" t="inlineStr"/>
      <c r="H1865" s="25" t="inlineStr">
        <is>
          <t>10+</t>
        </is>
      </c>
      <c r="I1865" s="9">
        <f>IFERROR(INDEX('Темы × классы'!$R:$R,MATCH(E1865,'Темы × классы'!$E:$E,0)),"")</f>
        <v/>
      </c>
      <c r="J1865" s="9">
        <f>IFERROR(INDEX('Темы × классы'!$S:$S,MATCH(E1865,'Темы × классы'!$E:$E,0))&amp;"","")</f>
        <v/>
      </c>
      <c r="K1865" s="9" t="inlineStr">
        <is>
          <t>не начат</t>
        </is>
      </c>
      <c r="L1865" s="9" t="inlineStr">
        <is>
          <t>Spotlight / 11 класс / Module 7 · In days to come / Wishes (I wish / If only) / Wishes: I wish / If only + would + V — раздражение, просьба изменить поведение</t>
        </is>
      </c>
    </row>
    <row r="1866">
      <c r="A1866" s="25" t="n">
        <v>11</v>
      </c>
      <c r="B1866" s="9" t="inlineStr">
        <is>
          <t>Module 7 · In days to come</t>
        </is>
      </c>
      <c r="C1866" s="9" t="inlineStr">
        <is>
          <t>7c</t>
        </is>
      </c>
      <c r="D1866" s="9" t="inlineStr">
        <is>
          <t>Wishes (I wish / If only)</t>
        </is>
      </c>
      <c r="E1866" s="23" t="inlineStr">
        <is>
          <t>Wishes: were вместо was</t>
        </is>
      </c>
      <c r="F1866" s="25" t="inlineStr">
        <is>
          <t>повторение</t>
        </is>
      </c>
      <c r="G1866" s="9" t="inlineStr"/>
      <c r="H1866" s="25" t="inlineStr">
        <is>
          <t>10+</t>
        </is>
      </c>
      <c r="I1866" s="9">
        <f>IFERROR(INDEX('Темы × классы'!$R:$R,MATCH(E1866,'Темы × классы'!$E:$E,0)),"")</f>
        <v/>
      </c>
      <c r="J1866" s="9">
        <f>IFERROR(INDEX('Темы × классы'!$S:$S,MATCH(E1866,'Темы × классы'!$E:$E,0))&amp;"","")</f>
        <v/>
      </c>
      <c r="K1866" s="9" t="inlineStr">
        <is>
          <t>не начат</t>
        </is>
      </c>
      <c r="L1866" s="9" t="inlineStr">
        <is>
          <t>Spotlight / 11 класс / Module 7 · In days to come / Wishes (I wish / If only) / Wishes: were вместо was</t>
        </is>
      </c>
    </row>
    <row r="1867">
      <c r="A1867" s="25" t="n">
        <v>11</v>
      </c>
      <c r="B1867" s="9" t="inlineStr">
        <is>
          <t>Module 7 · In days to come</t>
        </is>
      </c>
      <c r="C1867" s="9" t="inlineStr">
        <is>
          <t>7c</t>
        </is>
      </c>
      <c r="D1867" s="9" t="inlineStr">
        <is>
          <t>Wishes (I wish / If only)</t>
        </is>
      </c>
      <c r="E1867" s="23" t="inlineStr">
        <is>
          <t>Wishes: If only vs I wish — эмоциональность</t>
        </is>
      </c>
      <c r="F1867" s="25" t="inlineStr">
        <is>
          <t>повторение</t>
        </is>
      </c>
      <c r="G1867" s="9" t="inlineStr"/>
      <c r="H1867" s="25" t="inlineStr">
        <is>
          <t>10+</t>
        </is>
      </c>
      <c r="I1867" s="9">
        <f>IFERROR(INDEX('Темы × классы'!$R:$R,MATCH(E1867,'Темы × классы'!$E:$E,0)),"")</f>
        <v/>
      </c>
      <c r="J1867" s="9">
        <f>IFERROR(INDEX('Темы × классы'!$S:$S,MATCH(E1867,'Темы × классы'!$E:$E,0))&amp;"","")</f>
        <v/>
      </c>
      <c r="K1867" s="9" t="inlineStr">
        <is>
          <t>не начат</t>
        </is>
      </c>
      <c r="L1867" s="9" t="inlineStr">
        <is>
          <t>Spotlight / 11 класс / Module 7 · In days to come / Wishes (I wish / If only) / Wishes: If only vs I wish — эмоциональность</t>
        </is>
      </c>
    </row>
    <row r="1868">
      <c r="A1868" s="25" t="n">
        <v>11</v>
      </c>
      <c r="B1868" s="9" t="inlineStr">
        <is>
          <t>Module 7 · In days to come</t>
        </is>
      </c>
      <c r="C1868" s="9" t="inlineStr">
        <is>
          <t>7c</t>
        </is>
      </c>
      <c r="D1868" s="9" t="inlineStr">
        <is>
          <t>Conditional linkers (unless, provided…)</t>
        </is>
      </c>
      <c r="E1868" s="23" t="inlineStr">
        <is>
          <t>Conditional linkers: unless, provided/providing (that), as long as, on condition (that)</t>
        </is>
      </c>
      <c r="F1868" s="25" t="inlineStr">
        <is>
          <t>повторение</t>
        </is>
      </c>
      <c r="G1868" s="9" t="inlineStr"/>
      <c r="H1868" s="25" t="inlineStr">
        <is>
          <t>10+</t>
        </is>
      </c>
      <c r="I1868" s="9">
        <f>IFERROR(INDEX('Темы × классы'!$R:$R,MATCH(E1868,'Темы × классы'!$E:$E,0)),"")</f>
        <v/>
      </c>
      <c r="J1868" s="9">
        <f>IFERROR(INDEX('Темы × классы'!$S:$S,MATCH(E1868,'Темы × классы'!$E:$E,0))&amp;"","")</f>
        <v/>
      </c>
      <c r="K1868" s="9" t="inlineStr">
        <is>
          <t>не начат</t>
        </is>
      </c>
      <c r="L1868" s="9" t="inlineStr">
        <is>
          <t>Spotlight / 11 класс / Module 7 · In days to come / Conditional linkers (unless, provided…) / Conditional linkers: unless, provided/providing (that), as long as, on condition (that)</t>
        </is>
      </c>
    </row>
    <row r="1869">
      <c r="A1869" s="25" t="n">
        <v>11</v>
      </c>
      <c r="B1869" s="9" t="inlineStr">
        <is>
          <t>Module 7 · In days to come</t>
        </is>
      </c>
      <c r="C1869" s="9" t="inlineStr">
        <is>
          <t>7c</t>
        </is>
      </c>
      <c r="D1869" s="9" t="inlineStr">
        <is>
          <t>Conditional linkers (unless, provided…)</t>
        </is>
      </c>
      <c r="E1869" s="23" t="inlineStr">
        <is>
          <t>Conditional linkers: but for, otherwise, or else</t>
        </is>
      </c>
      <c r="F1869" s="25" t="inlineStr">
        <is>
          <t>повторение</t>
        </is>
      </c>
      <c r="G1869" s="9" t="inlineStr"/>
      <c r="H1869" s="25" t="inlineStr">
        <is>
          <t>10+</t>
        </is>
      </c>
      <c r="I1869" s="9">
        <f>IFERROR(INDEX('Темы × классы'!$R:$R,MATCH(E1869,'Темы × классы'!$E:$E,0)),"")</f>
        <v/>
      </c>
      <c r="J1869" s="9">
        <f>IFERROR(INDEX('Темы × классы'!$S:$S,MATCH(E1869,'Темы × классы'!$E:$E,0))&amp;"","")</f>
        <v/>
      </c>
      <c r="K1869" s="9" t="inlineStr">
        <is>
          <t>не начат</t>
        </is>
      </c>
      <c r="L1869" s="9" t="inlineStr">
        <is>
          <t>Spotlight / 11 класс / Module 7 · In days to come / Conditional linkers (unless, provided…) / Conditional linkers: but for, otherwise, or else</t>
        </is>
      </c>
    </row>
    <row r="1870">
      <c r="A1870" s="25" t="n">
        <v>11</v>
      </c>
      <c r="B1870" s="9" t="inlineStr">
        <is>
          <t>Module 7 · In days to come</t>
        </is>
      </c>
      <c r="C1870" s="9" t="inlineStr">
        <is>
          <t>7c</t>
        </is>
      </c>
      <c r="D1870" s="9" t="inlineStr">
        <is>
          <t>Conditional linkers (unless, provided…)</t>
        </is>
      </c>
      <c r="E1870" s="23" t="inlineStr">
        <is>
          <t>Conditional linkers: what if, supposing, even if</t>
        </is>
      </c>
      <c r="F1870" s="25" t="inlineStr">
        <is>
          <t>повторение</t>
        </is>
      </c>
      <c r="G1870" s="9" t="inlineStr"/>
      <c r="H1870" s="25" t="inlineStr">
        <is>
          <t>10+</t>
        </is>
      </c>
      <c r="I1870" s="9">
        <f>IFERROR(INDEX('Темы × классы'!$R:$R,MATCH(E1870,'Темы × классы'!$E:$E,0)),"")</f>
        <v/>
      </c>
      <c r="J1870" s="9">
        <f>IFERROR(INDEX('Темы × классы'!$S:$S,MATCH(E1870,'Темы × классы'!$E:$E,0))&amp;"","")</f>
        <v/>
      </c>
      <c r="K1870" s="9" t="inlineStr">
        <is>
          <t>не начат</t>
        </is>
      </c>
      <c r="L1870" s="9" t="inlineStr">
        <is>
          <t>Spotlight / 11 класс / Module 7 · In days to come / Conditional linkers (unless, provided…) / Conditional linkers: what if, supposing, even if</t>
        </is>
      </c>
    </row>
    <row r="1871">
      <c r="A1871" s="25" t="n">
        <v>11</v>
      </c>
      <c r="B1871" s="9" t="inlineStr">
        <is>
          <t>Module 7 · In days to come</t>
        </is>
      </c>
      <c r="C1871" s="9" t="inlineStr">
        <is>
          <t>7c</t>
        </is>
      </c>
      <c r="D1871" s="9" t="inlineStr">
        <is>
          <t>Conditional linkers (unless, provided…)</t>
        </is>
      </c>
      <c r="E1871" s="23" t="inlineStr">
        <is>
          <t>Conditional linkers: only if (+ инверсия в главном предложении)</t>
        </is>
      </c>
      <c r="F1871" s="25" t="inlineStr">
        <is>
          <t>повторение</t>
        </is>
      </c>
      <c r="G1871" s="9" t="inlineStr"/>
      <c r="H1871" s="25" t="inlineStr">
        <is>
          <t>10+</t>
        </is>
      </c>
      <c r="I1871" s="9">
        <f>IFERROR(INDEX('Темы × классы'!$R:$R,MATCH(E1871,'Темы × классы'!$E:$E,0)),"")</f>
        <v/>
      </c>
      <c r="J1871" s="9">
        <f>IFERROR(INDEX('Темы × классы'!$S:$S,MATCH(E1871,'Темы × классы'!$E:$E,0))&amp;"","")</f>
        <v/>
      </c>
      <c r="K1871" s="9" t="inlineStr">
        <is>
          <t>не начат</t>
        </is>
      </c>
      <c r="L1871" s="9" t="inlineStr">
        <is>
          <t>Spotlight / 11 класс / Module 7 · In days to come / Conditional linkers (unless, provided…) / Conditional linkers: only if (+ инверсия в главном предложении)</t>
        </is>
      </c>
    </row>
    <row r="1872">
      <c r="A1872" s="25" t="n">
        <v>11</v>
      </c>
      <c r="B1872" s="9" t="inlineStr">
        <is>
          <t>Module 7 · In days to come</t>
        </is>
      </c>
      <c r="C1872" s="9" t="inlineStr">
        <is>
          <t>7c</t>
        </is>
      </c>
      <c r="D1872" s="9" t="inlineStr">
        <is>
          <t>Conditional linkers (unless, provided…)</t>
        </is>
      </c>
      <c r="E1872" s="23" t="inlineStr">
        <is>
          <t>Conditional linkers: will/would/should в if-части (просьба, раздражение, сомнение)</t>
        </is>
      </c>
      <c r="F1872" s="27" t="inlineStr">
        <is>
          <t>расширение</t>
        </is>
      </c>
      <c r="G1872" s="9" t="inlineStr">
        <is>
          <t>+ настойчивость (If you will stop arguing…); NOT if you will stay</t>
        </is>
      </c>
      <c r="H1872" s="25" t="inlineStr">
        <is>
          <t>10+</t>
        </is>
      </c>
      <c r="I1872" s="9">
        <f>IFERROR(INDEX('Темы × классы'!$R:$R,MATCH(E1872,'Темы × классы'!$E:$E,0)),"")</f>
        <v/>
      </c>
      <c r="J1872" s="9">
        <f>IFERROR(INDEX('Темы × классы'!$S:$S,MATCH(E1872,'Темы × классы'!$E:$E,0))&amp;"","")</f>
        <v/>
      </c>
      <c r="K1872" s="9" t="inlineStr">
        <is>
          <t>не начат</t>
        </is>
      </c>
      <c r="L1872" s="9" t="inlineStr">
        <is>
          <t>Spotlight / 11 класс / Module 7 · In days to come / Conditional linkers (unless, provided…) / Conditional linkers: will/would/should в if-части (просьба, раздражение, сомнение)</t>
        </is>
      </c>
    </row>
    <row r="1873">
      <c r="A1873" s="25" t="n">
        <v>11</v>
      </c>
      <c r="B1873" s="9" t="inlineStr">
        <is>
          <t>Module 7 · In days to come</t>
        </is>
      </c>
      <c r="C1873" s="9" t="inlineStr">
        <is>
          <t>7c</t>
        </is>
      </c>
      <c r="D1873" s="9" t="inlineStr">
        <is>
          <t>Inversion</t>
        </is>
      </c>
      <c r="E1873" s="23" t="inlineStr">
        <is>
          <t>Inversion: условные без if — Should/Were/Had + подлежащее</t>
        </is>
      </c>
      <c r="F1873" s="25" t="inlineStr">
        <is>
          <t>повторение</t>
        </is>
      </c>
      <c r="G1873" s="9" t="inlineStr"/>
      <c r="H1873" s="25" t="inlineStr">
        <is>
          <t>10+</t>
        </is>
      </c>
      <c r="I1873" s="9">
        <f>IFERROR(INDEX('Темы × классы'!$R:$R,MATCH(E1873,'Темы × классы'!$E:$E,0)),"")</f>
        <v/>
      </c>
      <c r="J1873" s="9">
        <f>IFERROR(INDEX('Темы × классы'!$S:$S,MATCH(E1873,'Темы × классы'!$E:$E,0))&amp;"","")</f>
        <v/>
      </c>
      <c r="K1873" s="9" t="inlineStr">
        <is>
          <t>не начат</t>
        </is>
      </c>
      <c r="L1873" s="9" t="inlineStr">
        <is>
          <t>Spotlight / 11 класс / Module 7 · In days to come / Inversion / Inversion: условные без if — Should/Were/Had + подлежащее</t>
        </is>
      </c>
    </row>
    <row r="1874">
      <c r="A1874" s="25" t="n">
        <v>11</v>
      </c>
      <c r="B1874" s="9" t="inlineStr">
        <is>
          <t>Module 7 · In days to come</t>
        </is>
      </c>
      <c r="C1874" s="9" t="inlineStr">
        <is>
          <t>7c</t>
        </is>
      </c>
      <c r="D1874" s="9" t="inlineStr">
        <is>
          <t>Phrasal verbs</t>
        </is>
      </c>
      <c r="E1874" s="23" t="inlineStr">
        <is>
          <t>Phrasal verbs: carry</t>
        </is>
      </c>
      <c r="F1874" s="25" t="inlineStr">
        <is>
          <t>повторение</t>
        </is>
      </c>
      <c r="G1874" s="9" t="inlineStr">
        <is>
          <t>carry + частицы (English in Use 7c); конкретные частицы в доступных страницах не даны.</t>
        </is>
      </c>
      <c r="H1874" s="25" t="inlineStr">
        <is>
          <t>10+</t>
        </is>
      </c>
      <c r="I1874" s="9">
        <f>IFERROR(INDEX('Темы × классы'!$R:$R,MATCH(E1874,'Темы × классы'!$E:$E,0)),"")</f>
        <v/>
      </c>
      <c r="J1874" s="9">
        <f>IFERROR(INDEX('Темы × классы'!$S:$S,MATCH(E1874,'Темы × классы'!$E:$E,0))&amp;"","")</f>
        <v/>
      </c>
      <c r="K1874" s="9" t="inlineStr">
        <is>
          <t>не начат</t>
        </is>
      </c>
      <c r="L1874" s="9" t="inlineStr">
        <is>
          <t>Spotlight / 11 класс / Module 7 · In days to come / Phrasal verbs / Phrasal verbs: carry</t>
        </is>
      </c>
    </row>
    <row r="1875">
      <c r="A1875" s="25" t="n">
        <v>11</v>
      </c>
      <c r="B1875" s="9" t="inlineStr">
        <is>
          <t>Module 7 · In days to come</t>
        </is>
      </c>
      <c r="C1875" s="9" t="inlineStr">
        <is>
          <t>7c</t>
        </is>
      </c>
      <c r="D1875" s="9" t="inlineStr">
        <is>
          <t>Dependent prepositions</t>
        </is>
      </c>
      <c r="E1875" s="23" t="inlineStr">
        <is>
          <t>Dependent prepositions</t>
        </is>
      </c>
      <c r="F1875" s="25" t="inlineStr">
        <is>
          <t>повторение</t>
        </is>
      </c>
      <c r="G1875" s="9" t="inlineStr">
        <is>
          <t>Dependent prepositions (English in Use 7c); конкретные сочетания в доступных страницах не даны.</t>
        </is>
      </c>
      <c r="H1875" s="25" t="inlineStr">
        <is>
          <t>10+</t>
        </is>
      </c>
      <c r="I1875" s="9">
        <f>IFERROR(INDEX('Темы × классы'!$R:$R,MATCH(E1875,'Темы × классы'!$E:$E,0)),"")</f>
        <v/>
      </c>
      <c r="J1875" s="9">
        <f>IFERROR(INDEX('Темы × классы'!$S:$S,MATCH(E1875,'Темы × классы'!$E:$E,0))&amp;"","")</f>
        <v/>
      </c>
      <c r="K1875" s="9" t="inlineStr">
        <is>
          <t>не начат</t>
        </is>
      </c>
      <c r="L1875" s="9" t="inlineStr">
        <is>
          <t>Spotlight / 11 класс / Module 7 · In days to come / Dependent prepositions / Dependent prepositions</t>
        </is>
      </c>
    </row>
    <row r="1876">
      <c r="A1876" s="25" t="n">
        <v>11</v>
      </c>
      <c r="B1876" s="9" t="inlineStr">
        <is>
          <t>Module 7 · In days to come</t>
        </is>
      </c>
      <c r="C1876" s="9" t="inlineStr">
        <is>
          <t>7a</t>
        </is>
      </c>
      <c r="D1876" s="9" t="inlineStr">
        <is>
          <t>Idioms &amp; collocations</t>
        </is>
      </c>
      <c r="E1876" s="23" t="inlineStr">
        <is>
          <t>Idioms &amp; collocations</t>
        </is>
      </c>
      <c r="F1876" s="25" t="inlineStr">
        <is>
          <t>повторение</t>
        </is>
      </c>
      <c r="G1876" s="9" t="inlineStr">
        <is>
          <t>Phrases with hope (7a).</t>
        </is>
      </c>
      <c r="H1876" s="25" t="inlineStr">
        <is>
          <t>10+</t>
        </is>
      </c>
      <c r="I1876" s="9">
        <f>IFERROR(INDEX('Темы × классы'!$R:$R,MATCH(E1876,'Темы × классы'!$E:$E,0)),"")</f>
        <v/>
      </c>
      <c r="J1876" s="9">
        <f>IFERROR(INDEX('Темы × классы'!$S:$S,MATCH(E1876,'Темы × классы'!$E:$E,0))&amp;"","")</f>
        <v/>
      </c>
      <c r="K1876" s="9" t="inlineStr">
        <is>
          <t>не начат</t>
        </is>
      </c>
      <c r="L1876" s="9" t="inlineStr">
        <is>
          <t>Spotlight / 11 класс / Module 7 · In days to come / Idioms &amp; collocations / Idioms &amp; collocations</t>
        </is>
      </c>
    </row>
    <row r="1877">
      <c r="A1877" s="25" t="n">
        <v>11</v>
      </c>
      <c r="B1877" s="9" t="inlineStr">
        <is>
          <t>Module 8 · Travel</t>
        </is>
      </c>
      <c r="C1877" s="9" t="inlineStr">
        <is>
          <t>8c</t>
        </is>
      </c>
      <c r="D1877" s="9" t="inlineStr">
        <is>
          <t>Countable / Uncountable nouns</t>
        </is>
      </c>
      <c r="E1877" s="23" t="inlineStr">
        <is>
          <t>Countable / Uncountable: различие исчисляемых и неисчисляемых</t>
        </is>
      </c>
      <c r="F1877" s="25" t="inlineStr">
        <is>
          <t>повторение</t>
        </is>
      </c>
      <c r="G1877" s="9" t="inlineStr">
        <is>
          <t>1 pen, 2 pens / sugar, meat</t>
        </is>
      </c>
      <c r="H1877" s="25" t="inlineStr">
        <is>
          <t>10+</t>
        </is>
      </c>
      <c r="I1877" s="9">
        <f>IFERROR(INDEX('Темы × классы'!$R:$R,MATCH(E1877,'Темы × классы'!$E:$E,0)),"")</f>
        <v/>
      </c>
      <c r="J1877" s="9">
        <f>IFERROR(INDEX('Темы × классы'!$S:$S,MATCH(E1877,'Темы × классы'!$E:$E,0))&amp;"","")</f>
        <v/>
      </c>
      <c r="K1877" s="9" t="inlineStr">
        <is>
          <t>не начат</t>
        </is>
      </c>
      <c r="L1877" s="9" t="inlineStr">
        <is>
          <t>Spotlight / 11 класс / Module 8 · Travel / Countable / Uncountable nouns / Countable / Uncountable: различие исчисляемых и неисчисляемых</t>
        </is>
      </c>
    </row>
    <row r="1878">
      <c r="A1878" s="25" t="n">
        <v>11</v>
      </c>
      <c r="B1878" s="9" t="inlineStr">
        <is>
          <t>Module 8 · Travel</t>
        </is>
      </c>
      <c r="C1878" s="9" t="inlineStr">
        <is>
          <t>8c</t>
        </is>
      </c>
      <c r="D1878" s="9" t="inlineStr">
        <is>
          <t>Countable / Uncountable nouns</t>
        </is>
      </c>
      <c r="E1878" s="23" t="inlineStr">
        <is>
          <t>Countable / Uncountable: неисчисляемые — еда и жидкости</t>
        </is>
      </c>
      <c r="F1878" s="25" t="inlineStr">
        <is>
          <t>повторение</t>
        </is>
      </c>
      <c r="G1878" s="9" t="inlineStr">
        <is>
          <t>beer, blood, bread, air, oxygen, corn, flour</t>
        </is>
      </c>
      <c r="H1878" s="25" t="inlineStr">
        <is>
          <t>10+</t>
        </is>
      </c>
      <c r="I1878" s="9">
        <f>IFERROR(INDEX('Темы × классы'!$R:$R,MATCH(E1878,'Темы × классы'!$E:$E,0)),"")</f>
        <v/>
      </c>
      <c r="J1878" s="9">
        <f>IFERROR(INDEX('Темы × классы'!$S:$S,MATCH(E1878,'Темы × классы'!$E:$E,0))&amp;"","")</f>
        <v/>
      </c>
      <c r="K1878" s="9" t="inlineStr">
        <is>
          <t>не начат</t>
        </is>
      </c>
      <c r="L1878" s="9" t="inlineStr">
        <is>
          <t>Spotlight / 11 класс / Module 8 · Travel / Countable / Uncountable nouns / Countable / Uncountable: неисчисляемые — еда и жидкости</t>
        </is>
      </c>
    </row>
    <row r="1879">
      <c r="A1879" s="25" t="n">
        <v>11</v>
      </c>
      <c r="B1879" s="9" t="inlineStr">
        <is>
          <t>Module 8 · Travel</t>
        </is>
      </c>
      <c r="C1879" s="9" t="inlineStr">
        <is>
          <t>8c</t>
        </is>
      </c>
      <c r="D1879" s="9" t="inlineStr">
        <is>
          <t>Countable / Uncountable nouns</t>
        </is>
      </c>
      <c r="E1879" s="23" t="inlineStr">
        <is>
          <t>Countable / Uncountable: количество с неисчисляемыми (a jar of, a bottle of)</t>
        </is>
      </c>
      <c r="F1879" s="27" t="inlineStr">
        <is>
          <t>расширение</t>
        </is>
      </c>
      <c r="G1879" s="9" t="inlineStr">
        <is>
          <t>добавлено много партитивов: a piece of advice, a rasher of bacon, a lump of sugar, a pair of trousers…</t>
        </is>
      </c>
      <c r="H1879" s="25" t="inlineStr">
        <is>
          <t>10+</t>
        </is>
      </c>
      <c r="I1879" s="9">
        <f>IFERROR(INDEX('Темы × классы'!$R:$R,MATCH(E1879,'Темы × классы'!$E:$E,0)),"")</f>
        <v/>
      </c>
      <c r="J1879" s="9">
        <f>IFERROR(INDEX('Темы × классы'!$S:$S,MATCH(E1879,'Темы × классы'!$E:$E,0))&amp;"","")</f>
        <v/>
      </c>
      <c r="K1879" s="9" t="inlineStr">
        <is>
          <t>не начат</t>
        </is>
      </c>
      <c r="L1879" s="9" t="inlineStr">
        <is>
          <t>Spotlight / 11 класс / Module 8 · Travel / Countable / Uncountable nouns / Countable / Uncountable: количество с неисчисляемыми (a jar of, a bottle of)</t>
        </is>
      </c>
    </row>
    <row r="1880">
      <c r="A1880" s="25" t="n">
        <v>11</v>
      </c>
      <c r="B1880" s="9" t="inlineStr">
        <is>
          <t>Module 8 · Travel</t>
        </is>
      </c>
      <c r="C1880" s="9" t="inlineStr">
        <is>
          <t>8c</t>
        </is>
      </c>
      <c r="D1880" s="9" t="inlineStr">
        <is>
          <t>Countable / Uncountable nouns</t>
        </is>
      </c>
      <c r="E1880" s="23" t="inlineStr">
        <is>
          <t>Countable / Uncountable: неисчисляемые без a/an, глагол в ед. ч.</t>
        </is>
      </c>
      <c r="F1880" s="27" t="inlineStr">
        <is>
          <t>расширение</t>
        </is>
      </c>
      <c r="G1880" s="9" t="inlineStr">
        <is>
          <t>+ some, any, much, no</t>
        </is>
      </c>
      <c r="H1880" s="25" t="inlineStr">
        <is>
          <t>10+</t>
        </is>
      </c>
      <c r="I1880" s="9">
        <f>IFERROR(INDEX('Темы × классы'!$R:$R,MATCH(E1880,'Темы × классы'!$E:$E,0)),"")</f>
        <v/>
      </c>
      <c r="J1880" s="9">
        <f>IFERROR(INDEX('Темы × классы'!$S:$S,MATCH(E1880,'Темы × классы'!$E:$E,0))&amp;"","")</f>
        <v/>
      </c>
      <c r="K1880" s="9" t="inlineStr">
        <is>
          <t>не начат</t>
        </is>
      </c>
      <c r="L1880" s="9" t="inlineStr">
        <is>
          <t>Spotlight / 11 класс / Module 8 · Travel / Countable / Uncountable nouns / Countable / Uncountable: неисчисляемые без a/an, глагол в ед. ч.</t>
        </is>
      </c>
    </row>
    <row r="1881">
      <c r="A1881" s="25" t="n">
        <v>11</v>
      </c>
      <c r="B1881" s="9" t="inlineStr">
        <is>
          <t>Module 8 · Travel</t>
        </is>
      </c>
      <c r="C1881" s="9" t="inlineStr">
        <is>
          <t>8c</t>
        </is>
      </c>
      <c r="D1881" s="9" t="inlineStr">
        <is>
          <t>Countable / Uncountable nouns</t>
        </is>
      </c>
      <c r="E1881" s="23" t="inlineStr">
        <is>
          <t>Countable / Uncountable: исключения с a/an (a help, a pity, a shame)</t>
        </is>
      </c>
      <c r="F1881" s="26" t="inlineStr">
        <is>
          <t>новое</t>
        </is>
      </c>
      <c r="G1881" s="9" t="inlineStr">
        <is>
          <t>a help, a knowledge (of sth), a pity, a relief, a shame, a wonder</t>
        </is>
      </c>
      <c r="H1881" s="25" t="inlineStr">
        <is>
          <t>10+</t>
        </is>
      </c>
      <c r="I1881" s="9">
        <f>IFERROR(INDEX('Темы × классы'!$R:$R,MATCH(E1881,'Темы × классы'!$E:$E,0)),"")</f>
        <v/>
      </c>
      <c r="J1881" s="9">
        <f>IFERROR(INDEX('Темы × классы'!$S:$S,MATCH(E1881,'Темы × классы'!$E:$E,0))&amp;"","")</f>
        <v/>
      </c>
      <c r="K1881" s="9" t="inlineStr">
        <is>
          <t>не начат</t>
        </is>
      </c>
      <c r="L1881" s="9" t="inlineStr">
        <is>
          <t>Spotlight / 11 класс / Module 8 · Travel / Countable / Uncountable nouns / Countable / Uncountable: исключения с a/an (a help, a pity, a shame)</t>
        </is>
      </c>
    </row>
    <row r="1882">
      <c r="A1882" s="25" t="n">
        <v>11</v>
      </c>
      <c r="B1882" s="9" t="inlineStr">
        <is>
          <t>Module 8 · Travel</t>
        </is>
      </c>
      <c r="C1882" s="9" t="inlineStr">
        <is>
          <t>8c</t>
        </is>
      </c>
      <c r="D1882" s="9" t="inlineStr">
        <is>
          <t>Countable / Uncountable nouns</t>
        </is>
      </c>
      <c r="E1882" s="23" t="inlineStr">
        <is>
          <t>Countable / Uncountable: группы неисчисляемых — предметы, языки, игры, болезни, явления природы</t>
        </is>
      </c>
      <c r="F1882" s="27" t="inlineStr">
        <is>
          <t>расширение</t>
        </is>
      </c>
      <c r="G1882" s="9" t="inlineStr">
        <is>
          <t>+ спорт (cycling, football), абстрактные (anger, beauty, love)</t>
        </is>
      </c>
      <c r="H1882" s="25" t="inlineStr">
        <is>
          <t>10+</t>
        </is>
      </c>
      <c r="I1882" s="9">
        <f>IFERROR(INDEX('Темы × классы'!$R:$R,MATCH(E1882,'Темы × классы'!$E:$E,0)),"")</f>
        <v/>
      </c>
      <c r="J1882" s="9">
        <f>IFERROR(INDEX('Темы × классы'!$S:$S,MATCH(E1882,'Темы × классы'!$E:$E,0))&amp;"","")</f>
        <v/>
      </c>
      <c r="K1882" s="9" t="inlineStr">
        <is>
          <t>не начат</t>
        </is>
      </c>
      <c r="L1882" s="9" t="inlineStr">
        <is>
          <t>Spotlight / 11 класс / Module 8 · Travel / Countable / Uncountable nouns / Countable / Uncountable: группы неисчисляемых — предметы, языки, игры, болезни, явления природы</t>
        </is>
      </c>
    </row>
    <row r="1883">
      <c r="A1883" s="25" t="n">
        <v>11</v>
      </c>
      <c r="B1883" s="9" t="inlineStr">
        <is>
          <t>Module 8 · Travel</t>
        </is>
      </c>
      <c r="C1883" s="9" t="inlineStr">
        <is>
          <t>8c</t>
        </is>
      </c>
      <c r="D1883" s="9" t="inlineStr">
        <is>
          <t>Countable / Uncountable nouns</t>
        </is>
      </c>
      <c r="E1883" s="23" t="inlineStr">
        <is>
          <t>Countable / Uncountable: «ловушки» — advice, information, news, furniture, luggage, money</t>
        </is>
      </c>
      <c r="F1883" s="27" t="inlineStr">
        <is>
          <t>расширение</t>
        </is>
      </c>
      <c r="G1883" s="9" t="inlineStr">
        <is>
          <t>+ accommodation, behaviour, stationery, traffic, travel, weather</t>
        </is>
      </c>
      <c r="H1883" s="25" t="inlineStr">
        <is>
          <t>10+</t>
        </is>
      </c>
      <c r="I1883" s="9">
        <f>IFERROR(INDEX('Темы × классы'!$R:$R,MATCH(E1883,'Темы × классы'!$E:$E,0)),"")</f>
        <v/>
      </c>
      <c r="J1883" s="9">
        <f>IFERROR(INDEX('Темы × классы'!$S:$S,MATCH(E1883,'Темы × классы'!$E:$E,0))&amp;"","")</f>
        <v/>
      </c>
      <c r="K1883" s="9" t="inlineStr">
        <is>
          <t>не начат</t>
        </is>
      </c>
      <c r="L1883" s="9" t="inlineStr">
        <is>
          <t>Spotlight / 11 класс / Module 8 · Travel / Countable / Uncountable nouns / Countable / Uncountable: «ловушки» — advice, information, news, furniture, luggage, money</t>
        </is>
      </c>
    </row>
    <row r="1884">
      <c r="A1884" s="25" t="n">
        <v>11</v>
      </c>
      <c r="B1884" s="9" t="inlineStr">
        <is>
          <t>Module 8 · Travel</t>
        </is>
      </c>
      <c r="C1884" s="9" t="inlineStr">
        <is>
          <t>8c</t>
        </is>
      </c>
      <c r="D1884" s="9" t="inlineStr">
        <is>
          <t>Countable / Uncountable nouns</t>
        </is>
      </c>
      <c r="E1884" s="23" t="inlineStr">
        <is>
          <t>Countable / Uncountable: собирательные (family, team) и составные (homework, countryside)</t>
        </is>
      </c>
      <c r="F1884" s="26" t="inlineStr">
        <is>
          <t>новое</t>
        </is>
      </c>
      <c r="G1884" s="9" t="inlineStr">
        <is>
          <t>family, flock, public, team, government; countryside, homework, housework, seaside</t>
        </is>
      </c>
      <c r="H1884" s="25" t="inlineStr">
        <is>
          <t>10+</t>
        </is>
      </c>
      <c r="I1884" s="9">
        <f>IFERROR(INDEX('Темы × классы'!$R:$R,MATCH(E1884,'Темы × классы'!$E:$E,0)),"")</f>
        <v/>
      </c>
      <c r="J1884" s="9">
        <f>IFERROR(INDEX('Темы × классы'!$S:$S,MATCH(E1884,'Темы × классы'!$E:$E,0))&amp;"","")</f>
        <v/>
      </c>
      <c r="K1884" s="9" t="inlineStr">
        <is>
          <t>не начат</t>
        </is>
      </c>
      <c r="L1884" s="9" t="inlineStr">
        <is>
          <t>Spotlight / 11 класс / Module 8 · Travel / Countable / Uncountable nouns / Countable / Uncountable: собирательные (family, team) и составные (homework, countryside)</t>
        </is>
      </c>
    </row>
    <row r="1885">
      <c r="A1885" s="25" t="n">
        <v>11</v>
      </c>
      <c r="B1885" s="9" t="inlineStr">
        <is>
          <t>Module 8 · Travel</t>
        </is>
      </c>
      <c r="C1885" s="9" t="inlineStr">
        <is>
          <t>8c</t>
        </is>
      </c>
      <c r="D1885" s="9" t="inlineStr">
        <is>
          <t>Countable / Uncountable nouns</t>
        </is>
      </c>
      <c r="E1885" s="23" t="inlineStr">
        <is>
          <t>Countable / Uncountable: длительность, расстояние, деньги как целое — глагол в ед. ч.</t>
        </is>
      </c>
      <c r="F1885" s="26" t="inlineStr">
        <is>
          <t>новое</t>
        </is>
      </c>
      <c r="G1885" s="9" t="inlineStr"/>
      <c r="H1885" s="25" t="inlineStr">
        <is>
          <t>10+</t>
        </is>
      </c>
      <c r="I1885" s="9">
        <f>IFERROR(INDEX('Темы × классы'!$R:$R,MATCH(E1885,'Темы × классы'!$E:$E,0)),"")</f>
        <v/>
      </c>
      <c r="J1885" s="9">
        <f>IFERROR(INDEX('Темы × классы'!$S:$S,MATCH(E1885,'Темы × классы'!$E:$E,0))&amp;"","")</f>
        <v/>
      </c>
      <c r="K1885" s="9" t="inlineStr">
        <is>
          <t>не начат</t>
        </is>
      </c>
      <c r="L1885" s="9" t="inlineStr">
        <is>
          <t>Spotlight / 11 класс / Module 8 · Travel / Countable / Uncountable nouns / Countable / Uncountable: длительность, расстояние, деньги как целое — глагол в ед. ч.</t>
        </is>
      </c>
    </row>
    <row r="1886">
      <c r="A1886" s="25" t="n">
        <v>11</v>
      </c>
      <c r="B1886" s="9" t="inlineStr">
        <is>
          <t>Module 8 · Travel</t>
        </is>
      </c>
      <c r="C1886" s="9" t="inlineStr">
        <is>
          <t>8c</t>
        </is>
      </c>
      <c r="D1886" s="9" t="inlineStr">
        <is>
          <t>much/many/a lot of</t>
        </is>
      </c>
      <c r="E1886" s="23" t="inlineStr">
        <is>
          <t>much/many/a lot of: a lot of / lots of — в утверждениях (исчисляемые и неисчисляемые)</t>
        </is>
      </c>
      <c r="F1886" s="25" t="inlineStr">
        <is>
          <t>повторение</t>
        </is>
      </c>
      <c r="G1886" s="9" t="inlineStr"/>
      <c r="H1886" s="25" t="inlineStr">
        <is>
          <t>10+</t>
        </is>
      </c>
      <c r="I1886" s="9">
        <f>IFERROR(INDEX('Темы × классы'!$R:$R,MATCH(E1886,'Темы × классы'!$E:$E,0)),"")</f>
        <v/>
      </c>
      <c r="J1886" s="9">
        <f>IFERROR(INDEX('Темы × классы'!$S:$S,MATCH(E1886,'Темы × классы'!$E:$E,0))&amp;"","")</f>
        <v/>
      </c>
      <c r="K1886" s="9" t="inlineStr">
        <is>
          <t>не начат</t>
        </is>
      </c>
      <c r="L1886" s="9" t="inlineStr">
        <is>
          <t>Spotlight / 11 класс / Module 8 · Travel / much/many/a lot of / much/many/a lot of: a lot of / lots of — в утверждениях (исчисляемые и неисчисляемые)</t>
        </is>
      </c>
    </row>
    <row r="1887">
      <c r="A1887" s="25" t="n">
        <v>11</v>
      </c>
      <c r="B1887" s="9" t="inlineStr">
        <is>
          <t>Module 8 · Travel</t>
        </is>
      </c>
      <c r="C1887" s="9" t="inlineStr">
        <is>
          <t>8c</t>
        </is>
      </c>
      <c r="D1887" s="9" t="inlineStr">
        <is>
          <t>much/many/a lot of</t>
        </is>
      </c>
      <c r="E1887" s="23" t="inlineStr">
        <is>
          <t>much/many/a lot of: much/many — отрицание</t>
        </is>
      </c>
      <c r="F1887" s="25" t="inlineStr">
        <is>
          <t>повторение</t>
        </is>
      </c>
      <c r="G1887" s="9" t="inlineStr"/>
      <c r="H1887" s="25" t="inlineStr">
        <is>
          <t>10+</t>
        </is>
      </c>
      <c r="I1887" s="9">
        <f>IFERROR(INDEX('Темы × классы'!$R:$R,MATCH(E1887,'Темы × классы'!$E:$E,0)),"")</f>
        <v/>
      </c>
      <c r="J1887" s="9">
        <f>IFERROR(INDEX('Темы × классы'!$S:$S,MATCH(E1887,'Темы × классы'!$E:$E,0))&amp;"","")</f>
        <v/>
      </c>
      <c r="K1887" s="9" t="inlineStr">
        <is>
          <t>не начат</t>
        </is>
      </c>
      <c r="L1887" s="9" t="inlineStr">
        <is>
          <t>Spotlight / 11 класс / Module 8 · Travel / much/many/a lot of / much/many/a lot of: much/many — отрицание</t>
        </is>
      </c>
    </row>
    <row r="1888">
      <c r="A1888" s="25" t="n">
        <v>11</v>
      </c>
      <c r="B1888" s="9" t="inlineStr">
        <is>
          <t>Module 8 · Travel</t>
        </is>
      </c>
      <c r="C1888" s="9" t="inlineStr">
        <is>
          <t>8c</t>
        </is>
      </c>
      <c r="D1888" s="9" t="inlineStr">
        <is>
          <t>much/many/a lot of</t>
        </is>
      </c>
      <c r="E1888" s="23" t="inlineStr">
        <is>
          <t>much/many/a lot of: much/many — вопросы</t>
        </is>
      </c>
      <c r="F1888" s="25" t="inlineStr">
        <is>
          <t>повторение</t>
        </is>
      </c>
      <c r="G1888" s="9" t="inlineStr"/>
      <c r="H1888" s="25" t="inlineStr">
        <is>
          <t>10+</t>
        </is>
      </c>
      <c r="I1888" s="9">
        <f>IFERROR(INDEX('Темы × классы'!$R:$R,MATCH(E1888,'Темы × классы'!$E:$E,0)),"")</f>
        <v/>
      </c>
      <c r="J1888" s="9">
        <f>IFERROR(INDEX('Темы × классы'!$S:$S,MATCH(E1888,'Темы × классы'!$E:$E,0))&amp;"","")</f>
        <v/>
      </c>
      <c r="K1888" s="9" t="inlineStr">
        <is>
          <t>не начат</t>
        </is>
      </c>
      <c r="L1888" s="9" t="inlineStr">
        <is>
          <t>Spotlight / 11 класс / Module 8 · Travel / much/many/a lot of / much/many/a lot of: much/many — вопросы</t>
        </is>
      </c>
    </row>
    <row r="1889">
      <c r="A1889" s="25" t="n">
        <v>11</v>
      </c>
      <c r="B1889" s="9" t="inlineStr">
        <is>
          <t>Module 8 · Travel</t>
        </is>
      </c>
      <c r="C1889" s="9" t="inlineStr">
        <is>
          <t>8c</t>
        </is>
      </c>
      <c r="D1889" s="9" t="inlineStr">
        <is>
          <t>much/many/a lot of</t>
        </is>
      </c>
      <c r="E1889" s="23" t="inlineStr">
        <is>
          <t>much/many/a lot of: краткие ответы и a lot / lots без существительного</t>
        </is>
      </c>
      <c r="F1889" s="25" t="inlineStr">
        <is>
          <t>повторение</t>
        </is>
      </c>
      <c r="G1889" s="9" t="inlineStr">
        <is>
          <t>There's lots/a lot going on</t>
        </is>
      </c>
      <c r="H1889" s="25" t="inlineStr">
        <is>
          <t>10+</t>
        </is>
      </c>
      <c r="I1889" s="9">
        <f>IFERROR(INDEX('Темы × классы'!$R:$R,MATCH(E1889,'Темы × классы'!$E:$E,0)),"")</f>
        <v/>
      </c>
      <c r="J1889" s="9">
        <f>IFERROR(INDEX('Темы × классы'!$S:$S,MATCH(E1889,'Темы × классы'!$E:$E,0))&amp;"","")</f>
        <v/>
      </c>
      <c r="K1889" s="9" t="inlineStr">
        <is>
          <t>не начат</t>
        </is>
      </c>
      <c r="L1889" s="9" t="inlineStr">
        <is>
          <t>Spotlight / 11 класс / Module 8 · Travel / much/many/a lot of / much/many/a lot of: краткие ответы и a lot / lots без существительного</t>
        </is>
      </c>
    </row>
    <row r="1890">
      <c r="A1890" s="25" t="n">
        <v>11</v>
      </c>
      <c r="B1890" s="9" t="inlineStr">
        <is>
          <t>Module 8 · Travel</t>
        </is>
      </c>
      <c r="C1890" s="9" t="inlineStr">
        <is>
          <t>8c</t>
        </is>
      </c>
      <c r="D1890" s="9" t="inlineStr">
        <is>
          <t>a few/a little</t>
        </is>
      </c>
      <c r="E1890" s="23" t="inlineStr">
        <is>
          <t>a few/a little: a few — с исчисляемыми мн. ч. («несколько»)</t>
        </is>
      </c>
      <c r="F1890" s="25" t="inlineStr">
        <is>
          <t>повторение</t>
        </is>
      </c>
      <c r="G1890" s="9" t="inlineStr"/>
      <c r="H1890" s="25" t="inlineStr">
        <is>
          <t>10+</t>
        </is>
      </c>
      <c r="I1890" s="9">
        <f>IFERROR(INDEX('Темы × классы'!$R:$R,MATCH(E1890,'Темы × классы'!$E:$E,0)),"")</f>
        <v/>
      </c>
      <c r="J1890" s="9">
        <f>IFERROR(INDEX('Темы × классы'!$S:$S,MATCH(E1890,'Темы × классы'!$E:$E,0))&amp;"","")</f>
        <v/>
      </c>
      <c r="K1890" s="9" t="inlineStr">
        <is>
          <t>не начат</t>
        </is>
      </c>
      <c r="L1890" s="9" t="inlineStr">
        <is>
          <t>Spotlight / 11 класс / Module 8 · Travel / a few/a little / a few/a little: a few — с исчисляемыми мн. ч. («несколько»)</t>
        </is>
      </c>
    </row>
    <row r="1891">
      <c r="A1891" s="25" t="n">
        <v>11</v>
      </c>
      <c r="B1891" s="9" t="inlineStr">
        <is>
          <t>Module 8 · Travel</t>
        </is>
      </c>
      <c r="C1891" s="9" t="inlineStr">
        <is>
          <t>8c</t>
        </is>
      </c>
      <c r="D1891" s="9" t="inlineStr">
        <is>
          <t>a few/a little</t>
        </is>
      </c>
      <c r="E1891" s="23" t="inlineStr">
        <is>
          <t>a few/a little: a little — с неисчисляемыми («немного»)</t>
        </is>
      </c>
      <c r="F1891" s="25" t="inlineStr">
        <is>
          <t>повторение</t>
        </is>
      </c>
      <c r="G1891" s="9" t="inlineStr"/>
      <c r="H1891" s="25" t="inlineStr">
        <is>
          <t>10+</t>
        </is>
      </c>
      <c r="I1891" s="9">
        <f>IFERROR(INDEX('Темы × классы'!$R:$R,MATCH(E1891,'Темы × классы'!$E:$E,0)),"")</f>
        <v/>
      </c>
      <c r="J1891" s="9">
        <f>IFERROR(INDEX('Темы × классы'!$S:$S,MATCH(E1891,'Темы × классы'!$E:$E,0))&amp;"","")</f>
        <v/>
      </c>
      <c r="K1891" s="9" t="inlineStr">
        <is>
          <t>не начат</t>
        </is>
      </c>
      <c r="L1891" s="9" t="inlineStr">
        <is>
          <t>Spotlight / 11 класс / Module 8 · Travel / a few/a little / a few/a little: a little — с неисчисляемыми («немного»)</t>
        </is>
      </c>
    </row>
    <row r="1892">
      <c r="A1892" s="25" t="n">
        <v>11</v>
      </c>
      <c r="B1892" s="9" t="inlineStr">
        <is>
          <t>Module 8 · Travel</t>
        </is>
      </c>
      <c r="C1892" s="9" t="inlineStr">
        <is>
          <t>8c</t>
        </is>
      </c>
      <c r="D1892" s="9" t="inlineStr">
        <is>
          <t>a few/a little</t>
        </is>
      </c>
      <c r="E1892" s="23" t="inlineStr">
        <is>
          <t>a few/a little: few / little — «мало»</t>
        </is>
      </c>
      <c r="F1892" s="25" t="inlineStr">
        <is>
          <t>повторение</t>
        </is>
      </c>
      <c r="G1892" s="9" t="inlineStr"/>
      <c r="H1892" s="25" t="inlineStr">
        <is>
          <t>10+</t>
        </is>
      </c>
      <c r="I1892" s="9">
        <f>IFERROR(INDEX('Темы × классы'!$R:$R,MATCH(E1892,'Темы × классы'!$E:$E,0)),"")</f>
        <v/>
      </c>
      <c r="J1892" s="9">
        <f>IFERROR(INDEX('Темы × классы'!$S:$S,MATCH(E1892,'Темы × классы'!$E:$E,0))&amp;"","")</f>
        <v/>
      </c>
      <c r="K1892" s="9" t="inlineStr">
        <is>
          <t>не начат</t>
        </is>
      </c>
      <c r="L1892" s="9" t="inlineStr">
        <is>
          <t>Spotlight / 11 класс / Module 8 · Travel / a few/a little / a few/a little: few / little — «мало»</t>
        </is>
      </c>
    </row>
    <row r="1893">
      <c r="A1893" s="25" t="n">
        <v>11</v>
      </c>
      <c r="B1893" s="9" t="inlineStr">
        <is>
          <t>Module 8 · Travel</t>
        </is>
      </c>
      <c r="C1893" s="9" t="inlineStr">
        <is>
          <t>8c</t>
        </is>
      </c>
      <c r="D1893" s="9" t="inlineStr">
        <is>
          <t>a few/a little</t>
        </is>
      </c>
      <c r="E1893" s="23" t="inlineStr">
        <is>
          <t>a few/a little: a few vs few, a little vs little — «немного, но достаточно» vs «почти нет»</t>
        </is>
      </c>
      <c r="F1893" s="25" t="inlineStr">
        <is>
          <t>повторение</t>
        </is>
      </c>
      <c r="G1893" s="9" t="inlineStr"/>
      <c r="H1893" s="25" t="inlineStr">
        <is>
          <t>10+</t>
        </is>
      </c>
      <c r="I1893" s="9">
        <f>IFERROR(INDEX('Темы × классы'!$R:$R,MATCH(E1893,'Темы × классы'!$E:$E,0)),"")</f>
        <v/>
      </c>
      <c r="J1893" s="9">
        <f>IFERROR(INDEX('Темы × классы'!$S:$S,MATCH(E1893,'Темы × классы'!$E:$E,0))&amp;"","")</f>
        <v/>
      </c>
      <c r="K1893" s="9" t="inlineStr">
        <is>
          <t>не начат</t>
        </is>
      </c>
      <c r="L1893" s="9" t="inlineStr">
        <is>
          <t>Spotlight / 11 класс / Module 8 · Travel / a few/a little / a few/a little: a few vs few, a little vs little — «немного, но достаточно» vs «почти нет»</t>
        </is>
      </c>
    </row>
    <row r="1894">
      <c r="A1894" s="25" t="n">
        <v>11</v>
      </c>
      <c r="B1894" s="9" t="inlineStr">
        <is>
          <t>Module 8 · Travel</t>
        </is>
      </c>
      <c r="C1894" s="9" t="inlineStr">
        <is>
          <t>8c</t>
        </is>
      </c>
      <c r="D1894" s="9" t="inlineStr">
        <is>
          <t>a few/a little</t>
        </is>
      </c>
      <c r="E1894" s="23" t="inlineStr">
        <is>
          <t>a few/a little: very few / very little</t>
        </is>
      </c>
      <c r="F1894" s="25" t="inlineStr">
        <is>
          <t>повторение</t>
        </is>
      </c>
      <c r="G1894" s="9" t="inlineStr"/>
      <c r="H1894" s="25" t="inlineStr">
        <is>
          <t>10+</t>
        </is>
      </c>
      <c r="I1894" s="9">
        <f>IFERROR(INDEX('Темы × классы'!$R:$R,MATCH(E1894,'Темы × классы'!$E:$E,0)),"")</f>
        <v/>
      </c>
      <c r="J1894" s="9">
        <f>IFERROR(INDEX('Темы × классы'!$S:$S,MATCH(E1894,'Темы × классы'!$E:$E,0))&amp;"","")</f>
        <v/>
      </c>
      <c r="K1894" s="9" t="inlineStr">
        <is>
          <t>не начат</t>
        </is>
      </c>
      <c r="L1894" s="9" t="inlineStr">
        <is>
          <t>Spotlight / 11 класс / Module 8 · Travel / a few/a little / a few/a little: very few / very little</t>
        </is>
      </c>
    </row>
    <row r="1895">
      <c r="A1895" s="25" t="n">
        <v>11</v>
      </c>
      <c r="B1895" s="9" t="inlineStr">
        <is>
          <t>Module 8 · Travel</t>
        </is>
      </c>
      <c r="C1895" s="9" t="inlineStr">
        <is>
          <t>8c</t>
        </is>
      </c>
      <c r="D1895" s="9" t="inlineStr">
        <is>
          <t>a few/a little</t>
        </is>
      </c>
      <c r="E1895" s="23" t="inlineStr">
        <is>
          <t>a few/a little: a little + прилагательное (a little cold)</t>
        </is>
      </c>
      <c r="F1895" s="26" t="inlineStr">
        <is>
          <t>новое</t>
        </is>
      </c>
      <c r="G1895" s="9" t="inlineStr">
        <is>
          <t>It's a little cold</t>
        </is>
      </c>
      <c r="H1895" s="25" t="inlineStr">
        <is>
          <t>10+</t>
        </is>
      </c>
      <c r="I1895" s="9">
        <f>IFERROR(INDEX('Темы × классы'!$R:$R,MATCH(E1895,'Темы × классы'!$E:$E,0)),"")</f>
        <v/>
      </c>
      <c r="J1895" s="9">
        <f>IFERROR(INDEX('Темы × классы'!$S:$S,MATCH(E1895,'Темы × классы'!$E:$E,0))&amp;"","")</f>
        <v/>
      </c>
      <c r="K1895" s="9" t="inlineStr">
        <is>
          <t>не начат</t>
        </is>
      </c>
      <c r="L1895" s="9" t="inlineStr">
        <is>
          <t>Spotlight / 11 класс / Module 8 · Travel / a few/a little / a few/a little: a little + прилагательное (a little cold)</t>
        </is>
      </c>
    </row>
    <row r="1896">
      <c r="A1896" s="25" t="n">
        <v>11</v>
      </c>
      <c r="B1896" s="9" t="inlineStr">
        <is>
          <t>Module 8 · Travel</t>
        </is>
      </c>
      <c r="C1896" s="9" t="inlineStr">
        <is>
          <t>8c</t>
        </is>
      </c>
      <c r="D1896" s="9" t="inlineStr">
        <is>
          <t>Quantifiers</t>
        </is>
      </c>
      <c r="E1896" s="23" t="inlineStr">
        <is>
          <t>Quantifiers: every vs each</t>
        </is>
      </c>
      <c r="F1896" s="26" t="inlineStr">
        <is>
          <t>новое</t>
        </is>
      </c>
      <c r="G1896" s="9" t="inlineStr">
        <is>
          <t>every — вся группа, each — по отдельности; each — о двух, every — о трёх+</t>
        </is>
      </c>
      <c r="H1896" s="25" t="inlineStr">
        <is>
          <t>10+</t>
        </is>
      </c>
      <c r="I1896" s="9">
        <f>IFERROR(INDEX('Темы × классы'!$R:$R,MATCH(E1896,'Темы × классы'!$E:$E,0)),"")</f>
        <v/>
      </c>
      <c r="J1896" s="9">
        <f>IFERROR(INDEX('Темы × классы'!$S:$S,MATCH(E1896,'Темы × классы'!$E:$E,0))&amp;"","")</f>
        <v/>
      </c>
      <c r="K1896" s="9" t="inlineStr">
        <is>
          <t>не начат</t>
        </is>
      </c>
      <c r="L1896" s="9" t="inlineStr">
        <is>
          <t>Spotlight / 11 класс / Module 8 · Travel / Quantifiers / Quantifiers: every vs each</t>
        </is>
      </c>
    </row>
    <row r="1897">
      <c r="A1897" s="25" t="n">
        <v>11</v>
      </c>
      <c r="B1897" s="9" t="inlineStr">
        <is>
          <t>Module 8 · Travel</t>
        </is>
      </c>
      <c r="C1897" s="9" t="inlineStr">
        <is>
          <t>8c</t>
        </is>
      </c>
      <c r="D1897" s="9" t="inlineStr">
        <is>
          <t>Quantifiers</t>
        </is>
      </c>
      <c r="E1897" s="23" t="inlineStr">
        <is>
          <t>Quantifiers: a couple of, several + исчисляемые мн. ч.</t>
        </is>
      </c>
      <c r="F1897" s="26" t="inlineStr">
        <is>
          <t>новое</t>
        </is>
      </c>
      <c r="G1897" s="9" t="inlineStr"/>
      <c r="H1897" s="25" t="inlineStr">
        <is>
          <t>10+</t>
        </is>
      </c>
      <c r="I1897" s="9">
        <f>IFERROR(INDEX('Темы × классы'!$R:$R,MATCH(E1897,'Темы × классы'!$E:$E,0)),"")</f>
        <v/>
      </c>
      <c r="J1897" s="9">
        <f>IFERROR(INDEX('Темы × классы'!$S:$S,MATCH(E1897,'Темы × классы'!$E:$E,0))&amp;"","")</f>
        <v/>
      </c>
      <c r="K1897" s="9" t="inlineStr">
        <is>
          <t>не начат</t>
        </is>
      </c>
      <c r="L1897" s="9" t="inlineStr">
        <is>
          <t>Spotlight / 11 класс / Module 8 · Travel / Quantifiers / Quantifiers: a couple of, several + исчисляемые мн. ч.</t>
        </is>
      </c>
    </row>
    <row r="1898">
      <c r="A1898" s="25" t="n">
        <v>11</v>
      </c>
      <c r="B1898" s="9" t="inlineStr">
        <is>
          <t>Module 8 · Travel</t>
        </is>
      </c>
      <c r="C1898" s="9" t="inlineStr">
        <is>
          <t>8c</t>
        </is>
      </c>
      <c r="D1898" s="9" t="inlineStr">
        <is>
          <t>Quantifiers</t>
        </is>
      </c>
      <c r="E1898" s="23" t="inlineStr">
        <is>
          <t>Quantifiers: a great deal of, plenty of</t>
        </is>
      </c>
      <c r="F1898" s="26" t="inlineStr">
        <is>
          <t>новое</t>
        </is>
      </c>
      <c r="G1898" s="9" t="inlineStr">
        <is>
          <t>a great deal of + неисч.; plenty of + исч./неисч.</t>
        </is>
      </c>
      <c r="H1898" s="25" t="inlineStr">
        <is>
          <t>10+</t>
        </is>
      </c>
      <c r="I1898" s="9">
        <f>IFERROR(INDEX('Темы × классы'!$R:$R,MATCH(E1898,'Темы × классы'!$E:$E,0)),"")</f>
        <v/>
      </c>
      <c r="J1898" s="9">
        <f>IFERROR(INDEX('Темы × классы'!$S:$S,MATCH(E1898,'Темы × классы'!$E:$E,0))&amp;"","")</f>
        <v/>
      </c>
      <c r="K1898" s="9" t="inlineStr">
        <is>
          <t>не начат</t>
        </is>
      </c>
      <c r="L1898" s="9" t="inlineStr">
        <is>
          <t>Spotlight / 11 класс / Module 8 · Travel / Quantifiers / Quantifiers: a great deal of, plenty of</t>
        </is>
      </c>
    </row>
    <row r="1899">
      <c r="A1899" s="25" t="n">
        <v>11</v>
      </c>
      <c r="B1899" s="9" t="inlineStr">
        <is>
          <t>Module 8 · Travel</t>
        </is>
      </c>
      <c r="C1899" s="9" t="inlineStr">
        <is>
          <t>8c</t>
        </is>
      </c>
      <c r="D1899" s="9" t="inlineStr">
        <is>
          <t>Quantifiers</t>
        </is>
      </c>
      <c r="E1899" s="23" t="inlineStr">
        <is>
          <t>Quantifiers: hardly any</t>
        </is>
      </c>
      <c r="F1899" s="26" t="inlineStr">
        <is>
          <t>новое</t>
        </is>
      </c>
      <c r="G1899" s="9" t="inlineStr">
        <is>
          <t>отсылка к Indefinite pronouns</t>
        </is>
      </c>
      <c r="H1899" s="25" t="inlineStr">
        <is>
          <t>10+</t>
        </is>
      </c>
      <c r="I1899" s="9">
        <f>IFERROR(INDEX('Темы × классы'!$R:$R,MATCH(E1899,'Темы × классы'!$E:$E,0)),"")</f>
        <v/>
      </c>
      <c r="J1899" s="9">
        <f>IFERROR(INDEX('Темы × классы'!$S:$S,MATCH(E1899,'Темы × классы'!$E:$E,0))&amp;"","")</f>
        <v/>
      </c>
      <c r="K1899" s="9" t="inlineStr">
        <is>
          <t>не начат</t>
        </is>
      </c>
      <c r="L1899" s="9" t="inlineStr">
        <is>
          <t>Spotlight / 11 класс / Module 8 · Travel / Quantifiers / Quantifiers: hardly any</t>
        </is>
      </c>
    </row>
    <row r="1900">
      <c r="A1900" s="25" t="n">
        <v>11</v>
      </c>
      <c r="B1900" s="9" t="inlineStr">
        <is>
          <t>Module 8 · Travel</t>
        </is>
      </c>
      <c r="C1900" s="9" t="inlineStr">
        <is>
          <t>8c</t>
        </is>
      </c>
      <c r="D1900" s="9" t="inlineStr">
        <is>
          <t>Indefinite pronouns (some-/any-/no-/every-)</t>
        </is>
      </c>
      <c r="E1900" s="23" t="inlineStr">
        <is>
          <t>Indefinite pronouns: some/any/no + неисчисляемые и мн. ч.</t>
        </is>
      </c>
      <c r="F1900" s="25" t="inlineStr">
        <is>
          <t>повторение</t>
        </is>
      </c>
      <c r="G1900" s="9" t="inlineStr"/>
      <c r="H1900" s="25" t="inlineStr">
        <is>
          <t>10+</t>
        </is>
      </c>
      <c r="I1900" s="9">
        <f>IFERROR(INDEX('Темы × классы'!$R:$R,MATCH(E1900,'Темы × классы'!$E:$E,0)),"")</f>
        <v/>
      </c>
      <c r="J1900" s="9">
        <f>IFERROR(INDEX('Темы × классы'!$S:$S,MATCH(E1900,'Темы × классы'!$E:$E,0))&amp;"","")</f>
        <v/>
      </c>
      <c r="K1900" s="9" t="inlineStr">
        <is>
          <t>не начат</t>
        </is>
      </c>
      <c r="L1900" s="9" t="inlineStr">
        <is>
          <t>Spotlight / 11 класс / Module 8 · Travel / Indefinite pronouns (some-/any-/no-/every-) / Indefinite pronouns: some/any/no + неисчисляемые и мн. ч.</t>
        </is>
      </c>
    </row>
    <row r="1901">
      <c r="A1901" s="25" t="n">
        <v>11</v>
      </c>
      <c r="B1901" s="9" t="inlineStr">
        <is>
          <t>Module 8 · Travel</t>
        </is>
      </c>
      <c r="C1901" s="9" t="inlineStr">
        <is>
          <t>8c</t>
        </is>
      </c>
      <c r="D1901" s="9" t="inlineStr">
        <is>
          <t>Indefinite pronouns (some-/any-/no-/every-)</t>
        </is>
      </c>
      <c r="E1901" s="23" t="inlineStr">
        <is>
          <t>Indefinite pronouns: производные — люди, вещи, места (somebody, anything, nowhere)</t>
        </is>
      </c>
      <c r="F1901" s="25" t="inlineStr">
        <is>
          <t>повторение</t>
        </is>
      </c>
      <c r="G1901" s="9" t="inlineStr"/>
      <c r="H1901" s="25" t="inlineStr">
        <is>
          <t>10+</t>
        </is>
      </c>
      <c r="I1901" s="9">
        <f>IFERROR(INDEX('Темы × классы'!$R:$R,MATCH(E1901,'Темы × классы'!$E:$E,0)),"")</f>
        <v/>
      </c>
      <c r="J1901" s="9">
        <f>IFERROR(INDEX('Темы × классы'!$S:$S,MATCH(E1901,'Темы × классы'!$E:$E,0))&amp;"","")</f>
        <v/>
      </c>
      <c r="K1901" s="9" t="inlineStr">
        <is>
          <t>не начат</t>
        </is>
      </c>
      <c r="L1901" s="9" t="inlineStr">
        <is>
          <t>Spotlight / 11 класс / Module 8 · Travel / Indefinite pronouns (some-/any-/no-/every-) / Indefinite pronouns: производные — люди, вещи, места (somebody, anything, nowhere)</t>
        </is>
      </c>
    </row>
    <row r="1902">
      <c r="A1902" s="25" t="n">
        <v>11</v>
      </c>
      <c r="B1902" s="9" t="inlineStr">
        <is>
          <t>Module 8 · Travel</t>
        </is>
      </c>
      <c r="C1902" s="9" t="inlineStr">
        <is>
          <t>8c</t>
        </is>
      </c>
      <c r="D1902" s="9" t="inlineStr">
        <is>
          <t>Indefinite pronouns (some-/any-/no-/every-)</t>
        </is>
      </c>
      <c r="E1902" s="23" t="inlineStr">
        <is>
          <t>Indefinite pronouns: some- — в утверждениях</t>
        </is>
      </c>
      <c r="F1902" s="25" t="inlineStr">
        <is>
          <t>повторение</t>
        </is>
      </c>
      <c r="G1902" s="9" t="inlineStr"/>
      <c r="H1902" s="25" t="inlineStr">
        <is>
          <t>10+</t>
        </is>
      </c>
      <c r="I1902" s="9">
        <f>IFERROR(INDEX('Темы × классы'!$R:$R,MATCH(E1902,'Темы × классы'!$E:$E,0)),"")</f>
        <v/>
      </c>
      <c r="J1902" s="9">
        <f>IFERROR(INDEX('Темы × классы'!$S:$S,MATCH(E1902,'Темы × классы'!$E:$E,0))&amp;"","")</f>
        <v/>
      </c>
      <c r="K1902" s="9" t="inlineStr">
        <is>
          <t>не начат</t>
        </is>
      </c>
      <c r="L1902" s="9" t="inlineStr">
        <is>
          <t>Spotlight / 11 класс / Module 8 · Travel / Indefinite pronouns (some-/any-/no-/every-) / Indefinite pronouns: some- — в утверждениях</t>
        </is>
      </c>
    </row>
    <row r="1903">
      <c r="A1903" s="25" t="n">
        <v>11</v>
      </c>
      <c r="B1903" s="9" t="inlineStr">
        <is>
          <t>Module 8 · Travel</t>
        </is>
      </c>
      <c r="C1903" s="9" t="inlineStr">
        <is>
          <t>8c</t>
        </is>
      </c>
      <c r="D1903" s="9" t="inlineStr">
        <is>
          <t>Indefinite pronouns (some-/any-/no-/every-)</t>
        </is>
      </c>
      <c r="E1903" s="23" t="inlineStr">
        <is>
          <t>Indefinite pronouns: some- в вопросах — предложения и просьбы</t>
        </is>
      </c>
      <c r="F1903" s="27" t="inlineStr">
        <is>
          <t>расширение</t>
        </is>
      </c>
      <c r="G1903" s="9" t="inlineStr">
        <is>
          <t>добавлено: когда ожидается «да» (Have you lost something?)</t>
        </is>
      </c>
      <c r="H1903" s="25" t="inlineStr">
        <is>
          <t>10+</t>
        </is>
      </c>
      <c r="I1903" s="9">
        <f>IFERROR(INDEX('Темы × классы'!$R:$R,MATCH(E1903,'Темы × классы'!$E:$E,0)),"")</f>
        <v/>
      </c>
      <c r="J1903" s="9">
        <f>IFERROR(INDEX('Темы × классы'!$S:$S,MATCH(E1903,'Темы × классы'!$E:$E,0))&amp;"","")</f>
        <v/>
      </c>
      <c r="K1903" s="9" t="inlineStr">
        <is>
          <t>не начат</t>
        </is>
      </c>
      <c r="L1903" s="9" t="inlineStr">
        <is>
          <t>Spotlight / 11 класс / Module 8 · Travel / Indefinite pronouns (some-/any-/no-/every-) / Indefinite pronouns: some- в вопросах — предложения и просьбы</t>
        </is>
      </c>
    </row>
    <row r="1904">
      <c r="A1904" s="25" t="n">
        <v>11</v>
      </c>
      <c r="B1904" s="9" t="inlineStr">
        <is>
          <t>Module 8 · Travel</t>
        </is>
      </c>
      <c r="C1904" s="9" t="inlineStr">
        <is>
          <t>8c</t>
        </is>
      </c>
      <c r="D1904" s="9" t="inlineStr">
        <is>
          <t>Indefinite pronouns (some-/any-/no-/every-)</t>
        </is>
      </c>
      <c r="E1904" s="23" t="inlineStr">
        <is>
          <t>Indefinite pronouns: any- — в вопросах</t>
        </is>
      </c>
      <c r="F1904" s="25" t="inlineStr">
        <is>
          <t>повторение</t>
        </is>
      </c>
      <c r="G1904" s="9" t="inlineStr"/>
      <c r="H1904" s="25" t="inlineStr">
        <is>
          <t>10+</t>
        </is>
      </c>
      <c r="I1904" s="9">
        <f>IFERROR(INDEX('Темы × классы'!$R:$R,MATCH(E1904,'Темы × классы'!$E:$E,0)),"")</f>
        <v/>
      </c>
      <c r="J1904" s="9">
        <f>IFERROR(INDEX('Темы × классы'!$S:$S,MATCH(E1904,'Темы × классы'!$E:$E,0))&amp;"","")</f>
        <v/>
      </c>
      <c r="K1904" s="9" t="inlineStr">
        <is>
          <t>не начат</t>
        </is>
      </c>
      <c r="L1904" s="9" t="inlineStr">
        <is>
          <t>Spotlight / 11 класс / Module 8 · Travel / Indefinite pronouns (some-/any-/no-/every-) / Indefinite pronouns: any- — в вопросах</t>
        </is>
      </c>
    </row>
    <row r="1905">
      <c r="A1905" s="25" t="n">
        <v>11</v>
      </c>
      <c r="B1905" s="9" t="inlineStr">
        <is>
          <t>Module 8 · Travel</t>
        </is>
      </c>
      <c r="C1905" s="9" t="inlineStr">
        <is>
          <t>8c</t>
        </is>
      </c>
      <c r="D1905" s="9" t="inlineStr">
        <is>
          <t>Indefinite pronouns (some-/any-/no-/every-)</t>
        </is>
      </c>
      <c r="E1905" s="23" t="inlineStr">
        <is>
          <t>Indefinite pronouns: not any- в отрицаниях; any после without, never, rarely</t>
        </is>
      </c>
      <c r="F1905" s="25" t="inlineStr">
        <is>
          <t>повторение</t>
        </is>
      </c>
      <c r="G1905" s="9" t="inlineStr"/>
      <c r="H1905" s="25" t="inlineStr">
        <is>
          <t>10+</t>
        </is>
      </c>
      <c r="I1905" s="9">
        <f>IFERROR(INDEX('Темы × классы'!$R:$R,MATCH(E1905,'Темы × классы'!$E:$E,0)),"")</f>
        <v/>
      </c>
      <c r="J1905" s="9">
        <f>IFERROR(INDEX('Темы × классы'!$S:$S,MATCH(E1905,'Темы × классы'!$E:$E,0))&amp;"","")</f>
        <v/>
      </c>
      <c r="K1905" s="9" t="inlineStr">
        <is>
          <t>не начат</t>
        </is>
      </c>
      <c r="L1905" s="9" t="inlineStr">
        <is>
          <t>Spotlight / 11 класс / Module 8 · Travel / Indefinite pronouns (some-/any-/no-/every-) / Indefinite pronouns: not any- в отрицаниях; any после without, never, rarely</t>
        </is>
      </c>
    </row>
    <row r="1906">
      <c r="A1906" s="25" t="n">
        <v>11</v>
      </c>
      <c r="B1906" s="9" t="inlineStr">
        <is>
          <t>Module 8 · Travel</t>
        </is>
      </c>
      <c r="C1906" s="9" t="inlineStr">
        <is>
          <t>8c</t>
        </is>
      </c>
      <c r="D1906" s="9" t="inlineStr">
        <is>
          <t>Indefinite pronouns (some-/any-/no-/every-)</t>
        </is>
      </c>
      <c r="E1906" s="23" t="inlineStr">
        <is>
          <t>Indefinite pronouns: any в утверждении = «любой, неважно кто/что»</t>
        </is>
      </c>
      <c r="F1906" s="25" t="inlineStr">
        <is>
          <t>повторение</t>
        </is>
      </c>
      <c r="G1906" s="9" t="inlineStr">
        <is>
          <t>Anyone can take part; You can come any time</t>
        </is>
      </c>
      <c r="H1906" s="25" t="inlineStr">
        <is>
          <t>10+</t>
        </is>
      </c>
      <c r="I1906" s="9">
        <f>IFERROR(INDEX('Темы × классы'!$R:$R,MATCH(E1906,'Темы × классы'!$E:$E,0)),"")</f>
        <v/>
      </c>
      <c r="J1906" s="9">
        <f>IFERROR(INDEX('Темы × классы'!$S:$S,MATCH(E1906,'Темы × классы'!$E:$E,0))&amp;"","")</f>
        <v/>
      </c>
      <c r="K1906" s="9" t="inlineStr">
        <is>
          <t>не начат</t>
        </is>
      </c>
      <c r="L1906" s="9" t="inlineStr">
        <is>
          <t>Spotlight / 11 класс / Module 8 · Travel / Indefinite pronouns (some-/any-/no-/every-) / Indefinite pronouns: any в утверждении = «любой, неважно кто/что»</t>
        </is>
      </c>
    </row>
    <row r="1907">
      <c r="A1907" s="25" t="n">
        <v>11</v>
      </c>
      <c r="B1907" s="9" t="inlineStr">
        <is>
          <t>Module 8 · Travel</t>
        </is>
      </c>
      <c r="C1907" s="9" t="inlineStr">
        <is>
          <t>8c</t>
        </is>
      </c>
      <c r="D1907" s="9" t="inlineStr">
        <is>
          <t>Indefinite pronouns (some-/any-/no-/every-)</t>
        </is>
      </c>
      <c r="E1907" s="23" t="inlineStr">
        <is>
          <t>Indefinite pronouns: no- вместо not any (глагол утвердительный)</t>
        </is>
      </c>
      <c r="F1907" s="25" t="inlineStr">
        <is>
          <t>повторение</t>
        </is>
      </c>
      <c r="G1907" s="9" t="inlineStr"/>
      <c r="H1907" s="25" t="inlineStr">
        <is>
          <t>10+</t>
        </is>
      </c>
      <c r="I1907" s="9">
        <f>IFERROR(INDEX('Темы × классы'!$R:$R,MATCH(E1907,'Темы × классы'!$E:$E,0)),"")</f>
        <v/>
      </c>
      <c r="J1907" s="9">
        <f>IFERROR(INDEX('Темы × классы'!$S:$S,MATCH(E1907,'Темы × классы'!$E:$E,0))&amp;"","")</f>
        <v/>
      </c>
      <c r="K1907" s="9" t="inlineStr">
        <is>
          <t>не начат</t>
        </is>
      </c>
      <c r="L1907" s="9" t="inlineStr">
        <is>
          <t>Spotlight / 11 класс / Module 8 · Travel / Indefinite pronouns (some-/any-/no-/every-) / Indefinite pronouns: no- вместо not any (глагол утвердительный)</t>
        </is>
      </c>
    </row>
    <row r="1908">
      <c r="A1908" s="25" t="n">
        <v>11</v>
      </c>
      <c r="B1908" s="9" t="inlineStr">
        <is>
          <t>Module 8 · Travel</t>
        </is>
      </c>
      <c r="C1908" s="9" t="inlineStr">
        <is>
          <t>8c</t>
        </is>
      </c>
      <c r="D1908" s="9" t="inlineStr">
        <is>
          <t>Indefinite pronouns (some-/any-/no-/every-)</t>
        </is>
      </c>
      <c r="E1908" s="23" t="inlineStr">
        <is>
          <t>Indefinite pronouns: hardly any</t>
        </is>
      </c>
      <c r="F1908" s="25" t="inlineStr">
        <is>
          <t>повторение</t>
        </is>
      </c>
      <c r="G1908" s="9" t="inlineStr">
        <is>
          <t>в утвердительных с неисч. и мн. ч.</t>
        </is>
      </c>
      <c r="H1908" s="25" t="inlineStr">
        <is>
          <t>10+</t>
        </is>
      </c>
      <c r="I1908" s="9">
        <f>IFERROR(INDEX('Темы × классы'!$R:$R,MATCH(E1908,'Темы × классы'!$E:$E,0)),"")</f>
        <v/>
      </c>
      <c r="J1908" s="9">
        <f>IFERROR(INDEX('Темы × классы'!$S:$S,MATCH(E1908,'Темы × классы'!$E:$E,0))&amp;"","")</f>
        <v/>
      </c>
      <c r="K1908" s="9" t="inlineStr">
        <is>
          <t>не начат</t>
        </is>
      </c>
      <c r="L1908" s="9" t="inlineStr">
        <is>
          <t>Spotlight / 11 класс / Module 8 · Travel / Indefinite pronouns (some-/any-/no-/every-) / Indefinite pronouns: hardly any</t>
        </is>
      </c>
    </row>
    <row r="1909">
      <c r="A1909" s="25" t="n">
        <v>11</v>
      </c>
      <c r="B1909" s="9" t="inlineStr">
        <is>
          <t>Module 8 · Travel</t>
        </is>
      </c>
      <c r="C1909" s="9" t="inlineStr">
        <is>
          <t>8c</t>
        </is>
      </c>
      <c r="D1909" s="9" t="inlineStr">
        <is>
          <t>Indefinite pronouns (some-/any-/no-/every-)</t>
        </is>
      </c>
      <c r="E1909" s="23" t="inlineStr">
        <is>
          <t>Indefinite pronouns: every + ед. ч.; everybody, everything, everywhere</t>
        </is>
      </c>
      <c r="F1909" s="25" t="inlineStr">
        <is>
          <t>повторение</t>
        </is>
      </c>
      <c r="G1909" s="9" t="inlineStr"/>
      <c r="H1909" s="25" t="inlineStr">
        <is>
          <t>10+</t>
        </is>
      </c>
      <c r="I1909" s="9">
        <f>IFERROR(INDEX('Темы × классы'!$R:$R,MATCH(E1909,'Темы × классы'!$E:$E,0)),"")</f>
        <v/>
      </c>
      <c r="J1909" s="9">
        <f>IFERROR(INDEX('Темы × классы'!$S:$S,MATCH(E1909,'Темы × классы'!$E:$E,0))&amp;"","")</f>
        <v/>
      </c>
      <c r="K1909" s="9" t="inlineStr">
        <is>
          <t>не начат</t>
        </is>
      </c>
      <c r="L1909" s="9" t="inlineStr">
        <is>
          <t>Spotlight / 11 класс / Module 8 · Travel / Indefinite pronouns (some-/any-/no-/every-) / Indefinite pronouns: every + ед. ч.; everybody, everything, everywhere</t>
        </is>
      </c>
    </row>
    <row r="1910">
      <c r="A1910" s="25" t="n">
        <v>11</v>
      </c>
      <c r="B1910" s="9" t="inlineStr">
        <is>
          <t>Module 8 · Travel</t>
        </is>
      </c>
      <c r="C1910" s="9" t="inlineStr">
        <is>
          <t>8c</t>
        </is>
      </c>
      <c r="D1910" s="9" t="inlineStr">
        <is>
          <t>Indefinite pronouns (some-/any-/no-/every-)</t>
        </is>
      </c>
      <c r="E1910" s="23" t="inlineStr">
        <is>
          <t>Indefinite pronouns: глагол после производных — в ед. ч.</t>
        </is>
      </c>
      <c r="F1910" s="25" t="inlineStr">
        <is>
          <t>повторение</t>
        </is>
      </c>
      <c r="G1910" s="9" t="inlineStr"/>
      <c r="H1910" s="25" t="inlineStr">
        <is>
          <t>10+</t>
        </is>
      </c>
      <c r="I1910" s="9">
        <f>IFERROR(INDEX('Темы × классы'!$R:$R,MATCH(E1910,'Темы × классы'!$E:$E,0)),"")</f>
        <v/>
      </c>
      <c r="J1910" s="9">
        <f>IFERROR(INDEX('Темы × классы'!$S:$S,MATCH(E1910,'Темы × классы'!$E:$E,0))&amp;"","")</f>
        <v/>
      </c>
      <c r="K1910" s="9" t="inlineStr">
        <is>
          <t>не начат</t>
        </is>
      </c>
      <c r="L1910" s="9" t="inlineStr">
        <is>
          <t>Spotlight / 11 класс / Module 8 · Travel / Indefinite pronouns (some-/any-/no-/every-) / Indefinite pronouns: глагол после производных — в ед. ч.</t>
        </is>
      </c>
    </row>
    <row r="1911">
      <c r="A1911" s="25" t="n">
        <v>11</v>
      </c>
      <c r="B1911" s="9" t="inlineStr">
        <is>
          <t>Module 8 · Travel</t>
        </is>
      </c>
      <c r="C1911" s="9" t="inlineStr">
        <is>
          <t>8c</t>
        </is>
      </c>
      <c r="D1911" s="9" t="inlineStr">
        <is>
          <t>Determiners (both/either/neither/all/none)</t>
        </is>
      </c>
      <c r="E1911" s="23" t="inlineStr">
        <is>
          <t>Determiners: both — о двух, глагол во мн. ч.</t>
        </is>
      </c>
      <c r="F1911" s="26" t="inlineStr">
        <is>
          <t>новое</t>
        </is>
      </c>
      <c r="G1911" s="9" t="inlineStr">
        <is>
          <t>Both Nick and Alex are… / They are both… / Both of them…</t>
        </is>
      </c>
      <c r="H1911" s="25" t="inlineStr">
        <is>
          <t>10+</t>
        </is>
      </c>
      <c r="I1911" s="9">
        <f>IFERROR(INDEX('Темы × классы'!$R:$R,MATCH(E1911,'Темы × классы'!$E:$E,0)),"")</f>
        <v/>
      </c>
      <c r="J1911" s="9">
        <f>IFERROR(INDEX('Темы × классы'!$S:$S,MATCH(E1911,'Темы × классы'!$E:$E,0))&amp;"","")</f>
        <v/>
      </c>
      <c r="K1911" s="9" t="inlineStr">
        <is>
          <t>не начат</t>
        </is>
      </c>
      <c r="L1911" s="9" t="inlineStr">
        <is>
          <t>Spotlight / 11 класс / Module 8 · Travel / Determiners (both/either/neither/all/none) / Determiners: both — о двух, глагол во мн. ч.</t>
        </is>
      </c>
    </row>
    <row r="1912">
      <c r="A1912" s="25" t="n">
        <v>11</v>
      </c>
      <c r="B1912" s="9" t="inlineStr">
        <is>
          <t>Module 8 · Travel</t>
        </is>
      </c>
      <c r="C1912" s="9" t="inlineStr">
        <is>
          <t>8c</t>
        </is>
      </c>
      <c r="D1912" s="9" t="inlineStr">
        <is>
          <t>Determiners (both/either/neither/all/none)</t>
        </is>
      </c>
      <c r="E1912" s="23" t="inlineStr">
        <is>
          <t>Determiners: either / neither (+ of)</t>
        </is>
      </c>
      <c r="F1912" s="26" t="inlineStr">
        <is>
          <t>новое</t>
        </is>
      </c>
      <c r="G1912" s="9" t="inlineStr">
        <is>
          <t>+ ед. ч. исчисляемого; either of/neither of + глагол в ед. или мн. ч.</t>
        </is>
      </c>
      <c r="H1912" s="25" t="inlineStr">
        <is>
          <t>10+</t>
        </is>
      </c>
      <c r="I1912" s="9">
        <f>IFERROR(INDEX('Темы × классы'!$R:$R,MATCH(E1912,'Темы × классы'!$E:$E,0)),"")</f>
        <v/>
      </c>
      <c r="J1912" s="9">
        <f>IFERROR(INDEX('Темы × классы'!$S:$S,MATCH(E1912,'Темы × классы'!$E:$E,0))&amp;"","")</f>
        <v/>
      </c>
      <c r="K1912" s="9" t="inlineStr">
        <is>
          <t>не начат</t>
        </is>
      </c>
      <c r="L1912" s="9" t="inlineStr">
        <is>
          <t>Spotlight / 11 класс / Module 8 · Travel / Determiners (both/either/neither/all/none) / Determiners: either / neither (+ of)</t>
        </is>
      </c>
    </row>
    <row r="1913">
      <c r="A1913" s="25" t="n">
        <v>11</v>
      </c>
      <c r="B1913" s="9" t="inlineStr">
        <is>
          <t>Module 8 · Travel</t>
        </is>
      </c>
      <c r="C1913" s="9" t="inlineStr">
        <is>
          <t>8c</t>
        </is>
      </c>
      <c r="D1913" s="9" t="inlineStr">
        <is>
          <t>Determiners (both/either/neither/all/none)</t>
        </is>
      </c>
      <c r="E1913" s="23" t="inlineStr">
        <is>
          <t>Determiners: all — о более чем двух; all + that-clause</t>
        </is>
      </c>
      <c r="F1913" s="26" t="inlineStr">
        <is>
          <t>новое</t>
        </is>
      </c>
      <c r="G1913" s="9" t="inlineStr">
        <is>
          <t>All of us… / We all… / All four of us…</t>
        </is>
      </c>
      <c r="H1913" s="25" t="inlineStr">
        <is>
          <t>10+</t>
        </is>
      </c>
      <c r="I1913" s="9">
        <f>IFERROR(INDEX('Темы × классы'!$R:$R,MATCH(E1913,'Темы × классы'!$E:$E,0)),"")</f>
        <v/>
      </c>
      <c r="J1913" s="9">
        <f>IFERROR(INDEX('Темы × классы'!$S:$S,MATCH(E1913,'Темы × классы'!$E:$E,0))&amp;"","")</f>
        <v/>
      </c>
      <c r="K1913" s="9" t="inlineStr">
        <is>
          <t>не начат</t>
        </is>
      </c>
      <c r="L1913" s="9" t="inlineStr">
        <is>
          <t>Spotlight / 11 класс / Module 8 · Travel / Determiners (both/either/neither/all/none) / Determiners: all — о более чем двух; all + that-clause</t>
        </is>
      </c>
    </row>
    <row r="1914">
      <c r="A1914" s="25" t="n">
        <v>11</v>
      </c>
      <c r="B1914" s="9" t="inlineStr">
        <is>
          <t>Module 8 · Travel</t>
        </is>
      </c>
      <c r="C1914" s="9" t="inlineStr">
        <is>
          <t>8c</t>
        </is>
      </c>
      <c r="D1914" s="9" t="inlineStr">
        <is>
          <t>Determiners (both/either/neither/all/none)</t>
        </is>
      </c>
      <c r="E1914" s="23" t="inlineStr">
        <is>
          <t>Determiners: none / none of</t>
        </is>
      </c>
      <c r="F1914" s="26" t="inlineStr">
        <is>
          <t>новое</t>
        </is>
      </c>
      <c r="G1914" s="9" t="inlineStr">
        <is>
          <t>No, none. / none of + сущ./местоимение</t>
        </is>
      </c>
      <c r="H1914" s="25" t="inlineStr">
        <is>
          <t>10+</t>
        </is>
      </c>
      <c r="I1914" s="9">
        <f>IFERROR(INDEX('Темы × классы'!$R:$R,MATCH(E1914,'Темы × классы'!$E:$E,0)),"")</f>
        <v/>
      </c>
      <c r="J1914" s="9">
        <f>IFERROR(INDEX('Темы × классы'!$S:$S,MATCH(E1914,'Темы × классы'!$E:$E,0))&amp;"","")</f>
        <v/>
      </c>
      <c r="K1914" s="9" t="inlineStr">
        <is>
          <t>не начат</t>
        </is>
      </c>
      <c r="L1914" s="9" t="inlineStr">
        <is>
          <t>Spotlight / 11 класс / Module 8 · Travel / Determiners (both/either/neither/all/none) / Determiners: none / none of</t>
        </is>
      </c>
    </row>
    <row r="1915">
      <c r="A1915" s="25" t="n">
        <v>11</v>
      </c>
      <c r="B1915" s="9" t="inlineStr">
        <is>
          <t>Module 8 · Travel</t>
        </is>
      </c>
      <c r="C1915" s="9" t="inlineStr">
        <is>
          <t>8c</t>
        </is>
      </c>
      <c r="D1915" s="9" t="inlineStr">
        <is>
          <t>Determiners (both/either/neither/all/none)</t>
        </is>
      </c>
      <c r="E1915" s="23" t="inlineStr">
        <is>
          <t>Determiners: whole vs all (the whole morning = all morning)</t>
        </is>
      </c>
      <c r="F1915" s="26" t="inlineStr">
        <is>
          <t>новое</t>
        </is>
      </c>
      <c r="G1915" s="9" t="inlineStr">
        <is>
          <t>a/the/this/my + whole + noun</t>
        </is>
      </c>
      <c r="H1915" s="25" t="inlineStr">
        <is>
          <t>10+</t>
        </is>
      </c>
      <c r="I1915" s="9">
        <f>IFERROR(INDEX('Темы × классы'!$R:$R,MATCH(E1915,'Темы × классы'!$E:$E,0)),"")</f>
        <v/>
      </c>
      <c r="J1915" s="9">
        <f>IFERROR(INDEX('Темы × классы'!$S:$S,MATCH(E1915,'Темы × классы'!$E:$E,0))&amp;"","")</f>
        <v/>
      </c>
      <c r="K1915" s="9" t="inlineStr">
        <is>
          <t>не начат</t>
        </is>
      </c>
      <c r="L1915" s="9" t="inlineStr">
        <is>
          <t>Spotlight / 11 класс / Module 8 · Travel / Determiners (both/either/neither/all/none) / Determiners: whole vs all (the whole morning = all morning)</t>
        </is>
      </c>
    </row>
    <row r="1916">
      <c r="A1916" s="25" t="n">
        <v>11</v>
      </c>
      <c r="B1916" s="9" t="inlineStr">
        <is>
          <t>Module 8 · Travel</t>
        </is>
      </c>
      <c r="C1916" s="9" t="inlineStr">
        <is>
          <t>8c</t>
        </is>
      </c>
      <c r="D1916" s="9" t="inlineStr">
        <is>
          <t>Determiners (both/either/neither/all/none)</t>
        </is>
      </c>
      <c r="E1916" s="23" t="inlineStr">
        <is>
          <t>Determiners: both/neither vs all/none — о двух vs о многих</t>
        </is>
      </c>
      <c r="F1916" s="26" t="inlineStr">
        <is>
          <t>новое</t>
        </is>
      </c>
      <c r="G1916" s="9" t="inlineStr"/>
      <c r="H1916" s="25" t="inlineStr">
        <is>
          <t>10+</t>
        </is>
      </c>
      <c r="I1916" s="9">
        <f>IFERROR(INDEX('Темы × классы'!$R:$R,MATCH(E1916,'Темы × классы'!$E:$E,0)),"")</f>
        <v/>
      </c>
      <c r="J1916" s="9">
        <f>IFERROR(INDEX('Темы × классы'!$S:$S,MATCH(E1916,'Темы × классы'!$E:$E,0))&amp;"","")</f>
        <v/>
      </c>
      <c r="K1916" s="9" t="inlineStr">
        <is>
          <t>не начат</t>
        </is>
      </c>
      <c r="L1916" s="9" t="inlineStr">
        <is>
          <t>Spotlight / 11 класс / Module 8 · Travel / Determiners (both/either/neither/all/none) / Determiners: both/neither vs all/none — о двух vs о многих</t>
        </is>
      </c>
    </row>
    <row r="1917">
      <c r="A1917" s="25" t="n">
        <v>11</v>
      </c>
      <c r="B1917" s="9" t="inlineStr">
        <is>
          <t>Module 8 · Travel</t>
        </is>
      </c>
      <c r="C1917" s="9" t="inlineStr">
        <is>
          <t>8c</t>
        </is>
      </c>
      <c r="D1917" s="9" t="inlineStr">
        <is>
          <t>Inversion</t>
        </is>
      </c>
      <c r="E1917" s="23" t="inlineStr">
        <is>
          <t>Inversion: условные без if — Should/Were/Had + подлежащее</t>
        </is>
      </c>
      <c r="F1917" s="25" t="inlineStr">
        <is>
          <t>повторение</t>
        </is>
      </c>
      <c r="G1917" s="9" t="inlineStr"/>
      <c r="H1917" s="25" t="inlineStr">
        <is>
          <t>10+</t>
        </is>
      </c>
      <c r="I1917" s="9">
        <f>IFERROR(INDEX('Темы × классы'!$R:$R,MATCH(E1917,'Темы × классы'!$E:$E,0)),"")</f>
        <v/>
      </c>
      <c r="J1917" s="9">
        <f>IFERROR(INDEX('Темы × классы'!$S:$S,MATCH(E1917,'Темы × классы'!$E:$E,0))&amp;"","")</f>
        <v/>
      </c>
      <c r="K1917" s="9" t="inlineStr">
        <is>
          <t>не начат</t>
        </is>
      </c>
      <c r="L1917" s="9" t="inlineStr">
        <is>
          <t>Spotlight / 11 класс / Module 8 · Travel / Inversion / Inversion: условные без if — Should/Were/Had + подлежащее</t>
        </is>
      </c>
    </row>
    <row r="1918">
      <c r="A1918" s="25" t="n">
        <v>11</v>
      </c>
      <c r="B1918" s="9" t="inlineStr">
        <is>
          <t>Module 8 · Travel</t>
        </is>
      </c>
      <c r="C1918" s="9" t="inlineStr">
        <is>
          <t>8c</t>
        </is>
      </c>
      <c r="D1918" s="9" t="inlineStr">
        <is>
          <t>Inversion</t>
        </is>
      </c>
      <c r="E1918" s="23" t="inlineStr">
        <is>
          <t>Inversion: эмфатическая — форма (вспомогательный / do, does, did + подлежащее)</t>
        </is>
      </c>
      <c r="F1918" s="26" t="inlineStr">
        <is>
          <t>новое</t>
        </is>
      </c>
      <c r="G1918" s="9" t="inlineStr"/>
      <c r="H1918" s="25" t="inlineStr">
        <is>
          <t>10+</t>
        </is>
      </c>
      <c r="I1918" s="9">
        <f>IFERROR(INDEX('Темы × классы'!$R:$R,MATCH(E1918,'Темы × классы'!$E:$E,0)),"")</f>
        <v/>
      </c>
      <c r="J1918" s="9">
        <f>IFERROR(INDEX('Темы × классы'!$S:$S,MATCH(E1918,'Темы × классы'!$E:$E,0))&amp;"","")</f>
        <v/>
      </c>
      <c r="K1918" s="9" t="inlineStr">
        <is>
          <t>не начат</t>
        </is>
      </c>
      <c r="L1918" s="9" t="inlineStr">
        <is>
          <t>Spotlight / 11 класс / Module 8 · Travel / Inversion / Inversion: эмфатическая — форма (вспомогательный / do, does, did + подлежащее)</t>
        </is>
      </c>
    </row>
    <row r="1919">
      <c r="A1919" s="25" t="n">
        <v>11</v>
      </c>
      <c r="B1919" s="9" t="inlineStr">
        <is>
          <t>Module 8 · Travel</t>
        </is>
      </c>
      <c r="C1919" s="9" t="inlineStr">
        <is>
          <t>8c</t>
        </is>
      </c>
      <c r="D1919" s="9" t="inlineStr">
        <is>
          <t>Inversion</t>
        </is>
      </c>
      <c r="E1919" s="23" t="inlineStr">
        <is>
          <t>Inversion: после отрицательных наречий в начале (Never, Rarely, Seldom, Little, Hardly… when, No sooner… than, Not only… but also)</t>
        </is>
      </c>
      <c r="F1919" s="26" t="inlineStr">
        <is>
          <t>новое</t>
        </is>
      </c>
      <c r="G1919" s="9" t="inlineStr">
        <is>
          <t>Barely, Hardly… when, In no way, Under no circumstances, Little, Never, Nor/Neither, No sooner… than, Not only… but also, Nowhere, On no account, Rarely, Scarcely, Seldom</t>
        </is>
      </c>
      <c r="H1919" s="25" t="inlineStr">
        <is>
          <t>10+</t>
        </is>
      </c>
      <c r="I1919" s="9">
        <f>IFERROR(INDEX('Темы × классы'!$R:$R,MATCH(E1919,'Темы × классы'!$E:$E,0)),"")</f>
        <v/>
      </c>
      <c r="J1919" s="9">
        <f>IFERROR(INDEX('Темы × классы'!$S:$S,MATCH(E1919,'Темы × классы'!$E:$E,0))&amp;"","")</f>
        <v/>
      </c>
      <c r="K1919" s="9" t="inlineStr">
        <is>
          <t>не начат</t>
        </is>
      </c>
      <c r="L1919" s="9" t="inlineStr">
        <is>
          <t>Spotlight / 11 класс / Module 8 · Travel / Inversion / Inversion: после отрицательных наречий в начале (Never, Rarely, Seldom, Little, Hardly… when, No sooner… than, Not only… but also)</t>
        </is>
      </c>
    </row>
    <row r="1920">
      <c r="A1920" s="25" t="n">
        <v>11</v>
      </c>
      <c r="B1920" s="9" t="inlineStr">
        <is>
          <t>Module 8 · Travel</t>
        </is>
      </c>
      <c r="C1920" s="9" t="inlineStr">
        <is>
          <t>8c</t>
        </is>
      </c>
      <c r="D1920" s="9" t="inlineStr">
        <is>
          <t>Inversion</t>
        </is>
      </c>
      <c r="E1920" s="23" t="inlineStr">
        <is>
          <t>Inversion: после Only after/by/when/then, Not till/until, Not since — в главном предложении</t>
        </is>
      </c>
      <c r="F1920" s="26" t="inlineStr">
        <is>
          <t>новое</t>
        </is>
      </c>
      <c r="G1920" s="9" t="inlineStr">
        <is>
          <t>only after/by/if/when, not since, not till/until</t>
        </is>
      </c>
      <c r="H1920" s="25" t="inlineStr">
        <is>
          <t>10+</t>
        </is>
      </c>
      <c r="I1920" s="9">
        <f>IFERROR(INDEX('Темы × классы'!$R:$R,MATCH(E1920,'Темы × классы'!$E:$E,0)),"")</f>
        <v/>
      </c>
      <c r="J1920" s="9">
        <f>IFERROR(INDEX('Темы × классы'!$S:$S,MATCH(E1920,'Темы × классы'!$E:$E,0))&amp;"","")</f>
        <v/>
      </c>
      <c r="K1920" s="9" t="inlineStr">
        <is>
          <t>не начат</t>
        </is>
      </c>
      <c r="L1920" s="9" t="inlineStr">
        <is>
          <t>Spotlight / 11 класс / Module 8 · Travel / Inversion / Inversion: после Only after/by/when/then, Not till/until, Not since — в главном предложении</t>
        </is>
      </c>
    </row>
    <row r="1921">
      <c r="A1921" s="25" t="n">
        <v>11</v>
      </c>
      <c r="B1921" s="9" t="inlineStr">
        <is>
          <t>Module 8 · Travel</t>
        </is>
      </c>
      <c r="C1921" s="9" t="inlineStr">
        <is>
          <t>8c</t>
        </is>
      </c>
      <c r="D1921" s="9" t="inlineStr">
        <is>
          <t>Inversion</t>
        </is>
      </c>
      <c r="E1921" s="23" t="inlineStr">
        <is>
          <t>Inversion: после So/Such в начале (результат)</t>
        </is>
      </c>
      <c r="F1921" s="26" t="inlineStr">
        <is>
          <t>новое</t>
        </is>
      </c>
      <c r="G1921" s="9" t="inlineStr">
        <is>
          <t>So angry was he, that…</t>
        </is>
      </c>
      <c r="H1921" s="25" t="inlineStr">
        <is>
          <t>10+</t>
        </is>
      </c>
      <c r="I1921" s="9">
        <f>IFERROR(INDEX('Темы × классы'!$R:$R,MATCH(E1921,'Темы × классы'!$E:$E,0)),"")</f>
        <v/>
      </c>
      <c r="J1921" s="9">
        <f>IFERROR(INDEX('Темы × классы'!$S:$S,MATCH(E1921,'Темы × классы'!$E:$E,0))&amp;"","")</f>
        <v/>
      </c>
      <c r="K1921" s="9" t="inlineStr">
        <is>
          <t>не начат</t>
        </is>
      </c>
      <c r="L1921" s="9" t="inlineStr">
        <is>
          <t>Spotlight / 11 класс / Module 8 · Travel / Inversion / Inversion: после So/Such в начале (результат)</t>
        </is>
      </c>
    </row>
    <row r="1922">
      <c r="A1922" s="25" t="n">
        <v>11</v>
      </c>
      <c r="B1922" s="9" t="inlineStr">
        <is>
          <t>Module 8 · Travel</t>
        </is>
      </c>
      <c r="C1922" s="9" t="inlineStr">
        <is>
          <t>8c</t>
        </is>
      </c>
      <c r="D1922" s="9" t="inlineStr">
        <is>
          <t>Inversion</t>
        </is>
      </c>
      <c r="E1922" s="23" t="inlineStr">
        <is>
          <t>Inversion: согласие после as, so, neither/nor</t>
        </is>
      </c>
      <c r="F1922" s="26" t="inlineStr">
        <is>
          <t>новое</t>
        </is>
      </c>
      <c r="G1922" s="9" t="inlineStr">
        <is>
          <t>as did his grandparents</t>
        </is>
      </c>
      <c r="H1922" s="25" t="inlineStr">
        <is>
          <t>10+</t>
        </is>
      </c>
      <c r="I1922" s="9">
        <f>IFERROR(INDEX('Темы × классы'!$R:$R,MATCH(E1922,'Темы × классы'!$E:$E,0)),"")</f>
        <v/>
      </c>
      <c r="J1922" s="9">
        <f>IFERROR(INDEX('Темы × классы'!$S:$S,MATCH(E1922,'Темы × классы'!$E:$E,0))&amp;"","")</f>
        <v/>
      </c>
      <c r="K1922" s="9" t="inlineStr">
        <is>
          <t>не начат</t>
        </is>
      </c>
      <c r="L1922" s="9" t="inlineStr">
        <is>
          <t>Spotlight / 11 класс / Module 8 · Travel / Inversion / Inversion: согласие после as, so, neither/nor</t>
        </is>
      </c>
    </row>
    <row r="1923">
      <c r="A1923" s="25" t="n">
        <v>11</v>
      </c>
      <c r="B1923" s="9" t="inlineStr">
        <is>
          <t>Module 8 · Travel</t>
        </is>
      </c>
      <c r="C1923" s="9" t="inlineStr">
        <is>
          <t>8c</t>
        </is>
      </c>
      <c r="D1923" s="9" t="inlineStr">
        <is>
          <t>Inversion</t>
        </is>
      </c>
      <c r="E1923" s="23" t="inlineStr">
        <is>
          <t>Inversion: смысловой глагол после Here/There (There goes the bus — НО There it goes)</t>
        </is>
      </c>
      <c r="F1923" s="26" t="inlineStr">
        <is>
          <t>новое</t>
        </is>
      </c>
      <c r="G1923" s="9" t="inlineStr">
        <is>
          <t>НО There it goes / Here they are</t>
        </is>
      </c>
      <c r="H1923" s="25" t="inlineStr">
        <is>
          <t>10+</t>
        </is>
      </c>
      <c r="I1923" s="9">
        <f>IFERROR(INDEX('Темы × классы'!$R:$R,MATCH(E1923,'Темы × классы'!$E:$E,0)),"")</f>
        <v/>
      </c>
      <c r="J1923" s="9">
        <f>IFERROR(INDEX('Темы × классы'!$S:$S,MATCH(E1923,'Темы × классы'!$E:$E,0))&amp;"","")</f>
        <v/>
      </c>
      <c r="K1923" s="9" t="inlineStr">
        <is>
          <t>не начат</t>
        </is>
      </c>
      <c r="L1923" s="9" t="inlineStr">
        <is>
          <t>Spotlight / 11 класс / Module 8 · Travel / Inversion / Inversion: смысловой глагол после Here/There (There goes the bus — НО There it goes)</t>
        </is>
      </c>
    </row>
    <row r="1924">
      <c r="A1924" s="25" t="n">
        <v>11</v>
      </c>
      <c r="B1924" s="9" t="inlineStr">
        <is>
          <t>Module 8 · Travel</t>
        </is>
      </c>
      <c r="C1924" s="9" t="inlineStr">
        <is>
          <t>8c</t>
        </is>
      </c>
      <c r="D1924" s="9" t="inlineStr">
        <is>
          <t>Inversion</t>
        </is>
      </c>
      <c r="E1924" s="23" t="inlineStr">
        <is>
          <t>Inversion: в прямой речи после цитаты (said Bill — НО he said)</t>
        </is>
      </c>
      <c r="F1924" s="26" t="inlineStr">
        <is>
          <t>новое</t>
        </is>
      </c>
      <c r="G1924" s="9" t="inlineStr">
        <is>
          <t>НО "…," he said</t>
        </is>
      </c>
      <c r="H1924" s="25" t="inlineStr">
        <is>
          <t>10+</t>
        </is>
      </c>
      <c r="I1924" s="9">
        <f>IFERROR(INDEX('Темы × классы'!$R:$R,MATCH(E1924,'Темы × классы'!$E:$E,0)),"")</f>
        <v/>
      </c>
      <c r="J1924" s="9">
        <f>IFERROR(INDEX('Темы × классы'!$S:$S,MATCH(E1924,'Темы × классы'!$E:$E,0))&amp;"","")</f>
        <v/>
      </c>
      <c r="K1924" s="9" t="inlineStr">
        <is>
          <t>не начат</t>
        </is>
      </c>
      <c r="L1924" s="9" t="inlineStr">
        <is>
          <t>Spotlight / 11 класс / Module 8 · Travel / Inversion / Inversion: в прямой речи после цитаты (said Bill — НО he said)</t>
        </is>
      </c>
    </row>
    <row r="1925">
      <c r="A1925" s="25" t="n">
        <v>11</v>
      </c>
      <c r="B1925" s="9" t="inlineStr">
        <is>
          <t>Module 8 · Travel</t>
        </is>
      </c>
      <c r="C1925" s="9" t="inlineStr">
        <is>
          <t>8c</t>
        </is>
      </c>
      <c r="D1925" s="9" t="inlineStr">
        <is>
          <t>So / Neither / Nor (agreement)</t>
        </is>
      </c>
      <c r="E1925" s="23" t="inlineStr">
        <is>
          <t>So / Neither / Nor: So + aux + подлежащее — к утверждению</t>
        </is>
      </c>
      <c r="F1925" s="26" t="inlineStr">
        <is>
          <t>новое</t>
        </is>
      </c>
      <c r="G1925" s="9" t="inlineStr">
        <is>
          <t>So does Jack</t>
        </is>
      </c>
      <c r="H1925" s="25" t="inlineStr">
        <is>
          <t>10+</t>
        </is>
      </c>
      <c r="I1925" s="9">
        <f>IFERROR(INDEX('Темы × классы'!$R:$R,MATCH(E1925,'Темы × классы'!$E:$E,0)),"")</f>
        <v/>
      </c>
      <c r="J1925" s="9">
        <f>IFERROR(INDEX('Темы × классы'!$S:$S,MATCH(E1925,'Темы × классы'!$E:$E,0))&amp;"","")</f>
        <v/>
      </c>
      <c r="K1925" s="9" t="inlineStr">
        <is>
          <t>не начат</t>
        </is>
      </c>
      <c r="L1925" s="9" t="inlineStr">
        <is>
          <t>Spotlight / 11 класс / Module 8 · Travel / So / Neither / Nor (agreement) / So / Neither / Nor: So + aux + подлежащее — к утверждению</t>
        </is>
      </c>
    </row>
    <row r="1926">
      <c r="A1926" s="25" t="n">
        <v>11</v>
      </c>
      <c r="B1926" s="9" t="inlineStr">
        <is>
          <t>Module 8 · Travel</t>
        </is>
      </c>
      <c r="C1926" s="9" t="inlineStr">
        <is>
          <t>8c</t>
        </is>
      </c>
      <c r="D1926" s="9" t="inlineStr">
        <is>
          <t>So / Neither / Nor (agreement)</t>
        </is>
      </c>
      <c r="E1926" s="23" t="inlineStr">
        <is>
          <t>So / Neither / Nor: Neither/Nor + aux + подлежащее — к отрицанию</t>
        </is>
      </c>
      <c r="F1926" s="26" t="inlineStr">
        <is>
          <t>новое</t>
        </is>
      </c>
      <c r="G1926" s="9" t="inlineStr">
        <is>
          <t>Neither/Nor did James; NOT So didn't James</t>
        </is>
      </c>
      <c r="H1926" s="25" t="inlineStr">
        <is>
          <t>10+</t>
        </is>
      </c>
      <c r="I1926" s="9">
        <f>IFERROR(INDEX('Темы × классы'!$R:$R,MATCH(E1926,'Темы × классы'!$E:$E,0)),"")</f>
        <v/>
      </c>
      <c r="J1926" s="9">
        <f>IFERROR(INDEX('Темы × классы'!$S:$S,MATCH(E1926,'Темы × классы'!$E:$E,0))&amp;"","")</f>
        <v/>
      </c>
      <c r="K1926" s="9" t="inlineStr">
        <is>
          <t>не начат</t>
        </is>
      </c>
      <c r="L1926" s="9" t="inlineStr">
        <is>
          <t>Spotlight / 11 класс / Module 8 · Travel / So / Neither / Nor (agreement) / So / Neither / Nor: Neither/Nor + aux + подлежащее — к отрицанию</t>
        </is>
      </c>
    </row>
    <row r="1927">
      <c r="A1927" s="25" t="n">
        <v>11</v>
      </c>
      <c r="B1927" s="9" t="inlineStr">
        <is>
          <t>Module 8 · Travel</t>
        </is>
      </c>
      <c r="C1927" s="9" t="inlineStr">
        <is>
          <t>8c</t>
        </is>
      </c>
      <c r="D1927" s="9" t="inlineStr">
        <is>
          <t>Phrasal verbs</t>
        </is>
      </c>
      <c r="E1927" s="23" t="inlineStr">
        <is>
          <t>Phrasal verbs: check</t>
        </is>
      </c>
      <c r="F1927" s="25" t="inlineStr">
        <is>
          <t>повторение</t>
        </is>
      </c>
      <c r="G1927" s="9" t="inlineStr">
        <is>
          <t>check + частицы (English in Use 8c); конкретные частицы в доступных страницах не даны.</t>
        </is>
      </c>
      <c r="H1927" s="25" t="inlineStr">
        <is>
          <t>10+</t>
        </is>
      </c>
      <c r="I1927" s="9">
        <f>IFERROR(INDEX('Темы × классы'!$R:$R,MATCH(E1927,'Темы × классы'!$E:$E,0)),"")</f>
        <v/>
      </c>
      <c r="J1927" s="9">
        <f>IFERROR(INDEX('Темы × классы'!$S:$S,MATCH(E1927,'Темы × классы'!$E:$E,0))&amp;"","")</f>
        <v/>
      </c>
      <c r="K1927" s="9" t="inlineStr">
        <is>
          <t>не начат</t>
        </is>
      </c>
      <c r="L1927" s="9" t="inlineStr">
        <is>
          <t>Spotlight / 11 класс / Module 8 · Travel / Phrasal verbs / Phrasal verbs: check</t>
        </is>
      </c>
    </row>
    <row r="1928">
      <c r="A1928" s="25" t="n">
        <v>11</v>
      </c>
      <c r="B1928" s="9" t="inlineStr">
        <is>
          <t>Module 8 · Travel</t>
        </is>
      </c>
      <c r="C1928" s="9" t="inlineStr">
        <is>
          <t>8c</t>
        </is>
      </c>
      <c r="D1928" s="9" t="inlineStr">
        <is>
          <t>Dependent prepositions</t>
        </is>
      </c>
      <c r="E1928" s="23" t="inlineStr">
        <is>
          <t>Dependent prepositions</t>
        </is>
      </c>
      <c r="F1928" s="25" t="inlineStr">
        <is>
          <t>повторение</t>
        </is>
      </c>
      <c r="G1928" s="9" t="inlineStr">
        <is>
          <t>Dependent prepositions (English in Use 8c); конкретные сочетания в доступных страницах не даны.</t>
        </is>
      </c>
      <c r="H1928" s="25" t="inlineStr">
        <is>
          <t>10+</t>
        </is>
      </c>
      <c r="I1928" s="9">
        <f>IFERROR(INDEX('Темы × классы'!$R:$R,MATCH(E1928,'Темы × классы'!$E:$E,0)),"")</f>
        <v/>
      </c>
      <c r="J1928" s="9">
        <f>IFERROR(INDEX('Темы × классы'!$S:$S,MATCH(E1928,'Темы × классы'!$E:$E,0))&amp;"","")</f>
        <v/>
      </c>
      <c r="K1928" s="9" t="inlineStr">
        <is>
          <t>не начат</t>
        </is>
      </c>
      <c r="L1928" s="9" t="inlineStr">
        <is>
          <t>Spotlight / 11 класс / Module 8 · Travel / Dependent prepositions / Dependent prepositions</t>
        </is>
      </c>
    </row>
    <row r="1929">
      <c r="A1929" s="25" t="n">
        <v>11</v>
      </c>
      <c r="B1929" s="9" t="inlineStr">
        <is>
          <t>Module 8 · Travel</t>
        </is>
      </c>
      <c r="C1929" s="9" t="inlineStr">
        <is>
          <t>8b</t>
        </is>
      </c>
      <c r="D1929" s="9" t="inlineStr">
        <is>
          <t>Idioms &amp; collocations</t>
        </is>
      </c>
      <c r="E1929" s="23" t="inlineStr">
        <is>
          <t>Idioms &amp; collocations</t>
        </is>
      </c>
      <c r="F1929" s="25" t="inlineStr">
        <is>
          <t>повторение</t>
        </is>
      </c>
      <c r="G1929" s="9" t="inlineStr">
        <is>
          <t>Collocations related to travel (8b, airport &amp; air travel).</t>
        </is>
      </c>
      <c r="H1929" s="25" t="inlineStr">
        <is>
          <t>10+</t>
        </is>
      </c>
      <c r="I1929" s="9">
        <f>IFERROR(INDEX('Темы × классы'!$R:$R,MATCH(E1929,'Темы × классы'!$E:$E,0)),"")</f>
        <v/>
      </c>
      <c r="J1929" s="9">
        <f>IFERROR(INDEX('Темы × классы'!$S:$S,MATCH(E1929,'Темы × классы'!$E:$E,0))&amp;"","")</f>
        <v/>
      </c>
      <c r="K1929" s="9" t="inlineStr">
        <is>
          <t>не начат</t>
        </is>
      </c>
      <c r="L1929" s="9" t="inlineStr">
        <is>
          <t>Spotlight / 11 класс / Module 8 · Travel / Idioms &amp; collocations / Idioms &amp; collocations</t>
        </is>
      </c>
    </row>
  </sheetData>
  <autoFilter ref="A1:L1929"/>
  <conditionalFormatting sqref="I2:I1929">
    <cfRule type="cellIs" priority="1" operator="equal" dxfId="0">
      <formula>"есть"</formula>
    </cfRule>
    <cfRule type="cellIs" priority="2" operator="equal" dxfId="1">
      <formula>"нет"</formula>
    </cfRule>
  </conditionalFormatting>
  <dataValidations count="1">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showDropDown="0" showInputMessage="0" showErrorMessage="0" allowBlank="1" type="list">
      <formula1>"не начат,готов без видео,готов с видео,опубликован"</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4" customWidth="1" min="3" max="3"/>
    <col width="11" customWidth="1" min="4" max="4"/>
    <col width="11" customWidth="1" min="5" max="5"/>
    <col width="22" customWidth="1" min="6" max="6"/>
  </cols>
  <sheetData>
    <row r="1">
      <c r="A1" s="3" t="inlineStr">
        <is>
          <t>Группа</t>
        </is>
      </c>
      <c r="B1" s="3" t="inlineStr">
        <is>
          <t>Классы</t>
        </is>
      </c>
      <c r="C1" s="3" t="inlineStr">
        <is>
          <t>Подтем (уроков) нужно</t>
        </is>
      </c>
      <c r="D1" s="3" t="inlineStr">
        <is>
          <t>Видео есть</t>
        </is>
      </c>
      <c r="E1" s="3" t="inlineStr">
        <is>
          <t>Видео нет</t>
        </is>
      </c>
      <c r="F1" s="3" t="inlineStr">
        <is>
          <t>Уроков в папках (с повторами по классам)</t>
        </is>
      </c>
    </row>
    <row r="2">
      <c r="A2" s="22" t="inlineStr">
        <is>
          <t>7–9</t>
        </is>
      </c>
      <c r="B2" s="9" t="inlineStr">
        <is>
          <t>3</t>
        </is>
      </c>
      <c r="C2" s="9">
        <f>COUNTIF('Темы × классы'!P:P,"есть")+COUNTIF('Темы × классы'!P:P,"нет")</f>
        <v/>
      </c>
      <c r="D2" s="9">
        <f>COUNTIF('Темы × классы'!P:P,"есть")</f>
        <v/>
      </c>
      <c r="E2" s="9">
        <f>COUNTIF('Темы × классы'!P:P,"нет")</f>
        <v/>
      </c>
      <c r="F2" s="9">
        <f>COUNTIF('Папки уроков'!H:H,"7–9")</f>
        <v/>
      </c>
    </row>
    <row r="3">
      <c r="A3" s="25" t="inlineStr">
        <is>
          <t>10+</t>
        </is>
      </c>
      <c r="B3" s="9" t="inlineStr">
        <is>
          <t>4, 5, 6, 7, 8, 9, 10, 11</t>
        </is>
      </c>
      <c r="C3" s="9">
        <f>COUNTIF('Темы × классы'!R:R,"есть")+COUNTIF('Темы × классы'!R:R,"нет")</f>
        <v/>
      </c>
      <c r="D3" s="9">
        <f>COUNTIF('Темы × классы'!R:R,"есть")</f>
        <v/>
      </c>
      <c r="E3" s="9">
        <f>COUNTIF('Темы × классы'!R:R,"нет")</f>
        <v/>
      </c>
      <c r="F3" s="9">
        <f>COUNTIF('Папки уроков'!H:H,"10+")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2026-10-07T19:24:42Z</dcterms:created>
  <dcterms:modified xmlns:dcterms="http://purl.org/dc/terms/" xmlns:xsi="http://www.w3.org/2001/XMLSchema-instance" xsi:type="dcterms:W3CDTF">2026-10-07T19:24:45Z</dcterms:modified>
</cp:coreProperties>
</file>