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Как пользоваться" sheetId="1" state="visible" r:id="rId1"/>
    <sheet xmlns:r="http://schemas.openxmlformats.org/officeDocument/2006/relationships" name="Темы × классы" sheetId="2" state="visible" r:id="rId2"/>
    <sheet xmlns:r="http://schemas.openxmlformats.org/officeDocument/2006/relationships" name="Уроки" sheetId="3" state="visible" r:id="rId3"/>
    <sheet xmlns:r="http://schemas.openxmlformats.org/officeDocument/2006/relationships" name="Папки уроков" sheetId="4" state="visible" r:id="rId4"/>
    <sheet xmlns:r="http://schemas.openxmlformats.org/officeDocument/2006/relationships" name="Пересечения" sheetId="5" state="visible" r:id="rId5"/>
    <sheet xmlns:r="http://schemas.openxmlformats.org/officeDocument/2006/relationships" name="Кандидаты в вебинары" sheetId="6" state="visible" r:id="rId6"/>
    <sheet xmlns:r="http://schemas.openxmlformats.org/officeDocument/2006/relationships" name="Итоги" sheetId="7" state="visible" r:id="rId7"/>
  </sheets>
  <definedNames>
    <definedName name="_xlnm._FilterDatabase" localSheetId="1" hidden="1">'Темы × классы'!$A$1:$T$647</definedName>
    <definedName name="_xlnm._FilterDatabase" localSheetId="2" hidden="1">'Уроки'!$A$1:$K$741</definedName>
    <definedName name="_xlnm._FilterDatabase" localSheetId="3" hidden="1">'Папки уроков'!$A$1:$L$1929</definedName>
    <definedName name="_xlnm._FilterDatabase" localSheetId="5" hidden="1">'Кандидаты в вебинары'!$A$1:$G$103</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sz val="14"/>
    </font>
    <font>
      <b val="1"/>
      <color rgb="00FFFFFF"/>
    </font>
    <font>
      <b val="1"/>
      <color rgb="00000000"/>
    </font>
    <font>
      <b val="1"/>
    </font>
    <font>
      <color rgb="00888888"/>
    </font>
  </fonts>
  <fills count="13">
    <fill>
      <patternFill/>
    </fill>
    <fill>
      <patternFill patternType="gray125"/>
    </fill>
    <fill>
      <patternFill patternType="solid">
        <fgColor rgb="002F5597"/>
      </patternFill>
    </fill>
    <fill>
      <patternFill patternType="solid">
        <fgColor rgb="0092D050"/>
      </patternFill>
    </fill>
    <fill>
      <patternFill patternType="solid">
        <fgColor rgb="00F4B183"/>
      </patternFill>
    </fill>
    <fill>
      <patternFill patternType="solid">
        <fgColor rgb="00FCE4D6"/>
      </patternFill>
    </fill>
    <fill>
      <patternFill patternType="solid">
        <fgColor rgb="00DDEBF7"/>
      </patternFill>
    </fill>
    <fill>
      <patternFill patternType="solid">
        <fgColor rgb="00FF7C80"/>
      </patternFill>
    </fill>
    <fill>
      <patternFill patternType="solid">
        <fgColor rgb="00FFFF00"/>
      </patternFill>
    </fill>
    <fill>
      <patternFill patternType="solid">
        <fgColor rgb="00BDD7EE"/>
      </patternFill>
    </fill>
    <fill>
      <patternFill patternType="solid">
        <fgColor rgb="00EDEDED"/>
      </patternFill>
    </fill>
    <fill>
      <patternFill patternType="solid">
        <fgColor rgb="009DC3E6"/>
      </patternFill>
    </fill>
    <fill>
      <patternFill patternType="solid">
        <fgColor rgb="00F8CBAD"/>
      </patternFill>
    </fill>
  </fills>
  <borders count="3">
    <border>
      <left/>
      <right/>
      <top/>
      <bottom/>
      <diagonal/>
    </border>
    <border>
      <left style="thin">
        <color rgb="00BBBBBB"/>
      </left>
      <right style="thin">
        <color rgb="00BBBBBB"/>
      </right>
      <top style="thin">
        <color rgb="00BBBBBB"/>
      </top>
      <bottom style="thin">
        <color rgb="00BBBBBB"/>
      </bottom>
    </border>
    <border>
      <left style="thin">
        <color rgb="00BBBBBB"/>
      </left>
      <right style="thin">
        <color rgb="00BBBBBB"/>
      </right>
      <top style="medium">
        <color rgb="00555555"/>
      </top>
      <bottom style="thin">
        <color rgb="00BBBBBB"/>
      </bottom>
    </border>
  </borders>
  <cellStyleXfs count="1">
    <xf numFmtId="0" fontId="0" fillId="0" borderId="0"/>
  </cellStyleXfs>
  <cellXfs count="43">
    <xf numFmtId="0" fontId="0" fillId="0" borderId="0" pivotButton="0" quotePrefix="0" xfId="0"/>
    <xf numFmtId="0" fontId="1" fillId="0" borderId="0" pivotButton="0" quotePrefix="0" xfId="0"/>
    <xf numFmtId="0" fontId="0" fillId="0" borderId="0" applyAlignment="1" pivotButton="0" quotePrefix="0" xfId="0">
      <alignment wrapText="1"/>
    </xf>
    <xf numFmtId="0" fontId="2" fillId="2" borderId="1" applyAlignment="1" pivotButton="0" quotePrefix="0" xfId="0">
      <alignment horizontal="center" vertical="center" wrapText="1"/>
    </xf>
    <xf numFmtId="0" fontId="0" fillId="0" borderId="2" applyAlignment="1" pivotButton="0" quotePrefix="0" xfId="0">
      <alignment vertical="top" wrapText="1"/>
    </xf>
    <xf numFmtId="0" fontId="3" fillId="0" borderId="2" applyAlignment="1" pivotButton="0" quotePrefix="0" xfId="0">
      <alignment vertical="top" wrapText="1"/>
    </xf>
    <xf numFmtId="0" fontId="0" fillId="3" borderId="2" applyAlignment="1" pivotButton="0" quotePrefix="0" xfId="0">
      <alignment vertical="top" wrapText="1"/>
    </xf>
    <xf numFmtId="0" fontId="4" fillId="4" borderId="2" applyAlignment="1" pivotButton="0" quotePrefix="0" xfId="0">
      <alignment horizontal="center" vertical="top" wrapText="1"/>
    </xf>
    <xf numFmtId="0" fontId="0" fillId="5" borderId="2" applyAlignment="1" pivotButton="0" quotePrefix="0" xfId="0">
      <alignment horizontal="center" vertical="top" wrapText="1"/>
    </xf>
    <xf numFmtId="0" fontId="0" fillId="6" borderId="2" applyAlignment="1" pivotButton="0" quotePrefix="0" xfId="0">
      <alignment horizontal="center" vertical="top" wrapText="1"/>
    </xf>
    <xf numFmtId="0" fontId="0" fillId="0" borderId="2" applyAlignment="1" pivotButton="0" quotePrefix="0" xfId="0">
      <alignment horizontal="center" vertical="top"/>
    </xf>
    <xf numFmtId="0" fontId="0" fillId="0" borderId="1" applyAlignment="1" pivotButton="0" quotePrefix="0" xfId="0">
      <alignment vertical="top" wrapText="1"/>
    </xf>
    <xf numFmtId="0" fontId="5" fillId="0" borderId="1" applyAlignment="1" pivotButton="0" quotePrefix="0" xfId="0">
      <alignment vertical="top" wrapText="1"/>
    </xf>
    <xf numFmtId="0" fontId="0" fillId="7" borderId="1" applyAlignment="1" pivotButton="0" quotePrefix="0" xfId="0">
      <alignment vertical="top" wrapText="1"/>
    </xf>
    <xf numFmtId="0" fontId="4" fillId="4" borderId="1" applyAlignment="1" pivotButton="0" quotePrefix="0" xfId="0">
      <alignment horizontal="center" vertical="top" wrapText="1"/>
    </xf>
    <xf numFmtId="0" fontId="0" fillId="5" borderId="1" applyAlignment="1" pivotButton="0" quotePrefix="0" xfId="0">
      <alignment horizontal="center" vertical="top" wrapText="1"/>
    </xf>
    <xf numFmtId="0" fontId="0" fillId="6" borderId="1" applyAlignment="1" pivotButton="0" quotePrefix="0" xfId="0">
      <alignment horizontal="center" vertical="top" wrapText="1"/>
    </xf>
    <xf numFmtId="0" fontId="0" fillId="0" borderId="1" applyAlignment="1" pivotButton="0" quotePrefix="0" xfId="0">
      <alignment horizontal="center" vertical="top"/>
    </xf>
    <xf numFmtId="0" fontId="0" fillId="8" borderId="1" applyAlignment="1" pivotButton="0" quotePrefix="0" xfId="0">
      <alignment vertical="top" wrapText="1"/>
    </xf>
    <xf numFmtId="0" fontId="0" fillId="9" borderId="1" applyAlignment="1" pivotButton="0" quotePrefix="0" xfId="0">
      <alignment horizontal="center" vertical="top" wrapText="1"/>
    </xf>
    <xf numFmtId="0" fontId="0" fillId="10" borderId="1" applyAlignment="1" pivotButton="0" quotePrefix="0" xfId="0">
      <alignment horizontal="center" vertical="top"/>
    </xf>
    <xf numFmtId="0" fontId="0" fillId="10" borderId="1" applyAlignment="1" pivotButton="0" quotePrefix="0" xfId="0">
      <alignment vertical="top" wrapText="1"/>
    </xf>
    <xf numFmtId="0" fontId="0" fillId="3" borderId="1" applyAlignment="1" pivotButton="0" quotePrefix="0" xfId="0">
      <alignment vertical="top" wrapText="1"/>
    </xf>
    <xf numFmtId="0" fontId="4" fillId="11" borderId="1" applyAlignment="1" pivotButton="0" quotePrefix="0" xfId="0">
      <alignment horizontal="center" vertical="top" wrapText="1"/>
    </xf>
    <xf numFmtId="0" fontId="0" fillId="7" borderId="2" applyAlignment="1" pivotButton="0" quotePrefix="0" xfId="0">
      <alignment vertical="top" wrapText="1"/>
    </xf>
    <xf numFmtId="0" fontId="0" fillId="12" borderId="1" applyAlignment="1" pivotButton="0" quotePrefix="0" xfId="0">
      <alignment horizontal="center" vertical="top" wrapText="1"/>
    </xf>
    <xf numFmtId="0" fontId="0" fillId="8" borderId="2" applyAlignment="1" pivotButton="0" quotePrefix="0" xfId="0">
      <alignment vertical="top" wrapText="1"/>
    </xf>
    <xf numFmtId="0" fontId="4" fillId="11" borderId="2" applyAlignment="1" pivotButton="0" quotePrefix="0" xfId="0">
      <alignment horizontal="center" vertical="top" wrapText="1"/>
    </xf>
    <xf numFmtId="0" fontId="0" fillId="10" borderId="2" applyAlignment="1" pivotButton="0" quotePrefix="0" xfId="0">
      <alignment horizontal="center" vertical="top"/>
    </xf>
    <xf numFmtId="0" fontId="0" fillId="10" borderId="2" applyAlignment="1" pivotButton="0" quotePrefix="0" xfId="0">
      <alignment vertical="top" wrapText="1"/>
    </xf>
    <xf numFmtId="0" fontId="0" fillId="9" borderId="2" applyAlignment="1" pivotButton="0" quotePrefix="0" xfId="0">
      <alignment horizontal="center" vertical="top" wrapText="1"/>
    </xf>
    <xf numFmtId="0" fontId="4" fillId="5" borderId="1" applyAlignment="1" pivotButton="0" quotePrefix="0" xfId="0">
      <alignment vertical="top" wrapText="1"/>
    </xf>
    <xf numFmtId="0" fontId="0" fillId="5" borderId="1" applyAlignment="1" pivotButton="0" quotePrefix="0" xfId="0">
      <alignment vertical="top" wrapText="1"/>
    </xf>
    <xf numFmtId="0" fontId="4" fillId="3" borderId="1" applyAlignment="1" pivotButton="0" quotePrefix="0" xfId="0">
      <alignment vertical="top" wrapText="1"/>
    </xf>
    <xf numFmtId="0" fontId="4" fillId="8" borderId="1" applyAlignment="1" pivotButton="0" quotePrefix="0" xfId="0">
      <alignment vertical="top" wrapText="1"/>
    </xf>
    <xf numFmtId="0" fontId="4" fillId="7" borderId="1" applyAlignment="1" pivotButton="0" quotePrefix="0" xfId="0">
      <alignment vertical="top" wrapText="1"/>
    </xf>
    <xf numFmtId="0" fontId="4" fillId="6" borderId="1" applyAlignment="1" pivotButton="0" quotePrefix="0" xfId="0">
      <alignment vertical="top" wrapText="1"/>
    </xf>
    <xf numFmtId="0" fontId="0" fillId="6" borderId="1" applyAlignment="1" pivotButton="0" quotePrefix="0" xfId="0">
      <alignment vertical="top" wrapText="1"/>
    </xf>
    <xf numFmtId="0" fontId="0" fillId="4" borderId="1" applyAlignment="1" pivotButton="0" quotePrefix="0" xfId="0">
      <alignment vertical="top" wrapText="1"/>
    </xf>
    <xf numFmtId="0" fontId="0" fillId="12" borderId="1" applyAlignment="1" pivotButton="0" quotePrefix="0" xfId="0">
      <alignment vertical="top" wrapText="1"/>
    </xf>
    <xf numFmtId="0" fontId="0" fillId="11" borderId="1" applyAlignment="1" pivotButton="0" quotePrefix="0" xfId="0">
      <alignment vertical="top" wrapText="1"/>
    </xf>
    <xf numFmtId="0" fontId="0" fillId="9" borderId="1" applyAlignment="1" pivotButton="0" quotePrefix="0" xfId="0">
      <alignment vertical="top" wrapText="1"/>
    </xf>
    <xf numFmtId="0" fontId="4" fillId="0" borderId="1" applyAlignment="1" pivotButton="0" quotePrefix="0" xfId="0">
      <alignment vertical="top" wrapText="1"/>
    </xf>
  </cellXfs>
  <cellStyles count="1">
    <cellStyle name="Normal" xfId="0" builtinId="0" hidden="0"/>
  </cellStyles>
  <dxfs count="4">
    <dxf>
      <fill>
        <patternFill patternType="solid">
          <fgColor rgb="0092D050"/>
        </patternFill>
      </fill>
    </dxf>
    <dxf>
      <fill>
        <patternFill patternType="solid">
          <fgColor rgb="00FF7C80"/>
        </patternFill>
      </fill>
    </dxf>
    <dxf>
      <fill>
        <patternFill patternType="solid">
          <fgColor rgb="00FFC000"/>
        </patternFill>
      </fill>
    </dxf>
    <dxf>
      <fill>
        <patternFill patternType="solid">
          <fgColor rgb="00FFFF0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comments/comment1.xml><?xml version="1.0" encoding="utf-8"?>
<comments xmlns="http://schemas.openxmlformats.org/spreadsheetml/2006/main">
  <authors>
    <author>Spotlight</author>
  </authors>
  <commentList>
    <comment ref="G2" authorId="0" shapeId="0">
      <text>
        <t>М4: все лица: worked</t>
      </text>
    </comment>
    <comment ref="G3" authorId="0" shapeId="0">
      <text>
        <t>М4: did not/didn't + V</t>
      </text>
    </comment>
    <comment ref="G4" authorId="0" shapeId="0">
      <text>
        <t>М4: Did … work?</t>
      </text>
    </comment>
    <comment ref="G6" authorId="0" shapeId="0">
      <text>
        <t>М4: danced, studied, travelled, planned</t>
      </text>
    </comment>
    <comment ref="I6" authorId="0" shapeId="0">
      <text>
        <t>М9 (9b): liked, studied, stopped</t>
      </text>
    </comment>
    <comment ref="J6" authorId="0" shapeId="0">
      <text>
        <t>М7 (7a): + travel – travelled</t>
      </text>
    </comment>
    <comment ref="K6" authorId="0" shapeId="0">
      <text>
        <t>М2: loved, tried, dropped, cancelled</t>
      </text>
    </comment>
    <comment ref="L6" authorId="0" shapeId="0">
      <text>
        <t>М1 (1c): новое: гласная + y + -ed (stay – stayed)</t>
      </text>
    </comment>
    <comment ref="G7" authorId="0" shapeId="0">
      <text>
        <t>М4: washed /t/, played /d/, wanted /ɪd/</t>
      </text>
    </comment>
    <comment ref="G8" authorId="0" shapeId="0">
      <text>
        <t>М5: 8 глаголов: say–said, tell–told, go–went, come–came, see–saw, find–found, get–got, have–had (+ make–made)</t>
      </text>
    </comment>
    <comment ref="H8" authorId="0" shapeId="0">
      <text>
        <t>М7: 4 примера: go, see, make, have</t>
      </text>
    </comment>
    <comment ref="I8" authorId="0" shapeId="0">
      <text>
        <t>М9 (9c): таблица ≈70 глаголов (V1–V2–V3)</t>
      </text>
    </comment>
    <comment ref="J8" authorId="0" shapeId="0">
      <text>
        <t>М7 (7b): таблица ≈80 глаголов (V1–V2), новые: beat, bite, blow, burn, fight, grow, hit, hold, throw…</t>
      </text>
    </comment>
    <comment ref="N8" authorId="0" shapeId="0">
      <text>
        <t>М5 (5c): по таблице GR20</t>
      </text>
    </comment>
    <comment ref="G9" authorId="0" shapeId="0">
      <text>
        <t>М5: didn't see</t>
      </text>
    </comment>
    <comment ref="G10" authorId="0" shapeId="0">
      <text>
        <t>М5: Did he go …?</t>
      </text>
    </comment>
    <comment ref="G12" authorId="0" shapeId="0">
      <text>
        <t>М4: yesterday, last week/month/year, two days ago, in 1975</t>
      </text>
    </comment>
    <comment ref="I12" authorId="0" shapeId="0">
      <text>
        <t>М9 (9b): yesterday, last Monday, two days ago</t>
      </text>
    </comment>
    <comment ref="J12" authorId="0" shapeId="0">
      <text>
        <t>М7 (7a): мы знаем, когда: He left yesterday</t>
      </text>
    </comment>
    <comment ref="K12" authorId="0" shapeId="0">
      <text>
        <t>М2: новые сигнальные слова: the other day, in 2006</t>
      </text>
    </comment>
    <comment ref="L12" authorId="0" shapeId="0">
      <text>
        <t>М1 (1c): yesterday morning, last night</t>
      </text>
    </comment>
    <comment ref="N12" authorId="0" shapeId="0">
      <text>
        <t>М5 (5c): завершённые действия</t>
      </text>
    </comment>
    <comment ref="L13" authorId="0" shapeId="0">
      <text>
        <t>М1 (1c): с указанием точного времени</t>
      </text>
    </comment>
    <comment ref="N14" authorId="0" shapeId="0">
      <text>
        <t>М5 (5c): прошлые привычки</t>
      </text>
    </comment>
    <comment ref="L15" authorId="0" shapeId="0">
      <text>
        <t>М1 (1c): came home, changed and went out</t>
      </text>
    </comment>
    <comment ref="O16" authorId="0" shapeId="0">
      <text>
        <t>М1 (1c): Henry James wrote many novels</t>
      </text>
    </comment>
    <comment ref="G17" authorId="0" shapeId="0">
      <text>
        <t>М7: полная и краткая: I am/I'm playing</t>
      </text>
    </comment>
    <comment ref="J17" authorId="0" shapeId="0">
      <text>
        <t>М5 (5a): сокращённые формы I'm, you're, he's…</t>
      </text>
    </comment>
    <comment ref="G18" authorId="0" shapeId="0">
      <text>
        <t>М7: am not, isn't, aren't</t>
      </text>
    </comment>
    <comment ref="G19" authorId="0" shapeId="0">
      <text>
        <t>М7: Am I / Is he / Are you …?</t>
      </text>
    </comment>
    <comment ref="G20" authorId="0" shapeId="0">
      <text>
        <t>М7: все лица; -ing-глагол опускается</t>
      </text>
    </comment>
    <comment ref="I20" authorId="0" shapeId="0">
      <text>
        <t>М6 (6b): в т.ч. No, you're not</t>
      </text>
    </comment>
    <comment ref="I21" authorId="0" shapeId="0">
      <text>
        <t>М6 (6b): -e опускается; удвоение (run – running); -l удваивается; -ie → y (lie – lying)</t>
      </text>
    </comment>
    <comment ref="L21" authorId="0" shapeId="0">
      <text>
        <t>М1 (1c): новое: удвоение в ударном слоге (begin – beginning), но open – opening</t>
      </text>
    </comment>
    <comment ref="M21" authorId="0" shapeId="0">
      <text>
        <t>М1 (1c): occur – occurring, discover – discovering</t>
      </text>
    </comment>
    <comment ref="G22" authorId="0" shapeId="0">
      <text>
        <t>М7: now, at the moment</t>
      </text>
    </comment>
    <comment ref="H22" authorId="0" shapeId="0">
      <text>
        <t>М1: now, at the moment</t>
      </text>
    </comment>
    <comment ref="I22" authorId="0" shapeId="0">
      <text>
        <t>М6 (6b): now</t>
      </text>
    </comment>
    <comment ref="J22" authorId="0" shapeId="0">
      <text>
        <t>М5 (5b): now, at the moment, still</t>
      </text>
    </comment>
    <comment ref="I23" authorId="0" shapeId="0">
      <text>
        <t>М6 (6b): действие в настоящий период, не обязательно в момент речи</t>
      </text>
    </comment>
    <comment ref="J23" authorId="0" shapeId="0">
      <text>
        <t>М5 (5b): сигнальные слова: these days, at present</t>
      </text>
    </comment>
    <comment ref="K23" authorId="0" shapeId="0">
      <text>
        <t>М1: nowadays, today</t>
      </text>
    </comment>
    <comment ref="M23" authorId="0" shapeId="0">
      <text>
        <t>М1 (1c): today, these days</t>
      </text>
    </comment>
    <comment ref="J24" authorId="0" shapeId="0">
      <text>
        <t>М5 (5b): I'm playing tennis on Saturday; tonight
М10 (10b): tonight</t>
      </text>
    </comment>
    <comment ref="K24" authorId="0" shapeId="0">
      <text>
        <t>М1: this afternoon</t>
      </text>
    </comment>
    <comment ref="L24" authorId="0" shapeId="0">
      <text>
        <t>М1 (1c): известны время и место; tomorrow, next month</t>
      </text>
    </comment>
    <comment ref="L25" authorId="0" shapeId="0">
      <text>
        <t>М1 (1c): I'm preparing for my exams this month</t>
      </text>
    </comment>
    <comment ref="K26" authorId="0" shapeId="0">
      <text>
        <t>М1: getting more and more beautiful</t>
      </text>
    </comment>
    <comment ref="L26" authorId="0" shapeId="0">
      <text>
        <t>М1 (1c): Her Spanish is improving</t>
      </text>
    </comment>
    <comment ref="M26" authorId="0" shapeId="0">
      <text>
        <t>М1 (1c): getting thinner and thinner</t>
      </text>
    </comment>
    <comment ref="K27" authorId="0" shapeId="0">
      <text>
        <t>М1: She is always losing her keys</t>
      </text>
    </comment>
    <comment ref="L27" authorId="0" shapeId="0">
      <text>
        <t>М1 (1c): + constantly, continually</t>
      </text>
    </comment>
    <comment ref="G28" authorId="0" shapeId="0">
      <text>
        <t>М3: все лица: I like, he/she/it likes</t>
      </text>
    </comment>
    <comment ref="H28" authorId="0" shapeId="0">
      <text>
        <t>М2: все лица</t>
      </text>
    </comment>
    <comment ref="I28" authorId="0" shapeId="0">
      <text>
        <t>М5 (5a): + правила 3 л.</t>
      </text>
    </comment>
    <comment ref="M28" authorId="0" shapeId="0">
      <text>
        <t>М1 (1c): только V/V-s; −/? не расписаны</t>
      </text>
    </comment>
    <comment ref="N28" authorId="0" shapeId="0">
      <text>
        <t>М1 (1c): только V/V-s</t>
      </text>
    </comment>
    <comment ref="O28" authorId="0" shapeId="0">
      <text>
        <t>М1 (1c): только V/V-s</t>
      </text>
    </comment>
    <comment ref="G29" authorId="0" shapeId="0">
      <text>
        <t>М3: do not/don't, does not/doesn't</t>
      </text>
    </comment>
    <comment ref="H29" authorId="0" shapeId="0">
      <text>
        <t>М2: все лица</t>
      </text>
    </comment>
    <comment ref="I29" authorId="0" shapeId="0">
      <text>
        <t>М5 (5b): don't/doesn't, все лица</t>
      </text>
    </comment>
    <comment ref="G30" authorId="0" shapeId="0">
      <text>
        <t>М3: Do I/you/we/they …? Does he/she/it …?</t>
      </text>
    </comment>
    <comment ref="H30" authorId="0" shapeId="0">
      <text>
        <t>М2: все лица</t>
      </text>
    </comment>
    <comment ref="I30" authorId="0" shapeId="0">
      <text>
        <t>М5 (5b): Do/Does …?</t>
      </text>
    </comment>
    <comment ref="G31" authorId="0" shapeId="0">
      <text>
        <t>М3: все лица</t>
      </text>
    </comment>
    <comment ref="H31" authorId="0" shapeId="0">
      <text>
        <t>М2: все лица</t>
      </text>
    </comment>
    <comment ref="I31" authorId="0" shapeId="0">
      <text>
        <t>М5 (5b): все лица</t>
      </text>
    </comment>
    <comment ref="J31" authorId="0" shapeId="0">
      <text>
        <t>М4 (4b): все лица</t>
      </text>
    </comment>
    <comment ref="G32" authorId="0" shapeId="0">
      <text>
        <t>М8: +s; -ss/-sh/-ch/-x/-o +es; согласная+y → -ies; play – plays</t>
      </text>
    </comment>
    <comment ref="I32" authorId="0" shapeId="0">
      <text>
        <t>М5 (5a): carry – carries, play – plays</t>
      </text>
    </comment>
    <comment ref="L32" authorId="0" shapeId="0">
      <text>
        <t>М1 (1c): says, fixes</t>
      </text>
    </comment>
    <comment ref="O32" authorId="0" shapeId="0">
      <text>
        <t>М1 (1c): fry – fries, pay – pays</t>
      </text>
    </comment>
    <comment ref="G33" authorId="0" shapeId="0">
      <text>
        <t>М8: /s/ eats, /ɪz/ watches, /z/ swims</t>
      </text>
    </comment>
    <comment ref="G34" authorId="0" shapeId="0">
      <text>
        <t>М3: повседневные действия и привычки; сигнальных слов нет
М8: I get up at 8 every day</t>
      </text>
    </comment>
    <comment ref="H34" authorId="0" shapeId="0">
      <text>
        <t>М2: сигнальные слова: every day/week…, in the morning, on Monday, once/twice a week</t>
      </text>
    </comment>
    <comment ref="I34" authorId="0" shapeId="0">
      <text>
        <t>М5 (5a): новое: наречия частотности never, sometimes, often, usually, always; at night</t>
      </text>
    </comment>
    <comment ref="J34" authorId="0" shapeId="0">
      <text>
        <t>М4 (4a): новые сигнальные слова: seldom, rarely</t>
      </text>
    </comment>
    <comment ref="K34" authorId="0" shapeId="0">
      <text>
        <t>М1: always, usually, at the weekend, on Fridays</t>
      </text>
    </comment>
    <comment ref="L34" authorId="0" shapeId="0">
      <text>
        <t>М1 (1c): every day/month/hour…, usually, often</t>
      </text>
    </comment>
    <comment ref="M34" authorId="0" shapeId="0">
      <text>
        <t>М1 (1c): every hour/day…, at the weekend</t>
      </text>
    </comment>
    <comment ref="N34" authorId="0" shapeId="0">
      <text>
        <t>М1 (1c): распорядок дня, повторяющиеся действия, привычки</t>
      </text>
    </comment>
    <comment ref="O34" authorId="0" shapeId="0">
      <text>
        <t>М1 (1c): daily routines, повторяющиеся действия, привычки</t>
      </text>
    </comment>
    <comment ref="J35" authorId="0" shapeId="0">
      <text>
        <t>М4 (4a): She likes sweets</t>
      </text>
    </comment>
    <comment ref="K35" authorId="0" shapeId="0">
      <text>
        <t>М1: Mark lives in New Zealand</t>
      </text>
    </comment>
    <comment ref="L35" authorId="0" shapeId="0">
      <text>
        <t>М1 (1c): He lives in Moscow</t>
      </text>
    </comment>
    <comment ref="M35" authorId="0" shapeId="0">
      <text>
        <t>М1 (1c): He teaches Law at the university</t>
      </text>
    </comment>
    <comment ref="I36" authorId="0" shapeId="0">
      <text>
        <t>М5 (5a): The sun rises in the east</t>
      </text>
    </comment>
    <comment ref="J36" authorId="0" shapeId="0">
      <text>
        <t>М4 (4a): The sun sets in the west</t>
      </text>
    </comment>
    <comment ref="K36" authorId="0" shapeId="0">
      <text>
        <t>М1: The Moon goes round the Earth</t>
      </text>
    </comment>
    <comment ref="K37" authorId="0" shapeId="0">
      <text>
        <t>М1: The train leaves at 6:00 am</t>
      </text>
    </comment>
    <comment ref="L37" authorId="0" shapeId="0">
      <text>
        <t>М1 (1c): в т.ч. запланированное будущее: The train leaves at 9</t>
      </text>
    </comment>
    <comment ref="M37" authorId="0" shapeId="0">
      <text>
        <t>М1 (1c): The play starts at 8:00</t>
      </text>
    </comment>
    <comment ref="N37" authorId="0" shapeId="0">
      <text>
        <t>М1 (1c): значение будущего</t>
      </text>
    </comment>
    <comment ref="O37" authorId="0" shapeId="0">
      <text>
        <t>М1 (1c): The play starts at 8:00</t>
      </text>
    </comment>
    <comment ref="K38" authorId="0" shapeId="0">
      <text>
        <t>М1: I love skiing</t>
      </text>
    </comment>
    <comment ref="K39" authorId="0" shapeId="0">
      <text>
        <t>М1: спортивные комментарии, обзоры, повествования</t>
      </text>
    </comment>
    <comment ref="M39" authorId="0" shapeId="0">
      <text>
        <t>М1 (1c): Meryl Streep acts beautifully</t>
      </text>
    </comment>
    <comment ref="M40" authorId="0" shapeId="0">
      <text>
        <t>М1 (1c): Here comes Elaine!</t>
      </text>
    </comment>
    <comment ref="H42" authorId="0" shapeId="0">
      <text>
        <t>М8: все лица, полная и краткая (I'll)</t>
      </text>
    </comment>
    <comment ref="I42" authorId="0" shapeId="0">
      <text>
        <t>М10 (10b): все лица, 'll</t>
      </text>
    </comment>
    <comment ref="K42" authorId="0" shapeId="0">
      <text>
        <t>М5: will + инфинитив без to; формы −/? не даны</t>
      </text>
    </comment>
    <comment ref="L42" authorId="0" shapeId="0">
      <text>
        <t>М1 (1c): will + V</t>
      </text>
    </comment>
    <comment ref="H43" authorId="0" shapeId="0">
      <text>
        <t>М8: will not / won't</t>
      </text>
    </comment>
    <comment ref="I43" authorId="0" shapeId="0">
      <text>
        <t>М10 (10b): won't</t>
      </text>
    </comment>
    <comment ref="H44" authorId="0" shapeId="0">
      <text>
        <t>М8: Will I/you…? + Yes, I will / No, I won't</t>
      </text>
    </comment>
    <comment ref="I44" authorId="0" shapeId="0">
      <text>
        <t>М10 (10b): краткие ответы для всех лиц</t>
      </text>
    </comment>
    <comment ref="H45" authorId="0" shapeId="0">
      <text>
        <t>М8: tomorrow, next week/month/year, soon</t>
      </text>
    </comment>
    <comment ref="I45" authorId="0" shapeId="0">
      <text>
        <t>М10 (10b): добавлены think, believe, expect, be sure, be afraid</t>
      </text>
    </comment>
    <comment ref="K45" authorId="0" shapeId="0">
      <text>
        <t>М5: добавлены probably, certainly, perhaps</t>
      </text>
    </comment>
    <comment ref="L45" authorId="0" shapeId="0">
      <text>
        <t>М1 (1c): добавлены hope, imagine, maybe</t>
      </text>
    </comment>
    <comment ref="M45" authorId="0" shapeId="0">
      <text>
        <t>М4 (4c): hope, think, believe, expect, imagine; probably, perhaps, maybe</t>
      </text>
    </comment>
    <comment ref="N45" authorId="0" shapeId="0">
      <text>
        <t>М3 (3c): hope, think, believe, expect, imagine; I'm sure, I'm afraid; probably, perhaps</t>
      </text>
    </comment>
    <comment ref="I46" authorId="0" shapeId="0">
      <text>
        <t>М10 (10b): I'll go to sleep</t>
      </text>
    </comment>
    <comment ref="O46" authorId="0" shapeId="0">
      <text>
        <t>М1 (1c): on-the-spot decisions</t>
      </text>
    </comment>
    <comment ref="I48" authorId="0" shapeId="0">
      <text>
        <t>М10 (10b): Will you open the door…?</t>
      </text>
    </comment>
    <comment ref="K49" authorId="0" shapeId="0">
      <text>
        <t>М5: угрозы, предупреждения</t>
      </text>
    </comment>
    <comment ref="N49" authorId="0" shapeId="0">
      <text>
        <t>М3 (3c): угрозы, предупреждения</t>
      </text>
    </comment>
    <comment ref="K50" authorId="0" shapeId="0">
      <text>
        <t>М5: надежды, предложения</t>
      </text>
    </comment>
    <comment ref="N50" authorId="0" shapeId="0">
      <text>
        <t>М3 (3c): добавлены страхи, комментарии</t>
      </text>
    </comment>
    <comment ref="K51" authorId="0" shapeId="0">
      <text>
        <t>М5: Alex will be three years old in April; маркеры tomorrow, tonight, in a week…</t>
      </text>
    </comment>
    <comment ref="N52" authorId="0" shapeId="0">
      <text>
        <t>М3 (3c): Maybe I'll…</t>
      </text>
    </comment>
    <comment ref="O52" authorId="0" shapeId="0">
      <text>
        <t>М1 (1c): Maybe I'll go…</t>
      </text>
    </comment>
    <comment ref="L53" authorId="0" shapeId="0">
      <text>
        <t>М1 (1c): Shall we go to the museum today?</t>
      </text>
    </comment>
    <comment ref="N53" authorId="0" shapeId="0">
      <text>
        <t>М3 (3c): предложения, советы</t>
      </text>
    </comment>
    <comment ref="O53" authorId="0" shapeId="0">
      <text>
        <t>М1 (1c): предложения, помощь, совет</t>
      </text>
    </comment>
    <comment ref="H54" authorId="0" shapeId="0">
      <text>
        <t>М4: регулярные действия vs момент речи</t>
      </text>
    </comment>
    <comment ref="I54" authorId="0" shapeId="0">
      <text>
        <t>М7 (7b): + привычки</t>
      </text>
    </comment>
    <comment ref="J54" authorId="0" shapeId="0">
      <text>
        <t>М9 (9b): повторение 6b</t>
      </text>
    </comment>
    <comment ref="K54" authorId="0" shapeId="0">
      <text>
        <t>М1: через списки значений</t>
      </text>
    </comment>
    <comment ref="I55" authorId="0" shapeId="0">
      <text>
        <t>М7 (7b): состояния/постоянные действия vs действия временного характера</t>
      </text>
    </comment>
    <comment ref="J55" authorId="0" shapeId="0">
      <text>
        <t>М9 (9b): повторение 6b</t>
      </text>
    </comment>
    <comment ref="L55" authorId="0" shapeId="0">
      <text>
        <t>М1 (1c): Maria lives in Milan / She's working as a waitress this summer</t>
      </text>
    </comment>
    <comment ref="K56" authorId="0" shapeId="0">
      <text>
        <t>М1: через списки значений, без явного правила</t>
      </text>
    </comment>
    <comment ref="L56" authorId="0" shapeId="0">
      <text>
        <t>М1 (1c): Tom is riding a bike to work these days</t>
      </text>
    </comment>
    <comment ref="L57" authorId="0" shapeId="0">
      <text>
        <t>М1 (1c): We are leaving on Monday / The train leaves at 9</t>
      </text>
    </comment>
    <comment ref="H58" authorId="0" shapeId="0">
      <text>
        <t>М8: все лица (swim); am/is/are going to</t>
      </text>
    </comment>
    <comment ref="J58" authorId="0" shapeId="0">
      <text>
        <t>М10 (10a): все лица, краткие формы I'm/you're…</t>
      </text>
    </comment>
    <comment ref="L58" authorId="0" shapeId="0">
      <text>
        <t>М1 (1c): формула to be + going to + V</t>
      </text>
    </comment>
    <comment ref="M58" authorId="0" shapeId="0">
      <text>
        <t>М4 (4c): am/is/are going to + V</t>
      </text>
    </comment>
    <comment ref="O58" authorId="0" shapeId="0">
      <text>
        <t>М1 (1c): am/is/are + going to + bare infinitive</t>
      </text>
    </comment>
    <comment ref="H59" authorId="0" shapeId="0">
      <text>
        <t>М8: полная и краткая форма (isn't, aren't)</t>
      </text>
    </comment>
    <comment ref="J59" authorId="0" shapeId="0">
      <text>
        <t>М10 (10a): I'm not / aren't / isn't</t>
      </text>
    </comment>
    <comment ref="H60" authorId="0" shapeId="0">
      <text>
        <t>М8: Am I/Are you/Is he…; кратких ответов нет</t>
      </text>
    </comment>
    <comment ref="J60" authorId="0" shapeId="0">
      <text>
        <t>М10 (10a): добавлены краткие ответы Yes, I am / No, … isn't</t>
      </text>
    </comment>
    <comment ref="H61" authorId="0" shapeId="0">
      <text>
        <t>М8: ближайшее будущее</t>
      </text>
    </comment>
    <comment ref="I61" authorId="0" shapeId="0">
      <text>
        <t>М10 (10b): только значение и пример, форм нет</t>
      </text>
    </comment>
    <comment ref="J61" authorId="0" shapeId="0">
      <text>
        <t>М10 (10a): this afternoon</t>
      </text>
    </comment>
    <comment ref="K61" authorId="0" shapeId="0">
      <text>
        <t>М5: формы не расписаны</t>
      </text>
    </comment>
    <comment ref="M61" authorId="0" shapeId="0">
      <text>
        <t>М4 (4c): принятые заранее решения</t>
      </text>
    </comment>
    <comment ref="L62" authorId="0" shapeId="0">
      <text>
        <t>М1 (1c): принятые решения о ближайшем будущем</t>
      </text>
    </comment>
    <comment ref="J63" authorId="0" shapeId="0">
      <text>
        <t>М10 (10a): dark clouds → It is going to rain</t>
      </text>
    </comment>
    <comment ref="K63" authorId="0" shapeId="0">
      <text>
        <t>М5: It's cloudy; it's going to rain</t>
      </text>
    </comment>
    <comment ref="M63" authorId="0" shapeId="0">
      <text>
        <t>М4 (4c): Look out! You're going to step on…</t>
      </text>
    </comment>
    <comment ref="L64" authorId="0" shapeId="0">
      <text>
        <t>М1 (1c): решение в момент речи / прогноз-предположение — will</t>
      </text>
    </comment>
    <comment ref="N64" authorId="0" shapeId="0">
      <text>
        <t>М3 (3c): спонтанные решения / предсказание-мнение — will</t>
      </text>
    </comment>
    <comment ref="O64" authorId="0" shapeId="0">
      <text>
        <t>М1 (1c): I'm thirsty. I think I'll have a glass of water</t>
      </text>
    </comment>
    <comment ref="I65" authorId="0" shapeId="0">
      <text>
        <t>М10 (10a): только примеры have/has, без таблицы</t>
      </text>
    </comment>
    <comment ref="L65" authorId="0" shapeId="0">
      <text>
        <t>М2 (2c): have/has + V3</t>
      </text>
    </comment>
    <comment ref="I66" authorId="0" shapeId="0">
      <text>
        <t>М10 (10a): только в примерах (haven't, hasn't)</t>
      </text>
    </comment>
    <comment ref="K66" authorId="0" shapeId="0">
      <text>
        <t>М6: только в примерах (hasn't come)</t>
      </text>
    </comment>
    <comment ref="I67" authorId="0" shapeId="0">
      <text>
        <t>М10 (10a): только в примерах (Have you ever…? – No, I haven't)</t>
      </text>
    </comment>
    <comment ref="K67" authorId="0" shapeId="0">
      <text>
        <t>М6: только в примерах (Have you joined…?)</t>
      </text>
    </comment>
    <comment ref="I68" authorId="0" shapeId="0">
      <text>
        <t>М10 (10a): finish – finished, plan – planned; орфография как в Past Simple</t>
      </text>
    </comment>
    <comment ref="L68" authorId="0" shapeId="0">
      <text>
        <t>М2 (2c): explain – explained</t>
      </text>
    </comment>
    <comment ref="M68" authorId="0" shapeId="0">
      <text>
        <t>М1 (1c): -ed</t>
      </text>
    </comment>
    <comment ref="N68" authorId="0" shapeId="0">
      <text>
        <t>М1 (1c): complain – complained</t>
      </text>
    </comment>
    <comment ref="I69" authorId="0" shapeId="0">
      <text>
        <t>М10 (10a): be – been, go – gone, see – seen</t>
      </text>
    </comment>
    <comment ref="M69" authorId="0" shapeId="0">
      <text>
        <t>М1 (1c): 3-я форма по таблице</t>
      </text>
    </comment>
    <comment ref="N69" authorId="0" shapeId="0">
      <text>
        <t>М1 (1c): по таблице Irregular Verbs</t>
      </text>
    </comment>
    <comment ref="I70" authorId="0" shapeId="0">
      <text>
        <t>М10 (10a): I have been to London; ever</t>
      </text>
    </comment>
    <comment ref="K70" authorId="0" shapeId="0">
      <text>
        <t>М6: Natasha has been to the USA twice</t>
      </text>
    </comment>
    <comment ref="L70" authorId="0" shapeId="0">
      <text>
        <t>М2 (2c): добавлены перемены</t>
      </text>
    </comment>
    <comment ref="M70" authorId="0" shapeId="0">
      <text>
        <t>М1 (1c): личный опыт, перемены</t>
      </text>
    </comment>
    <comment ref="I71" authorId="0" shapeId="0">
      <text>
        <t>М10 (10a): действие завершилось к моменту речи (already planned)</t>
      </text>
    </comment>
    <comment ref="K71" authorId="0" shapeId="0">
      <text>
        <t>М6: связь с настоящим через результат</t>
      </text>
    </comment>
    <comment ref="L71" authorId="0" shapeId="0">
      <text>
        <t>М2 (2c): Tina has cut her hair</t>
      </text>
    </comment>
    <comment ref="K73" authorId="0" shapeId="0">
      <text>
        <t>М6: I have seen this film</t>
      </text>
    </comment>
    <comment ref="M73" authorId="0" shapeId="0">
      <text>
        <t>М1 (1c): важно действие, а не время</t>
      </text>
    </comment>
    <comment ref="K74" authorId="0" shapeId="0">
      <text>
        <t>М6: be, have, like, know; for/since</t>
      </text>
    </comment>
    <comment ref="L74" authorId="0" shapeId="0">
      <text>
        <t>М2 (2c): в основном stative verbs</t>
      </text>
    </comment>
    <comment ref="M74" authorId="0" shapeId="0">
      <text>
        <t>М1 (1c): know, be, have, possess, own</t>
      </text>
    </comment>
    <comment ref="O74" authorId="0" shapeId="0">
      <text>
        <t>М1 (1c): know, be, have, possess, own</t>
      </text>
    </comment>
    <comment ref="L75" authorId="0" shapeId="0">
      <text>
        <t>М2 (2c): today, this morning/week, so far</t>
      </text>
    </comment>
    <comment ref="M75" authorId="0" shapeId="0">
      <text>
        <t>М1 (1c): today, this morning/week, so far</t>
      </text>
    </comment>
    <comment ref="M76" authorId="0" shapeId="0">
      <text>
        <t>М1 (1c): two cups of coffee today; seven times this week</t>
      </text>
    </comment>
    <comment ref="I77" authorId="0" shapeId="0">
      <text>
        <t>М10 (10a): ever, never, just, yet, already — с примерами</t>
      </text>
    </comment>
    <comment ref="K77" authorId="0" shapeId="0">
      <text>
        <t>М6: already в утв./вопросе-удивлении, yet в вопр./отриц.; + always, so far, lately, recently, today, this week</t>
      </text>
    </comment>
    <comment ref="L77" authorId="0" shapeId="0">
      <text>
        <t>М2 (2c): just, already, yet, ever, never, for, since</t>
      </text>
    </comment>
    <comment ref="M77" authorId="0" shapeId="0">
      <text>
        <t>М1 (1c): just, already, yet, ever, never, for, since</t>
      </text>
    </comment>
    <comment ref="N77" authorId="0" shapeId="0">
      <text>
        <t>М1 (1c): just, already, yet, for, since, ever, never</t>
      </text>
    </comment>
    <comment ref="J78" authorId="0" shapeId="0">
      <text>
        <t>М6: like, want, know, love</t>
      </text>
    </comment>
    <comment ref="L79" authorId="0" shapeId="0">
      <text>
        <t>М1 (1c): новые: detest, keep, owe, weigh; feel, look в восприятии</t>
      </text>
    </comment>
    <comment ref="K80" authorId="0" shapeId="0">
      <text>
        <t>М1: think, have, see, taste, smell, appear, fit</t>
      </text>
    </comment>
    <comment ref="K81" authorId="0" shapeId="0">
      <text>
        <t>М1: look, feel, ache</t>
      </text>
    </comment>
    <comment ref="L81" authorId="0" shapeId="0">
      <text>
        <t>М1 (1c): + hurt</t>
      </text>
    </comment>
    <comment ref="L82" authorId="0" shapeId="0">
      <text>
        <t>М1 (1c): She's enjoying a glass of lemonade</t>
      </text>
    </comment>
    <comment ref="K83" authorId="0" shapeId="0">
      <text>
        <t>М5: They're going on holiday next week</t>
      </text>
    </comment>
    <comment ref="L83" authorId="0" shapeId="0">
      <text>
        <t>М1 (1c): We're having a meeting on Tuesday</t>
      </text>
    </comment>
    <comment ref="M83" authorId="0" shapeId="0">
      <text>
        <t>М4 (4c): I'm throwing a surprise party on Saturday</t>
      </text>
    </comment>
    <comment ref="O83" authorId="0" shapeId="0">
      <text>
        <t>М1 (1c): твёрдые договорённости</t>
      </text>
    </comment>
    <comment ref="K84" authorId="0" shapeId="0">
      <text>
        <t>М5: My flight leaves at 6 o'clock</t>
      </text>
    </comment>
    <comment ref="L84" authorId="0" shapeId="0">
      <text>
        <t>М1 (1c): транспорт/расписание</t>
      </text>
    </comment>
    <comment ref="M84" authorId="0" shapeId="0">
      <text>
        <t>М4 (4c): The plane takes off at 10:00</t>
      </text>
    </comment>
    <comment ref="K85" authorId="0" shapeId="0">
      <text>
        <t>М5: will — решения в момент речи; going to — планы</t>
      </text>
    </comment>
    <comment ref="K86" authorId="0" shapeId="0">
      <text>
        <t>М5: will — предположения; going to — признаки</t>
      </text>
    </comment>
    <comment ref="K87" authorId="0" shapeId="0">
      <text>
        <t>М5: 4 способа: will, going to, Present Continuous, Present Simple</t>
      </text>
    </comment>
    <comment ref="N87" authorId="0" shapeId="0">
      <text>
        <t>М3 (3c): will; be going to; Present Simple; Present Continuous</t>
      </text>
    </comment>
    <comment ref="O87" authorId="0" shapeId="0">
      <text>
        <t>М1 (1c): сводной таблицы нет</t>
      </text>
    </comment>
    <comment ref="M88" authorId="0" shapeId="0">
      <text>
        <t>М4 (4c): Future Continuous/Perfect среди способов выражения будущего</t>
      </text>
    </comment>
    <comment ref="O88" authorId="0" shapeId="0">
      <text>
        <t>М1 (1c): только Future Continuous</t>
      </text>
    </comment>
    <comment ref="L89" authorId="0" shapeId="0">
      <text>
        <t>М1 (1c): was/were + V-ing; −/? не расписаны</t>
      </text>
    </comment>
    <comment ref="K90" authorId="0" shapeId="0">
      <text>
        <t>М4: at 8 o'clock, all morning</t>
      </text>
    </comment>
    <comment ref="K91" authorId="0" shapeId="0">
      <text>
        <t>М4: when</t>
      </text>
    </comment>
    <comment ref="K92" authorId="0" shapeId="0">
      <text>
        <t>М4: while, as</t>
      </text>
    </comment>
    <comment ref="L92" authorId="0" shapeId="0">
      <text>
        <t>М1 (1c): разных людей</t>
      </text>
    </comment>
    <comment ref="K93" authorId="0" shapeId="0">
      <text>
        <t>М4: вступление к рассказу</t>
      </text>
    </comment>
    <comment ref="O93" authorId="0" shapeId="0">
      <text>
        <t>М1 (1c): background</t>
      </text>
    </comment>
    <comment ref="K94" authorId="0" shapeId="0">
      <text>
        <t>М4: He was walking along (and) talking…</t>
      </text>
    </comment>
    <comment ref="L96" authorId="0" shapeId="0">
      <text>
        <t>М1 (1c): одновременные действия разных людей</t>
      </text>
    </comment>
    <comment ref="K97" authorId="0" shapeId="0">
      <text>
        <t>М4: Joyce was walking her dog when it started to rain</t>
      </text>
    </comment>
    <comment ref="L98" authorId="0" shapeId="0">
      <text>
        <t>М2 (2c): have/has + been + V-ing</t>
      </text>
    </comment>
    <comment ref="K99" authorId="0" shapeId="0">
      <text>
        <t>М8: since, for, how long</t>
      </text>
    </comment>
    <comment ref="L99" authorId="0" shapeId="0">
      <text>
        <t>М2 (2c): since, for, how long</t>
      </text>
    </comment>
    <comment ref="M99" authorId="0" shapeId="0">
      <text>
        <t>М1 (1c): since, for, how long</t>
      </text>
    </comment>
    <comment ref="K100" authorId="0" shapeId="0">
      <text>
        <t>М8: Your hands are dirty. Have you been painting?</t>
      </text>
    </comment>
    <comment ref="L100" authorId="0" shapeId="0">
      <text>
        <t>М2 (2c): clothes are dirty — repairing his car</t>
      </text>
    </comment>
    <comment ref="M100" authorId="0" shapeId="0">
      <text>
        <t>М1 (1c): может быть завершено</t>
      </text>
    </comment>
    <comment ref="N100" authorId="0" shapeId="0">
      <text>
        <t>М1 (1c): могло закончиться</t>
      </text>
    </comment>
    <comment ref="M101" authorId="0" shapeId="0">
      <text>
        <t>М1 (1c): раздражение/критика повторяющимся действием</t>
      </text>
    </comment>
    <comment ref="O101" authorId="0" shapeId="0">
      <text>
        <t>М1 (1c): раздражение/гнев/критика</t>
      </text>
    </comment>
    <comment ref="K103" authorId="0" shapeId="0">
      <text>
        <t>М8: live, work, teach, feel; форма не расписана</t>
      </text>
    </comment>
    <comment ref="K104" authorId="0" shapeId="0">
      <text>
        <t>М7: She wrote … in 1998 vs She has written lots of novels</t>
      </text>
    </comment>
    <comment ref="L104" authorId="0" shapeId="0">
      <text>
        <t>М2 (2c): Chris went jogging yesterday vs They have bought a new car</t>
      </text>
    </comment>
    <comment ref="O104" authorId="0" shapeId="0">
      <text>
        <t>М1 (1c): Liz watched a film yesterday vs Liz has watched a film</t>
      </text>
    </comment>
    <comment ref="K105" authorId="0" shapeId="0">
      <text>
        <t>М7: played for ten years vs have known her for five years (stative)</t>
      </text>
    </comment>
    <comment ref="L105" authorId="0" shapeId="0">
      <text>
        <t>М2 (2c): finished in an hour vs has lived here for ten years</t>
      </text>
    </comment>
    <comment ref="O105" authorId="0" shapeId="0">
      <text>
        <t>М1 (1c): had an earache for a week vs has lived here for two years</t>
      </text>
    </comment>
    <comment ref="K106" authorId="0" shapeId="0">
      <text>
        <t>М9: has just bought vs have been swimming all day</t>
      </text>
    </comment>
    <comment ref="K107" authorId="0" shapeId="0">
      <text>
        <t>М9: like, know, have + for/since — Present Perfect</t>
      </text>
    </comment>
    <comment ref="K108" authorId="0" shapeId="0">
      <text>
        <t>М9: has broken his leg vs He's been sunbathing</t>
      </text>
    </comment>
    <comment ref="K109" authorId="0" shapeId="0">
      <text>
        <t>М9: Who has been using my computer?</t>
      </text>
    </comment>
    <comment ref="L110" authorId="0" shapeId="0">
      <text>
        <t>М3 (3c): had + V3</t>
      </text>
    </comment>
    <comment ref="L111" authorId="0" shapeId="0">
      <text>
        <t>М3 (3c): before, after, already, just, till/until, when, by, by the time, never, for, since</t>
      </text>
    </comment>
    <comment ref="N111" authorId="0" shapeId="0">
      <text>
        <t>М5 (5c): добавлено «до момента в прошлом»</t>
      </text>
    </comment>
    <comment ref="M112" authorId="0" shapeId="0">
      <text>
        <t>М3 (3c): = Present Perfect в прошлом</t>
      </text>
    </comment>
    <comment ref="N112" authorId="0" shapeId="0">
      <text>
        <t>М5 (5c): прошедший эквивалент Present Perfect</t>
      </text>
    </comment>
    <comment ref="N113" authorId="0" shapeId="0">
      <text>
        <t>М5 (5c): с before/after возможен Past Simple без разницы</t>
      </text>
    </comment>
    <comment ref="L114" authorId="0" shapeId="0">
      <text>
        <t>М3 (3c): had + been + V-ing</t>
      </text>
    </comment>
    <comment ref="L115" authorId="0" shapeId="0">
      <text>
        <t>М3 (3c): since, for, how long, before, till/until</t>
      </text>
    </comment>
    <comment ref="M115" authorId="0" shapeId="0">
      <text>
        <t>М3 (3c): since, for, how long</t>
      </text>
    </comment>
    <comment ref="N115" authorId="0" shapeId="0">
      <text>
        <t>М5 (5c): since/for, до другого действия или момента</t>
      </text>
    </comment>
    <comment ref="M116" authorId="0" shapeId="0">
      <text>
        <t>М3 (3c): = Present Perfect Continuous в прошлом</t>
      </text>
    </comment>
    <comment ref="M117" authorId="0" shapeId="0">
      <text>
        <t>М1 (1c): в 9 кл. дано внутри Present Perfect / PP vs Past Simple</t>
      </text>
    </comment>
    <comment ref="O117" authorId="0" shapeId="0">
      <text>
        <t>М1 (1c): в пути или там</t>
      </text>
    </comment>
    <comment ref="M119" authorId="0" shapeId="0">
      <text>
        <t>М4 (4c): will be + V-ing</t>
      </text>
    </comment>
    <comment ref="O119" authorId="0" shapeId="0">
      <text>
        <t>М1 (1c): will be + Present Participle</t>
      </text>
    </comment>
    <comment ref="M122" authorId="0" shapeId="0">
      <text>
        <t>М4 (4c): Will you be watching…?</t>
      </text>
    </comment>
    <comment ref="O122" authorId="0" shapeId="0">
      <text>
        <t>М1 (1c): Will you be watching the show tonight?</t>
      </text>
    </comment>
    <comment ref="M123" authorId="0" shapeId="0">
      <text>
        <t>М4 (4c): will have + V3</t>
      </text>
    </comment>
    <comment ref="M124" authorId="0" shapeId="0">
      <text>
        <t>М4 (4c): before, by, by then, by the time, until/till (только в отрицании)</t>
      </text>
    </comment>
    <comment ref="N124" authorId="0" shapeId="0">
      <text>
        <t>М3 (3c): before, by, by then, by the time, until/till</t>
      </text>
    </comment>
    <comment ref="G125" authorId="0" shapeId="0">
      <text>
        <t>М5: все лица; способность, умение</t>
      </text>
    </comment>
    <comment ref="I125" authorId="0" shapeId="0">
      <text>
        <t>М4 (4a): can не меняется по лицам; после него глагол без to</t>
      </text>
    </comment>
    <comment ref="G126" authorId="0" shapeId="0">
      <text>
        <t>М5: cannot (полное), can't (краткое)</t>
      </text>
    </comment>
    <comment ref="G127" authorId="0" shapeId="0">
      <text>
        <t>М5: Yes, I can / No, he can't</t>
      </text>
    </comment>
    <comment ref="G128" authorId="0" shapeId="0">
      <text>
        <t>М5: все лица, полные и краткие (I've got, he's got)</t>
      </text>
    </comment>
    <comment ref="I128" authorId="0" shapeId="0">
      <text>
        <t>М2 (2a): все лица; 've got / 's got</t>
      </text>
    </comment>
    <comment ref="J128" authorId="0" shapeId="0">
      <text>
        <t>М1: в разговорной речи — в основном краткие формы</t>
      </text>
    </comment>
    <comment ref="G129" authorId="0" shapeId="0">
      <text>
        <t>М5: полные и краткие</t>
      </text>
    </comment>
    <comment ref="G130" authorId="0" shapeId="0">
      <text>
        <t>М5: Have you got…? Has he got…?; got в ответе опускается</t>
      </text>
    </comment>
    <comment ref="G131" authorId="0" shapeId="0">
      <text>
        <t>М5: She has got a rabbit</t>
      </text>
    </comment>
    <comment ref="I131" authorId="0" shapeId="0">
      <text>
        <t>М2 (2a): иметь, владеть, обладать</t>
      </text>
    </comment>
    <comment ref="J131" authorId="0" shapeId="0">
      <text>
        <t>М1: He has got a ball</t>
      </text>
    </comment>
    <comment ref="G132" authorId="0" shapeId="0">
      <text>
        <t>М5: It's got a big mouth</t>
      </text>
    </comment>
    <comment ref="J132" authorId="0" shapeId="0">
      <text>
        <t>М1: She has got blue eyes</t>
      </text>
    </comment>
    <comment ref="J133" authorId="0" shapeId="0">
      <text>
        <t>М1: I have got two sisters</t>
      </text>
    </comment>
    <comment ref="G134" authorId="0" shapeId="0">
      <text>
        <t>М5: It's got = It has got; It's = It is</t>
      </text>
    </comment>
    <comment ref="G135" authorId="0" shapeId="0">
      <text>
        <t>М2: I/he/she/it was; you/we/they were</t>
      </text>
    </comment>
    <comment ref="G136" authorId="0" shapeId="0">
      <text>
        <t>М2: полные и краткие: was not/wasn't, were not/weren't</t>
      </text>
    </comment>
    <comment ref="I136" authorId="0" shapeId="0">
      <text>
        <t>М9 (9a): wasn't / weren't</t>
      </text>
    </comment>
    <comment ref="G137" authorId="0" shapeId="0">
      <text>
        <t>М2: was/were перед подлежащим; Yes, I was / No, they weren't</t>
      </text>
    </comment>
    <comment ref="G138" authorId="0" shapeId="0">
      <text>
        <t>М2: yesterday, last week/month/year, two days ago, in 1975</t>
      </text>
    </comment>
    <comment ref="H138" authorId="0" shapeId="0">
      <text>
        <t>М5: yesterday, last…, …ago, in 1975</t>
      </text>
    </comment>
    <comment ref="G139" authorId="0" shapeId="0">
      <text>
        <t>М1: все лица; I am/I'm, he is/he's, we are/we're…</t>
      </text>
    </comment>
    <comment ref="I139" authorId="0" shapeId="0">
      <text>
        <t>М1 (1b): все лица, полные и краткие; значения быть/находиться/являться</t>
      </text>
    </comment>
    <comment ref="J139" authorId="0" shapeId="0">
      <text>
        <t>М1: все лица; to be — единственный глагол, меняющийся по лицам; при переводе часто опускается</t>
      </text>
    </comment>
    <comment ref="G140" authorId="0" shapeId="0">
      <text>
        <t>М1: полные и краткие: I'm not, isn't, aren't</t>
      </text>
    </comment>
    <comment ref="I140" authorId="0" shapeId="0">
      <text>
        <t>М1 (1b): I'm not, aren't, isn't</t>
      </text>
    </comment>
    <comment ref="G141" authorId="0" shapeId="0">
      <text>
        <t>М1: Am I? Is he? Are you?; Yes, I am / No, I'm not</t>
      </text>
    </comment>
    <comment ref="I141" authorId="0" shapeId="0">
      <text>
        <t>М1 (1b): Yes, I am / No, I'm not; Yes, he is…</t>
      </text>
    </comment>
    <comment ref="H142" authorId="0" shapeId="0">
      <text>
        <t>М2: I have to be at school at 9</t>
      </text>
    </comment>
    <comment ref="J142" authorId="0" shapeId="0">
      <text>
        <t>М8 (8c): вынужденность согласно обстоятельствам</t>
      </text>
    </comment>
    <comment ref="K142" authorId="0" shapeId="0">
      <text>
        <t>М8: «приходится, нужно»</t>
      </text>
    </comment>
    <comment ref="N142" authorId="0" shapeId="0">
      <text>
        <t>М4 (4c): объективная необходимость, решённая не говорящим</t>
      </text>
    </comment>
    <comment ref="H143" authorId="0" shapeId="0">
      <text>
        <t>М2: don't / doesn't have to</t>
      </text>
    </comment>
    <comment ref="J143" authorId="0" shapeId="0">
      <text>
        <t>М8 (8c): You don't have to wash the dishes</t>
      </text>
    </comment>
    <comment ref="K143" authorId="0" shapeId="0">
      <text>
        <t>М8: don't/doesn't have to</t>
      </text>
    </comment>
    <comment ref="L143" authorId="0" shapeId="0">
      <text>
        <t>М7 (7c): нет необходимости в настоящем/будущем</t>
      </text>
    </comment>
    <comment ref="H144" authorId="0" shapeId="0">
      <text>
        <t>М2: Do you have to…? — Yes, I do</t>
      </text>
    </comment>
    <comment ref="K145" authorId="0" shapeId="0">
      <text>
        <t>М8: употребляется в разных временах (had to)</t>
      </text>
    </comment>
    <comment ref="N145" authorId="0" shapeId="0">
      <text>
        <t>М4 (4c): прошедшее для must и have to</t>
      </text>
    </comment>
    <comment ref="L146" authorId="0" shapeId="0">
      <text>
        <t>М7 (7c): неизвестно, сделано ли</t>
      </text>
    </comment>
    <comment ref="N147" authorId="0" shapeId="0">
      <text>
        <t>М4 (4c): have got to</t>
      </text>
    </comment>
    <comment ref="H148" authorId="0" shapeId="0">
      <text>
        <t>М3: официально; Certainly./Of course you may. / No, you may not.</t>
      </text>
    </comment>
    <comment ref="L149" authorId="0" shapeId="0">
      <text>
        <t>М7 (7c): It can get pretty cold up here</t>
      </text>
    </comment>
    <comment ref="O149" authorId="0" shapeId="0">
      <text>
        <t>М5 (5c): Going to the gym can be boring</t>
      </text>
    </comment>
    <comment ref="L150" authorId="0" shapeId="0">
      <text>
        <t>М7 (7c): It might be cold today</t>
      </text>
    </comment>
    <comment ref="L151" authorId="0" shapeId="0">
      <text>
        <t>М7 (7c): Where could I buy a good coat?</t>
      </text>
    </comment>
    <comment ref="O151" authorId="0" shapeId="0">
      <text>
        <t>М5 (5c): How difficult can it be?</t>
      </text>
    </comment>
    <comment ref="L152" authorId="0" shapeId="0">
      <text>
        <t>М7 (7c): I could have lent you some money</t>
      </text>
    </comment>
    <comment ref="N152" authorId="0" shapeId="0">
      <text>
        <t>М4 (4c): He could have come with us, if…</t>
      </text>
    </comment>
    <comment ref="H153" authorId="0" shapeId="0">
      <text>
        <t>М4: I must put my rubbish in the bin</t>
      </text>
    </comment>
    <comment ref="I153" authorId="0" shapeId="0">
      <text>
        <t>М9: обязанность и необходимость</t>
      </text>
    </comment>
    <comment ref="J153" authorId="0" shapeId="0">
      <text>
        <t>М8 (8a): You must listen to your teacher</t>
      </text>
    </comment>
    <comment ref="K153" authorId="0" shapeId="0">
      <text>
        <t>М8: правила, обязанности, долг</t>
      </text>
    </comment>
    <comment ref="L153" authorId="0" shapeId="0">
      <text>
        <t>М7 (7c): долг, строгое обязательство, крайняя необходимость</t>
      </text>
    </comment>
    <comment ref="N153" authorId="0" shapeId="0">
      <text>
        <t>М4 (4c): субъективное решение говорящего</t>
      </text>
    </comment>
    <comment ref="H154" authorId="0" shapeId="0">
      <text>
        <t>М4: must not (mustn't — только в заголовке); вопросов нет</t>
      </text>
    </comment>
    <comment ref="I154" authorId="0" shapeId="0">
      <text>
        <t>М9: You mustn't speak loudly in here</t>
      </text>
    </comment>
    <comment ref="M154" authorId="0" shapeId="0">
      <text>
        <t>М7 (7d): правила, закон</t>
      </text>
    </comment>
    <comment ref="J155" authorId="0" shapeId="0">
      <text>
        <t>М8 (8a): You can't enter the building after 8 pm</t>
      </text>
    </comment>
    <comment ref="L155" authorId="0" shapeId="0">
      <text>
        <t>М7 (7c): mustn't/can't — запрет правилами, законом</t>
      </text>
    </comment>
    <comment ref="N155" authorId="0" shapeId="0">
      <text>
        <t>М4 (4c): mustn't = can't</t>
      </text>
    </comment>
    <comment ref="K156" authorId="0" shapeId="0">
      <text>
        <t>М8: You must tell the truth</t>
      </text>
    </comment>
    <comment ref="K157" authorId="0" shapeId="0">
      <text>
        <t>М8: I had to go to the doctor yesterday</t>
      </text>
    </comment>
    <comment ref="L157" authorId="0" shapeId="0">
      <text>
        <t>М7 (7c): had to — прошедшее для must и have to</t>
      </text>
    </comment>
    <comment ref="N158" authorId="0" shapeId="0">
      <text>
        <t>М4 (4c): с простым и перфектным инфинитивом</t>
      </text>
    </comment>
    <comment ref="I159" authorId="0" shapeId="0">
      <text>
        <t>М10 (10a): Can I borrow your book?</t>
      </text>
    </comment>
    <comment ref="J159" authorId="0" shapeId="0">
      <text>
        <t>М3 (3b): Can we play on the computer, please?</t>
      </text>
    </comment>
    <comment ref="I160" authorId="0" shapeId="0">
      <text>
        <t>М10 (10a): Can you pass me the salt, please?</t>
      </text>
    </comment>
    <comment ref="J160" authorId="0" shapeId="0">
      <text>
        <t>М3 (3b): Can you open the door? Can I have a piece of cake?</t>
      </text>
    </comment>
    <comment ref="I161" authorId="0" shapeId="0">
      <text>
        <t>М10 (10a): Can I give you a lift?</t>
      </text>
    </comment>
    <comment ref="I162" authorId="0" shapeId="0">
      <text>
        <t>М10 (10a): You can't park here</t>
      </text>
    </comment>
    <comment ref="J162" authorId="0" shapeId="0">
      <text>
        <t>М3 (3b): You can't turn left here!</t>
      </text>
    </comment>
    <comment ref="M162" authorId="0" shapeId="0">
      <text>
        <t>М7 (7d): mustn't/can't — правила, закон</t>
      </text>
    </comment>
    <comment ref="N162" authorId="0" shapeId="0">
      <text>
        <t>М4 (4c): mustn't/can't</t>
      </text>
    </comment>
    <comment ref="O162" authorId="0" shapeId="0">
      <text>
        <t>М5 (5c): mustn't/can't — против правил/закона</t>
      </text>
    </comment>
    <comment ref="L163" authorId="0" shapeId="0">
      <text>
        <t>М7 (7c): Can/May I…? — Yes, you can/may</t>
      </text>
    </comment>
    <comment ref="L164" authorId="0" shapeId="0">
      <text>
        <t>М7 (7c): Can I bring…? What else would you like? Shall I…? We could…</t>
      </text>
    </comment>
    <comment ref="N164" authorId="0" shapeId="0">
      <text>
        <t>М4 (4c): Can we…? Would you like…? Shall I…? We can/could…</t>
      </text>
    </comment>
    <comment ref="J165" authorId="0" shapeId="0">
      <text>
        <t>М8 (8c): только needn't (как и don't have to)</t>
      </text>
    </comment>
    <comment ref="L165" authorId="0" shapeId="0">
      <text>
        <t>М7 (7c): don't need to / needn't</t>
      </text>
    </comment>
    <comment ref="O165" authorId="0" shapeId="0">
      <text>
        <t>М5 (5c): don't have to / don't need to / needn't</t>
      </text>
    </comment>
    <comment ref="O166" authorId="0" shapeId="0">
      <text>
        <t>М5 (5c): You needn't have cooked so much food</t>
      </text>
    </comment>
    <comment ref="O167" authorId="0" shapeId="0">
      <text>
        <t>М5 (5c): didn't have to — неизвестно, сделали ли</t>
      </text>
    </comment>
    <comment ref="N168" authorId="0" shapeId="0">
      <text>
        <t>М4 (4c): need как эквивалент must</t>
      </text>
    </comment>
    <comment ref="O168" authorId="0" shapeId="0">
      <text>
        <t>М5 (5c): в списке semi-modals</t>
      </text>
    </comment>
    <comment ref="K169" authorId="0" shapeId="0">
      <text>
        <t>М1: не меняется по временам; + bare infinitive</t>
      </text>
    </comment>
    <comment ref="L169" authorId="0" shapeId="0">
      <text>
        <t>М7 (7c): обычный совет, рекомендация</t>
      </text>
    </comment>
    <comment ref="K170" authorId="0" shapeId="0">
      <text>
        <t>М1: should not / shouldn't</t>
      </text>
    </comment>
    <comment ref="K171" authorId="0" shapeId="0">
      <text>
        <t>М1: should перед подлежащим</t>
      </text>
    </comment>
    <comment ref="L172" authorId="0" shapeId="0">
      <text>
        <t>М7 (7c): ought to — тоже обычный совет</t>
      </text>
    </comment>
    <comment ref="N172" authorId="0" shapeId="0">
      <text>
        <t>М4 (4c): You ought to abide by the rules</t>
      </text>
    </comment>
    <comment ref="L173" authorId="0" shapeId="0">
      <text>
        <t>М7 (7c): обязательство</t>
      </text>
    </comment>
    <comment ref="N173" authorId="0" shapeId="0">
      <text>
        <t>М4 (4c): долг, слабая обязанность</t>
      </text>
    </comment>
    <comment ref="L174" authorId="0" shapeId="0">
      <text>
        <t>М7 (7c): He should be more patient; She should have apologised</t>
      </text>
    </comment>
    <comment ref="L175" authorId="0" shapeId="0">
      <text>
        <t>М7 (7c): They should/ought to be here soon</t>
      </text>
    </comment>
    <comment ref="M176" authorId="0" shapeId="0">
      <text>
        <t>М7 (7d): Shall I…?</t>
      </text>
    </comment>
    <comment ref="N177" authorId="0" shapeId="0">
      <text>
        <t>М4 (4c): Shall I give you a lift?</t>
      </text>
    </comment>
    <comment ref="O178" authorId="0" shapeId="0">
      <text>
        <t>М5 (5c): в списке semi-modals</t>
      </text>
    </comment>
    <comment ref="L179" authorId="0" shapeId="0">
      <text>
        <t>М7 (7c): must be</t>
      </text>
    </comment>
    <comment ref="M179" authorId="0" shapeId="0">
      <text>
        <t>М3 (3d): ~100%</t>
      </text>
    </comment>
    <comment ref="O179" authorId="0" shapeId="0">
      <text>
        <t>М5 (5c): He must be on his way home</t>
      </text>
    </comment>
    <comment ref="L180" authorId="0" shapeId="0">
      <text>
        <t>М7 (7c): might be late</t>
      </text>
    </comment>
    <comment ref="L181" authorId="0" shapeId="0">
      <text>
        <t>М7 (7c): can't be broken</t>
      </text>
    </comment>
    <comment ref="L182" authorId="0" shapeId="0">
      <text>
        <t>М7 (7c): must have done, may have returned, couldn't have said</t>
      </text>
    </comment>
    <comment ref="N182" authorId="0" shapeId="0">
      <text>
        <t>М4 (4c): must have been delayed, couldn't have cooked</t>
      </text>
    </comment>
    <comment ref="O182" authorId="0" shapeId="0">
      <text>
        <t>М5 (5c): They could have been killed</t>
      </text>
    </comment>
    <comment ref="N183" authorId="0" shapeId="0">
      <text>
        <t>М4 (4c): will 100%, should/ought to 90%</t>
      </text>
    </comment>
    <comment ref="O183" authorId="0" shapeId="0">
      <text>
        <t>М5 (5c): should/ought to — только о будущем</t>
      </text>
    </comment>
    <comment ref="N184" authorId="0" shapeId="0">
      <text>
        <t>М4 (4c): could (at least), should, ought to</t>
      </text>
    </comment>
    <comment ref="L185" authorId="0" shapeId="0">
      <text>
        <t>М7 (7c): кроме have to, ought to</t>
      </text>
    </comment>
    <comment ref="L187" authorId="0" shapeId="0">
      <text>
        <t>М7 (7c): He should have washed his car</t>
      </text>
    </comment>
    <comment ref="O187" authorId="0" shapeId="0">
      <text>
        <t>М5 (5c): незавершённое vs завершённое действие</t>
      </text>
    </comment>
    <comment ref="L189" authorId="0" shapeId="0">
      <text>
        <t>М7 (7c): You could at least be polite / could have waited</t>
      </text>
    </comment>
    <comment ref="O189" authorId="0" shapeId="0">
      <text>
        <t>М5 (5c): could at least have called; should have + PP</t>
      </text>
    </comment>
    <comment ref="L191" authorId="0" shapeId="0">
      <text>
        <t>М7 (7c): shall — просьба о совете</t>
      </text>
    </comment>
    <comment ref="N192" authorId="0" shapeId="0">
      <text>
        <t>М4 (4c): need, had better, have (got) to, be able to, used to</t>
      </text>
    </comment>
    <comment ref="O193" authorId="0" shapeId="0">
      <text>
        <t>М5 (5c): Would you like…? Shall I…? Can I…? We can/could…</t>
      </text>
    </comment>
    <comment ref="L194" authorId="0" shapeId="0">
      <text>
        <t>М7 (7c): обязательство, отсутствие необходимости, разрешение, возможность, способность, выводы, критика, предложения, вероятность, совет</t>
      </text>
    </comment>
    <comment ref="N194" authorId="0" shapeId="0">
      <text>
        <t>М7 (7e): 7e: повторение модальных по разделу Module 4 (рецензия) — проверить</t>
      </text>
    </comment>
    <comment ref="O194" authorId="0" shapeId="0">
      <text>
        <t>М5 (5c): систематизация по функциям</t>
      </text>
    </comment>
    <comment ref="O195" authorId="0" shapeId="0">
      <text>
        <t>М6 (6c): will → would</t>
      </text>
    </comment>
    <comment ref="M197" authorId="0" shapeId="0">
      <text>
        <t>М8 (8c): may → might</t>
      </text>
    </comment>
    <comment ref="O197" authorId="0" shapeId="0">
      <text>
        <t>М6 (6c): may → might</t>
      </text>
    </comment>
    <comment ref="O201" authorId="0" shapeId="0">
      <text>
        <t>М6 (6c): назван только should</t>
      </text>
    </comment>
    <comment ref="L202" authorId="0" shapeId="0">
      <text>
        <t>М7 (7c): Daniel could swim when he was three</t>
      </text>
    </comment>
    <comment ref="N202" authorId="0" shapeId="0">
      <text>
        <t>М4 (4c): общая повторяющаяся способность</t>
      </text>
    </comment>
    <comment ref="L203" authorId="0" shapeId="0">
      <text>
        <t>М7 (7c): He was(n't) able to attend yesterday's meeting</t>
      </text>
    </comment>
    <comment ref="L204" authorId="0" shapeId="0">
      <text>
        <t>М7 (7c): couldn't = wasn't able to</t>
      </text>
    </comment>
    <comment ref="N204" authorId="0" shapeId="0">
      <text>
        <t>М4 (4c): любая неспособность в прошлом</t>
      </text>
    </comment>
    <comment ref="O204" authorId="0" shapeId="0">
      <text>
        <t>М5 (5c): любая неспособность — повторяющаяся или конкретная</t>
      </text>
    </comment>
    <comment ref="O205" authorId="0" shapeId="0">
      <text>
        <t>М5 (5c): Will you be able to help me?</t>
      </text>
    </comment>
    <comment ref="O210" authorId="0" shapeId="0">
      <text>
        <t>М5 (5c): must — говорящий решил сам; have to — объективные обстоятельства</t>
      </text>
    </comment>
    <comment ref="O216" authorId="0" shapeId="0">
      <text>
        <t>М7 (7c): главная часть — только Future Simple</t>
      </text>
    </comment>
    <comment ref="K217" authorId="0" shapeId="0">
      <text>
        <t>М5: Imperative; can, must, may + bare inf</t>
      </text>
    </comment>
    <comment ref="K218" authorId="0" shapeId="0">
      <text>
        <t>М5: в будущем</t>
      </text>
    </comment>
    <comment ref="K219" authorId="0" shapeId="0">
      <text>
        <t>М5: без запятой, если главное первым</t>
      </text>
    </comment>
    <comment ref="K220" authorId="0" shapeId="0">
      <text>
        <t>М5: unless + утвердительная форма</t>
      </text>
    </comment>
    <comment ref="K221" authorId="0" shapeId="0">
      <text>
        <t>Irregular Verbs: ≈100 глаголов, с переводом; в 5–6 кл. таблица шла при Past Simple</t>
      </text>
    </comment>
    <comment ref="L221" authorId="0" shapeId="0">
      <text>
        <t>Irregular Verbs: без перевода</t>
      </text>
    </comment>
    <comment ref="M221" authorId="0" shapeId="0">
      <text>
        <t>Irregular Verbs: 103 глагола</t>
      </text>
    </comment>
    <comment ref="K222" authorId="0" shapeId="0">
      <text>
        <t>Irregular Verbs: burnt/burned, dreamt, learnt, smelt, spelt, hung/hanged, got/gotten, can – could</t>
      </text>
    </comment>
    <comment ref="L222" authorId="0" shapeId="0">
      <text>
        <t>Irregular Verbs: + born(e)</t>
      </text>
    </comment>
    <comment ref="N222" authorId="0" shapeId="0">
      <text>
        <t>Irregular Verbs: sew – sewn</t>
      </text>
    </comment>
    <comment ref="K223" authorId="0" shapeId="0">
      <text>
        <t>М2: used to + V; может заменяться Past Simple; −/? не даны</t>
      </text>
    </comment>
    <comment ref="O223" authorId="0" shapeId="0">
      <text>
        <t>М1 (1c): I used to work very hard (I don't any more)</t>
      </text>
    </comment>
    <comment ref="K224" authorId="0" shapeId="0">
      <text>
        <t>М2: He used to live in Spain</t>
      </text>
    </comment>
    <comment ref="M224" authorId="0" shapeId="0">
      <text>
        <t>М3 (3c): I used to work as a waiter</t>
      </text>
    </comment>
    <comment ref="K225" authorId="0" shapeId="0">
      <text>
        <t>М2: NOT: He used to walk to work yesterday</t>
      </text>
    </comment>
    <comment ref="N226" authorId="0" shapeId="0">
      <text>
        <t>М2 (2c): I'm used to working / I used to work</t>
      </text>
    </comment>
    <comment ref="O227" authorId="0" shapeId="0">
      <text>
        <t>М1 (1c): semi-modals: used to (= would)</t>
      </text>
    </comment>
    <comment ref="L229" authorId="0" shapeId="0">
      <text>
        <t>М4 (4d): исполнитель обычно не упоминается</t>
      </text>
    </comment>
    <comment ref="L230" authorId="0" shapeId="0">
      <text>
        <t>М4 (4d): has/is having/had/was having/has had/had had/has been having/had been having/will have</t>
      </text>
    </comment>
    <comment ref="M230" authorId="0" shapeId="0">
      <text>
        <t>М6 (6c): + will be having</t>
      </text>
    </comment>
    <comment ref="L231" authorId="0" shapeId="0">
      <text>
        <t>М4 (4d): to have, having; should have her room painted</t>
      </text>
    </comment>
    <comment ref="M232" authorId="0" shapeId="0">
      <text>
        <t>М6 (6c): Did you have your eyes checked?</t>
      </text>
    </comment>
    <comment ref="M234" authorId="0" shapeId="0">
      <text>
        <t>М6 (6c): George had his car stolen</t>
      </text>
    </comment>
    <comment ref="M236" authorId="0" shapeId="0">
      <text>
        <t>М7 (7c): If Paul was not working today…</t>
      </text>
    </comment>
    <comment ref="L238" authorId="0" shapeId="0">
      <text>
        <t>М8 (8c): were или was</t>
      </text>
    </comment>
    <comment ref="M238" authorId="0" shapeId="0">
      <text>
        <t>М7 (7c): в официальной речи were во всех лицах</t>
      </text>
    </comment>
    <comment ref="L240" authorId="0" shapeId="0">
      <text>
        <t>М8 (8c): bare perfect infinitive</t>
      </text>
    </comment>
    <comment ref="M241" authorId="0" shapeId="0">
      <text>
        <t>М7 (7c): If he hadn't been studying that hard…</t>
      </text>
    </comment>
    <comment ref="L245" authorId="0" shapeId="0">
      <text>
        <t>М5 (5c): admit, appreciate, avoid, consider, continue, deny, fancy, go, imagine, mind, miss, practise, prevent, quit, save, suggest</t>
      </text>
    </comment>
    <comment ref="L247" authorId="0" shapeId="0">
      <text>
        <t>М5 (5c): be busy, it's no use/good, it's (not) worth, what's the use of, can't help, there's no point, can't stand, have difficulty/trouble</t>
      </text>
    </comment>
    <comment ref="L249" authorId="0" shapeId="0">
      <text>
        <t>М5 (5c): look forward to, be/get used to, in addition to, object to; другие предлоги</t>
      </text>
    </comment>
    <comment ref="M249" authorId="0" shapeId="0">
      <text>
        <t>М2 (2c): + think of, apologise for; prefer … to</t>
      </text>
    </comment>
    <comment ref="L250" authorId="0" shapeId="0">
      <text>
        <t>М5 (5c): hear, listen to, notice, see, watch, feel</t>
      </text>
    </comment>
    <comment ref="M252" authorId="0" shapeId="0">
      <text>
        <t>М2 (2c): went to buy</t>
      </text>
    </comment>
    <comment ref="M253" authorId="0" shapeId="0">
      <text>
        <t>М2 (2c): + want sb to do (I want you to come)</t>
      </text>
    </comment>
    <comment ref="L255" authorId="0" shapeId="0">
      <text>
        <t>М5 (5c): чувства, желание, характер, lucky/fortunate; It was kind of them to…</t>
      </text>
    </comment>
    <comment ref="N255" authorId="0" shapeId="0">
      <text>
        <t>М2 (2c): + it + be + adj/noun</t>
      </text>
    </comment>
    <comment ref="L258" authorId="0" shapeId="0">
      <text>
        <t>М5 (5c): to tell you the truth, to be honest, to sum up, to begin with</t>
      </text>
    </comment>
    <comment ref="M259" authorId="0" shapeId="0">
      <text>
        <t>М2 (2c): asked me when to get</t>
      </text>
    </comment>
    <comment ref="N259" authorId="0" shapeId="0">
      <text>
        <t>М2 (2c): после ask, decide, explain, find out, learn, want to know</t>
      </text>
    </comment>
    <comment ref="M260" authorId="0" shapeId="0">
      <text>
        <t>М2 (2c): honour, goal, way; so + adj + as to; only + to-inf (неудача); for + sb + to-inf</t>
      </text>
    </comment>
    <comment ref="L261" authorId="0" shapeId="0">
      <text>
        <t>М5 (5c): дано при цели</t>
      </text>
    </comment>
    <comment ref="M262" authorId="0" shapeId="0">
      <text>
        <t>М2 (2c): осмелиться — с to или без; угроза — без to; вызов — с to</t>
      </text>
    </comment>
    <comment ref="L264" authorId="0" shapeId="0">
      <text>
        <t>М5 (5c): let, make, see, hear, feel; be made/heard/seen + to</t>
      </text>
    </comment>
    <comment ref="M264" authorId="0" shapeId="0">
      <text>
        <t>М2 (2c): + watch, notice (Complex Object)</t>
      </text>
    </comment>
    <comment ref="N264" authorId="0" shapeId="0">
      <text>
        <t>М2 (2c): + see/hear/watch + -ing в пассиве не меняются (She was heard crying)</t>
      </text>
    </comment>
    <comment ref="L266" authorId="0" shapeId="0">
      <text>
        <t>М5 (5c): обзорно в теме Infinitive / -ing form</t>
      </text>
    </comment>
    <comment ref="M266" authorId="0" shapeId="0">
      <text>
        <t>М2 (2c): значения расписаны: не забыть сделать vs помнить о прошлом</t>
      </text>
    </comment>
    <comment ref="L267" authorId="0" shapeId="0">
      <text>
        <t>М5 (5c): обзорно</t>
      </text>
    </comment>
    <comment ref="M267" authorId="0" shapeId="0">
      <text>
        <t>М2 (2c): остановиться, чтобы vs прекратить</t>
      </text>
    </comment>
    <comment ref="L268" authorId="0" shapeId="0">
      <text>
        <t>М5 (5c): обзорно</t>
      </text>
    </comment>
    <comment ref="M268" authorId="0" shapeId="0">
      <text>
        <t>М2 (2c): стараться vs попробовать</t>
      </text>
    </comment>
    <comment ref="L269" authorId="0" shapeId="0">
      <text>
        <t>М5 (5c): обзорно</t>
      </text>
    </comment>
    <comment ref="M269" authorId="0" shapeId="0">
      <text>
        <t>М2 (2c): сожалеть сообщить (say, tell, inform, announce) vs о сделанном</t>
      </text>
    </comment>
    <comment ref="L270" authorId="0" shapeId="0">
      <text>
        <t>М5 (5c): обзорно</t>
      </text>
    </comment>
    <comment ref="M270" authorId="0" shapeId="0">
      <text>
        <t>М2 (2c): намереваться vs означать</t>
      </text>
    </comment>
    <comment ref="L271" authorId="0" shapeId="0">
      <text>
        <t>М5 (5c): обзорно</t>
      </text>
    </comment>
    <comment ref="M271" authorId="0" shapeId="0">
      <text>
        <t>М2 (2c): перейти к другому vs продолжать</t>
      </text>
    </comment>
    <comment ref="L272" authorId="0" shapeId="0">
      <text>
        <t>М5 (5c): обзорно</t>
      </text>
    </comment>
    <comment ref="M275" authorId="0" shapeId="0">
      <text>
        <t>М2 (2c): две -ing подряд нельзя</t>
      </text>
    </comment>
    <comment ref="M276" authorId="0" shapeId="0">
      <text>
        <t>М2 (2c): be advised/allowed… + только to-inf</t>
      </text>
    </comment>
    <comment ref="M277" authorId="0" shapeId="0">
      <text>
        <t>М2 (2c): The lawn needs mowing / to be mowed</t>
      </text>
    </comment>
    <comment ref="L278" authorId="0" shapeId="0">
      <text>
        <t>М4 (4c): is cooked / was cooked</t>
      </text>
    </comment>
    <comment ref="L279" authorId="0" shapeId="0">
      <text>
        <t>М4 (4c): is being / was being cooked</t>
      </text>
    </comment>
    <comment ref="L280" authorId="0" shapeId="0">
      <text>
        <t>М4 (4c): has been / had been cooked</t>
      </text>
    </comment>
    <comment ref="L281" authorId="0" shapeId="0">
      <text>
        <t>М4 (4c): will be cooked</t>
      </text>
    </comment>
    <comment ref="L283" authorId="0" shapeId="0">
      <text>
        <t>М4 (4c): has to be cooked; can be cooked</t>
      </text>
    </comment>
    <comment ref="M283" authorId="0" shapeId="0">
      <text>
        <t>М6 (6c): has to be made; may be made</t>
      </text>
    </comment>
    <comment ref="L284" authorId="0" shapeId="0">
      <text>
        <t>М4 (4c): дополнение → подлежащее; by + агент или опускается</t>
      </text>
    </comment>
    <comment ref="L285" authorId="0" shapeId="0">
      <text>
        <t>М4 (4c): очевиден или неважен</t>
      </text>
    </comment>
    <comment ref="M285" authorId="0" shapeId="0">
      <text>
        <t>М6 (6c): + неизвестен</t>
      </text>
    </comment>
    <comment ref="L286" authorId="0" shapeId="0">
      <text>
        <t>М4 (4c): новости, объявления, инструкции, реклама</t>
      </text>
    </comment>
    <comment ref="L288" authorId="0" shapeId="0">
      <text>
        <t>М4 (4c): by the president himself</t>
      </text>
    </comment>
    <comment ref="L291" authorId="0" shapeId="0">
      <text>
        <t>М4 (4c): they, he, someone, people, one; не опускается, если важен</t>
      </text>
    </comment>
    <comment ref="L292" authorId="0" shapeId="0">
      <text>
        <t>М4 (4c): только переходные; have, fit, suit, resemble</t>
      </text>
    </comment>
    <comment ref="M292" authorId="0" shapeId="0">
      <text>
        <t>М6 (6c): + exist, seem, lack</t>
      </text>
    </comment>
    <comment ref="L293" authorId="0" shapeId="0">
      <text>
        <t>М4 (4c): неожиданные события: The cheque got lost</t>
      </text>
    </comment>
    <comment ref="M293" authorId="0" shapeId="0">
      <text>
        <t>М6 (6c): He got hit</t>
      </text>
    </comment>
    <comment ref="L294" authorId="0" shapeId="0">
      <text>
        <t>М4 (4c): bring, tell, send, show, teach, promise, sell, read, offer, give, lend — две модели; explain, announce, dictate, write — одна</t>
      </text>
    </comment>
    <comment ref="L295" authorId="0" shapeId="0">
      <text>
        <t>М4 (4c): Who will the tickets be booked by?</t>
      </text>
    </comment>
    <comment ref="M296" authorId="0" shapeId="0">
      <text>
        <t>М6 (6c): I was made to lie; hear/see/watch + -ing</t>
      </text>
    </comment>
    <comment ref="L297" authorId="0" shapeId="0">
      <text>
        <t>М6 (6c): that после say/tell можно опустить</t>
      </text>
    </comment>
    <comment ref="L300" authorId="0" shapeId="0">
      <text>
        <t>М6 (6c): SAY/TELL/ASK</t>
      </text>
    </comment>
    <comment ref="L302" authorId="0" shapeId="0">
      <text>
        <t>М6 (6c): только: вводящий глагол в Present Simple</t>
      </text>
    </comment>
    <comment ref="M302" authorId="0" shapeId="0">
      <text>
        <t>М8 (8c): + вводящий глагол в Future/Present Perfect</t>
      </text>
    </comment>
    <comment ref="N303" authorId="0" shapeId="0">
      <text>
        <t>М8 (8c): + unreal past</t>
      </text>
    </comment>
    <comment ref="L304" authorId="0" shapeId="0">
      <text>
        <t>М6 (6c): Past Continuous → Past Perfect Continuous или Past Continuous</t>
      </text>
    </comment>
    <comment ref="M304" authorId="0" shapeId="0">
      <text>
        <t>М8 (8c): Past Simple → Past Simple/Past Perfect</t>
      </text>
    </comment>
    <comment ref="O304" authorId="0" shapeId="0">
      <text>
        <t>М6 (6c): Future Simple → Future in the Past (would)</t>
      </text>
    </comment>
    <comment ref="L305" authorId="0" shapeId="0">
      <text>
        <t>М6 (6c): now → then; today → that day; ago → before; here → there</t>
      </text>
    </comment>
    <comment ref="M305" authorId="0" shapeId="0">
      <text>
        <t>М8 (8c): today → в OCR таблица сбита</t>
      </text>
    </comment>
    <comment ref="L306" authorId="0" shapeId="0">
      <text>
        <t>М6 (6c): order/tell</t>
      </text>
    </comment>
    <comment ref="O306" authorId="0" shapeId="0">
      <text>
        <t>М6 (6c): + instructions: advise, order, tell</t>
      </text>
    </comment>
    <comment ref="L307" authorId="0" shapeId="0">
      <text>
        <t>М6 (6c): ask, beg (She begged me not to tease her)</t>
      </text>
    </comment>
    <comment ref="L308" authorId="0" shapeId="0">
      <text>
        <t>М6 (6c): suggested watching / suggested that I (should) see</t>
      </text>
    </comment>
    <comment ref="L309" authorId="0" shapeId="0">
      <text>
        <t>М6 (6c): She advised me to watch my step</t>
      </text>
    </comment>
    <comment ref="M309" authorId="0" shapeId="0">
      <text>
        <t>М8 (8c): advise в группе приказов</t>
      </text>
    </comment>
    <comment ref="L310" authorId="0" shapeId="0">
      <text>
        <t>М5 (5c): to — предлог</t>
      </text>
    </comment>
    <comment ref="O310" authorId="0" shapeId="0">
      <text>
        <t>М1 (1c): I'm used to working very hard</t>
      </text>
    </comment>
    <comment ref="L311" authorId="0" shapeId="0">
      <text>
        <t>М5 (5c): процесс привыкания</t>
      </text>
    </comment>
    <comment ref="O311" authorId="0" shapeId="0">
      <text>
        <t>М1 (1c): разница be/get не объясняется</t>
      </text>
    </comment>
    <comment ref="L312" authorId="0" shapeId="0">
      <text>
        <t>М5 (5c): used to + V: to — частица</t>
      </text>
    </comment>
    <comment ref="M313" authorId="0" shapeId="0">
      <text>
        <t>М5 (5d): I prefer vegetables to meat; painting to drawing</t>
      </text>
    </comment>
    <comment ref="M316" authorId="0" shapeId="0">
      <text>
        <t>М5 (5d): would sooner и I'd rather sb did — не даны</t>
      </text>
    </comment>
    <comment ref="N316" authorId="0" shapeId="0">
      <text>
        <t>М2 (2c): без I'd rather you did</t>
      </text>
    </comment>
    <comment ref="M317" authorId="0" shapeId="0">
      <text>
        <t>М8 (8c): agree, claim, demand, offer, promise, refuse, threaten</t>
      </text>
    </comment>
    <comment ref="M318" authorId="0" shapeId="0">
      <text>
        <t>М8 (8c): advise, allow, ask, beg, command, encourage, forbid, instruct, invite, order, permit, remind, urge, warn, want</t>
      </text>
    </comment>
    <comment ref="M319" authorId="0" shapeId="0">
      <text>
        <t>М8 (8c): accuse of, apologise for, admit (to), boast about/of, complain of/about, deny, insist on, suggest</t>
      </text>
    </comment>
    <comment ref="N322" authorId="0" shapeId="0">
      <text>
        <t>М8 (8c): and, as, adding that, explaining that…; exclaim, thank; question tags опускаются</t>
      </text>
    </comment>
    <comment ref="M328" authorId="0" shapeId="0">
      <text>
        <t>М3 (3c): would (always/often) + V</t>
      </text>
    </comment>
    <comment ref="M329" authorId="0" shapeId="0">
      <text>
        <t>М3 (3c): NOT: I would work as a waiter</t>
      </text>
    </comment>
    <comment ref="G330" authorId="0" shapeId="0">
      <text>
        <t>М3: только в рамках some/any, отдельного раздела нет</t>
      </text>
    </comment>
    <comment ref="H330" authorId="0" shapeId="0">
      <text>
        <t>М3: только в рамках much/many и how much/how many</t>
      </text>
    </comment>
    <comment ref="I330" authorId="0" shapeId="0">
      <text>
        <t>М8 (8a): определение: у исчисляемых ед. и мн. ч., у неисчисляемых мн. ч. нет</t>
      </text>
    </comment>
    <comment ref="L330" authorId="0" shapeId="0">
      <text>
        <t>М2 (2d): 1 child, 2 children / sugar, heat</t>
      </text>
    </comment>
    <comment ref="O330" authorId="0" shapeId="0">
      <text>
        <t>М8 (8c): 1 pen, 2 pens / sugar, meat</t>
      </text>
    </comment>
    <comment ref="I331" authorId="0" shapeId="0">
      <text>
        <t>М8 (8a): cheese, sugar, butter, salt, rice, flour; water, tea, milk…</t>
      </text>
    </comment>
    <comment ref="J331" authorId="0" shapeId="0">
      <text>
        <t>М9 (9a): добавлены rain, snow</t>
      </text>
    </comment>
    <comment ref="L331" authorId="0" shapeId="0">
      <text>
        <t>М2 (2d): вещества: lemonade, blood, butter, oxygen</t>
      </text>
    </comment>
    <comment ref="O331" authorId="0" shapeId="0">
      <text>
        <t>М8 (8c): beer, blood, bread, air, oxygen, corn, flour</t>
      </text>
    </comment>
    <comment ref="I332" authorId="0" shapeId="0">
      <text>
        <t>М8 (8a): 15 слов: jar, bottle, piece, loaf, cup, bar, glass, kilo…</t>
      </text>
    </comment>
    <comment ref="J332" authorId="0" shapeId="0">
      <text>
        <t>М9 (9a): тот же список</t>
      </text>
    </comment>
    <comment ref="O332" authorId="0" shapeId="0">
      <text>
        <t>М8 (8c): добавлено много партитивов: a piece of advice, a rasher of bacon, a lump of sugar, a pair of trousers…</t>
      </text>
    </comment>
    <comment ref="I333" authorId="0" shapeId="0">
      <text>
        <t>М8 (8a): clothes, shorts, jeans, trousers, stairs, scissors</t>
      </text>
    </comment>
    <comment ref="K334" authorId="0" shapeId="0">
      <text>
        <t>М9: There is a book / There are some, a lot of, (a) few apples / There's some, (a) little butter</t>
      </text>
    </comment>
    <comment ref="K335" authorId="0" shapeId="0">
      <text>
        <t>М9: There isn't a book / aren't any/many apples / isn't any/much butter</t>
      </text>
    </comment>
    <comment ref="K336" authorId="0" shapeId="0">
      <text>
        <t>М9: Is there a book? Are there any apples? Is there any butter?</t>
      </text>
    </comment>
    <comment ref="O337" authorId="0" shapeId="0">
      <text>
        <t>М8 (8c): + some, any, much, no</t>
      </text>
    </comment>
    <comment ref="O338" authorId="0" shapeId="0">
      <text>
        <t>М8 (8c): a help, a knowledge (of sth), a pity, a relief, a shame, a wonder</t>
      </text>
    </comment>
    <comment ref="L339" authorId="0" shapeId="0">
      <text>
        <t>М2 (2d): maths, chemistry; языки; baseball, darts; flu, measles; fog, snow</t>
      </text>
    </comment>
    <comment ref="O339" authorId="0" shapeId="0">
      <text>
        <t>М8 (8c): + спорт (cycling, football), абстрактные (anger, beauty, love)</t>
      </text>
    </comment>
    <comment ref="L340" authorId="0" shapeId="0">
      <text>
        <t>М2 (2d): advice, knowledge, progress, information, news, work; baggage, furniture, luggage, money…</t>
      </text>
    </comment>
    <comment ref="O340" authorId="0" shapeId="0">
      <text>
        <t>М8 (8c): + accommodation, behaviour, stationery, traffic, travel, weather</t>
      </text>
    </comment>
    <comment ref="O341" authorId="0" shapeId="0">
      <text>
        <t>М8 (8c): family, flock, public, team, government; countryside, homework, housework, seaside</t>
      </text>
    </comment>
    <comment ref="G343" authorId="0" shapeId="0">
      <text>
        <t>М5: + woman — women</t>
      </text>
    </comment>
    <comment ref="I343" authorId="0" shapeId="0">
      <text>
        <t>М2 (2b): 6 слов</t>
      </text>
    </comment>
    <comment ref="J343" authorId="0" shapeId="0">
      <text>
        <t>М1: 6 слов</t>
      </text>
    </comment>
    <comment ref="G344" authorId="0" shapeId="0">
      <text>
        <t>М5: fish — fish, sheep — sheep</t>
      </text>
    </comment>
    <comment ref="I345" authorId="0" shapeId="0">
      <text>
        <t>М2 (2b): shorts, jeans, pyjamas, scissors, clothes, glasses</t>
      </text>
    </comment>
    <comment ref="G346" authorId="0" shapeId="0">
      <text>
        <t>М2: только это правило: pen — pens, book — books
М6: chair — chairs</t>
      </text>
    </comment>
    <comment ref="I346" authorId="0" shapeId="0">
      <text>
        <t>М2 (2b): a doll – two dolls</t>
      </text>
    </comment>
    <comment ref="J346" authorId="0" shapeId="0">
      <text>
        <t>М1: a car – two cars</t>
      </text>
    </comment>
    <comment ref="G347" authorId="0" shapeId="0">
      <text>
        <t>М6: -s, -ss, -o, -x: buses, glasses, potatoes, boxes</t>
      </text>
    </comment>
    <comment ref="I347" authorId="0" shapeId="0">
      <text>
        <t>М2 (2b): добавлены -sh, -ch: toothbrushes, matches</t>
      </text>
    </comment>
    <comment ref="J347" authorId="0" shapeId="0">
      <text>
        <t>М1: buses, dresses, brushes, benches, boxes, tomatoes</t>
      </text>
    </comment>
    <comment ref="G348" authorId="0" shapeId="0">
      <text>
        <t>М6: baby — babies, boy — boys</t>
      </text>
    </comment>
    <comment ref="I348" authorId="0" shapeId="0">
      <text>
        <t>М2 (2b): lady – ladies, toy – toys</t>
      </text>
    </comment>
    <comment ref="J348" authorId="0" shapeId="0">
      <text>
        <t>М1: berry – berries, boy – boys</t>
      </text>
    </comment>
    <comment ref="G349" authorId="0" shapeId="0">
      <text>
        <t>М6: shelf — shelves</t>
      </text>
    </comment>
    <comment ref="I349" authorId="0" shapeId="0">
      <text>
        <t>М2 (2b): life – lives, scarf – scarves</t>
      </text>
    </comment>
    <comment ref="J349" authorId="0" shapeId="0">
      <text>
        <t>М1: leaf – leaves, knife – knives</t>
      </text>
    </comment>
    <comment ref="J350" authorId="0" shapeId="0">
      <text>
        <t>М1: videos, photos</t>
      </text>
    </comment>
    <comment ref="I351" authorId="0" shapeId="0">
      <text>
        <t>М2 (2b): только в оглавлении (Listening &amp; Pronunciation 2b), в справочнике правила нет</t>
      </text>
    </comment>
    <comment ref="G352" authorId="0" shapeId="0">
      <text>
        <t>М4: Lulu's rocking horse, the dog's house; только ед. ч.</t>
      </text>
    </comment>
    <comment ref="I352" authorId="0" shapeId="0">
      <text>
        <t>М4 (4b): Jim's room, the girl's guitar; 's — для одушевлённых</t>
      </text>
    </comment>
    <comment ref="J352" authorId="0" shapeId="0">
      <text>
        <t>М1 (1a): Mary's bag; для людей и животных</t>
      </text>
    </comment>
    <comment ref="G353" authorId="0" shapeId="0">
      <text>
        <t>М4: кому принадлежит</t>
      </text>
    </comment>
    <comment ref="I353" authorId="0" shapeId="0">
      <text>
        <t>М4 (4b): Whose is the guitar? It's Peter's.</t>
      </text>
    </comment>
    <comment ref="I354" authorId="0" shapeId="0">
      <text>
        <t>М4 (4b): Linda's sister</t>
      </text>
    </comment>
    <comment ref="J354" authorId="0" shapeId="0">
      <text>
        <t>М1 (1a): Tom's uncle</t>
      </text>
    </comment>
    <comment ref="I355" authorId="0" shapeId="0">
      <text>
        <t>М4 (4b): at the chemist's</t>
      </text>
    </comment>
    <comment ref="J355" authorId="0" shapeId="0">
      <text>
        <t>М1 (1a): добавлено at Bob's — у Боба дома</t>
      </text>
    </comment>
    <comment ref="I356" authorId="0" shapeId="0">
      <text>
        <t>М4 (4b): Doris's / Doris' dress</t>
      </text>
    </comment>
    <comment ref="J356" authorId="0" shapeId="0">
      <text>
        <t>М1 (1a): Doris's / Doris' hat</t>
      </text>
    </comment>
    <comment ref="I357" authorId="0" shapeId="0">
      <text>
        <t>М4 (4b): the boys' toys, the women's dresses</t>
      </text>
    </comment>
    <comment ref="J357" authorId="0" shapeId="0">
      <text>
        <t>М1 (1a): the girls' room, the children's books</t>
      </text>
    </comment>
    <comment ref="G359" authorId="0" shapeId="0">
      <text>
        <t>М4: the не дан</t>
      </text>
    </comment>
    <comment ref="G360" authorId="0" shapeId="0">
      <text>
        <t>М4: a ball, an elephant</t>
      </text>
    </comment>
    <comment ref="I360" authorId="0" shapeId="0">
      <text>
        <t>М1 (1a): правило по букве (a, e, i, o, u)</t>
      </text>
    </comment>
    <comment ref="G361" authorId="0" shapeId="0">
      <text>
        <t>М3: There is some cheese / There are some apples</t>
      </text>
    </comment>
    <comment ref="I361" authorId="0" shapeId="0">
      <text>
        <t>М8 (8b): There are some pencils / There is some jam</t>
      </text>
    </comment>
    <comment ref="J361" authorId="0" shapeId="0">
      <text>
        <t>М2 (2b): I've got some money / some books</t>
      </text>
    </comment>
    <comment ref="K361" authorId="0" shapeId="0">
      <text>
        <t>М9: We need some bananas and some milk</t>
      </text>
    </comment>
    <comment ref="G362" authorId="0" shapeId="0">
      <text>
        <t>М3: There aren't any eggs / isn't any water</t>
      </text>
    </comment>
    <comment ref="I362" authorId="0" shapeId="0">
      <text>
        <t>М8 (8b): There aren't any pencils / isn't any jam</t>
      </text>
    </comment>
    <comment ref="J362" authorId="0" shapeId="0">
      <text>
        <t>М2 (2b): No, I haven't got any money</t>
      </text>
    </comment>
    <comment ref="G363" authorId="0" shapeId="0">
      <text>
        <t>М3: Are there any biscuits? Is there any chocolate?</t>
      </text>
    </comment>
    <comment ref="I363" authorId="0" shapeId="0">
      <text>
        <t>М8 (8b): Are there any pencils? Is there any jam?</t>
      </text>
    </comment>
    <comment ref="J363" authorId="0" shapeId="0">
      <text>
        <t>М2 (2b): Have you got any money?</t>
      </text>
    </comment>
    <comment ref="G364" authorId="0" shapeId="0">
      <text>
        <t>М3: только просьба: Can I have some milk, please?</t>
      </text>
    </comment>
    <comment ref="I364" authorId="0" shapeId="0">
      <text>
        <t>М8 (8b): только в примере: Can I have some water, please?</t>
      </text>
    </comment>
    <comment ref="J364" authorId="0" shapeId="0">
      <text>
        <t>М2 (2b): добавлено предложение: Would you like some coffee?</t>
      </text>
    </comment>
    <comment ref="K364" authorId="0" shapeId="0">
      <text>
        <t>М9: Would you like some tea? / Can I have some apple juice?</t>
      </text>
    </comment>
    <comment ref="I365" authorId="0" shapeId="0">
      <text>
        <t>М8 (8b): There is an apple / There isn't an apple / Is there an apple?</t>
      </text>
    </comment>
    <comment ref="K365" authorId="0" shapeId="0">
      <text>
        <t>М9: a/an во всех типах предложений с исч. ед. ч.</t>
      </text>
    </comment>
    <comment ref="I366" authorId="0" shapeId="0">
      <text>
        <t>М8 (8b): перед неисч. не переводится, перед исч. — «несколько»</t>
      </text>
    </comment>
    <comment ref="J366" authorId="0" shapeId="0">
      <text>
        <t>М2 (2b): some bread — немного хлеба, some apples — несколько яблок</t>
      </text>
    </comment>
    <comment ref="H367" authorId="0" shapeId="0">
      <text>
        <t>М3: She's got a lot of friends. There is a lot of cheese</t>
      </text>
    </comment>
    <comment ref="J367" authorId="0" shapeId="0">
      <text>
        <t>М9 (9a): добавлено lots of</t>
      </text>
    </comment>
    <comment ref="H368" authorId="0" shapeId="0">
      <text>
        <t>М3: There isn't much butter / aren't many apples</t>
      </text>
    </comment>
    <comment ref="J368" authorId="0" shapeId="0">
      <text>
        <t>М9 (9a): There isn't much sugar / aren't many books</t>
      </text>
    </comment>
    <comment ref="H369" authorId="0" shapeId="0">
      <text>
        <t>М3: Is there much sugar? Are there many girls?</t>
      </text>
    </comment>
    <comment ref="J369" authorId="0" shapeId="0">
      <text>
        <t>М9 (9a): Are there many books on the shelf?</t>
      </text>
    </comment>
    <comment ref="I370" authorId="0" shapeId="0">
      <text>
        <t>М8 (8b): How much sugar have you got?</t>
      </text>
    </comment>
    <comment ref="J370" authorId="0" shapeId="0">
      <text>
        <t>М9 (9a): How much money…? How many boys…?</t>
      </text>
    </comment>
    <comment ref="H371" authorId="0" shapeId="0">
      <text>
        <t>М3: Not much. / Not many. / A lot.</t>
      </text>
    </comment>
    <comment ref="K371" authorId="0" shapeId="0">
      <text>
        <t>М9: добавлено: of опускается — Yes, there's a lot / lots</t>
      </text>
    </comment>
    <comment ref="N371" authorId="0" shapeId="0">
      <text>
        <t>М5 (5c): There's lots going on</t>
      </text>
    </comment>
    <comment ref="O371" authorId="0" shapeId="0">
      <text>
        <t>М8 (8c): There's lots/a lot going on</t>
      </text>
    </comment>
    <comment ref="I372" authorId="0" shapeId="0">
      <text>
        <t>М9 (9a): I can see a white cat</t>
      </text>
    </comment>
    <comment ref="L372" authorId="0" shapeId="0">
      <text>
        <t>М2 (2b): неизвестное/неупомянутое ранее</t>
      </text>
    </comment>
    <comment ref="I373" authorId="0" shapeId="0">
      <text>
        <t>М9 (9a): The cat on the sofa is black</t>
      </text>
    </comment>
    <comment ref="L373" authorId="0" shapeId="0">
      <text>
        <t>М2 (2b): добавлено: ясно из контекста; ед./мн., исч./неисч.</t>
      </text>
    </comment>
    <comment ref="I374" authorId="0" shapeId="0">
      <text>
        <t>М9 (9a): They sell toys… Do you like milk?</t>
      </text>
    </comment>
    <comment ref="L374" authorId="0" shapeId="0">
      <text>
        <t>М2 (2b): the не с мн. ч. в значении группы вообще</t>
      </text>
    </comment>
    <comment ref="N374" authorId="0" shapeId="0">
      <text>
        <t>М5 (5c): не the + мн. ч.</t>
      </text>
    </comment>
    <comment ref="I375" authorId="0" shapeId="0">
      <text>
        <t>М9 (9a): my, this, some/any/no, every/each, whose/which, three, my granny's</t>
      </text>
    </comment>
    <comment ref="L376" authorId="0" shapeId="0">
      <text>
        <t>М2 (2b): three times a day, a pound, a third, 60 km an hour</t>
      </text>
    </comment>
    <comment ref="N376" authorId="0" shapeId="0">
      <text>
        <t>М5 (5c): + a million, £4 a litre</t>
      </text>
    </comment>
    <comment ref="L377" authorId="0" shapeId="0">
      <text>
        <t>М2 (2b): a cold, a fever, a headache; но не flu, pneumonia, tonsillitis</t>
      </text>
    </comment>
    <comment ref="L379" authorId="0" shapeId="0">
      <text>
        <t>М2 (2b): the moon, the sky, play the guitar</t>
      </text>
    </comment>
    <comment ref="N379" authorId="0" shapeId="0">
      <text>
        <t>М5 (5c): the moon, play the flute</t>
      </text>
    </comment>
    <comment ref="L380" authorId="0" shapeId="0">
      <text>
        <t>М2 (2b): the: реки, моря, океаны, горные цепи, группы островов, пустыни; без: страны, города, улицы, горы, острова, континенты, озёра (Lake Baikal / the Baikal)</t>
      </text>
    </comment>
    <comment ref="L381" authorId="0" shapeId="0">
      <text>
        <t>М2 (2b): Barclays Bank, but the Black Swan Hotel</t>
      </text>
    </comment>
    <comment ref="N381" authorId="0" shapeId="0">
      <text>
        <t>М5 (5c): Glasgow Airport, Harrods, но the White House</t>
      </text>
    </comment>
    <comment ref="L382" authorId="0" shapeId="0">
      <text>
        <t>М2 (2b): the Jacksons, the President (но King Henry VIII), the young, the poor</t>
      </text>
    </comment>
    <comment ref="N382" authorId="0" shapeId="0">
      <text>
        <t>М5 (5c): the Smiths, the elderly</t>
      </text>
    </comment>
    <comment ref="I385" authorId="0" shapeId="0">
      <text>
        <t>М8 (8b): There are a few eggs</t>
      </text>
    </comment>
    <comment ref="J385" authorId="0" shapeId="0">
      <text>
        <t>М9 (9a): в утверждениях, вопросах и отрицаниях</t>
      </text>
    </comment>
    <comment ref="I386" authorId="0" shapeId="0">
      <text>
        <t>М8 (8b): Put a little sugar</t>
      </text>
    </comment>
    <comment ref="J386" authorId="0" shapeId="0">
      <text>
        <t>М9 (9a): There is a little water</t>
      </text>
    </comment>
    <comment ref="I387" authorId="0" shapeId="0">
      <text>
        <t>М8 (8b): We have got few tomatoes. There is little milk.</t>
      </text>
    </comment>
    <comment ref="I388" authorId="0" shapeId="0">
      <text>
        <t>М8 (8b): противопоставление по значению</t>
      </text>
    </comment>
    <comment ref="M388" authorId="0" shapeId="0">
      <text>
        <t>М8 (8d): формулировка «немного, но достаточно / почти нет»</t>
      </text>
    </comment>
    <comment ref="O390" authorId="0" shapeId="0">
      <text>
        <t>М8 (8c): It's a little cold</t>
      </text>
    </comment>
    <comment ref="K391" authorId="0" shapeId="0">
      <text>
        <t>М9: a bottle of Coke, a glass of water, a loaf of bread…</t>
      </text>
    </comment>
    <comment ref="L393" authorId="0" shapeId="0">
      <text>
        <t>М2 (2d): clothes, jeans, binoculars, pliers, scissors, arms, congratulations, people, stairs, surroundings</t>
      </text>
    </comment>
    <comment ref="L394" authorId="0" shapeId="0">
      <text>
        <t>М2 (2d): The team were… / The team was…</t>
      </text>
    </comment>
    <comment ref="L395" authorId="0" shapeId="0">
      <text>
        <t>М2 (2b): исч. мн. ч. / неисч.; very few, very little</t>
      </text>
    </comment>
    <comment ref="L396" authorId="0" shapeId="0">
      <text>
        <t>М2 (2b): исч. мн. ч. и неисч., обычно в утверждениях</t>
      </text>
    </comment>
    <comment ref="O398" authorId="0" shapeId="0">
      <text>
        <t>М8 (8c): every — вся группа, each — по отдельности; each — о двух, every — о трёх+</t>
      </text>
    </comment>
    <comment ref="O400" authorId="0" shapeId="0">
      <text>
        <t>М8 (8c): a great deal of + неисч.; plenty of + исч./неисч.</t>
      </text>
    </comment>
    <comment ref="O401" authorId="0" shapeId="0">
      <text>
        <t>М8 (8c): отсылка к Indefinite pronouns</t>
      </text>
    </comment>
    <comment ref="I402" authorId="0" shapeId="0">
      <text>
        <t>М2 (2b): This is a ball. / These are balls.</t>
      </text>
    </comment>
    <comment ref="I403" authorId="0" shapeId="0">
      <text>
        <t>М2 (2b): That is a ball. / Those are balls.</t>
      </text>
    </comment>
    <comment ref="G404" authorId="0" shapeId="0">
      <text>
        <t>М4: о людях, животных, предметах рядом / далеко</t>
      </text>
    </comment>
    <comment ref="G405" authorId="0" shapeId="0">
      <text>
        <t>М2: полная таблица I — my … they — their</t>
      </text>
    </comment>
    <comment ref="I405" authorId="0" shapeId="0">
      <text>
        <t>М3 (3b): its — о неодушевлённом</t>
      </text>
    </comment>
    <comment ref="J405" authorId="0" shapeId="0">
      <text>
        <t>М1 (1a): «основная форма»</t>
      </text>
    </comment>
    <comment ref="G406" authorId="0" shapeId="0">
      <text>
        <t>М2: перед существительным: This is my mother</t>
      </text>
    </comment>
    <comment ref="I406" authorId="0" shapeId="0">
      <text>
        <t>М3 (3b): This is my book / Peter is her father</t>
      </text>
    </comment>
    <comment ref="J406" authorId="0" shapeId="0">
      <text>
        <t>М1 (1a): This is my bike / Derek is her brother</t>
      </text>
    </comment>
    <comment ref="I407" authorId="0" shapeId="0">
      <text>
        <t>М3 (3b): в английском употребляются чаще, чем в русском</t>
      </text>
    </comment>
    <comment ref="I409" authorId="0" shapeId="0">
      <text>
        <t>М4 (4a): Look at him! to me, about me</t>
      </text>
    </comment>
    <comment ref="I410" authorId="0" shapeId="0">
      <text>
        <t>М4 (4a): общая таблица I — me — my; функции: подлежащее / дополнение / определение</t>
      </text>
    </comment>
    <comment ref="I412" authorId="0" shapeId="0">
      <text>
        <t>М1 (1b): I — с прописной; you — ед. и мн. ч.</t>
      </text>
    </comment>
    <comment ref="I413" authorId="0" shapeId="0">
      <text>
        <t>М1 (1b): it — неодушевлённые, абстрактные, животные</t>
      </text>
    </comment>
    <comment ref="J413" authorId="0" shapeId="0">
      <text>
        <t>М1: it — предметы или животные</t>
      </text>
    </comment>
    <comment ref="J414" authorId="0" shapeId="0">
      <text>
        <t>М1 (1b): This bike is mine</t>
      </text>
    </comment>
    <comment ref="J415" authorId="0" shapeId="0">
      <text>
        <t>М1 (1b): my – mine … their – theirs</t>
      </text>
    </comment>
    <comment ref="K417" authorId="0" shapeId="0">
      <text>
        <t>М10: Tim cut himself</t>
      </text>
    </comment>
    <comment ref="M417" authorId="0" shapeId="0">
      <text>
        <t>М6 (6d): добавлен список: behave, burn, cut, enjoy, hurt, kill, look at, laugh at, introduce, dry, teach</t>
      </text>
    </comment>
    <comment ref="K418" authorId="0" shapeId="0">
      <text>
        <t>М10: Karen will cut the cake herself</t>
      </text>
    </comment>
    <comment ref="M418" authorId="0" shapeId="0">
      <text>
        <t>М6 (6d): только Do it yourself; в ToC «emphatic pronouns», в справочнике не описано</t>
      </text>
    </comment>
    <comment ref="K419" authorId="0" shapeId="0">
      <text>
        <t>М10: He did the shopping by himself</t>
      </text>
    </comment>
    <comment ref="O419" authorId="0" shapeId="0">
      <text>
        <t>М4: = alone, on my own</t>
      </text>
    </comment>
    <comment ref="K420" authorId="0" shapeId="0">
      <text>
        <t>М10: dress, wash, hide</t>
      </text>
    </comment>
    <comment ref="M420" authorId="0" shapeId="0">
      <text>
        <t>М6 (6d): добавлены shave, undress, afford, complain, meet, wake up; исключение — маленькие дети/животные</t>
      </text>
    </comment>
    <comment ref="O420" authorId="0" shapeId="0">
      <text>
        <t>М4: добавлены rest, relax, stand up, get up, sit down</t>
      </text>
    </comment>
    <comment ref="O421" authorId="0" shapeId="0">
      <text>
        <t>М4: Helen doesn't seem herself lately</t>
      </text>
    </comment>
    <comment ref="M422" authorId="0" shapeId="0">
      <text>
        <t>М6 (6d): behind you</t>
      </text>
    </comment>
    <comment ref="O422" authorId="0" shapeId="0">
      <text>
        <t>М4: take care of yourself; behind you, NOT behind yourself</t>
      </text>
    </comment>
    <comment ref="M424" authorId="0" shapeId="0">
      <text>
        <t>М8 (8d): Every student has a library card</t>
      </text>
    </comment>
    <comment ref="M429" authorId="0" shapeId="0">
      <text>
        <t>М8 (8d): -body/-one, -thing, -where</t>
      </text>
    </comment>
    <comment ref="N429" authorId="0" shapeId="0">
      <text>
        <t>М5 (5c): производные упомянуты без таблицы</t>
      </text>
    </comment>
    <comment ref="M431" authorId="0" shapeId="0">
      <text>
        <t>М8 (8d): Would you like some cake?</t>
      </text>
    </comment>
    <comment ref="O431" authorId="0" shapeId="0">
      <text>
        <t>М8 (8c): добавлено: когда ожидается «да» (Have you lost something?)</t>
      </text>
    </comment>
    <comment ref="N434" authorId="0" shapeId="0">
      <text>
        <t>М5 (5c): Anyone can take part</t>
      </text>
    </comment>
    <comment ref="O434" authorId="0" shapeId="0">
      <text>
        <t>М8 (8c): Anyone can take part; You can come any time</t>
      </text>
    </comment>
    <comment ref="N435" authorId="0" shapeId="0">
      <text>
        <t>М5 (5c): примеры замен: haven't got any → 've got no; wasn't anybody → was nobody</t>
      </text>
    </comment>
    <comment ref="O436" authorId="0" shapeId="0">
      <text>
        <t>М8 (8c): в утвердительных с неисч. и мн. ч.</t>
      </text>
    </comment>
    <comment ref="O439" authorId="0" shapeId="0">
      <text>
        <t>М8 (8c): Both Nick and Alex are… / They are both… / Both of them…</t>
      </text>
    </comment>
    <comment ref="O440" authorId="0" shapeId="0">
      <text>
        <t>М8 (8c): + ед. ч. исчисляемого; either of/neither of + глагол в ед. или мн. ч.</t>
      </text>
    </comment>
    <comment ref="O441" authorId="0" shapeId="0">
      <text>
        <t>М8 (8c): All of us… / We all… / All four of us…</t>
      </text>
    </comment>
    <comment ref="O442" authorId="0" shapeId="0">
      <text>
        <t>М8 (8c): No, none. / none of + сущ./местоимение</t>
      </text>
    </comment>
    <comment ref="O443" authorId="0" shapeId="0">
      <text>
        <t>М8 (8c): a/the/this/my + whole + noun</t>
      </text>
    </comment>
    <comment ref="H445" authorId="0" shapeId="0">
      <text>
        <t>М2: never, sometimes, usually, often, always; с Present Simple</t>
      </text>
    </comment>
    <comment ref="I445" authorId="0" shapeId="0">
      <text>
        <t>М6 (6a): never, sometimes, often, usually, always</t>
      </text>
    </comment>
    <comment ref="H446" authorId="0" shapeId="0">
      <text>
        <t>М2: только примерами: перед смысловым глаголом и после is; правило не сформулировано</t>
      </text>
    </comment>
    <comment ref="I446" authorId="0" shapeId="0">
      <text>
        <t>М6 (6a): правило сформулировано: перед смысловым, после to be</t>
      </text>
    </comment>
    <comment ref="I447" authorId="0" shapeId="0">
      <text>
        <t>М6 (6a): He doesn't often read; He can never sleep</t>
      </text>
    </comment>
    <comment ref="J447" authorId="0" shapeId="0">
      <text>
        <t>М4 (4a): He can never wake up…</t>
      </text>
    </comment>
    <comment ref="L447" authorId="0" shapeId="0">
      <text>
        <t>М1 (1c): после вспомогательных</t>
      </text>
    </comment>
    <comment ref="M447" authorId="0" shapeId="0">
      <text>
        <t>М1 (1c): He has never travelled abroad</t>
      </text>
    </comment>
    <comment ref="J448" authorId="0" shapeId="0">
      <text>
        <t>М4 (4a): seldom, rarely</t>
      </text>
    </comment>
    <comment ref="L449" authorId="0" shapeId="0">
      <text>
        <t>М1 (1c): always 100%, usually 75%, often 50%, sometimes 25%, never 0%</t>
      </text>
    </comment>
    <comment ref="H450" authorId="0" shapeId="0">
      <text>
        <t>М4: small — smaller; + than при сравнении</t>
      </text>
    </comment>
    <comment ref="I450" authorId="0" shapeId="0">
      <text>
        <t>М7: Ben is taller than Emma</t>
      </text>
    </comment>
    <comment ref="H451" authorId="0" shapeId="0">
      <text>
        <t>М4: beautiful — more beautiful</t>
      </text>
    </comment>
    <comment ref="I451" authorId="0" shapeId="0">
      <text>
        <t>М7: more beautiful</t>
      </text>
    </comment>
    <comment ref="L451" authorId="0" shapeId="0">
      <text>
        <t>М1 (1d): sociable</t>
      </text>
    </comment>
    <comment ref="H452" authorId="0" shapeId="0">
      <text>
        <t>М4: nice — nicer, thin — thinner, funny — funnier; только для -er
М7: добавлено -est: nicest, happiest, biggest</t>
      </text>
    </comment>
    <comment ref="I452" authorId="0" shapeId="0">
      <text>
        <t>М7: big – bigger, wise – wiser, sunny – sunnier</t>
      </text>
    </comment>
    <comment ref="J452" authorId="0" shapeId="0">
      <text>
        <t>М8 (8b): safe – safer, early – earlier, big – bigger</t>
      </text>
    </comment>
    <comment ref="K452" authorId="0" shapeId="0">
      <text>
        <t>М7: wide – wider, big – bigger, ugly – uglier</t>
      </text>
    </comment>
    <comment ref="L452" authorId="0" shapeId="0">
      <text>
        <t>М1 (1d): hot – hotter, easy – easier</t>
      </text>
    </comment>
    <comment ref="M452" authorId="0" shapeId="0">
      <text>
        <t>М5 (5c): hot-hotter, easy-easier</t>
      </text>
    </comment>
    <comment ref="N452" authorId="0" shapeId="0">
      <text>
        <t>М3 (3c): big – bigger, -ier</t>
      </text>
    </comment>
    <comment ref="H453" authorId="0" shapeId="0">
      <text>
        <t>М7: tall — tallest; the + … + of/in, сравнение 3+</t>
      </text>
    </comment>
    <comment ref="I453" authorId="0" shapeId="0">
      <text>
        <t>М7: the + -est + of/in; артикль относится к существительному</t>
      </text>
    </comment>
    <comment ref="L453" authorId="0" shapeId="0">
      <text>
        <t>М1 (1d): the youngest of…, the funniest … in</t>
      </text>
    </comment>
    <comment ref="N453" authorId="0" shapeId="0">
      <text>
        <t>М3 (3c): the + in (места) / of</t>
      </text>
    </comment>
    <comment ref="H454" authorId="0" shapeId="0">
      <text>
        <t>М7: interesting — most interesting</t>
      </text>
    </comment>
    <comment ref="I454" authorId="0" shapeId="0">
      <text>
        <t>М7: the most beautiful</t>
      </text>
    </comment>
    <comment ref="H455" authorId="0" shapeId="0">
      <text>
        <t>М7: только good — better — best, bad — worse — worst</t>
      </text>
    </comment>
    <comment ref="I455" authorId="0" shapeId="0">
      <text>
        <t>М6: добавлены much/many/lots – more – most, little – less – least
М7: good, bad, many/much, little</t>
      </text>
    </comment>
    <comment ref="J455" authorId="0" shapeId="0">
      <text>
        <t>М8 (8b): good, bad, many/much, little</t>
      </text>
    </comment>
    <comment ref="N455" authorId="0" shapeId="0">
      <text>
        <t>М3 (3c): good/well, bad/badly, much, many/lots, little</t>
      </text>
    </comment>
    <comment ref="H456" authorId="0" shapeId="0">
      <text>
        <t>М4: только на -y: busy — busier
М7: tasty — tastiest</t>
      </text>
    </comment>
    <comment ref="J456" authorId="0" shapeId="0">
      <text>
        <t>М8 (8b): добавлены двусложные на -er (pretty, …-er)</t>
      </text>
    </comment>
    <comment ref="K456" authorId="0" shapeId="0">
      <text>
        <t>М7: добавлены на -ow (narrow – narrower)</t>
      </text>
    </comment>
    <comment ref="M456" authorId="0" shapeId="0">
      <text>
        <t>М5 (5c): easy-easier</t>
      </text>
    </comment>
    <comment ref="N456" authorId="0" shapeId="0">
      <text>
        <t>М3 (3c): согласная + y → -ier/-iest</t>
      </text>
    </comment>
    <comment ref="K457" authorId="0" shapeId="0">
      <text>
        <t>М7: clever, common, cruel, friendly, gentle, pleasant, polite, simple, stupid, quiet</t>
      </text>
    </comment>
    <comment ref="L457" authorId="0" shapeId="0">
      <text>
        <t>М1 (1d): clever, cruel, friendly, gentle, narrow, quiet, shallow, simple</t>
      </text>
    </comment>
    <comment ref="M457" authorId="0" shapeId="0">
      <text>
        <t>М5 (5c): clever, cruel, friendly…, stupid</t>
      </text>
    </comment>
    <comment ref="N457" authorId="0" shapeId="0">
      <text>
        <t>М3 (3c): clever, common, …, stupid</t>
      </text>
    </comment>
    <comment ref="K458" authorId="0" shapeId="0">
      <text>
        <t>М7: far – farther/further; old – older/elder</t>
      </text>
    </comment>
    <comment ref="L458" authorId="0" shapeId="0">
      <text>
        <t>М1 (1d): farther — расстояние / further — время (further information); elder/eldest — члены семьи</t>
      </text>
    </comment>
    <comment ref="M458" authorId="0" shapeId="0">
      <text>
        <t>М5 (5c): far, elder/eldest</t>
      </text>
    </comment>
    <comment ref="N458" authorId="0" shapeId="0">
      <text>
        <t>М3 (3c): far – farther/further; elder/eldest</t>
      </text>
    </comment>
    <comment ref="I459" authorId="0" shapeId="0">
      <text>
        <t>М6: fast, early, late, high, near: hard – harder – hardest</t>
      </text>
    </comment>
    <comment ref="K459" authorId="0" shapeId="0">
      <text>
        <t>М7: расширенный список: free, low, deep, long, right, wrong, straight</t>
      </text>
    </comment>
    <comment ref="L459" authorId="0" shapeId="0">
      <text>
        <t>М1 (1d): hard, fast, early, late…</t>
      </text>
    </comment>
    <comment ref="I460" authorId="0" shapeId="0">
      <text>
        <t>М6: slowly – more slowly – most slowly</t>
      </text>
    </comment>
    <comment ref="K460" authorId="0" shapeId="0">
      <text>
        <t>М7: slowly</t>
      </text>
    </comment>
    <comment ref="L460" authorId="0" shapeId="0">
      <text>
        <t>М1 (1d): quickly, slowly, easily</t>
      </text>
    </comment>
    <comment ref="I461" authorId="0" shapeId="0">
      <text>
        <t>М6: well – better – best, badly – worse – worst</t>
      </text>
    </comment>
    <comment ref="K461" authorId="0" shapeId="0">
      <text>
        <t>М7: good/well, bad/badly</t>
      </text>
    </comment>
    <comment ref="M461" authorId="0" shapeId="0">
      <text>
        <t>М5 (5c): good/well, bad/badly</t>
      </text>
    </comment>
    <comment ref="K462" authorId="0" shapeId="0">
      <text>
        <t>М3: a small car – small cars</t>
      </text>
    </comment>
    <comment ref="K463" authorId="0" shapeId="0">
      <text>
        <t>М3: Mary is young. You look tired.</t>
      </text>
    </comment>
    <comment ref="K464" authorId="0" shapeId="0">
      <text>
        <t>М3: beautiful, good vs long, strong, young</t>
      </text>
    </comment>
    <comment ref="K465" authorId="0" shapeId="0">
      <text>
        <t>М3: a colourful summer dress; обычно не более трёх</t>
      </text>
    </comment>
    <comment ref="L465" authorId="0" shapeId="0">
      <text>
        <t>М2 (2e): nice, strange; good, practical, bad</t>
      </text>
    </comment>
    <comment ref="K466" authorId="0" shapeId="0">
      <text>
        <t>М3: Size, Age, Shape, Colour, Origin, Material; узор не выделен</t>
      </text>
    </comment>
    <comment ref="L466" authorId="0" shapeId="0">
      <text>
        <t>М2 (2e): huge, old, round, dark pink, Italian, leather</t>
      </text>
    </comment>
    <comment ref="L467" authorId="0" shapeId="0">
      <text>
        <t>М2 (2e): striped, checked, floral — между цветом и происхождением</t>
      </text>
    </comment>
    <comment ref="K468" authorId="0" shapeId="0">
      <text>
        <t>М3: amazing</t>
      </text>
    </comment>
    <comment ref="N468" authorId="0" shapeId="0">
      <text>
        <t>М5 (5e): It was an exciting story</t>
      </text>
    </comment>
    <comment ref="K469" authorId="0" shapeId="0">
      <text>
        <t>М3: shocked, amazed</t>
      </text>
    </comment>
    <comment ref="N469" authorId="0" shapeId="0">
      <text>
        <t>М5 (5e): We were excited by the news</t>
      </text>
    </comment>
    <comment ref="K470" authorId="0" shapeId="0">
      <text>
        <t>М7: as … as, not as/so … as</t>
      </text>
    </comment>
    <comment ref="M470" authorId="0" shapeId="0">
      <text>
        <t>М5 (5c): as … as / not as(so) … as</t>
      </text>
    </comment>
    <comment ref="K471" authorId="0" shapeId="0">
      <text>
        <t>М7: less … than / more … than; the least / the most … of/in</t>
      </text>
    </comment>
    <comment ref="M471" authorId="0" shapeId="0">
      <text>
        <t>М5 (5c): less/more … than, the least/most</t>
      </text>
    </comment>
    <comment ref="K472" authorId="0" shapeId="0">
      <text>
        <t>М7: much/a lot/far/a little/a bit/slightly</t>
      </text>
    </comment>
    <comment ref="M472" authorId="0" shapeId="0">
      <text>
        <t>М5 (5c): much/a lot/far/a little bit/slightly</t>
      </text>
    </comment>
    <comment ref="K473" authorId="0" shapeId="0">
      <text>
        <t>М7: The harder she studies, the more easily…</t>
      </text>
    </comment>
    <comment ref="M473" authorId="0" shapeId="0">
      <text>
        <t>М5 (5c): The longer the day went on, the more tired…</t>
      </text>
    </comment>
    <comment ref="N473" authorId="0" shapeId="0">
      <text>
        <t>М3 (3c): The harder you study, the better…</t>
      </text>
    </comment>
    <comment ref="K474" authorId="0" shapeId="0">
      <text>
        <t>М7: shorter and shorter</t>
      </text>
    </comment>
    <comment ref="M474" authorId="0" shapeId="0">
      <text>
        <t>М5 (5c): worse and worse</t>
      </text>
    </comment>
    <comment ref="N474" authorId="0" shapeId="0">
      <text>
        <t>М3 (3c): warmer and warmer</t>
      </text>
    </comment>
    <comment ref="K475" authorId="0" shapeId="0">
      <text>
        <t>М7: by far + the + superlative</t>
      </text>
    </comment>
    <comment ref="N476" authorId="0" shapeId="0">
      <text>
        <t>М3 (3c): twice/three times/half as … as</t>
      </text>
    </comment>
    <comment ref="N477" authorId="0" shapeId="0">
      <text>
        <t>М3 (3c): the same … as</t>
      </text>
    </comment>
    <comment ref="N478" authorId="0" shapeId="0">
      <text>
        <t>М3 (3c): look/sound/smell/taste + like</t>
      </text>
    </comment>
    <comment ref="L479" authorId="0" shapeId="0">
      <text>
        <t>М1 (1d): место — перед прил./нареч.; really, very, extremely</t>
      </text>
    </comment>
    <comment ref="L480" authorId="0" shapeId="0">
      <text>
        <t>М1 (1d): pretty, quite, rather</t>
      </text>
    </comment>
    <comment ref="L481" authorId="0" shapeId="0">
      <text>
        <t>М1 (1d): a little, a bit</t>
      </text>
    </comment>
    <comment ref="L482" authorId="0" shapeId="0">
      <text>
        <t>М4 (4b): too busy</t>
      </text>
    </comment>
    <comment ref="L483" authorId="0" shapeId="0">
      <text>
        <t>М4 (4b): well enough, not old enough</t>
      </text>
    </comment>
    <comment ref="L484" authorId="0" shapeId="0">
      <text>
        <t>М4 (4b): enough time, not enough chairs</t>
      </text>
    </comment>
    <comment ref="L485" authorId="0" shapeId="0">
      <text>
        <t>М4 (4b): только в примерах: too busy to see you, not old enough to drive</t>
      </text>
    </comment>
    <comment ref="M485" authorId="0" shapeId="0">
      <text>
        <t>М2 (2c): выделено как модель + to-inf; not … enough — недостаточность</t>
      </text>
    </comment>
    <comment ref="M486" authorId="0" shapeId="0">
      <text>
        <t>М4 (4c): so loudly that…; so + many/much/few/little</t>
      </text>
    </comment>
    <comment ref="M487" authorId="0" shapeId="0">
      <text>
        <t>М4 (4c): such (a/an) + сущ.; such a lot of</t>
      </text>
    </comment>
    <comment ref="M488" authorId="0" shapeId="0">
      <text>
        <t>М4 (4c): so + adj + a(n) + noun</t>
      </text>
    </comment>
    <comment ref="O488" authorId="0" shapeId="0">
      <text>
        <t>М2 (2c): so popular a restaurant</t>
      </text>
    </comment>
    <comment ref="H489" authorId="0" shapeId="0">
      <text>
        <t>М5: 1–31 с сокращениями 1st, 2nd, 3rd</t>
      </text>
    </comment>
    <comment ref="J489" authorId="0" shapeId="0">
      <text>
        <t>М2 (2a): добавлены большие числа: 51st, 101st, 382nd, 6503rd</t>
      </text>
    </comment>
    <comment ref="H490" authorId="0" shapeId="0">
      <text>
        <t>М5: список до thirty-first</t>
      </text>
    </comment>
    <comment ref="J490" authorId="0" shapeId="0">
      <text>
        <t>М2 (2a): правило сформулировано: seven – seventh, 56 – fifty-sixth</t>
      </text>
    </comment>
    <comment ref="H491" authorId="0" shapeId="0">
      <text>
        <t>М5: fifteen — the fifteenth; даты</t>
      </text>
    </comment>
    <comment ref="J491" authorId="0" shapeId="0">
      <text>
        <t>М2 (2a): добавлено: пишется September 1 — читается the first of September; всегда с the</t>
      </text>
    </comment>
    <comment ref="G492" authorId="0" shapeId="0">
      <text>
        <t>М6: схемами</t>
      </text>
    </comment>
    <comment ref="J493" authorId="0" shapeId="0">
      <text>
        <t>М2 (2b): beside/next to</t>
      </text>
    </comment>
    <comment ref="H494" authorId="0" shapeId="0">
      <text>
        <t>М1: новые в 4 кл.</t>
      </text>
    </comment>
    <comment ref="I496" authorId="0" shapeId="0">
      <text>
        <t>М3 (3c): at 20, Oxford Street</t>
      </text>
    </comment>
    <comment ref="I497" authorId="0" shapeId="0">
      <text>
        <t>М3 (3c): in the middle, in the air, in prison, in a newspaper</t>
      </text>
    </comment>
    <comment ref="I498" authorId="0" shapeId="0">
      <text>
        <t>М3 (3c): in Athens, in England, in Europe</t>
      </text>
    </comment>
    <comment ref="G500" authorId="0" shapeId="0">
      <text>
        <t>М8: at 4 o'clock, at Christmas, at noon, at night, at the weekend</t>
      </text>
    </comment>
    <comment ref="I500" authorId="0" shapeId="0">
      <text>
        <t>М6 (6a): добавлены at Easter, at the moment, at present, at dawn, at midnight</t>
      </text>
    </comment>
    <comment ref="G501" authorId="0" shapeId="0">
      <text>
        <t>М8: on Monday</t>
      </text>
    </comment>
    <comment ref="I501" authorId="0" shapeId="0">
      <text>
        <t>М6 (6a): on Monday, on New Year's Day</t>
      </text>
    </comment>
    <comment ref="I502" authorId="0" shapeId="0">
      <text>
        <t>М6 (6a): on 6th May, on Tuesday evening, on a hot day</t>
      </text>
    </comment>
    <comment ref="I504" authorId="0" shapeId="0">
      <text>
        <t>М6 (6a): in September, in the winter, in 1996, in the 20th century</t>
      </text>
    </comment>
    <comment ref="N506" authorId="0" shapeId="0">
      <text>
        <t>М3 (3c): works like a dog; like + noun/pronoun/-ing</t>
      </text>
    </comment>
    <comment ref="N507" authorId="0" shapeId="0">
      <text>
        <t>М3 (3c): works as a clerk; придаточные образа действия</t>
      </text>
    </comment>
    <comment ref="N508" authorId="0" shapeId="0">
      <text>
        <t>М3 (3c): works like a dog vs works as a clerk</t>
      </text>
    </comment>
    <comment ref="G509" authorId="0" shapeId="0">
      <text>
        <t>М4: только whose (Whose is this doll?), в разделе Possessive case</t>
      </text>
    </comment>
    <comment ref="H510" authorId="0" shapeId="0">
      <text>
        <t>М3: How much — неисчисляемые, How many — исчисляемые; в разделе Much/Many/A lot of</t>
      </text>
    </comment>
    <comment ref="H511" authorId="0" shapeId="0">
      <text>
        <t>М8: who, what, where, when, why, how — впервые как раздел</t>
      </text>
    </comment>
    <comment ref="G512" authorId="0" shapeId="0">
      <text>
        <t>М6: there's — краткая форма</t>
      </text>
    </comment>
    <comment ref="I512" authorId="0" shapeId="0">
      <text>
        <t>М3 (3b): перевод начинается с обстоятельства места</t>
      </text>
    </comment>
    <comment ref="G513" authorId="0" shapeId="0">
      <text>
        <t>М6: There are two beds…</t>
      </text>
    </comment>
    <comment ref="G514" authorId="0" shapeId="0">
      <text>
        <t>М6: There isn't / There aren't</t>
      </text>
    </comment>
    <comment ref="G515" authorId="0" shapeId="0">
      <text>
        <t>М6: Is there…? / Are there…? (кратких ответов нет)</t>
      </text>
    </comment>
    <comment ref="I515" authorId="0" shapeId="0">
      <text>
        <t>М3 (3b): кратких ответов нет</t>
      </text>
    </comment>
    <comment ref="I516" authorId="0" shapeId="0">
      <text>
        <t>М3 (3b): There are some chairs / There aren't any / Are there any…?</t>
      </text>
    </comment>
    <comment ref="I517" authorId="0" shapeId="0">
      <text>
        <t>М1 (1b): to be, have got (Are you a teacher or a doctor?)</t>
      </text>
    </comment>
    <comment ref="I518" authorId="0" shapeId="0">
      <text>
        <t>М1 (1b): Does he work or does he go to school?
М5 (5b): Does Ann walk her dog in the morning or in the afternoon?</t>
      </text>
    </comment>
    <comment ref="I519" authorId="0" shapeId="0">
      <text>
        <t>М1 (1a): Stand up! Open your books.
М4 (4b): всегда обращено ко 2 лицу ед./мн. ч.</t>
      </text>
    </comment>
    <comment ref="I520" authorId="0" shapeId="0">
      <text>
        <t>М1 (1a): Don't come in!</t>
      </text>
    </comment>
    <comment ref="I521" authorId="0" shapeId="0">
      <text>
        <t>М4 (4b): Be quiet!</t>
      </text>
    </comment>
    <comment ref="I522" authorId="0" shapeId="0">
      <text>
        <t>М4 (4b): Press the button on the left</t>
      </text>
    </comment>
    <comment ref="I523" authorId="0" shapeId="0">
      <text>
        <t>М4 (4b): Have some orange juice</t>
      </text>
    </comment>
    <comment ref="I524" authorId="0" shapeId="0">
      <text>
        <t>М4 (4b): please в начале или в конце</t>
      </text>
    </comment>
    <comment ref="I525" authorId="0" shapeId="0">
      <text>
        <t>М7 (7a): It is 6 o'clock. It's late. It is five miles from here.</t>
      </text>
    </comment>
    <comment ref="I526" authorId="0" shapeId="0">
      <text>
        <t>М7 (7a): It's freezing.</t>
      </text>
    </comment>
    <comment ref="I527" authorId="0" shapeId="0">
      <text>
        <t>М5 (5c): Present Simple: don't you?</t>
      </text>
    </comment>
    <comment ref="K527" authorId="0" shapeId="0">
      <text>
        <t>М8: isn't he, haven't you</t>
      </text>
    </comment>
    <comment ref="M527" authorId="0" shapeId="0">
      <text>
        <t>М8 (8d): добавлено did; do/does/did при отсутствии вспомогательного</t>
      </text>
    </comment>
    <comment ref="I528" authorId="0" shapeId="0">
      <text>
        <t>М5 (5c): is / can: isn't she, can't she</t>
      </text>
    </comment>
    <comment ref="K528" authorId="0" shapeId="0">
      <text>
        <t>М8: can't she</t>
      </text>
    </comment>
    <comment ref="I529" authorId="0" shapeId="0">
      <text>
        <t>М5 (5c): This is…, isn't it? / He doesn't…, does he?
М7 (7a): повторение правил 5c, нового нет</t>
      </text>
    </comment>
    <comment ref="I530" authorId="0" shapeId="0">
      <text>
        <t>М5 (5c): There is no TV…, is there?</t>
      </text>
    </comment>
    <comment ref="K531" authorId="0" shapeId="0">
      <text>
        <t>М8: You never listen…, do you?</t>
      </text>
    </comment>
    <comment ref="M532" authorId="0" shapeId="0">
      <text>
        <t>М8 (8d): I am late, aren't I?</t>
      </text>
    </comment>
    <comment ref="M533" authorId="0" shapeId="0">
      <text>
        <t>М8 (8d): Let's → shall we?; Let me/him → will you/won't you?</t>
      </text>
    </comment>
    <comment ref="M534" authorId="0" shapeId="0">
      <text>
        <t>М8 (8d): отрицательный императив → will you?</t>
      </text>
    </comment>
    <comment ref="M535" authorId="0" shapeId="0">
      <text>
        <t>М8 (8d): I have (владеть) → haven't I?; идиома → don't/didn't I?</t>
      </text>
    </comment>
    <comment ref="M536" authorId="0" shapeId="0">
      <text>
        <t>М8 (8d): This/That is → isn't it?</t>
      </text>
    </comment>
    <comment ref="J537" authorId="0" shapeId="0">
      <text>
        <t>М4 (4c): and, then, after that, when, before, later; because/so в справочнике нет</t>
      </text>
    </comment>
    <comment ref="K538" authorId="0" shapeId="0">
      <text>
        <t>М3: who(m)/that — люди, which/that — предметы</t>
      </text>
    </comment>
    <comment ref="K539" authorId="0" shapeId="0">
      <text>
        <t>М3: whose — люди, животные, предметы; не опускается</t>
      </text>
    </comment>
    <comment ref="K540" authorId="0" shapeId="0">
      <text>
        <t>М3: можно опустить, если дополнение; нельзя — если подлежащее</t>
      </text>
    </comment>
    <comment ref="M540" authorId="0" shapeId="0">
      <text>
        <t>М1 (1d): The woman (who) you met…</t>
      </text>
    </comment>
    <comment ref="K541" authorId="0" shapeId="0">
      <text>
        <t>М3: when/that, where, why (после reason)</t>
      </text>
    </comment>
    <comment ref="M541" authorId="0" shapeId="0">
      <text>
        <t>М1 (1d): when/that, where, why</t>
      </text>
    </comment>
    <comment ref="M542" authorId="0" shapeId="0">
      <text>
        <t>М1 (1d): с запятыми / без, that только в defining</t>
      </text>
    </comment>
    <comment ref="M543" authorId="0" shapeId="0">
      <text>
        <t>М1 (1d): …, which she doesn't like</t>
      </text>
    </comment>
    <comment ref="M544" authorId="0" shapeId="0">
      <text>
        <t>М1 (1d): That's the book of which/whose (the) first page is missing</t>
      </text>
    </comment>
    <comment ref="M545" authorId="0" shapeId="0">
      <text>
        <t>М1 (1d): some of / many of / most of / half of</t>
      </text>
    </comment>
    <comment ref="O545" authorId="0" shapeId="0">
      <text>
        <t>М2 (2c): most of which</t>
      </text>
    </comment>
    <comment ref="M546" authorId="0" shapeId="0">
      <text>
        <t>М1 (1d): The person to whom you were speaking…</t>
      </text>
    </comment>
    <comment ref="K547" authorId="0" shapeId="0">
      <text>
        <t>М5: while, before, after, until/till, as, when, whenever, once, as soon as, as long as, by the time</t>
      </text>
    </comment>
    <comment ref="M547" authorId="0" shapeId="0">
      <text>
        <t>М4 (4c): тот же список союзов</t>
      </text>
    </comment>
    <comment ref="N547" authorId="0" shapeId="0">
      <text>
        <t>М3 (3c): while, before, until, as soon as, after, by the time, as</t>
      </text>
    </comment>
    <comment ref="K548" authorId="0" shapeId="0">
      <text>
        <t>М5: Present Perfect вместо будущего</t>
      </text>
    </comment>
    <comment ref="M549" authorId="0" shapeId="0">
      <text>
        <t>М4 (4c): unless, if, suppose/supposing, in case</t>
      </text>
    </comment>
    <comment ref="N549" authorId="0" shapeId="0">
      <text>
        <t>М3 (3c): только if</t>
      </text>
    </comment>
    <comment ref="M550" authorId="0" shapeId="0">
      <text>
        <t>М4 (4c): when — вопросительное слово; if/whether после I don't know, I doubt, I wonder, I'm not sure</t>
      </text>
    </comment>
    <comment ref="N550" authorId="0" shapeId="0">
      <text>
        <t>М3 (3c): только when: вопросительное слово vs союз</t>
      </text>
    </comment>
    <comment ref="L551" authorId="0" shapeId="0">
      <text>
        <t>М6 (6c): Could you tell me…? Do you know…?</t>
      </text>
    </comment>
    <comment ref="L552" authorId="0" shapeId="0">
      <text>
        <t>М6 (6c): I wonder, I want to know, I doubt</t>
      </text>
    </comment>
    <comment ref="L554" authorId="0" shapeId="0">
      <text>
        <t>М6 (6c): ask, inquire, wonder, want/would like to know</t>
      </text>
    </comment>
    <comment ref="M559" authorId="0" shapeId="0">
      <text>
        <t>М4 (4c): to / in order to / so as to</t>
      </text>
    </comment>
    <comment ref="M560" authorId="0" shapeId="0">
      <text>
        <t>М4 (4c): so that + can/will — наст./буд.; could/would — прош.</t>
      </text>
    </comment>
    <comment ref="M561" authorId="0" shapeId="0">
      <text>
        <t>М4 (4c): with the view to (так в справочнике) / with the aim of</t>
      </text>
    </comment>
    <comment ref="O562" authorId="0" shapeId="0">
      <text>
        <t>М2 (2c): a liquid for removing paint</t>
      </text>
    </comment>
    <comment ref="O563" authorId="0" shapeId="0">
      <text>
        <t>М2 (2c): in case + Present — наст./буд.; + Past — прош.</t>
      </text>
    </comment>
    <comment ref="O564" authorId="0" shapeId="0">
      <text>
        <t>М2 (2c): одно и то же действующее лицо</t>
      </text>
    </comment>
    <comment ref="O565" authorId="0" shapeId="0">
      <text>
        <t>М2 (2c): разные действующие лица</t>
      </text>
    </comment>
    <comment ref="O566" authorId="0" shapeId="0">
      <text>
        <t>М2 (2c): for fear/lest + might/should; for fear of sth/doing</t>
      </text>
    </comment>
    <comment ref="O567" authorId="0" shapeId="0">
      <text>
        <t>М2 (2c): prevent + noun/pronoun (+ from) + -ing; avoid + -ing</t>
      </text>
    </comment>
    <comment ref="M568" authorId="0" shapeId="0">
      <text>
        <t>М4 (4c): such a(n) + исчисл. ед. ч.; such + мн. ч.; such a lot of</t>
      </text>
    </comment>
    <comment ref="M569" authorId="0" shapeId="0">
      <text>
        <t>М4 (4c): so + прил./нареч.; so + few/little/many/much; so popular a museum that</t>
      </text>
    </comment>
    <comment ref="M570" authorId="0" shapeId="0">
      <text>
        <t>М4 (4c): (and) as a result, as a consequence, consequently (офиц.), so, therefore</t>
      </text>
    </comment>
    <comment ref="M572" authorId="0" shapeId="0">
      <text>
        <t>М7 (7c): but for + -ing/noun</t>
      </text>
    </comment>
    <comment ref="M574" authorId="0" shapeId="0">
      <text>
        <t>М7 (7c): Only if…, will you…</t>
      </text>
    </comment>
    <comment ref="N574" authorId="0" shapeId="0">
      <text>
        <t>М6 (6c): Only if you are dressed formally, will you…</t>
      </text>
    </comment>
    <comment ref="M575" authorId="0" shapeId="0">
      <text>
        <t>М7 (7c): If she should need help…</t>
      </text>
    </comment>
    <comment ref="N575" authorId="0" shapeId="0">
      <text>
        <t>М6 (6c): If she should need help…</t>
      </text>
    </comment>
    <comment ref="O575" authorId="0" shapeId="0">
      <text>
        <t>М7 (7c): + настойчивость (If you will stop arguing…); NOT if you will stay</t>
      </text>
    </comment>
    <comment ref="M576" authorId="0" shapeId="0">
      <text>
        <t>М1 (1c): How tall she is! How carefully he drives!</t>
      </text>
    </comment>
    <comment ref="M577" authorId="0" shapeId="0">
      <text>
        <t>М1 (1c): What a pretty baby! What an amazing story!</t>
      </text>
    </comment>
    <comment ref="M578" authorId="0" shapeId="0">
      <text>
        <t>М1 (1c): What horrible weather! (NOT What a horrible weather)</t>
      </text>
    </comment>
    <comment ref="M579" authorId="0" shapeId="0">
      <text>
        <t>М1 (1c): Isn't it great to be here!</t>
      </text>
    </comment>
    <comment ref="M580" authorId="0" shapeId="0">
      <text>
        <t>М7 (7c): Should he pass… / Were there… / Had I known…; дано в разделе условных</t>
      </text>
    </comment>
    <comment ref="N580" authorId="0" shapeId="0">
      <text>
        <t>М6 (6c): Should he pass / Were I / Had I known</t>
      </text>
    </comment>
    <comment ref="O582" authorId="0" shapeId="0">
      <text>
        <t>М8 (8c): Barely, Hardly… when, In no way, Under no circumstances, Little, Never, Nor/Neither, No sooner… than, Not only… but also, Nowhere, On no account, Rarely, Scarcely, Seldom</t>
      </text>
    </comment>
    <comment ref="O583" authorId="0" shapeId="0">
      <text>
        <t>М8 (8c): only after/by/if/when, not since, not till/until</t>
      </text>
    </comment>
    <comment ref="O584" authorId="0" shapeId="0">
      <text>
        <t>М8 (8c): So angry was he, that…</t>
      </text>
    </comment>
    <comment ref="O585" authorId="0" shapeId="0">
      <text>
        <t>М8 (8c): as did his grandparents</t>
      </text>
    </comment>
    <comment ref="O586" authorId="0" shapeId="0">
      <text>
        <t>М8 (8c): НО There it goes / Here they are</t>
      </text>
    </comment>
    <comment ref="O587" authorId="0" shapeId="0">
      <text>
        <t>М8 (8c): НО "…," he said</t>
      </text>
    </comment>
    <comment ref="O588" authorId="0" shapeId="0">
      <text>
        <t>М2 (2c): because отвечает на why; for — после запятой, очень формально</t>
      </text>
    </comment>
    <comment ref="O589" authorId="0" shapeId="0">
      <text>
        <t>М2 (2c): the reason for, the reason (why)</t>
      </text>
    </comment>
    <comment ref="O590" authorId="0" shapeId="0">
      <text>
        <t>М2 (2c): because of / due to + noun/-ing; … the fact that + clause</t>
      </text>
    </comment>
    <comment ref="O591" authorId="0" shapeId="0">
      <text>
        <t>М2 (2c): to whom, of which; ранее в Relative clauses 9–10 кл.</t>
      </text>
    </comment>
    <comment ref="O592" authorId="0" shapeId="0">
      <text>
        <t>М2 (2c): That was the year (when/that)…; можно опустить; ранее в Relative clauses 7, 9, 10 кл.</t>
      </text>
    </comment>
    <comment ref="O593" authorId="0" shapeId="0">
      <text>
        <t>М2 (2c): The restaurant where…</t>
      </text>
    </comment>
    <comment ref="O594" authorId="0" shapeId="0">
      <text>
        <t>М2 (2c): The reason (why) she was late…; можно опустить</t>
      </text>
    </comment>
    <comment ref="O595" authorId="0" shapeId="0">
      <text>
        <t>М8 (8c): So does Jack</t>
      </text>
    </comment>
    <comment ref="O596" authorId="0" shapeId="0">
      <text>
        <t>М8 (8c): Neither/Nor did James; NOT So didn't James</t>
      </text>
    </comment>
    <comment ref="L597" authorId="0" shapeId="0">
      <text>
        <t>М3 (3f): bring: bring about (осуществлять), bring back (напоминать, вспоминать), bring in (приносить деньги, вносить), bring out (выпускать на продажу), bring round (приводить в сознание), bring up (растить, воспитывать).</t>
      </text>
    </comment>
    <comment ref="N597" authorId="0" shapeId="0">
      <text>
        <t>М8 (8c): Фразовые глаголы с bring (ToC: «phrasal verbs (bring)»); состав частиц и значения в источнике не даны.</t>
      </text>
    </comment>
    <comment ref="L598" authorId="0" shapeId="0">
      <text>
        <t>М5 (5f): call: call for (звать; заходить за), call in (заходить, наносить визит), call off (отменять), call on (навещать), call out (звать на помощь).</t>
      </text>
    </comment>
    <comment ref="L599" authorId="0" shapeId="0">
      <text>
        <t>М1 (1f): get: get across (донести идеи до слушателя), get along with (ладить, поддерживать хорошие отношения), get somebody down (расстраивать), get over (поправиться, преодолеть), get over with (закончить, справиться).</t>
      </text>
    </comment>
    <comment ref="N599" authorId="0" shapeId="0">
      <text>
        <t>М5 (5c): Фразовые глаголы с get (ToC: «phrasal verbs (get)»); состав частиц и значения в источнике не даны.</t>
      </text>
    </comment>
    <comment ref="L600" authorId="0" shapeId="0">
      <text>
        <t>М7 (7f): give: give away (1) выдать секрет, 2) отдавать), give back (возвращать), give out (раздавать), give up (сдаваться, прекращать попытки).</t>
      </text>
    </comment>
    <comment ref="N600" authorId="0" shapeId="0">
      <text>
        <t>М6 (6c): Фразовые глаголы с give (ToC: «phrasal verbs (give)»); состав частиц и значения в источнике не даны.</t>
      </text>
    </comment>
    <comment ref="L601" authorId="0" shapeId="0">
      <text>
        <t>М2 (2f): go: go after (преследовать), go down with (заболеть чем-либо), go off (выйти из строя, сломаться), go through (пережить, получить опыт), go up (повышаться, увеличиваться), go with (подходить — об одежде), go without (обходиться без; в приложении — «выживать, справляться»).</t>
      </text>
    </comment>
    <comment ref="O601" authorId="0" shapeId="0">
      <text>
        <t>М4 (4c): go + частицы (English in Use 4c); конкретные частицы в доступных страницах не даны.</t>
      </text>
    </comment>
    <comment ref="L602" authorId="0" shapeId="0">
      <text>
        <t>М4 (4f): put: put away (откладывать, убирать), put off (отсрочивать, откладывать), put on (надевать), put out (потушить огонь), put (sb) through (to sb) (соединить по телефону), put up with (мириться с чем-либо).</t>
      </text>
    </comment>
    <comment ref="O602" authorId="0" shapeId="0">
      <text>
        <t>М2 (2c): put + частицы (English in Use 2c); конкретные частицы в доступных страницах не даны.</t>
      </text>
    </comment>
    <comment ref="L603" authorId="0" shapeId="0">
      <text>
        <t>М6 (6f): set: set aside (отставлять, откладывать), set back (задерживать), set in (наступать, начинаться; в приложении — «устанавливать»), set off (отправляться).</t>
      </text>
    </comment>
    <comment ref="L604" authorId="0" shapeId="0">
      <text>
        <t>М8 (8f): take: take after (быть похожим на), take off (1) взлетать, 2) снимать, убирать), take to (полюбить, пристраститься), take up (1) увлечься, заняться, 2) занимать время).</t>
      </text>
    </comment>
    <comment ref="N604" authorId="0" shapeId="0">
      <text>
        <t>М2 (2c): Фразовые глаголы с take (ToC: «phrasal verbs (take)»); состав частиц и значения в источнике не даны.</t>
      </text>
    </comment>
    <comment ref="M605" authorId="0" shapeId="0">
      <text>
        <t>М4 (4f): break: break down (сломаться), break into (врываться куда-либо), break out (внезапно начаться, разразиться), break out of (вырываться, убегать), break up (прекратить отношения с кем-либо).</t>
      </text>
    </comment>
    <comment ref="M606" authorId="0" shapeId="0">
      <text>
        <t>М8 (8f): carry: carry away (увлечься), carry off (справляться), carry on (продолжать что-либо делать), carry out (выполнять), carry through (доводить до конца).</t>
      </text>
    </comment>
    <comment ref="O606" authorId="0" shapeId="0">
      <text>
        <t>М7 (7c): carry + частицы (English in Use 7c); конкретные частицы в доступных страницах не даны.</t>
      </text>
    </comment>
    <comment ref="M607" authorId="0" shapeId="0">
      <text>
        <t>М6 (6f): check: check in (регистрироваться на рейс, в отеле), check off (отмечать галочкой), check on (проверять, всё ли в порядке с кем-либо), check out (пробовать), check out of (оплатить счёт), check up (убедиться).</t>
      </text>
    </comment>
    <comment ref="O607" authorId="0" shapeId="0">
      <text>
        <t>М8 (8c): check + частицы (English in Use 8c); конкретные частицы в доступных страницах не даны.</t>
      </text>
    </comment>
    <comment ref="M608" authorId="0" shapeId="0">
      <text>
        <t>М3 (3f): come: come across (случайно натолкнуться), come down with (заболеть чем-либо), come out (выступать на публике), come over (овладевать — о чувстве), come up with (предлагать идею).</t>
      </text>
    </comment>
    <comment ref="O608" authorId="0" shapeId="0">
      <text>
        <t>М1 (1c): come + частицы (English in Use 1c); конкретные частицы в доступных страницах не даны.</t>
      </text>
    </comment>
    <comment ref="M609" authorId="0" shapeId="0">
      <text>
        <t>М7 (7f): keep: keep back (держаться в стороне), keep off (не приближаться), keep on (продолжать что-либо делать), keep out of (препятствовать; так в приложении), keep up with (следовать расписанию).</t>
      </text>
    </comment>
    <comment ref="O609" authorId="0" shapeId="0">
      <text>
        <t>М3 (3c): keep + частицы (English in Use 3c); конкретные частицы в доступных страницах не даны.</t>
      </text>
    </comment>
    <comment ref="M610" authorId="0" shapeId="0">
      <text>
        <t>М2 (2f): make: make of (понимать), make off with (убежать с украденным), make out (чётко видеть), make up (изобретать, придумывать), make up for (компенсировать что-либо).</t>
      </text>
    </comment>
    <comment ref="M611" authorId="0" shapeId="0">
      <text>
        <t>М5 (5f): run: run away (убегать), run into (случайно встретить кого-либо), run out of (кончиться — обычно о продуктах), run over (задавить), run through (репетировать).</t>
      </text>
    </comment>
    <comment ref="N611" authorId="0" shapeId="0">
      <text>
        <t>М4 (4c): Фразовые глаголы с run (ToC: «phrasal verbs (run)»); состав частиц и значения в источнике не даны.</t>
      </text>
    </comment>
    <comment ref="M612" authorId="0" shapeId="0">
      <text>
        <t>М1 (1f): turn: turn back (возвращаться), turn down (отказываться), turn into (становиться, превращаться), turn off (выключать), turn up (1) увеличивать звук, 2) появляться).</t>
      </text>
    </comment>
    <comment ref="N612" authorId="0" shapeId="0">
      <text>
        <t>М7 (7c): Фразовые глаголы с turn (ToC: «phrasal verbs (turn)»); состав частиц и значения в источнике не даны.</t>
      </text>
    </comment>
    <comment ref="N613" authorId="0" shapeId="0">
      <text>
        <t>М1 (1c): Фразовые глаголы с look (ToC: «phrasal verbs (look)»); состав частиц и значения в источнике не даны.</t>
      </text>
    </comment>
    <comment ref="N614" authorId="0" shapeId="0">
      <text>
        <t>М3 (3c): Фразовые глаголы с pick (ToC: «phrasal verbs (pick)»); состав частиц и значения в источнике не даны.</t>
      </text>
    </comment>
    <comment ref="O615" authorId="0" shapeId="0">
      <text>
        <t>М5 (5c): do + частицы (English in Use 5c); конкретные частицы в доступных страницах не даны.</t>
      </text>
    </comment>
    <comment ref="O616" authorId="0" shapeId="0">
      <text>
        <t>М6 (6c): talk + частицы (English in Use 6c); конкретные частицы в доступных страницах не даны.</t>
      </text>
    </comment>
    <comment ref="I617" authorId="0" shapeId="0">
      <text>
        <t>М10 (10b): Прилагательные с суффиксами -able, -ous, -ing.</t>
      </text>
    </comment>
    <comment ref="I618" authorId="0" shapeId="0">
      <text>
        <t>М5 (5a): Прилагательные с суффиксом -al.</t>
      </text>
    </comment>
    <comment ref="I619" authorId="0" shapeId="0">
      <text>
        <t>М6 (6b): Существительные (названия профессий) с суффиксами -er/-or, -man, -ist, -ic.</t>
      </text>
    </comment>
    <comment ref="I620" authorId="0" shapeId="0">
      <text>
        <t>М4: Прилагательные с суффиксом -ful.</t>
      </text>
    </comment>
    <comment ref="I621" authorId="0" shapeId="0">
      <text>
        <t>М6 (6a): Наречия с суффиксом -ly.</t>
      </text>
    </comment>
    <comment ref="I622" authorId="0" shapeId="0">
      <text>
        <t>М10 (10c): Существительные с суффиксами -tion/-sion.</t>
      </text>
    </comment>
    <comment ref="I623" authorId="0" shapeId="0">
      <text>
        <t>М3 (3b): Сложные существительные (compound nouns).</t>
      </text>
    </comment>
    <comment ref="J623" authorId="0" shapeId="0">
      <text>
        <t>М6 (6a): Сложные существительные (compound nouns).</t>
      </text>
    </comment>
    <comment ref="L623" authorId="0" shapeId="0">
      <text>
        <t>М7 (7f): Сложные существительные (compound nouns).</t>
      </text>
    </comment>
    <comment ref="N623" authorId="0" shapeId="0">
      <text>
        <t>М5 (5c): Сложные существительные (ToC: «compound nouns»).</t>
      </text>
    </comment>
    <comment ref="I624" authorId="0" shapeId="0">
      <text>
        <t>М8 (8a): Конверсия: глагол от существительного без изменения формы (a dress – to dress).</t>
      </text>
    </comment>
    <comment ref="I625" authorId="0" shapeId="0">
      <text>
        <t>М2 (2a): Существительные/прилагательные национальности с суффиксами -an, -ish, -ian, -ese (по оглавлению: word formation (-an, -ish, -ian, -ese)).</t>
      </text>
    </comment>
    <comment ref="I626" authorId="0" shapeId="0">
      <text>
        <t>М8 (8c): Прилагательные с приставкой un-.</t>
      </text>
    </comment>
    <comment ref="L627" authorId="0" shapeId="0">
      <text>
        <t>М1 (1f): Образование прилагательных: -ful, -able.</t>
      </text>
    </comment>
    <comment ref="L628" authorId="0" shapeId="0">
      <text>
        <t>М5 (5f): Образование существительных от глаголов: -ion, -tion, -ance.</t>
      </text>
    </comment>
    <comment ref="L629" authorId="0" shapeId="0">
      <text>
        <t>М3 (3f): Образование глаголов: -ise/-ize.</t>
      </text>
    </comment>
    <comment ref="L630" authorId="0" shapeId="0">
      <text>
        <t>М6 (6f): Образование существительных: -ness, -ment.</t>
      </text>
    </comment>
    <comment ref="L631" authorId="0" shapeId="0">
      <text>
        <t>М8 (8f): Сложные прилагательные (compound adjectives).</t>
      </text>
    </comment>
    <comment ref="M631" authorId="0" shapeId="0">
      <text>
        <t>М3 (3f): Word formation: сложные прилагательные (compound adjectives).</t>
      </text>
    </comment>
    <comment ref="N631" authorId="0" shapeId="0">
      <text>
        <t>М7 (7c): Образование сложных прилагательных (ToC: «forming compound adjectives»).</t>
      </text>
    </comment>
    <comment ref="L632" authorId="0" shapeId="0">
      <text>
        <t>М4 (4f): Образование прилагательных с противоположным значением: приставки il-, im-, in-, ir-.</t>
      </text>
    </comment>
    <comment ref="L633" authorId="0" shapeId="0">
      <text>
        <t>М2 (2f): Образование отрицательных прилагательных (forming negative adjectives).</t>
      </text>
    </comment>
    <comment ref="N633" authorId="0" shapeId="0">
      <text>
        <t>М4 (4c): Образование отрицательных прилагательных (ToC: «forming negative adjectives»).</t>
      </text>
    </comment>
    <comment ref="M634" authorId="0" shapeId="0">
      <text>
        <t>М6 (6f): Word formation: образование абстрактных существительных (forming abstract nouns).</t>
      </text>
    </comment>
    <comment ref="N634" authorId="0" shapeId="0">
      <text>
        <t>М2 (2c): Образование абстрактных существительных (ToC: «forming abstract nouns»).</t>
      </text>
    </comment>
    <comment ref="M635" authorId="0" shapeId="0">
      <text>
        <t>М2 (2f): Word formation: образование существительных от прилагательных (nouns from adjectives).</t>
      </text>
    </comment>
    <comment ref="M636" authorId="0" shapeId="0">
      <text>
        <t>М4 (4f): Word formation: образование существительных от глаголов (nouns from verbs).</t>
      </text>
    </comment>
    <comment ref="M637" authorId="0" shapeId="0">
      <text>
        <t>М1 (1f): Word formation: образование причастий/прилагательных на -ed и -ing (past/present participles).</t>
      </text>
    </comment>
    <comment ref="M638" authorId="0" shapeId="0">
      <text>
        <t>М8 (8f): Word formation: повторение словообразования (word formation: revision).</t>
      </text>
    </comment>
    <comment ref="M639" authorId="0" shapeId="0">
      <text>
        <t>М7 (7f): Word formation: образование глаголов от существительных и прилагательных (forming verbs from nouns/adjectives).</t>
      </text>
    </comment>
    <comment ref="M640" authorId="0" shapeId="0">
      <text>
        <t>М5 (5f): Word formation: образование глаголов с помощью приставок (forming verbs with prefixes).</t>
      </text>
    </comment>
    <comment ref="N641" authorId="0" shapeId="0">
      <text>
        <t>М1 (1c): Образование прилагательных (ToC: «forming adjectives»).</t>
      </text>
    </comment>
    <comment ref="N642" authorId="0" shapeId="0">
      <text>
        <t>М8 (8c): Образование глаголов (ToC: «forming verbs»).</t>
      </text>
    </comment>
    <comment ref="N643" authorId="0" shapeId="0">
      <text>
        <t>М3 (3c): Образование существительных, обозначающих лиц (ToC: «forming personal pronouns»).</t>
      </text>
    </comment>
    <comment ref="N644" authorId="0" shapeId="0">
      <text>
        <t>М6 (6c): Приставки (ToC: «prefixes»).</t>
      </text>
    </comment>
    <comment ref="L645" authorId="0" shapeId="0">
      <text>
        <t>М1 (1f): Предлоги (prepositions) — тема English in Use 1f.
М2 (2f): Предлоги (prepositions) — тема English in Use 2f.
Appendix 2: Сводный список (без привязки к модулям). Прилагательные + предлог: absent from, close to, fond of, good at, jealous of, keen on, nervous about, patient with, popular with, proud of. Глаголы + предлог: blame someone for, care about, come from, worry about. Существительное + предлог: career in. Предло
М3 (3f): Предлоги (prepositions) — тема English in Use.
М4 (4f): Предлоги (prepositions) — тема English in Use 4f.
М6 (6f): Предлоги (prepositions) — тема English in Use 6f.
М8 (8f): Предлоги (prepositions) — тема English in Use 8f.</t>
      </text>
    </comment>
    <comment ref="M645" authorId="0" shapeId="0">
      <text>
        <t>М1 (1f): Prepositions (заголовок раздела English in Use).
М2 (2f): Prepositions (заголовок раздела English in Use).
Appendix 2: Общий список Appendix 2 (Dependent Prepositions), 59 сочетаний: add to (добавлять), afraid of (бояться), allergic to (иметь аллергию на), apart from (кроме), at auction (на аукционе), be at home (быть дома), be at school (быть в школе), be sold for (быть проданным за), believe in (верить в), burst i
М3 (3f): Prepositions (заголовок раздела English in Use).
М4 (4f): Prepositions (заголовок раздела English in Use).
М5 (5f): Dependent prepositions (заголовок раздела English in Use).
М6 (6f): Dependent prepositions (заголовок раздела English in Use).
М7 (7f): Dependent prepositions (заголовок раздела English in Use).</t>
      </text>
    </comment>
    <comment ref="N645" authorId="0" shapeId="0">
      <text>
        <t>М1 (1c): Зависимые предлоги (ToC: «dependent prepositions»). Конкретные сочетания урока в источнике не даны; общий список предлогов — в Appendix 1 (см. отдельную строку).
Appendix 1: Глагол + предлог: advise sb against, apply for, arrive in, cope with, deal with, feel strongly about, mistake sb for, protect from, recover from, resign from, result in, suffer from. Прилагательное + предлог: avid of (? OCR), bad at, brilliant at, good at, terrible at, be careful with, be careless w</t>
      </text>
    </comment>
    <comment ref="O645" authorId="0" shapeId="0">
      <text>
        <t>М1 (1c): Dependent prepositions (English in Use 1c); конкретные сочетания в доступных страницах не даны.
М2 (2c): Dependent prepositions (English in Use 2c); конкретные сочетания в доступных страницах не даны.
М3 (3c): Dependent prepositions (English in Use 3c); конкретные сочетания в доступных страницах не даны. В справочнике М3 (-ing после предлогов): think of, apologise for, object to, look forward to, be used to, in addition to; have difficulty (in), there's no point (in).
М4 (4c): Dependent prepositions (English in Use 4c); конкретные сочетания в доступных страницах не даны.
М5 (5c): Dependent prepositions (English in Use 5c); конкретные сочетания в доступных страницах не даны.
М6 (6c): Dependent prepositions (English in Use 6c); конкретные сочетания в доступных страницах не даны. В справочнике М6 (вводящие глаголы + -ing): accuse sb of, apologise for, admit (to), boast about/of, complain about/of, insist on.
М7 (7c): Dependent prepositions (English in Use 7c); конкретные сочетания в доступных страницах не даны.
М8 (8c): Dependent prepositions (English in Use 8c); конкретные сочетания в доступных страницах не даны.</t>
      </text>
    </comment>
    <comment ref="L646" authorId="0" shapeId="0">
      <text>
        <t>Appendix 3: Идиомы (сводный список): a piece of cake, again and again, all in all, (be) a bolt from the blue, be a pain in the neck, be bad news, be in the same boat, be on cloud nine, (not) be one's cup of tea, break the ice, cry over spilt milk, drive someone crazy, drive someone up the wall, feel under the w</t>
      </text>
    </comment>
    <comment ref="N646" authorId="0" shapeId="0">
      <text>
        <t>М5 (5c): Сочетания прилагательное + существительное (ToC: «adjective noun collocations»).</t>
      </text>
    </comment>
    <comment ref="O646" authorId="0" shapeId="0">
      <text>
        <t>М1 (1b): Idioms related to people (1b).
М2 (2b): Idioms with numbers (2b).
М4 (4b): Idioms related to health (4b).
М5 (5b): Idioms related to parts of houses (5b).
М6 (6b): Idioms with talk and speak (6b).
М7 (7a): Phrases with hope (7a).
М8 (8b): Collocations related to travel (8b, airport &amp; air travel).</t>
      </text>
    </comment>
    <comment ref="L647" authorId="0" shapeId="0">
      <text>
        <t>М3 (3f): Слова, которые часто путают — тема English in Use 3f.
М4 (4f): Слова, которые часто путают — тема English in Use 4f.
М5 (5f): Слова, которые часто путают — тема English in Use 5f.
М6 (6f): Слова, которые часто путают — тема English in Use 6f.
М7 (7f): Слова, которые часто путают — тема English in Use 7f.</t>
      </text>
    </comment>
    <comment ref="M647" authorId="0" shapeId="0">
      <text>
        <t>М8 (8f): Words often confused — слова, которые часто путают (заголовок раздела English in Use).</t>
      </text>
    </comment>
    <comment ref="O647" authorId="0" shapeId="0">
      <text>
        <t>М3 (3a): Words often confused (3a, тема crime and the law); конкретные пары в доступных страницах не даны.</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A15"/>
  <sheetViews>
    <sheetView workbookViewId="0">
      <selection activeCell="A1" sqref="A1"/>
    </sheetView>
  </sheetViews>
  <sheetFormatPr baseColWidth="8" defaultRowHeight="15"/>
  <cols>
    <col width="140" customWidth="1" min="1" max="1"/>
  </cols>
  <sheetData>
    <row r="1">
      <c r="A1" s="1" t="inlineStr">
        <is>
          <t>План уроков по грамматике Spotlight</t>
        </is>
      </c>
    </row>
    <row r="2">
      <c r="A2" s="2" t="inlineStr"/>
    </row>
    <row r="3">
      <c r="A3" s="2" t="inlineStr">
        <is>
          <t>«Темы × классы»: строка = подтема (один короткий урок: видео → правило → мини-тест). Подтемы сгруппированы по темам: Past Simple делится на правильные/неправильные глаголы, утверждение, отрицание, вопросы, орфографию, каждое значение; сравнения времён — отдельными подтемами.</t>
        </is>
      </c>
    </row>
    <row r="4">
      <c r="A4" s="2" t="inlineStr">
        <is>
          <t>В клетке класса — где в учебнике (М9 (9b) = Module 9, урок 9b) и статус: «новое» — подтема в Spotlight впервые; «расш.» — была, здесь добавлено; «повт.» — дана снова. Наведите на клетку — во всплывающей подсказке что именно дано (лица, слова-сигналы, список глаголов).</t>
        </is>
      </c>
    </row>
    <row r="5">
      <c r="A5" s="2" t="inlineStr">
        <is>
          <t>Цвет клетки: оттенок = группа вебинара (оранжевый 7–9 лет, голубой 10+), насыщенность = статус (ярче — новое, бледнее — повторение).</t>
        </is>
      </c>
    </row>
    <row r="6">
      <c r="A6" s="2" t="inlineStr">
        <is>
          <t>Группы вебинаров: 7–9 лет = Spotlight 2–4 (у Spotlight 2 нет грамматического справочника, поэтому 2 класса нет; 4 класс — в группе 7–9, его темы идут в вебинарах 7–9). 10+ = Spotlight 5–11.</t>
        </is>
      </c>
    </row>
    <row r="7">
      <c r="A7" s="2" t="inlineStr">
        <is>
          <t>Цвет подтемы: ЗЕЛЁНЫЙ — есть видео; ЖЁЛТЫЙ — вебинар в расписании (материалы есть, после вебинара появится видео; рядом дата, «проведён, ждём видео» — если дата прошла); ОРАНЖЕВЫЙ — видео нет, но есть материалы в папке; КРАСНЫЙ — ничего нет. Если подтема нужна обеим группам, цвет — по худшей из двух; по каждой группе — в колонках «Видео 7–9» / «Видео 10+» (видео / вебинар / материалы / нет), рядом названия видео, дата вебинара или папки с материалами. «—» — подтема этой группе не нужна.</t>
        </is>
      </c>
    </row>
    <row r="8">
      <c r="A8" s="2" t="inlineStr">
        <is>
          <t>«Уроки»: один урок = подтема × группа. Если подтема повторяется в нескольких классах одной группы, это один и тот же урок (Мл-… для 7–9 лет, Ст-… для 10+): в колонке «Где используется» — все классы и модули. Видео подтягивается из «Темы × классы»; «Готовность» отмечается здесь.</t>
        </is>
      </c>
    </row>
    <row r="9">
      <c r="A9" s="2" t="inlineStr">
        <is>
          <t>«Папки уроков»: Spotlight / класс / модуль / тема (папка) / подтема — какой урок (№) куда положить. Видео и готовность подтягиваются из «Уроков».</t>
        </is>
      </c>
    </row>
    <row r="10">
      <c r="A10" s="2" t="inlineStr">
        <is>
          <t>«Пересечения»: одна и та же вещь в двух-трёх темах — где предлагаю держать урок, где поставить ссылку.</t>
        </is>
      </c>
    </row>
    <row r="11">
      <c r="A11" s="2" t="inlineStr">
        <is>
          <t>Утверждение, отрицание и вопрос разделены там, где книга даёт их по отдельности; где справочник даёт их вместе (модальные глаголы старших классов) — одна подтема.</t>
        </is>
      </c>
    </row>
    <row r="12">
      <c r="A12" s="2" t="inlineStr">
        <is>
          <t>«Кандидаты в вебинары»: по каждой группе — темы с красными подтемами (нет ни видео, ни материалов); отсортировано по классу, где тема появляется. Из них выбираем следующие вебинары.</t>
        </is>
      </c>
    </row>
    <row r="13">
      <c r="A13" s="2" t="inlineStr">
        <is>
          <t>«Итоги»: сколько уроков сделать каждой группе, у скольких есть видео, сколько готово и опубликовано.</t>
        </is>
      </c>
    </row>
    <row r="14">
      <c r="A14" s="2" t="inlineStr"/>
    </row>
    <row r="15">
      <c r="A15" s="2" t="inlineStr">
        <is>
          <t>Источник: грамматический справочник учебников (Use of English — оглавление и приложения). Подробный объём по строкам — в Spotlight_грамматика.xlsx.</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647"/>
  <sheetViews>
    <sheetView workbookViewId="0">
      <pane xSplit="5" ySplit="1" topLeftCell="F2" activePane="bottomRight" state="frozen"/>
      <selection pane="topRight"/>
      <selection pane="bottomLeft"/>
      <selection pane="bottomRight"/>
      <selection pane="bottomLeft"/>
      <selection pane="bottomRight" activeCell="A1" sqref="A1"/>
    </sheetView>
  </sheetViews>
  <sheetFormatPr baseColWidth="8" defaultRowHeight="15"/>
  <cols>
    <col width="5" customWidth="1" min="1" max="1"/>
    <col width="12" customWidth="1" min="2" max="2"/>
    <col width="16" customWidth="1" min="3" max="3"/>
    <col width="22" customWidth="1" min="4" max="4"/>
    <col width="46" customWidth="1" min="5" max="5"/>
    <col width="8"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0" customWidth="1" min="16" max="16"/>
    <col width="28" customWidth="1" min="17" max="17"/>
    <col width="10" customWidth="1" min="18" max="18"/>
    <col width="28" customWidth="1" min="19" max="19"/>
    <col width="26" customWidth="1" min="20" max="20"/>
  </cols>
  <sheetData>
    <row r="1">
      <c r="A1" s="3" t="inlineStr">
        <is>
          <t>№</t>
        </is>
      </c>
      <c r="B1" s="3" t="inlineStr">
        <is>
          <t>Блок</t>
        </is>
      </c>
      <c r="C1" s="3" t="inlineStr">
        <is>
          <t>Категория</t>
        </is>
      </c>
      <c r="D1" s="3" t="inlineStr">
        <is>
          <t>Тема</t>
        </is>
      </c>
      <c r="E1" s="3" t="inlineStr">
        <is>
          <t>Подтема (урок)</t>
        </is>
      </c>
      <c r="F1" s="3" t="inlineStr">
        <is>
          <t>Группы</t>
        </is>
      </c>
      <c r="G1" s="3" t="inlineStr">
        <is>
          <t>3 кл.</t>
        </is>
      </c>
      <c r="H1" s="3" t="inlineStr">
        <is>
          <t>4 кл.</t>
        </is>
      </c>
      <c r="I1" s="3" t="inlineStr">
        <is>
          <t>5 кл.</t>
        </is>
      </c>
      <c r="J1" s="3" t="inlineStr">
        <is>
          <t>6 кл.</t>
        </is>
      </c>
      <c r="K1" s="3" t="inlineStr">
        <is>
          <t>7 кл.</t>
        </is>
      </c>
      <c r="L1" s="3" t="inlineStr">
        <is>
          <t>8 кл.</t>
        </is>
      </c>
      <c r="M1" s="3" t="inlineStr">
        <is>
          <t>9 кл.</t>
        </is>
      </c>
      <c r="N1" s="3" t="inlineStr">
        <is>
          <t>10 кл.</t>
        </is>
      </c>
      <c r="O1" s="3" t="inlineStr">
        <is>
          <t>11 кл.</t>
        </is>
      </c>
      <c r="P1" s="3" t="inlineStr">
        <is>
          <t>Видео 7–9</t>
        </is>
      </c>
      <c r="Q1" s="3" t="inlineStr">
        <is>
          <t>Вебинар 7–9 (название / ссылка)</t>
        </is>
      </c>
      <c r="R1" s="3" t="inlineStr">
        <is>
          <t>Видео 10+</t>
        </is>
      </c>
      <c r="S1" s="3" t="inlineStr">
        <is>
          <t>Вебинар 10+ (название / ссылка)</t>
        </is>
      </c>
      <c r="T1" s="3" t="inlineStr">
        <is>
          <t>Комментарий</t>
        </is>
      </c>
    </row>
    <row r="2">
      <c r="A2" s="4" t="n">
        <v>1</v>
      </c>
      <c r="B2" s="4" t="inlineStr">
        <is>
          <t>Грамматика</t>
        </is>
      </c>
      <c r="C2" s="4" t="inlineStr">
        <is>
          <t>Глаголы: времена</t>
        </is>
      </c>
      <c r="D2" s="5" t="inlineStr">
        <is>
          <t>Past Simple</t>
        </is>
      </c>
      <c r="E2" s="6" t="inlineStr">
        <is>
          <t>Past Simple: правильные глаголы — утверждение (-ed)</t>
        </is>
      </c>
      <c r="F2" s="4" t="inlineStr">
        <is>
          <t>обе</t>
        </is>
      </c>
      <c r="G2" s="7" t="inlineStr">
        <is>
          <t>М4 · новое</t>
        </is>
      </c>
      <c r="H2" s="8" t="inlineStr">
        <is>
          <t>М6 · повт.</t>
        </is>
      </c>
      <c r="I2" s="9" t="inlineStr">
        <is>
          <t>М9 (9b) · повт.</t>
        </is>
      </c>
      <c r="J2" s="9" t="inlineStr">
        <is>
          <t>М7 (7a) · повт.</t>
        </is>
      </c>
      <c r="K2" s="9" t="inlineStr">
        <is>
          <t>М2 · повт.</t>
        </is>
      </c>
      <c r="L2" s="9" t="inlineStr">
        <is>
          <t>М1 (1c) · повт.</t>
        </is>
      </c>
      <c r="M2" s="9" t="inlineStr">
        <is>
          <t>М3 (3c) · повт.</t>
        </is>
      </c>
      <c r="N2" s="9" t="inlineStr">
        <is>
          <t>М5 (5c) · повт.</t>
        </is>
      </c>
      <c r="O2" s="9" t="inlineStr">
        <is>
          <t>М1 (1c) · повт.</t>
        </is>
      </c>
      <c r="P2" s="10" t="inlineStr">
        <is>
          <t>видео</t>
        </is>
      </c>
      <c r="Q2" s="4" t="inlineStr">
        <is>
          <t>Past Simple Regular+a funny story</t>
        </is>
      </c>
      <c r="R2" s="10" t="inlineStr">
        <is>
          <t>видео</t>
        </is>
      </c>
      <c r="S2" s="4" t="inlineStr">
        <is>
          <t>Past Tenses Review + travel and holidays
Places to go.Past Simple regular verbs. (по названию)</t>
        </is>
      </c>
      <c r="T2" s="4" t="inlineStr"/>
    </row>
    <row r="3">
      <c r="A3" s="11" t="n">
        <v>2</v>
      </c>
      <c r="B3" s="11" t="inlineStr">
        <is>
          <t>Грамматика</t>
        </is>
      </c>
      <c r="C3" s="11" t="inlineStr">
        <is>
          <t>Глаголы: времена</t>
        </is>
      </c>
      <c r="D3" s="12" t="inlineStr">
        <is>
          <t>Past Simple</t>
        </is>
      </c>
      <c r="E3" s="13" t="inlineStr">
        <is>
          <t>Past Simple: правильные глаголы — отрицание (didn't + V)</t>
        </is>
      </c>
      <c r="F3" s="11" t="inlineStr">
        <is>
          <t>обе</t>
        </is>
      </c>
      <c r="G3" s="14" t="inlineStr">
        <is>
          <t>М4 · новое</t>
        </is>
      </c>
      <c r="H3" s="15" t="inlineStr">
        <is>
          <t>М6 · повт.</t>
        </is>
      </c>
      <c r="I3" s="16" t="inlineStr">
        <is>
          <t>М9 (9b) · повт.</t>
        </is>
      </c>
      <c r="J3" s="16" t="inlineStr">
        <is>
          <t>М7 (7a) · повт.</t>
        </is>
      </c>
      <c r="K3" s="16" t="inlineStr">
        <is>
          <t>М2 · повт.</t>
        </is>
      </c>
      <c r="L3" s="16" t="inlineStr">
        <is>
          <t>М1 (1c) · повт.</t>
        </is>
      </c>
      <c r="M3" s="11" t="inlineStr"/>
      <c r="N3" s="11" t="inlineStr"/>
      <c r="O3" s="11" t="inlineStr"/>
      <c r="P3" s="17" t="inlineStr">
        <is>
          <t>видео</t>
        </is>
      </c>
      <c r="Q3" s="11" t="inlineStr">
        <is>
          <t>Past Simple regular questions and negatives</t>
        </is>
      </c>
      <c r="R3" s="17" t="inlineStr">
        <is>
          <t>нет</t>
        </is>
      </c>
      <c r="S3" s="11" t="inlineStr"/>
      <c r="T3" s="11" t="inlineStr"/>
    </row>
    <row r="4">
      <c r="A4" s="11" t="n">
        <v>3</v>
      </c>
      <c r="B4" s="11" t="inlineStr">
        <is>
          <t>Грамматика</t>
        </is>
      </c>
      <c r="C4" s="11" t="inlineStr">
        <is>
          <t>Глаголы: времена</t>
        </is>
      </c>
      <c r="D4" s="12" t="inlineStr">
        <is>
          <t>Past Simple</t>
        </is>
      </c>
      <c r="E4" s="13" t="inlineStr">
        <is>
          <t>Past Simple: правильные глаголы — вопросы (Did …?)</t>
        </is>
      </c>
      <c r="F4" s="11" t="inlineStr">
        <is>
          <t>обе</t>
        </is>
      </c>
      <c r="G4" s="14" t="inlineStr">
        <is>
          <t>М4 · новое</t>
        </is>
      </c>
      <c r="H4" s="15" t="inlineStr">
        <is>
          <t>М6 · повт.</t>
        </is>
      </c>
      <c r="I4" s="16" t="inlineStr">
        <is>
          <t>М9 (9b) · повт.</t>
        </is>
      </c>
      <c r="J4" s="16" t="inlineStr">
        <is>
          <t>М7 (7a) · повт.</t>
        </is>
      </c>
      <c r="K4" s="16" t="inlineStr">
        <is>
          <t>М2 · повт.</t>
        </is>
      </c>
      <c r="L4" s="16" t="inlineStr">
        <is>
          <t>М1 (1c) · повт.</t>
        </is>
      </c>
      <c r="M4" s="11" t="inlineStr"/>
      <c r="N4" s="11" t="inlineStr"/>
      <c r="O4" s="11" t="inlineStr"/>
      <c r="P4" s="17" t="inlineStr">
        <is>
          <t>видео</t>
        </is>
      </c>
      <c r="Q4" s="11" t="inlineStr">
        <is>
          <t>Past Simple regular questions and negatives</t>
        </is>
      </c>
      <c r="R4" s="17" t="inlineStr">
        <is>
          <t>нет</t>
        </is>
      </c>
      <c r="S4" s="11" t="inlineStr"/>
      <c r="T4" s="11" t="inlineStr"/>
    </row>
    <row r="5">
      <c r="A5" s="11" t="n">
        <v>4</v>
      </c>
      <c r="B5" s="11" t="inlineStr">
        <is>
          <t>Грамматика</t>
        </is>
      </c>
      <c r="C5" s="11" t="inlineStr">
        <is>
          <t>Глаголы: времена</t>
        </is>
      </c>
      <c r="D5" s="12" t="inlineStr">
        <is>
          <t>Past Simple</t>
        </is>
      </c>
      <c r="E5" s="13" t="inlineStr">
        <is>
          <t>Past Simple: краткие ответы (Yes, I did / No, I didn't)</t>
        </is>
      </c>
      <c r="F5" s="11" t="inlineStr">
        <is>
          <t>обе</t>
        </is>
      </c>
      <c r="G5" s="14" t="inlineStr">
        <is>
          <t>М4 · новое</t>
        </is>
      </c>
      <c r="H5" s="15" t="inlineStr">
        <is>
          <t>М6 · повт.</t>
        </is>
      </c>
      <c r="I5" s="16" t="inlineStr">
        <is>
          <t>М9 (9b) · повт.
М9 (9c) · повт.</t>
        </is>
      </c>
      <c r="J5" s="16" t="inlineStr">
        <is>
          <t>М7 (7a) · повт.
М7 (7b) · повт.</t>
        </is>
      </c>
      <c r="K5" s="16" t="inlineStr">
        <is>
          <t>М2 · повт.</t>
        </is>
      </c>
      <c r="L5" s="16" t="inlineStr">
        <is>
          <t>М1 (1c) · повт.</t>
        </is>
      </c>
      <c r="M5" s="11" t="inlineStr"/>
      <c r="N5" s="11" t="inlineStr"/>
      <c r="O5" s="11" t="inlineStr"/>
      <c r="P5" s="17" t="inlineStr">
        <is>
          <t>видео</t>
        </is>
      </c>
      <c r="Q5" s="11" t="inlineStr">
        <is>
          <t>Past Simple regular questions and negatives</t>
        </is>
      </c>
      <c r="R5" s="17" t="inlineStr">
        <is>
          <t>нет</t>
        </is>
      </c>
      <c r="S5" s="11" t="inlineStr"/>
      <c r="T5" s="11" t="inlineStr"/>
    </row>
    <row r="6">
      <c r="A6" s="11" t="n">
        <v>5</v>
      </c>
      <c r="B6" s="11" t="inlineStr">
        <is>
          <t>Грамматика</t>
        </is>
      </c>
      <c r="C6" s="11" t="inlineStr">
        <is>
          <t>Глаголы: времена</t>
        </is>
      </c>
      <c r="D6" s="12" t="inlineStr">
        <is>
          <t>Past Simple</t>
        </is>
      </c>
      <c r="E6" s="18" t="inlineStr">
        <is>
          <t>Past Simple: орфография -ed</t>
        </is>
      </c>
      <c r="F6" s="11" t="inlineStr">
        <is>
          <t>обе</t>
        </is>
      </c>
      <c r="G6" s="14" t="inlineStr">
        <is>
          <t>М4 · новое</t>
        </is>
      </c>
      <c r="H6" s="15" t="inlineStr">
        <is>
          <t>М6 · повт.</t>
        </is>
      </c>
      <c r="I6" s="16" t="inlineStr">
        <is>
          <t>М9 (9b) · повт.</t>
        </is>
      </c>
      <c r="J6" s="16" t="inlineStr">
        <is>
          <t>М7 (7a) · повт.</t>
        </is>
      </c>
      <c r="K6" s="16" t="inlineStr">
        <is>
          <t>М2 · повт.</t>
        </is>
      </c>
      <c r="L6" s="19" t="inlineStr">
        <is>
          <t>М1 (1c) · расш.</t>
        </is>
      </c>
      <c r="M6" s="16" t="inlineStr">
        <is>
          <t>М3 (3c) · повт.</t>
        </is>
      </c>
      <c r="N6" s="16" t="inlineStr">
        <is>
          <t>М5 (5c) · повт.</t>
        </is>
      </c>
      <c r="O6" s="16" t="inlineStr">
        <is>
          <t>М1 (1c) · повт.</t>
        </is>
      </c>
      <c r="P6" s="17" t="inlineStr">
        <is>
          <t>вебинар</t>
        </is>
      </c>
      <c r="Q6" s="11" t="inlineStr">
        <is>
          <t>вебинар 19.11 (по расписанию): Past Simple: неправильные глаголы — отрицание и вопросы</t>
        </is>
      </c>
      <c r="R6" s="17" t="inlineStr">
        <is>
          <t>видео</t>
        </is>
      </c>
      <c r="S6" s="11" t="inlineStr">
        <is>
          <t>Places to go.Past Simple regular verbs. (по названию)</t>
        </is>
      </c>
      <c r="T6" s="11" t="inlineStr"/>
    </row>
    <row r="7">
      <c r="A7" s="11" t="n">
        <v>6</v>
      </c>
      <c r="B7" s="11" t="inlineStr">
        <is>
          <t>Грамматика</t>
        </is>
      </c>
      <c r="C7" s="11" t="inlineStr">
        <is>
          <t>Глаголы: времена</t>
        </is>
      </c>
      <c r="D7" s="12" t="inlineStr">
        <is>
          <t>Past Simple</t>
        </is>
      </c>
      <c r="E7" s="18" t="inlineStr">
        <is>
          <t>Past Simple: произношение -ed (/t/, /d/, /ɪd/)</t>
        </is>
      </c>
      <c r="F7" s="11" t="inlineStr">
        <is>
          <t>7–9</t>
        </is>
      </c>
      <c r="G7" s="14" t="inlineStr">
        <is>
          <t>М4 · новое</t>
        </is>
      </c>
      <c r="H7" s="15" t="inlineStr">
        <is>
          <t>М6 · повт.</t>
        </is>
      </c>
      <c r="I7" s="11" t="inlineStr"/>
      <c r="J7" s="11" t="inlineStr"/>
      <c r="K7" s="11" t="inlineStr"/>
      <c r="L7" s="11" t="inlineStr"/>
      <c r="M7" s="11" t="inlineStr"/>
      <c r="N7" s="11" t="inlineStr"/>
      <c r="O7" s="11" t="inlineStr"/>
      <c r="P7" s="17" t="inlineStr">
        <is>
          <t>вебинар</t>
        </is>
      </c>
      <c r="Q7" s="11" t="inlineStr">
        <is>
          <t>вебинар 19.11 (по расписанию): Past Simple: неправильные глаголы — отрицание и вопросы</t>
        </is>
      </c>
      <c r="R7" s="20" t="inlineStr">
        <is>
          <t>—</t>
        </is>
      </c>
      <c r="S7" s="21" t="inlineStr"/>
      <c r="T7" s="11" t="inlineStr"/>
    </row>
    <row r="8">
      <c r="A8" s="11" t="n">
        <v>7</v>
      </c>
      <c r="B8" s="11" t="inlineStr">
        <is>
          <t>Грамматика</t>
        </is>
      </c>
      <c r="C8" s="11" t="inlineStr">
        <is>
          <t>Глаголы: времена</t>
        </is>
      </c>
      <c r="D8" s="12" t="inlineStr">
        <is>
          <t>Past Simple</t>
        </is>
      </c>
      <c r="E8" s="22" t="inlineStr">
        <is>
          <t>Past Simple: неправильные глаголы — утверждение</t>
        </is>
      </c>
      <c r="F8" s="11" t="inlineStr">
        <is>
          <t>обе</t>
        </is>
      </c>
      <c r="G8" s="14" t="inlineStr">
        <is>
          <t>М5 · новое</t>
        </is>
      </c>
      <c r="H8" s="15" t="inlineStr">
        <is>
          <t>М7 · повт.</t>
        </is>
      </c>
      <c r="I8" s="19" t="inlineStr">
        <is>
          <t>М9 (9c) · расш.</t>
        </is>
      </c>
      <c r="J8" s="19" t="inlineStr">
        <is>
          <t>М7 (7b) · расш.</t>
        </is>
      </c>
      <c r="K8" s="16" t="inlineStr">
        <is>
          <t>М2 · повт.</t>
        </is>
      </c>
      <c r="L8" s="16" t="inlineStr">
        <is>
          <t>М1 (1c) · повт.</t>
        </is>
      </c>
      <c r="M8" s="16" t="inlineStr">
        <is>
          <t>М3 (3c) · повт.</t>
        </is>
      </c>
      <c r="N8" s="16" t="inlineStr">
        <is>
          <t>М5 (5c) · повт.</t>
        </is>
      </c>
      <c r="O8" s="16" t="inlineStr">
        <is>
          <t>М1 (1c) · повт.</t>
        </is>
      </c>
      <c r="P8" s="17" t="inlineStr">
        <is>
          <t>видео</t>
        </is>
      </c>
      <c r="Q8" s="11" t="inlineStr">
        <is>
          <t>Past Simple irregular verbs</t>
        </is>
      </c>
      <c r="R8" s="17" t="inlineStr">
        <is>
          <t>видео</t>
        </is>
      </c>
      <c r="S8" s="11" t="inlineStr">
        <is>
          <t>Movies+Irregular verbs
Past Tenses Review + travel and holidays</t>
        </is>
      </c>
      <c r="T8" s="11" t="inlineStr"/>
    </row>
    <row r="9">
      <c r="A9" s="11" t="n">
        <v>8</v>
      </c>
      <c r="B9" s="11" t="inlineStr">
        <is>
          <t>Грамматика</t>
        </is>
      </c>
      <c r="C9" s="11" t="inlineStr">
        <is>
          <t>Глаголы: времена</t>
        </is>
      </c>
      <c r="D9" s="12" t="inlineStr">
        <is>
          <t>Past Simple</t>
        </is>
      </c>
      <c r="E9" s="13" t="inlineStr">
        <is>
          <t>Past Simple: неправильные глаголы — отрицание (didn't go)</t>
        </is>
      </c>
      <c r="F9" s="11" t="inlineStr">
        <is>
          <t>обе</t>
        </is>
      </c>
      <c r="G9" s="14" t="inlineStr">
        <is>
          <t>М5 · новое</t>
        </is>
      </c>
      <c r="H9" s="15" t="inlineStr">
        <is>
          <t>М7 · повт.</t>
        </is>
      </c>
      <c r="I9" s="16" t="inlineStr">
        <is>
          <t>М9 (9c) · повт.</t>
        </is>
      </c>
      <c r="J9" s="16" t="inlineStr">
        <is>
          <t>М7 (7b) · повт.</t>
        </is>
      </c>
      <c r="K9" s="16" t="inlineStr">
        <is>
          <t>М2 · повт.</t>
        </is>
      </c>
      <c r="L9" s="11" t="inlineStr"/>
      <c r="M9" s="11" t="inlineStr"/>
      <c r="N9" s="11" t="inlineStr"/>
      <c r="O9" s="11" t="inlineStr"/>
      <c r="P9" s="17" t="inlineStr">
        <is>
          <t>вебинар</t>
        </is>
      </c>
      <c r="Q9" s="11" t="inlineStr">
        <is>
          <t>вебинар 19.11 (по расписанию): Past Simple: неправильные глаголы — отрицание и вопросы</t>
        </is>
      </c>
      <c r="R9" s="17" t="inlineStr">
        <is>
          <t>нет</t>
        </is>
      </c>
      <c r="S9" s="11" t="inlineStr"/>
      <c r="T9" s="11" t="inlineStr"/>
    </row>
    <row r="10">
      <c r="A10" s="11" t="n">
        <v>9</v>
      </c>
      <c r="B10" s="11" t="inlineStr">
        <is>
          <t>Грамматика</t>
        </is>
      </c>
      <c r="C10" s="11" t="inlineStr">
        <is>
          <t>Глаголы: времена</t>
        </is>
      </c>
      <c r="D10" s="12" t="inlineStr">
        <is>
          <t>Past Simple</t>
        </is>
      </c>
      <c r="E10" s="13" t="inlineStr">
        <is>
          <t>Past Simple: неправильные глаголы — вопросы (Did … go?)</t>
        </is>
      </c>
      <c r="F10" s="11" t="inlineStr">
        <is>
          <t>обе</t>
        </is>
      </c>
      <c r="G10" s="14" t="inlineStr">
        <is>
          <t>М5 · новое</t>
        </is>
      </c>
      <c r="H10" s="15" t="inlineStr">
        <is>
          <t>М7 · повт.</t>
        </is>
      </c>
      <c r="I10" s="16" t="inlineStr">
        <is>
          <t>М9 (9c) · повт.</t>
        </is>
      </c>
      <c r="J10" s="16" t="inlineStr">
        <is>
          <t>М7 (7b) · повт.</t>
        </is>
      </c>
      <c r="K10" s="16" t="inlineStr">
        <is>
          <t>М2 · повт.</t>
        </is>
      </c>
      <c r="L10" s="11" t="inlineStr"/>
      <c r="M10" s="11" t="inlineStr"/>
      <c r="N10" s="11" t="inlineStr"/>
      <c r="O10" s="11" t="inlineStr"/>
      <c r="P10" s="17" t="inlineStr">
        <is>
          <t>вебинар</t>
        </is>
      </c>
      <c r="Q10" s="11" t="inlineStr">
        <is>
          <t>вебинар 19.11 (по расписанию): Past Simple: неправильные глаголы — отрицание и вопросы</t>
        </is>
      </c>
      <c r="R10" s="17" t="inlineStr">
        <is>
          <t>нет</t>
        </is>
      </c>
      <c r="S10" s="11" t="inlineStr"/>
      <c r="T10" s="11" t="inlineStr"/>
    </row>
    <row r="11">
      <c r="A11" s="11" t="n">
        <v>10</v>
      </c>
      <c r="B11" s="11" t="inlineStr">
        <is>
          <t>Грамматика</t>
        </is>
      </c>
      <c r="C11" s="11" t="inlineStr">
        <is>
          <t>Глаголы: времена</t>
        </is>
      </c>
      <c r="D11" s="12" t="inlineStr">
        <is>
          <t>Past Simple</t>
        </is>
      </c>
      <c r="E11" s="22" t="inlineStr">
        <is>
          <t>Past Simple: одна форма для всех лиц, исключение was/were</t>
        </is>
      </c>
      <c r="F11" s="11" t="inlineStr">
        <is>
          <t>10+</t>
        </is>
      </c>
      <c r="G11" s="11" t="inlineStr"/>
      <c r="H11" s="11" t="inlineStr"/>
      <c r="I11" s="11" t="inlineStr"/>
      <c r="J11" s="11" t="inlineStr"/>
      <c r="K11" s="11" t="inlineStr"/>
      <c r="L11" s="23" t="inlineStr">
        <is>
          <t>М1 (1c) · новое</t>
        </is>
      </c>
      <c r="M11" s="16" t="inlineStr">
        <is>
          <t>М3 (3c) · повт.</t>
        </is>
      </c>
      <c r="N11" s="16" t="inlineStr">
        <is>
          <t>М5 (5c) · повт.</t>
        </is>
      </c>
      <c r="O11" s="16" t="inlineStr">
        <is>
          <t>М1 (1c) · повт.</t>
        </is>
      </c>
      <c r="P11" s="20" t="inlineStr">
        <is>
          <t>—</t>
        </is>
      </c>
      <c r="Q11" s="21" t="inlineStr"/>
      <c r="R11" s="17" t="inlineStr">
        <is>
          <t>видео</t>
        </is>
      </c>
      <c r="S11" s="11" t="inlineStr">
        <is>
          <t>Movies+Irregular verbs</t>
        </is>
      </c>
      <c r="T11" s="11" t="inlineStr"/>
    </row>
    <row r="12">
      <c r="A12" s="11" t="n">
        <v>11</v>
      </c>
      <c r="B12" s="11" t="inlineStr">
        <is>
          <t>Грамматика</t>
        </is>
      </c>
      <c r="C12" s="11" t="inlineStr">
        <is>
          <t>Глаголы: времена</t>
        </is>
      </c>
      <c r="D12" s="12" t="inlineStr">
        <is>
          <t>Past Simple</t>
        </is>
      </c>
      <c r="E12" s="22" t="inlineStr">
        <is>
          <t>Past Simple: значение — действие в прошлом (yesterday, ago)</t>
        </is>
      </c>
      <c r="F12" s="11" t="inlineStr">
        <is>
          <t>обе</t>
        </is>
      </c>
      <c r="G12" s="14" t="inlineStr">
        <is>
          <t>М4 · новое
М5 · повт.</t>
        </is>
      </c>
      <c r="H12" s="15" t="inlineStr">
        <is>
          <t>М6 · повт.</t>
        </is>
      </c>
      <c r="I12" s="16" t="inlineStr">
        <is>
          <t>М9 (9b) · повт.</t>
        </is>
      </c>
      <c r="J12" s="16" t="inlineStr">
        <is>
          <t>М7 (7a) · повт.</t>
        </is>
      </c>
      <c r="K12" s="19" t="inlineStr">
        <is>
          <t>М2 · расш.</t>
        </is>
      </c>
      <c r="L12" s="16" t="inlineStr">
        <is>
          <t>М1 (1c) · повт.</t>
        </is>
      </c>
      <c r="M12" s="16" t="inlineStr">
        <is>
          <t>М3 (3c) · повт.</t>
        </is>
      </c>
      <c r="N12" s="16" t="inlineStr">
        <is>
          <t>М5 (5c) · повт.</t>
        </is>
      </c>
      <c r="O12" s="16" t="inlineStr">
        <is>
          <t>М1 (1c) · повт.</t>
        </is>
      </c>
      <c r="P12" s="17" t="inlineStr">
        <is>
          <t>видео</t>
        </is>
      </c>
      <c r="Q12" s="11" t="inlineStr">
        <is>
          <t>Past Simple Regular+a funny story
Past Simple irregular verbs</t>
        </is>
      </c>
      <c r="R12" s="17" t="inlineStr">
        <is>
          <t>видео</t>
        </is>
      </c>
      <c r="S12" s="11" t="inlineStr">
        <is>
          <t>Movies+Irregular verbs
Past Tenses Review + travel and holidays
Places to go.Past Simple regular verbs. (по названию)
Tense overview (Prese...mple, Present Perfect)
Tenses overview 1</t>
        </is>
      </c>
      <c r="T12" s="11" t="inlineStr"/>
    </row>
    <row r="13">
      <c r="A13" s="11" t="n">
        <v>12</v>
      </c>
      <c r="B13" s="11" t="inlineStr">
        <is>
          <t>Грамматика</t>
        </is>
      </c>
      <c r="C13" s="11" t="inlineStr">
        <is>
          <t>Глаголы: времена</t>
        </is>
      </c>
      <c r="D13" s="12" t="inlineStr">
        <is>
          <t>Past Simple</t>
        </is>
      </c>
      <c r="E13" s="22" t="inlineStr">
        <is>
          <t>Past Simple: значение — действие в указанное время в прошлом</t>
        </is>
      </c>
      <c r="F13" s="11" t="inlineStr">
        <is>
          <t>10+</t>
        </is>
      </c>
      <c r="G13" s="11" t="inlineStr"/>
      <c r="H13" s="11" t="inlineStr"/>
      <c r="I13" s="11" t="inlineStr"/>
      <c r="J13" s="11" t="inlineStr"/>
      <c r="K13" s="11" t="inlineStr"/>
      <c r="L13" s="23" t="inlineStr">
        <is>
          <t>М1 (1c) · новое</t>
        </is>
      </c>
      <c r="M13" s="16" t="inlineStr">
        <is>
          <t>М3 (3c) · повт.</t>
        </is>
      </c>
      <c r="N13" s="16" t="inlineStr">
        <is>
          <t>М5 (5c) · повт.</t>
        </is>
      </c>
      <c r="O13" s="16" t="inlineStr">
        <is>
          <t>М1 (1c) · повт.</t>
        </is>
      </c>
      <c r="P13" s="20" t="inlineStr">
        <is>
          <t>—</t>
        </is>
      </c>
      <c r="Q13" s="21" t="inlineStr"/>
      <c r="R13" s="17" t="inlineStr">
        <is>
          <t>видео</t>
        </is>
      </c>
      <c r="S13" s="11" t="inlineStr">
        <is>
          <t>Tense overview (Prese...mple, Present Perfect)
Tenses overview 1</t>
        </is>
      </c>
      <c r="T13" s="11" t="inlineStr"/>
    </row>
    <row r="14">
      <c r="A14" s="11" t="n">
        <v>13</v>
      </c>
      <c r="B14" s="11" t="inlineStr">
        <is>
          <t>Грамматика</t>
        </is>
      </c>
      <c r="C14" s="11" t="inlineStr">
        <is>
          <t>Глаголы: времена</t>
        </is>
      </c>
      <c r="D14" s="12" t="inlineStr">
        <is>
          <t>Past Simple</t>
        </is>
      </c>
      <c r="E14" s="13" t="inlineStr">
        <is>
          <t>Past Simple: значение — повторяющиеся действия и привычки в прошлом</t>
        </is>
      </c>
      <c r="F14" s="11" t="inlineStr">
        <is>
          <t>10+</t>
        </is>
      </c>
      <c r="G14" s="11" t="inlineStr"/>
      <c r="H14" s="11" t="inlineStr"/>
      <c r="I14" s="11" t="inlineStr"/>
      <c r="J14" s="11" t="inlineStr"/>
      <c r="K14" s="11" t="inlineStr"/>
      <c r="L14" s="23" t="inlineStr">
        <is>
          <t>М1 (1c) · новое</t>
        </is>
      </c>
      <c r="M14" s="16" t="inlineStr">
        <is>
          <t>М3 (3c) · повт.</t>
        </is>
      </c>
      <c r="N14" s="16" t="inlineStr">
        <is>
          <t>М5 (5c) · повт.</t>
        </is>
      </c>
      <c r="O14" s="16" t="inlineStr">
        <is>
          <t>М1 (1c) · повт.</t>
        </is>
      </c>
      <c r="P14" s="20" t="inlineStr">
        <is>
          <t>—</t>
        </is>
      </c>
      <c r="Q14" s="21" t="inlineStr"/>
      <c r="R14" s="17" t="inlineStr">
        <is>
          <t>нет</t>
        </is>
      </c>
      <c r="S14" s="11" t="inlineStr"/>
      <c r="T14" s="11" t="inlineStr"/>
    </row>
    <row r="15">
      <c r="A15" s="11" t="n">
        <v>14</v>
      </c>
      <c r="B15" s="11" t="inlineStr">
        <is>
          <t>Грамматика</t>
        </is>
      </c>
      <c r="C15" s="11" t="inlineStr">
        <is>
          <t>Глаголы: времена</t>
        </is>
      </c>
      <c r="D15" s="12" t="inlineStr">
        <is>
          <t>Past Simple</t>
        </is>
      </c>
      <c r="E15" s="18" t="inlineStr">
        <is>
          <t>Past Simple: значение — последовательные действия</t>
        </is>
      </c>
      <c r="F15" s="11" t="inlineStr">
        <is>
          <t>10+</t>
        </is>
      </c>
      <c r="G15" s="11" t="inlineStr"/>
      <c r="H15" s="11" t="inlineStr"/>
      <c r="I15" s="11" t="inlineStr"/>
      <c r="J15" s="11" t="inlineStr"/>
      <c r="K15" s="11" t="inlineStr"/>
      <c r="L15" s="23" t="inlineStr">
        <is>
          <t>М1 (1c) · новое</t>
        </is>
      </c>
      <c r="M15" s="16" t="inlineStr">
        <is>
          <t>М3 (3c) · повт.</t>
        </is>
      </c>
      <c r="N15" s="16" t="inlineStr">
        <is>
          <t>М5 (5c) · повт.</t>
        </is>
      </c>
      <c r="O15" s="16" t="inlineStr">
        <is>
          <t>М1 (1c) · повт.</t>
        </is>
      </c>
      <c r="P15" s="20" t="inlineStr">
        <is>
          <t>—</t>
        </is>
      </c>
      <c r="Q15" s="21" t="inlineStr"/>
      <c r="R15" s="17" t="inlineStr">
        <is>
          <t>вебинар</t>
        </is>
      </c>
      <c r="S15" s="11" t="inlineStr">
        <is>
          <t>вебинар 24.11 (по расписанию): Narrative tenses + history
материалы: History + narrative tenses</t>
        </is>
      </c>
      <c r="T15" s="11" t="inlineStr"/>
    </row>
    <row r="16">
      <c r="A16" s="11" t="n">
        <v>15</v>
      </c>
      <c r="B16" s="11" t="inlineStr">
        <is>
          <t>Грамматика</t>
        </is>
      </c>
      <c r="C16" s="11" t="inlineStr">
        <is>
          <t>Глаголы: времена</t>
        </is>
      </c>
      <c r="D16" s="12" t="inlineStr">
        <is>
          <t>Past Simple</t>
        </is>
      </c>
      <c r="E16" s="13" t="inlineStr">
        <is>
          <t>Past Simple: значение — завершённые действия без связи с настоящим</t>
        </is>
      </c>
      <c r="F16" s="11" t="inlineStr">
        <is>
          <t>10+</t>
        </is>
      </c>
      <c r="G16" s="11" t="inlineStr"/>
      <c r="H16" s="11" t="inlineStr"/>
      <c r="I16" s="11" t="inlineStr"/>
      <c r="J16" s="11" t="inlineStr"/>
      <c r="K16" s="11" t="inlineStr"/>
      <c r="L16" s="11" t="inlineStr"/>
      <c r="M16" s="23" t="inlineStr">
        <is>
          <t>М3 (3c) · новое</t>
        </is>
      </c>
      <c r="N16" s="16" t="inlineStr">
        <is>
          <t>М5 (5c) · повт.</t>
        </is>
      </c>
      <c r="O16" s="16" t="inlineStr">
        <is>
          <t>М1 (1c) · повт.</t>
        </is>
      </c>
      <c r="P16" s="20" t="inlineStr">
        <is>
          <t>—</t>
        </is>
      </c>
      <c r="Q16" s="21" t="inlineStr"/>
      <c r="R16" s="17" t="inlineStr">
        <is>
          <t>нет</t>
        </is>
      </c>
      <c r="S16" s="11" t="inlineStr"/>
      <c r="T16" s="11" t="inlineStr"/>
    </row>
    <row r="17">
      <c r="A17" s="4" t="n">
        <v>16</v>
      </c>
      <c r="B17" s="4" t="inlineStr">
        <is>
          <t>Грамматика</t>
        </is>
      </c>
      <c r="C17" s="4" t="inlineStr">
        <is>
          <t>Глаголы: времена</t>
        </is>
      </c>
      <c r="D17" s="5" t="inlineStr">
        <is>
          <t>Present Continuous</t>
        </is>
      </c>
      <c r="E17" s="24" t="inlineStr">
        <is>
          <t>Present Continuous: утверждение (am/is/are + V-ing)</t>
        </is>
      </c>
      <c r="F17" s="4" t="inlineStr">
        <is>
          <t>обе</t>
        </is>
      </c>
      <c r="G17" s="7" t="inlineStr">
        <is>
          <t>М7 · новое</t>
        </is>
      </c>
      <c r="H17" s="8" t="inlineStr">
        <is>
          <t>М1 · повт.</t>
        </is>
      </c>
      <c r="I17" s="9" t="inlineStr">
        <is>
          <t>М6 (6b) · повт.</t>
        </is>
      </c>
      <c r="J17" s="9" t="inlineStr">
        <is>
          <t>М5 (5a) · повт.</t>
        </is>
      </c>
      <c r="K17" s="4" t="inlineStr"/>
      <c r="L17" s="9" t="inlineStr">
        <is>
          <t>М1 (1c) · повт.</t>
        </is>
      </c>
      <c r="M17" s="9" t="inlineStr">
        <is>
          <t>М1 (1c) · повт.</t>
        </is>
      </c>
      <c r="N17" s="9" t="inlineStr">
        <is>
          <t>М1 (1c) · повт.</t>
        </is>
      </c>
      <c r="O17" s="9" t="inlineStr">
        <is>
          <t>М1 (1c) · повт.</t>
        </is>
      </c>
      <c r="P17" s="10" t="inlineStr">
        <is>
          <t>видео</t>
        </is>
      </c>
      <c r="Q17" s="4" t="inlineStr">
        <is>
          <t>Favourite activities Present Cont
Present Continuous+ activities</t>
        </is>
      </c>
      <c r="R17" s="10" t="inlineStr">
        <is>
          <t>нет</t>
        </is>
      </c>
      <c r="S17" s="4" t="inlineStr"/>
      <c r="T17" s="4" t="inlineStr"/>
    </row>
    <row r="18">
      <c r="A18" s="11" t="n">
        <v>17</v>
      </c>
      <c r="B18" s="11" t="inlineStr">
        <is>
          <t>Грамматика</t>
        </is>
      </c>
      <c r="C18" s="11" t="inlineStr">
        <is>
          <t>Глаголы: времена</t>
        </is>
      </c>
      <c r="D18" s="12" t="inlineStr">
        <is>
          <t>Present Continuous</t>
        </is>
      </c>
      <c r="E18" s="13" t="inlineStr">
        <is>
          <t>Present Continuous: отрицание (I'm not / isn't / aren't)</t>
        </is>
      </c>
      <c r="F18" s="11" t="inlineStr">
        <is>
          <t>обе</t>
        </is>
      </c>
      <c r="G18" s="14" t="inlineStr">
        <is>
          <t>М7 · новое</t>
        </is>
      </c>
      <c r="H18" s="15" t="inlineStr">
        <is>
          <t>М1 · повт.</t>
        </is>
      </c>
      <c r="I18" s="16" t="inlineStr">
        <is>
          <t>М6 (6b) · повт.</t>
        </is>
      </c>
      <c r="J18" s="16" t="inlineStr">
        <is>
          <t>М5 (5b) · повт.</t>
        </is>
      </c>
      <c r="K18" s="11" t="inlineStr"/>
      <c r="L18" s="16" t="inlineStr">
        <is>
          <t>М1 (1c) · повт.</t>
        </is>
      </c>
      <c r="M18" s="11" t="inlineStr"/>
      <c r="N18" s="11" t="inlineStr"/>
      <c r="O18" s="11" t="inlineStr"/>
      <c r="P18" s="17" t="inlineStr">
        <is>
          <t>вебинар</t>
        </is>
      </c>
      <c r="Q18" s="11" t="inlineStr">
        <is>
          <t>вебинар 12.11 (по расписанию): Present Continuous: отрицание и вопросы
материалы: Present Continuous  questions and negatives</t>
        </is>
      </c>
      <c r="R18" s="17" t="inlineStr">
        <is>
          <t>нет</t>
        </is>
      </c>
      <c r="S18" s="11" t="inlineStr"/>
      <c r="T18" s="11" t="inlineStr"/>
    </row>
    <row r="19">
      <c r="A19" s="11" t="n">
        <v>18</v>
      </c>
      <c r="B19" s="11" t="inlineStr">
        <is>
          <t>Грамматика</t>
        </is>
      </c>
      <c r="C19" s="11" t="inlineStr">
        <is>
          <t>Глаголы: времена</t>
        </is>
      </c>
      <c r="D19" s="12" t="inlineStr">
        <is>
          <t>Present Continuous</t>
        </is>
      </c>
      <c r="E19" s="13" t="inlineStr">
        <is>
          <t>Present Continuous: общие вопросы (Am/Is/Are …?)</t>
        </is>
      </c>
      <c r="F19" s="11" t="inlineStr">
        <is>
          <t>обе</t>
        </is>
      </c>
      <c r="G19" s="14" t="inlineStr">
        <is>
          <t>М7 · новое</t>
        </is>
      </c>
      <c r="H19" s="15" t="inlineStr">
        <is>
          <t>М1 · повт.</t>
        </is>
      </c>
      <c r="I19" s="16" t="inlineStr">
        <is>
          <t>М6 (6b) · повт.</t>
        </is>
      </c>
      <c r="J19" s="16" t="inlineStr">
        <is>
          <t>М5 (5b) · повт.</t>
        </is>
      </c>
      <c r="K19" s="11" t="inlineStr"/>
      <c r="L19" s="16" t="inlineStr">
        <is>
          <t>М1 (1c) · повт.</t>
        </is>
      </c>
      <c r="M19" s="11" t="inlineStr"/>
      <c r="N19" s="11" t="inlineStr"/>
      <c r="O19" s="11" t="inlineStr"/>
      <c r="P19" s="17" t="inlineStr">
        <is>
          <t>вебинар</t>
        </is>
      </c>
      <c r="Q19" s="11" t="inlineStr">
        <is>
          <t>вебинар 12.11 (по расписанию): Present Continuous: отрицание и вопросы
материалы: Present Continuous  questions and negatives</t>
        </is>
      </c>
      <c r="R19" s="17" t="inlineStr">
        <is>
          <t>нет</t>
        </is>
      </c>
      <c r="S19" s="11" t="inlineStr"/>
      <c r="T19" s="11" t="inlineStr"/>
    </row>
    <row r="20">
      <c r="A20" s="11" t="n">
        <v>19</v>
      </c>
      <c r="B20" s="11" t="inlineStr">
        <is>
          <t>Грамматика</t>
        </is>
      </c>
      <c r="C20" s="11" t="inlineStr">
        <is>
          <t>Глаголы: времена</t>
        </is>
      </c>
      <c r="D20" s="12" t="inlineStr">
        <is>
          <t>Present Continuous</t>
        </is>
      </c>
      <c r="E20" s="13" t="inlineStr">
        <is>
          <t>Present Continuous: краткие ответы (Yes, I am / No, he isn't)</t>
        </is>
      </c>
      <c r="F20" s="11" t="inlineStr">
        <is>
          <t>обе</t>
        </is>
      </c>
      <c r="G20" s="14" t="inlineStr">
        <is>
          <t>М7 · новое</t>
        </is>
      </c>
      <c r="H20" s="15" t="inlineStr">
        <is>
          <t>М1 · повт.</t>
        </is>
      </c>
      <c r="I20" s="16" t="inlineStr">
        <is>
          <t>М6 (6b) · повт.</t>
        </is>
      </c>
      <c r="J20" s="16" t="inlineStr">
        <is>
          <t>М5 (5b) · повт.</t>
        </is>
      </c>
      <c r="K20" s="11" t="inlineStr"/>
      <c r="L20" s="16" t="inlineStr">
        <is>
          <t>М1 (1c) · повт.</t>
        </is>
      </c>
      <c r="M20" s="11" t="inlineStr"/>
      <c r="N20" s="11" t="inlineStr"/>
      <c r="O20" s="11" t="inlineStr"/>
      <c r="P20" s="17" t="inlineStr">
        <is>
          <t>вебинар</t>
        </is>
      </c>
      <c r="Q20" s="11" t="inlineStr">
        <is>
          <t>вебинар 12.11 (по расписанию): Present Continuous: отрицание и вопросы
материалы: Present Continuous  questions and negatives</t>
        </is>
      </c>
      <c r="R20" s="17" t="inlineStr">
        <is>
          <t>нет</t>
        </is>
      </c>
      <c r="S20" s="11" t="inlineStr"/>
      <c r="T20" s="11" t="inlineStr"/>
    </row>
    <row r="21">
      <c r="A21" s="11" t="n">
        <v>20</v>
      </c>
      <c r="B21" s="11" t="inlineStr">
        <is>
          <t>Грамматика</t>
        </is>
      </c>
      <c r="C21" s="11" t="inlineStr">
        <is>
          <t>Глаголы: времена</t>
        </is>
      </c>
      <c r="D21" s="12" t="inlineStr">
        <is>
          <t>Present Continuous</t>
        </is>
      </c>
      <c r="E21" s="13" t="inlineStr">
        <is>
          <t>Present Continuous: орфография -ing</t>
        </is>
      </c>
      <c r="F21" s="11" t="inlineStr">
        <is>
          <t>10+</t>
        </is>
      </c>
      <c r="G21" s="11" t="inlineStr"/>
      <c r="H21" s="11" t="inlineStr"/>
      <c r="I21" s="23" t="inlineStr">
        <is>
          <t>М6 (6b) · новое</t>
        </is>
      </c>
      <c r="J21" s="16" t="inlineStr">
        <is>
          <t>М5 (5b) · повт.</t>
        </is>
      </c>
      <c r="K21" s="11" t="inlineStr"/>
      <c r="L21" s="19" t="inlineStr">
        <is>
          <t>М1 (1c) · расш.</t>
        </is>
      </c>
      <c r="M21" s="16" t="inlineStr">
        <is>
          <t>М1 (1c) · повт.</t>
        </is>
      </c>
      <c r="N21" s="16" t="inlineStr">
        <is>
          <t>М1 (1c) · повт.</t>
        </is>
      </c>
      <c r="O21" s="16" t="inlineStr">
        <is>
          <t>М1 (1c) · повт.</t>
        </is>
      </c>
      <c r="P21" s="20" t="inlineStr">
        <is>
          <t>—</t>
        </is>
      </c>
      <c r="Q21" s="21" t="inlineStr"/>
      <c r="R21" s="17" t="inlineStr">
        <is>
          <t>нет</t>
        </is>
      </c>
      <c r="S21" s="11" t="inlineStr"/>
      <c r="T21" s="11" t="inlineStr"/>
    </row>
    <row r="22">
      <c r="A22" s="11" t="n">
        <v>21</v>
      </c>
      <c r="B22" s="11" t="inlineStr">
        <is>
          <t>Грамматика</t>
        </is>
      </c>
      <c r="C22" s="11" t="inlineStr">
        <is>
          <t>Глаголы: времена</t>
        </is>
      </c>
      <c r="D22" s="12" t="inlineStr">
        <is>
          <t>Present Continuous</t>
        </is>
      </c>
      <c r="E22" s="22" t="inlineStr">
        <is>
          <t>Present Continuous: значение — действие сейчас (now)</t>
        </is>
      </c>
      <c r="F22" s="11" t="inlineStr">
        <is>
          <t>обе</t>
        </is>
      </c>
      <c r="G22" s="14" t="inlineStr">
        <is>
          <t>М7 · новое</t>
        </is>
      </c>
      <c r="H22" s="15" t="inlineStr">
        <is>
          <t>М1 · повт.</t>
        </is>
      </c>
      <c r="I22" s="16" t="inlineStr">
        <is>
          <t>М6 (6b) · повт.</t>
        </is>
      </c>
      <c r="J22" s="16" t="inlineStr">
        <is>
          <t>М5 (5b) · повт.</t>
        </is>
      </c>
      <c r="K22" s="16" t="inlineStr">
        <is>
          <t>М1 · повт.</t>
        </is>
      </c>
      <c r="L22" s="16" t="inlineStr">
        <is>
          <t>М1 (1c) · повт.</t>
        </is>
      </c>
      <c r="M22" s="16" t="inlineStr">
        <is>
          <t>М1 (1c) · повт.</t>
        </is>
      </c>
      <c r="N22" s="16" t="inlineStr">
        <is>
          <t>М1 (1c) · повт.</t>
        </is>
      </c>
      <c r="O22" s="16" t="inlineStr">
        <is>
          <t>М1 (1c) · повт.</t>
        </is>
      </c>
      <c r="P22" s="17" t="inlineStr">
        <is>
          <t>видео</t>
        </is>
      </c>
      <c r="Q22" s="11" t="inlineStr">
        <is>
          <t>Favourite activities Present Cont
Present Continuous+ activities
Present Simple vs Present Continuous</t>
        </is>
      </c>
      <c r="R22" s="17" t="inlineStr">
        <is>
          <t>видео</t>
        </is>
      </c>
      <c r="S22" s="11" t="inlineStr">
        <is>
          <t>Present tenses (review...cter and relationships</t>
        </is>
      </c>
      <c r="T22" s="11" t="inlineStr"/>
    </row>
    <row r="23">
      <c r="A23" s="11" t="n">
        <v>22</v>
      </c>
      <c r="B23" s="11" t="inlineStr">
        <is>
          <t>Грамматика</t>
        </is>
      </c>
      <c r="C23" s="11" t="inlineStr">
        <is>
          <t>Глаголы: времена</t>
        </is>
      </c>
      <c r="D23" s="12" t="inlineStr">
        <is>
          <t>Present Continuous</t>
        </is>
      </c>
      <c r="E23" s="22" t="inlineStr">
        <is>
          <t>Present Continuous: значение — действие в настоящий период (these days)</t>
        </is>
      </c>
      <c r="F23" s="11" t="inlineStr">
        <is>
          <t>10+</t>
        </is>
      </c>
      <c r="G23" s="11" t="inlineStr"/>
      <c r="H23" s="11" t="inlineStr"/>
      <c r="I23" s="23" t="inlineStr">
        <is>
          <t>М6 (6b) · новое</t>
        </is>
      </c>
      <c r="J23" s="19" t="inlineStr">
        <is>
          <t>М5 (5b) · расш.</t>
        </is>
      </c>
      <c r="K23" s="16" t="inlineStr">
        <is>
          <t>М1 · повт.</t>
        </is>
      </c>
      <c r="L23" s="11" t="inlineStr"/>
      <c r="M23" s="16" t="inlineStr">
        <is>
          <t>М1 (1c) · повт.</t>
        </is>
      </c>
      <c r="N23" s="16" t="inlineStr">
        <is>
          <t>М1 (1c) · повт.</t>
        </is>
      </c>
      <c r="O23" s="16" t="inlineStr">
        <is>
          <t>М1 (1c) · повт.</t>
        </is>
      </c>
      <c r="P23" s="20" t="inlineStr">
        <is>
          <t>—</t>
        </is>
      </c>
      <c r="Q23" s="21" t="inlineStr"/>
      <c r="R23" s="17" t="inlineStr">
        <is>
          <t>видео</t>
        </is>
      </c>
      <c r="S23" s="11" t="inlineStr">
        <is>
          <t>Present tenses (review...cter and relationships</t>
        </is>
      </c>
      <c r="T23" s="11" t="inlineStr"/>
    </row>
    <row r="24">
      <c r="A24" s="11" t="n">
        <v>23</v>
      </c>
      <c r="B24" s="11" t="inlineStr">
        <is>
          <t>Грамматика</t>
        </is>
      </c>
      <c r="C24" s="11" t="inlineStr">
        <is>
          <t>Глаголы: времена</t>
        </is>
      </c>
      <c r="D24" s="12" t="inlineStr">
        <is>
          <t>Present Continuous</t>
        </is>
      </c>
      <c r="E24" s="22" t="inlineStr">
        <is>
          <t>Present Continuous: значение — запланированное будущее</t>
        </is>
      </c>
      <c r="F24" s="11" t="inlineStr">
        <is>
          <t>10+</t>
        </is>
      </c>
      <c r="G24" s="11" t="inlineStr"/>
      <c r="H24" s="11" t="inlineStr"/>
      <c r="I24" s="11" t="inlineStr"/>
      <c r="J24" s="23" t="inlineStr">
        <is>
          <t>М5 (5b) · новое
М10 (10b) · повт.</t>
        </is>
      </c>
      <c r="K24" s="16" t="inlineStr">
        <is>
          <t>М1 · повт.</t>
        </is>
      </c>
      <c r="L24" s="19" t="inlineStr">
        <is>
          <t>М1 (1c) · расш.</t>
        </is>
      </c>
      <c r="M24" s="16" t="inlineStr">
        <is>
          <t>М1 (1c) · повт.</t>
        </is>
      </c>
      <c r="N24" s="16" t="inlineStr">
        <is>
          <t>М1 (1c) · повт.</t>
        </is>
      </c>
      <c r="O24" s="16" t="inlineStr">
        <is>
          <t>М1 (1c) · повт.</t>
        </is>
      </c>
      <c r="P24" s="20" t="inlineStr">
        <is>
          <t>—</t>
        </is>
      </c>
      <c r="Q24" s="21" t="inlineStr"/>
      <c r="R24" s="17" t="inlineStr">
        <is>
          <t>видео</t>
        </is>
      </c>
      <c r="S24" s="11" t="inlineStr">
        <is>
          <t>Your schedule + Prese...ous for future meaning</t>
        </is>
      </c>
      <c r="T24" s="11" t="inlineStr"/>
    </row>
    <row r="25">
      <c r="A25" s="11" t="n">
        <v>24</v>
      </c>
      <c r="B25" s="11" t="inlineStr">
        <is>
          <t>Грамматика</t>
        </is>
      </c>
      <c r="C25" s="11" t="inlineStr">
        <is>
          <t>Глаголы: времена</t>
        </is>
      </c>
      <c r="D25" s="12" t="inlineStr">
        <is>
          <t>Present Continuous</t>
        </is>
      </c>
      <c r="E25" s="22" t="inlineStr">
        <is>
          <t>Present Continuous: значение — временные ситуации</t>
        </is>
      </c>
      <c r="F25" s="11" t="inlineStr">
        <is>
          <t>10+</t>
        </is>
      </c>
      <c r="G25" s="11" t="inlineStr"/>
      <c r="H25" s="11" t="inlineStr"/>
      <c r="I25" s="11" t="inlineStr"/>
      <c r="J25" s="11" t="inlineStr"/>
      <c r="K25" s="11" t="inlineStr"/>
      <c r="L25" s="23" t="inlineStr">
        <is>
          <t>М1 (1c) · новое</t>
        </is>
      </c>
      <c r="M25" s="16" t="inlineStr">
        <is>
          <t>М1 (1c) · повт.</t>
        </is>
      </c>
      <c r="N25" s="16" t="inlineStr">
        <is>
          <t>М1 (1c) · повт.</t>
        </is>
      </c>
      <c r="O25" s="16" t="inlineStr">
        <is>
          <t>М1 (1c) · повт.</t>
        </is>
      </c>
      <c r="P25" s="20" t="inlineStr">
        <is>
          <t>—</t>
        </is>
      </c>
      <c r="Q25" s="21" t="inlineStr"/>
      <c r="R25" s="17" t="inlineStr">
        <is>
          <t>видео</t>
        </is>
      </c>
      <c r="S25" s="11" t="inlineStr">
        <is>
          <t>Present tenses (review...cter and relationships</t>
        </is>
      </c>
      <c r="T25" s="11" t="inlineStr"/>
    </row>
    <row r="26">
      <c r="A26" s="11" t="n">
        <v>25</v>
      </c>
      <c r="B26" s="11" t="inlineStr">
        <is>
          <t>Грамматика</t>
        </is>
      </c>
      <c r="C26" s="11" t="inlineStr">
        <is>
          <t>Глаголы: времена</t>
        </is>
      </c>
      <c r="D26" s="12" t="inlineStr">
        <is>
          <t>Present Continuous</t>
        </is>
      </c>
      <c r="E26" s="13" t="inlineStr">
        <is>
          <t>Present Continuous: значение — меняющиеся и развивающиеся ситуации</t>
        </is>
      </c>
      <c r="F26" s="11" t="inlineStr">
        <is>
          <t>10+</t>
        </is>
      </c>
      <c r="G26" s="11" t="inlineStr"/>
      <c r="H26" s="11" t="inlineStr"/>
      <c r="I26" s="11" t="inlineStr"/>
      <c r="J26" s="11" t="inlineStr"/>
      <c r="K26" s="23" t="inlineStr">
        <is>
          <t>М1 · новое</t>
        </is>
      </c>
      <c r="L26" s="16" t="inlineStr">
        <is>
          <t>М1 (1c) · повт.</t>
        </is>
      </c>
      <c r="M26" s="16" t="inlineStr">
        <is>
          <t>М1 (1c) · повт.</t>
        </is>
      </c>
      <c r="N26" s="16" t="inlineStr">
        <is>
          <t>М1 (1c) · повт.</t>
        </is>
      </c>
      <c r="O26" s="16" t="inlineStr">
        <is>
          <t>М1 (1c) · повт.</t>
        </is>
      </c>
      <c r="P26" s="20" t="inlineStr">
        <is>
          <t>—</t>
        </is>
      </c>
      <c r="Q26" s="21" t="inlineStr"/>
      <c r="R26" s="17" t="inlineStr">
        <is>
          <t>нет</t>
        </is>
      </c>
      <c r="S26" s="11" t="inlineStr"/>
      <c r="T26" s="11" t="inlineStr"/>
    </row>
    <row r="27">
      <c r="A27" s="11" t="n">
        <v>26</v>
      </c>
      <c r="B27" s="11" t="inlineStr">
        <is>
          <t>Грамматика</t>
        </is>
      </c>
      <c r="C27" s="11" t="inlineStr">
        <is>
          <t>Глаголы: времена</t>
        </is>
      </c>
      <c r="D27" s="12" t="inlineStr">
        <is>
          <t>Present Continuous</t>
        </is>
      </c>
      <c r="E27" s="13" t="inlineStr">
        <is>
          <t>Present Continuous: значение — always + раздражение</t>
        </is>
      </c>
      <c r="F27" s="11" t="inlineStr">
        <is>
          <t>10+</t>
        </is>
      </c>
      <c r="G27" s="11" t="inlineStr"/>
      <c r="H27" s="11" t="inlineStr"/>
      <c r="I27" s="11" t="inlineStr"/>
      <c r="J27" s="11" t="inlineStr"/>
      <c r="K27" s="23" t="inlineStr">
        <is>
          <t>М1 · новое</t>
        </is>
      </c>
      <c r="L27" s="19" t="inlineStr">
        <is>
          <t>М1 (1c) · расш.</t>
        </is>
      </c>
      <c r="M27" s="16" t="inlineStr">
        <is>
          <t>М1 (1c) · повт.</t>
        </is>
      </c>
      <c r="N27" s="16" t="inlineStr">
        <is>
          <t>М1 (1c) · повт.</t>
        </is>
      </c>
      <c r="O27" s="16" t="inlineStr">
        <is>
          <t>М1 (1c) · повт.</t>
        </is>
      </c>
      <c r="P27" s="20" t="inlineStr">
        <is>
          <t>—</t>
        </is>
      </c>
      <c r="Q27" s="21" t="inlineStr"/>
      <c r="R27" s="17" t="inlineStr">
        <is>
          <t>нет</t>
        </is>
      </c>
      <c r="S27" s="11" t="inlineStr"/>
      <c r="T27" s="11" t="inlineStr"/>
    </row>
    <row r="28">
      <c r="A28" s="4" t="n">
        <v>27</v>
      </c>
      <c r="B28" s="4" t="inlineStr">
        <is>
          <t>Грамматика</t>
        </is>
      </c>
      <c r="C28" s="4" t="inlineStr">
        <is>
          <t>Глаголы: времена</t>
        </is>
      </c>
      <c r="D28" s="5" t="inlineStr">
        <is>
          <t>Present Simple</t>
        </is>
      </c>
      <c r="E28" s="24" t="inlineStr">
        <is>
          <t>Present Simple: утверждение (I/you/we/they V, he/she/it V-s)</t>
        </is>
      </c>
      <c r="F28" s="4" t="inlineStr">
        <is>
          <t>обе</t>
        </is>
      </c>
      <c r="G28" s="7" t="inlineStr">
        <is>
          <t>М3 · новое</t>
        </is>
      </c>
      <c r="H28" s="8" t="inlineStr">
        <is>
          <t>М2 · повт.</t>
        </is>
      </c>
      <c r="I28" s="9" t="inlineStr">
        <is>
          <t>М5 (5a) · повт.</t>
        </is>
      </c>
      <c r="J28" s="9" t="inlineStr">
        <is>
          <t>М4 (4a) · повт.</t>
        </is>
      </c>
      <c r="K28" s="4" t="inlineStr"/>
      <c r="L28" s="9" t="inlineStr">
        <is>
          <t>М1 (1c) · повт.</t>
        </is>
      </c>
      <c r="M28" s="9" t="inlineStr">
        <is>
          <t>М1 (1c) · повт.</t>
        </is>
      </c>
      <c r="N28" s="9" t="inlineStr">
        <is>
          <t>М1 (1c) · повт.</t>
        </is>
      </c>
      <c r="O28" s="9" t="inlineStr">
        <is>
          <t>М1 (1c) · повт.</t>
        </is>
      </c>
      <c r="P28" s="10" t="inlineStr">
        <is>
          <t>видео</t>
        </is>
      </c>
      <c r="Q28" s="4" t="inlineStr">
        <is>
          <t>Free time Like _ing</t>
        </is>
      </c>
      <c r="R28" s="10" t="inlineStr">
        <is>
          <t>нет</t>
        </is>
      </c>
      <c r="S28" s="4" t="inlineStr"/>
      <c r="T28" s="4" t="inlineStr"/>
    </row>
    <row r="29">
      <c r="A29" s="11" t="n">
        <v>28</v>
      </c>
      <c r="B29" s="11" t="inlineStr">
        <is>
          <t>Грамматика</t>
        </is>
      </c>
      <c r="C29" s="11" t="inlineStr">
        <is>
          <t>Глаголы: времена</t>
        </is>
      </c>
      <c r="D29" s="12" t="inlineStr">
        <is>
          <t>Present Simple</t>
        </is>
      </c>
      <c r="E29" s="13" t="inlineStr">
        <is>
          <t>Present Simple: отрицание (don't/doesn't)</t>
        </is>
      </c>
      <c r="F29" s="11" t="inlineStr">
        <is>
          <t>обе</t>
        </is>
      </c>
      <c r="G29" s="14" t="inlineStr">
        <is>
          <t>М3 · новое</t>
        </is>
      </c>
      <c r="H29" s="15" t="inlineStr">
        <is>
          <t>М2 · повт.</t>
        </is>
      </c>
      <c r="I29" s="16" t="inlineStr">
        <is>
          <t>М5 (5b) · повт.</t>
        </is>
      </c>
      <c r="J29" s="16" t="inlineStr">
        <is>
          <t>М4 (4a) · повт.</t>
        </is>
      </c>
      <c r="K29" s="11" t="inlineStr"/>
      <c r="L29" s="16" t="inlineStr">
        <is>
          <t>М1 (1c) · повт.</t>
        </is>
      </c>
      <c r="M29" s="11" t="inlineStr"/>
      <c r="N29" s="11" t="inlineStr"/>
      <c r="O29" s="11" t="inlineStr"/>
      <c r="P29" s="17" t="inlineStr">
        <is>
          <t>видео</t>
        </is>
      </c>
      <c r="Q29" s="11" t="inlineStr">
        <is>
          <t>Free time Like _ing</t>
        </is>
      </c>
      <c r="R29" s="17" t="inlineStr">
        <is>
          <t>нет</t>
        </is>
      </c>
      <c r="S29" s="11" t="inlineStr"/>
      <c r="T29" s="11" t="inlineStr"/>
    </row>
    <row r="30">
      <c r="A30" s="11" t="n">
        <v>29</v>
      </c>
      <c r="B30" s="11" t="inlineStr">
        <is>
          <t>Грамматика</t>
        </is>
      </c>
      <c r="C30" s="11" t="inlineStr">
        <is>
          <t>Глаголы: времена</t>
        </is>
      </c>
      <c r="D30" s="12" t="inlineStr">
        <is>
          <t>Present Simple</t>
        </is>
      </c>
      <c r="E30" s="13" t="inlineStr">
        <is>
          <t>Present Simple: общие вопросы (Do/Does …?)</t>
        </is>
      </c>
      <c r="F30" s="11" t="inlineStr">
        <is>
          <t>обе</t>
        </is>
      </c>
      <c r="G30" s="14" t="inlineStr">
        <is>
          <t>М3 · новое</t>
        </is>
      </c>
      <c r="H30" s="15" t="inlineStr">
        <is>
          <t>М2 · повт.</t>
        </is>
      </c>
      <c r="I30" s="16" t="inlineStr">
        <is>
          <t>М5 (5b) · повт.</t>
        </is>
      </c>
      <c r="J30" s="16" t="inlineStr">
        <is>
          <t>М4 (4a) · повт.</t>
        </is>
      </c>
      <c r="K30" s="11" t="inlineStr"/>
      <c r="L30" s="16" t="inlineStr">
        <is>
          <t>М1 (1c) · повт.</t>
        </is>
      </c>
      <c r="M30" s="11" t="inlineStr"/>
      <c r="N30" s="11" t="inlineStr"/>
      <c r="O30" s="11" t="inlineStr"/>
      <c r="P30" s="17" t="inlineStr">
        <is>
          <t>вебинар</t>
        </is>
      </c>
      <c r="Q30" s="11" t="inlineStr">
        <is>
          <t>вебинар 09.11 (по расписанию): Present Simple: вопросы и краткие ответы</t>
        </is>
      </c>
      <c r="R30" s="17" t="inlineStr">
        <is>
          <t>нет</t>
        </is>
      </c>
      <c r="S30" s="11" t="inlineStr"/>
      <c r="T30" s="11" t="inlineStr"/>
    </row>
    <row r="31">
      <c r="A31" s="11" t="n">
        <v>30</v>
      </c>
      <c r="B31" s="11" t="inlineStr">
        <is>
          <t>Грамматика</t>
        </is>
      </c>
      <c r="C31" s="11" t="inlineStr">
        <is>
          <t>Глаголы: времена</t>
        </is>
      </c>
      <c r="D31" s="12" t="inlineStr">
        <is>
          <t>Present Simple</t>
        </is>
      </c>
      <c r="E31" s="13" t="inlineStr">
        <is>
          <t>Present Simple: краткие ответы (Yes, I do / No, he doesn't)</t>
        </is>
      </c>
      <c r="F31" s="11" t="inlineStr">
        <is>
          <t>обе</t>
        </is>
      </c>
      <c r="G31" s="14" t="inlineStr">
        <is>
          <t>М3 · новое</t>
        </is>
      </c>
      <c r="H31" s="15" t="inlineStr">
        <is>
          <t>М2 · повт.</t>
        </is>
      </c>
      <c r="I31" s="16" t="inlineStr">
        <is>
          <t>М5 (5b) · повт.</t>
        </is>
      </c>
      <c r="J31" s="16" t="inlineStr">
        <is>
          <t>М4 (4b) · повт.</t>
        </is>
      </c>
      <c r="K31" s="11" t="inlineStr"/>
      <c r="L31" s="16" t="inlineStr">
        <is>
          <t>М1 (1c) · повт.</t>
        </is>
      </c>
      <c r="M31" s="11" t="inlineStr"/>
      <c r="N31" s="11" t="inlineStr"/>
      <c r="O31" s="11" t="inlineStr"/>
      <c r="P31" s="17" t="inlineStr">
        <is>
          <t>вебинар</t>
        </is>
      </c>
      <c r="Q31" s="11" t="inlineStr">
        <is>
          <t>вебинар 09.11 (по расписанию): Present Simple: вопросы и краткие ответы</t>
        </is>
      </c>
      <c r="R31" s="17" t="inlineStr">
        <is>
          <t>нет</t>
        </is>
      </c>
      <c r="S31" s="11" t="inlineStr"/>
      <c r="T31" s="11" t="inlineStr"/>
    </row>
    <row r="32">
      <c r="A32" s="11" t="n">
        <v>31</v>
      </c>
      <c r="B32" s="11" t="inlineStr">
        <is>
          <t>Грамматика</t>
        </is>
      </c>
      <c r="C32" s="11" t="inlineStr">
        <is>
          <t>Глаголы: времена</t>
        </is>
      </c>
      <c r="D32" s="12" t="inlineStr">
        <is>
          <t>Present Simple</t>
        </is>
      </c>
      <c r="E32" s="13" t="inlineStr">
        <is>
          <t>Present Simple: орфография окончания -s/-es (3 л. ед. ч.)</t>
        </is>
      </c>
      <c r="F32" s="11" t="inlineStr">
        <is>
          <t>обе</t>
        </is>
      </c>
      <c r="G32" s="14" t="inlineStr">
        <is>
          <t>М8 · новое</t>
        </is>
      </c>
      <c r="H32" s="15" t="inlineStr">
        <is>
          <t>М2 · повт.</t>
        </is>
      </c>
      <c r="I32" s="16" t="inlineStr">
        <is>
          <t>М5 (5a) · повт.</t>
        </is>
      </c>
      <c r="J32" s="16" t="inlineStr">
        <is>
          <t>М4 (4a) · повт.</t>
        </is>
      </c>
      <c r="K32" s="11" t="inlineStr"/>
      <c r="L32" s="16" t="inlineStr">
        <is>
          <t>М1 (1c) · повт.</t>
        </is>
      </c>
      <c r="M32" s="16" t="inlineStr">
        <is>
          <t>М1 (1c) · повт.</t>
        </is>
      </c>
      <c r="N32" s="16" t="inlineStr">
        <is>
          <t>М1 (1c) · повт.</t>
        </is>
      </c>
      <c r="O32" s="16" t="inlineStr">
        <is>
          <t>М1 (1c) · повт.</t>
        </is>
      </c>
      <c r="P32" s="17" t="inlineStr">
        <is>
          <t>вебинар</t>
        </is>
      </c>
      <c r="Q32" s="11" t="inlineStr">
        <is>
          <t>вебинар 09.11 (по расписанию): Present Simple: вопросы и краткие ответы</t>
        </is>
      </c>
      <c r="R32" s="17" t="inlineStr">
        <is>
          <t>нет</t>
        </is>
      </c>
      <c r="S32" s="11" t="inlineStr"/>
      <c r="T32" s="11" t="inlineStr"/>
    </row>
    <row r="33">
      <c r="A33" s="11" t="n">
        <v>32</v>
      </c>
      <c r="B33" s="11" t="inlineStr">
        <is>
          <t>Грамматика</t>
        </is>
      </c>
      <c r="C33" s="11" t="inlineStr">
        <is>
          <t>Глаголы: времена</t>
        </is>
      </c>
      <c r="D33" s="12" t="inlineStr">
        <is>
          <t>Present Simple</t>
        </is>
      </c>
      <c r="E33" s="13" t="inlineStr">
        <is>
          <t>Present Simple: произношение окончания -s/-es (/s/, /z/, /ɪz/)</t>
        </is>
      </c>
      <c r="F33" s="11" t="inlineStr">
        <is>
          <t>7–9</t>
        </is>
      </c>
      <c r="G33" s="14" t="inlineStr">
        <is>
          <t>М8 · новое</t>
        </is>
      </c>
      <c r="H33" s="15" t="inlineStr">
        <is>
          <t>М2 · повт.</t>
        </is>
      </c>
      <c r="I33" s="11" t="inlineStr"/>
      <c r="J33" s="11" t="inlineStr"/>
      <c r="K33" s="11" t="inlineStr"/>
      <c r="L33" s="11" t="inlineStr"/>
      <c r="M33" s="11" t="inlineStr"/>
      <c r="N33" s="11" t="inlineStr"/>
      <c r="O33" s="11" t="inlineStr"/>
      <c r="P33" s="17" t="inlineStr">
        <is>
          <t>нет</t>
        </is>
      </c>
      <c r="Q33" s="11" t="inlineStr"/>
      <c r="R33" s="20" t="inlineStr">
        <is>
          <t>—</t>
        </is>
      </c>
      <c r="S33" s="21" t="inlineStr"/>
      <c r="T33" s="11" t="inlineStr"/>
    </row>
    <row r="34">
      <c r="A34" s="11" t="n">
        <v>33</v>
      </c>
      <c r="B34" s="11" t="inlineStr">
        <is>
          <t>Грамматика</t>
        </is>
      </c>
      <c r="C34" s="11" t="inlineStr">
        <is>
          <t>Глаголы: времена</t>
        </is>
      </c>
      <c r="D34" s="12" t="inlineStr">
        <is>
          <t>Present Simple</t>
        </is>
      </c>
      <c r="E34" s="22" t="inlineStr">
        <is>
          <t>Present Simple: значение — регулярные действия, распорядок дня, привычки</t>
        </is>
      </c>
      <c r="F34" s="11" t="inlineStr">
        <is>
          <t>обе</t>
        </is>
      </c>
      <c r="G34" s="14" t="inlineStr">
        <is>
          <t>М3 · новое
М8 · повт.</t>
        </is>
      </c>
      <c r="H34" s="25" t="inlineStr">
        <is>
          <t>М2 · расш.</t>
        </is>
      </c>
      <c r="I34" s="19" t="inlineStr">
        <is>
          <t>М5 (5a) · расш.</t>
        </is>
      </c>
      <c r="J34" s="19" t="inlineStr">
        <is>
          <t>М4 (4a) · расш.</t>
        </is>
      </c>
      <c r="K34" s="16" t="inlineStr">
        <is>
          <t>М1 · повт.</t>
        </is>
      </c>
      <c r="L34" s="16" t="inlineStr">
        <is>
          <t>М1 (1c) · повт.</t>
        </is>
      </c>
      <c r="M34" s="16" t="inlineStr">
        <is>
          <t>М1 (1c) · повт.</t>
        </is>
      </c>
      <c r="N34" s="16" t="inlineStr">
        <is>
          <t>М1 (1c) · повт.</t>
        </is>
      </c>
      <c r="O34" s="16" t="inlineStr">
        <is>
          <t>М1 (1c) · повт.</t>
        </is>
      </c>
      <c r="P34" s="17" t="inlineStr">
        <is>
          <t>видео</t>
        </is>
      </c>
      <c r="Q34" s="11" t="inlineStr">
        <is>
          <t>A day in my life+adver...ency in Present Simple
Present Simple vs Present Continuous</t>
        </is>
      </c>
      <c r="R34" s="17" t="inlineStr">
        <is>
          <t>видео</t>
        </is>
      </c>
      <c r="S34" s="11" t="inlineStr">
        <is>
          <t>Daily Activities. Adverbs of Frequency in Pr.S.
Tense overview (Prese...mple, Present Perfect)
Tenses overview 1
Present tenses (review...cter and relationships</t>
        </is>
      </c>
      <c r="T34" s="11" t="inlineStr"/>
    </row>
    <row r="35">
      <c r="A35" s="11" t="n">
        <v>34</v>
      </c>
      <c r="B35" s="11" t="inlineStr">
        <is>
          <t>Грамматика</t>
        </is>
      </c>
      <c r="C35" s="11" t="inlineStr">
        <is>
          <t>Глаголы: времена</t>
        </is>
      </c>
      <c r="D35" s="12" t="inlineStr">
        <is>
          <t>Present Simple</t>
        </is>
      </c>
      <c r="E35" s="22" t="inlineStr">
        <is>
          <t>Present Simple: значение — постоянные состояния и действия</t>
        </is>
      </c>
      <c r="F35" s="11" t="inlineStr">
        <is>
          <t>10+</t>
        </is>
      </c>
      <c r="G35" s="11" t="inlineStr"/>
      <c r="H35" s="11" t="inlineStr"/>
      <c r="I35" s="23" t="inlineStr">
        <is>
          <t>М5 (5a) · новое</t>
        </is>
      </c>
      <c r="J35" s="16" t="inlineStr">
        <is>
          <t>М4 (4a) · повт.</t>
        </is>
      </c>
      <c r="K35" s="16" t="inlineStr">
        <is>
          <t>М1 · повт.</t>
        </is>
      </c>
      <c r="L35" s="16" t="inlineStr">
        <is>
          <t>М1 (1c) · повт.</t>
        </is>
      </c>
      <c r="M35" s="16" t="inlineStr">
        <is>
          <t>М1 (1c) · повт.</t>
        </is>
      </c>
      <c r="N35" s="16" t="inlineStr">
        <is>
          <t>М1 (1c) · повт.</t>
        </is>
      </c>
      <c r="O35" s="16" t="inlineStr">
        <is>
          <t>М1 (1c) · повт.</t>
        </is>
      </c>
      <c r="P35" s="20" t="inlineStr">
        <is>
          <t>—</t>
        </is>
      </c>
      <c r="Q35" s="21" t="inlineStr"/>
      <c r="R35" s="17" t="inlineStr">
        <is>
          <t>видео</t>
        </is>
      </c>
      <c r="S35" s="11" t="inlineStr">
        <is>
          <t>Present tenses (review...cter and relationships</t>
        </is>
      </c>
      <c r="T35" s="11" t="inlineStr"/>
    </row>
    <row r="36">
      <c r="A36" s="11" t="n">
        <v>35</v>
      </c>
      <c r="B36" s="11" t="inlineStr">
        <is>
          <t>Грамматика</t>
        </is>
      </c>
      <c r="C36" s="11" t="inlineStr">
        <is>
          <t>Глаголы: времена</t>
        </is>
      </c>
      <c r="D36" s="12" t="inlineStr">
        <is>
          <t>Present Simple</t>
        </is>
      </c>
      <c r="E36" s="13" t="inlineStr">
        <is>
          <t>Present Simple: значение — непреложные истины и законы природы</t>
        </is>
      </c>
      <c r="F36" s="11" t="inlineStr">
        <is>
          <t>10+</t>
        </is>
      </c>
      <c r="G36" s="11" t="inlineStr"/>
      <c r="H36" s="11" t="inlineStr"/>
      <c r="I36" s="23" t="inlineStr">
        <is>
          <t>М5 (5a) · новое</t>
        </is>
      </c>
      <c r="J36" s="16" t="inlineStr">
        <is>
          <t>М4 (4a) · повт.</t>
        </is>
      </c>
      <c r="K36" s="16" t="inlineStr">
        <is>
          <t>М1 · повт.</t>
        </is>
      </c>
      <c r="L36" s="11" t="inlineStr"/>
      <c r="M36" s="11" t="inlineStr"/>
      <c r="N36" s="11" t="inlineStr"/>
      <c r="O36" s="11" t="inlineStr"/>
      <c r="P36" s="20" t="inlineStr">
        <is>
          <t>—</t>
        </is>
      </c>
      <c r="Q36" s="21" t="inlineStr"/>
      <c r="R36" s="17" t="inlineStr">
        <is>
          <t>нет</t>
        </is>
      </c>
      <c r="S36" s="11" t="inlineStr"/>
      <c r="T36" s="11" t="inlineStr"/>
    </row>
    <row r="37">
      <c r="A37" s="11" t="n">
        <v>36</v>
      </c>
      <c r="B37" s="11" t="inlineStr">
        <is>
          <t>Грамматика</t>
        </is>
      </c>
      <c r="C37" s="11" t="inlineStr">
        <is>
          <t>Глаголы: времена</t>
        </is>
      </c>
      <c r="D37" s="12" t="inlineStr">
        <is>
          <t>Present Simple</t>
        </is>
      </c>
      <c r="E37" s="22" t="inlineStr">
        <is>
          <t>Present Simple: значение — расписания и программы (будущее по расписанию)</t>
        </is>
      </c>
      <c r="F37" s="11" t="inlineStr">
        <is>
          <t>10+</t>
        </is>
      </c>
      <c r="G37" s="11" t="inlineStr"/>
      <c r="H37" s="11" t="inlineStr"/>
      <c r="I37" s="11" t="inlineStr"/>
      <c r="J37" s="11" t="inlineStr"/>
      <c r="K37" s="23" t="inlineStr">
        <is>
          <t>М1 · новое</t>
        </is>
      </c>
      <c r="L37" s="19" t="inlineStr">
        <is>
          <t>М1 (1c) · расш.</t>
        </is>
      </c>
      <c r="M37" s="16" t="inlineStr">
        <is>
          <t>М1 (1c) · повт.</t>
        </is>
      </c>
      <c r="N37" s="16" t="inlineStr">
        <is>
          <t>М1 (1c) · повт.</t>
        </is>
      </c>
      <c r="O37" s="16" t="inlineStr">
        <is>
          <t>М1 (1c) · повт.</t>
        </is>
      </c>
      <c r="P37" s="20" t="inlineStr">
        <is>
          <t>—</t>
        </is>
      </c>
      <c r="Q37" s="21" t="inlineStr"/>
      <c r="R37" s="17" t="inlineStr">
        <is>
          <t>видео</t>
        </is>
      </c>
      <c r="S37" s="11" t="inlineStr">
        <is>
          <t>Present Simple for shedules and timetables</t>
        </is>
      </c>
      <c r="T37" s="11" t="inlineStr"/>
    </row>
    <row r="38">
      <c r="A38" s="11" t="n">
        <v>37</v>
      </c>
      <c r="B38" s="11" t="inlineStr">
        <is>
          <t>Грамматика</t>
        </is>
      </c>
      <c r="C38" s="11" t="inlineStr">
        <is>
          <t>Глаголы: времена</t>
        </is>
      </c>
      <c r="D38" s="12" t="inlineStr">
        <is>
          <t>Present Simple</t>
        </is>
      </c>
      <c r="E38" s="13" t="inlineStr">
        <is>
          <t>Present Simple: значение — чувства и эмоции</t>
        </is>
      </c>
      <c r="F38" s="11" t="inlineStr">
        <is>
          <t>10+</t>
        </is>
      </c>
      <c r="G38" s="11" t="inlineStr"/>
      <c r="H38" s="11" t="inlineStr"/>
      <c r="I38" s="11" t="inlineStr"/>
      <c r="J38" s="11" t="inlineStr"/>
      <c r="K38" s="23" t="inlineStr">
        <is>
          <t>М1 · новое</t>
        </is>
      </c>
      <c r="L38" s="11" t="inlineStr"/>
      <c r="M38" s="11" t="inlineStr"/>
      <c r="N38" s="11" t="inlineStr"/>
      <c r="O38" s="11" t="inlineStr"/>
      <c r="P38" s="20" t="inlineStr">
        <is>
          <t>—</t>
        </is>
      </c>
      <c r="Q38" s="21" t="inlineStr"/>
      <c r="R38" s="17" t="inlineStr">
        <is>
          <t>нет</t>
        </is>
      </c>
      <c r="S38" s="11" t="inlineStr"/>
      <c r="T38" s="11" t="inlineStr"/>
    </row>
    <row r="39">
      <c r="A39" s="11" t="n">
        <v>38</v>
      </c>
      <c r="B39" s="11" t="inlineStr">
        <is>
          <t>Грамматика</t>
        </is>
      </c>
      <c r="C39" s="11" t="inlineStr">
        <is>
          <t>Глаголы: времена</t>
        </is>
      </c>
      <c r="D39" s="12" t="inlineStr">
        <is>
          <t>Present Simple</t>
        </is>
      </c>
      <c r="E39" s="13" t="inlineStr">
        <is>
          <t>Present Simple: значение — обзоры, спортивные комментарии, повествование</t>
        </is>
      </c>
      <c r="F39" s="11" t="inlineStr">
        <is>
          <t>10+</t>
        </is>
      </c>
      <c r="G39" s="11" t="inlineStr"/>
      <c r="H39" s="11" t="inlineStr"/>
      <c r="I39" s="11" t="inlineStr"/>
      <c r="J39" s="11" t="inlineStr"/>
      <c r="K39" s="23" t="inlineStr">
        <is>
          <t>М1 · новое</t>
        </is>
      </c>
      <c r="L39" s="11" t="inlineStr"/>
      <c r="M39" s="16" t="inlineStr">
        <is>
          <t>М1 (1c) · повт.</t>
        </is>
      </c>
      <c r="N39" s="16" t="inlineStr">
        <is>
          <t>М1 (1c) · повт.</t>
        </is>
      </c>
      <c r="O39" s="16" t="inlineStr">
        <is>
          <t>М1 (1c) · повт.</t>
        </is>
      </c>
      <c r="P39" s="20" t="inlineStr">
        <is>
          <t>—</t>
        </is>
      </c>
      <c r="Q39" s="21" t="inlineStr"/>
      <c r="R39" s="17" t="inlineStr">
        <is>
          <t>нет</t>
        </is>
      </c>
      <c r="S39" s="11" t="inlineStr"/>
      <c r="T39" s="11" t="inlineStr"/>
    </row>
    <row r="40">
      <c r="A40" s="11" t="n">
        <v>39</v>
      </c>
      <c r="B40" s="11" t="inlineStr">
        <is>
          <t>Грамматика</t>
        </is>
      </c>
      <c r="C40" s="11" t="inlineStr">
        <is>
          <t>Глаголы: времена</t>
        </is>
      </c>
      <c r="D40" s="12" t="inlineStr">
        <is>
          <t>Present Simple</t>
        </is>
      </c>
      <c r="E40" s="13" t="inlineStr">
        <is>
          <t>Present Simple: значение — восклицания (Here comes …!)</t>
        </is>
      </c>
      <c r="F40" s="11" t="inlineStr">
        <is>
          <t>10+</t>
        </is>
      </c>
      <c r="G40" s="11" t="inlineStr"/>
      <c r="H40" s="11" t="inlineStr"/>
      <c r="I40" s="11" t="inlineStr"/>
      <c r="J40" s="11" t="inlineStr"/>
      <c r="K40" s="11" t="inlineStr"/>
      <c r="L40" s="11" t="inlineStr"/>
      <c r="M40" s="23" t="inlineStr">
        <is>
          <t>М1 (1c) · новое</t>
        </is>
      </c>
      <c r="N40" s="16" t="inlineStr">
        <is>
          <t>М1 (1c) · повт.</t>
        </is>
      </c>
      <c r="O40" s="16" t="inlineStr">
        <is>
          <t>М1 (1c) · повт.</t>
        </is>
      </c>
      <c r="P40" s="20" t="inlineStr">
        <is>
          <t>—</t>
        </is>
      </c>
      <c r="Q40" s="21" t="inlineStr"/>
      <c r="R40" s="17" t="inlineStr">
        <is>
          <t>нет</t>
        </is>
      </c>
      <c r="S40" s="11" t="inlineStr"/>
      <c r="T40" s="11" t="inlineStr"/>
    </row>
    <row r="41">
      <c r="A41" s="11" t="n">
        <v>40</v>
      </c>
      <c r="B41" s="11" t="inlineStr">
        <is>
          <t>Грамматика</t>
        </is>
      </c>
      <c r="C41" s="11" t="inlineStr">
        <is>
          <t>Глаголы: времена</t>
        </is>
      </c>
      <c r="D41" s="12" t="inlineStr">
        <is>
          <t>Present Simple</t>
        </is>
      </c>
      <c r="E41" s="13" t="inlineStr">
        <is>
          <t>Present Simple: значение — последовательные действия в настоящем</t>
        </is>
      </c>
      <c r="F41" s="11" t="inlineStr">
        <is>
          <t>10+</t>
        </is>
      </c>
      <c r="G41" s="11" t="inlineStr"/>
      <c r="H41" s="11" t="inlineStr"/>
      <c r="I41" s="11" t="inlineStr"/>
      <c r="J41" s="11" t="inlineStr"/>
      <c r="K41" s="11" t="inlineStr"/>
      <c r="L41" s="23" t="inlineStr">
        <is>
          <t>М1 (1c) · новое</t>
        </is>
      </c>
      <c r="M41" s="11" t="inlineStr"/>
      <c r="N41" s="11" t="inlineStr"/>
      <c r="O41" s="11" t="inlineStr"/>
      <c r="P41" s="20" t="inlineStr">
        <is>
          <t>—</t>
        </is>
      </c>
      <c r="Q41" s="21" t="inlineStr"/>
      <c r="R41" s="17" t="inlineStr">
        <is>
          <t>нет</t>
        </is>
      </c>
      <c r="S41" s="11" t="inlineStr"/>
      <c r="T41" s="11" t="inlineStr"/>
    </row>
    <row r="42">
      <c r="A42" s="4" t="n">
        <v>41</v>
      </c>
      <c r="B42" s="4" t="inlineStr">
        <is>
          <t>Грамматика</t>
        </is>
      </c>
      <c r="C42" s="4" t="inlineStr">
        <is>
          <t>Глаголы: времена</t>
        </is>
      </c>
      <c r="D42" s="5" t="inlineStr">
        <is>
          <t>Future Simple (will)</t>
        </is>
      </c>
      <c r="E42" s="26" t="inlineStr">
        <is>
          <t>Future Simple (will): утверждение (will/'ll + V)</t>
        </is>
      </c>
      <c r="F42" s="4" t="inlineStr">
        <is>
          <t>обе</t>
        </is>
      </c>
      <c r="G42" s="4" t="inlineStr"/>
      <c r="H42" s="7" t="inlineStr">
        <is>
          <t>М8 · новое</t>
        </is>
      </c>
      <c r="I42" s="9" t="inlineStr">
        <is>
          <t>М10 (10b) · повт.</t>
        </is>
      </c>
      <c r="J42" s="4" t="inlineStr"/>
      <c r="K42" s="9" t="inlineStr">
        <is>
          <t>М5 · повт.</t>
        </is>
      </c>
      <c r="L42" s="9" t="inlineStr">
        <is>
          <t>М1 (1c) · повт.</t>
        </is>
      </c>
      <c r="M42" s="9" t="inlineStr">
        <is>
          <t>М4 (4c) · повт.</t>
        </is>
      </c>
      <c r="N42" s="9" t="inlineStr">
        <is>
          <t>М3 (3c) · повт.</t>
        </is>
      </c>
      <c r="O42" s="9" t="inlineStr">
        <is>
          <t>М1 (1c) · повт.</t>
        </is>
      </c>
      <c r="P42" s="10" t="inlineStr">
        <is>
          <t>видео</t>
        </is>
      </c>
      <c r="Q42" s="4" t="inlineStr">
        <is>
          <t>Will(Future Simple)+weather,holiday items</t>
        </is>
      </c>
      <c r="R42" s="10" t="inlineStr">
        <is>
          <t>вебинар</t>
        </is>
      </c>
      <c r="S42" s="4" t="inlineStr">
        <is>
          <t>вебинар 06.11 (по расписанию): Will (Future Simple): формы и значения</t>
        </is>
      </c>
      <c r="T42" s="4" t="inlineStr"/>
    </row>
    <row r="43">
      <c r="A43" s="11" t="n">
        <v>42</v>
      </c>
      <c r="B43" s="11" t="inlineStr">
        <is>
          <t>Грамматика</t>
        </is>
      </c>
      <c r="C43" s="11" t="inlineStr">
        <is>
          <t>Глаголы: времена</t>
        </is>
      </c>
      <c r="D43" s="12" t="inlineStr">
        <is>
          <t>Future Simple (will)</t>
        </is>
      </c>
      <c r="E43" s="18" t="inlineStr">
        <is>
          <t>Future Simple (will): отрицание (will not/won't)</t>
        </is>
      </c>
      <c r="F43" s="11" t="inlineStr">
        <is>
          <t>обе</t>
        </is>
      </c>
      <c r="G43" s="11" t="inlineStr"/>
      <c r="H43" s="14" t="inlineStr">
        <is>
          <t>М8 · новое</t>
        </is>
      </c>
      <c r="I43" s="16" t="inlineStr">
        <is>
          <t>М10 (10b) · повт.</t>
        </is>
      </c>
      <c r="J43" s="11" t="inlineStr"/>
      <c r="K43" s="11" t="inlineStr"/>
      <c r="L43" s="11" t="inlineStr"/>
      <c r="M43" s="11" t="inlineStr"/>
      <c r="N43" s="11" t="inlineStr"/>
      <c r="O43" s="11" t="inlineStr"/>
      <c r="P43" s="17" t="inlineStr">
        <is>
          <t>вебинар</t>
        </is>
      </c>
      <c r="Q43" s="11" t="inlineStr">
        <is>
          <t>вебинар 30.11 (по расписанию): Will: отрицание, вопросы, решения и обещания</t>
        </is>
      </c>
      <c r="R43" s="17" t="inlineStr">
        <is>
          <t>вебинар</t>
        </is>
      </c>
      <c r="S43" s="11" t="inlineStr">
        <is>
          <t>вебинар 06.11 (по расписанию): Will (Future Simple): формы и значения</t>
        </is>
      </c>
      <c r="T43" s="11" t="inlineStr"/>
    </row>
    <row r="44">
      <c r="A44" s="11" t="n">
        <v>43</v>
      </c>
      <c r="B44" s="11" t="inlineStr">
        <is>
          <t>Грамматика</t>
        </is>
      </c>
      <c r="C44" s="11" t="inlineStr">
        <is>
          <t>Глаголы: времена</t>
        </is>
      </c>
      <c r="D44" s="12" t="inlineStr">
        <is>
          <t>Future Simple (will)</t>
        </is>
      </c>
      <c r="E44" s="18" t="inlineStr">
        <is>
          <t>Future Simple (will): вопросы и краткие ответы</t>
        </is>
      </c>
      <c r="F44" s="11" t="inlineStr">
        <is>
          <t>обе</t>
        </is>
      </c>
      <c r="G44" s="11" t="inlineStr"/>
      <c r="H44" s="14" t="inlineStr">
        <is>
          <t>М8 · новое</t>
        </is>
      </c>
      <c r="I44" s="16" t="inlineStr">
        <is>
          <t>М10 (10b) · повт.</t>
        </is>
      </c>
      <c r="J44" s="11" t="inlineStr"/>
      <c r="K44" s="11" t="inlineStr"/>
      <c r="L44" s="11" t="inlineStr"/>
      <c r="M44" s="11" t="inlineStr"/>
      <c r="N44" s="11" t="inlineStr"/>
      <c r="O44" s="11" t="inlineStr"/>
      <c r="P44" s="17" t="inlineStr">
        <is>
          <t>вебинар</t>
        </is>
      </c>
      <c r="Q44" s="11" t="inlineStr">
        <is>
          <t>вебинар 30.11 (по расписанию): Will: отрицание, вопросы, решения и обещания</t>
        </is>
      </c>
      <c r="R44" s="17" t="inlineStr">
        <is>
          <t>вебинар</t>
        </is>
      </c>
      <c r="S44" s="11" t="inlineStr">
        <is>
          <t>вебинар 06.11 (по расписанию): Will (Future Simple): формы и значения</t>
        </is>
      </c>
      <c r="T44" s="11" t="inlineStr"/>
    </row>
    <row r="45">
      <c r="A45" s="11" t="n">
        <v>44</v>
      </c>
      <c r="B45" s="11" t="inlineStr">
        <is>
          <t>Грамматика</t>
        </is>
      </c>
      <c r="C45" s="11" t="inlineStr">
        <is>
          <t>Глаголы: времена</t>
        </is>
      </c>
      <c r="D45" s="12" t="inlineStr">
        <is>
          <t>Future Simple (will)</t>
        </is>
      </c>
      <c r="E45" s="22" t="inlineStr">
        <is>
          <t>Future Simple (will): значение — предсказание/предположение</t>
        </is>
      </c>
      <c r="F45" s="11" t="inlineStr">
        <is>
          <t>обе</t>
        </is>
      </c>
      <c r="G45" s="11" t="inlineStr"/>
      <c r="H45" s="14" t="inlineStr">
        <is>
          <t>М8 · новое</t>
        </is>
      </c>
      <c r="I45" s="19" t="inlineStr">
        <is>
          <t>М10 (10b) · расш.</t>
        </is>
      </c>
      <c r="J45" s="11" t="inlineStr"/>
      <c r="K45" s="19" t="inlineStr">
        <is>
          <t>М5 · расш.</t>
        </is>
      </c>
      <c r="L45" s="19" t="inlineStr">
        <is>
          <t>М1 (1c) · расш.</t>
        </is>
      </c>
      <c r="M45" s="16" t="inlineStr">
        <is>
          <t>М4 (4c) · повт.</t>
        </is>
      </c>
      <c r="N45" s="16" t="inlineStr">
        <is>
          <t>М3 (3c) · повт.</t>
        </is>
      </c>
      <c r="O45" s="16" t="inlineStr">
        <is>
          <t>М1 (1c) · повт.</t>
        </is>
      </c>
      <c r="P45" s="17" t="inlineStr">
        <is>
          <t>видео</t>
        </is>
      </c>
      <c r="Q45" s="11" t="inlineStr">
        <is>
          <t>Will(Future Simple)+weather,holiday items</t>
        </is>
      </c>
      <c r="R45" s="17" t="inlineStr">
        <is>
          <t>видео</t>
        </is>
      </c>
      <c r="S45" s="11" t="inlineStr">
        <is>
          <t>Future tenses + school and jobs</t>
        </is>
      </c>
      <c r="T45" s="11" t="inlineStr"/>
    </row>
    <row r="46">
      <c r="A46" s="11" t="n">
        <v>45</v>
      </c>
      <c r="B46" s="11" t="inlineStr">
        <is>
          <t>Грамматика</t>
        </is>
      </c>
      <c r="C46" s="11" t="inlineStr">
        <is>
          <t>Глаголы: времена</t>
        </is>
      </c>
      <c r="D46" s="12" t="inlineStr">
        <is>
          <t>Future Simple (will)</t>
        </is>
      </c>
      <c r="E46" s="18" t="inlineStr">
        <is>
          <t>Future Simple (will): значение — решение в момент речи</t>
        </is>
      </c>
      <c r="F46" s="11" t="inlineStr">
        <is>
          <t>обе</t>
        </is>
      </c>
      <c r="G46" s="11" t="inlineStr"/>
      <c r="H46" s="14" t="inlineStr">
        <is>
          <t>М8 · новое</t>
        </is>
      </c>
      <c r="I46" s="16" t="inlineStr">
        <is>
          <t>М10 (10b) · повт.</t>
        </is>
      </c>
      <c r="J46" s="11" t="inlineStr"/>
      <c r="K46" s="16" t="inlineStr">
        <is>
          <t>М5 · повт.</t>
        </is>
      </c>
      <c r="L46" s="16" t="inlineStr">
        <is>
          <t>М1 (1c) · повт.</t>
        </is>
      </c>
      <c r="M46" s="16" t="inlineStr">
        <is>
          <t>М4 (4c) · повт.</t>
        </is>
      </c>
      <c r="N46" s="16" t="inlineStr">
        <is>
          <t>М3 (3c) · повт.</t>
        </is>
      </c>
      <c r="O46" s="16" t="inlineStr">
        <is>
          <t>М1 (1c) · повт.</t>
        </is>
      </c>
      <c r="P46" s="17" t="inlineStr">
        <is>
          <t>вебинар</t>
        </is>
      </c>
      <c r="Q46" s="11" t="inlineStr">
        <is>
          <t>вебинар 30.11 (по расписанию): Will: отрицание, вопросы, решения и обещания</t>
        </is>
      </c>
      <c r="R46" s="17" t="inlineStr">
        <is>
          <t>видео</t>
        </is>
      </c>
      <c r="S46" s="11" t="inlineStr">
        <is>
          <t>Future tenses + school and jobs</t>
        </is>
      </c>
      <c r="T46" s="11" t="inlineStr"/>
    </row>
    <row r="47">
      <c r="A47" s="11" t="n">
        <v>46</v>
      </c>
      <c r="B47" s="11" t="inlineStr">
        <is>
          <t>Грамматика</t>
        </is>
      </c>
      <c r="C47" s="11" t="inlineStr">
        <is>
          <t>Глаголы: времена</t>
        </is>
      </c>
      <c r="D47" s="12" t="inlineStr">
        <is>
          <t>Future Simple (will)</t>
        </is>
      </c>
      <c r="E47" s="18" t="inlineStr">
        <is>
          <t>Future Simple (will): значение — обещания</t>
        </is>
      </c>
      <c r="F47" s="11" t="inlineStr">
        <is>
          <t>обе</t>
        </is>
      </c>
      <c r="G47" s="11" t="inlineStr"/>
      <c r="H47" s="14" t="inlineStr">
        <is>
          <t>М8 · новое</t>
        </is>
      </c>
      <c r="I47" s="11" t="inlineStr"/>
      <c r="J47" s="11" t="inlineStr"/>
      <c r="K47" s="16" t="inlineStr">
        <is>
          <t>М5 · повт.</t>
        </is>
      </c>
      <c r="L47" s="16" t="inlineStr">
        <is>
          <t>М1 (1c) · повт.</t>
        </is>
      </c>
      <c r="M47" s="16" t="inlineStr">
        <is>
          <t>М4 (4c) · повт.</t>
        </is>
      </c>
      <c r="N47" s="16" t="inlineStr">
        <is>
          <t>М3 (3c) · повт.</t>
        </is>
      </c>
      <c r="O47" s="16" t="inlineStr">
        <is>
          <t>М1 (1c) · повт.</t>
        </is>
      </c>
      <c r="P47" s="17" t="inlineStr">
        <is>
          <t>вебинар</t>
        </is>
      </c>
      <c r="Q47" s="11" t="inlineStr">
        <is>
          <t>вебинар 30.11 (по расписанию): Will: отрицание, вопросы, решения и обещания</t>
        </is>
      </c>
      <c r="R47" s="17" t="inlineStr">
        <is>
          <t>вебинар</t>
        </is>
      </c>
      <c r="S47" s="11" t="inlineStr">
        <is>
          <t>вебинар 06.11 (по расписанию): Will (Future Simple): формы и значения</t>
        </is>
      </c>
      <c r="T47" s="11" t="inlineStr"/>
    </row>
    <row r="48">
      <c r="A48" s="11" t="n">
        <v>47</v>
      </c>
      <c r="B48" s="11" t="inlineStr">
        <is>
          <t>Грамматика</t>
        </is>
      </c>
      <c r="C48" s="11" t="inlineStr">
        <is>
          <t>Глаголы: времена</t>
        </is>
      </c>
      <c r="D48" s="12" t="inlineStr">
        <is>
          <t>Future Simple (will)</t>
        </is>
      </c>
      <c r="E48" s="18" t="inlineStr">
        <is>
          <t>Future Simple (will): значение — просьбы (Will you…?)</t>
        </is>
      </c>
      <c r="F48" s="11" t="inlineStr">
        <is>
          <t>10+</t>
        </is>
      </c>
      <c r="G48" s="11" t="inlineStr"/>
      <c r="H48" s="11" t="inlineStr"/>
      <c r="I48" s="23" t="inlineStr">
        <is>
          <t>М10 (10b) · новое</t>
        </is>
      </c>
      <c r="J48" s="11" t="inlineStr"/>
      <c r="K48" s="16" t="inlineStr">
        <is>
          <t>М5 · повт.</t>
        </is>
      </c>
      <c r="L48" s="11" t="inlineStr"/>
      <c r="M48" s="11" t="inlineStr"/>
      <c r="N48" s="16" t="inlineStr">
        <is>
          <t>М3 (3c) · повт.</t>
        </is>
      </c>
      <c r="O48" s="16" t="inlineStr">
        <is>
          <t>М1 (1c) · повт.</t>
        </is>
      </c>
      <c r="P48" s="20" t="inlineStr">
        <is>
          <t>—</t>
        </is>
      </c>
      <c r="Q48" s="21" t="inlineStr"/>
      <c r="R48" s="17" t="inlineStr">
        <is>
          <t>вебинар</t>
        </is>
      </c>
      <c r="S48" s="11" t="inlineStr">
        <is>
          <t>вебинар 06.11 (по расписанию): Will (Future Simple): формы и значения</t>
        </is>
      </c>
      <c r="T48" s="11" t="inlineStr"/>
    </row>
    <row r="49">
      <c r="A49" s="11" t="n">
        <v>48</v>
      </c>
      <c r="B49" s="11" t="inlineStr">
        <is>
          <t>Грамматика</t>
        </is>
      </c>
      <c r="C49" s="11" t="inlineStr">
        <is>
          <t>Глаголы: времена</t>
        </is>
      </c>
      <c r="D49" s="12" t="inlineStr">
        <is>
          <t>Future Simple (will)</t>
        </is>
      </c>
      <c r="E49" s="18" t="inlineStr">
        <is>
          <t>Future Simple (will): значение — угрозы и предупреждения</t>
        </is>
      </c>
      <c r="F49" s="11" t="inlineStr">
        <is>
          <t>10+</t>
        </is>
      </c>
      <c r="G49" s="11" t="inlineStr"/>
      <c r="H49" s="11" t="inlineStr"/>
      <c r="I49" s="11" t="inlineStr"/>
      <c r="J49" s="11" t="inlineStr"/>
      <c r="K49" s="23" t="inlineStr">
        <is>
          <t>М5 · новое</t>
        </is>
      </c>
      <c r="L49" s="11" t="inlineStr"/>
      <c r="M49" s="11" t="inlineStr"/>
      <c r="N49" s="16" t="inlineStr">
        <is>
          <t>М3 (3c) · повт.</t>
        </is>
      </c>
      <c r="O49" s="16" t="inlineStr">
        <is>
          <t>М1 (1c) · повт.</t>
        </is>
      </c>
      <c r="P49" s="20" t="inlineStr">
        <is>
          <t>—</t>
        </is>
      </c>
      <c r="Q49" s="21" t="inlineStr"/>
      <c r="R49" s="17" t="inlineStr">
        <is>
          <t>вебинар</t>
        </is>
      </c>
      <c r="S49" s="11" t="inlineStr">
        <is>
          <t>вебинар 06.11 (по расписанию): Will (Future Simple): формы и значения</t>
        </is>
      </c>
      <c r="T49" s="11" t="inlineStr"/>
    </row>
    <row r="50">
      <c r="A50" s="11" t="n">
        <v>49</v>
      </c>
      <c r="B50" s="11" t="inlineStr">
        <is>
          <t>Грамматика</t>
        </is>
      </c>
      <c r="C50" s="11" t="inlineStr">
        <is>
          <t>Глаголы: времена</t>
        </is>
      </c>
      <c r="D50" s="12" t="inlineStr">
        <is>
          <t>Future Simple (will)</t>
        </is>
      </c>
      <c r="E50" s="13" t="inlineStr">
        <is>
          <t>Future Simple (will): значение — надежды, страхи, предложения, комментарии</t>
        </is>
      </c>
      <c r="F50" s="11" t="inlineStr">
        <is>
          <t>10+</t>
        </is>
      </c>
      <c r="G50" s="11" t="inlineStr"/>
      <c r="H50" s="11" t="inlineStr"/>
      <c r="I50" s="11" t="inlineStr"/>
      <c r="J50" s="11" t="inlineStr"/>
      <c r="K50" s="23" t="inlineStr">
        <is>
          <t>М5 · новое</t>
        </is>
      </c>
      <c r="L50" s="11" t="inlineStr"/>
      <c r="M50" s="11" t="inlineStr"/>
      <c r="N50" s="19" t="inlineStr">
        <is>
          <t>М3 (3c) · расш.</t>
        </is>
      </c>
      <c r="O50" s="16" t="inlineStr">
        <is>
          <t>М1 (1c) · повт.</t>
        </is>
      </c>
      <c r="P50" s="20" t="inlineStr">
        <is>
          <t>—</t>
        </is>
      </c>
      <c r="Q50" s="21" t="inlineStr"/>
      <c r="R50" s="17" t="inlineStr">
        <is>
          <t>нет</t>
        </is>
      </c>
      <c r="S50" s="11" t="inlineStr"/>
      <c r="T50" s="11" t="inlineStr"/>
    </row>
    <row r="51">
      <c r="A51" s="11" t="n">
        <v>50</v>
      </c>
      <c r="B51" s="11" t="inlineStr">
        <is>
          <t>Грамматика</t>
        </is>
      </c>
      <c r="C51" s="11" t="inlineStr">
        <is>
          <t>Глаголы: времена</t>
        </is>
      </c>
      <c r="D51" s="12" t="inlineStr">
        <is>
          <t>Future Simple (will)</t>
        </is>
      </c>
      <c r="E51" s="13" t="inlineStr">
        <is>
          <t>Future Simple (will): значение — неизбежные события (не зависят от нас)</t>
        </is>
      </c>
      <c r="F51" s="11" t="inlineStr">
        <is>
          <t>10+</t>
        </is>
      </c>
      <c r="G51" s="11" t="inlineStr"/>
      <c r="H51" s="11" t="inlineStr"/>
      <c r="I51" s="11" t="inlineStr"/>
      <c r="J51" s="11" t="inlineStr"/>
      <c r="K51" s="23" t="inlineStr">
        <is>
          <t>М5 · новое</t>
        </is>
      </c>
      <c r="L51" s="11" t="inlineStr"/>
      <c r="M51" s="11" t="inlineStr"/>
      <c r="N51" s="11" t="inlineStr"/>
      <c r="O51" s="11" t="inlineStr"/>
      <c r="P51" s="20" t="inlineStr">
        <is>
          <t>—</t>
        </is>
      </c>
      <c r="Q51" s="21" t="inlineStr"/>
      <c r="R51" s="17" t="inlineStr">
        <is>
          <t>нет</t>
        </is>
      </c>
      <c r="S51" s="11" t="inlineStr"/>
      <c r="T51" s="11" t="inlineStr"/>
    </row>
    <row r="52">
      <c r="A52" s="11" t="n">
        <v>51</v>
      </c>
      <c r="B52" s="11" t="inlineStr">
        <is>
          <t>Грамматика</t>
        </is>
      </c>
      <c r="C52" s="11" t="inlineStr">
        <is>
          <t>Глаголы: времена</t>
        </is>
      </c>
      <c r="D52" s="12" t="inlineStr">
        <is>
          <t>Future Simple (will)</t>
        </is>
      </c>
      <c r="E52" s="18" t="inlineStr">
        <is>
          <t>Future Simple (will): значение — ещё не решили/не уверены (Maybe I'll…)</t>
        </is>
      </c>
      <c r="F52" s="11" t="inlineStr">
        <is>
          <t>10+</t>
        </is>
      </c>
      <c r="G52" s="11" t="inlineStr"/>
      <c r="H52" s="11" t="inlineStr"/>
      <c r="I52" s="11" t="inlineStr"/>
      <c r="J52" s="11" t="inlineStr"/>
      <c r="K52" s="11" t="inlineStr"/>
      <c r="L52" s="11" t="inlineStr"/>
      <c r="M52" s="11" t="inlineStr"/>
      <c r="N52" s="23" t="inlineStr">
        <is>
          <t>М3 (3c) · новое</t>
        </is>
      </c>
      <c r="O52" s="16" t="inlineStr">
        <is>
          <t>М1 (1c) · повт.</t>
        </is>
      </c>
      <c r="P52" s="20" t="inlineStr">
        <is>
          <t>—</t>
        </is>
      </c>
      <c r="Q52" s="21" t="inlineStr"/>
      <c r="R52" s="17" t="inlineStr">
        <is>
          <t>вебинар</t>
        </is>
      </c>
      <c r="S52" s="11" t="inlineStr">
        <is>
          <t>вебинар 06.11 (по расписанию): Will (Future Simple): формы и значения</t>
        </is>
      </c>
      <c r="T52" s="11" t="inlineStr"/>
    </row>
    <row r="53">
      <c r="A53" s="11" t="n">
        <v>52</v>
      </c>
      <c r="B53" s="11" t="inlineStr">
        <is>
          <t>Грамматика</t>
        </is>
      </c>
      <c r="C53" s="11" t="inlineStr">
        <is>
          <t>Глаголы: времена</t>
        </is>
      </c>
      <c r="D53" s="12" t="inlineStr">
        <is>
          <t>Future Simple (will)</t>
        </is>
      </c>
      <c r="E53" s="18" t="inlineStr">
        <is>
          <t>Future Simple (will): Shall I/we? — предложение, просьба о совете</t>
        </is>
      </c>
      <c r="F53" s="11" t="inlineStr">
        <is>
          <t>10+</t>
        </is>
      </c>
      <c r="G53" s="11" t="inlineStr"/>
      <c r="H53" s="11" t="inlineStr"/>
      <c r="I53" s="11" t="inlineStr"/>
      <c r="J53" s="11" t="inlineStr"/>
      <c r="K53" s="11" t="inlineStr"/>
      <c r="L53" s="23" t="inlineStr">
        <is>
          <t>М1 (1c) · новое</t>
        </is>
      </c>
      <c r="M53" s="16" t="inlineStr">
        <is>
          <t>М4 (4c) · повт.</t>
        </is>
      </c>
      <c r="N53" s="16" t="inlineStr">
        <is>
          <t>М3 (3c) · повт.</t>
        </is>
      </c>
      <c r="O53" s="16" t="inlineStr">
        <is>
          <t>М1 (1c) · повт.</t>
        </is>
      </c>
      <c r="P53" s="20" t="inlineStr">
        <is>
          <t>—</t>
        </is>
      </c>
      <c r="Q53" s="21" t="inlineStr"/>
      <c r="R53" s="17" t="inlineStr">
        <is>
          <t>вебинар</t>
        </is>
      </c>
      <c r="S53" s="11" t="inlineStr">
        <is>
          <t>вебинар 06.11 (по расписанию): Will (Future Simple): формы и значения</t>
        </is>
      </c>
      <c r="T53" s="11" t="inlineStr"/>
    </row>
    <row r="54">
      <c r="A54" s="4" t="n">
        <v>53</v>
      </c>
      <c r="B54" s="4" t="inlineStr">
        <is>
          <t>Грамматика</t>
        </is>
      </c>
      <c r="C54" s="4" t="inlineStr">
        <is>
          <t>Глаголы: времена</t>
        </is>
      </c>
      <c r="D54" s="5" t="inlineStr">
        <is>
          <t>Present Simple vs Present Continuous</t>
        </is>
      </c>
      <c r="E54" s="6" t="inlineStr">
        <is>
          <t>Present Simple vs Present Continuous: привычка vs сейчас</t>
        </is>
      </c>
      <c r="F54" s="4" t="inlineStr">
        <is>
          <t>обе</t>
        </is>
      </c>
      <c r="G54" s="4" t="inlineStr"/>
      <c r="H54" s="7" t="inlineStr">
        <is>
          <t>М4 · новое</t>
        </is>
      </c>
      <c r="I54" s="9" t="inlineStr">
        <is>
          <t>М7 (7b) · повт.</t>
        </is>
      </c>
      <c r="J54" s="9" t="inlineStr">
        <is>
          <t>М6 (6b) · повт.
М9 (9b) · повт.</t>
        </is>
      </c>
      <c r="K54" s="9" t="inlineStr">
        <is>
          <t>М1 · повт.</t>
        </is>
      </c>
      <c r="L54" s="4" t="inlineStr"/>
      <c r="M54" s="4" t="inlineStr"/>
      <c r="N54" s="4" t="inlineStr"/>
      <c r="O54" s="4" t="inlineStr"/>
      <c r="P54" s="10" t="inlineStr">
        <is>
          <t>видео</t>
        </is>
      </c>
      <c r="Q54" s="4" t="inlineStr">
        <is>
          <t>Present Simple vs Present Continuous</t>
        </is>
      </c>
      <c r="R54" s="10" t="inlineStr">
        <is>
          <t>видео</t>
        </is>
      </c>
      <c r="S54" s="4" t="inlineStr">
        <is>
          <t>Present Simple+Present Con-s+Clothes (по названию)
Present Simple Present Continuous + Clothes (по названию)</t>
        </is>
      </c>
      <c r="T54" s="4" t="inlineStr"/>
    </row>
    <row r="55">
      <c r="A55" s="11" t="n">
        <v>54</v>
      </c>
      <c r="B55" s="11" t="inlineStr">
        <is>
          <t>Грамматика</t>
        </is>
      </c>
      <c r="C55" s="11" t="inlineStr">
        <is>
          <t>Глаголы: времена</t>
        </is>
      </c>
      <c r="D55" s="12" t="inlineStr">
        <is>
          <t>Present Simple vs Present Continuous</t>
        </is>
      </c>
      <c r="E55" s="13" t="inlineStr">
        <is>
          <t>Present Simple vs Present Continuous: постоянное состояние vs временная ситуация</t>
        </is>
      </c>
      <c r="F55" s="11" t="inlineStr">
        <is>
          <t>10+</t>
        </is>
      </c>
      <c r="G55" s="11" t="inlineStr"/>
      <c r="H55" s="11" t="inlineStr"/>
      <c r="I55" s="23" t="inlineStr">
        <is>
          <t>М7 (7b) · новое</t>
        </is>
      </c>
      <c r="J55" s="16" t="inlineStr">
        <is>
          <t>М6 (6b) · повт.
М9 (9b) · повт.</t>
        </is>
      </c>
      <c r="K55" s="11" t="inlineStr"/>
      <c r="L55" s="16" t="inlineStr">
        <is>
          <t>М1 (1c) · повт.</t>
        </is>
      </c>
      <c r="M55" s="16" t="inlineStr">
        <is>
          <t>М1 (1c) · повт.</t>
        </is>
      </c>
      <c r="N55" s="16" t="inlineStr">
        <is>
          <t>М1 (1c) · повт.</t>
        </is>
      </c>
      <c r="O55" s="16" t="inlineStr">
        <is>
          <t>М1 (1c) · повт.</t>
        </is>
      </c>
      <c r="P55" s="20" t="inlineStr">
        <is>
          <t>—</t>
        </is>
      </c>
      <c r="Q55" s="21" t="inlineStr"/>
      <c r="R55" s="17" t="inlineStr">
        <is>
          <t>нет</t>
        </is>
      </c>
      <c r="S55" s="11" t="inlineStr"/>
      <c r="T55" s="11" t="inlineStr"/>
    </row>
    <row r="56">
      <c r="A56" s="11" t="n">
        <v>55</v>
      </c>
      <c r="B56" s="11" t="inlineStr">
        <is>
          <t>Грамматика</t>
        </is>
      </c>
      <c r="C56" s="11" t="inlineStr">
        <is>
          <t>Глаголы: времена</t>
        </is>
      </c>
      <c r="D56" s="12" t="inlineStr">
        <is>
          <t>Present Simple vs Present Continuous</t>
        </is>
      </c>
      <c r="E56" s="13" t="inlineStr">
        <is>
          <t>Present Simple vs Present Continuous: повторяющиеся действия vs настоящий период (these days)</t>
        </is>
      </c>
      <c r="F56" s="11" t="inlineStr">
        <is>
          <t>10+</t>
        </is>
      </c>
      <c r="G56" s="11" t="inlineStr"/>
      <c r="H56" s="11" t="inlineStr"/>
      <c r="I56" s="11" t="inlineStr"/>
      <c r="J56" s="11" t="inlineStr"/>
      <c r="K56" s="23" t="inlineStr">
        <is>
          <t>М1 · новое</t>
        </is>
      </c>
      <c r="L56" s="16" t="inlineStr">
        <is>
          <t>М1 (1c) · повт.</t>
        </is>
      </c>
      <c r="M56" s="16" t="inlineStr">
        <is>
          <t>М1 (1c) · повт.</t>
        </is>
      </c>
      <c r="N56" s="16" t="inlineStr">
        <is>
          <t>М1 (1c) · повт.</t>
        </is>
      </c>
      <c r="O56" s="16" t="inlineStr">
        <is>
          <t>М1 (1c) · повт.</t>
        </is>
      </c>
      <c r="P56" s="20" t="inlineStr">
        <is>
          <t>—</t>
        </is>
      </c>
      <c r="Q56" s="21" t="inlineStr"/>
      <c r="R56" s="17" t="inlineStr">
        <is>
          <t>нет</t>
        </is>
      </c>
      <c r="S56" s="11" t="inlineStr"/>
      <c r="T56" s="11" t="inlineStr"/>
    </row>
    <row r="57">
      <c r="A57" s="11" t="n">
        <v>56</v>
      </c>
      <c r="B57" s="11" t="inlineStr">
        <is>
          <t>Грамматика</t>
        </is>
      </c>
      <c r="C57" s="11" t="inlineStr">
        <is>
          <t>Глаголы: времена</t>
        </is>
      </c>
      <c r="D57" s="12" t="inlineStr">
        <is>
          <t>Present Simple vs Present Continuous</t>
        </is>
      </c>
      <c r="E57" s="13" t="inlineStr">
        <is>
          <t>Present Simple vs Present Continuous: будущее — расписание vs договорённость</t>
        </is>
      </c>
      <c r="F57" s="11" t="inlineStr">
        <is>
          <t>10+</t>
        </is>
      </c>
      <c r="G57" s="11" t="inlineStr"/>
      <c r="H57" s="11" t="inlineStr"/>
      <c r="I57" s="11" t="inlineStr"/>
      <c r="J57" s="11" t="inlineStr"/>
      <c r="K57" s="11" t="inlineStr"/>
      <c r="L57" s="23" t="inlineStr">
        <is>
          <t>М1 (1c) · новое</t>
        </is>
      </c>
      <c r="M57" s="16" t="inlineStr">
        <is>
          <t>М1 (1c) · повт.</t>
        </is>
      </c>
      <c r="N57" s="11" t="inlineStr"/>
      <c r="O57" s="11" t="inlineStr"/>
      <c r="P57" s="20" t="inlineStr">
        <is>
          <t>—</t>
        </is>
      </c>
      <c r="Q57" s="21" t="inlineStr"/>
      <c r="R57" s="17" t="inlineStr">
        <is>
          <t>нет</t>
        </is>
      </c>
      <c r="S57" s="11" t="inlineStr"/>
      <c r="T57" s="11" t="inlineStr"/>
    </row>
    <row r="58">
      <c r="A58" s="4" t="n">
        <v>57</v>
      </c>
      <c r="B58" s="4" t="inlineStr">
        <is>
          <t>Грамматика</t>
        </is>
      </c>
      <c r="C58" s="4" t="inlineStr">
        <is>
          <t>Глаголы: времена</t>
        </is>
      </c>
      <c r="D58" s="5" t="inlineStr">
        <is>
          <t>be going to</t>
        </is>
      </c>
      <c r="E58" s="6" t="inlineStr">
        <is>
          <t>be going to: утверждение (am/is/are going to + V)</t>
        </is>
      </c>
      <c r="F58" s="4" t="inlineStr">
        <is>
          <t>обе</t>
        </is>
      </c>
      <c r="G58" s="4" t="inlineStr"/>
      <c r="H58" s="7" t="inlineStr">
        <is>
          <t>М8 · новое</t>
        </is>
      </c>
      <c r="I58" s="4" t="inlineStr"/>
      <c r="J58" s="9" t="inlineStr">
        <is>
          <t>М10 (10a) · повт.</t>
        </is>
      </c>
      <c r="K58" s="4" t="inlineStr"/>
      <c r="L58" s="9" t="inlineStr">
        <is>
          <t>М1 (1c) · повт.</t>
        </is>
      </c>
      <c r="M58" s="9" t="inlineStr">
        <is>
          <t>М4 (4c) · повт.</t>
        </is>
      </c>
      <c r="N58" s="9" t="inlineStr">
        <is>
          <t>М3 (3c) · повт.</t>
        </is>
      </c>
      <c r="O58" s="9" t="inlineStr">
        <is>
          <t>М1 (1c) · повт.</t>
        </is>
      </c>
      <c r="P58" s="10" t="inlineStr">
        <is>
          <t>видео</t>
        </is>
      </c>
      <c r="Q58" s="4" t="inlineStr">
        <is>
          <t>Holidays+going to</t>
        </is>
      </c>
      <c r="R58" s="10" t="inlineStr">
        <is>
          <t>видео</t>
        </is>
      </c>
      <c r="S58" s="4" t="inlineStr">
        <is>
          <t>Plans for summer + Going to
Plans for summer+to be going to</t>
        </is>
      </c>
      <c r="T58" s="4" t="inlineStr"/>
    </row>
    <row r="59">
      <c r="A59" s="11" t="n">
        <v>58</v>
      </c>
      <c r="B59" s="11" t="inlineStr">
        <is>
          <t>Грамматика</t>
        </is>
      </c>
      <c r="C59" s="11" t="inlineStr">
        <is>
          <t>Глаголы: времена</t>
        </is>
      </c>
      <c r="D59" s="12" t="inlineStr">
        <is>
          <t>be going to</t>
        </is>
      </c>
      <c r="E59" s="18" t="inlineStr">
        <is>
          <t>be going to: отрицание</t>
        </is>
      </c>
      <c r="F59" s="11" t="inlineStr">
        <is>
          <t>обе</t>
        </is>
      </c>
      <c r="G59" s="11" t="inlineStr"/>
      <c r="H59" s="14" t="inlineStr">
        <is>
          <t>М8 · новое</t>
        </is>
      </c>
      <c r="I59" s="11" t="inlineStr"/>
      <c r="J59" s="16" t="inlineStr">
        <is>
          <t>М10 (10a) · повт.</t>
        </is>
      </c>
      <c r="K59" s="11" t="inlineStr"/>
      <c r="L59" s="11" t="inlineStr"/>
      <c r="M59" s="11" t="inlineStr"/>
      <c r="N59" s="11" t="inlineStr"/>
      <c r="O59" s="11" t="inlineStr"/>
      <c r="P59" s="17" t="inlineStr">
        <is>
          <t>вебинар</t>
        </is>
      </c>
      <c r="Q59" s="11" t="inlineStr">
        <is>
          <t>вебинар 26.11 (по расписанию): Be going to: отрицание и вопросы</t>
        </is>
      </c>
      <c r="R59" s="17" t="inlineStr">
        <is>
          <t>вебинар</t>
        </is>
      </c>
      <c r="S59" s="11" t="inlineStr">
        <is>
          <t>вебинар 10.11 (по расписанию): Be going to: отрицание, вопросы, предсказания
материалы: Be going to предсказания с очевидным основанием</t>
        </is>
      </c>
      <c r="T59" s="11" t="inlineStr"/>
    </row>
    <row r="60">
      <c r="A60" s="11" t="n">
        <v>59</v>
      </c>
      <c r="B60" s="11" t="inlineStr">
        <is>
          <t>Грамматика</t>
        </is>
      </c>
      <c r="C60" s="11" t="inlineStr">
        <is>
          <t>Глаголы: времена</t>
        </is>
      </c>
      <c r="D60" s="12" t="inlineStr">
        <is>
          <t>be going to</t>
        </is>
      </c>
      <c r="E60" s="18" t="inlineStr">
        <is>
          <t>be going to: вопросы и краткие ответы</t>
        </is>
      </c>
      <c r="F60" s="11" t="inlineStr">
        <is>
          <t>обе</t>
        </is>
      </c>
      <c r="G60" s="11" t="inlineStr"/>
      <c r="H60" s="14" t="inlineStr">
        <is>
          <t>М8 · новое</t>
        </is>
      </c>
      <c r="I60" s="11" t="inlineStr"/>
      <c r="J60" s="19" t="inlineStr">
        <is>
          <t>М10 (10a) · расш.</t>
        </is>
      </c>
      <c r="K60" s="11" t="inlineStr"/>
      <c r="L60" s="11" t="inlineStr"/>
      <c r="M60" s="11" t="inlineStr"/>
      <c r="N60" s="11" t="inlineStr"/>
      <c r="O60" s="11" t="inlineStr"/>
      <c r="P60" s="17" t="inlineStr">
        <is>
          <t>вебинар</t>
        </is>
      </c>
      <c r="Q60" s="11" t="inlineStr">
        <is>
          <t>вебинар 26.11 (по расписанию): Be going to: отрицание и вопросы</t>
        </is>
      </c>
      <c r="R60" s="17" t="inlineStr">
        <is>
          <t>вебинар</t>
        </is>
      </c>
      <c r="S60" s="11" t="inlineStr">
        <is>
          <t>вебинар 10.11 (по расписанию): Be going to: отрицание, вопросы, предсказания
материалы: Be going to предсказания с очевидным основанием</t>
        </is>
      </c>
      <c r="T60" s="11" t="inlineStr"/>
    </row>
    <row r="61">
      <c r="A61" s="11" t="n">
        <v>60</v>
      </c>
      <c r="B61" s="11" t="inlineStr">
        <is>
          <t>Грамматика</t>
        </is>
      </c>
      <c r="C61" s="11" t="inlineStr">
        <is>
          <t>Глаголы: времена</t>
        </is>
      </c>
      <c r="D61" s="12" t="inlineStr">
        <is>
          <t>be going to</t>
        </is>
      </c>
      <c r="E61" s="22" t="inlineStr">
        <is>
          <t>be going to: значение — планы и намерения</t>
        </is>
      </c>
      <c r="F61" s="11" t="inlineStr">
        <is>
          <t>обе</t>
        </is>
      </c>
      <c r="G61" s="11" t="inlineStr"/>
      <c r="H61" s="14" t="inlineStr">
        <is>
          <t>М8 · новое</t>
        </is>
      </c>
      <c r="I61" s="16" t="inlineStr">
        <is>
          <t>М10 (10b) · повт.</t>
        </is>
      </c>
      <c r="J61" s="16" t="inlineStr">
        <is>
          <t>М10 (10a) · повт.</t>
        </is>
      </c>
      <c r="K61" s="16" t="inlineStr">
        <is>
          <t>М5 · повт.</t>
        </is>
      </c>
      <c r="L61" s="16" t="inlineStr">
        <is>
          <t>М1 (1c) · повт.</t>
        </is>
      </c>
      <c r="M61" s="16" t="inlineStr">
        <is>
          <t>М4 (4c) · повт.</t>
        </is>
      </c>
      <c r="N61" s="16" t="inlineStr">
        <is>
          <t>М3 (3c) · повт.</t>
        </is>
      </c>
      <c r="O61" s="16" t="inlineStr">
        <is>
          <t>М1 (1c) · повт.</t>
        </is>
      </c>
      <c r="P61" s="17" t="inlineStr">
        <is>
          <t>видео</t>
        </is>
      </c>
      <c r="Q61" s="11" t="inlineStr">
        <is>
          <t>Holidays+going to</t>
        </is>
      </c>
      <c r="R61" s="17" t="inlineStr">
        <is>
          <t>видео</t>
        </is>
      </c>
      <c r="S61" s="11" t="inlineStr">
        <is>
          <t>Future tenses + school and jobs
Plans for summer + Going to
Plans for summer+to be going to</t>
        </is>
      </c>
      <c r="T61" s="11" t="inlineStr"/>
    </row>
    <row r="62">
      <c r="A62" s="11" t="n">
        <v>61</v>
      </c>
      <c r="B62" s="11" t="inlineStr">
        <is>
          <t>Грамматика</t>
        </is>
      </c>
      <c r="C62" s="11" t="inlineStr">
        <is>
          <t>Глаголы: времена</t>
        </is>
      </c>
      <c r="D62" s="12" t="inlineStr">
        <is>
          <t>be going to</t>
        </is>
      </c>
      <c r="E62" s="18" t="inlineStr">
        <is>
          <t>be going to: значение — уже принятое решение на ближайшее будущее</t>
        </is>
      </c>
      <c r="F62" s="11" t="inlineStr">
        <is>
          <t>10+</t>
        </is>
      </c>
      <c r="G62" s="11" t="inlineStr"/>
      <c r="H62" s="11" t="inlineStr"/>
      <c r="I62" s="11" t="inlineStr"/>
      <c r="J62" s="11" t="inlineStr"/>
      <c r="K62" s="11" t="inlineStr"/>
      <c r="L62" s="23" t="inlineStr">
        <is>
          <t>М1 (1c) · новое</t>
        </is>
      </c>
      <c r="M62" s="11" t="inlineStr"/>
      <c r="N62" s="16" t="inlineStr">
        <is>
          <t>М3 (3c) · повт.</t>
        </is>
      </c>
      <c r="O62" s="11" t="inlineStr"/>
      <c r="P62" s="20" t="inlineStr">
        <is>
          <t>—</t>
        </is>
      </c>
      <c r="Q62" s="21" t="inlineStr"/>
      <c r="R62" s="17" t="inlineStr">
        <is>
          <t>вебинар</t>
        </is>
      </c>
      <c r="S62" s="11" t="inlineStr">
        <is>
          <t>вебинар 10.11 (по расписанию): Be going to: отрицание, вопросы, предсказания</t>
        </is>
      </c>
      <c r="T62" s="11" t="inlineStr"/>
    </row>
    <row r="63">
      <c r="A63" s="11" t="n">
        <v>62</v>
      </c>
      <c r="B63" s="11" t="inlineStr">
        <is>
          <t>Грамматика</t>
        </is>
      </c>
      <c r="C63" s="11" t="inlineStr">
        <is>
          <t>Глаголы: времена</t>
        </is>
      </c>
      <c r="D63" s="12" t="inlineStr">
        <is>
          <t>be going to</t>
        </is>
      </c>
      <c r="E63" s="22" t="inlineStr">
        <is>
          <t>be going to: значение — предсказание по очевидным признакам</t>
        </is>
      </c>
      <c r="F63" s="11" t="inlineStr">
        <is>
          <t>10+</t>
        </is>
      </c>
      <c r="G63" s="11" t="inlineStr"/>
      <c r="H63" s="11" t="inlineStr"/>
      <c r="I63" s="11" t="inlineStr"/>
      <c r="J63" s="23" t="inlineStr">
        <is>
          <t>М10 (10a) · новое</t>
        </is>
      </c>
      <c r="K63" s="16" t="inlineStr">
        <is>
          <t>М5 · повт.</t>
        </is>
      </c>
      <c r="L63" s="16" t="inlineStr">
        <is>
          <t>М1 (1c) · повт.</t>
        </is>
      </c>
      <c r="M63" s="16" t="inlineStr">
        <is>
          <t>М4 (4c) · повт.</t>
        </is>
      </c>
      <c r="N63" s="16" t="inlineStr">
        <is>
          <t>М3 (3c) · повт.</t>
        </is>
      </c>
      <c r="O63" s="16" t="inlineStr">
        <is>
          <t>М1 (1c) · повт.</t>
        </is>
      </c>
      <c r="P63" s="20" t="inlineStr">
        <is>
          <t>—</t>
        </is>
      </c>
      <c r="Q63" s="21" t="inlineStr"/>
      <c r="R63" s="17" t="inlineStr">
        <is>
          <t>видео</t>
        </is>
      </c>
      <c r="S63" s="11" t="inlineStr">
        <is>
          <t>Future tenses + school and jobs</t>
        </is>
      </c>
      <c r="T63" s="11" t="inlineStr"/>
    </row>
    <row r="64">
      <c r="A64" s="11" t="n">
        <v>63</v>
      </c>
      <c r="B64" s="11" t="inlineStr">
        <is>
          <t>Грамматика</t>
        </is>
      </c>
      <c r="C64" s="11" t="inlineStr">
        <is>
          <t>Глаголы: времена</t>
        </is>
      </c>
      <c r="D64" s="12" t="inlineStr">
        <is>
          <t>be going to</t>
        </is>
      </c>
      <c r="E64" s="22" t="inlineStr">
        <is>
          <t>be going to vs will: план/признаки vs решение в момент речи/мнение</t>
        </is>
      </c>
      <c r="F64" s="11" t="inlineStr">
        <is>
          <t>10+</t>
        </is>
      </c>
      <c r="G64" s="11" t="inlineStr"/>
      <c r="H64" s="11" t="inlineStr"/>
      <c r="I64" s="11" t="inlineStr"/>
      <c r="J64" s="11" t="inlineStr"/>
      <c r="K64" s="11" t="inlineStr"/>
      <c r="L64" s="23" t="inlineStr">
        <is>
          <t>М1 (1c) · новое</t>
        </is>
      </c>
      <c r="M64" s="16" t="inlineStr">
        <is>
          <t>М4 (4c) · повт.</t>
        </is>
      </c>
      <c r="N64" s="16" t="inlineStr">
        <is>
          <t>М3 (3c) · повт.</t>
        </is>
      </c>
      <c r="O64" s="16" t="inlineStr">
        <is>
          <t>М1 (1c) · повт.</t>
        </is>
      </c>
      <c r="P64" s="20" t="inlineStr">
        <is>
          <t>—</t>
        </is>
      </c>
      <c r="Q64" s="21" t="inlineStr"/>
      <c r="R64" s="17" t="inlineStr">
        <is>
          <t>видео</t>
        </is>
      </c>
      <c r="S64" s="11" t="inlineStr">
        <is>
          <t>Future tenses + school and jobs</t>
        </is>
      </c>
      <c r="T64" s="11" t="inlineStr"/>
    </row>
    <row r="65">
      <c r="A65" s="4" t="n">
        <v>64</v>
      </c>
      <c r="B65" s="4" t="inlineStr">
        <is>
          <t>Грамматика</t>
        </is>
      </c>
      <c r="C65" s="4" t="inlineStr">
        <is>
          <t>Глаголы: времена</t>
        </is>
      </c>
      <c r="D65" s="5" t="inlineStr">
        <is>
          <t>Present Perfect</t>
        </is>
      </c>
      <c r="E65" s="6" t="inlineStr">
        <is>
          <t>Present Perfect: утверждение (have/has + V3)</t>
        </is>
      </c>
      <c r="F65" s="4" t="inlineStr">
        <is>
          <t>10+</t>
        </is>
      </c>
      <c r="G65" s="4" t="inlineStr"/>
      <c r="H65" s="4" t="inlineStr"/>
      <c r="I65" s="27" t="inlineStr">
        <is>
          <t>М10 (10a) · новое</t>
        </is>
      </c>
      <c r="J65" s="4" t="inlineStr"/>
      <c r="K65" s="9" t="inlineStr">
        <is>
          <t>М6 · повт.</t>
        </is>
      </c>
      <c r="L65" s="9" t="inlineStr">
        <is>
          <t>М2 (2c) · повт.</t>
        </is>
      </c>
      <c r="M65" s="9" t="inlineStr">
        <is>
          <t>М1 (1c) · повт.</t>
        </is>
      </c>
      <c r="N65" s="9" t="inlineStr">
        <is>
          <t>М1 (1c) · повт.</t>
        </is>
      </c>
      <c r="O65" s="9" t="inlineStr">
        <is>
          <t>М1 (1c) · повт.</t>
        </is>
      </c>
      <c r="P65" s="28" t="inlineStr">
        <is>
          <t>—</t>
        </is>
      </c>
      <c r="Q65" s="29" t="inlineStr"/>
      <c r="R65" s="10" t="inlineStr">
        <is>
          <t>видео</t>
        </is>
      </c>
      <c r="S65" s="4" t="inlineStr">
        <is>
          <t>Pr.Perfect already+just+yet+summer camp
Present Perfect for since + experiences
Present PerfectvsPast Simple+films
Tense overview (Prese...mple, Present Perfect)
Tenses overview 1
Shopping+Present Per...nt Perfect Continuous</t>
        </is>
      </c>
      <c r="T65" s="4" t="inlineStr"/>
    </row>
    <row r="66">
      <c r="A66" s="11" t="n">
        <v>65</v>
      </c>
      <c r="B66" s="11" t="inlineStr">
        <is>
          <t>Грамматика</t>
        </is>
      </c>
      <c r="C66" s="11" t="inlineStr">
        <is>
          <t>Глаголы: времена</t>
        </is>
      </c>
      <c r="D66" s="12" t="inlineStr">
        <is>
          <t>Present Perfect</t>
        </is>
      </c>
      <c r="E66" s="22" t="inlineStr">
        <is>
          <t>Present Perfect: отрицание (haven't/hasn't)</t>
        </is>
      </c>
      <c r="F66" s="11" t="inlineStr">
        <is>
          <t>10+</t>
        </is>
      </c>
      <c r="G66" s="11" t="inlineStr"/>
      <c r="H66" s="11" t="inlineStr"/>
      <c r="I66" s="23" t="inlineStr">
        <is>
          <t>М10 (10a) · новое</t>
        </is>
      </c>
      <c r="J66" s="11" t="inlineStr"/>
      <c r="K66" s="16" t="inlineStr">
        <is>
          <t>М6 · повт.</t>
        </is>
      </c>
      <c r="L66" s="11" t="inlineStr"/>
      <c r="M66" s="11" t="inlineStr"/>
      <c r="N66" s="11" t="inlineStr"/>
      <c r="O66" s="11" t="inlineStr"/>
      <c r="P66" s="20" t="inlineStr">
        <is>
          <t>—</t>
        </is>
      </c>
      <c r="Q66" s="21" t="inlineStr"/>
      <c r="R66" s="17" t="inlineStr">
        <is>
          <t>видео</t>
        </is>
      </c>
      <c r="S66" s="11" t="inlineStr">
        <is>
          <t>Pr.Perfect already+just+yet+summer camp
Present PerfectvsPast Simple+films</t>
        </is>
      </c>
      <c r="T66" s="11" t="inlineStr"/>
    </row>
    <row r="67">
      <c r="A67" s="11" t="n">
        <v>66</v>
      </c>
      <c r="B67" s="11" t="inlineStr">
        <is>
          <t>Грамматика</t>
        </is>
      </c>
      <c r="C67" s="11" t="inlineStr">
        <is>
          <t>Глаголы: времена</t>
        </is>
      </c>
      <c r="D67" s="12" t="inlineStr">
        <is>
          <t>Present Perfect</t>
        </is>
      </c>
      <c r="E67" s="22" t="inlineStr">
        <is>
          <t>Present Perfect: вопросы и краткие ответы</t>
        </is>
      </c>
      <c r="F67" s="11" t="inlineStr">
        <is>
          <t>10+</t>
        </is>
      </c>
      <c r="G67" s="11" t="inlineStr"/>
      <c r="H67" s="11" t="inlineStr"/>
      <c r="I67" s="23" t="inlineStr">
        <is>
          <t>М10 (10a) · новое</t>
        </is>
      </c>
      <c r="J67" s="11" t="inlineStr"/>
      <c r="K67" s="16" t="inlineStr">
        <is>
          <t>М6 · повт.</t>
        </is>
      </c>
      <c r="L67" s="11" t="inlineStr"/>
      <c r="M67" s="11" t="inlineStr"/>
      <c r="N67" s="11" t="inlineStr"/>
      <c r="O67" s="11" t="inlineStr"/>
      <c r="P67" s="20" t="inlineStr">
        <is>
          <t>—</t>
        </is>
      </c>
      <c r="Q67" s="21" t="inlineStr"/>
      <c r="R67" s="17" t="inlineStr">
        <is>
          <t>видео</t>
        </is>
      </c>
      <c r="S67" s="11" t="inlineStr">
        <is>
          <t>Pr.Perfect already+just+yet+summer camp
Present Perfect for since + experiences
Present PerfectvsPast Simple+films</t>
        </is>
      </c>
      <c r="T67" s="11" t="inlineStr"/>
    </row>
    <row r="68">
      <c r="A68" s="11" t="n">
        <v>67</v>
      </c>
      <c r="B68" s="11" t="inlineStr">
        <is>
          <t>Грамматика</t>
        </is>
      </c>
      <c r="C68" s="11" t="inlineStr">
        <is>
          <t>Глаголы: времена</t>
        </is>
      </c>
      <c r="D68" s="12" t="inlineStr">
        <is>
          <t>Present Perfect</t>
        </is>
      </c>
      <c r="E68" s="18" t="inlineStr">
        <is>
          <t>Present Perfect: V3 правильных глаголов (-ed, орфография)</t>
        </is>
      </c>
      <c r="F68" s="11" t="inlineStr">
        <is>
          <t>10+</t>
        </is>
      </c>
      <c r="G68" s="11" t="inlineStr"/>
      <c r="H68" s="11" t="inlineStr"/>
      <c r="I68" s="23" t="inlineStr">
        <is>
          <t>М10 (10a) · новое</t>
        </is>
      </c>
      <c r="J68" s="11" t="inlineStr"/>
      <c r="K68" s="11" t="inlineStr"/>
      <c r="L68" s="16" t="inlineStr">
        <is>
          <t>М2 (2c) · повт.</t>
        </is>
      </c>
      <c r="M68" s="16" t="inlineStr">
        <is>
          <t>М1 (1c) · повт.</t>
        </is>
      </c>
      <c r="N68" s="16" t="inlineStr">
        <is>
          <t>М1 (1c) · повт.</t>
        </is>
      </c>
      <c r="O68" s="16" t="inlineStr">
        <is>
          <t>М1 (1c) · повт.</t>
        </is>
      </c>
      <c r="P68" s="20" t="inlineStr">
        <is>
          <t>—</t>
        </is>
      </c>
      <c r="Q68" s="21" t="inlineStr"/>
      <c r="R68" s="17" t="inlineStr">
        <is>
          <t>вебинар</t>
        </is>
      </c>
      <c r="S68" s="11" t="inlineStr">
        <is>
          <t>вебинар 17.11 (по расписанию): Present Perfect: Have you ever + неправильные глаголы</t>
        </is>
      </c>
      <c r="T68" s="11" t="inlineStr"/>
    </row>
    <row r="69">
      <c r="A69" s="11" t="n">
        <v>68</v>
      </c>
      <c r="B69" s="11" t="inlineStr">
        <is>
          <t>Грамматика</t>
        </is>
      </c>
      <c r="C69" s="11" t="inlineStr">
        <is>
          <t>Глаголы: времена</t>
        </is>
      </c>
      <c r="D69" s="12" t="inlineStr">
        <is>
          <t>Present Perfect</t>
        </is>
      </c>
      <c r="E69" s="18" t="inlineStr">
        <is>
          <t>Present Perfect: V3 неправильных глаголов</t>
        </is>
      </c>
      <c r="F69" s="11" t="inlineStr">
        <is>
          <t>10+</t>
        </is>
      </c>
      <c r="G69" s="11" t="inlineStr"/>
      <c r="H69" s="11" t="inlineStr"/>
      <c r="I69" s="23" t="inlineStr">
        <is>
          <t>М10 (10a) · новое</t>
        </is>
      </c>
      <c r="J69" s="11" t="inlineStr"/>
      <c r="K69" s="11" t="inlineStr"/>
      <c r="L69" s="11" t="inlineStr"/>
      <c r="M69" s="16" t="inlineStr">
        <is>
          <t>М1 (1c) · повт.</t>
        </is>
      </c>
      <c r="N69" s="16" t="inlineStr">
        <is>
          <t>М1 (1c) · повт.</t>
        </is>
      </c>
      <c r="O69" s="16" t="inlineStr">
        <is>
          <t>М1 (1c) · повт.</t>
        </is>
      </c>
      <c r="P69" s="20" t="inlineStr">
        <is>
          <t>—</t>
        </is>
      </c>
      <c r="Q69" s="21" t="inlineStr"/>
      <c r="R69" s="17" t="inlineStr">
        <is>
          <t>вебинар</t>
        </is>
      </c>
      <c r="S69" s="11" t="inlineStr">
        <is>
          <t>вебинар 17.11 (по расписанию): Present Perfect: Have you ever + неправильные глаголы
материалы: Holidays Have you ever; 10-12 Have you ever travelling</t>
        </is>
      </c>
      <c r="T69" s="11" t="inlineStr"/>
    </row>
    <row r="70">
      <c r="A70" s="11" t="n">
        <v>69</v>
      </c>
      <c r="B70" s="11" t="inlineStr">
        <is>
          <t>Грамматика</t>
        </is>
      </c>
      <c r="C70" s="11" t="inlineStr">
        <is>
          <t>Глаголы: времена</t>
        </is>
      </c>
      <c r="D70" s="12" t="inlineStr">
        <is>
          <t>Present Perfect</t>
        </is>
      </c>
      <c r="E70" s="22" t="inlineStr">
        <is>
          <t>Present Perfect: значение — жизненный опыт, перемены (ever/never)</t>
        </is>
      </c>
      <c r="F70" s="11" t="inlineStr">
        <is>
          <t>10+</t>
        </is>
      </c>
      <c r="G70" s="11" t="inlineStr"/>
      <c r="H70" s="11" t="inlineStr"/>
      <c r="I70" s="23" t="inlineStr">
        <is>
          <t>М10 (10a) · новое</t>
        </is>
      </c>
      <c r="J70" s="11" t="inlineStr"/>
      <c r="K70" s="16" t="inlineStr">
        <is>
          <t>М6 · повт.</t>
        </is>
      </c>
      <c r="L70" s="19" t="inlineStr">
        <is>
          <t>М2 (2c) · расш.</t>
        </is>
      </c>
      <c r="M70" s="16" t="inlineStr">
        <is>
          <t>М1 (1c) · повт.</t>
        </is>
      </c>
      <c r="N70" s="16" t="inlineStr">
        <is>
          <t>М1 (1c) · повт.</t>
        </is>
      </c>
      <c r="O70" s="16" t="inlineStr">
        <is>
          <t>М1 (1c) · повт.</t>
        </is>
      </c>
      <c r="P70" s="20" t="inlineStr">
        <is>
          <t>—</t>
        </is>
      </c>
      <c r="Q70" s="21" t="inlineStr"/>
      <c r="R70" s="17" t="inlineStr">
        <is>
          <t>видео</t>
        </is>
      </c>
      <c r="S70" s="11" t="inlineStr">
        <is>
          <t>Present PerfectvsPast Simple+films
Tense overview (Prese...mple, Present Perfect)
Tenses overview 1</t>
        </is>
      </c>
      <c r="T70" s="11" t="inlineStr"/>
    </row>
    <row r="71">
      <c r="A71" s="11" t="n">
        <v>70</v>
      </c>
      <c r="B71" s="11" t="inlineStr">
        <is>
          <t>Грамматика</t>
        </is>
      </c>
      <c r="C71" s="11" t="inlineStr">
        <is>
          <t>Глаголы: времена</t>
        </is>
      </c>
      <c r="D71" s="12" t="inlineStr">
        <is>
          <t>Present Perfect</t>
        </is>
      </c>
      <c r="E71" s="22" t="inlineStr">
        <is>
          <t>Present Perfect: значение — результат в настоящем</t>
        </is>
      </c>
      <c r="F71" s="11" t="inlineStr">
        <is>
          <t>10+</t>
        </is>
      </c>
      <c r="G71" s="11" t="inlineStr"/>
      <c r="H71" s="11" t="inlineStr"/>
      <c r="I71" s="23" t="inlineStr">
        <is>
          <t>М10 (10a) · новое</t>
        </is>
      </c>
      <c r="J71" s="11" t="inlineStr"/>
      <c r="K71" s="16" t="inlineStr">
        <is>
          <t>М6 · повт.</t>
        </is>
      </c>
      <c r="L71" s="16" t="inlineStr">
        <is>
          <t>М2 (2c) · повт.</t>
        </is>
      </c>
      <c r="M71" s="16" t="inlineStr">
        <is>
          <t>М1 (1c) · повт.</t>
        </is>
      </c>
      <c r="N71" s="16" t="inlineStr">
        <is>
          <t>М1 (1c) · повт.</t>
        </is>
      </c>
      <c r="O71" s="16" t="inlineStr">
        <is>
          <t>М1 (1c) · повт.</t>
        </is>
      </c>
      <c r="P71" s="20" t="inlineStr">
        <is>
          <t>—</t>
        </is>
      </c>
      <c r="Q71" s="21" t="inlineStr"/>
      <c r="R71" s="17" t="inlineStr">
        <is>
          <t>видео</t>
        </is>
      </c>
      <c r="S71" s="11" t="inlineStr">
        <is>
          <t>Present tenses (review...cter and relationships</t>
        </is>
      </c>
      <c r="T71" s="11" t="inlineStr"/>
    </row>
    <row r="72">
      <c r="A72" s="11" t="n">
        <v>71</v>
      </c>
      <c r="B72" s="11" t="inlineStr">
        <is>
          <t>Грамматика</t>
        </is>
      </c>
      <c r="C72" s="11" t="inlineStr">
        <is>
          <t>Глаголы: времена</t>
        </is>
      </c>
      <c r="D72" s="12" t="inlineStr">
        <is>
          <t>Present Perfect</t>
        </is>
      </c>
      <c r="E72" s="22" t="inlineStr">
        <is>
          <t>Present Perfect: значение — недавно завершённое действие (just)</t>
        </is>
      </c>
      <c r="F72" s="11" t="inlineStr">
        <is>
          <t>10+</t>
        </is>
      </c>
      <c r="G72" s="11" t="inlineStr"/>
      <c r="H72" s="11" t="inlineStr"/>
      <c r="I72" s="11" t="inlineStr"/>
      <c r="J72" s="11" t="inlineStr"/>
      <c r="K72" s="11" t="inlineStr"/>
      <c r="L72" s="23" t="inlineStr">
        <is>
          <t>М2 (2c) · новое</t>
        </is>
      </c>
      <c r="M72" s="16" t="inlineStr">
        <is>
          <t>М1 (1c) · повт.</t>
        </is>
      </c>
      <c r="N72" s="16" t="inlineStr">
        <is>
          <t>М1 (1c) · повт.</t>
        </is>
      </c>
      <c r="O72" s="16" t="inlineStr">
        <is>
          <t>М1 (1c) · повт.</t>
        </is>
      </c>
      <c r="P72" s="20" t="inlineStr">
        <is>
          <t>—</t>
        </is>
      </c>
      <c r="Q72" s="21" t="inlineStr"/>
      <c r="R72" s="17" t="inlineStr">
        <is>
          <t>видео</t>
        </is>
      </c>
      <c r="S72" s="11" t="inlineStr">
        <is>
          <t>Pr.Perfect already+just+yet+summer camp</t>
        </is>
      </c>
      <c r="T72" s="11" t="inlineStr"/>
    </row>
    <row r="73">
      <c r="A73" s="11" t="n">
        <v>72</v>
      </c>
      <c r="B73" s="11" t="inlineStr">
        <is>
          <t>Грамматика</t>
        </is>
      </c>
      <c r="C73" s="11" t="inlineStr">
        <is>
          <t>Глаголы: времена</t>
        </is>
      </c>
      <c r="D73" s="12" t="inlineStr">
        <is>
          <t>Present Perfect</t>
        </is>
      </c>
      <c r="E73" s="13" t="inlineStr">
        <is>
          <t>Present Perfect: значение — неуказанное время в прошлом</t>
        </is>
      </c>
      <c r="F73" s="11" t="inlineStr">
        <is>
          <t>10+</t>
        </is>
      </c>
      <c r="G73" s="11" t="inlineStr"/>
      <c r="H73" s="11" t="inlineStr"/>
      <c r="I73" s="11" t="inlineStr"/>
      <c r="J73" s="11" t="inlineStr"/>
      <c r="K73" s="23" t="inlineStr">
        <is>
          <t>М6 · новое</t>
        </is>
      </c>
      <c r="L73" s="11" t="inlineStr"/>
      <c r="M73" s="16" t="inlineStr">
        <is>
          <t>М1 (1c) · повт.</t>
        </is>
      </c>
      <c r="N73" s="16" t="inlineStr">
        <is>
          <t>М1 (1c) · повт.</t>
        </is>
      </c>
      <c r="O73" s="16" t="inlineStr">
        <is>
          <t>М1 (1c) · повт.</t>
        </is>
      </c>
      <c r="P73" s="20" t="inlineStr">
        <is>
          <t>—</t>
        </is>
      </c>
      <c r="Q73" s="21" t="inlineStr"/>
      <c r="R73" s="17" t="inlineStr">
        <is>
          <t>нет</t>
        </is>
      </c>
      <c r="S73" s="11" t="inlineStr"/>
      <c r="T73" s="11" t="inlineStr"/>
    </row>
    <row r="74">
      <c r="A74" s="11" t="n">
        <v>73</v>
      </c>
      <c r="B74" s="11" t="inlineStr">
        <is>
          <t>Грамматика</t>
        </is>
      </c>
      <c r="C74" s="11" t="inlineStr">
        <is>
          <t>Глаголы: времена</t>
        </is>
      </c>
      <c r="D74" s="12" t="inlineStr">
        <is>
          <t>Present Perfect</t>
        </is>
      </c>
      <c r="E74" s="22" t="inlineStr">
        <is>
          <t>Present Perfect: значение — с прошлого до настоящего (stative verbs, for/since)</t>
        </is>
      </c>
      <c r="F74" s="11" t="inlineStr">
        <is>
          <t>10+</t>
        </is>
      </c>
      <c r="G74" s="11" t="inlineStr"/>
      <c r="H74" s="11" t="inlineStr"/>
      <c r="I74" s="11" t="inlineStr"/>
      <c r="J74" s="11" t="inlineStr"/>
      <c r="K74" s="23" t="inlineStr">
        <is>
          <t>М6 · новое</t>
        </is>
      </c>
      <c r="L74" s="16" t="inlineStr">
        <is>
          <t>М2 (2c) · повт.</t>
        </is>
      </c>
      <c r="M74" s="16" t="inlineStr">
        <is>
          <t>М1 (1c) · повт.</t>
        </is>
      </c>
      <c r="N74" s="16" t="inlineStr">
        <is>
          <t>М1 (1c) · повт.</t>
        </is>
      </c>
      <c r="O74" s="16" t="inlineStr">
        <is>
          <t>М1 (1c) · повт.</t>
        </is>
      </c>
      <c r="P74" s="20" t="inlineStr">
        <is>
          <t>—</t>
        </is>
      </c>
      <c r="Q74" s="21" t="inlineStr"/>
      <c r="R74" s="17" t="inlineStr">
        <is>
          <t>видео</t>
        </is>
      </c>
      <c r="S74" s="11" t="inlineStr">
        <is>
          <t>Present Perfect for since + experiences
Tense overview (Prese...mple, Present Perfect)
Tenses overview 1
Present tenses (review...cter and relationships</t>
        </is>
      </c>
      <c r="T74" s="11" t="inlineStr"/>
    </row>
    <row r="75">
      <c r="A75" s="11" t="n">
        <v>74</v>
      </c>
      <c r="B75" s="11" t="inlineStr">
        <is>
          <t>Грамматика</t>
        </is>
      </c>
      <c r="C75" s="11" t="inlineStr">
        <is>
          <t>Глаголы: времена</t>
        </is>
      </c>
      <c r="D75" s="12" t="inlineStr">
        <is>
          <t>Present Perfect</t>
        </is>
      </c>
      <c r="E75" s="18" t="inlineStr">
        <is>
          <t>Present Perfect: значение — незаконченный период (today, this week, so far)</t>
        </is>
      </c>
      <c r="F75" s="11" t="inlineStr">
        <is>
          <t>10+</t>
        </is>
      </c>
      <c r="G75" s="11" t="inlineStr"/>
      <c r="H75" s="11" t="inlineStr"/>
      <c r="I75" s="11" t="inlineStr"/>
      <c r="J75" s="11" t="inlineStr"/>
      <c r="K75" s="11" t="inlineStr"/>
      <c r="L75" s="23" t="inlineStr">
        <is>
          <t>М2 (2c) · новое</t>
        </is>
      </c>
      <c r="M75" s="16" t="inlineStr">
        <is>
          <t>М1 (1c) · повт.</t>
        </is>
      </c>
      <c r="N75" s="16" t="inlineStr">
        <is>
          <t>М1 (1c) · повт.</t>
        </is>
      </c>
      <c r="O75" s="16" t="inlineStr">
        <is>
          <t>М1 (1c) · повт.</t>
        </is>
      </c>
      <c r="P75" s="20" t="inlineStr">
        <is>
          <t>—</t>
        </is>
      </c>
      <c r="Q75" s="21" t="inlineStr"/>
      <c r="R75" s="17" t="inlineStr">
        <is>
          <t>вебинар</t>
        </is>
      </c>
      <c r="S75" s="11" t="inlineStr">
        <is>
          <t>вебинар 17.11 (по расписанию): Present Perfect: Have you ever + неправильные глаголы</t>
        </is>
      </c>
      <c r="T75" s="11" t="inlineStr"/>
    </row>
    <row r="76">
      <c r="A76" s="11" t="n">
        <v>75</v>
      </c>
      <c r="B76" s="11" t="inlineStr">
        <is>
          <t>Грамматика</t>
        </is>
      </c>
      <c r="C76" s="11" t="inlineStr">
        <is>
          <t>Глаголы: времена</t>
        </is>
      </c>
      <c r="D76" s="12" t="inlineStr">
        <is>
          <t>Present Perfect</t>
        </is>
      </c>
      <c r="E76" s="13" t="inlineStr">
        <is>
          <t>Present Perfect: значение — акцент на количестве (seven times this week)</t>
        </is>
      </c>
      <c r="F76" s="11" t="inlineStr">
        <is>
          <t>10+</t>
        </is>
      </c>
      <c r="G76" s="11" t="inlineStr"/>
      <c r="H76" s="11" t="inlineStr"/>
      <c r="I76" s="11" t="inlineStr"/>
      <c r="J76" s="11" t="inlineStr"/>
      <c r="K76" s="11" t="inlineStr"/>
      <c r="L76" s="11" t="inlineStr"/>
      <c r="M76" s="23" t="inlineStr">
        <is>
          <t>М1 (1c) · новое</t>
        </is>
      </c>
      <c r="N76" s="16" t="inlineStr">
        <is>
          <t>М1 (1c) · повт.</t>
        </is>
      </c>
      <c r="O76" s="16" t="inlineStr">
        <is>
          <t>М1 (1c) · повт.</t>
        </is>
      </c>
      <c r="P76" s="20" t="inlineStr">
        <is>
          <t>—</t>
        </is>
      </c>
      <c r="Q76" s="21" t="inlineStr"/>
      <c r="R76" s="17" t="inlineStr">
        <is>
          <t>нет</t>
        </is>
      </c>
      <c r="S76" s="11" t="inlineStr"/>
      <c r="T76" s="11" t="inlineStr"/>
    </row>
    <row r="77">
      <c r="A77" s="11" t="n">
        <v>76</v>
      </c>
      <c r="B77" s="11" t="inlineStr">
        <is>
          <t>Грамматика</t>
        </is>
      </c>
      <c r="C77" s="11" t="inlineStr">
        <is>
          <t>Глаголы: времена</t>
        </is>
      </c>
      <c r="D77" s="12" t="inlineStr">
        <is>
          <t>Present Perfect</t>
        </is>
      </c>
      <c r="E77" s="22" t="inlineStr">
        <is>
          <t>Present Perfect: слова-маркеры already / yet / just / ever / never</t>
        </is>
      </c>
      <c r="F77" s="11" t="inlineStr">
        <is>
          <t>10+</t>
        </is>
      </c>
      <c r="G77" s="11" t="inlineStr"/>
      <c r="H77" s="11" t="inlineStr"/>
      <c r="I77" s="23" t="inlineStr">
        <is>
          <t>М10 (10a) · новое</t>
        </is>
      </c>
      <c r="J77" s="11" t="inlineStr"/>
      <c r="K77" s="19" t="inlineStr">
        <is>
          <t>М6 · расш.</t>
        </is>
      </c>
      <c r="L77" s="16" t="inlineStr">
        <is>
          <t>М2 (2c) · повт.</t>
        </is>
      </c>
      <c r="M77" s="16" t="inlineStr">
        <is>
          <t>М1 (1c) · повт.</t>
        </is>
      </c>
      <c r="N77" s="16" t="inlineStr">
        <is>
          <t>М1 (1c) · повт.</t>
        </is>
      </c>
      <c r="O77" s="16" t="inlineStr">
        <is>
          <t>М1 (1c) · повт.</t>
        </is>
      </c>
      <c r="P77" s="20" t="inlineStr">
        <is>
          <t>—</t>
        </is>
      </c>
      <c r="Q77" s="21" t="inlineStr"/>
      <c r="R77" s="17" t="inlineStr">
        <is>
          <t>видео</t>
        </is>
      </c>
      <c r="S77" s="11" t="inlineStr">
        <is>
          <t>Pr.Perfect already+just+yet+summer camp
Present PerfectvsPast Simple+films
Tense overview (Prese...mple, Present Perfect)
Tenses overview 1</t>
        </is>
      </c>
      <c r="T77" s="11" t="inlineStr"/>
    </row>
    <row r="78">
      <c r="A78" s="4" t="n">
        <v>77</v>
      </c>
      <c r="B78" s="4" t="inlineStr">
        <is>
          <t>Грамматика</t>
        </is>
      </c>
      <c r="C78" s="4" t="inlineStr">
        <is>
          <t>Глаголы: времена</t>
        </is>
      </c>
      <c r="D78" s="5" t="inlineStr">
        <is>
          <t>Stative verbs</t>
        </is>
      </c>
      <c r="E78" s="6" t="inlineStr">
        <is>
          <t>Stative verbs: глаголы состояния не употребляются в Continuous</t>
        </is>
      </c>
      <c r="F78" s="4" t="inlineStr">
        <is>
          <t>10+</t>
        </is>
      </c>
      <c r="G78" s="4" t="inlineStr"/>
      <c r="H78" s="4" t="inlineStr"/>
      <c r="I78" s="4" t="inlineStr"/>
      <c r="J78" s="27" t="inlineStr">
        <is>
          <t>М6 · новое</t>
        </is>
      </c>
      <c r="K78" s="9" t="inlineStr">
        <is>
          <t>М1 · повт.</t>
        </is>
      </c>
      <c r="L78" s="9" t="inlineStr">
        <is>
          <t>М1 (1c) · повт.</t>
        </is>
      </c>
      <c r="M78" s="4" t="inlineStr"/>
      <c r="N78" s="9" t="inlineStr">
        <is>
          <t>М1 (1c) · повт.</t>
        </is>
      </c>
      <c r="O78" s="9" t="inlineStr">
        <is>
          <t>М1 (1c) · повт.</t>
        </is>
      </c>
      <c r="P78" s="28" t="inlineStr">
        <is>
          <t>—</t>
        </is>
      </c>
      <c r="Q78" s="29" t="inlineStr"/>
      <c r="R78" s="10" t="inlineStr">
        <is>
          <t>видео</t>
        </is>
      </c>
      <c r="S78" s="4" t="inlineStr">
        <is>
          <t>Stative verbs + perception and feelings
Stative verbs.Preceive+feelings.
Present tenses (review...cter and relationships</t>
        </is>
      </c>
      <c r="T78" s="4" t="inlineStr"/>
    </row>
    <row r="79">
      <c r="A79" s="11" t="n">
        <v>78</v>
      </c>
      <c r="B79" s="11" t="inlineStr">
        <is>
          <t>Грамматика</t>
        </is>
      </c>
      <c r="C79" s="11" t="inlineStr">
        <is>
          <t>Глаголы: времена</t>
        </is>
      </c>
      <c r="D79" s="12" t="inlineStr">
        <is>
          <t>Stative verbs</t>
        </is>
      </c>
      <c r="E79" s="22" t="inlineStr">
        <is>
          <t>Stative verbs: группы глаголов (восприятие, мышление, чувства, прочие)</t>
        </is>
      </c>
      <c r="F79" s="11" t="inlineStr">
        <is>
          <t>10+</t>
        </is>
      </c>
      <c r="G79" s="11" t="inlineStr"/>
      <c r="H79" s="11" t="inlineStr"/>
      <c r="I79" s="11" t="inlineStr"/>
      <c r="J79" s="11" t="inlineStr"/>
      <c r="K79" s="23" t="inlineStr">
        <is>
          <t>М1 · новое</t>
        </is>
      </c>
      <c r="L79" s="19" t="inlineStr">
        <is>
          <t>М1 (1c) · расш.</t>
        </is>
      </c>
      <c r="M79" s="16" t="inlineStr">
        <is>
          <t>М1 (1c) · повт.</t>
        </is>
      </c>
      <c r="N79" s="16" t="inlineStr">
        <is>
          <t>М1 (1c) · повт.</t>
        </is>
      </c>
      <c r="O79" s="16" t="inlineStr">
        <is>
          <t>М1 (1c) · повт.</t>
        </is>
      </c>
      <c r="P79" s="20" t="inlineStr">
        <is>
          <t>—</t>
        </is>
      </c>
      <c r="Q79" s="21" t="inlineStr"/>
      <c r="R79" s="17" t="inlineStr">
        <is>
          <t>видео</t>
        </is>
      </c>
      <c r="S79" s="11" t="inlineStr">
        <is>
          <t>Stative verbs + perception and feelings
Stative verbs.Preceive+feelings.</t>
        </is>
      </c>
      <c r="T79" s="11" t="inlineStr"/>
    </row>
    <row r="80">
      <c r="A80" s="11" t="n">
        <v>79</v>
      </c>
      <c r="B80" s="11" t="inlineStr">
        <is>
          <t>Грамматика</t>
        </is>
      </c>
      <c r="C80" s="11" t="inlineStr">
        <is>
          <t>Глаголы: времена</t>
        </is>
      </c>
      <c r="D80" s="12" t="inlineStr">
        <is>
          <t>Stative verbs</t>
        </is>
      </c>
      <c r="E80" s="22" t="inlineStr">
        <is>
          <t>Stative verbs: разное значение в Simple и Continuous (think, have, see, taste…)</t>
        </is>
      </c>
      <c r="F80" s="11" t="inlineStr">
        <is>
          <t>10+</t>
        </is>
      </c>
      <c r="G80" s="11" t="inlineStr"/>
      <c r="H80" s="11" t="inlineStr"/>
      <c r="I80" s="11" t="inlineStr"/>
      <c r="J80" s="11" t="inlineStr"/>
      <c r="K80" s="23" t="inlineStr">
        <is>
          <t>М1 · новое</t>
        </is>
      </c>
      <c r="L80" s="16" t="inlineStr">
        <is>
          <t>М1 (1c) · повт.</t>
        </is>
      </c>
      <c r="M80" s="16" t="inlineStr">
        <is>
          <t>М1 (1c) · повт.</t>
        </is>
      </c>
      <c r="N80" s="16" t="inlineStr">
        <is>
          <t>М1 (1c) · повт.</t>
        </is>
      </c>
      <c r="O80" s="16" t="inlineStr">
        <is>
          <t>М1 (1c) · повт.</t>
        </is>
      </c>
      <c r="P80" s="20" t="inlineStr">
        <is>
          <t>—</t>
        </is>
      </c>
      <c r="Q80" s="21" t="inlineStr"/>
      <c r="R80" s="17" t="inlineStr">
        <is>
          <t>видео</t>
        </is>
      </c>
      <c r="S80" s="11" t="inlineStr">
        <is>
          <t>Stative verbs + perception and feelings
Stative verbs.Preceive+feelings.</t>
        </is>
      </c>
      <c r="T80" s="11" t="inlineStr"/>
    </row>
    <row r="81">
      <c r="A81" s="11" t="n">
        <v>80</v>
      </c>
      <c r="B81" s="11" t="inlineStr">
        <is>
          <t>Грамматика</t>
        </is>
      </c>
      <c r="C81" s="11" t="inlineStr">
        <is>
          <t>Глаголы: времена</t>
        </is>
      </c>
      <c r="D81" s="12" t="inlineStr">
        <is>
          <t>Stative verbs</t>
        </is>
      </c>
      <c r="E81" s="13" t="inlineStr">
        <is>
          <t>Stative verbs: look, feel, hurt, ache — Simple = Continuous</t>
        </is>
      </c>
      <c r="F81" s="11" t="inlineStr">
        <is>
          <t>10+</t>
        </is>
      </c>
      <c r="G81" s="11" t="inlineStr"/>
      <c r="H81" s="11" t="inlineStr"/>
      <c r="I81" s="11" t="inlineStr"/>
      <c r="J81" s="11" t="inlineStr"/>
      <c r="K81" s="23" t="inlineStr">
        <is>
          <t>М1 · новое</t>
        </is>
      </c>
      <c r="L81" s="19" t="inlineStr">
        <is>
          <t>М1 (1c) · расш.</t>
        </is>
      </c>
      <c r="M81" s="16" t="inlineStr">
        <is>
          <t>М1 (1c) · повт.</t>
        </is>
      </c>
      <c r="N81" s="16" t="inlineStr">
        <is>
          <t>М1 (1c) · повт.</t>
        </is>
      </c>
      <c r="O81" s="16" t="inlineStr">
        <is>
          <t>М1 (1c) · повт.</t>
        </is>
      </c>
      <c r="P81" s="20" t="inlineStr">
        <is>
          <t>—</t>
        </is>
      </c>
      <c r="Q81" s="21" t="inlineStr"/>
      <c r="R81" s="17" t="inlineStr">
        <is>
          <t>нет</t>
        </is>
      </c>
      <c r="S81" s="11" t="inlineStr"/>
      <c r="T81" s="11" t="inlineStr"/>
    </row>
    <row r="82">
      <c r="A82" s="11" t="n">
        <v>81</v>
      </c>
      <c r="B82" s="11" t="inlineStr">
        <is>
          <t>Грамматика</t>
        </is>
      </c>
      <c r="C82" s="11" t="inlineStr">
        <is>
          <t>Глаголы: времена</t>
        </is>
      </c>
      <c r="D82" s="12" t="inlineStr">
        <is>
          <t>Stative verbs</t>
        </is>
      </c>
      <c r="E82" s="13" t="inlineStr">
        <is>
          <t>Stative verbs: enjoy в Continuous — конкретное удовольствие</t>
        </is>
      </c>
      <c r="F82" s="11" t="inlineStr">
        <is>
          <t>10+</t>
        </is>
      </c>
      <c r="G82" s="11" t="inlineStr"/>
      <c r="H82" s="11" t="inlineStr"/>
      <c r="I82" s="11" t="inlineStr"/>
      <c r="J82" s="11" t="inlineStr"/>
      <c r="K82" s="11" t="inlineStr"/>
      <c r="L82" s="23" t="inlineStr">
        <is>
          <t>М1 (1c) · новое</t>
        </is>
      </c>
      <c r="M82" s="16" t="inlineStr">
        <is>
          <t>М1 (1c) · повт.</t>
        </is>
      </c>
      <c r="N82" s="16" t="inlineStr">
        <is>
          <t>М1 (1c) · повт.</t>
        </is>
      </c>
      <c r="O82" s="16" t="inlineStr">
        <is>
          <t>М1 (1c) · повт.</t>
        </is>
      </c>
      <c r="P82" s="20" t="inlineStr">
        <is>
          <t>—</t>
        </is>
      </c>
      <c r="Q82" s="21" t="inlineStr"/>
      <c r="R82" s="17" t="inlineStr">
        <is>
          <t>нет</t>
        </is>
      </c>
      <c r="S82" s="11" t="inlineStr"/>
      <c r="T82" s="11" t="inlineStr"/>
    </row>
    <row r="83">
      <c r="A83" s="4" t="n">
        <v>82</v>
      </c>
      <c r="B83" s="4" t="inlineStr">
        <is>
          <t>Грамматика</t>
        </is>
      </c>
      <c r="C83" s="4" t="inlineStr">
        <is>
          <t>Глаголы: времена</t>
        </is>
      </c>
      <c r="D83" s="5" t="inlineStr">
        <is>
          <t>Future forms (comparison)</t>
        </is>
      </c>
      <c r="E83" s="6" t="inlineStr">
        <is>
          <t>Future forms: Present Continuous — договорённости на ближайшее будущее</t>
        </is>
      </c>
      <c r="F83" s="4" t="inlineStr">
        <is>
          <t>10+</t>
        </is>
      </c>
      <c r="G83" s="4" t="inlineStr"/>
      <c r="H83" s="4" t="inlineStr"/>
      <c r="I83" s="4" t="inlineStr"/>
      <c r="J83" s="4" t="inlineStr"/>
      <c r="K83" s="27" t="inlineStr">
        <is>
          <t>М5 · новое</t>
        </is>
      </c>
      <c r="L83" s="9" t="inlineStr">
        <is>
          <t>М1 (1c) · повт.</t>
        </is>
      </c>
      <c r="M83" s="9" t="inlineStr">
        <is>
          <t>М4 (4c) · повт.</t>
        </is>
      </c>
      <c r="N83" s="9" t="inlineStr">
        <is>
          <t>М3 (3c) · повт.</t>
        </is>
      </c>
      <c r="O83" s="9" t="inlineStr">
        <is>
          <t>М1 (1c) · повт.</t>
        </is>
      </c>
      <c r="P83" s="28" t="inlineStr">
        <is>
          <t>—</t>
        </is>
      </c>
      <c r="Q83" s="29" t="inlineStr"/>
      <c r="R83" s="10" t="inlineStr">
        <is>
          <t>видео</t>
        </is>
      </c>
      <c r="S83" s="4" t="inlineStr">
        <is>
          <t>Future tenses + school and jobs
Your schedule + Prese...ous for future meaning</t>
        </is>
      </c>
      <c r="T83" s="4" t="inlineStr"/>
    </row>
    <row r="84">
      <c r="A84" s="11" t="n">
        <v>83</v>
      </c>
      <c r="B84" s="11" t="inlineStr">
        <is>
          <t>Грамматика</t>
        </is>
      </c>
      <c r="C84" s="11" t="inlineStr">
        <is>
          <t>Глаголы: времена</t>
        </is>
      </c>
      <c r="D84" s="12" t="inlineStr">
        <is>
          <t>Future forms (comparison)</t>
        </is>
      </c>
      <c r="E84" s="22" t="inlineStr">
        <is>
          <t>Future forms: Present Simple — расписания и программы</t>
        </is>
      </c>
      <c r="F84" s="11" t="inlineStr">
        <is>
          <t>10+</t>
        </is>
      </c>
      <c r="G84" s="11" t="inlineStr"/>
      <c r="H84" s="11" t="inlineStr"/>
      <c r="I84" s="11" t="inlineStr"/>
      <c r="J84" s="11" t="inlineStr"/>
      <c r="K84" s="23" t="inlineStr">
        <is>
          <t>М5 · новое</t>
        </is>
      </c>
      <c r="L84" s="16" t="inlineStr">
        <is>
          <t>М1 (1c) · повт.</t>
        </is>
      </c>
      <c r="M84" s="16" t="inlineStr">
        <is>
          <t>М4 (4c) · повт.</t>
        </is>
      </c>
      <c r="N84" s="16" t="inlineStr">
        <is>
          <t>М3 (3c) · повт.</t>
        </is>
      </c>
      <c r="O84" s="16" t="inlineStr">
        <is>
          <t>М1 (1c) · повт.</t>
        </is>
      </c>
      <c r="P84" s="20" t="inlineStr">
        <is>
          <t>—</t>
        </is>
      </c>
      <c r="Q84" s="21" t="inlineStr"/>
      <c r="R84" s="17" t="inlineStr">
        <is>
          <t>видео</t>
        </is>
      </c>
      <c r="S84" s="11" t="inlineStr">
        <is>
          <t>Future tenses + school and jobs
Present Simple for shedules and timetables</t>
        </is>
      </c>
      <c r="T84" s="11" t="inlineStr"/>
    </row>
    <row r="85">
      <c r="A85" s="11" t="n">
        <v>84</v>
      </c>
      <c r="B85" s="11" t="inlineStr">
        <is>
          <t>Грамматика</t>
        </is>
      </c>
      <c r="C85" s="11" t="inlineStr">
        <is>
          <t>Глаголы: времена</t>
        </is>
      </c>
      <c r="D85" s="12" t="inlineStr">
        <is>
          <t>Future forms (comparison)</t>
        </is>
      </c>
      <c r="E85" s="22" t="inlineStr">
        <is>
          <t>Future forms: will vs be going to — решение в момент речи vs план</t>
        </is>
      </c>
      <c r="F85" s="11" t="inlineStr">
        <is>
          <t>10+</t>
        </is>
      </c>
      <c r="G85" s="11" t="inlineStr"/>
      <c r="H85" s="11" t="inlineStr"/>
      <c r="I85" s="11" t="inlineStr"/>
      <c r="J85" s="11" t="inlineStr"/>
      <c r="K85" s="23" t="inlineStr">
        <is>
          <t>М5 · новое</t>
        </is>
      </c>
      <c r="L85" s="16" t="inlineStr">
        <is>
          <t>М1 (1c) · повт.</t>
        </is>
      </c>
      <c r="M85" s="16" t="inlineStr">
        <is>
          <t>М4 (4c) · повт.</t>
        </is>
      </c>
      <c r="N85" s="16" t="inlineStr">
        <is>
          <t>М3 (3c) · повт.</t>
        </is>
      </c>
      <c r="O85" s="16" t="inlineStr">
        <is>
          <t>М1 (1c) · повт.</t>
        </is>
      </c>
      <c r="P85" s="20" t="inlineStr">
        <is>
          <t>—</t>
        </is>
      </c>
      <c r="Q85" s="21" t="inlineStr"/>
      <c r="R85" s="17" t="inlineStr">
        <is>
          <t>видео</t>
        </is>
      </c>
      <c r="S85" s="11" t="inlineStr">
        <is>
          <t>Future tenses + school and jobs</t>
        </is>
      </c>
      <c r="T85" s="11" t="inlineStr"/>
    </row>
    <row r="86">
      <c r="A86" s="11" t="n">
        <v>85</v>
      </c>
      <c r="B86" s="11" t="inlineStr">
        <is>
          <t>Грамматика</t>
        </is>
      </c>
      <c r="C86" s="11" t="inlineStr">
        <is>
          <t>Глаголы: времена</t>
        </is>
      </c>
      <c r="D86" s="12" t="inlineStr">
        <is>
          <t>Future forms (comparison)</t>
        </is>
      </c>
      <c r="E86" s="22" t="inlineStr">
        <is>
          <t>Future forms: will vs be going to — прогноз-мнение vs прогноз по признакам</t>
        </is>
      </c>
      <c r="F86" s="11" t="inlineStr">
        <is>
          <t>10+</t>
        </is>
      </c>
      <c r="G86" s="11" t="inlineStr"/>
      <c r="H86" s="11" t="inlineStr"/>
      <c r="I86" s="11" t="inlineStr"/>
      <c r="J86" s="11" t="inlineStr"/>
      <c r="K86" s="23" t="inlineStr">
        <is>
          <t>М5 · новое</t>
        </is>
      </c>
      <c r="L86" s="16" t="inlineStr">
        <is>
          <t>М1 (1c) · повт.</t>
        </is>
      </c>
      <c r="M86" s="16" t="inlineStr">
        <is>
          <t>М4 (4c) · повт.</t>
        </is>
      </c>
      <c r="N86" s="16" t="inlineStr">
        <is>
          <t>М3 (3c) · повт.</t>
        </is>
      </c>
      <c r="O86" s="16" t="inlineStr">
        <is>
          <t>М1 (1c) · повт.</t>
        </is>
      </c>
      <c r="P86" s="20" t="inlineStr">
        <is>
          <t>—</t>
        </is>
      </c>
      <c r="Q86" s="21" t="inlineStr"/>
      <c r="R86" s="17" t="inlineStr">
        <is>
          <t>видео</t>
        </is>
      </c>
      <c r="S86" s="11" t="inlineStr">
        <is>
          <t>Future tenses + school and jobs</t>
        </is>
      </c>
      <c r="T86" s="11" t="inlineStr"/>
    </row>
    <row r="87">
      <c r="A87" s="11" t="n">
        <v>86</v>
      </c>
      <c r="B87" s="11" t="inlineStr">
        <is>
          <t>Грамматика</t>
        </is>
      </c>
      <c r="C87" s="11" t="inlineStr">
        <is>
          <t>Глаголы: времена</t>
        </is>
      </c>
      <c r="D87" s="12" t="inlineStr">
        <is>
          <t>Future forms (comparison)</t>
        </is>
      </c>
      <c r="E87" s="22" t="inlineStr">
        <is>
          <t>Future forms: обзор всех способов выражения будущего</t>
        </is>
      </c>
      <c r="F87" s="11" t="inlineStr">
        <is>
          <t>10+</t>
        </is>
      </c>
      <c r="G87" s="11" t="inlineStr"/>
      <c r="H87" s="11" t="inlineStr"/>
      <c r="I87" s="11" t="inlineStr"/>
      <c r="J87" s="11" t="inlineStr"/>
      <c r="K87" s="23" t="inlineStr">
        <is>
          <t>М5 · новое</t>
        </is>
      </c>
      <c r="L87" s="16" t="inlineStr">
        <is>
          <t>М1 (1c) · повт.</t>
        </is>
      </c>
      <c r="M87" s="11" t="inlineStr"/>
      <c r="N87" s="16" t="inlineStr">
        <is>
          <t>М3 (3c) · повт.</t>
        </is>
      </c>
      <c r="O87" s="16" t="inlineStr">
        <is>
          <t>М1 (1c) · повт.</t>
        </is>
      </c>
      <c r="P87" s="20" t="inlineStr">
        <is>
          <t>—</t>
        </is>
      </c>
      <c r="Q87" s="21" t="inlineStr"/>
      <c r="R87" s="17" t="inlineStr">
        <is>
          <t>видео</t>
        </is>
      </c>
      <c r="S87" s="11" t="inlineStr">
        <is>
          <t>Future tenses + school and jobs</t>
        </is>
      </c>
      <c r="T87" s="11" t="inlineStr"/>
    </row>
    <row r="88">
      <c r="A88" s="11" t="n">
        <v>87</v>
      </c>
      <c r="B88" s="11" t="inlineStr">
        <is>
          <t>Грамматика</t>
        </is>
      </c>
      <c r="C88" s="11" t="inlineStr">
        <is>
          <t>Глаголы: времена</t>
        </is>
      </c>
      <c r="D88" s="12" t="inlineStr">
        <is>
          <t>Future forms (comparison)</t>
        </is>
      </c>
      <c r="E88" s="22" t="inlineStr">
        <is>
          <t>Future forms: Future Continuous/Future Perfect в системе будущих форм</t>
        </is>
      </c>
      <c r="F88" s="11" t="inlineStr">
        <is>
          <t>10+</t>
        </is>
      </c>
      <c r="G88" s="11" t="inlineStr"/>
      <c r="H88" s="11" t="inlineStr"/>
      <c r="I88" s="11" t="inlineStr"/>
      <c r="J88" s="11" t="inlineStr"/>
      <c r="K88" s="11" t="inlineStr"/>
      <c r="L88" s="11" t="inlineStr"/>
      <c r="M88" s="23" t="inlineStr">
        <is>
          <t>М4 (4c) · новое</t>
        </is>
      </c>
      <c r="N88" s="11" t="inlineStr"/>
      <c r="O88" s="16" t="inlineStr">
        <is>
          <t>М1 (1c) · повт.</t>
        </is>
      </c>
      <c r="P88" s="20" t="inlineStr">
        <is>
          <t>—</t>
        </is>
      </c>
      <c r="Q88" s="21" t="inlineStr"/>
      <c r="R88" s="17" t="inlineStr">
        <is>
          <t>видео</t>
        </is>
      </c>
      <c r="S88" s="11" t="inlineStr">
        <is>
          <t>Future tenses + school and jobs</t>
        </is>
      </c>
      <c r="T88" s="11" t="inlineStr"/>
    </row>
    <row r="89">
      <c r="A89" s="4" t="n">
        <v>88</v>
      </c>
      <c r="B89" s="4" t="inlineStr">
        <is>
          <t>Грамматика</t>
        </is>
      </c>
      <c r="C89" s="4" t="inlineStr">
        <is>
          <t>Глаголы: времена</t>
        </is>
      </c>
      <c r="D89" s="5" t="inlineStr">
        <is>
          <t>Past Continuous</t>
        </is>
      </c>
      <c r="E89" s="6" t="inlineStr">
        <is>
          <t>Past Continuous: утверждение (was/were + V-ing)</t>
        </is>
      </c>
      <c r="F89" s="4" t="inlineStr">
        <is>
          <t>10+</t>
        </is>
      </c>
      <c r="G89" s="4" t="inlineStr"/>
      <c r="H89" s="4" t="inlineStr"/>
      <c r="I89" s="4" t="inlineStr"/>
      <c r="J89" s="4" t="inlineStr"/>
      <c r="K89" s="4" t="inlineStr"/>
      <c r="L89" s="27" t="inlineStr">
        <is>
          <t>М1 (1c) · новое</t>
        </is>
      </c>
      <c r="M89" s="9" t="inlineStr">
        <is>
          <t>М3 (3c) · повт.</t>
        </is>
      </c>
      <c r="N89" s="9" t="inlineStr">
        <is>
          <t>М5 (5c) · повт.</t>
        </is>
      </c>
      <c r="O89" s="9" t="inlineStr">
        <is>
          <t>М1 (1c) · повт.</t>
        </is>
      </c>
      <c r="P89" s="28" t="inlineStr">
        <is>
          <t>—</t>
        </is>
      </c>
      <c r="Q89" s="29" t="inlineStr"/>
      <c r="R89" s="10" t="inlineStr">
        <is>
          <t>видео</t>
        </is>
      </c>
      <c r="S89" s="4" t="inlineStr">
        <is>
          <t>Past Continuous + news stories (по названию)
Past Tenses Review + travel and holidays</t>
        </is>
      </c>
      <c r="T89" s="4" t="inlineStr"/>
    </row>
    <row r="90">
      <c r="A90" s="11" t="n">
        <v>89</v>
      </c>
      <c r="B90" s="11" t="inlineStr">
        <is>
          <t>Грамматика</t>
        </is>
      </c>
      <c r="C90" s="11" t="inlineStr">
        <is>
          <t>Глаголы: времена</t>
        </is>
      </c>
      <c r="D90" s="12" t="inlineStr">
        <is>
          <t>Past Continuous</t>
        </is>
      </c>
      <c r="E90" s="22" t="inlineStr">
        <is>
          <t>Past Continuous: значение — действие в процессе в момент прошлого</t>
        </is>
      </c>
      <c r="F90" s="11" t="inlineStr">
        <is>
          <t>10+</t>
        </is>
      </c>
      <c r="G90" s="11" t="inlineStr"/>
      <c r="H90" s="11" t="inlineStr"/>
      <c r="I90" s="11" t="inlineStr"/>
      <c r="J90" s="11" t="inlineStr"/>
      <c r="K90" s="23" t="inlineStr">
        <is>
          <t>М4 · новое</t>
        </is>
      </c>
      <c r="L90" s="16" t="inlineStr">
        <is>
          <t>М1 (1c) · повт.</t>
        </is>
      </c>
      <c r="M90" s="16" t="inlineStr">
        <is>
          <t>М3 (3c) · повт.</t>
        </is>
      </c>
      <c r="N90" s="16" t="inlineStr">
        <is>
          <t>М5 (5c) · повт.</t>
        </is>
      </c>
      <c r="O90" s="16" t="inlineStr">
        <is>
          <t>М1 (1c) · повт.</t>
        </is>
      </c>
      <c r="P90" s="20" t="inlineStr">
        <is>
          <t>—</t>
        </is>
      </c>
      <c r="Q90" s="21" t="inlineStr"/>
      <c r="R90" s="17" t="inlineStr">
        <is>
          <t>видео</t>
        </is>
      </c>
      <c r="S90" s="11" t="inlineStr">
        <is>
          <t>Past Continuous + news stories (по названию)
Past Tenses Review + travel and holidays</t>
        </is>
      </c>
      <c r="T90" s="11" t="inlineStr"/>
    </row>
    <row r="91">
      <c r="A91" s="11" t="n">
        <v>90</v>
      </c>
      <c r="B91" s="11" t="inlineStr">
        <is>
          <t>Грамматика</t>
        </is>
      </c>
      <c r="C91" s="11" t="inlineStr">
        <is>
          <t>Глаголы: времена</t>
        </is>
      </c>
      <c r="D91" s="12" t="inlineStr">
        <is>
          <t>Past Continuous</t>
        </is>
      </c>
      <c r="E91" s="22" t="inlineStr">
        <is>
          <t>Past Continuous: значение — длительное действие, прерванное другим (when)</t>
        </is>
      </c>
      <c r="F91" s="11" t="inlineStr">
        <is>
          <t>10+</t>
        </is>
      </c>
      <c r="G91" s="11" t="inlineStr"/>
      <c r="H91" s="11" t="inlineStr"/>
      <c r="I91" s="11" t="inlineStr"/>
      <c r="J91" s="11" t="inlineStr"/>
      <c r="K91" s="23" t="inlineStr">
        <is>
          <t>М4 · новое</t>
        </is>
      </c>
      <c r="L91" s="16" t="inlineStr">
        <is>
          <t>М1 (1c) · повт.</t>
        </is>
      </c>
      <c r="M91" s="16" t="inlineStr">
        <is>
          <t>М3 (3c) · повт.</t>
        </is>
      </c>
      <c r="N91" s="16" t="inlineStr">
        <is>
          <t>М5 (5c) · повт.</t>
        </is>
      </c>
      <c r="O91" s="16" t="inlineStr">
        <is>
          <t>М1 (1c) · повт.</t>
        </is>
      </c>
      <c r="P91" s="20" t="inlineStr">
        <is>
          <t>—</t>
        </is>
      </c>
      <c r="Q91" s="21" t="inlineStr"/>
      <c r="R91" s="17" t="inlineStr">
        <is>
          <t>видео</t>
        </is>
      </c>
      <c r="S91" s="11" t="inlineStr">
        <is>
          <t>Past Continuous + news stories (по названию)
Past Tenses Review + travel and holidays</t>
        </is>
      </c>
      <c r="T91" s="11" t="inlineStr"/>
    </row>
    <row r="92">
      <c r="A92" s="11" t="n">
        <v>91</v>
      </c>
      <c r="B92" s="11" t="inlineStr">
        <is>
          <t>Грамматика</t>
        </is>
      </c>
      <c r="C92" s="11" t="inlineStr">
        <is>
          <t>Глаголы: времена</t>
        </is>
      </c>
      <c r="D92" s="12" t="inlineStr">
        <is>
          <t>Past Continuous</t>
        </is>
      </c>
      <c r="E92" s="22" t="inlineStr">
        <is>
          <t>Past Continuous: значение — одновременные действия (while)</t>
        </is>
      </c>
      <c r="F92" s="11" t="inlineStr">
        <is>
          <t>10+</t>
        </is>
      </c>
      <c r="G92" s="11" t="inlineStr"/>
      <c r="H92" s="11" t="inlineStr"/>
      <c r="I92" s="11" t="inlineStr"/>
      <c r="J92" s="11" t="inlineStr"/>
      <c r="K92" s="23" t="inlineStr">
        <is>
          <t>М4 · новое</t>
        </is>
      </c>
      <c r="L92" s="16" t="inlineStr">
        <is>
          <t>М1 (1c) · повт.</t>
        </is>
      </c>
      <c r="M92" s="16" t="inlineStr">
        <is>
          <t>М3 (3c) · повт.</t>
        </is>
      </c>
      <c r="N92" s="16" t="inlineStr">
        <is>
          <t>М5 (5c) · повт.</t>
        </is>
      </c>
      <c r="O92" s="16" t="inlineStr">
        <is>
          <t>М1 (1c) · повт.</t>
        </is>
      </c>
      <c r="P92" s="20" t="inlineStr">
        <is>
          <t>—</t>
        </is>
      </c>
      <c r="Q92" s="21" t="inlineStr"/>
      <c r="R92" s="17" t="inlineStr">
        <is>
          <t>видео</t>
        </is>
      </c>
      <c r="S92" s="11" t="inlineStr">
        <is>
          <t>Past Continuous + news stories (по названию)
Past Tenses Review + travel and holidays</t>
        </is>
      </c>
      <c r="T92" s="11" t="inlineStr"/>
    </row>
    <row r="93">
      <c r="A93" s="11" t="n">
        <v>92</v>
      </c>
      <c r="B93" s="11" t="inlineStr">
        <is>
          <t>Грамматика</t>
        </is>
      </c>
      <c r="C93" s="11" t="inlineStr">
        <is>
          <t>Глаголы: времена</t>
        </is>
      </c>
      <c r="D93" s="12" t="inlineStr">
        <is>
          <t>Past Continuous</t>
        </is>
      </c>
      <c r="E93" s="22" t="inlineStr">
        <is>
          <t>Past Continuous: значение — фон и атмосфера в рассказе</t>
        </is>
      </c>
      <c r="F93" s="11" t="inlineStr">
        <is>
          <t>10+</t>
        </is>
      </c>
      <c r="G93" s="11" t="inlineStr"/>
      <c r="H93" s="11" t="inlineStr"/>
      <c r="I93" s="11" t="inlineStr"/>
      <c r="J93" s="11" t="inlineStr"/>
      <c r="K93" s="23" t="inlineStr">
        <is>
          <t>М4 · новое</t>
        </is>
      </c>
      <c r="L93" s="11" t="inlineStr"/>
      <c r="M93" s="16" t="inlineStr">
        <is>
          <t>М3 (3c) · повт.</t>
        </is>
      </c>
      <c r="N93" s="16" t="inlineStr">
        <is>
          <t>М5 (5c) · повт.</t>
        </is>
      </c>
      <c r="O93" s="16" t="inlineStr">
        <is>
          <t>М1 (1c) · повт.</t>
        </is>
      </c>
      <c r="P93" s="20" t="inlineStr">
        <is>
          <t>—</t>
        </is>
      </c>
      <c r="Q93" s="21" t="inlineStr"/>
      <c r="R93" s="17" t="inlineStr">
        <is>
          <t>видео</t>
        </is>
      </c>
      <c r="S93" s="11" t="inlineStr">
        <is>
          <t>Past Continuous + news stories (по названию)
Past Tenses Review + travel and holidays</t>
        </is>
      </c>
      <c r="T93" s="11" t="inlineStr"/>
    </row>
    <row r="94">
      <c r="A94" s="11" t="n">
        <v>93</v>
      </c>
      <c r="B94" s="11" t="inlineStr">
        <is>
          <t>Грамматика</t>
        </is>
      </c>
      <c r="C94" s="11" t="inlineStr">
        <is>
          <t>Глаголы: времена</t>
        </is>
      </c>
      <c r="D94" s="12" t="inlineStr">
        <is>
          <t>Past Continuous</t>
        </is>
      </c>
      <c r="E94" s="13" t="inlineStr">
        <is>
          <t>Past Continuous: опущение второго was/were при одном подлежащем</t>
        </is>
      </c>
      <c r="F94" s="11" t="inlineStr">
        <is>
          <t>10+</t>
        </is>
      </c>
      <c r="G94" s="11" t="inlineStr"/>
      <c r="H94" s="11" t="inlineStr"/>
      <c r="I94" s="11" t="inlineStr"/>
      <c r="J94" s="11" t="inlineStr"/>
      <c r="K94" s="23" t="inlineStr">
        <is>
          <t>М4 · новое</t>
        </is>
      </c>
      <c r="L94" s="11" t="inlineStr"/>
      <c r="M94" s="11" t="inlineStr"/>
      <c r="N94" s="11" t="inlineStr"/>
      <c r="O94" s="11" t="inlineStr"/>
      <c r="P94" s="20" t="inlineStr">
        <is>
          <t>—</t>
        </is>
      </c>
      <c r="Q94" s="21" t="inlineStr"/>
      <c r="R94" s="17" t="inlineStr">
        <is>
          <t>нет</t>
        </is>
      </c>
      <c r="S94" s="11" t="inlineStr"/>
      <c r="T94" s="11" t="inlineStr"/>
    </row>
    <row r="95">
      <c r="A95" s="4" t="n">
        <v>94</v>
      </c>
      <c r="B95" s="4" t="inlineStr">
        <is>
          <t>Грамматика</t>
        </is>
      </c>
      <c r="C95" s="4" t="inlineStr">
        <is>
          <t>Глаголы: времена</t>
        </is>
      </c>
      <c r="D95" s="5" t="inlineStr">
        <is>
          <t>Past Simple vs Past Continuous</t>
        </is>
      </c>
      <c r="E95" s="24" t="inlineStr">
        <is>
          <t>Past Simple vs Past Continuous: указанное время — завершённое vs в процессе</t>
        </is>
      </c>
      <c r="F95" s="4" t="inlineStr">
        <is>
          <t>10+</t>
        </is>
      </c>
      <c r="G95" s="4" t="inlineStr"/>
      <c r="H95" s="4" t="inlineStr"/>
      <c r="I95" s="4" t="inlineStr"/>
      <c r="J95" s="4" t="inlineStr"/>
      <c r="K95" s="27" t="inlineStr">
        <is>
          <t>М4 · новое</t>
        </is>
      </c>
      <c r="L95" s="9" t="inlineStr">
        <is>
          <t>М1 (1c) · повт.</t>
        </is>
      </c>
      <c r="M95" s="9" t="inlineStr">
        <is>
          <t>М3 (3c) · повт.</t>
        </is>
      </c>
      <c r="N95" s="9" t="inlineStr">
        <is>
          <t>М5 (5c) · повт.</t>
        </is>
      </c>
      <c r="O95" s="9" t="inlineStr">
        <is>
          <t>М1 (1c) · повт.</t>
        </is>
      </c>
      <c r="P95" s="28" t="inlineStr">
        <is>
          <t>—</t>
        </is>
      </c>
      <c r="Q95" s="29" t="inlineStr"/>
      <c r="R95" s="10" t="inlineStr">
        <is>
          <t>нет</t>
        </is>
      </c>
      <c r="S95" s="4" t="inlineStr"/>
      <c r="T95" s="4" t="inlineStr"/>
    </row>
    <row r="96">
      <c r="A96" s="11" t="n">
        <v>95</v>
      </c>
      <c r="B96" s="11" t="inlineStr">
        <is>
          <t>Грамматика</t>
        </is>
      </c>
      <c r="C96" s="11" t="inlineStr">
        <is>
          <t>Глаголы: времена</t>
        </is>
      </c>
      <c r="D96" s="12" t="inlineStr">
        <is>
          <t>Past Simple vs Past Continuous</t>
        </is>
      </c>
      <c r="E96" s="13" t="inlineStr">
        <is>
          <t>Past Simple vs Past Continuous: последовательные vs одновременные действия</t>
        </is>
      </c>
      <c r="F96" s="11" t="inlineStr">
        <is>
          <t>10+</t>
        </is>
      </c>
      <c r="G96" s="11" t="inlineStr"/>
      <c r="H96" s="11" t="inlineStr"/>
      <c r="I96" s="11" t="inlineStr"/>
      <c r="J96" s="11" t="inlineStr"/>
      <c r="K96" s="23" t="inlineStr">
        <is>
          <t>М4 · новое</t>
        </is>
      </c>
      <c r="L96" s="16" t="inlineStr">
        <is>
          <t>М1 (1c) · повт.</t>
        </is>
      </c>
      <c r="M96" s="16" t="inlineStr">
        <is>
          <t>М3 (3c) · повт.</t>
        </is>
      </c>
      <c r="N96" s="16" t="inlineStr">
        <is>
          <t>М5 (5c) · повт.</t>
        </is>
      </c>
      <c r="O96" s="16" t="inlineStr">
        <is>
          <t>М1 (1c) · повт.</t>
        </is>
      </c>
      <c r="P96" s="20" t="inlineStr">
        <is>
          <t>—</t>
        </is>
      </c>
      <c r="Q96" s="21" t="inlineStr"/>
      <c r="R96" s="17" t="inlineStr">
        <is>
          <t>нет</t>
        </is>
      </c>
      <c r="S96" s="11" t="inlineStr"/>
      <c r="T96" s="11" t="inlineStr"/>
    </row>
    <row r="97">
      <c r="A97" s="11" t="n">
        <v>96</v>
      </c>
      <c r="B97" s="11" t="inlineStr">
        <is>
          <t>Грамматика</t>
        </is>
      </c>
      <c r="C97" s="11" t="inlineStr">
        <is>
          <t>Глаголы: времена</t>
        </is>
      </c>
      <c r="D97" s="12" t="inlineStr">
        <is>
          <t>Past Simple vs Past Continuous</t>
        </is>
      </c>
      <c r="E97" s="18" t="inlineStr">
        <is>
          <t>Past Simple vs Past Continuous: прерванное (PC) и прерывающее (PS) действие</t>
        </is>
      </c>
      <c r="F97" s="11" t="inlineStr">
        <is>
          <t>10+</t>
        </is>
      </c>
      <c r="G97" s="11" t="inlineStr"/>
      <c r="H97" s="11" t="inlineStr"/>
      <c r="I97" s="11" t="inlineStr"/>
      <c r="J97" s="11" t="inlineStr"/>
      <c r="K97" s="23" t="inlineStr">
        <is>
          <t>М4 · новое</t>
        </is>
      </c>
      <c r="L97" s="16" t="inlineStr">
        <is>
          <t>М1 (1c) · повт.</t>
        </is>
      </c>
      <c r="M97" s="16" t="inlineStr">
        <is>
          <t>М3 (3c) · повт.</t>
        </is>
      </c>
      <c r="N97" s="16" t="inlineStr">
        <is>
          <t>М5 (5c) · повт.</t>
        </is>
      </c>
      <c r="O97" s="16" t="inlineStr">
        <is>
          <t>М1 (1c) · повт.</t>
        </is>
      </c>
      <c r="P97" s="20" t="inlineStr">
        <is>
          <t>—</t>
        </is>
      </c>
      <c r="Q97" s="21" t="inlineStr"/>
      <c r="R97" s="17" t="inlineStr">
        <is>
          <t>вебинар</t>
        </is>
      </c>
      <c r="S97" s="11" t="inlineStr">
        <is>
          <t>вебинар 27.10 (по расписанию): Tenses overview 2
материалы: Tenses overview 2</t>
        </is>
      </c>
      <c r="T97" s="11" t="inlineStr"/>
    </row>
    <row r="98">
      <c r="A98" s="4" t="n">
        <v>97</v>
      </c>
      <c r="B98" s="4" t="inlineStr">
        <is>
          <t>Грамматика</t>
        </is>
      </c>
      <c r="C98" s="4" t="inlineStr">
        <is>
          <t>Глаголы: времена</t>
        </is>
      </c>
      <c r="D98" s="5" t="inlineStr">
        <is>
          <t>Present Perfect Continuous</t>
        </is>
      </c>
      <c r="E98" s="6" t="inlineStr">
        <is>
          <t>Present Perfect Continuous: образование (have/has been + V-ing)</t>
        </is>
      </c>
      <c r="F98" s="4" t="inlineStr">
        <is>
          <t>10+</t>
        </is>
      </c>
      <c r="G98" s="4" t="inlineStr"/>
      <c r="H98" s="4" t="inlineStr"/>
      <c r="I98" s="4" t="inlineStr"/>
      <c r="J98" s="4" t="inlineStr"/>
      <c r="K98" s="4" t="inlineStr"/>
      <c r="L98" s="27" t="inlineStr">
        <is>
          <t>М2 (2c) · новое</t>
        </is>
      </c>
      <c r="M98" s="9" t="inlineStr">
        <is>
          <t>М1 (1c) · повт.</t>
        </is>
      </c>
      <c r="N98" s="9" t="inlineStr">
        <is>
          <t>М1 (1c) · повт.</t>
        </is>
      </c>
      <c r="O98" s="9" t="inlineStr">
        <is>
          <t>М1 (1c) · повт.</t>
        </is>
      </c>
      <c r="P98" s="28" t="inlineStr">
        <is>
          <t>—</t>
        </is>
      </c>
      <c r="Q98" s="29" t="inlineStr"/>
      <c r="R98" s="10" t="inlineStr">
        <is>
          <t>видео</t>
        </is>
      </c>
      <c r="S98" s="4" t="inlineStr">
        <is>
          <t>Present Perfect Contin... eco-helping activities
Shopping+Present Per...nt Perfect Continuous</t>
        </is>
      </c>
      <c r="T98" s="4" t="inlineStr"/>
    </row>
    <row r="99">
      <c r="A99" s="11" t="n">
        <v>98</v>
      </c>
      <c r="B99" s="11" t="inlineStr">
        <is>
          <t>Грамматика</t>
        </is>
      </c>
      <c r="C99" s="11" t="inlineStr">
        <is>
          <t>Глаголы: времена</t>
        </is>
      </c>
      <c r="D99" s="12" t="inlineStr">
        <is>
          <t>Present Perfect Continuous</t>
        </is>
      </c>
      <c r="E99" s="22" t="inlineStr">
        <is>
          <t>Present Perfect Continuous: значение — длительность до настоящего (since/for/how long)</t>
        </is>
      </c>
      <c r="F99" s="11" t="inlineStr">
        <is>
          <t>10+</t>
        </is>
      </c>
      <c r="G99" s="11" t="inlineStr"/>
      <c r="H99" s="11" t="inlineStr"/>
      <c r="I99" s="11" t="inlineStr"/>
      <c r="J99" s="11" t="inlineStr"/>
      <c r="K99" s="23" t="inlineStr">
        <is>
          <t>М8 · новое</t>
        </is>
      </c>
      <c r="L99" s="16" t="inlineStr">
        <is>
          <t>М2 (2c) · повт.</t>
        </is>
      </c>
      <c r="M99" s="16" t="inlineStr">
        <is>
          <t>М1 (1c) · повт.</t>
        </is>
      </c>
      <c r="N99" s="16" t="inlineStr">
        <is>
          <t>М1 (1c) · повт.</t>
        </is>
      </c>
      <c r="O99" s="16" t="inlineStr">
        <is>
          <t>М1 (1c) · повт.</t>
        </is>
      </c>
      <c r="P99" s="20" t="inlineStr">
        <is>
          <t>—</t>
        </is>
      </c>
      <c r="Q99" s="21" t="inlineStr"/>
      <c r="R99" s="17" t="inlineStr">
        <is>
          <t>видео</t>
        </is>
      </c>
      <c r="S99" s="11" t="inlineStr">
        <is>
          <t>Present Perfect Contin... eco-helping activities
Present tenses (review...cter and relationships</t>
        </is>
      </c>
      <c r="T99" s="11" t="inlineStr"/>
    </row>
    <row r="100">
      <c r="A100" s="11" t="n">
        <v>99</v>
      </c>
      <c r="B100" s="11" t="inlineStr">
        <is>
          <t>Грамматика</t>
        </is>
      </c>
      <c r="C100" s="11" t="inlineStr">
        <is>
          <t>Глаголы: времена</t>
        </is>
      </c>
      <c r="D100" s="12" t="inlineStr">
        <is>
          <t>Present Perfect Continuous</t>
        </is>
      </c>
      <c r="E100" s="22" t="inlineStr">
        <is>
          <t>Present Perfect Continuous: значение — видимый результат длительного действия</t>
        </is>
      </c>
      <c r="F100" s="11" t="inlineStr">
        <is>
          <t>10+</t>
        </is>
      </c>
      <c r="G100" s="11" t="inlineStr"/>
      <c r="H100" s="11" t="inlineStr"/>
      <c r="I100" s="11" t="inlineStr"/>
      <c r="J100" s="11" t="inlineStr"/>
      <c r="K100" s="23" t="inlineStr">
        <is>
          <t>М8 · новое</t>
        </is>
      </c>
      <c r="L100" s="16" t="inlineStr">
        <is>
          <t>М2 (2c) · повт.</t>
        </is>
      </c>
      <c r="M100" s="16" t="inlineStr">
        <is>
          <t>М1 (1c) · повт.</t>
        </is>
      </c>
      <c r="N100" s="16" t="inlineStr">
        <is>
          <t>М1 (1c) · повт.</t>
        </is>
      </c>
      <c r="O100" s="16" t="inlineStr">
        <is>
          <t>М1 (1c) · повт.</t>
        </is>
      </c>
      <c r="P100" s="20" t="inlineStr">
        <is>
          <t>—</t>
        </is>
      </c>
      <c r="Q100" s="21" t="inlineStr"/>
      <c r="R100" s="17" t="inlineStr">
        <is>
          <t>видео</t>
        </is>
      </c>
      <c r="S100" s="11" t="inlineStr">
        <is>
          <t>Present Perfect Contin... eco-helping activities</t>
        </is>
      </c>
      <c r="T100" s="11" t="inlineStr"/>
    </row>
    <row r="101">
      <c r="A101" s="11" t="n">
        <v>100</v>
      </c>
      <c r="B101" s="11" t="inlineStr">
        <is>
          <t>Грамматика</t>
        </is>
      </c>
      <c r="C101" s="11" t="inlineStr">
        <is>
          <t>Глаголы: времена</t>
        </is>
      </c>
      <c r="D101" s="12" t="inlineStr">
        <is>
          <t>Present Perfect Continuous</t>
        </is>
      </c>
      <c r="E101" s="13" t="inlineStr">
        <is>
          <t>Present Perfect Continuous: значение — раздражение/критика</t>
        </is>
      </c>
      <c r="F101" s="11" t="inlineStr">
        <is>
          <t>10+</t>
        </is>
      </c>
      <c r="G101" s="11" t="inlineStr"/>
      <c r="H101" s="11" t="inlineStr"/>
      <c r="I101" s="11" t="inlineStr"/>
      <c r="J101" s="11" t="inlineStr"/>
      <c r="K101" s="11" t="inlineStr"/>
      <c r="L101" s="11" t="inlineStr"/>
      <c r="M101" s="23" t="inlineStr">
        <is>
          <t>М1 (1c) · новое</t>
        </is>
      </c>
      <c r="N101" s="16" t="inlineStr">
        <is>
          <t>М1 (1c) · повт.</t>
        </is>
      </c>
      <c r="O101" s="16" t="inlineStr">
        <is>
          <t>М1 (1c) · повт.</t>
        </is>
      </c>
      <c r="P101" s="20" t="inlineStr">
        <is>
          <t>—</t>
        </is>
      </c>
      <c r="Q101" s="21" t="inlineStr"/>
      <c r="R101" s="17" t="inlineStr">
        <is>
          <t>нет</t>
        </is>
      </c>
      <c r="S101" s="11" t="inlineStr"/>
      <c r="T101" s="11" t="inlineStr"/>
    </row>
    <row r="102">
      <c r="A102" s="11" t="n">
        <v>101</v>
      </c>
      <c r="B102" s="11" t="inlineStr">
        <is>
          <t>Грамматика</t>
        </is>
      </c>
      <c r="C102" s="11" t="inlineStr">
        <is>
          <t>Глаголы: времена</t>
        </is>
      </c>
      <c r="D102" s="12" t="inlineStr">
        <is>
          <t>Present Perfect Continuous</t>
        </is>
      </c>
      <c r="E102" s="13" t="inlineStr">
        <is>
          <t>Present Perfect Continuous: значение — повторяющиеся действия до настоящего</t>
        </is>
      </c>
      <c r="F102" s="11" t="inlineStr">
        <is>
          <t>10+</t>
        </is>
      </c>
      <c r="G102" s="11" t="inlineStr"/>
      <c r="H102" s="11" t="inlineStr"/>
      <c r="I102" s="11" t="inlineStr"/>
      <c r="J102" s="11" t="inlineStr"/>
      <c r="K102" s="11" t="inlineStr"/>
      <c r="L102" s="11" t="inlineStr"/>
      <c r="M102" s="23" t="inlineStr">
        <is>
          <t>М1 (1c) · новое</t>
        </is>
      </c>
      <c r="N102" s="16" t="inlineStr">
        <is>
          <t>М1 (1c) · повт.</t>
        </is>
      </c>
      <c r="O102" s="16" t="inlineStr">
        <is>
          <t>М1 (1c) · повт.</t>
        </is>
      </c>
      <c r="P102" s="20" t="inlineStr">
        <is>
          <t>—</t>
        </is>
      </c>
      <c r="Q102" s="21" t="inlineStr"/>
      <c r="R102" s="17" t="inlineStr">
        <is>
          <t>нет</t>
        </is>
      </c>
      <c r="S102" s="11" t="inlineStr"/>
      <c r="T102" s="11" t="inlineStr"/>
    </row>
    <row r="103">
      <c r="A103" s="11" t="n">
        <v>102</v>
      </c>
      <c r="B103" s="11" t="inlineStr">
        <is>
          <t>Грамматика</t>
        </is>
      </c>
      <c r="C103" s="11" t="inlineStr">
        <is>
          <t>Глаголы: времена</t>
        </is>
      </c>
      <c r="D103" s="12" t="inlineStr">
        <is>
          <t>Present Perfect Continuous</t>
        </is>
      </c>
      <c r="E103" s="13" t="inlineStr">
        <is>
          <t>Present Perfect Continuous: live/work/teach/feel — без разницы с Present Perfect</t>
        </is>
      </c>
      <c r="F103" s="11" t="inlineStr">
        <is>
          <t>10+</t>
        </is>
      </c>
      <c r="G103" s="11" t="inlineStr"/>
      <c r="H103" s="11" t="inlineStr"/>
      <c r="I103" s="11" t="inlineStr"/>
      <c r="J103" s="11" t="inlineStr"/>
      <c r="K103" s="23" t="inlineStr">
        <is>
          <t>М8 · новое</t>
        </is>
      </c>
      <c r="L103" s="11" t="inlineStr"/>
      <c r="M103" s="11" t="inlineStr"/>
      <c r="N103" s="11" t="inlineStr"/>
      <c r="O103" s="11" t="inlineStr"/>
      <c r="P103" s="20" t="inlineStr">
        <is>
          <t>—</t>
        </is>
      </c>
      <c r="Q103" s="21" t="inlineStr"/>
      <c r="R103" s="17" t="inlineStr">
        <is>
          <t>нет</t>
        </is>
      </c>
      <c r="S103" s="11" t="inlineStr"/>
      <c r="T103" s="11" t="inlineStr"/>
    </row>
    <row r="104">
      <c r="A104" s="4" t="n">
        <v>103</v>
      </c>
      <c r="B104" s="4" t="inlineStr">
        <is>
          <t>Грамматика</t>
        </is>
      </c>
      <c r="C104" s="4" t="inlineStr">
        <is>
          <t>Глаголы: времена</t>
        </is>
      </c>
      <c r="D104" s="5" t="inlineStr">
        <is>
          <t>Present Perfect vs Past Simple</t>
        </is>
      </c>
      <c r="E104" s="6" t="inlineStr">
        <is>
          <t>Present Perfect vs Past Simple: указанное время vs неуказанное время</t>
        </is>
      </c>
      <c r="F104" s="4" t="inlineStr">
        <is>
          <t>10+</t>
        </is>
      </c>
      <c r="G104" s="4" t="inlineStr"/>
      <c r="H104" s="4" t="inlineStr"/>
      <c r="I104" s="4" t="inlineStr"/>
      <c r="J104" s="4" t="inlineStr"/>
      <c r="K104" s="27" t="inlineStr">
        <is>
          <t>М7 · новое</t>
        </is>
      </c>
      <c r="L104" s="9" t="inlineStr">
        <is>
          <t>М2 (2c) · повт.</t>
        </is>
      </c>
      <c r="M104" s="9" t="inlineStr">
        <is>
          <t>М1 (1c) · повт.</t>
        </is>
      </c>
      <c r="N104" s="9" t="inlineStr">
        <is>
          <t>М1 (1c) · повт.</t>
        </is>
      </c>
      <c r="O104" s="9" t="inlineStr">
        <is>
          <t>М1 (1c) · повт.</t>
        </is>
      </c>
      <c r="P104" s="28" t="inlineStr">
        <is>
          <t>—</t>
        </is>
      </c>
      <c r="Q104" s="29" t="inlineStr"/>
      <c r="R104" s="10" t="inlineStr">
        <is>
          <t>видео</t>
        </is>
      </c>
      <c r="S104" s="4" t="inlineStr">
        <is>
          <t>Present PerfectvsPast Simple+films
Tense overview (Prese...mple, Present Perfect)
Tenses overview 1</t>
        </is>
      </c>
      <c r="T104" s="4" t="inlineStr"/>
    </row>
    <row r="105">
      <c r="A105" s="11" t="n">
        <v>104</v>
      </c>
      <c r="B105" s="11" t="inlineStr">
        <is>
          <t>Грамматика</t>
        </is>
      </c>
      <c r="C105" s="11" t="inlineStr">
        <is>
          <t>Глаголы: времена</t>
        </is>
      </c>
      <c r="D105" s="12" t="inlineStr">
        <is>
          <t>Present Perfect vs Past Simple</t>
        </is>
      </c>
      <c r="E105" s="13" t="inlineStr">
        <is>
          <t>Present Perfect vs Past Simple: закончилось в прошлом vs длится до сих пор</t>
        </is>
      </c>
      <c r="F105" s="11" t="inlineStr">
        <is>
          <t>10+</t>
        </is>
      </c>
      <c r="G105" s="11" t="inlineStr"/>
      <c r="H105" s="11" t="inlineStr"/>
      <c r="I105" s="11" t="inlineStr"/>
      <c r="J105" s="11" t="inlineStr"/>
      <c r="K105" s="23" t="inlineStr">
        <is>
          <t>М7 · новое</t>
        </is>
      </c>
      <c r="L105" s="16" t="inlineStr">
        <is>
          <t>М2 (2c) · повт.</t>
        </is>
      </c>
      <c r="M105" s="16" t="inlineStr">
        <is>
          <t>М1 (1c) · повт.</t>
        </is>
      </c>
      <c r="N105" s="16" t="inlineStr">
        <is>
          <t>М1 (1c) · повт.</t>
        </is>
      </c>
      <c r="O105" s="16" t="inlineStr">
        <is>
          <t>М1 (1c) · повт.</t>
        </is>
      </c>
      <c r="P105" s="20" t="inlineStr">
        <is>
          <t>—</t>
        </is>
      </c>
      <c r="Q105" s="21" t="inlineStr"/>
      <c r="R105" s="17" t="inlineStr">
        <is>
          <t>нет</t>
        </is>
      </c>
      <c r="S105" s="11" t="inlineStr"/>
      <c r="T105" s="11" t="inlineStr"/>
    </row>
    <row r="106">
      <c r="A106" s="4" t="n">
        <v>105</v>
      </c>
      <c r="B106" s="4" t="inlineStr">
        <is>
          <t>Грамматика</t>
        </is>
      </c>
      <c r="C106" s="4" t="inlineStr">
        <is>
          <t>Глаголы: времена</t>
        </is>
      </c>
      <c r="D106" s="5" t="inlineStr">
        <is>
          <t>Present Perfect vs Present Perfect Continuous</t>
        </is>
      </c>
      <c r="E106" s="6" t="inlineStr">
        <is>
          <t>Present Perfect vs Present Perfect Continuous: результат vs длительность</t>
        </is>
      </c>
      <c r="F106" s="4" t="inlineStr">
        <is>
          <t>10+</t>
        </is>
      </c>
      <c r="G106" s="4" t="inlineStr"/>
      <c r="H106" s="4" t="inlineStr"/>
      <c r="I106" s="4" t="inlineStr"/>
      <c r="J106" s="4" t="inlineStr"/>
      <c r="K106" s="27" t="inlineStr">
        <is>
          <t>М9 · новое</t>
        </is>
      </c>
      <c r="L106" s="4" t="inlineStr"/>
      <c r="M106" s="4" t="inlineStr"/>
      <c r="N106" s="4" t="inlineStr"/>
      <c r="O106" s="4" t="inlineStr"/>
      <c r="P106" s="28" t="inlineStr">
        <is>
          <t>—</t>
        </is>
      </c>
      <c r="Q106" s="29" t="inlineStr"/>
      <c r="R106" s="10" t="inlineStr">
        <is>
          <t>видео</t>
        </is>
      </c>
      <c r="S106" s="4" t="inlineStr">
        <is>
          <t>Shopping+Present Per...nt Perfect Continuous</t>
        </is>
      </c>
      <c r="T106" s="4" t="inlineStr"/>
    </row>
    <row r="107">
      <c r="A107" s="11" t="n">
        <v>106</v>
      </c>
      <c r="B107" s="11" t="inlineStr">
        <is>
          <t>Грамматика</t>
        </is>
      </c>
      <c r="C107" s="11" t="inlineStr">
        <is>
          <t>Глаголы: времена</t>
        </is>
      </c>
      <c r="D107" s="12" t="inlineStr">
        <is>
          <t>Present Perfect vs Present Perfect Continuous</t>
        </is>
      </c>
      <c r="E107" s="22" t="inlineStr">
        <is>
          <t>Present Perfect vs Present Perfect Continuous: stative verbs — только Present Perfect</t>
        </is>
      </c>
      <c r="F107" s="11" t="inlineStr">
        <is>
          <t>10+</t>
        </is>
      </c>
      <c r="G107" s="11" t="inlineStr"/>
      <c r="H107" s="11" t="inlineStr"/>
      <c r="I107" s="11" t="inlineStr"/>
      <c r="J107" s="11" t="inlineStr"/>
      <c r="K107" s="23" t="inlineStr">
        <is>
          <t>М9 · новое</t>
        </is>
      </c>
      <c r="L107" s="11" t="inlineStr"/>
      <c r="M107" s="11" t="inlineStr"/>
      <c r="N107" s="11" t="inlineStr"/>
      <c r="O107" s="11" t="inlineStr"/>
      <c r="P107" s="20" t="inlineStr">
        <is>
          <t>—</t>
        </is>
      </c>
      <c r="Q107" s="21" t="inlineStr"/>
      <c r="R107" s="17" t="inlineStr">
        <is>
          <t>видео</t>
        </is>
      </c>
      <c r="S107" s="11" t="inlineStr">
        <is>
          <t>Present tenses (review...cter and relationships</t>
        </is>
      </c>
      <c r="T107" s="11" t="inlineStr"/>
    </row>
    <row r="108">
      <c r="A108" s="11" t="n">
        <v>107</v>
      </c>
      <c r="B108" s="11" t="inlineStr">
        <is>
          <t>Грамматика</t>
        </is>
      </c>
      <c r="C108" s="11" t="inlineStr">
        <is>
          <t>Глаголы: времена</t>
        </is>
      </c>
      <c r="D108" s="12" t="inlineStr">
        <is>
          <t>Present Perfect vs Present Perfect Continuous</t>
        </is>
      </c>
      <c r="E108" s="22" t="inlineStr">
        <is>
          <t>Present Perfect vs Present Perfect Continuous: результат завершённого действия vs следы процесса</t>
        </is>
      </c>
      <c r="F108" s="11" t="inlineStr">
        <is>
          <t>10+</t>
        </is>
      </c>
      <c r="G108" s="11" t="inlineStr"/>
      <c r="H108" s="11" t="inlineStr"/>
      <c r="I108" s="11" t="inlineStr"/>
      <c r="J108" s="11" t="inlineStr"/>
      <c r="K108" s="23" t="inlineStr">
        <is>
          <t>М9 · новое</t>
        </is>
      </c>
      <c r="L108" s="11" t="inlineStr"/>
      <c r="M108" s="11" t="inlineStr"/>
      <c r="N108" s="11" t="inlineStr"/>
      <c r="O108" s="11" t="inlineStr"/>
      <c r="P108" s="20" t="inlineStr">
        <is>
          <t>—</t>
        </is>
      </c>
      <c r="Q108" s="21" t="inlineStr"/>
      <c r="R108" s="17" t="inlineStr">
        <is>
          <t>видео</t>
        </is>
      </c>
      <c r="S108" s="11" t="inlineStr">
        <is>
          <t>Shopping+Present Per...nt Perfect Continuous</t>
        </is>
      </c>
      <c r="T108" s="11" t="inlineStr"/>
    </row>
    <row r="109">
      <c r="A109" s="11" t="n">
        <v>108</v>
      </c>
      <c r="B109" s="11" t="inlineStr">
        <is>
          <t>Грамматика</t>
        </is>
      </c>
      <c r="C109" s="11" t="inlineStr">
        <is>
          <t>Глаголы: времена</t>
        </is>
      </c>
      <c r="D109" s="12" t="inlineStr">
        <is>
          <t>Present Perfect vs Present Perfect Continuous</t>
        </is>
      </c>
      <c r="E109" s="13" t="inlineStr">
        <is>
          <t>Present Perfect vs Present Perfect Continuous: эмоциональная окраска Continuous (раздражение)</t>
        </is>
      </c>
      <c r="F109" s="11" t="inlineStr">
        <is>
          <t>10+</t>
        </is>
      </c>
      <c r="G109" s="11" t="inlineStr"/>
      <c r="H109" s="11" t="inlineStr"/>
      <c r="I109" s="11" t="inlineStr"/>
      <c r="J109" s="11" t="inlineStr"/>
      <c r="K109" s="23" t="inlineStr">
        <is>
          <t>М9 · новое</t>
        </is>
      </c>
      <c r="L109" s="11" t="inlineStr"/>
      <c r="M109" s="11" t="inlineStr"/>
      <c r="N109" s="11" t="inlineStr"/>
      <c r="O109" s="11" t="inlineStr"/>
      <c r="P109" s="20" t="inlineStr">
        <is>
          <t>—</t>
        </is>
      </c>
      <c r="Q109" s="21" t="inlineStr"/>
      <c r="R109" s="17" t="inlineStr">
        <is>
          <t>нет</t>
        </is>
      </c>
      <c r="S109" s="11" t="inlineStr"/>
      <c r="T109" s="11" t="inlineStr"/>
    </row>
    <row r="110">
      <c r="A110" s="4" t="n">
        <v>109</v>
      </c>
      <c r="B110" s="4" t="inlineStr">
        <is>
          <t>Грамматика</t>
        </is>
      </c>
      <c r="C110" s="4" t="inlineStr">
        <is>
          <t>Глаголы: времена</t>
        </is>
      </c>
      <c r="D110" s="5" t="inlineStr">
        <is>
          <t>Past Perfect</t>
        </is>
      </c>
      <c r="E110" s="6" t="inlineStr">
        <is>
          <t>Past Perfect: образование (had + V3)</t>
        </is>
      </c>
      <c r="F110" s="4" t="inlineStr">
        <is>
          <t>10+</t>
        </is>
      </c>
      <c r="G110" s="4" t="inlineStr"/>
      <c r="H110" s="4" t="inlineStr"/>
      <c r="I110" s="4" t="inlineStr"/>
      <c r="J110" s="4" t="inlineStr"/>
      <c r="K110" s="4" t="inlineStr"/>
      <c r="L110" s="27" t="inlineStr">
        <is>
          <t>М3 (3c) · новое</t>
        </is>
      </c>
      <c r="M110" s="9" t="inlineStr">
        <is>
          <t>М3 (3c) · повт.</t>
        </is>
      </c>
      <c r="N110" s="9" t="inlineStr">
        <is>
          <t>М5 (5c) · повт.</t>
        </is>
      </c>
      <c r="O110" s="4" t="inlineStr"/>
      <c r="P110" s="28" t="inlineStr">
        <is>
          <t>—</t>
        </is>
      </c>
      <c r="Q110" s="29" t="inlineStr"/>
      <c r="R110" s="10" t="inlineStr">
        <is>
          <t>видео</t>
        </is>
      </c>
      <c r="S110" s="4" t="inlineStr">
        <is>
          <t>Past Tenses Review + travel and holidays
Inventions + Past PerfectPast Perfect Cont</t>
        </is>
      </c>
      <c r="T110" s="4" t="inlineStr"/>
    </row>
    <row r="111">
      <c r="A111" s="11" t="n">
        <v>110</v>
      </c>
      <c r="B111" s="11" t="inlineStr">
        <is>
          <t>Грамматика</t>
        </is>
      </c>
      <c r="C111" s="11" t="inlineStr">
        <is>
          <t>Глаголы: времена</t>
        </is>
      </c>
      <c r="D111" s="12" t="inlineStr">
        <is>
          <t>Past Perfect</t>
        </is>
      </c>
      <c r="E111" s="22" t="inlineStr">
        <is>
          <t>Past Perfect: значение — действие до другого действия/момента в прошлом</t>
        </is>
      </c>
      <c r="F111" s="11" t="inlineStr">
        <is>
          <t>10+</t>
        </is>
      </c>
      <c r="G111" s="11" t="inlineStr"/>
      <c r="H111" s="11" t="inlineStr"/>
      <c r="I111" s="11" t="inlineStr"/>
      <c r="J111" s="11" t="inlineStr"/>
      <c r="K111" s="11" t="inlineStr"/>
      <c r="L111" s="23" t="inlineStr">
        <is>
          <t>М3 (3c) · новое</t>
        </is>
      </c>
      <c r="M111" s="16" t="inlineStr">
        <is>
          <t>М3 (3c) · повт.</t>
        </is>
      </c>
      <c r="N111" s="19" t="inlineStr">
        <is>
          <t>М5 (5c) · расш.</t>
        </is>
      </c>
      <c r="O111" s="11" t="inlineStr"/>
      <c r="P111" s="20" t="inlineStr">
        <is>
          <t>—</t>
        </is>
      </c>
      <c r="Q111" s="21" t="inlineStr"/>
      <c r="R111" s="17" t="inlineStr">
        <is>
          <t>видео</t>
        </is>
      </c>
      <c r="S111" s="11" t="inlineStr">
        <is>
          <t>Past Tenses Review + travel and holidays
Inventions + Past PerfectPast Perfect Cont</t>
        </is>
      </c>
      <c r="T111" s="11" t="inlineStr"/>
    </row>
    <row r="112">
      <c r="A112" s="11" t="n">
        <v>111</v>
      </c>
      <c r="B112" s="11" t="inlineStr">
        <is>
          <t>Грамматика</t>
        </is>
      </c>
      <c r="C112" s="11" t="inlineStr">
        <is>
          <t>Глаголы: времена</t>
        </is>
      </c>
      <c r="D112" s="12" t="inlineStr">
        <is>
          <t>Past Perfect</t>
        </is>
      </c>
      <c r="E112" s="13" t="inlineStr">
        <is>
          <t>Past Perfect: значение — завершённое действие с результатом в прошлом</t>
        </is>
      </c>
      <c r="F112" s="11" t="inlineStr">
        <is>
          <t>10+</t>
        </is>
      </c>
      <c r="G112" s="11" t="inlineStr"/>
      <c r="H112" s="11" t="inlineStr"/>
      <c r="I112" s="11" t="inlineStr"/>
      <c r="J112" s="11" t="inlineStr"/>
      <c r="K112" s="11" t="inlineStr"/>
      <c r="L112" s="23" t="inlineStr">
        <is>
          <t>М3 (3c) · новое</t>
        </is>
      </c>
      <c r="M112" s="16" t="inlineStr">
        <is>
          <t>М3 (3c) · повт.</t>
        </is>
      </c>
      <c r="N112" s="16" t="inlineStr">
        <is>
          <t>М5 (5c) · повт.</t>
        </is>
      </c>
      <c r="O112" s="11" t="inlineStr"/>
      <c r="P112" s="20" t="inlineStr">
        <is>
          <t>—</t>
        </is>
      </c>
      <c r="Q112" s="21" t="inlineStr"/>
      <c r="R112" s="17" t="inlineStr">
        <is>
          <t>нет</t>
        </is>
      </c>
      <c r="S112" s="11" t="inlineStr"/>
      <c r="T112" s="11" t="inlineStr"/>
    </row>
    <row r="113">
      <c r="A113" s="11" t="n">
        <v>112</v>
      </c>
      <c r="B113" s="11" t="inlineStr">
        <is>
          <t>Грамматика</t>
        </is>
      </c>
      <c r="C113" s="11" t="inlineStr">
        <is>
          <t>Глаголы: времена</t>
        </is>
      </c>
      <c r="D113" s="12" t="inlineStr">
        <is>
          <t>Past Perfect</t>
        </is>
      </c>
      <c r="E113" s="13" t="inlineStr">
        <is>
          <t>Past Perfect vs Past Simple: с before/after без разницы</t>
        </is>
      </c>
      <c r="F113" s="11" t="inlineStr">
        <is>
          <t>10+</t>
        </is>
      </c>
      <c r="G113" s="11" t="inlineStr"/>
      <c r="H113" s="11" t="inlineStr"/>
      <c r="I113" s="11" t="inlineStr"/>
      <c r="J113" s="11" t="inlineStr"/>
      <c r="K113" s="11" t="inlineStr"/>
      <c r="L113" s="11" t="inlineStr"/>
      <c r="M113" s="11" t="inlineStr"/>
      <c r="N113" s="23" t="inlineStr">
        <is>
          <t>М5 (5c) · новое</t>
        </is>
      </c>
      <c r="O113" s="11" t="inlineStr"/>
      <c r="P113" s="20" t="inlineStr">
        <is>
          <t>—</t>
        </is>
      </c>
      <c r="Q113" s="21" t="inlineStr"/>
      <c r="R113" s="17" t="inlineStr">
        <is>
          <t>нет</t>
        </is>
      </c>
      <c r="S113" s="11" t="inlineStr"/>
      <c r="T113" s="11" t="inlineStr"/>
    </row>
    <row r="114">
      <c r="A114" s="4" t="n">
        <v>113</v>
      </c>
      <c r="B114" s="4" t="inlineStr">
        <is>
          <t>Грамматика</t>
        </is>
      </c>
      <c r="C114" s="4" t="inlineStr">
        <is>
          <t>Глаголы: времена</t>
        </is>
      </c>
      <c r="D114" s="5" t="inlineStr">
        <is>
          <t>Past Perfect Continuous</t>
        </is>
      </c>
      <c r="E114" s="6" t="inlineStr">
        <is>
          <t>Past Perfect Continuous: образование (had been + V-ing)</t>
        </is>
      </c>
      <c r="F114" s="4" t="inlineStr">
        <is>
          <t>10+</t>
        </is>
      </c>
      <c r="G114" s="4" t="inlineStr"/>
      <c r="H114" s="4" t="inlineStr"/>
      <c r="I114" s="4" t="inlineStr"/>
      <c r="J114" s="4" t="inlineStr"/>
      <c r="K114" s="4" t="inlineStr"/>
      <c r="L114" s="27" t="inlineStr">
        <is>
          <t>М3 (3c) · новое</t>
        </is>
      </c>
      <c r="M114" s="9" t="inlineStr">
        <is>
          <t>М3 (3c) · повт.</t>
        </is>
      </c>
      <c r="N114" s="9" t="inlineStr">
        <is>
          <t>М5 (5c) · повт.</t>
        </is>
      </c>
      <c r="O114" s="4" t="inlineStr"/>
      <c r="P114" s="28" t="inlineStr">
        <is>
          <t>—</t>
        </is>
      </c>
      <c r="Q114" s="29" t="inlineStr"/>
      <c r="R114" s="10" t="inlineStr">
        <is>
          <t>видео</t>
        </is>
      </c>
      <c r="S114" s="4" t="inlineStr">
        <is>
          <t>Past Tenses Review + travel and holidays
Inventions + Past PerfectPast Perfect Cont</t>
        </is>
      </c>
      <c r="T114" s="4" t="inlineStr"/>
    </row>
    <row r="115">
      <c r="A115" s="11" t="n">
        <v>114</v>
      </c>
      <c r="B115" s="11" t="inlineStr">
        <is>
          <t>Грамматика</t>
        </is>
      </c>
      <c r="C115" s="11" t="inlineStr">
        <is>
          <t>Глаголы: времена</t>
        </is>
      </c>
      <c r="D115" s="12" t="inlineStr">
        <is>
          <t>Past Perfect Continuous</t>
        </is>
      </c>
      <c r="E115" s="22" t="inlineStr">
        <is>
          <t>Past Perfect Continuous: значение — длительность до другого прошлого действия</t>
        </is>
      </c>
      <c r="F115" s="11" t="inlineStr">
        <is>
          <t>10+</t>
        </is>
      </c>
      <c r="G115" s="11" t="inlineStr"/>
      <c r="H115" s="11" t="inlineStr"/>
      <c r="I115" s="11" t="inlineStr"/>
      <c r="J115" s="11" t="inlineStr"/>
      <c r="K115" s="11" t="inlineStr"/>
      <c r="L115" s="23" t="inlineStr">
        <is>
          <t>М3 (3c) · новое</t>
        </is>
      </c>
      <c r="M115" s="16" t="inlineStr">
        <is>
          <t>М3 (3c) · повт.</t>
        </is>
      </c>
      <c r="N115" s="16" t="inlineStr">
        <is>
          <t>М5 (5c) · повт.</t>
        </is>
      </c>
      <c r="O115" s="11" t="inlineStr"/>
      <c r="P115" s="20" t="inlineStr">
        <is>
          <t>—</t>
        </is>
      </c>
      <c r="Q115" s="21" t="inlineStr"/>
      <c r="R115" s="17" t="inlineStr">
        <is>
          <t>видео</t>
        </is>
      </c>
      <c r="S115" s="11" t="inlineStr">
        <is>
          <t>Past Tenses Review + travel and holidays
Inventions + Past PerfectPast Perfect Cont</t>
        </is>
      </c>
      <c r="T115" s="11" t="inlineStr"/>
    </row>
    <row r="116">
      <c r="A116" s="11" t="n">
        <v>115</v>
      </c>
      <c r="B116" s="11" t="inlineStr">
        <is>
          <t>Грамматика</t>
        </is>
      </c>
      <c r="C116" s="11" t="inlineStr">
        <is>
          <t>Глаголы: времена</t>
        </is>
      </c>
      <c r="D116" s="12" t="inlineStr">
        <is>
          <t>Past Perfect Continuous</t>
        </is>
      </c>
      <c r="E116" s="13" t="inlineStr">
        <is>
          <t>Past Perfect Continuous: значение — длительное действие с видимым результатом в прошлом</t>
        </is>
      </c>
      <c r="F116" s="11" t="inlineStr">
        <is>
          <t>10+</t>
        </is>
      </c>
      <c r="G116" s="11" t="inlineStr"/>
      <c r="H116" s="11" t="inlineStr"/>
      <c r="I116" s="11" t="inlineStr"/>
      <c r="J116" s="11" t="inlineStr"/>
      <c r="K116" s="11" t="inlineStr"/>
      <c r="L116" s="23" t="inlineStr">
        <is>
          <t>М3 (3c) · новое</t>
        </is>
      </c>
      <c r="M116" s="16" t="inlineStr">
        <is>
          <t>М3 (3c) · повт.</t>
        </is>
      </c>
      <c r="N116" s="16" t="inlineStr">
        <is>
          <t>М5 (5c) · повт.</t>
        </is>
      </c>
      <c r="O116" s="11" t="inlineStr"/>
      <c r="P116" s="20" t="inlineStr">
        <is>
          <t>—</t>
        </is>
      </c>
      <c r="Q116" s="21" t="inlineStr"/>
      <c r="R116" s="17" t="inlineStr">
        <is>
          <t>нет</t>
        </is>
      </c>
      <c r="S116" s="11" t="inlineStr"/>
      <c r="T116" s="11" t="inlineStr"/>
    </row>
    <row r="117">
      <c r="A117" s="4" t="n">
        <v>116</v>
      </c>
      <c r="B117" s="4" t="inlineStr">
        <is>
          <t>Грамматика</t>
        </is>
      </c>
      <c r="C117" s="4" t="inlineStr">
        <is>
          <t>Глаголы: времена</t>
        </is>
      </c>
      <c r="D117" s="5" t="inlineStr">
        <is>
          <t>have gone to / have been to / have been in</t>
        </is>
      </c>
      <c r="E117" s="24" t="inlineStr">
        <is>
          <t>have gone to vs have been to: уехал и не вернулся vs побывал</t>
        </is>
      </c>
      <c r="F117" s="4" t="inlineStr">
        <is>
          <t>10+</t>
        </is>
      </c>
      <c r="G117" s="4" t="inlineStr"/>
      <c r="H117" s="4" t="inlineStr"/>
      <c r="I117" s="4" t="inlineStr"/>
      <c r="J117" s="4" t="inlineStr"/>
      <c r="K117" s="4" t="inlineStr"/>
      <c r="L117" s="27" t="inlineStr">
        <is>
          <t>М2 (2c) · новое</t>
        </is>
      </c>
      <c r="M117" s="9" t="inlineStr">
        <is>
          <t>М1 (1c) · повт.</t>
        </is>
      </c>
      <c r="N117" s="9" t="inlineStr">
        <is>
          <t>М1 (1c) · повт.</t>
        </is>
      </c>
      <c r="O117" s="9" t="inlineStr">
        <is>
          <t>М1 (1c) · повт.</t>
        </is>
      </c>
      <c r="P117" s="28" t="inlineStr">
        <is>
          <t>—</t>
        </is>
      </c>
      <c r="Q117" s="29" t="inlineStr"/>
      <c r="R117" s="10" t="inlineStr">
        <is>
          <t>нет</t>
        </is>
      </c>
      <c r="S117" s="4" t="inlineStr"/>
      <c r="T117" s="4" t="inlineStr"/>
    </row>
    <row r="118">
      <c r="A118" s="11" t="n">
        <v>117</v>
      </c>
      <c r="B118" s="11" t="inlineStr">
        <is>
          <t>Грамматика</t>
        </is>
      </c>
      <c r="C118" s="11" t="inlineStr">
        <is>
          <t>Глаголы: времена</t>
        </is>
      </c>
      <c r="D118" s="12" t="inlineStr">
        <is>
          <t>have gone to / have been to / have been in</t>
        </is>
      </c>
      <c r="E118" s="13" t="inlineStr">
        <is>
          <t>have been in: находится там (в течение периода)</t>
        </is>
      </c>
      <c r="F118" s="11" t="inlineStr">
        <is>
          <t>10+</t>
        </is>
      </c>
      <c r="G118" s="11" t="inlineStr"/>
      <c r="H118" s="11" t="inlineStr"/>
      <c r="I118" s="11" t="inlineStr"/>
      <c r="J118" s="11" t="inlineStr"/>
      <c r="K118" s="11" t="inlineStr"/>
      <c r="L118" s="23" t="inlineStr">
        <is>
          <t>М2 (2c) · новое</t>
        </is>
      </c>
      <c r="M118" s="16" t="inlineStr">
        <is>
          <t>М1 (1c) · повт.</t>
        </is>
      </c>
      <c r="N118" s="16" t="inlineStr">
        <is>
          <t>М1 (1c) · повт.</t>
        </is>
      </c>
      <c r="O118" s="16" t="inlineStr">
        <is>
          <t>М1 (1c) · повт.</t>
        </is>
      </c>
      <c r="P118" s="20" t="inlineStr">
        <is>
          <t>—</t>
        </is>
      </c>
      <c r="Q118" s="21" t="inlineStr"/>
      <c r="R118" s="17" t="inlineStr">
        <is>
          <t>нет</t>
        </is>
      </c>
      <c r="S118" s="11" t="inlineStr"/>
      <c r="T118" s="11" t="inlineStr"/>
    </row>
    <row r="119">
      <c r="A119" s="4" t="n">
        <v>118</v>
      </c>
      <c r="B119" s="4" t="inlineStr">
        <is>
          <t>Грамматика</t>
        </is>
      </c>
      <c r="C119" s="4" t="inlineStr">
        <is>
          <t>Глаголы: времена</t>
        </is>
      </c>
      <c r="D119" s="5" t="inlineStr">
        <is>
          <t>Future Continuous</t>
        </is>
      </c>
      <c r="E119" s="6" t="inlineStr">
        <is>
          <t>Future Continuous: образование (will be + V-ing)</t>
        </is>
      </c>
      <c r="F119" s="4" t="inlineStr">
        <is>
          <t>10+</t>
        </is>
      </c>
      <c r="G119" s="4" t="inlineStr"/>
      <c r="H119" s="4" t="inlineStr"/>
      <c r="I119" s="4" t="inlineStr"/>
      <c r="J119" s="4" t="inlineStr"/>
      <c r="K119" s="4" t="inlineStr"/>
      <c r="L119" s="4" t="inlineStr"/>
      <c r="M119" s="27" t="inlineStr">
        <is>
          <t>М4 (4c) · новое</t>
        </is>
      </c>
      <c r="N119" s="9" t="inlineStr">
        <is>
          <t>М3 (3c) · повт.</t>
        </is>
      </c>
      <c r="O119" s="9" t="inlineStr">
        <is>
          <t>М1 (1c) · повт.</t>
        </is>
      </c>
      <c r="P119" s="28" t="inlineStr">
        <is>
          <t>—</t>
        </is>
      </c>
      <c r="Q119" s="29" t="inlineStr"/>
      <c r="R119" s="10" t="inlineStr">
        <is>
          <t>видео</t>
        </is>
      </c>
      <c r="S119" s="4" t="inlineStr">
        <is>
          <t>Future tenses + school and jobs</t>
        </is>
      </c>
      <c r="T119" s="4" t="inlineStr"/>
    </row>
    <row r="120">
      <c r="A120" s="11" t="n">
        <v>119</v>
      </c>
      <c r="B120" s="11" t="inlineStr">
        <is>
          <t>Грамматика</t>
        </is>
      </c>
      <c r="C120" s="11" t="inlineStr">
        <is>
          <t>Глаголы: времена</t>
        </is>
      </c>
      <c r="D120" s="12" t="inlineStr">
        <is>
          <t>Future Continuous</t>
        </is>
      </c>
      <c r="E120" s="22" t="inlineStr">
        <is>
          <t>Future Continuous: значение — действие в процессе в момент будущего</t>
        </is>
      </c>
      <c r="F120" s="11" t="inlineStr">
        <is>
          <t>10+</t>
        </is>
      </c>
      <c r="G120" s="11" t="inlineStr"/>
      <c r="H120" s="11" t="inlineStr"/>
      <c r="I120" s="11" t="inlineStr"/>
      <c r="J120" s="11" t="inlineStr"/>
      <c r="K120" s="11" t="inlineStr"/>
      <c r="L120" s="11" t="inlineStr"/>
      <c r="M120" s="23" t="inlineStr">
        <is>
          <t>М4 (4c) · новое</t>
        </is>
      </c>
      <c r="N120" s="16" t="inlineStr">
        <is>
          <t>М3 (3c) · повт.</t>
        </is>
      </c>
      <c r="O120" s="16" t="inlineStr">
        <is>
          <t>М1 (1c) · повт.</t>
        </is>
      </c>
      <c r="P120" s="20" t="inlineStr">
        <is>
          <t>—</t>
        </is>
      </c>
      <c r="Q120" s="21" t="inlineStr"/>
      <c r="R120" s="17" t="inlineStr">
        <is>
          <t>видео</t>
        </is>
      </c>
      <c r="S120" s="11" t="inlineStr">
        <is>
          <t>Future tenses + school and jobs</t>
        </is>
      </c>
      <c r="T120" s="11" t="inlineStr"/>
    </row>
    <row r="121">
      <c r="A121" s="11" t="n">
        <v>120</v>
      </c>
      <c r="B121" s="11" t="inlineStr">
        <is>
          <t>Грамматика</t>
        </is>
      </c>
      <c r="C121" s="11" t="inlineStr">
        <is>
          <t>Глаголы: времена</t>
        </is>
      </c>
      <c r="D121" s="12" t="inlineStr">
        <is>
          <t>Future Continuous</t>
        </is>
      </c>
      <c r="E121" s="13" t="inlineStr">
        <is>
          <t>Future Continuous: значение — по распорядку/договорённости</t>
        </is>
      </c>
      <c r="F121" s="11" t="inlineStr">
        <is>
          <t>10+</t>
        </is>
      </c>
      <c r="G121" s="11" t="inlineStr"/>
      <c r="H121" s="11" t="inlineStr"/>
      <c r="I121" s="11" t="inlineStr"/>
      <c r="J121" s="11" t="inlineStr"/>
      <c r="K121" s="11" t="inlineStr"/>
      <c r="L121" s="11" t="inlineStr"/>
      <c r="M121" s="23" t="inlineStr">
        <is>
          <t>М4 (4c) · новое</t>
        </is>
      </c>
      <c r="N121" s="16" t="inlineStr">
        <is>
          <t>М3 (3c) · повт.</t>
        </is>
      </c>
      <c r="O121" s="16" t="inlineStr">
        <is>
          <t>М1 (1c) · повт.</t>
        </is>
      </c>
      <c r="P121" s="20" t="inlineStr">
        <is>
          <t>—</t>
        </is>
      </c>
      <c r="Q121" s="21" t="inlineStr"/>
      <c r="R121" s="17" t="inlineStr">
        <is>
          <t>нет</t>
        </is>
      </c>
      <c r="S121" s="11" t="inlineStr"/>
      <c r="T121" s="11" t="inlineStr"/>
    </row>
    <row r="122">
      <c r="A122" s="11" t="n">
        <v>121</v>
      </c>
      <c r="B122" s="11" t="inlineStr">
        <is>
          <t>Грамматика</t>
        </is>
      </c>
      <c r="C122" s="11" t="inlineStr">
        <is>
          <t>Глаголы: времена</t>
        </is>
      </c>
      <c r="D122" s="12" t="inlineStr">
        <is>
          <t>Future Continuous</t>
        </is>
      </c>
      <c r="E122" s="13" t="inlineStr">
        <is>
          <t>Future Continuous: значение — вежливый вопрос о планах</t>
        </is>
      </c>
      <c r="F122" s="11" t="inlineStr">
        <is>
          <t>10+</t>
        </is>
      </c>
      <c r="G122" s="11" t="inlineStr"/>
      <c r="H122" s="11" t="inlineStr"/>
      <c r="I122" s="11" t="inlineStr"/>
      <c r="J122" s="11" t="inlineStr"/>
      <c r="K122" s="11" t="inlineStr"/>
      <c r="L122" s="11" t="inlineStr"/>
      <c r="M122" s="23" t="inlineStr">
        <is>
          <t>М4 (4c) · новое</t>
        </is>
      </c>
      <c r="N122" s="16" t="inlineStr">
        <is>
          <t>М3 (3c) · повт.</t>
        </is>
      </c>
      <c r="O122" s="16" t="inlineStr">
        <is>
          <t>М1 (1c) · повт.</t>
        </is>
      </c>
      <c r="P122" s="20" t="inlineStr">
        <is>
          <t>—</t>
        </is>
      </c>
      <c r="Q122" s="21" t="inlineStr"/>
      <c r="R122" s="17" t="inlineStr">
        <is>
          <t>нет</t>
        </is>
      </c>
      <c r="S122" s="11" t="inlineStr"/>
      <c r="T122" s="11" t="inlineStr"/>
    </row>
    <row r="123">
      <c r="A123" s="4" t="n">
        <v>122</v>
      </c>
      <c r="B123" s="4" t="inlineStr">
        <is>
          <t>Грамматика</t>
        </is>
      </c>
      <c r="C123" s="4" t="inlineStr">
        <is>
          <t>Глаголы: времена</t>
        </is>
      </c>
      <c r="D123" s="5" t="inlineStr">
        <is>
          <t>Future Perfect</t>
        </is>
      </c>
      <c r="E123" s="6" t="inlineStr">
        <is>
          <t>Future Perfect: образование (will have + V3)</t>
        </is>
      </c>
      <c r="F123" s="4" t="inlineStr">
        <is>
          <t>10+</t>
        </is>
      </c>
      <c r="G123" s="4" t="inlineStr"/>
      <c r="H123" s="4" t="inlineStr"/>
      <c r="I123" s="4" t="inlineStr"/>
      <c r="J123" s="4" t="inlineStr"/>
      <c r="K123" s="4" t="inlineStr"/>
      <c r="L123" s="4" t="inlineStr"/>
      <c r="M123" s="27" t="inlineStr">
        <is>
          <t>М4 (4c) · новое</t>
        </is>
      </c>
      <c r="N123" s="9" t="inlineStr">
        <is>
          <t>М3 (3c) · повт.</t>
        </is>
      </c>
      <c r="O123" s="4" t="inlineStr"/>
      <c r="P123" s="28" t="inlineStr">
        <is>
          <t>—</t>
        </is>
      </c>
      <c r="Q123" s="29" t="inlineStr"/>
      <c r="R123" s="10" t="inlineStr">
        <is>
          <t>видео</t>
        </is>
      </c>
      <c r="S123" s="4" t="inlineStr">
        <is>
          <t>Future tenses + school and jobs</t>
        </is>
      </c>
      <c r="T123" s="4" t="inlineStr"/>
    </row>
    <row r="124">
      <c r="A124" s="11" t="n">
        <v>123</v>
      </c>
      <c r="B124" s="11" t="inlineStr">
        <is>
          <t>Грамматика</t>
        </is>
      </c>
      <c r="C124" s="11" t="inlineStr">
        <is>
          <t>Глаголы: времена</t>
        </is>
      </c>
      <c r="D124" s="12" t="inlineStr">
        <is>
          <t>Future Perfect</t>
        </is>
      </c>
      <c r="E124" s="22" t="inlineStr">
        <is>
          <t>Future Perfect: значение — завершится к моменту в будущем</t>
        </is>
      </c>
      <c r="F124" s="11" t="inlineStr">
        <is>
          <t>10+</t>
        </is>
      </c>
      <c r="G124" s="11" t="inlineStr"/>
      <c r="H124" s="11" t="inlineStr"/>
      <c r="I124" s="11" t="inlineStr"/>
      <c r="J124" s="11" t="inlineStr"/>
      <c r="K124" s="11" t="inlineStr"/>
      <c r="L124" s="11" t="inlineStr"/>
      <c r="M124" s="23" t="inlineStr">
        <is>
          <t>М4 (4c) · новое</t>
        </is>
      </c>
      <c r="N124" s="16" t="inlineStr">
        <is>
          <t>М3 (3c) · повт.</t>
        </is>
      </c>
      <c r="O124" s="11" t="inlineStr"/>
      <c r="P124" s="20" t="inlineStr">
        <is>
          <t>—</t>
        </is>
      </c>
      <c r="Q124" s="21" t="inlineStr"/>
      <c r="R124" s="17" t="inlineStr">
        <is>
          <t>видео</t>
        </is>
      </c>
      <c r="S124" s="11" t="inlineStr">
        <is>
          <t>Future tenses + school and jobs</t>
        </is>
      </c>
      <c r="T124" s="11" t="inlineStr"/>
    </row>
    <row r="125">
      <c r="A125" s="4" t="n">
        <v>124</v>
      </c>
      <c r="B125" s="4" t="inlineStr">
        <is>
          <t>Грамматика</t>
        </is>
      </c>
      <c r="C125" s="4" t="inlineStr">
        <is>
          <t>Глаголы: to be / have got / модальные</t>
        </is>
      </c>
      <c r="D125" s="5" t="inlineStr">
        <is>
          <t>can (ability)</t>
        </is>
      </c>
      <c r="E125" s="24" t="inlineStr">
        <is>
          <t>can (ability): значение — умение; утверждение can + глагол без to</t>
        </is>
      </c>
      <c r="F125" s="4" t="inlineStr">
        <is>
          <t>обе</t>
        </is>
      </c>
      <c r="G125" s="7" t="inlineStr">
        <is>
          <t>М5 · новое</t>
        </is>
      </c>
      <c r="H125" s="4" t="inlineStr"/>
      <c r="I125" s="30" t="inlineStr">
        <is>
          <t>М4 (4a) · расш.</t>
        </is>
      </c>
      <c r="J125" s="9" t="inlineStr">
        <is>
          <t>М3 (3b) · повт.</t>
        </is>
      </c>
      <c r="K125" s="4" t="inlineStr"/>
      <c r="L125" s="4" t="inlineStr"/>
      <c r="M125" s="4" t="inlineStr"/>
      <c r="N125" s="4" t="inlineStr"/>
      <c r="O125" s="4" t="inlineStr"/>
      <c r="P125" s="10" t="inlineStr">
        <is>
          <t>вебинар</t>
        </is>
      </c>
      <c r="Q125" s="4" t="inlineStr">
        <is>
          <t>вебинар 05.11 (по расписанию): Can / can't + body parts
материалы: Body parts + can</t>
        </is>
      </c>
      <c r="R125" s="10" t="inlineStr">
        <is>
          <t>нет</t>
        </is>
      </c>
      <c r="S125" s="4" t="inlineStr"/>
      <c r="T125" s="4" t="inlineStr"/>
    </row>
    <row r="126">
      <c r="A126" s="11" t="n">
        <v>125</v>
      </c>
      <c r="B126" s="11" t="inlineStr">
        <is>
          <t>Грамматика</t>
        </is>
      </c>
      <c r="C126" s="11" t="inlineStr">
        <is>
          <t>Глаголы: to be / have got / модальные</t>
        </is>
      </c>
      <c r="D126" s="12" t="inlineStr">
        <is>
          <t>can (ability)</t>
        </is>
      </c>
      <c r="E126" s="13" t="inlineStr">
        <is>
          <t>can (ability): отрицание — cannot / can't</t>
        </is>
      </c>
      <c r="F126" s="11" t="inlineStr">
        <is>
          <t>обе</t>
        </is>
      </c>
      <c r="G126" s="14" t="inlineStr">
        <is>
          <t>М5 · новое</t>
        </is>
      </c>
      <c r="H126" s="11" t="inlineStr"/>
      <c r="I126" s="16" t="inlineStr">
        <is>
          <t>М4 (4a) · повт.</t>
        </is>
      </c>
      <c r="J126" s="16" t="inlineStr">
        <is>
          <t>М3 (3b) · повт.</t>
        </is>
      </c>
      <c r="K126" s="11" t="inlineStr"/>
      <c r="L126" s="11" t="inlineStr"/>
      <c r="M126" s="11" t="inlineStr"/>
      <c r="N126" s="11" t="inlineStr"/>
      <c r="O126" s="11" t="inlineStr"/>
      <c r="P126" s="17" t="inlineStr">
        <is>
          <t>вебинар</t>
        </is>
      </c>
      <c r="Q126" s="11" t="inlineStr">
        <is>
          <t>вебинар 05.11 (по расписанию): Can / can't + body parts
материалы: Body parts + can</t>
        </is>
      </c>
      <c r="R126" s="17" t="inlineStr">
        <is>
          <t>нет</t>
        </is>
      </c>
      <c r="S126" s="11" t="inlineStr"/>
      <c r="T126" s="11" t="inlineStr"/>
    </row>
    <row r="127">
      <c r="A127" s="11" t="n">
        <v>126</v>
      </c>
      <c r="B127" s="11" t="inlineStr">
        <is>
          <t>Грамматика</t>
        </is>
      </c>
      <c r="C127" s="11" t="inlineStr">
        <is>
          <t>Глаголы: to be / have got / модальные</t>
        </is>
      </c>
      <c r="D127" s="12" t="inlineStr">
        <is>
          <t>can (ability)</t>
        </is>
      </c>
      <c r="E127" s="13" t="inlineStr">
        <is>
          <t>can (ability): вопросы и краткие ответы</t>
        </is>
      </c>
      <c r="F127" s="11" t="inlineStr">
        <is>
          <t>обе</t>
        </is>
      </c>
      <c r="G127" s="14" t="inlineStr">
        <is>
          <t>М5 · новое</t>
        </is>
      </c>
      <c r="H127" s="11" t="inlineStr"/>
      <c r="I127" s="16" t="inlineStr">
        <is>
          <t>М4 (4a) · повт.</t>
        </is>
      </c>
      <c r="J127" s="16" t="inlineStr">
        <is>
          <t>М3 (3b) · повт.</t>
        </is>
      </c>
      <c r="K127" s="11" t="inlineStr"/>
      <c r="L127" s="11" t="inlineStr"/>
      <c r="M127" s="11" t="inlineStr"/>
      <c r="N127" s="11" t="inlineStr"/>
      <c r="O127" s="11" t="inlineStr"/>
      <c r="P127" s="17" t="inlineStr">
        <is>
          <t>видео</t>
        </is>
      </c>
      <c r="Q127" s="11" t="inlineStr">
        <is>
          <t>Can questions + actions</t>
        </is>
      </c>
      <c r="R127" s="17" t="inlineStr">
        <is>
          <t>нет</t>
        </is>
      </c>
      <c r="S127" s="11" t="inlineStr"/>
      <c r="T127" s="11" t="inlineStr"/>
    </row>
    <row r="128">
      <c r="A128" s="4" t="n">
        <v>127</v>
      </c>
      <c r="B128" s="4" t="inlineStr">
        <is>
          <t>Грамматика</t>
        </is>
      </c>
      <c r="C128" s="4" t="inlineStr">
        <is>
          <t>Глаголы: to be / have got / модальные</t>
        </is>
      </c>
      <c r="D128" s="5" t="inlineStr">
        <is>
          <t>have got</t>
        </is>
      </c>
      <c r="E128" s="24" t="inlineStr">
        <is>
          <t>have got: утверждение — have got / has got (полные и краткие формы)</t>
        </is>
      </c>
      <c r="F128" s="4" t="inlineStr">
        <is>
          <t>обе</t>
        </is>
      </c>
      <c r="G128" s="7" t="inlineStr">
        <is>
          <t>М5 · новое</t>
        </is>
      </c>
      <c r="H128" s="4" t="inlineStr"/>
      <c r="I128" s="9" t="inlineStr">
        <is>
          <t>М2 (2a) · повт.</t>
        </is>
      </c>
      <c r="J128" s="9" t="inlineStr">
        <is>
          <t>М1 · повт.</t>
        </is>
      </c>
      <c r="K128" s="4" t="inlineStr"/>
      <c r="L128" s="4" t="inlineStr"/>
      <c r="M128" s="4" t="inlineStr"/>
      <c r="N128" s="4" t="inlineStr"/>
      <c r="O128" s="4" t="inlineStr"/>
      <c r="P128" s="10" t="inlineStr">
        <is>
          <t>видео</t>
        </is>
      </c>
      <c r="Q128" s="4" t="inlineStr">
        <is>
          <t>Have got+3 лицо, е...о+игрушки+внешность
have got has got pets</t>
        </is>
      </c>
      <c r="R128" s="10" t="inlineStr">
        <is>
          <t>нет</t>
        </is>
      </c>
      <c r="S128" s="4" t="inlineStr"/>
      <c r="T128" s="4" t="inlineStr"/>
    </row>
    <row r="129">
      <c r="A129" s="11" t="n">
        <v>128</v>
      </c>
      <c r="B129" s="11" t="inlineStr">
        <is>
          <t>Грамматика</t>
        </is>
      </c>
      <c r="C129" s="11" t="inlineStr">
        <is>
          <t>Глаголы: to be / have got / модальные</t>
        </is>
      </c>
      <c r="D129" s="12" t="inlineStr">
        <is>
          <t>have got</t>
        </is>
      </c>
      <c r="E129" s="13" t="inlineStr">
        <is>
          <t>have got: отрицание — haven't got / hasn't got</t>
        </is>
      </c>
      <c r="F129" s="11" t="inlineStr">
        <is>
          <t>обе</t>
        </is>
      </c>
      <c r="G129" s="14" t="inlineStr">
        <is>
          <t>М5 · новое</t>
        </is>
      </c>
      <c r="H129" s="11" t="inlineStr"/>
      <c r="I129" s="16" t="inlineStr">
        <is>
          <t>М2 (2a) · повт.</t>
        </is>
      </c>
      <c r="J129" s="16" t="inlineStr">
        <is>
          <t>М1 · повт.</t>
        </is>
      </c>
      <c r="K129" s="11" t="inlineStr"/>
      <c r="L129" s="11" t="inlineStr"/>
      <c r="M129" s="11" t="inlineStr"/>
      <c r="N129" s="11" t="inlineStr"/>
      <c r="O129" s="11" t="inlineStr"/>
      <c r="P129" s="17" t="inlineStr">
        <is>
          <t>видео</t>
        </is>
      </c>
      <c r="Q129" s="11" t="inlineStr">
        <is>
          <t>Have got+3 лицо, е...о+игрушки+внешность
have got has got pets</t>
        </is>
      </c>
      <c r="R129" s="17" t="inlineStr">
        <is>
          <t>нет</t>
        </is>
      </c>
      <c r="S129" s="11" t="inlineStr"/>
      <c r="T129" s="11" t="inlineStr"/>
    </row>
    <row r="130">
      <c r="A130" s="11" t="n">
        <v>129</v>
      </c>
      <c r="B130" s="11" t="inlineStr">
        <is>
          <t>Грамматика</t>
        </is>
      </c>
      <c r="C130" s="11" t="inlineStr">
        <is>
          <t>Глаголы: to be / have got / модальные</t>
        </is>
      </c>
      <c r="D130" s="12" t="inlineStr">
        <is>
          <t>have got</t>
        </is>
      </c>
      <c r="E130" s="13" t="inlineStr">
        <is>
          <t>have got: вопросы и краткие ответы</t>
        </is>
      </c>
      <c r="F130" s="11" t="inlineStr">
        <is>
          <t>обе</t>
        </is>
      </c>
      <c r="G130" s="14" t="inlineStr">
        <is>
          <t>М5 · новое</t>
        </is>
      </c>
      <c r="H130" s="11" t="inlineStr"/>
      <c r="I130" s="16" t="inlineStr">
        <is>
          <t>М2 (2a) · повт.</t>
        </is>
      </c>
      <c r="J130" s="16" t="inlineStr">
        <is>
          <t>М1 · повт.</t>
        </is>
      </c>
      <c r="K130" s="11" t="inlineStr"/>
      <c r="L130" s="11" t="inlineStr"/>
      <c r="M130" s="11" t="inlineStr"/>
      <c r="N130" s="11" t="inlineStr"/>
      <c r="O130" s="11" t="inlineStr"/>
      <c r="P130" s="17" t="inlineStr">
        <is>
          <t>видео</t>
        </is>
      </c>
      <c r="Q130" s="11" t="inlineStr">
        <is>
          <t>Have got Yes No questions animals</t>
        </is>
      </c>
      <c r="R130" s="17" t="inlineStr">
        <is>
          <t>нет</t>
        </is>
      </c>
      <c r="S130" s="11" t="inlineStr"/>
      <c r="T130" s="11" t="inlineStr"/>
    </row>
    <row r="131">
      <c r="A131" s="11" t="n">
        <v>130</v>
      </c>
      <c r="B131" s="11" t="inlineStr">
        <is>
          <t>Грамматика</t>
        </is>
      </c>
      <c r="C131" s="11" t="inlineStr">
        <is>
          <t>Глаголы: to be / have got / модальные</t>
        </is>
      </c>
      <c r="D131" s="12" t="inlineStr">
        <is>
          <t>have got</t>
        </is>
      </c>
      <c r="E131" s="13" t="inlineStr">
        <is>
          <t>have got: значение — принадлежность (иметь)</t>
        </is>
      </c>
      <c r="F131" s="11" t="inlineStr">
        <is>
          <t>обе</t>
        </is>
      </c>
      <c r="G131" s="14" t="inlineStr">
        <is>
          <t>М5 · новое</t>
        </is>
      </c>
      <c r="H131" s="11" t="inlineStr"/>
      <c r="I131" s="16" t="inlineStr">
        <is>
          <t>М2 (2a) · повт.</t>
        </is>
      </c>
      <c r="J131" s="16" t="inlineStr">
        <is>
          <t>М1 · повт.</t>
        </is>
      </c>
      <c r="K131" s="11" t="inlineStr"/>
      <c r="L131" s="11" t="inlineStr"/>
      <c r="M131" s="11" t="inlineStr"/>
      <c r="N131" s="11" t="inlineStr"/>
      <c r="O131" s="11" t="inlineStr"/>
      <c r="P131" s="17" t="inlineStr">
        <is>
          <t>видео</t>
        </is>
      </c>
      <c r="Q131" s="11" t="inlineStr">
        <is>
          <t>have got has got pets</t>
        </is>
      </c>
      <c r="R131" s="17" t="inlineStr">
        <is>
          <t>нет</t>
        </is>
      </c>
      <c r="S131" s="11" t="inlineStr"/>
      <c r="T131" s="11" t="inlineStr"/>
    </row>
    <row r="132">
      <c r="A132" s="11" t="n">
        <v>131</v>
      </c>
      <c r="B132" s="11" t="inlineStr">
        <is>
          <t>Грамматика</t>
        </is>
      </c>
      <c r="C132" s="11" t="inlineStr">
        <is>
          <t>Глаголы: to be / have got / модальные</t>
        </is>
      </c>
      <c r="D132" s="12" t="inlineStr">
        <is>
          <t>have got</t>
        </is>
      </c>
      <c r="E132" s="13" t="inlineStr">
        <is>
          <t>have got: значение — описание внешности людей, животных, предметов</t>
        </is>
      </c>
      <c r="F132" s="11" t="inlineStr">
        <is>
          <t>обе</t>
        </is>
      </c>
      <c r="G132" s="14" t="inlineStr">
        <is>
          <t>М5 · новое</t>
        </is>
      </c>
      <c r="H132" s="11" t="inlineStr"/>
      <c r="I132" s="11" t="inlineStr"/>
      <c r="J132" s="16" t="inlineStr">
        <is>
          <t>М1 · повт.</t>
        </is>
      </c>
      <c r="K132" s="11" t="inlineStr"/>
      <c r="L132" s="11" t="inlineStr"/>
      <c r="M132" s="11" t="inlineStr"/>
      <c r="N132" s="11" t="inlineStr"/>
      <c r="O132" s="11" t="inlineStr"/>
      <c r="P132" s="17" t="inlineStr">
        <is>
          <t>видео</t>
        </is>
      </c>
      <c r="Q132" s="11" t="inlineStr">
        <is>
          <t>Have got+3 лицо, е...о+игрушки+внешность</t>
        </is>
      </c>
      <c r="R132" s="17" t="inlineStr">
        <is>
          <t>нет</t>
        </is>
      </c>
      <c r="S132" s="11" t="inlineStr"/>
      <c r="T132" s="11" t="inlineStr"/>
    </row>
    <row r="133">
      <c r="A133" s="11" t="n">
        <v>132</v>
      </c>
      <c r="B133" s="11" t="inlineStr">
        <is>
          <t>Грамматика</t>
        </is>
      </c>
      <c r="C133" s="11" t="inlineStr">
        <is>
          <t>Глаголы: to be / have got / модальные</t>
        </is>
      </c>
      <c r="D133" s="12" t="inlineStr">
        <is>
          <t>have got</t>
        </is>
      </c>
      <c r="E133" s="13" t="inlineStr">
        <is>
          <t>have got: значение — родственные отношения</t>
        </is>
      </c>
      <c r="F133" s="11" t="inlineStr">
        <is>
          <t>10+</t>
        </is>
      </c>
      <c r="G133" s="11" t="inlineStr"/>
      <c r="H133" s="11" t="inlineStr"/>
      <c r="I133" s="11" t="inlineStr"/>
      <c r="J133" s="23" t="inlineStr">
        <is>
          <t>М1 · новое</t>
        </is>
      </c>
      <c r="K133" s="11" t="inlineStr"/>
      <c r="L133" s="11" t="inlineStr"/>
      <c r="M133" s="11" t="inlineStr"/>
      <c r="N133" s="11" t="inlineStr"/>
      <c r="O133" s="11" t="inlineStr"/>
      <c r="P133" s="20" t="inlineStr">
        <is>
          <t>—</t>
        </is>
      </c>
      <c r="Q133" s="21" t="inlineStr"/>
      <c r="R133" s="17" t="inlineStr">
        <is>
          <t>нет</t>
        </is>
      </c>
      <c r="S133" s="11" t="inlineStr"/>
      <c r="T133" s="11" t="inlineStr"/>
    </row>
    <row r="134">
      <c r="A134" s="11" t="n">
        <v>133</v>
      </c>
      <c r="B134" s="11" t="inlineStr">
        <is>
          <t>Грамматика</t>
        </is>
      </c>
      <c r="C134" s="11" t="inlineStr">
        <is>
          <t>Глаголы: to be / have got / модальные</t>
        </is>
      </c>
      <c r="D134" s="12" t="inlineStr">
        <is>
          <t>have got</t>
        </is>
      </c>
      <c r="E134" s="22" t="inlineStr">
        <is>
          <t>have got: It's got (= It has got) vs It's (= It is)</t>
        </is>
      </c>
      <c r="F134" s="11" t="inlineStr">
        <is>
          <t>7–9</t>
        </is>
      </c>
      <c r="G134" s="14" t="inlineStr">
        <is>
          <t>М5 · новое</t>
        </is>
      </c>
      <c r="H134" s="11" t="inlineStr"/>
      <c r="I134" s="11" t="inlineStr"/>
      <c r="J134" s="11" t="inlineStr"/>
      <c r="K134" s="11" t="inlineStr"/>
      <c r="L134" s="11" t="inlineStr"/>
      <c r="M134" s="11" t="inlineStr"/>
      <c r="N134" s="11" t="inlineStr"/>
      <c r="O134" s="11" t="inlineStr"/>
      <c r="P134" s="17" t="inlineStr">
        <is>
          <t>видео</t>
        </is>
      </c>
      <c r="Q134" s="11" t="inlineStr">
        <is>
          <t>Have got+3 лицо, е...о+игрушки+внешность</t>
        </is>
      </c>
      <c r="R134" s="20" t="inlineStr">
        <is>
          <t>—</t>
        </is>
      </c>
      <c r="S134" s="21" t="inlineStr"/>
      <c r="T134" s="11" t="inlineStr"/>
    </row>
    <row r="135">
      <c r="A135" s="4" t="n">
        <v>134</v>
      </c>
      <c r="B135" s="4" t="inlineStr">
        <is>
          <t>Грамматика</t>
        </is>
      </c>
      <c r="C135" s="4" t="inlineStr">
        <is>
          <t>Глаголы: to be / have got / модальные</t>
        </is>
      </c>
      <c r="D135" s="5" t="inlineStr">
        <is>
          <t>to be (Past: was/were)</t>
        </is>
      </c>
      <c r="E135" s="24" t="inlineStr">
        <is>
          <t>to be (Past): утверждение — was / were</t>
        </is>
      </c>
      <c r="F135" s="4" t="inlineStr">
        <is>
          <t>обе</t>
        </is>
      </c>
      <c r="G135" s="7" t="inlineStr">
        <is>
          <t>М2 · новое</t>
        </is>
      </c>
      <c r="H135" s="8" t="inlineStr">
        <is>
          <t>М5 · повт.</t>
        </is>
      </c>
      <c r="I135" s="9" t="inlineStr">
        <is>
          <t>М9 (9a) · повт.</t>
        </is>
      </c>
      <c r="J135" s="9" t="inlineStr">
        <is>
          <t>М7 (7a) · повт.</t>
        </is>
      </c>
      <c r="K135" s="4" t="inlineStr"/>
      <c r="L135" s="4" t="inlineStr"/>
      <c r="M135" s="4" t="inlineStr"/>
      <c r="N135" s="4" t="inlineStr"/>
      <c r="O135" s="4" t="inlineStr"/>
      <c r="P135" s="10" t="inlineStr">
        <is>
          <t>видео</t>
        </is>
      </c>
      <c r="Q135" s="4" t="inlineStr">
        <is>
          <t>Was, were+your week
Was,were+Feelings</t>
        </is>
      </c>
      <c r="R135" s="10" t="inlineStr">
        <is>
          <t>нет</t>
        </is>
      </c>
      <c r="S135" s="4" t="inlineStr"/>
      <c r="T135" s="4" t="inlineStr"/>
    </row>
    <row r="136">
      <c r="A136" s="11" t="n">
        <v>135</v>
      </c>
      <c r="B136" s="11" t="inlineStr">
        <is>
          <t>Грамматика</t>
        </is>
      </c>
      <c r="C136" s="11" t="inlineStr">
        <is>
          <t>Глаголы: to be / have got / модальные</t>
        </is>
      </c>
      <c r="D136" s="12" t="inlineStr">
        <is>
          <t>to be (Past: was/were)</t>
        </is>
      </c>
      <c r="E136" s="13" t="inlineStr">
        <is>
          <t>to be (Past): отрицание — wasn't / weren't</t>
        </is>
      </c>
      <c r="F136" s="11" t="inlineStr">
        <is>
          <t>обе</t>
        </is>
      </c>
      <c r="G136" s="14" t="inlineStr">
        <is>
          <t>М2 · новое</t>
        </is>
      </c>
      <c r="H136" s="15" t="inlineStr">
        <is>
          <t>М5 · повт.</t>
        </is>
      </c>
      <c r="I136" s="16" t="inlineStr">
        <is>
          <t>М9 (9a) · повт.</t>
        </is>
      </c>
      <c r="J136" s="16" t="inlineStr">
        <is>
          <t>М7 (7a) · повт.</t>
        </is>
      </c>
      <c r="K136" s="11" t="inlineStr"/>
      <c r="L136" s="11" t="inlineStr"/>
      <c r="M136" s="11" t="inlineStr"/>
      <c r="N136" s="11" t="inlineStr"/>
      <c r="O136" s="11" t="inlineStr"/>
      <c r="P136" s="17" t="inlineStr">
        <is>
          <t>вебинар</t>
        </is>
      </c>
      <c r="Q136" s="11" t="inlineStr">
        <is>
          <t>вебинар 16.11 (по расписанию): Was / were: отрицание и вопросы</t>
        </is>
      </c>
      <c r="R136" s="17" t="inlineStr">
        <is>
          <t>нет</t>
        </is>
      </c>
      <c r="S136" s="11" t="inlineStr"/>
      <c r="T136" s="11" t="inlineStr"/>
    </row>
    <row r="137">
      <c r="A137" s="11" t="n">
        <v>136</v>
      </c>
      <c r="B137" s="11" t="inlineStr">
        <is>
          <t>Грамматика</t>
        </is>
      </c>
      <c r="C137" s="11" t="inlineStr">
        <is>
          <t>Глаголы: to be / have got / модальные</t>
        </is>
      </c>
      <c r="D137" s="12" t="inlineStr">
        <is>
          <t>to be (Past: was/were)</t>
        </is>
      </c>
      <c r="E137" s="13" t="inlineStr">
        <is>
          <t>to be (Past): вопросы и краткие ответы</t>
        </is>
      </c>
      <c r="F137" s="11" t="inlineStr">
        <is>
          <t>обе</t>
        </is>
      </c>
      <c r="G137" s="14" t="inlineStr">
        <is>
          <t>М2 · новое</t>
        </is>
      </c>
      <c r="H137" s="15" t="inlineStr">
        <is>
          <t>М5 · повт.</t>
        </is>
      </c>
      <c r="I137" s="16" t="inlineStr">
        <is>
          <t>М9 (9a) · повт.</t>
        </is>
      </c>
      <c r="J137" s="16" t="inlineStr">
        <is>
          <t>М7 (7a) · повт.</t>
        </is>
      </c>
      <c r="K137" s="11" t="inlineStr"/>
      <c r="L137" s="11" t="inlineStr"/>
      <c r="M137" s="11" t="inlineStr"/>
      <c r="N137" s="11" t="inlineStr"/>
      <c r="O137" s="11" t="inlineStr"/>
      <c r="P137" s="17" t="inlineStr">
        <is>
          <t>вебинар</t>
        </is>
      </c>
      <c r="Q137" s="11" t="inlineStr">
        <is>
          <t>вебинар 16.11 (по расписанию): Was / were: отрицание и вопросы</t>
        </is>
      </c>
      <c r="R137" s="17" t="inlineStr">
        <is>
          <t>нет</t>
        </is>
      </c>
      <c r="S137" s="11" t="inlineStr"/>
      <c r="T137" s="11" t="inlineStr"/>
    </row>
    <row r="138">
      <c r="A138" s="11" t="n">
        <v>137</v>
      </c>
      <c r="B138" s="11" t="inlineStr">
        <is>
          <t>Грамматика</t>
        </is>
      </c>
      <c r="C138" s="11" t="inlineStr">
        <is>
          <t>Глаголы: to be / have got / модальные</t>
        </is>
      </c>
      <c r="D138" s="12" t="inlineStr">
        <is>
          <t>to be (Past: was/were)</t>
        </is>
      </c>
      <c r="E138" s="22" t="inlineStr">
        <is>
          <t>to be (Past): слова-указатели прошедшего времени</t>
        </is>
      </c>
      <c r="F138" s="11" t="inlineStr">
        <is>
          <t>7–9</t>
        </is>
      </c>
      <c r="G138" s="14" t="inlineStr">
        <is>
          <t>М2 · новое</t>
        </is>
      </c>
      <c r="H138" s="15" t="inlineStr">
        <is>
          <t>М5 · повт.</t>
        </is>
      </c>
      <c r="I138" s="11" t="inlineStr"/>
      <c r="J138" s="11" t="inlineStr"/>
      <c r="K138" s="11" t="inlineStr"/>
      <c r="L138" s="11" t="inlineStr"/>
      <c r="M138" s="11" t="inlineStr"/>
      <c r="N138" s="11" t="inlineStr"/>
      <c r="O138" s="11" t="inlineStr"/>
      <c r="P138" s="17" t="inlineStr">
        <is>
          <t>видео</t>
        </is>
      </c>
      <c r="Q138" s="11" t="inlineStr">
        <is>
          <t>Was, were+your week
Was,were+Feelings</t>
        </is>
      </c>
      <c r="R138" s="20" t="inlineStr">
        <is>
          <t>—</t>
        </is>
      </c>
      <c r="S138" s="21" t="inlineStr"/>
      <c r="T138" s="11" t="inlineStr"/>
    </row>
    <row r="139">
      <c r="A139" s="4" t="n">
        <v>138</v>
      </c>
      <c r="B139" s="4" t="inlineStr">
        <is>
          <t>Грамматика</t>
        </is>
      </c>
      <c r="C139" s="4" t="inlineStr">
        <is>
          <t>Глаголы: to be / have got / модальные</t>
        </is>
      </c>
      <c r="D139" s="5" t="inlineStr">
        <is>
          <t>to be (Present)</t>
        </is>
      </c>
      <c r="E139" s="24" t="inlineStr">
        <is>
          <t>to be (Present): утверждение — am/is/are, полные и краткие формы</t>
        </is>
      </c>
      <c r="F139" s="4" t="inlineStr">
        <is>
          <t>обе</t>
        </is>
      </c>
      <c r="G139" s="7" t="inlineStr">
        <is>
          <t>М1 · новое</t>
        </is>
      </c>
      <c r="H139" s="4" t="inlineStr"/>
      <c r="I139" s="9" t="inlineStr">
        <is>
          <t>М1 (1b) · повт.</t>
        </is>
      </c>
      <c r="J139" s="9" t="inlineStr">
        <is>
          <t>М1 · повт.</t>
        </is>
      </c>
      <c r="K139" s="4" t="inlineStr"/>
      <c r="L139" s="4" t="inlineStr"/>
      <c r="M139" s="4" t="inlineStr"/>
      <c r="N139" s="4" t="inlineStr"/>
      <c r="O139" s="4" t="inlineStr"/>
      <c r="P139" s="10" t="inlineStr">
        <is>
          <t>видео</t>
        </is>
      </c>
      <c r="Q139" s="4" t="inlineStr">
        <is>
          <t>To be (am is are) + school subjects</t>
        </is>
      </c>
      <c r="R139" s="10" t="inlineStr">
        <is>
          <t>нет</t>
        </is>
      </c>
      <c r="S139" s="4" t="inlineStr"/>
      <c r="T139" s="4" t="inlineStr"/>
    </row>
    <row r="140">
      <c r="A140" s="11" t="n">
        <v>139</v>
      </c>
      <c r="B140" s="11" t="inlineStr">
        <is>
          <t>Грамматика</t>
        </is>
      </c>
      <c r="C140" s="11" t="inlineStr">
        <is>
          <t>Глаголы: to be / have got / модальные</t>
        </is>
      </c>
      <c r="D140" s="12" t="inlineStr">
        <is>
          <t>to be (Present)</t>
        </is>
      </c>
      <c r="E140" s="13" t="inlineStr">
        <is>
          <t>to be (Present): отрицание — am not / isn't / aren't</t>
        </is>
      </c>
      <c r="F140" s="11" t="inlineStr">
        <is>
          <t>обе</t>
        </is>
      </c>
      <c r="G140" s="14" t="inlineStr">
        <is>
          <t>М1 · новое</t>
        </is>
      </c>
      <c r="H140" s="11" t="inlineStr"/>
      <c r="I140" s="16" t="inlineStr">
        <is>
          <t>М1 (1b) · повт.</t>
        </is>
      </c>
      <c r="J140" s="16" t="inlineStr">
        <is>
          <t>М1 · повт.</t>
        </is>
      </c>
      <c r="K140" s="11" t="inlineStr"/>
      <c r="L140" s="11" t="inlineStr"/>
      <c r="M140" s="11" t="inlineStr"/>
      <c r="N140" s="11" t="inlineStr"/>
      <c r="O140" s="11" t="inlineStr"/>
      <c r="P140" s="17" t="inlineStr">
        <is>
          <t>вебинар</t>
        </is>
      </c>
      <c r="Q140" s="11" t="inlineStr">
        <is>
          <t>вебинар 02.11 (по расписанию): To be (am/is/are): отрицание и вопросы</t>
        </is>
      </c>
      <c r="R140" s="17" t="inlineStr">
        <is>
          <t>нет</t>
        </is>
      </c>
      <c r="S140" s="11" t="inlineStr"/>
      <c r="T140" s="11" t="inlineStr"/>
    </row>
    <row r="141">
      <c r="A141" s="11" t="n">
        <v>140</v>
      </c>
      <c r="B141" s="11" t="inlineStr">
        <is>
          <t>Грамматика</t>
        </is>
      </c>
      <c r="C141" s="11" t="inlineStr">
        <is>
          <t>Глаголы: to be / have got / модальные</t>
        </is>
      </c>
      <c r="D141" s="12" t="inlineStr">
        <is>
          <t>to be (Present)</t>
        </is>
      </c>
      <c r="E141" s="13" t="inlineStr">
        <is>
          <t>to be (Present): вопросы и краткие ответы</t>
        </is>
      </c>
      <c r="F141" s="11" t="inlineStr">
        <is>
          <t>обе</t>
        </is>
      </c>
      <c r="G141" s="14" t="inlineStr">
        <is>
          <t>М1 · новое</t>
        </is>
      </c>
      <c r="H141" s="11" t="inlineStr"/>
      <c r="I141" s="16" t="inlineStr">
        <is>
          <t>М1 (1b) · повт.</t>
        </is>
      </c>
      <c r="J141" s="16" t="inlineStr">
        <is>
          <t>М1 · повт.</t>
        </is>
      </c>
      <c r="K141" s="11" t="inlineStr"/>
      <c r="L141" s="11" t="inlineStr"/>
      <c r="M141" s="11" t="inlineStr"/>
      <c r="N141" s="11" t="inlineStr"/>
      <c r="O141" s="11" t="inlineStr"/>
      <c r="P141" s="17" t="inlineStr">
        <is>
          <t>вебинар</t>
        </is>
      </c>
      <c r="Q141" s="11" t="inlineStr">
        <is>
          <t>вебинар 02.11 (по расписанию): To be (am/is/are): отрицание и вопросы</t>
        </is>
      </c>
      <c r="R141" s="17" t="inlineStr">
        <is>
          <t>нет</t>
        </is>
      </c>
      <c r="S141" s="11" t="inlineStr"/>
      <c r="T141" s="11" t="inlineStr"/>
    </row>
    <row r="142">
      <c r="A142" s="4" t="n">
        <v>141</v>
      </c>
      <c r="B142" s="4" t="inlineStr">
        <is>
          <t>Грамматика</t>
        </is>
      </c>
      <c r="C142" s="4" t="inlineStr">
        <is>
          <t>Глаголы: to be / have got / модальные</t>
        </is>
      </c>
      <c r="D142" s="5" t="inlineStr">
        <is>
          <t>have to</t>
        </is>
      </c>
      <c r="E142" s="6" t="inlineStr">
        <is>
          <t>have to: значение — необходимость из-за обстоятельств (утверждение)</t>
        </is>
      </c>
      <c r="F142" s="4" t="inlineStr">
        <is>
          <t>обе</t>
        </is>
      </c>
      <c r="G142" s="4" t="inlineStr"/>
      <c r="H142" s="7" t="inlineStr">
        <is>
          <t>М2 · новое</t>
        </is>
      </c>
      <c r="I142" s="4" t="inlineStr"/>
      <c r="J142" s="30" t="inlineStr">
        <is>
          <t>М8 (8c) · расш.</t>
        </is>
      </c>
      <c r="K142" s="9" t="inlineStr">
        <is>
          <t>М8 · повт.</t>
        </is>
      </c>
      <c r="L142" s="9" t="inlineStr">
        <is>
          <t>М7 (7c) · повт.</t>
        </is>
      </c>
      <c r="M142" s="9" t="inlineStr">
        <is>
          <t>М7 (7d) · повт.</t>
        </is>
      </c>
      <c r="N142" s="30" t="inlineStr">
        <is>
          <t>М4 (4c) · расш.</t>
        </is>
      </c>
      <c r="O142" s="4" t="inlineStr"/>
      <c r="P142" s="10" t="inlineStr">
        <is>
          <t>видео</t>
        </is>
      </c>
      <c r="Q142" s="4" t="inlineStr">
        <is>
          <t>Have to don't have to + chores</t>
        </is>
      </c>
      <c r="R142" s="10" t="inlineStr">
        <is>
          <t>видео</t>
        </is>
      </c>
      <c r="S142" s="4" t="inlineStr">
        <is>
          <t>Extreme sports have to and don't have to (по названию)
Extreme sports have to don't have to (по названию)
Mustn't have to do+rules about animals (по названию)</t>
        </is>
      </c>
      <c r="T142" s="4" t="inlineStr"/>
    </row>
    <row r="143">
      <c r="A143" s="11" t="n">
        <v>142</v>
      </c>
      <c r="B143" s="11" t="inlineStr">
        <is>
          <t>Грамматика</t>
        </is>
      </c>
      <c r="C143" s="11" t="inlineStr">
        <is>
          <t>Глаголы: to be / have got / модальные</t>
        </is>
      </c>
      <c r="D143" s="12" t="inlineStr">
        <is>
          <t>have to</t>
        </is>
      </c>
      <c r="E143" s="22" t="inlineStr">
        <is>
          <t>have to: don't / doesn't have to — отсутствие необходимости</t>
        </is>
      </c>
      <c r="F143" s="11" t="inlineStr">
        <is>
          <t>обе</t>
        </is>
      </c>
      <c r="G143" s="11" t="inlineStr"/>
      <c r="H143" s="14" t="inlineStr">
        <is>
          <t>М2 · новое</t>
        </is>
      </c>
      <c r="I143" s="11" t="inlineStr"/>
      <c r="J143" s="16" t="inlineStr">
        <is>
          <t>М8 (8c) · повт.</t>
        </is>
      </c>
      <c r="K143" s="16" t="inlineStr">
        <is>
          <t>М8 · повт.</t>
        </is>
      </c>
      <c r="L143" s="16" t="inlineStr">
        <is>
          <t>М7 (7c) · повт.</t>
        </is>
      </c>
      <c r="M143" s="16" t="inlineStr">
        <is>
          <t>М7 (7d) · повт.</t>
        </is>
      </c>
      <c r="N143" s="16" t="inlineStr">
        <is>
          <t>М4 (4c) · повт.</t>
        </is>
      </c>
      <c r="O143" s="11" t="inlineStr"/>
      <c r="P143" s="17" t="inlineStr">
        <is>
          <t>видео</t>
        </is>
      </c>
      <c r="Q143" s="11" t="inlineStr">
        <is>
          <t>Have to don't have to + chores</t>
        </is>
      </c>
      <c r="R143" s="17" t="inlineStr">
        <is>
          <t>видео</t>
        </is>
      </c>
      <c r="S143" s="11" t="inlineStr">
        <is>
          <t>Extreme sports have to and don't have to (по названию)
Extreme sports have to don't have to (по названию)
Mustn't have to do+rules about animals (по названию)</t>
        </is>
      </c>
      <c r="T143" s="11" t="inlineStr"/>
    </row>
    <row r="144">
      <c r="A144" s="11" t="n">
        <v>143</v>
      </c>
      <c r="B144" s="11" t="inlineStr">
        <is>
          <t>Грамматика</t>
        </is>
      </c>
      <c r="C144" s="11" t="inlineStr">
        <is>
          <t>Глаголы: to be / have got / модальные</t>
        </is>
      </c>
      <c r="D144" s="12" t="inlineStr">
        <is>
          <t>have to</t>
        </is>
      </c>
      <c r="E144" s="13" t="inlineStr">
        <is>
          <t>have to: вопросы и краткие ответы — Do you have to…?</t>
        </is>
      </c>
      <c r="F144" s="11" t="inlineStr">
        <is>
          <t>7–9</t>
        </is>
      </c>
      <c r="G144" s="11" t="inlineStr"/>
      <c r="H144" s="14" t="inlineStr">
        <is>
          <t>М2 · новое</t>
        </is>
      </c>
      <c r="I144" s="11" t="inlineStr"/>
      <c r="J144" s="11" t="inlineStr"/>
      <c r="K144" s="11" t="inlineStr"/>
      <c r="L144" s="11" t="inlineStr"/>
      <c r="M144" s="11" t="inlineStr"/>
      <c r="N144" s="11" t="inlineStr"/>
      <c r="O144" s="11" t="inlineStr"/>
      <c r="P144" s="17" t="inlineStr">
        <is>
          <t>нет</t>
        </is>
      </c>
      <c r="Q144" s="11" t="inlineStr"/>
      <c r="R144" s="20" t="inlineStr">
        <is>
          <t>—</t>
        </is>
      </c>
      <c r="S144" s="21" t="inlineStr"/>
      <c r="T144" s="11" t="inlineStr"/>
    </row>
    <row r="145">
      <c r="A145" s="11" t="n">
        <v>144</v>
      </c>
      <c r="B145" s="11" t="inlineStr">
        <is>
          <t>Грамматика</t>
        </is>
      </c>
      <c r="C145" s="11" t="inlineStr">
        <is>
          <t>Глаголы: to be / have got / модальные</t>
        </is>
      </c>
      <c r="D145" s="12" t="inlineStr">
        <is>
          <t>have to</t>
        </is>
      </c>
      <c r="E145" s="13" t="inlineStr">
        <is>
          <t>have to: had to — прошедшее время</t>
        </is>
      </c>
      <c r="F145" s="11" t="inlineStr">
        <is>
          <t>10+</t>
        </is>
      </c>
      <c r="G145" s="11" t="inlineStr"/>
      <c r="H145" s="11" t="inlineStr"/>
      <c r="I145" s="11" t="inlineStr"/>
      <c r="J145" s="11" t="inlineStr"/>
      <c r="K145" s="23" t="inlineStr">
        <is>
          <t>М8 · новое</t>
        </is>
      </c>
      <c r="L145" s="16" t="inlineStr">
        <is>
          <t>М7 (7c) · повт.</t>
        </is>
      </c>
      <c r="M145" s="11" t="inlineStr"/>
      <c r="N145" s="16" t="inlineStr">
        <is>
          <t>М4 (4c) · повт.</t>
        </is>
      </c>
      <c r="O145" s="11" t="inlineStr"/>
      <c r="P145" s="20" t="inlineStr">
        <is>
          <t>—</t>
        </is>
      </c>
      <c r="Q145" s="21" t="inlineStr"/>
      <c r="R145" s="17" t="inlineStr">
        <is>
          <t>нет</t>
        </is>
      </c>
      <c r="S145" s="11" t="inlineStr"/>
      <c r="T145" s="11" t="inlineStr"/>
    </row>
    <row r="146">
      <c r="A146" s="11" t="n">
        <v>145</v>
      </c>
      <c r="B146" s="11" t="inlineStr">
        <is>
          <t>Грамматика</t>
        </is>
      </c>
      <c r="C146" s="11" t="inlineStr">
        <is>
          <t>Глаголы: to be / have got / модальные</t>
        </is>
      </c>
      <c r="D146" s="12" t="inlineStr">
        <is>
          <t>have to</t>
        </is>
      </c>
      <c r="E146" s="13" t="inlineStr">
        <is>
          <t>have to: didn't have to — не было необходимости в прошлом</t>
        </is>
      </c>
      <c r="F146" s="11" t="inlineStr">
        <is>
          <t>10+</t>
        </is>
      </c>
      <c r="G146" s="11" t="inlineStr"/>
      <c r="H146" s="11" t="inlineStr"/>
      <c r="I146" s="11" t="inlineStr"/>
      <c r="J146" s="11" t="inlineStr"/>
      <c r="K146" s="11" t="inlineStr"/>
      <c r="L146" s="23" t="inlineStr">
        <is>
          <t>М7 (7c) · новое</t>
        </is>
      </c>
      <c r="M146" s="16" t="inlineStr">
        <is>
          <t>М7 (7d) · повт.</t>
        </is>
      </c>
      <c r="N146" s="16" t="inlineStr">
        <is>
          <t>М4 (4c) · повт.</t>
        </is>
      </c>
      <c r="O146" s="11" t="inlineStr"/>
      <c r="P146" s="20" t="inlineStr">
        <is>
          <t>—</t>
        </is>
      </c>
      <c r="Q146" s="21" t="inlineStr"/>
      <c r="R146" s="17" t="inlineStr">
        <is>
          <t>нет</t>
        </is>
      </c>
      <c r="S146" s="11" t="inlineStr"/>
      <c r="T146" s="11" t="inlineStr"/>
    </row>
    <row r="147">
      <c r="A147" s="11" t="n">
        <v>146</v>
      </c>
      <c r="B147" s="11" t="inlineStr">
        <is>
          <t>Грамматика</t>
        </is>
      </c>
      <c r="C147" s="11" t="inlineStr">
        <is>
          <t>Глаголы: to be / have got / модальные</t>
        </is>
      </c>
      <c r="D147" s="12" t="inlineStr">
        <is>
          <t>have to</t>
        </is>
      </c>
      <c r="E147" s="13" t="inlineStr">
        <is>
          <t>have to: have got to (= have to)</t>
        </is>
      </c>
      <c r="F147" s="11" t="inlineStr">
        <is>
          <t>10+</t>
        </is>
      </c>
      <c r="G147" s="11" t="inlineStr"/>
      <c r="H147" s="11" t="inlineStr"/>
      <c r="I147" s="11" t="inlineStr"/>
      <c r="J147" s="11" t="inlineStr"/>
      <c r="K147" s="11" t="inlineStr"/>
      <c r="L147" s="11" t="inlineStr"/>
      <c r="M147" s="11" t="inlineStr"/>
      <c r="N147" s="23" t="inlineStr">
        <is>
          <t>М4 (4c) · новое</t>
        </is>
      </c>
      <c r="O147" s="11" t="inlineStr"/>
      <c r="P147" s="20" t="inlineStr">
        <is>
          <t>—</t>
        </is>
      </c>
      <c r="Q147" s="21" t="inlineStr"/>
      <c r="R147" s="17" t="inlineStr">
        <is>
          <t>нет</t>
        </is>
      </c>
      <c r="S147" s="11" t="inlineStr"/>
      <c r="T147" s="11" t="inlineStr"/>
    </row>
    <row r="148">
      <c r="A148" s="4" t="n">
        <v>147</v>
      </c>
      <c r="B148" s="4" t="inlineStr">
        <is>
          <t>Грамматика</t>
        </is>
      </c>
      <c r="C148" s="4" t="inlineStr">
        <is>
          <t>Глаголы: to be / have got / модальные</t>
        </is>
      </c>
      <c r="D148" s="5" t="inlineStr">
        <is>
          <t>may/might</t>
        </is>
      </c>
      <c r="E148" s="6" t="inlineStr">
        <is>
          <t>may/might: may — спросить разрешения (May I…?) и ответы</t>
        </is>
      </c>
      <c r="F148" s="4" t="inlineStr">
        <is>
          <t>7–9</t>
        </is>
      </c>
      <c r="G148" s="4" t="inlineStr"/>
      <c r="H148" s="7" t="inlineStr">
        <is>
          <t>М3 · новое</t>
        </is>
      </c>
      <c r="I148" s="4" t="inlineStr"/>
      <c r="J148" s="4" t="inlineStr"/>
      <c r="K148" s="4" t="inlineStr"/>
      <c r="L148" s="4" t="inlineStr"/>
      <c r="M148" s="4" t="inlineStr"/>
      <c r="N148" s="4" t="inlineStr"/>
      <c r="O148" s="4" t="inlineStr"/>
      <c r="P148" s="10" t="inlineStr">
        <is>
          <t>видео</t>
        </is>
      </c>
      <c r="Q148" s="4" t="inlineStr">
        <is>
          <t>May I+dinner table.</t>
        </is>
      </c>
      <c r="R148" s="28" t="inlineStr">
        <is>
          <t>—</t>
        </is>
      </c>
      <c r="S148" s="29" t="inlineStr"/>
      <c r="T148" s="4" t="inlineStr"/>
    </row>
    <row r="149">
      <c r="A149" s="11" t="n">
        <v>148</v>
      </c>
      <c r="B149" s="11" t="inlineStr">
        <is>
          <t>Грамматика</t>
        </is>
      </c>
      <c r="C149" s="11" t="inlineStr">
        <is>
          <t>Глаголы: to be / have got / модальные</t>
        </is>
      </c>
      <c r="D149" s="12" t="inlineStr">
        <is>
          <t>may/might</t>
        </is>
      </c>
      <c r="E149" s="13" t="inlineStr">
        <is>
          <t>may/might: can — общая (теоретическая) возможность</t>
        </is>
      </c>
      <c r="F149" s="11" t="inlineStr">
        <is>
          <t>10+</t>
        </is>
      </c>
      <c r="G149" s="11" t="inlineStr"/>
      <c r="H149" s="11" t="inlineStr"/>
      <c r="I149" s="11" t="inlineStr"/>
      <c r="J149" s="11" t="inlineStr"/>
      <c r="K149" s="11" t="inlineStr"/>
      <c r="L149" s="23" t="inlineStr">
        <is>
          <t>М7 (7c) · новое</t>
        </is>
      </c>
      <c r="M149" s="16" t="inlineStr">
        <is>
          <t>М7 (7d) · повт.</t>
        </is>
      </c>
      <c r="N149" s="16" t="inlineStr">
        <is>
          <t>М4 (4c) · повт.</t>
        </is>
      </c>
      <c r="O149" s="16" t="inlineStr">
        <is>
          <t>М5 (5c) · повт.</t>
        </is>
      </c>
      <c r="P149" s="20" t="inlineStr">
        <is>
          <t>—</t>
        </is>
      </c>
      <c r="Q149" s="21" t="inlineStr"/>
      <c r="R149" s="17" t="inlineStr">
        <is>
          <t>нет</t>
        </is>
      </c>
      <c r="S149" s="11" t="inlineStr"/>
      <c r="T149" s="11" t="inlineStr"/>
    </row>
    <row r="150">
      <c r="A150" s="11" t="n">
        <v>149</v>
      </c>
      <c r="B150" s="11" t="inlineStr">
        <is>
          <t>Грамматика</t>
        </is>
      </c>
      <c r="C150" s="11" t="inlineStr">
        <is>
          <t>Глаголы: to be / have got / модальные</t>
        </is>
      </c>
      <c r="D150" s="12" t="inlineStr">
        <is>
          <t>may/might</t>
        </is>
      </c>
      <c r="E150" s="13" t="inlineStr">
        <is>
          <t>may/might: could/may/might — возможность в конкретной ситуации</t>
        </is>
      </c>
      <c r="F150" s="11" t="inlineStr">
        <is>
          <t>10+</t>
        </is>
      </c>
      <c r="G150" s="11" t="inlineStr"/>
      <c r="H150" s="11" t="inlineStr"/>
      <c r="I150" s="11" t="inlineStr"/>
      <c r="J150" s="11" t="inlineStr"/>
      <c r="K150" s="11" t="inlineStr"/>
      <c r="L150" s="23" t="inlineStr">
        <is>
          <t>М7 (7c) · новое</t>
        </is>
      </c>
      <c r="M150" s="16" t="inlineStr">
        <is>
          <t>М7 (7d) · повт.</t>
        </is>
      </c>
      <c r="N150" s="16" t="inlineStr">
        <is>
          <t>М4 (4c) · повт.</t>
        </is>
      </c>
      <c r="O150" s="16" t="inlineStr">
        <is>
          <t>М5 (5c) · повт.</t>
        </is>
      </c>
      <c r="P150" s="20" t="inlineStr">
        <is>
          <t>—</t>
        </is>
      </c>
      <c r="Q150" s="21" t="inlineStr"/>
      <c r="R150" s="17" t="inlineStr">
        <is>
          <t>нет</t>
        </is>
      </c>
      <c r="S150" s="11" t="inlineStr"/>
      <c r="T150" s="11" t="inlineStr"/>
    </row>
    <row r="151">
      <c r="A151" s="11" t="n">
        <v>150</v>
      </c>
      <c r="B151" s="11" t="inlineStr">
        <is>
          <t>Грамматика</t>
        </is>
      </c>
      <c r="C151" s="11" t="inlineStr">
        <is>
          <t>Глаголы: to be / have got / модальные</t>
        </is>
      </c>
      <c r="D151" s="12" t="inlineStr">
        <is>
          <t>may/might</t>
        </is>
      </c>
      <c r="E151" s="13" t="inlineStr">
        <is>
          <t>may/might: возможность в вопросах — can/could/might, но не may</t>
        </is>
      </c>
      <c r="F151" s="11" t="inlineStr">
        <is>
          <t>10+</t>
        </is>
      </c>
      <c r="G151" s="11" t="inlineStr"/>
      <c r="H151" s="11" t="inlineStr"/>
      <c r="I151" s="11" t="inlineStr"/>
      <c r="J151" s="11" t="inlineStr"/>
      <c r="K151" s="11" t="inlineStr"/>
      <c r="L151" s="23" t="inlineStr">
        <is>
          <t>М7 (7c) · новое</t>
        </is>
      </c>
      <c r="M151" s="16" t="inlineStr">
        <is>
          <t>М7 (7d) · повт.</t>
        </is>
      </c>
      <c r="N151" s="16" t="inlineStr">
        <is>
          <t>М4 (4c) · повт.</t>
        </is>
      </c>
      <c r="O151" s="16" t="inlineStr">
        <is>
          <t>М5 (5c) · повт.</t>
        </is>
      </c>
      <c r="P151" s="20" t="inlineStr">
        <is>
          <t>—</t>
        </is>
      </c>
      <c r="Q151" s="21" t="inlineStr"/>
      <c r="R151" s="17" t="inlineStr">
        <is>
          <t>нет</t>
        </is>
      </c>
      <c r="S151" s="11" t="inlineStr"/>
      <c r="T151" s="11" t="inlineStr"/>
    </row>
    <row r="152">
      <c r="A152" s="11" t="n">
        <v>151</v>
      </c>
      <c r="B152" s="11" t="inlineStr">
        <is>
          <t>Грамматика</t>
        </is>
      </c>
      <c r="C152" s="11" t="inlineStr">
        <is>
          <t>Глаголы: to be / have got / модальные</t>
        </is>
      </c>
      <c r="D152" s="12" t="inlineStr">
        <is>
          <t>may/might</t>
        </is>
      </c>
      <c r="E152" s="13" t="inlineStr">
        <is>
          <t>may/might: could/might/would + have V3 — было возможно, но не случилось</t>
        </is>
      </c>
      <c r="F152" s="11" t="inlineStr">
        <is>
          <t>10+</t>
        </is>
      </c>
      <c r="G152" s="11" t="inlineStr"/>
      <c r="H152" s="11" t="inlineStr"/>
      <c r="I152" s="11" t="inlineStr"/>
      <c r="J152" s="11" t="inlineStr"/>
      <c r="K152" s="11" t="inlineStr"/>
      <c r="L152" s="23" t="inlineStr">
        <is>
          <t>М7 (7c) · новое</t>
        </is>
      </c>
      <c r="M152" s="16" t="inlineStr">
        <is>
          <t>М7 (7d) · повт.</t>
        </is>
      </c>
      <c r="N152" s="16" t="inlineStr">
        <is>
          <t>М4 (4c) · повт.</t>
        </is>
      </c>
      <c r="O152" s="16" t="inlineStr">
        <is>
          <t>М5 (5c) · повт.</t>
        </is>
      </c>
      <c r="P152" s="20" t="inlineStr">
        <is>
          <t>—</t>
        </is>
      </c>
      <c r="Q152" s="21" t="inlineStr"/>
      <c r="R152" s="17" t="inlineStr">
        <is>
          <t>нет</t>
        </is>
      </c>
      <c r="S152" s="11" t="inlineStr"/>
      <c r="T152" s="11" t="inlineStr"/>
    </row>
    <row r="153">
      <c r="A153" s="4" t="n">
        <v>152</v>
      </c>
      <c r="B153" s="4" t="inlineStr">
        <is>
          <t>Грамматика</t>
        </is>
      </c>
      <c r="C153" s="4" t="inlineStr">
        <is>
          <t>Глаголы: to be / have got / модальные</t>
        </is>
      </c>
      <c r="D153" s="5" t="inlineStr">
        <is>
          <t>must/mustn't</t>
        </is>
      </c>
      <c r="E153" s="26" t="inlineStr">
        <is>
          <t>must/mustn't: must — обязанность, необходимость</t>
        </is>
      </c>
      <c r="F153" s="4" t="inlineStr">
        <is>
          <t>обе</t>
        </is>
      </c>
      <c r="G153" s="4" t="inlineStr"/>
      <c r="H153" s="7" t="inlineStr">
        <is>
          <t>М4 · новое</t>
        </is>
      </c>
      <c r="I153" s="9" t="inlineStr">
        <is>
          <t>М9 · повт.</t>
        </is>
      </c>
      <c r="J153" s="9" t="inlineStr">
        <is>
          <t>М8 (8a) · повт.</t>
        </is>
      </c>
      <c r="K153" s="9" t="inlineStr">
        <is>
          <t>М8 · повт.</t>
        </is>
      </c>
      <c r="L153" s="9" t="inlineStr">
        <is>
          <t>М7 (7c) · повт.</t>
        </is>
      </c>
      <c r="M153" s="9" t="inlineStr">
        <is>
          <t>М7 (7d) · повт.</t>
        </is>
      </c>
      <c r="N153" s="30" t="inlineStr">
        <is>
          <t>М4 (4c) · расш.</t>
        </is>
      </c>
      <c r="O153" s="4" t="inlineStr"/>
      <c r="P153" s="10" t="inlineStr">
        <is>
          <t>вебинар</t>
        </is>
      </c>
      <c r="Q153" s="4" t="inlineStr">
        <is>
          <t>вебинар 23.11 (по расписанию): Must / mustn't + school rules
материалы: Fun at school+must</t>
        </is>
      </c>
      <c r="R153" s="10" t="inlineStr">
        <is>
          <t>видео</t>
        </is>
      </c>
      <c r="S153" s="4" t="inlineStr">
        <is>
          <t>Mustn't have to do+rules about animals (по названию)
Rules must-mustnt</t>
        </is>
      </c>
      <c r="T153" s="4" t="inlineStr"/>
    </row>
    <row r="154">
      <c r="A154" s="11" t="n">
        <v>153</v>
      </c>
      <c r="B154" s="11" t="inlineStr">
        <is>
          <t>Грамматика</t>
        </is>
      </c>
      <c r="C154" s="11" t="inlineStr">
        <is>
          <t>Глаголы: to be / have got / модальные</t>
        </is>
      </c>
      <c r="D154" s="12" t="inlineStr">
        <is>
          <t>must/mustn't</t>
        </is>
      </c>
      <c r="E154" s="18" t="inlineStr">
        <is>
          <t>must/mustn't: mustn't — запрет</t>
        </is>
      </c>
      <c r="F154" s="11" t="inlineStr">
        <is>
          <t>обе</t>
        </is>
      </c>
      <c r="G154" s="11" t="inlineStr"/>
      <c r="H154" s="14" t="inlineStr">
        <is>
          <t>М4 · новое</t>
        </is>
      </c>
      <c r="I154" s="16" t="inlineStr">
        <is>
          <t>М9 · повт.</t>
        </is>
      </c>
      <c r="J154" s="16" t="inlineStr">
        <is>
          <t>М8 (8a) · повт.</t>
        </is>
      </c>
      <c r="K154" s="16" t="inlineStr">
        <is>
          <t>М8 · повт.</t>
        </is>
      </c>
      <c r="L154" s="11" t="inlineStr"/>
      <c r="M154" s="16" t="inlineStr">
        <is>
          <t>М7 (7d) · повт.</t>
        </is>
      </c>
      <c r="N154" s="16" t="inlineStr">
        <is>
          <t>М4 (4c) · повт.</t>
        </is>
      </c>
      <c r="O154" s="11" t="inlineStr"/>
      <c r="P154" s="17" t="inlineStr">
        <is>
          <t>вебинар</t>
        </is>
      </c>
      <c r="Q154" s="11" t="inlineStr">
        <is>
          <t>вебинар 23.11 (по расписанию): Must / mustn't + school rules</t>
        </is>
      </c>
      <c r="R154" s="17" t="inlineStr">
        <is>
          <t>видео</t>
        </is>
      </c>
      <c r="S154" s="11" t="inlineStr">
        <is>
          <t>Mustn't have to do+rules about animals (по названию)
Rules must-mustnt</t>
        </is>
      </c>
      <c r="T154" s="11" t="inlineStr"/>
    </row>
    <row r="155">
      <c r="A155" s="11" t="n">
        <v>154</v>
      </c>
      <c r="B155" s="11" t="inlineStr">
        <is>
          <t>Грамматика</t>
        </is>
      </c>
      <c r="C155" s="11" t="inlineStr">
        <is>
          <t>Глаголы: to be / have got / модальные</t>
        </is>
      </c>
      <c r="D155" s="12" t="inlineStr">
        <is>
          <t>must/mustn't</t>
        </is>
      </c>
      <c r="E155" s="13" t="inlineStr">
        <is>
          <t>must/mustn't: can't как запрет (= mustn't)</t>
        </is>
      </c>
      <c r="F155" s="11" t="inlineStr">
        <is>
          <t>10+</t>
        </is>
      </c>
      <c r="G155" s="11" t="inlineStr"/>
      <c r="H155" s="11" t="inlineStr"/>
      <c r="I155" s="11" t="inlineStr"/>
      <c r="J155" s="23" t="inlineStr">
        <is>
          <t>М8 (8a) · новое</t>
        </is>
      </c>
      <c r="K155" s="11" t="inlineStr"/>
      <c r="L155" s="16" t="inlineStr">
        <is>
          <t>М7 (7c) · повт.</t>
        </is>
      </c>
      <c r="M155" s="11" t="inlineStr"/>
      <c r="N155" s="16" t="inlineStr">
        <is>
          <t>М4 (4c) · повт.</t>
        </is>
      </c>
      <c r="O155" s="11" t="inlineStr"/>
      <c r="P155" s="20" t="inlineStr">
        <is>
          <t>—</t>
        </is>
      </c>
      <c r="Q155" s="21" t="inlineStr"/>
      <c r="R155" s="17" t="inlineStr">
        <is>
          <t>нет</t>
        </is>
      </c>
      <c r="S155" s="11" t="inlineStr"/>
      <c r="T155" s="11" t="inlineStr"/>
    </row>
    <row r="156">
      <c r="A156" s="11" t="n">
        <v>155</v>
      </c>
      <c r="B156" s="11" t="inlineStr">
        <is>
          <t>Грамматика</t>
        </is>
      </c>
      <c r="C156" s="11" t="inlineStr">
        <is>
          <t>Глаголы: to be / have got / модальные</t>
        </is>
      </c>
      <c r="D156" s="12" t="inlineStr">
        <is>
          <t>must/mustn't</t>
        </is>
      </c>
      <c r="E156" s="13" t="inlineStr">
        <is>
          <t>must/mustn't: must — настойчивый совет</t>
        </is>
      </c>
      <c r="F156" s="11" t="inlineStr">
        <is>
          <t>10+</t>
        </is>
      </c>
      <c r="G156" s="11" t="inlineStr"/>
      <c r="H156" s="11" t="inlineStr"/>
      <c r="I156" s="11" t="inlineStr"/>
      <c r="J156" s="11" t="inlineStr"/>
      <c r="K156" s="23" t="inlineStr">
        <is>
          <t>М8 · новое</t>
        </is>
      </c>
      <c r="L156" s="11" t="inlineStr"/>
      <c r="M156" s="11" t="inlineStr"/>
      <c r="N156" s="11" t="inlineStr"/>
      <c r="O156" s="11" t="inlineStr"/>
      <c r="P156" s="20" t="inlineStr">
        <is>
          <t>—</t>
        </is>
      </c>
      <c r="Q156" s="21" t="inlineStr"/>
      <c r="R156" s="17" t="inlineStr">
        <is>
          <t>нет</t>
        </is>
      </c>
      <c r="S156" s="11" t="inlineStr"/>
      <c r="T156" s="11" t="inlineStr"/>
    </row>
    <row r="157">
      <c r="A157" s="11" t="n">
        <v>156</v>
      </c>
      <c r="B157" s="11" t="inlineStr">
        <is>
          <t>Грамматика</t>
        </is>
      </c>
      <c r="C157" s="11" t="inlineStr">
        <is>
          <t>Глаголы: to be / have got / модальные</t>
        </is>
      </c>
      <c r="D157" s="12" t="inlineStr">
        <is>
          <t>must/mustn't</t>
        </is>
      </c>
      <c r="E157" s="13" t="inlineStr">
        <is>
          <t>must/mustn't: must только в настоящем; в других временах — have to / had to</t>
        </is>
      </c>
      <c r="F157" s="11" t="inlineStr">
        <is>
          <t>10+</t>
        </is>
      </c>
      <c r="G157" s="11" t="inlineStr"/>
      <c r="H157" s="11" t="inlineStr"/>
      <c r="I157" s="11" t="inlineStr"/>
      <c r="J157" s="11" t="inlineStr"/>
      <c r="K157" s="23" t="inlineStr">
        <is>
          <t>М8 · новое</t>
        </is>
      </c>
      <c r="L157" s="16" t="inlineStr">
        <is>
          <t>М7 (7c) · повт.</t>
        </is>
      </c>
      <c r="M157" s="16" t="inlineStr">
        <is>
          <t>М7 (7d) · повт.</t>
        </is>
      </c>
      <c r="N157" s="11" t="inlineStr"/>
      <c r="O157" s="11" t="inlineStr"/>
      <c r="P157" s="20" t="inlineStr">
        <is>
          <t>—</t>
        </is>
      </c>
      <c r="Q157" s="21" t="inlineStr"/>
      <c r="R157" s="17" t="inlineStr">
        <is>
          <t>нет</t>
        </is>
      </c>
      <c r="S157" s="11" t="inlineStr"/>
      <c r="T157" s="11" t="inlineStr"/>
    </row>
    <row r="158">
      <c r="A158" s="11" t="n">
        <v>157</v>
      </c>
      <c r="B158" s="11" t="inlineStr">
        <is>
          <t>Грамматика</t>
        </is>
      </c>
      <c r="C158" s="11" t="inlineStr">
        <is>
          <t>Глаголы: to be / have got / модальные</t>
        </is>
      </c>
      <c r="D158" s="12" t="inlineStr">
        <is>
          <t>must/mustn't</t>
        </is>
      </c>
      <c r="E158" s="13" t="inlineStr">
        <is>
          <t>must/mustn't: must — логический вывод</t>
        </is>
      </c>
      <c r="F158" s="11" t="inlineStr">
        <is>
          <t>10+</t>
        </is>
      </c>
      <c r="G158" s="11" t="inlineStr"/>
      <c r="H158" s="11" t="inlineStr"/>
      <c r="I158" s="11" t="inlineStr"/>
      <c r="J158" s="11" t="inlineStr"/>
      <c r="K158" s="11" t="inlineStr"/>
      <c r="L158" s="11" t="inlineStr"/>
      <c r="M158" s="11" t="inlineStr"/>
      <c r="N158" s="23" t="inlineStr">
        <is>
          <t>М4 (4c) · новое</t>
        </is>
      </c>
      <c r="O158" s="11" t="inlineStr"/>
      <c r="P158" s="20" t="inlineStr">
        <is>
          <t>—</t>
        </is>
      </c>
      <c r="Q158" s="21" t="inlineStr"/>
      <c r="R158" s="17" t="inlineStr">
        <is>
          <t>нет</t>
        </is>
      </c>
      <c r="S158" s="11" t="inlineStr"/>
      <c r="T158" s="11" t="inlineStr"/>
    </row>
    <row r="159">
      <c r="A159" s="4" t="n">
        <v>158</v>
      </c>
      <c r="B159" s="4" t="inlineStr">
        <is>
          <t>Грамматика</t>
        </is>
      </c>
      <c r="C159" s="4" t="inlineStr">
        <is>
          <t>Глаголы: to be / have got / модальные</t>
        </is>
      </c>
      <c r="D159" s="5" t="inlineStr">
        <is>
          <t>can (permission/request)</t>
        </is>
      </c>
      <c r="E159" s="6" t="inlineStr">
        <is>
          <t>can (permission/request): спросить разрешения — Can I…?</t>
        </is>
      </c>
      <c r="F159" s="4" t="inlineStr">
        <is>
          <t>10+</t>
        </is>
      </c>
      <c r="G159" s="4" t="inlineStr"/>
      <c r="H159" s="4" t="inlineStr"/>
      <c r="I159" s="27" t="inlineStr">
        <is>
          <t>М10 (10a) · новое</t>
        </is>
      </c>
      <c r="J159" s="9" t="inlineStr">
        <is>
          <t>М3 (3b) · повт.</t>
        </is>
      </c>
      <c r="K159" s="4" t="inlineStr"/>
      <c r="L159" s="4" t="inlineStr"/>
      <c r="M159" s="4" t="inlineStr"/>
      <c r="N159" s="4" t="inlineStr"/>
      <c r="O159" s="4" t="inlineStr"/>
      <c r="P159" s="28" t="inlineStr">
        <is>
          <t>—</t>
        </is>
      </c>
      <c r="Q159" s="29" t="inlineStr"/>
      <c r="R159" s="10" t="inlineStr">
        <is>
          <t>видео</t>
        </is>
      </c>
      <c r="S159" s="4" t="inlineStr">
        <is>
          <t>Can can't — permission...f holiday travel rules (по названию)</t>
        </is>
      </c>
      <c r="T159" s="4" t="inlineStr"/>
    </row>
    <row r="160">
      <c r="A160" s="11" t="n">
        <v>159</v>
      </c>
      <c r="B160" s="11" t="inlineStr">
        <is>
          <t>Грамматика</t>
        </is>
      </c>
      <c r="C160" s="11" t="inlineStr">
        <is>
          <t>Глаголы: to be / have got / модальные</t>
        </is>
      </c>
      <c r="D160" s="12" t="inlineStr">
        <is>
          <t>can (permission/request)</t>
        </is>
      </c>
      <c r="E160" s="13" t="inlineStr">
        <is>
          <t>can (permission/request): просьба — Can you…? / Can I have…?</t>
        </is>
      </c>
      <c r="F160" s="11" t="inlineStr">
        <is>
          <t>10+</t>
        </is>
      </c>
      <c r="G160" s="11" t="inlineStr"/>
      <c r="H160" s="11" t="inlineStr"/>
      <c r="I160" s="23" t="inlineStr">
        <is>
          <t>М10 (10a) · новое</t>
        </is>
      </c>
      <c r="J160" s="16" t="inlineStr">
        <is>
          <t>М3 (3b) · повт.</t>
        </is>
      </c>
      <c r="K160" s="11" t="inlineStr"/>
      <c r="L160" s="11" t="inlineStr"/>
      <c r="M160" s="11" t="inlineStr"/>
      <c r="N160" s="11" t="inlineStr"/>
      <c r="O160" s="11" t="inlineStr"/>
      <c r="P160" s="20" t="inlineStr">
        <is>
          <t>—</t>
        </is>
      </c>
      <c r="Q160" s="21" t="inlineStr"/>
      <c r="R160" s="17" t="inlineStr">
        <is>
          <t>нет</t>
        </is>
      </c>
      <c r="S160" s="11" t="inlineStr"/>
      <c r="T160" s="11" t="inlineStr"/>
    </row>
    <row r="161">
      <c r="A161" s="11" t="n">
        <v>160</v>
      </c>
      <c r="B161" s="11" t="inlineStr">
        <is>
          <t>Грамматика</t>
        </is>
      </c>
      <c r="C161" s="11" t="inlineStr">
        <is>
          <t>Глаголы: to be / have got / модальные</t>
        </is>
      </c>
      <c r="D161" s="12" t="inlineStr">
        <is>
          <t>can (permission/request)</t>
        </is>
      </c>
      <c r="E161" s="13" t="inlineStr">
        <is>
          <t>can (permission/request): предложение помощи — Can I…?</t>
        </is>
      </c>
      <c r="F161" s="11" t="inlineStr">
        <is>
          <t>10+</t>
        </is>
      </c>
      <c r="G161" s="11" t="inlineStr"/>
      <c r="H161" s="11" t="inlineStr"/>
      <c r="I161" s="23" t="inlineStr">
        <is>
          <t>М10 (10a) · новое</t>
        </is>
      </c>
      <c r="J161" s="11" t="inlineStr"/>
      <c r="K161" s="11" t="inlineStr"/>
      <c r="L161" s="11" t="inlineStr"/>
      <c r="M161" s="11" t="inlineStr"/>
      <c r="N161" s="11" t="inlineStr"/>
      <c r="O161" s="11" t="inlineStr"/>
      <c r="P161" s="20" t="inlineStr">
        <is>
          <t>—</t>
        </is>
      </c>
      <c r="Q161" s="21" t="inlineStr"/>
      <c r="R161" s="17" t="inlineStr">
        <is>
          <t>нет</t>
        </is>
      </c>
      <c r="S161" s="11" t="inlineStr"/>
      <c r="T161" s="11" t="inlineStr"/>
    </row>
    <row r="162">
      <c r="A162" s="11" t="n">
        <v>161</v>
      </c>
      <c r="B162" s="11" t="inlineStr">
        <is>
          <t>Грамматика</t>
        </is>
      </c>
      <c r="C162" s="11" t="inlineStr">
        <is>
          <t>Глаголы: to be / have got / модальные</t>
        </is>
      </c>
      <c r="D162" s="12" t="inlineStr">
        <is>
          <t>can (permission/request)</t>
        </is>
      </c>
      <c r="E162" s="22" t="inlineStr">
        <is>
          <t>can (permission/request): can't — запрет</t>
        </is>
      </c>
      <c r="F162" s="11" t="inlineStr">
        <is>
          <t>10+</t>
        </is>
      </c>
      <c r="G162" s="11" t="inlineStr"/>
      <c r="H162" s="11" t="inlineStr"/>
      <c r="I162" s="23" t="inlineStr">
        <is>
          <t>М10 (10a) · новое</t>
        </is>
      </c>
      <c r="J162" s="16" t="inlineStr">
        <is>
          <t>М3 (3b) · повт.</t>
        </is>
      </c>
      <c r="K162" s="11" t="inlineStr"/>
      <c r="L162" s="11" t="inlineStr"/>
      <c r="M162" s="19" t="inlineStr">
        <is>
          <t>М7 (7d) · расш.</t>
        </is>
      </c>
      <c r="N162" s="16" t="inlineStr">
        <is>
          <t>М4 (4c) · повт.</t>
        </is>
      </c>
      <c r="O162" s="16" t="inlineStr">
        <is>
          <t>М5 (5c) · повт.</t>
        </is>
      </c>
      <c r="P162" s="20" t="inlineStr">
        <is>
          <t>—</t>
        </is>
      </c>
      <c r="Q162" s="21" t="inlineStr"/>
      <c r="R162" s="17" t="inlineStr">
        <is>
          <t>видео</t>
        </is>
      </c>
      <c r="S162" s="11" t="inlineStr">
        <is>
          <t>Can can't — permission...f holiday travel rules (по названию)</t>
        </is>
      </c>
      <c r="T162" s="11" t="inlineStr"/>
    </row>
    <row r="163">
      <c r="A163" s="11" t="n">
        <v>162</v>
      </c>
      <c r="B163" s="11" t="inlineStr">
        <is>
          <t>Грамматика</t>
        </is>
      </c>
      <c r="C163" s="11" t="inlineStr">
        <is>
          <t>Глаголы: to be / have got / модальные</t>
        </is>
      </c>
      <c r="D163" s="12" t="inlineStr">
        <is>
          <t>can (permission/request)</t>
        </is>
      </c>
      <c r="E163" s="13" t="inlineStr">
        <is>
          <t>can (permission/request): can vs may — разрешение (may формальнее)</t>
        </is>
      </c>
      <c r="F163" s="11" t="inlineStr">
        <is>
          <t>10+</t>
        </is>
      </c>
      <c r="G163" s="11" t="inlineStr"/>
      <c r="H163" s="11" t="inlineStr"/>
      <c r="I163" s="11" t="inlineStr"/>
      <c r="J163" s="11" t="inlineStr"/>
      <c r="K163" s="11" t="inlineStr"/>
      <c r="L163" s="23" t="inlineStr">
        <is>
          <t>М7 (7c) · новое</t>
        </is>
      </c>
      <c r="M163" s="16" t="inlineStr">
        <is>
          <t>М7 (7d) · повт.</t>
        </is>
      </c>
      <c r="N163" s="16" t="inlineStr">
        <is>
          <t>М4 (4c) · повт.</t>
        </is>
      </c>
      <c r="O163" s="16" t="inlineStr">
        <is>
          <t>М5 (5c) · повт.</t>
        </is>
      </c>
      <c r="P163" s="20" t="inlineStr">
        <is>
          <t>—</t>
        </is>
      </c>
      <c r="Q163" s="21" t="inlineStr"/>
      <c r="R163" s="17" t="inlineStr">
        <is>
          <t>нет</t>
        </is>
      </c>
      <c r="S163" s="11" t="inlineStr"/>
      <c r="T163" s="11" t="inlineStr"/>
    </row>
    <row r="164">
      <c r="A164" s="11" t="n">
        <v>163</v>
      </c>
      <c r="B164" s="11" t="inlineStr">
        <is>
          <t>Грамматика</t>
        </is>
      </c>
      <c r="C164" s="11" t="inlineStr">
        <is>
          <t>Глаголы: to be / have got / модальные</t>
        </is>
      </c>
      <c r="D164" s="12" t="inlineStr">
        <is>
          <t>can (permission/request)</t>
        </is>
      </c>
      <c r="E164" s="13" t="inlineStr">
        <is>
          <t>can (permission/request): предложения (offers/suggestions) — can, could, would, shall</t>
        </is>
      </c>
      <c r="F164" s="11" t="inlineStr">
        <is>
          <t>10+</t>
        </is>
      </c>
      <c r="G164" s="11" t="inlineStr"/>
      <c r="H164" s="11" t="inlineStr"/>
      <c r="I164" s="11" t="inlineStr"/>
      <c r="J164" s="11" t="inlineStr"/>
      <c r="K164" s="11" t="inlineStr"/>
      <c r="L164" s="23" t="inlineStr">
        <is>
          <t>М7 (7c) · новое</t>
        </is>
      </c>
      <c r="M164" s="16" t="inlineStr">
        <is>
          <t>М7 (7d) · повт.</t>
        </is>
      </c>
      <c r="N164" s="16" t="inlineStr">
        <is>
          <t>М4 (4c) · повт.</t>
        </is>
      </c>
      <c r="O164" s="11" t="inlineStr"/>
      <c r="P164" s="20" t="inlineStr">
        <is>
          <t>—</t>
        </is>
      </c>
      <c r="Q164" s="21" t="inlineStr"/>
      <c r="R164" s="17" t="inlineStr">
        <is>
          <t>нет</t>
        </is>
      </c>
      <c r="S164" s="11" t="inlineStr"/>
      <c r="T164" s="11" t="inlineStr"/>
    </row>
    <row r="165">
      <c r="A165" s="4" t="n">
        <v>164</v>
      </c>
      <c r="B165" s="4" t="inlineStr">
        <is>
          <t>Грамматика</t>
        </is>
      </c>
      <c r="C165" s="4" t="inlineStr">
        <is>
          <t>Глаголы: to be / have got / модальные</t>
        </is>
      </c>
      <c r="D165" s="5" t="inlineStr">
        <is>
          <t>need/needn't</t>
        </is>
      </c>
      <c r="E165" s="24" t="inlineStr">
        <is>
          <t>need/needn't: needn't / don't need to — нет необходимости (наст./буд.)</t>
        </is>
      </c>
      <c r="F165" s="4" t="inlineStr">
        <is>
          <t>10+</t>
        </is>
      </c>
      <c r="G165" s="4" t="inlineStr"/>
      <c r="H165" s="4" t="inlineStr"/>
      <c r="I165" s="4" t="inlineStr"/>
      <c r="J165" s="27" t="inlineStr">
        <is>
          <t>М8 (8c) · новое</t>
        </is>
      </c>
      <c r="K165" s="4" t="inlineStr"/>
      <c r="L165" s="30" t="inlineStr">
        <is>
          <t>М7 (7c) · расш.</t>
        </is>
      </c>
      <c r="M165" s="9" t="inlineStr">
        <is>
          <t>М7 (7d) · повт.</t>
        </is>
      </c>
      <c r="N165" s="9" t="inlineStr">
        <is>
          <t>М4 (4c) · повт.</t>
        </is>
      </c>
      <c r="O165" s="9" t="inlineStr">
        <is>
          <t>М5 (5c) · повт.</t>
        </is>
      </c>
      <c r="P165" s="28" t="inlineStr">
        <is>
          <t>—</t>
        </is>
      </c>
      <c r="Q165" s="29" t="inlineStr"/>
      <c r="R165" s="10" t="inlineStr">
        <is>
          <t>нет</t>
        </is>
      </c>
      <c r="S165" s="4" t="inlineStr"/>
      <c r="T165" s="4" t="inlineStr"/>
    </row>
    <row r="166">
      <c r="A166" s="11" t="n">
        <v>165</v>
      </c>
      <c r="B166" s="11" t="inlineStr">
        <is>
          <t>Грамматика</t>
        </is>
      </c>
      <c r="C166" s="11" t="inlineStr">
        <is>
          <t>Глаголы: to be / have got / модальные</t>
        </is>
      </c>
      <c r="D166" s="12" t="inlineStr">
        <is>
          <t>need/needn't</t>
        </is>
      </c>
      <c r="E166" s="13" t="inlineStr">
        <is>
          <t>need/needn't: needn't have V3 — не было необходимости, но сделали</t>
        </is>
      </c>
      <c r="F166" s="11" t="inlineStr">
        <is>
          <t>10+</t>
        </is>
      </c>
      <c r="G166" s="11" t="inlineStr"/>
      <c r="H166" s="11" t="inlineStr"/>
      <c r="I166" s="11" t="inlineStr"/>
      <c r="J166" s="11" t="inlineStr"/>
      <c r="K166" s="11" t="inlineStr"/>
      <c r="L166" s="11" t="inlineStr"/>
      <c r="M166" s="11" t="inlineStr"/>
      <c r="N166" s="11" t="inlineStr"/>
      <c r="O166" s="23" t="inlineStr">
        <is>
          <t>М5 (5c) · новое</t>
        </is>
      </c>
      <c r="P166" s="20" t="inlineStr">
        <is>
          <t>—</t>
        </is>
      </c>
      <c r="Q166" s="21" t="inlineStr"/>
      <c r="R166" s="17" t="inlineStr">
        <is>
          <t>нет</t>
        </is>
      </c>
      <c r="S166" s="11" t="inlineStr"/>
      <c r="T166" s="11" t="inlineStr"/>
    </row>
    <row r="167">
      <c r="A167" s="11" t="n">
        <v>166</v>
      </c>
      <c r="B167" s="11" t="inlineStr">
        <is>
          <t>Грамматика</t>
        </is>
      </c>
      <c r="C167" s="11" t="inlineStr">
        <is>
          <t>Глаголы: to be / have got / модальные</t>
        </is>
      </c>
      <c r="D167" s="12" t="inlineStr">
        <is>
          <t>need/needn't</t>
        </is>
      </c>
      <c r="E167" s="13" t="inlineStr">
        <is>
          <t>need/needn't: needn't have vs didn't have to</t>
        </is>
      </c>
      <c r="F167" s="11" t="inlineStr">
        <is>
          <t>10+</t>
        </is>
      </c>
      <c r="G167" s="11" t="inlineStr"/>
      <c r="H167" s="11" t="inlineStr"/>
      <c r="I167" s="11" t="inlineStr"/>
      <c r="J167" s="11" t="inlineStr"/>
      <c r="K167" s="11" t="inlineStr"/>
      <c r="L167" s="11" t="inlineStr"/>
      <c r="M167" s="11" t="inlineStr"/>
      <c r="N167" s="11" t="inlineStr"/>
      <c r="O167" s="23" t="inlineStr">
        <is>
          <t>М5 (5c) · новое</t>
        </is>
      </c>
      <c r="P167" s="20" t="inlineStr">
        <is>
          <t>—</t>
        </is>
      </c>
      <c r="Q167" s="21" t="inlineStr"/>
      <c r="R167" s="17" t="inlineStr">
        <is>
          <t>нет</t>
        </is>
      </c>
      <c r="S167" s="11" t="inlineStr"/>
      <c r="T167" s="11" t="inlineStr"/>
    </row>
    <row r="168">
      <c r="A168" s="11" t="n">
        <v>167</v>
      </c>
      <c r="B168" s="11" t="inlineStr">
        <is>
          <t>Грамматика</t>
        </is>
      </c>
      <c r="C168" s="11" t="inlineStr">
        <is>
          <t>Глаголы: to be / have got / модальные</t>
        </is>
      </c>
      <c r="D168" s="12" t="inlineStr">
        <is>
          <t>need/needn't</t>
        </is>
      </c>
      <c r="E168" s="13" t="inlineStr">
        <is>
          <t>need/needn't: need (= must) как эквивалент модального</t>
        </is>
      </c>
      <c r="F168" s="11" t="inlineStr">
        <is>
          <t>10+</t>
        </is>
      </c>
      <c r="G168" s="11" t="inlineStr"/>
      <c r="H168" s="11" t="inlineStr"/>
      <c r="I168" s="11" t="inlineStr"/>
      <c r="J168" s="11" t="inlineStr"/>
      <c r="K168" s="11" t="inlineStr"/>
      <c r="L168" s="11" t="inlineStr"/>
      <c r="M168" s="11" t="inlineStr"/>
      <c r="N168" s="23" t="inlineStr">
        <is>
          <t>М4 (4c) · новое</t>
        </is>
      </c>
      <c r="O168" s="16" t="inlineStr">
        <is>
          <t>М5 (5c) · повт.</t>
        </is>
      </c>
      <c r="P168" s="20" t="inlineStr">
        <is>
          <t>—</t>
        </is>
      </c>
      <c r="Q168" s="21" t="inlineStr"/>
      <c r="R168" s="17" t="inlineStr">
        <is>
          <t>нет</t>
        </is>
      </c>
      <c r="S168" s="11" t="inlineStr"/>
      <c r="T168" s="11" t="inlineStr"/>
    </row>
    <row r="169">
      <c r="A169" s="4" t="n">
        <v>168</v>
      </c>
      <c r="B169" s="4" t="inlineStr">
        <is>
          <t>Грамматика</t>
        </is>
      </c>
      <c r="C169" s="4" t="inlineStr">
        <is>
          <t>Глаголы: to be / have got / модальные</t>
        </is>
      </c>
      <c r="D169" s="5" t="inlineStr">
        <is>
          <t>should/shouldn't</t>
        </is>
      </c>
      <c r="E169" s="6" t="inlineStr">
        <is>
          <t>should/shouldn't: значение — совет, рекомендация; утверждение should + глагол без to</t>
        </is>
      </c>
      <c r="F169" s="4" t="inlineStr">
        <is>
          <t>10+</t>
        </is>
      </c>
      <c r="G169" s="4" t="inlineStr"/>
      <c r="H169" s="4" t="inlineStr"/>
      <c r="I169" s="4" t="inlineStr"/>
      <c r="J169" s="4" t="inlineStr"/>
      <c r="K169" s="27" t="inlineStr">
        <is>
          <t>М1 · новое</t>
        </is>
      </c>
      <c r="L169" s="9" t="inlineStr">
        <is>
          <t>М7 (7c) · повт.</t>
        </is>
      </c>
      <c r="M169" s="9" t="inlineStr">
        <is>
          <t>М7 (7d) · повт.</t>
        </is>
      </c>
      <c r="N169" s="9" t="inlineStr">
        <is>
          <t>М4 (4c) · повт.</t>
        </is>
      </c>
      <c r="O169" s="9" t="inlineStr">
        <is>
          <t>М5 (5c) · повт.</t>
        </is>
      </c>
      <c r="P169" s="28" t="inlineStr">
        <is>
          <t>—</t>
        </is>
      </c>
      <c r="Q169" s="29" t="inlineStr"/>
      <c r="R169" s="10" t="inlineStr">
        <is>
          <t>видео</t>
        </is>
      </c>
      <c r="S169" s="4" t="inlineStr">
        <is>
          <t>Shouldn't + safety and crime prevention
Media Modals of advice (по названию)</t>
        </is>
      </c>
      <c r="T169" s="4" t="inlineStr"/>
    </row>
    <row r="170">
      <c r="A170" s="11" t="n">
        <v>169</v>
      </c>
      <c r="B170" s="11" t="inlineStr">
        <is>
          <t>Грамматика</t>
        </is>
      </c>
      <c r="C170" s="11" t="inlineStr">
        <is>
          <t>Глаголы: to be / have got / модальные</t>
        </is>
      </c>
      <c r="D170" s="12" t="inlineStr">
        <is>
          <t>should/shouldn't</t>
        </is>
      </c>
      <c r="E170" s="22" t="inlineStr">
        <is>
          <t>should/shouldn't: отрицание — shouldn't</t>
        </is>
      </c>
      <c r="F170" s="11" t="inlineStr">
        <is>
          <t>10+</t>
        </is>
      </c>
      <c r="G170" s="11" t="inlineStr"/>
      <c r="H170" s="11" t="inlineStr"/>
      <c r="I170" s="11" t="inlineStr"/>
      <c r="J170" s="11" t="inlineStr"/>
      <c r="K170" s="23" t="inlineStr">
        <is>
          <t>М1 · новое</t>
        </is>
      </c>
      <c r="L170" s="11" t="inlineStr"/>
      <c r="M170" s="11" t="inlineStr"/>
      <c r="N170" s="11" t="inlineStr"/>
      <c r="O170" s="11" t="inlineStr"/>
      <c r="P170" s="20" t="inlineStr">
        <is>
          <t>—</t>
        </is>
      </c>
      <c r="Q170" s="21" t="inlineStr"/>
      <c r="R170" s="17" t="inlineStr">
        <is>
          <t>видео</t>
        </is>
      </c>
      <c r="S170" s="11" t="inlineStr">
        <is>
          <t>Shouldn't + safety and crime prevention</t>
        </is>
      </c>
      <c r="T170" s="11" t="inlineStr"/>
    </row>
    <row r="171">
      <c r="A171" s="11" t="n">
        <v>170</v>
      </c>
      <c r="B171" s="11" t="inlineStr">
        <is>
          <t>Грамматика</t>
        </is>
      </c>
      <c r="C171" s="11" t="inlineStr">
        <is>
          <t>Глаголы: to be / have got / модальные</t>
        </is>
      </c>
      <c r="D171" s="12" t="inlineStr">
        <is>
          <t>should/shouldn't</t>
        </is>
      </c>
      <c r="E171" s="22" t="inlineStr">
        <is>
          <t>should/shouldn't: вопросы — Should I…?</t>
        </is>
      </c>
      <c r="F171" s="11" t="inlineStr">
        <is>
          <t>10+</t>
        </is>
      </c>
      <c r="G171" s="11" t="inlineStr"/>
      <c r="H171" s="11" t="inlineStr"/>
      <c r="I171" s="11" t="inlineStr"/>
      <c r="J171" s="11" t="inlineStr"/>
      <c r="K171" s="23" t="inlineStr">
        <is>
          <t>М1 · новое</t>
        </is>
      </c>
      <c r="L171" s="11" t="inlineStr"/>
      <c r="M171" s="11" t="inlineStr"/>
      <c r="N171" s="11" t="inlineStr"/>
      <c r="O171" s="11" t="inlineStr"/>
      <c r="P171" s="20" t="inlineStr">
        <is>
          <t>—</t>
        </is>
      </c>
      <c r="Q171" s="21" t="inlineStr"/>
      <c r="R171" s="17" t="inlineStr">
        <is>
          <t>видео</t>
        </is>
      </c>
      <c r="S171" s="11" t="inlineStr">
        <is>
          <t>Shouldn't + safety and crime prevention</t>
        </is>
      </c>
      <c r="T171" s="11" t="inlineStr"/>
    </row>
    <row r="172">
      <c r="A172" s="11" t="n">
        <v>171</v>
      </c>
      <c r="B172" s="11" t="inlineStr">
        <is>
          <t>Грамматика</t>
        </is>
      </c>
      <c r="C172" s="11" t="inlineStr">
        <is>
          <t>Глаголы: to be / have got / модальные</t>
        </is>
      </c>
      <c r="D172" s="12" t="inlineStr">
        <is>
          <t>should/shouldn't</t>
        </is>
      </c>
      <c r="E172" s="18" t="inlineStr">
        <is>
          <t>should/shouldn't: ought to (= should)</t>
        </is>
      </c>
      <c r="F172" s="11" t="inlineStr">
        <is>
          <t>10+</t>
        </is>
      </c>
      <c r="G172" s="11" t="inlineStr"/>
      <c r="H172" s="11" t="inlineStr"/>
      <c r="I172" s="11" t="inlineStr"/>
      <c r="J172" s="11" t="inlineStr"/>
      <c r="K172" s="11" t="inlineStr"/>
      <c r="L172" s="23" t="inlineStr">
        <is>
          <t>М7 (7c) · новое</t>
        </is>
      </c>
      <c r="M172" s="16" t="inlineStr">
        <is>
          <t>М7 (7d) · повт.</t>
        </is>
      </c>
      <c r="N172" s="16" t="inlineStr">
        <is>
          <t>М4 (4c) · повт.</t>
        </is>
      </c>
      <c r="O172" s="16" t="inlineStr">
        <is>
          <t>М5 (5c) · повт.</t>
        </is>
      </c>
      <c r="P172" s="20" t="inlineStr">
        <is>
          <t>—</t>
        </is>
      </c>
      <c r="Q172" s="21" t="inlineStr"/>
      <c r="R172" s="17" t="inlineStr">
        <is>
          <t>вебинар</t>
        </is>
      </c>
      <c r="S172" s="11" t="inlineStr">
        <is>
          <t>вебинар 20.11 (по расписанию): Should / shouldn't, ought to, had better</t>
        </is>
      </c>
      <c r="T172" s="11" t="inlineStr"/>
    </row>
    <row r="173">
      <c r="A173" s="11" t="n">
        <v>172</v>
      </c>
      <c r="B173" s="11" t="inlineStr">
        <is>
          <t>Грамматика</t>
        </is>
      </c>
      <c r="C173" s="11" t="inlineStr">
        <is>
          <t>Глаголы: to be / have got / модальные</t>
        </is>
      </c>
      <c r="D173" s="12" t="inlineStr">
        <is>
          <t>should/shouldn't</t>
        </is>
      </c>
      <c r="E173" s="18" t="inlineStr">
        <is>
          <t>should/shouldn't: значение — обязательство, долг (слабая обязанность)</t>
        </is>
      </c>
      <c r="F173" s="11" t="inlineStr">
        <is>
          <t>10+</t>
        </is>
      </c>
      <c r="G173" s="11" t="inlineStr"/>
      <c r="H173" s="11" t="inlineStr"/>
      <c r="I173" s="11" t="inlineStr"/>
      <c r="J173" s="11" t="inlineStr"/>
      <c r="K173" s="11" t="inlineStr"/>
      <c r="L173" s="23" t="inlineStr">
        <is>
          <t>М7 (7c) · новое</t>
        </is>
      </c>
      <c r="M173" s="16" t="inlineStr">
        <is>
          <t>М7 (7d) · повт.</t>
        </is>
      </c>
      <c r="N173" s="16" t="inlineStr">
        <is>
          <t>М4 (4c) · повт.</t>
        </is>
      </c>
      <c r="O173" s="11" t="inlineStr"/>
      <c r="P173" s="20" t="inlineStr">
        <is>
          <t>—</t>
        </is>
      </c>
      <c r="Q173" s="21" t="inlineStr"/>
      <c r="R173" s="17" t="inlineStr">
        <is>
          <t>вебинар</t>
        </is>
      </c>
      <c r="S173" s="11" t="inlineStr">
        <is>
          <t>вебинар 20.11 (по расписанию): Should / shouldn't, ought to, had better</t>
        </is>
      </c>
      <c r="T173" s="11" t="inlineStr"/>
    </row>
    <row r="174">
      <c r="A174" s="11" t="n">
        <v>173</v>
      </c>
      <c r="B174" s="11" t="inlineStr">
        <is>
          <t>Грамматика</t>
        </is>
      </c>
      <c r="C174" s="11" t="inlineStr">
        <is>
          <t>Глаголы: to be / have got / модальные</t>
        </is>
      </c>
      <c r="D174" s="12" t="inlineStr">
        <is>
          <t>should/shouldn't</t>
        </is>
      </c>
      <c r="E174" s="18" t="inlineStr">
        <is>
          <t>should/shouldn't: значение — критика (should / should have V3)</t>
        </is>
      </c>
      <c r="F174" s="11" t="inlineStr">
        <is>
          <t>10+</t>
        </is>
      </c>
      <c r="G174" s="11" t="inlineStr"/>
      <c r="H174" s="11" t="inlineStr"/>
      <c r="I174" s="11" t="inlineStr"/>
      <c r="J174" s="11" t="inlineStr"/>
      <c r="K174" s="11" t="inlineStr"/>
      <c r="L174" s="23" t="inlineStr">
        <is>
          <t>М7 (7c) · новое</t>
        </is>
      </c>
      <c r="M174" s="16" t="inlineStr">
        <is>
          <t>М7 (7d) · повт.</t>
        </is>
      </c>
      <c r="N174" s="16" t="inlineStr">
        <is>
          <t>М4 (4c) · повт.</t>
        </is>
      </c>
      <c r="O174" s="11" t="inlineStr"/>
      <c r="P174" s="20" t="inlineStr">
        <is>
          <t>—</t>
        </is>
      </c>
      <c r="Q174" s="21" t="inlineStr"/>
      <c r="R174" s="17" t="inlineStr">
        <is>
          <t>вебинар</t>
        </is>
      </c>
      <c r="S174" s="11" t="inlineStr">
        <is>
          <t>вебинар 20.11 (по расписанию): Should / shouldn't, ought to, had better</t>
        </is>
      </c>
      <c r="T174" s="11" t="inlineStr"/>
    </row>
    <row r="175">
      <c r="A175" s="11" t="n">
        <v>174</v>
      </c>
      <c r="B175" s="11" t="inlineStr">
        <is>
          <t>Грамматика</t>
        </is>
      </c>
      <c r="C175" s="11" t="inlineStr">
        <is>
          <t>Глаголы: to be / have got / модальные</t>
        </is>
      </c>
      <c r="D175" s="12" t="inlineStr">
        <is>
          <t>should/shouldn't</t>
        </is>
      </c>
      <c r="E175" s="13" t="inlineStr">
        <is>
          <t>should/shouldn't: значение — вероятность ~90% (о будущем)</t>
        </is>
      </c>
      <c r="F175" s="11" t="inlineStr">
        <is>
          <t>10+</t>
        </is>
      </c>
      <c r="G175" s="11" t="inlineStr"/>
      <c r="H175" s="11" t="inlineStr"/>
      <c r="I175" s="11" t="inlineStr"/>
      <c r="J175" s="11" t="inlineStr"/>
      <c r="K175" s="11" t="inlineStr"/>
      <c r="L175" s="23" t="inlineStr">
        <is>
          <t>М7 (7c) · новое</t>
        </is>
      </c>
      <c r="M175" s="16" t="inlineStr">
        <is>
          <t>М7 (7d) · повт.</t>
        </is>
      </c>
      <c r="N175" s="16" t="inlineStr">
        <is>
          <t>М4 (4c) · повт.</t>
        </is>
      </c>
      <c r="O175" s="11" t="inlineStr"/>
      <c r="P175" s="20" t="inlineStr">
        <is>
          <t>—</t>
        </is>
      </c>
      <c r="Q175" s="21" t="inlineStr"/>
      <c r="R175" s="17" t="inlineStr">
        <is>
          <t>нет</t>
        </is>
      </c>
      <c r="S175" s="11" t="inlineStr"/>
      <c r="T175" s="11" t="inlineStr"/>
    </row>
    <row r="176">
      <c r="A176" s="11" t="n">
        <v>175</v>
      </c>
      <c r="B176" s="11" t="inlineStr">
        <is>
          <t>Грамматика</t>
        </is>
      </c>
      <c r="C176" s="11" t="inlineStr">
        <is>
          <t>Глаголы: to be / have got / модальные</t>
        </is>
      </c>
      <c r="D176" s="12" t="inlineStr">
        <is>
          <t>should/shouldn't</t>
        </is>
      </c>
      <c r="E176" s="18" t="inlineStr">
        <is>
          <t>should/shouldn't: Shall I…? — просьба о совете</t>
        </is>
      </c>
      <c r="F176" s="11" t="inlineStr">
        <is>
          <t>10+</t>
        </is>
      </c>
      <c r="G176" s="11" t="inlineStr"/>
      <c r="H176" s="11" t="inlineStr"/>
      <c r="I176" s="11" t="inlineStr"/>
      <c r="J176" s="11" t="inlineStr"/>
      <c r="K176" s="11" t="inlineStr"/>
      <c r="L176" s="11" t="inlineStr"/>
      <c r="M176" s="23" t="inlineStr">
        <is>
          <t>М7 (7d) · новое</t>
        </is>
      </c>
      <c r="N176" s="16" t="inlineStr">
        <is>
          <t>М4 (4c) · повт.</t>
        </is>
      </c>
      <c r="O176" s="16" t="inlineStr">
        <is>
          <t>М5 (5c) · повт.</t>
        </is>
      </c>
      <c r="P176" s="20" t="inlineStr">
        <is>
          <t>—</t>
        </is>
      </c>
      <c r="Q176" s="21" t="inlineStr"/>
      <c r="R176" s="17" t="inlineStr">
        <is>
          <t>вебинар</t>
        </is>
      </c>
      <c r="S176" s="11" t="inlineStr">
        <is>
          <t>вебинар 20.11 (по расписанию): Should / shouldn't, ought to, had better</t>
        </is>
      </c>
      <c r="T176" s="11" t="inlineStr"/>
    </row>
    <row r="177">
      <c r="A177" s="11" t="n">
        <v>176</v>
      </c>
      <c r="B177" s="11" t="inlineStr">
        <is>
          <t>Грамматика</t>
        </is>
      </c>
      <c r="C177" s="11" t="inlineStr">
        <is>
          <t>Глаголы: to be / have got / модальные</t>
        </is>
      </c>
      <c r="D177" s="12" t="inlineStr">
        <is>
          <t>should/shouldn't</t>
        </is>
      </c>
      <c r="E177" s="18" t="inlineStr">
        <is>
          <t>should/shouldn't: Shall I…? — предложение помощи</t>
        </is>
      </c>
      <c r="F177" s="11" t="inlineStr">
        <is>
          <t>10+</t>
        </is>
      </c>
      <c r="G177" s="11" t="inlineStr"/>
      <c r="H177" s="11" t="inlineStr"/>
      <c r="I177" s="11" t="inlineStr"/>
      <c r="J177" s="11" t="inlineStr"/>
      <c r="K177" s="11" t="inlineStr"/>
      <c r="L177" s="11" t="inlineStr"/>
      <c r="M177" s="11" t="inlineStr"/>
      <c r="N177" s="23" t="inlineStr">
        <is>
          <t>М4 (4c) · новое</t>
        </is>
      </c>
      <c r="O177" s="11" t="inlineStr"/>
      <c r="P177" s="20" t="inlineStr">
        <is>
          <t>—</t>
        </is>
      </c>
      <c r="Q177" s="21" t="inlineStr"/>
      <c r="R177" s="17" t="inlineStr">
        <is>
          <t>вебинар</t>
        </is>
      </c>
      <c r="S177" s="11" t="inlineStr">
        <is>
          <t>вебинар 20.11 (по расписанию): Should / shouldn't, ought to, had better</t>
        </is>
      </c>
      <c r="T177" s="11" t="inlineStr"/>
    </row>
    <row r="178">
      <c r="A178" s="11" t="n">
        <v>177</v>
      </c>
      <c r="B178" s="11" t="inlineStr">
        <is>
          <t>Грамматика</t>
        </is>
      </c>
      <c r="C178" s="11" t="inlineStr">
        <is>
          <t>Глаголы: to be / have got / модальные</t>
        </is>
      </c>
      <c r="D178" s="12" t="inlineStr">
        <is>
          <t>should/shouldn't</t>
        </is>
      </c>
      <c r="E178" s="18" t="inlineStr">
        <is>
          <t>should/shouldn't: had better (= should)</t>
        </is>
      </c>
      <c r="F178" s="11" t="inlineStr">
        <is>
          <t>10+</t>
        </is>
      </c>
      <c r="G178" s="11" t="inlineStr"/>
      <c r="H178" s="11" t="inlineStr"/>
      <c r="I178" s="11" t="inlineStr"/>
      <c r="J178" s="11" t="inlineStr"/>
      <c r="K178" s="11" t="inlineStr"/>
      <c r="L178" s="11" t="inlineStr"/>
      <c r="M178" s="11" t="inlineStr"/>
      <c r="N178" s="11" t="inlineStr"/>
      <c r="O178" s="23" t="inlineStr">
        <is>
          <t>М5 (5c) · новое</t>
        </is>
      </c>
      <c r="P178" s="20" t="inlineStr">
        <is>
          <t>—</t>
        </is>
      </c>
      <c r="Q178" s="21" t="inlineStr"/>
      <c r="R178" s="17" t="inlineStr">
        <is>
          <t>вебинар</t>
        </is>
      </c>
      <c r="S178" s="11" t="inlineStr">
        <is>
          <t>вебинар 20.11 (по расписанию): Should / shouldn't, ought to, had better</t>
        </is>
      </c>
      <c r="T178" s="11" t="inlineStr"/>
    </row>
    <row r="179">
      <c r="A179" s="4" t="n">
        <v>178</v>
      </c>
      <c r="B179" s="4" t="inlineStr">
        <is>
          <t>Грамматика</t>
        </is>
      </c>
      <c r="C179" s="4" t="inlineStr">
        <is>
          <t>Глаголы: to be / have got / модальные</t>
        </is>
      </c>
      <c r="D179" s="5" t="inlineStr">
        <is>
          <t>Modal verbs (deduction)</t>
        </is>
      </c>
      <c r="E179" s="24" t="inlineStr">
        <is>
          <t>Modal verbs (deduction): must — уверенность (о настоящем)</t>
        </is>
      </c>
      <c r="F179" s="4" t="inlineStr">
        <is>
          <t>10+</t>
        </is>
      </c>
      <c r="G179" s="4" t="inlineStr"/>
      <c r="H179" s="4" t="inlineStr"/>
      <c r="I179" s="4" t="inlineStr"/>
      <c r="J179" s="4" t="inlineStr"/>
      <c r="K179" s="4" t="inlineStr"/>
      <c r="L179" s="27" t="inlineStr">
        <is>
          <t>М7 (7c) · новое</t>
        </is>
      </c>
      <c r="M179" s="9" t="inlineStr">
        <is>
          <t>М3 (3d) · повт.</t>
        </is>
      </c>
      <c r="N179" s="9" t="inlineStr">
        <is>
          <t>М4 (4c) · повт.</t>
        </is>
      </c>
      <c r="O179" s="9" t="inlineStr">
        <is>
          <t>М5 (5c) · повт.</t>
        </is>
      </c>
      <c r="P179" s="28" t="inlineStr">
        <is>
          <t>—</t>
        </is>
      </c>
      <c r="Q179" s="29" t="inlineStr"/>
      <c r="R179" s="10" t="inlineStr">
        <is>
          <t>нет</t>
        </is>
      </c>
      <c r="S179" s="4" t="inlineStr"/>
      <c r="T179" s="4" t="inlineStr"/>
    </row>
    <row r="180">
      <c r="A180" s="11" t="n">
        <v>179</v>
      </c>
      <c r="B180" s="11" t="inlineStr">
        <is>
          <t>Грамматика</t>
        </is>
      </c>
      <c r="C180" s="11" t="inlineStr">
        <is>
          <t>Глаголы: to be / have got / модальные</t>
        </is>
      </c>
      <c r="D180" s="12" t="inlineStr">
        <is>
          <t>Modal verbs (deduction)</t>
        </is>
      </c>
      <c r="E180" s="13" t="inlineStr">
        <is>
          <t>Modal verbs (deduction): may/might/could — вероятность (о настоящем)</t>
        </is>
      </c>
      <c r="F180" s="11" t="inlineStr">
        <is>
          <t>10+</t>
        </is>
      </c>
      <c r="G180" s="11" t="inlineStr"/>
      <c r="H180" s="11" t="inlineStr"/>
      <c r="I180" s="11" t="inlineStr"/>
      <c r="J180" s="11" t="inlineStr"/>
      <c r="K180" s="11" t="inlineStr"/>
      <c r="L180" s="23" t="inlineStr">
        <is>
          <t>М7 (7c) · новое</t>
        </is>
      </c>
      <c r="M180" s="16" t="inlineStr">
        <is>
          <t>М3 (3d) · повт.</t>
        </is>
      </c>
      <c r="N180" s="16" t="inlineStr">
        <is>
          <t>М4 (4c) · повт.</t>
        </is>
      </c>
      <c r="O180" s="16" t="inlineStr">
        <is>
          <t>М5 (5c) · повт.</t>
        </is>
      </c>
      <c r="P180" s="20" t="inlineStr">
        <is>
          <t>—</t>
        </is>
      </c>
      <c r="Q180" s="21" t="inlineStr"/>
      <c r="R180" s="17" t="inlineStr">
        <is>
          <t>нет</t>
        </is>
      </c>
      <c r="S180" s="11" t="inlineStr"/>
      <c r="T180" s="11" t="inlineStr"/>
    </row>
    <row r="181">
      <c r="A181" s="11" t="n">
        <v>180</v>
      </c>
      <c r="B181" s="11" t="inlineStr">
        <is>
          <t>Грамматика</t>
        </is>
      </c>
      <c r="C181" s="11" t="inlineStr">
        <is>
          <t>Глаголы: to be / have got / модальные</t>
        </is>
      </c>
      <c r="D181" s="12" t="inlineStr">
        <is>
          <t>Modal verbs (deduction)</t>
        </is>
      </c>
      <c r="E181" s="13" t="inlineStr">
        <is>
          <t>Modal verbs (deduction): can't/couldn't — невозможность (о настоящем)</t>
        </is>
      </c>
      <c r="F181" s="11" t="inlineStr">
        <is>
          <t>10+</t>
        </is>
      </c>
      <c r="G181" s="11" t="inlineStr"/>
      <c r="H181" s="11" t="inlineStr"/>
      <c r="I181" s="11" t="inlineStr"/>
      <c r="J181" s="11" t="inlineStr"/>
      <c r="K181" s="11" t="inlineStr"/>
      <c r="L181" s="23" t="inlineStr">
        <is>
          <t>М7 (7c) · новое</t>
        </is>
      </c>
      <c r="M181" s="16" t="inlineStr">
        <is>
          <t>М3 (3d) · повт.</t>
        </is>
      </c>
      <c r="N181" s="16" t="inlineStr">
        <is>
          <t>М4 (4c) · повт.</t>
        </is>
      </c>
      <c r="O181" s="16" t="inlineStr">
        <is>
          <t>М5 (5c) · повт.</t>
        </is>
      </c>
      <c r="P181" s="20" t="inlineStr">
        <is>
          <t>—</t>
        </is>
      </c>
      <c r="Q181" s="21" t="inlineStr"/>
      <c r="R181" s="17" t="inlineStr">
        <is>
          <t>нет</t>
        </is>
      </c>
      <c r="S181" s="11" t="inlineStr"/>
      <c r="T181" s="11" t="inlineStr"/>
    </row>
    <row r="182">
      <c r="A182" s="11" t="n">
        <v>181</v>
      </c>
      <c r="B182" s="11" t="inlineStr">
        <is>
          <t>Грамматика</t>
        </is>
      </c>
      <c r="C182" s="11" t="inlineStr">
        <is>
          <t>Глаголы: to be / have got / модальные</t>
        </is>
      </c>
      <c r="D182" s="12" t="inlineStr">
        <is>
          <t>Modal verbs (deduction)</t>
        </is>
      </c>
      <c r="E182" s="13" t="inlineStr">
        <is>
          <t>Modal verbs (deduction): выводы о прошлом — must/may/might/could/can't + have V3</t>
        </is>
      </c>
      <c r="F182" s="11" t="inlineStr">
        <is>
          <t>10+</t>
        </is>
      </c>
      <c r="G182" s="11" t="inlineStr"/>
      <c r="H182" s="11" t="inlineStr"/>
      <c r="I182" s="11" t="inlineStr"/>
      <c r="J182" s="11" t="inlineStr"/>
      <c r="K182" s="11" t="inlineStr"/>
      <c r="L182" s="23" t="inlineStr">
        <is>
          <t>М7 (7c) · новое</t>
        </is>
      </c>
      <c r="M182" s="16" t="inlineStr">
        <is>
          <t>М3 (3d) · повт.</t>
        </is>
      </c>
      <c r="N182" s="16" t="inlineStr">
        <is>
          <t>М4 (4c) · повт.</t>
        </is>
      </c>
      <c r="O182" s="16" t="inlineStr">
        <is>
          <t>М5 (5c) · повт.</t>
        </is>
      </c>
      <c r="P182" s="20" t="inlineStr">
        <is>
          <t>—</t>
        </is>
      </c>
      <c r="Q182" s="21" t="inlineStr"/>
      <c r="R182" s="17" t="inlineStr">
        <is>
          <t>нет</t>
        </is>
      </c>
      <c r="S182" s="11" t="inlineStr"/>
      <c r="T182" s="11" t="inlineStr"/>
    </row>
    <row r="183">
      <c r="A183" s="11" t="n">
        <v>182</v>
      </c>
      <c r="B183" s="11" t="inlineStr">
        <is>
          <t>Грамматика</t>
        </is>
      </c>
      <c r="C183" s="11" t="inlineStr">
        <is>
          <t>Глаголы: to be / have got / модальные</t>
        </is>
      </c>
      <c r="D183" s="12" t="inlineStr">
        <is>
          <t>Modal verbs (deduction)</t>
        </is>
      </c>
      <c r="E183" s="13" t="inlineStr">
        <is>
          <t>Modal verbs (deduction): вероятность — will (100%) vs should/ought to (90%)</t>
        </is>
      </c>
      <c r="F183" s="11" t="inlineStr">
        <is>
          <t>10+</t>
        </is>
      </c>
      <c r="G183" s="11" t="inlineStr"/>
      <c r="H183" s="11" t="inlineStr"/>
      <c r="I183" s="11" t="inlineStr"/>
      <c r="J183" s="11" t="inlineStr"/>
      <c r="K183" s="11" t="inlineStr"/>
      <c r="L183" s="11" t="inlineStr"/>
      <c r="M183" s="11" t="inlineStr"/>
      <c r="N183" s="23" t="inlineStr">
        <is>
          <t>М4 (4c) · новое</t>
        </is>
      </c>
      <c r="O183" s="16" t="inlineStr">
        <is>
          <t>М5 (5c) · повт.</t>
        </is>
      </c>
      <c r="P183" s="20" t="inlineStr">
        <is>
          <t>—</t>
        </is>
      </c>
      <c r="Q183" s="21" t="inlineStr"/>
      <c r="R183" s="17" t="inlineStr">
        <is>
          <t>нет</t>
        </is>
      </c>
      <c r="S183" s="11" t="inlineStr"/>
      <c r="T183" s="11" t="inlineStr"/>
    </row>
    <row r="184">
      <c r="A184" s="11" t="n">
        <v>183</v>
      </c>
      <c r="B184" s="11" t="inlineStr">
        <is>
          <t>Грамматика</t>
        </is>
      </c>
      <c r="C184" s="11" t="inlineStr">
        <is>
          <t>Глаголы: to be / have got / модальные</t>
        </is>
      </c>
      <c r="D184" s="12" t="inlineStr">
        <is>
          <t>Modal verbs (deduction)</t>
        </is>
      </c>
      <c r="E184" s="13" t="inlineStr">
        <is>
          <t>Modal verbs (deduction): критика — could/should/ought to (+ have V3)</t>
        </is>
      </c>
      <c r="F184" s="11" t="inlineStr">
        <is>
          <t>10+</t>
        </is>
      </c>
      <c r="G184" s="11" t="inlineStr"/>
      <c r="H184" s="11" t="inlineStr"/>
      <c r="I184" s="11" t="inlineStr"/>
      <c r="J184" s="11" t="inlineStr"/>
      <c r="K184" s="11" t="inlineStr"/>
      <c r="L184" s="11" t="inlineStr"/>
      <c r="M184" s="11" t="inlineStr"/>
      <c r="N184" s="23" t="inlineStr">
        <is>
          <t>М4 (4c) · новое</t>
        </is>
      </c>
      <c r="O184" s="11" t="inlineStr"/>
      <c r="P184" s="20" t="inlineStr">
        <is>
          <t>—</t>
        </is>
      </c>
      <c r="Q184" s="21" t="inlineStr"/>
      <c r="R184" s="17" t="inlineStr">
        <is>
          <t>нет</t>
        </is>
      </c>
      <c r="S184" s="11" t="inlineStr"/>
      <c r="T184" s="11" t="inlineStr"/>
    </row>
    <row r="185">
      <c r="A185" s="4" t="n">
        <v>184</v>
      </c>
      <c r="B185" s="4" t="inlineStr">
        <is>
          <t>Грамматика</t>
        </is>
      </c>
      <c r="C185" s="4" t="inlineStr">
        <is>
          <t>Глаголы: to be / have got / модальные</t>
        </is>
      </c>
      <c r="D185" s="5" t="inlineStr">
        <is>
          <t>Modal verbs (functions)</t>
        </is>
      </c>
      <c r="E185" s="6" t="inlineStr">
        <is>
          <t>Modal verbs: общие правила формы — без -s/-ing/-ed, + инфинитив без to</t>
        </is>
      </c>
      <c r="F185" s="4" t="inlineStr">
        <is>
          <t>10+</t>
        </is>
      </c>
      <c r="G185" s="4" t="inlineStr"/>
      <c r="H185" s="4" t="inlineStr"/>
      <c r="I185" s="4" t="inlineStr"/>
      <c r="J185" s="4" t="inlineStr"/>
      <c r="K185" s="4" t="inlineStr"/>
      <c r="L185" s="27" t="inlineStr">
        <is>
          <t>М7 (7c) · новое</t>
        </is>
      </c>
      <c r="M185" s="9" t="inlineStr">
        <is>
          <t>М7 (7d) · повт.</t>
        </is>
      </c>
      <c r="N185" s="9" t="inlineStr">
        <is>
          <t>М4 (4c) · повт.</t>
        </is>
      </c>
      <c r="O185" s="9" t="inlineStr">
        <is>
          <t>М5 (5c) · повт.</t>
        </is>
      </c>
      <c r="P185" s="28" t="inlineStr">
        <is>
          <t>—</t>
        </is>
      </c>
      <c r="Q185" s="29" t="inlineStr"/>
      <c r="R185" s="10" t="inlineStr">
        <is>
          <t>видео</t>
        </is>
      </c>
      <c r="S185" s="4" t="inlineStr">
        <is>
          <t>Rules must-mustnt</t>
        </is>
      </c>
      <c r="T185" s="4" t="inlineStr"/>
    </row>
    <row r="186">
      <c r="A186" s="11" t="n">
        <v>185</v>
      </c>
      <c r="B186" s="11" t="inlineStr">
        <is>
          <t>Грамматика</t>
        </is>
      </c>
      <c r="C186" s="11" t="inlineStr">
        <is>
          <t>Глаголы: to be / have got / модальные</t>
        </is>
      </c>
      <c r="D186" s="12" t="inlineStr">
        <is>
          <t>Modal verbs (functions)</t>
        </is>
      </c>
      <c r="E186" s="13" t="inlineStr">
        <is>
          <t>Modal verbs: вопрос и отрицание (инверсия, not)</t>
        </is>
      </c>
      <c r="F186" s="11" t="inlineStr">
        <is>
          <t>10+</t>
        </is>
      </c>
      <c r="G186" s="11" t="inlineStr"/>
      <c r="H186" s="11" t="inlineStr"/>
      <c r="I186" s="11" t="inlineStr"/>
      <c r="J186" s="11" t="inlineStr"/>
      <c r="K186" s="11" t="inlineStr"/>
      <c r="L186" s="23" t="inlineStr">
        <is>
          <t>М7 (7c) · новое</t>
        </is>
      </c>
      <c r="M186" s="16" t="inlineStr">
        <is>
          <t>М7 (7d) · повт.</t>
        </is>
      </c>
      <c r="N186" s="16" t="inlineStr">
        <is>
          <t>М4 (4c) · повт.</t>
        </is>
      </c>
      <c r="O186" s="16" t="inlineStr">
        <is>
          <t>М5 (5c) · повт.</t>
        </is>
      </c>
      <c r="P186" s="20" t="inlineStr">
        <is>
          <t>—</t>
        </is>
      </c>
      <c r="Q186" s="21" t="inlineStr"/>
      <c r="R186" s="17" t="inlineStr">
        <is>
          <t>нет</t>
        </is>
      </c>
      <c r="S186" s="11" t="inlineStr"/>
      <c r="T186" s="11" t="inlineStr"/>
    </row>
    <row r="187">
      <c r="A187" s="11" t="n">
        <v>186</v>
      </c>
      <c r="B187" s="11" t="inlineStr">
        <is>
          <t>Грамматика</t>
        </is>
      </c>
      <c r="C187" s="11" t="inlineStr">
        <is>
          <t>Глаголы: to be / have got / модальные</t>
        </is>
      </c>
      <c r="D187" s="12" t="inlineStr">
        <is>
          <t>Modal verbs (functions)</t>
        </is>
      </c>
      <c r="E187" s="13" t="inlineStr">
        <is>
          <t>Modal verbs: + простой инфинитив (наст./буд.) vs + перфектный инфинитив (прошлое)</t>
        </is>
      </c>
      <c r="F187" s="11" t="inlineStr">
        <is>
          <t>10+</t>
        </is>
      </c>
      <c r="G187" s="11" t="inlineStr"/>
      <c r="H187" s="11" t="inlineStr"/>
      <c r="I187" s="11" t="inlineStr"/>
      <c r="J187" s="11" t="inlineStr"/>
      <c r="K187" s="11" t="inlineStr"/>
      <c r="L187" s="23" t="inlineStr">
        <is>
          <t>М7 (7c) · новое</t>
        </is>
      </c>
      <c r="M187" s="16" t="inlineStr">
        <is>
          <t>М7 (7d) · повт.</t>
        </is>
      </c>
      <c r="N187" s="16" t="inlineStr">
        <is>
          <t>М4 (4c) · повт.</t>
        </is>
      </c>
      <c r="O187" s="16" t="inlineStr">
        <is>
          <t>М5 (5c) · повт.</t>
        </is>
      </c>
      <c r="P187" s="20" t="inlineStr">
        <is>
          <t>—</t>
        </is>
      </c>
      <c r="Q187" s="21" t="inlineStr"/>
      <c r="R187" s="17" t="inlineStr">
        <is>
          <t>нет</t>
        </is>
      </c>
      <c r="S187" s="11" t="inlineStr"/>
      <c r="T187" s="11" t="inlineStr"/>
    </row>
    <row r="188">
      <c r="A188" s="11" t="n">
        <v>187</v>
      </c>
      <c r="B188" s="11" t="inlineStr">
        <is>
          <t>Грамматика</t>
        </is>
      </c>
      <c r="C188" s="11" t="inlineStr">
        <is>
          <t>Глаголы: to be / have got / модальные</t>
        </is>
      </c>
      <c r="D188" s="12" t="inlineStr">
        <is>
          <t>Modal verbs (functions)</t>
        </is>
      </c>
      <c r="E188" s="13" t="inlineStr">
        <is>
          <t>Modal verbs: формы инфинитива — simple / continuous / perfect / perfect continuous</t>
        </is>
      </c>
      <c r="F188" s="11" t="inlineStr">
        <is>
          <t>10+</t>
        </is>
      </c>
      <c r="G188" s="11" t="inlineStr"/>
      <c r="H188" s="11" t="inlineStr"/>
      <c r="I188" s="11" t="inlineStr"/>
      <c r="J188" s="11" t="inlineStr"/>
      <c r="K188" s="11" t="inlineStr"/>
      <c r="L188" s="23" t="inlineStr">
        <is>
          <t>М7 (7c) · новое</t>
        </is>
      </c>
      <c r="M188" s="16" t="inlineStr">
        <is>
          <t>М7 (7d) · повт.</t>
        </is>
      </c>
      <c r="N188" s="16" t="inlineStr">
        <is>
          <t>М4 (4c) · повт.</t>
        </is>
      </c>
      <c r="O188" s="16" t="inlineStr">
        <is>
          <t>М5 (5c) · повт.</t>
        </is>
      </c>
      <c r="P188" s="20" t="inlineStr">
        <is>
          <t>—</t>
        </is>
      </c>
      <c r="Q188" s="21" t="inlineStr"/>
      <c r="R188" s="17" t="inlineStr">
        <is>
          <t>нет</t>
        </is>
      </c>
      <c r="S188" s="11" t="inlineStr"/>
      <c r="T188" s="11" t="inlineStr"/>
    </row>
    <row r="189">
      <c r="A189" s="11" t="n">
        <v>188</v>
      </c>
      <c r="B189" s="11" t="inlineStr">
        <is>
          <t>Грамматика</t>
        </is>
      </c>
      <c r="C189" s="11" t="inlineStr">
        <is>
          <t>Глаголы: to be / have got / модальные</t>
        </is>
      </c>
      <c r="D189" s="12" t="inlineStr">
        <is>
          <t>Modal verbs (functions)</t>
        </is>
      </c>
      <c r="E189" s="13" t="inlineStr">
        <is>
          <t>Modal verbs: значение — критика (could / should / ought to)</t>
        </is>
      </c>
      <c r="F189" s="11" t="inlineStr">
        <is>
          <t>10+</t>
        </is>
      </c>
      <c r="G189" s="11" t="inlineStr"/>
      <c r="H189" s="11" t="inlineStr"/>
      <c r="I189" s="11" t="inlineStr"/>
      <c r="J189" s="11" t="inlineStr"/>
      <c r="K189" s="11" t="inlineStr"/>
      <c r="L189" s="23" t="inlineStr">
        <is>
          <t>М7 (7c) · новое</t>
        </is>
      </c>
      <c r="M189" s="16" t="inlineStr">
        <is>
          <t>М7 (7d) · повт.</t>
        </is>
      </c>
      <c r="N189" s="11" t="inlineStr"/>
      <c r="O189" s="16" t="inlineStr">
        <is>
          <t>М5 (5c) · повт.</t>
        </is>
      </c>
      <c r="P189" s="20" t="inlineStr">
        <is>
          <t>—</t>
        </is>
      </c>
      <c r="Q189" s="21" t="inlineStr"/>
      <c r="R189" s="17" t="inlineStr">
        <is>
          <t>нет</t>
        </is>
      </c>
      <c r="S189" s="11" t="inlineStr"/>
      <c r="T189" s="11" t="inlineStr"/>
    </row>
    <row r="190">
      <c r="A190" s="11" t="n">
        <v>189</v>
      </c>
      <c r="B190" s="11" t="inlineStr">
        <is>
          <t>Грамматика</t>
        </is>
      </c>
      <c r="C190" s="11" t="inlineStr">
        <is>
          <t>Глаголы: to be / have got / модальные</t>
        </is>
      </c>
      <c r="D190" s="12" t="inlineStr">
        <is>
          <t>Modal verbs (functions)</t>
        </is>
      </c>
      <c r="E190" s="13" t="inlineStr">
        <is>
          <t>Modal verbs: значение — вероятность (will 100% vs should/ought to 90%)</t>
        </is>
      </c>
      <c r="F190" s="11" t="inlineStr">
        <is>
          <t>10+</t>
        </is>
      </c>
      <c r="G190" s="11" t="inlineStr"/>
      <c r="H190" s="11" t="inlineStr"/>
      <c r="I190" s="11" t="inlineStr"/>
      <c r="J190" s="11" t="inlineStr"/>
      <c r="K190" s="11" t="inlineStr"/>
      <c r="L190" s="23" t="inlineStr">
        <is>
          <t>М7 (7c) · новое</t>
        </is>
      </c>
      <c r="M190" s="16" t="inlineStr">
        <is>
          <t>М7 (7d) · повт.</t>
        </is>
      </c>
      <c r="N190" s="11" t="inlineStr"/>
      <c r="O190" s="11" t="inlineStr"/>
      <c r="P190" s="20" t="inlineStr">
        <is>
          <t>—</t>
        </is>
      </c>
      <c r="Q190" s="21" t="inlineStr"/>
      <c r="R190" s="17" t="inlineStr">
        <is>
          <t>нет</t>
        </is>
      </c>
      <c r="S190" s="11" t="inlineStr"/>
      <c r="T190" s="11" t="inlineStr"/>
    </row>
    <row r="191">
      <c r="A191" s="11" t="n">
        <v>190</v>
      </c>
      <c r="B191" s="11" t="inlineStr">
        <is>
          <t>Грамматика</t>
        </is>
      </c>
      <c r="C191" s="11" t="inlineStr">
        <is>
          <t>Глаголы: to be / have got / модальные</t>
        </is>
      </c>
      <c r="D191" s="12" t="inlineStr">
        <is>
          <t>Modal verbs (functions)</t>
        </is>
      </c>
      <c r="E191" s="22" t="inlineStr">
        <is>
          <t>Modal verbs: значение — совет (should / ought to / shall)</t>
        </is>
      </c>
      <c r="F191" s="11" t="inlineStr">
        <is>
          <t>10+</t>
        </is>
      </c>
      <c r="G191" s="11" t="inlineStr"/>
      <c r="H191" s="11" t="inlineStr"/>
      <c r="I191" s="11" t="inlineStr"/>
      <c r="J191" s="11" t="inlineStr"/>
      <c r="K191" s="11" t="inlineStr"/>
      <c r="L191" s="23" t="inlineStr">
        <is>
          <t>М7 (7c) · новое</t>
        </is>
      </c>
      <c r="M191" s="16" t="inlineStr">
        <is>
          <t>М7 (7d) · повт.</t>
        </is>
      </c>
      <c r="N191" s="11" t="inlineStr"/>
      <c r="O191" s="11" t="inlineStr"/>
      <c r="P191" s="20" t="inlineStr">
        <is>
          <t>—</t>
        </is>
      </c>
      <c r="Q191" s="21" t="inlineStr"/>
      <c r="R191" s="17" t="inlineStr">
        <is>
          <t>видео</t>
        </is>
      </c>
      <c r="S191" s="11" t="inlineStr">
        <is>
          <t>Media Modals of advice (по названию)</t>
        </is>
      </c>
      <c r="T191" s="11" t="inlineStr"/>
    </row>
    <row r="192">
      <c r="A192" s="11" t="n">
        <v>191</v>
      </c>
      <c r="B192" s="11" t="inlineStr">
        <is>
          <t>Грамматика</t>
        </is>
      </c>
      <c r="C192" s="11" t="inlineStr">
        <is>
          <t>Глаголы: to be / have got / модальные</t>
        </is>
      </c>
      <c r="D192" s="12" t="inlineStr">
        <is>
          <t>Modal verbs (functions)</t>
        </is>
      </c>
      <c r="E192" s="13" t="inlineStr">
        <is>
          <t>Modal verbs: эквиваленты модальных (need, had better, have (got) to, be able to, used to)</t>
        </is>
      </c>
      <c r="F192" s="11" t="inlineStr">
        <is>
          <t>10+</t>
        </is>
      </c>
      <c r="G192" s="11" t="inlineStr"/>
      <c r="H192" s="11" t="inlineStr"/>
      <c r="I192" s="11" t="inlineStr"/>
      <c r="J192" s="11" t="inlineStr"/>
      <c r="K192" s="11" t="inlineStr"/>
      <c r="L192" s="11" t="inlineStr"/>
      <c r="M192" s="11" t="inlineStr"/>
      <c r="N192" s="23" t="inlineStr">
        <is>
          <t>М4 (4c) · новое</t>
        </is>
      </c>
      <c r="O192" s="11" t="inlineStr"/>
      <c r="P192" s="20" t="inlineStr">
        <is>
          <t>—</t>
        </is>
      </c>
      <c r="Q192" s="21" t="inlineStr"/>
      <c r="R192" s="17" t="inlineStr">
        <is>
          <t>нет</t>
        </is>
      </c>
      <c r="S192" s="11" t="inlineStr"/>
      <c r="T192" s="11" t="inlineStr"/>
    </row>
    <row r="193">
      <c r="A193" s="11" t="n">
        <v>192</v>
      </c>
      <c r="B193" s="11" t="inlineStr">
        <is>
          <t>Грамматика</t>
        </is>
      </c>
      <c r="C193" s="11" t="inlineStr">
        <is>
          <t>Глаголы: to be / have got / модальные</t>
        </is>
      </c>
      <c r="D193" s="12" t="inlineStr">
        <is>
          <t>Modal verbs (functions)</t>
        </is>
      </c>
      <c r="E193" s="13" t="inlineStr">
        <is>
          <t>Modal verbs: значение — предложения (offers/suggestions)</t>
        </is>
      </c>
      <c r="F193" s="11" t="inlineStr">
        <is>
          <t>10+</t>
        </is>
      </c>
      <c r="G193" s="11" t="inlineStr"/>
      <c r="H193" s="11" t="inlineStr"/>
      <c r="I193" s="11" t="inlineStr"/>
      <c r="J193" s="11" t="inlineStr"/>
      <c r="K193" s="11" t="inlineStr"/>
      <c r="L193" s="11" t="inlineStr"/>
      <c r="M193" s="11" t="inlineStr"/>
      <c r="N193" s="11" t="inlineStr"/>
      <c r="O193" s="23" t="inlineStr">
        <is>
          <t>М5 (5c) · новое</t>
        </is>
      </c>
      <c r="P193" s="20" t="inlineStr">
        <is>
          <t>—</t>
        </is>
      </c>
      <c r="Q193" s="21" t="inlineStr"/>
      <c r="R193" s="17" t="inlineStr">
        <is>
          <t>нет</t>
        </is>
      </c>
      <c r="S193" s="11" t="inlineStr"/>
      <c r="T193" s="11" t="inlineStr"/>
    </row>
    <row r="194">
      <c r="A194" s="11" t="n">
        <v>193</v>
      </c>
      <c r="B194" s="11" t="inlineStr">
        <is>
          <t>Грамматика</t>
        </is>
      </c>
      <c r="C194" s="11" t="inlineStr">
        <is>
          <t>Глаголы: to be / have got / модальные</t>
        </is>
      </c>
      <c r="D194" s="12" t="inlineStr">
        <is>
          <t>Modal verbs (functions)</t>
        </is>
      </c>
      <c r="E194" s="13" t="inlineStr">
        <is>
          <t>Modal verbs: обзор значений модальных (систематизация)</t>
        </is>
      </c>
      <c r="F194" s="11" t="inlineStr">
        <is>
          <t>10+</t>
        </is>
      </c>
      <c r="G194" s="11" t="inlineStr"/>
      <c r="H194" s="11" t="inlineStr"/>
      <c r="I194" s="11" t="inlineStr"/>
      <c r="J194" s="11" t="inlineStr"/>
      <c r="K194" s="11" t="inlineStr"/>
      <c r="L194" s="23" t="inlineStr">
        <is>
          <t>М7 (7c) · новое</t>
        </is>
      </c>
      <c r="M194" s="11" t="inlineStr"/>
      <c r="N194" s="16" t="inlineStr">
        <is>
          <t>М7 (7e) · повт.</t>
        </is>
      </c>
      <c r="O194" s="16" t="inlineStr">
        <is>
          <t>М5 (5c) · повт.</t>
        </is>
      </c>
      <c r="P194" s="20" t="inlineStr">
        <is>
          <t>—</t>
        </is>
      </c>
      <c r="Q194" s="21" t="inlineStr"/>
      <c r="R194" s="17" t="inlineStr">
        <is>
          <t>нет</t>
        </is>
      </c>
      <c r="S194" s="11" t="inlineStr"/>
      <c r="T194" s="11" t="inlineStr"/>
    </row>
    <row r="195">
      <c r="A195" s="4" t="n">
        <v>194</v>
      </c>
      <c r="B195" s="4" t="inlineStr">
        <is>
          <t>Грамматика</t>
        </is>
      </c>
      <c r="C195" s="4" t="inlineStr">
        <is>
          <t>Глаголы: to be / have got / модальные</t>
        </is>
      </c>
      <c r="D195" s="5" t="inlineStr">
        <is>
          <t>Reported Speech: modal verbs</t>
        </is>
      </c>
      <c r="E195" s="24" t="inlineStr">
        <is>
          <t>Reported Speech: modal verbs: will/shall → would</t>
        </is>
      </c>
      <c r="F195" s="4" t="inlineStr">
        <is>
          <t>10+</t>
        </is>
      </c>
      <c r="G195" s="4" t="inlineStr"/>
      <c r="H195" s="4" t="inlineStr"/>
      <c r="I195" s="4" t="inlineStr"/>
      <c r="J195" s="4" t="inlineStr"/>
      <c r="K195" s="4" t="inlineStr"/>
      <c r="L195" s="27" t="inlineStr">
        <is>
          <t>М6 (6c) · новое</t>
        </is>
      </c>
      <c r="M195" s="9" t="inlineStr">
        <is>
          <t>М8 (8c) · повт.</t>
        </is>
      </c>
      <c r="N195" s="9" t="inlineStr">
        <is>
          <t>М8 (8c) · повт.</t>
        </is>
      </c>
      <c r="O195" s="9" t="inlineStr">
        <is>
          <t>М6 (6c) · повт.</t>
        </is>
      </c>
      <c r="P195" s="28" t="inlineStr">
        <is>
          <t>—</t>
        </is>
      </c>
      <c r="Q195" s="29" t="inlineStr"/>
      <c r="R195" s="10" t="inlineStr">
        <is>
          <t>нет</t>
        </is>
      </c>
      <c r="S195" s="4" t="inlineStr"/>
      <c r="T195" s="4" t="inlineStr"/>
    </row>
    <row r="196">
      <c r="A196" s="11" t="n">
        <v>195</v>
      </c>
      <c r="B196" s="11" t="inlineStr">
        <is>
          <t>Грамматика</t>
        </is>
      </c>
      <c r="C196" s="11" t="inlineStr">
        <is>
          <t>Глаголы: to be / have got / модальные</t>
        </is>
      </c>
      <c r="D196" s="12" t="inlineStr">
        <is>
          <t>Reported Speech: modal verbs</t>
        </is>
      </c>
      <c r="E196" s="13" t="inlineStr">
        <is>
          <t>Reported Speech: modal verbs: can → could / would be able to</t>
        </is>
      </c>
      <c r="F196" s="11" t="inlineStr">
        <is>
          <t>10+</t>
        </is>
      </c>
      <c r="G196" s="11" t="inlineStr"/>
      <c r="H196" s="11" t="inlineStr"/>
      <c r="I196" s="11" t="inlineStr"/>
      <c r="J196" s="11" t="inlineStr"/>
      <c r="K196" s="11" t="inlineStr"/>
      <c r="L196" s="23" t="inlineStr">
        <is>
          <t>М6 (6c) · новое</t>
        </is>
      </c>
      <c r="M196" s="16" t="inlineStr">
        <is>
          <t>М8 (8c) · повт.</t>
        </is>
      </c>
      <c r="N196" s="16" t="inlineStr">
        <is>
          <t>М8 (8c) · повт.</t>
        </is>
      </c>
      <c r="O196" s="16" t="inlineStr">
        <is>
          <t>М6 (6c) · повт.</t>
        </is>
      </c>
      <c r="P196" s="20" t="inlineStr">
        <is>
          <t>—</t>
        </is>
      </c>
      <c r="Q196" s="21" t="inlineStr"/>
      <c r="R196" s="17" t="inlineStr">
        <is>
          <t>нет</t>
        </is>
      </c>
      <c r="S196" s="11" t="inlineStr"/>
      <c r="T196" s="11" t="inlineStr"/>
    </row>
    <row r="197">
      <c r="A197" s="11" t="n">
        <v>196</v>
      </c>
      <c r="B197" s="11" t="inlineStr">
        <is>
          <t>Грамматика</t>
        </is>
      </c>
      <c r="C197" s="11" t="inlineStr">
        <is>
          <t>Глаголы: to be / have got / модальные</t>
        </is>
      </c>
      <c r="D197" s="12" t="inlineStr">
        <is>
          <t>Reported Speech: modal verbs</t>
        </is>
      </c>
      <c r="E197" s="13" t="inlineStr">
        <is>
          <t>Reported Speech: modal verbs: may → might/could</t>
        </is>
      </c>
      <c r="F197" s="11" t="inlineStr">
        <is>
          <t>10+</t>
        </is>
      </c>
      <c r="G197" s="11" t="inlineStr"/>
      <c r="H197" s="11" t="inlineStr"/>
      <c r="I197" s="11" t="inlineStr"/>
      <c r="J197" s="11" t="inlineStr"/>
      <c r="K197" s="11" t="inlineStr"/>
      <c r="L197" s="23" t="inlineStr">
        <is>
          <t>М6 (6c) · новое</t>
        </is>
      </c>
      <c r="M197" s="16" t="inlineStr">
        <is>
          <t>М8 (8c) · повт.</t>
        </is>
      </c>
      <c r="N197" s="16" t="inlineStr">
        <is>
          <t>М8 (8c) · повт.</t>
        </is>
      </c>
      <c r="O197" s="16" t="inlineStr">
        <is>
          <t>М6 (6c) · повт.</t>
        </is>
      </c>
      <c r="P197" s="20" t="inlineStr">
        <is>
          <t>—</t>
        </is>
      </c>
      <c r="Q197" s="21" t="inlineStr"/>
      <c r="R197" s="17" t="inlineStr">
        <is>
          <t>нет</t>
        </is>
      </c>
      <c r="S197" s="11" t="inlineStr"/>
      <c r="T197" s="11" t="inlineStr"/>
    </row>
    <row r="198">
      <c r="A198" s="11" t="n">
        <v>197</v>
      </c>
      <c r="B198" s="11" t="inlineStr">
        <is>
          <t>Грамматика</t>
        </is>
      </c>
      <c r="C198" s="11" t="inlineStr">
        <is>
          <t>Глаголы: to be / have got / модальные</t>
        </is>
      </c>
      <c r="D198" s="12" t="inlineStr">
        <is>
          <t>Reported Speech: modal verbs</t>
        </is>
      </c>
      <c r="E198" s="13" t="inlineStr">
        <is>
          <t>Reported Speech: modal verbs: shall → should / would / offered</t>
        </is>
      </c>
      <c r="F198" s="11" t="inlineStr">
        <is>
          <t>10+</t>
        </is>
      </c>
      <c r="G198" s="11" t="inlineStr"/>
      <c r="H198" s="11" t="inlineStr"/>
      <c r="I198" s="11" t="inlineStr"/>
      <c r="J198" s="11" t="inlineStr"/>
      <c r="K198" s="11" t="inlineStr"/>
      <c r="L198" s="23" t="inlineStr">
        <is>
          <t>М6 (6c) · новое</t>
        </is>
      </c>
      <c r="M198" s="16" t="inlineStr">
        <is>
          <t>М8 (8c) · повт.</t>
        </is>
      </c>
      <c r="N198" s="16" t="inlineStr">
        <is>
          <t>М8 (8c) · повт.</t>
        </is>
      </c>
      <c r="O198" s="16" t="inlineStr">
        <is>
          <t>М6 (6c) · повт.</t>
        </is>
      </c>
      <c r="P198" s="20" t="inlineStr">
        <is>
          <t>—</t>
        </is>
      </c>
      <c r="Q198" s="21" t="inlineStr"/>
      <c r="R198" s="17" t="inlineStr">
        <is>
          <t>нет</t>
        </is>
      </c>
      <c r="S198" s="11" t="inlineStr"/>
      <c r="T198" s="11" t="inlineStr"/>
    </row>
    <row r="199">
      <c r="A199" s="11" t="n">
        <v>198</v>
      </c>
      <c r="B199" s="11" t="inlineStr">
        <is>
          <t>Грамматика</t>
        </is>
      </c>
      <c r="C199" s="11" t="inlineStr">
        <is>
          <t>Глаголы: to be / have got / модальные</t>
        </is>
      </c>
      <c r="D199" s="12" t="inlineStr">
        <is>
          <t>Reported Speech: modal verbs</t>
        </is>
      </c>
      <c r="E199" s="13" t="inlineStr">
        <is>
          <t>Reported Speech: modal verbs: must → had to (обязанность) / must (вывод)</t>
        </is>
      </c>
      <c r="F199" s="11" t="inlineStr">
        <is>
          <t>10+</t>
        </is>
      </c>
      <c r="G199" s="11" t="inlineStr"/>
      <c r="H199" s="11" t="inlineStr"/>
      <c r="I199" s="11" t="inlineStr"/>
      <c r="J199" s="11" t="inlineStr"/>
      <c r="K199" s="11" t="inlineStr"/>
      <c r="L199" s="23" t="inlineStr">
        <is>
          <t>М6 (6c) · новое</t>
        </is>
      </c>
      <c r="M199" s="16" t="inlineStr">
        <is>
          <t>М8 (8c) · повт.</t>
        </is>
      </c>
      <c r="N199" s="16" t="inlineStr">
        <is>
          <t>М8 (8c) · повт.</t>
        </is>
      </c>
      <c r="O199" s="16" t="inlineStr">
        <is>
          <t>М6 (6c) · повт.</t>
        </is>
      </c>
      <c r="P199" s="20" t="inlineStr">
        <is>
          <t>—</t>
        </is>
      </c>
      <c r="Q199" s="21" t="inlineStr"/>
      <c r="R199" s="17" t="inlineStr">
        <is>
          <t>нет</t>
        </is>
      </c>
      <c r="S199" s="11" t="inlineStr"/>
      <c r="T199" s="11" t="inlineStr"/>
    </row>
    <row r="200">
      <c r="A200" s="11" t="n">
        <v>199</v>
      </c>
      <c r="B200" s="11" t="inlineStr">
        <is>
          <t>Грамматика</t>
        </is>
      </c>
      <c r="C200" s="11" t="inlineStr">
        <is>
          <t>Глаголы: to be / have got / модальные</t>
        </is>
      </c>
      <c r="D200" s="12" t="inlineStr">
        <is>
          <t>Reported Speech: modal verbs</t>
        </is>
      </c>
      <c r="E200" s="13" t="inlineStr">
        <is>
          <t>Reported Speech: modal verbs: needn't → didn't need to / didn't have to / wouldn't have to</t>
        </is>
      </c>
      <c r="F200" s="11" t="inlineStr">
        <is>
          <t>10+</t>
        </is>
      </c>
      <c r="G200" s="11" t="inlineStr"/>
      <c r="H200" s="11" t="inlineStr"/>
      <c r="I200" s="11" t="inlineStr"/>
      <c r="J200" s="11" t="inlineStr"/>
      <c r="K200" s="11" t="inlineStr"/>
      <c r="L200" s="23" t="inlineStr">
        <is>
          <t>М6 (6c) · новое</t>
        </is>
      </c>
      <c r="M200" s="16" t="inlineStr">
        <is>
          <t>М8 (8c) · повт.</t>
        </is>
      </c>
      <c r="N200" s="16" t="inlineStr">
        <is>
          <t>М8 (8c) · повт.</t>
        </is>
      </c>
      <c r="O200" s="16" t="inlineStr">
        <is>
          <t>М6 (6c) · повт.</t>
        </is>
      </c>
      <c r="P200" s="20" t="inlineStr">
        <is>
          <t>—</t>
        </is>
      </c>
      <c r="Q200" s="21" t="inlineStr"/>
      <c r="R200" s="17" t="inlineStr">
        <is>
          <t>нет</t>
        </is>
      </c>
      <c r="S200" s="11" t="inlineStr"/>
      <c r="T200" s="11" t="inlineStr"/>
    </row>
    <row r="201">
      <c r="A201" s="11" t="n">
        <v>200</v>
      </c>
      <c r="B201" s="11" t="inlineStr">
        <is>
          <t>Грамматика</t>
        </is>
      </c>
      <c r="C201" s="11" t="inlineStr">
        <is>
          <t>Глаголы: to be / have got / модальные</t>
        </is>
      </c>
      <c r="D201" s="12" t="inlineStr">
        <is>
          <t>Reported Speech: modal verbs</t>
        </is>
      </c>
      <c r="E201" s="13" t="inlineStr">
        <is>
          <t>Reported Speech: modal verbs: не меняются (would, could, used to, mustn't, should, might, ought to, had better)</t>
        </is>
      </c>
      <c r="F201" s="11" t="inlineStr">
        <is>
          <t>10+</t>
        </is>
      </c>
      <c r="G201" s="11" t="inlineStr"/>
      <c r="H201" s="11" t="inlineStr"/>
      <c r="I201" s="11" t="inlineStr"/>
      <c r="J201" s="11" t="inlineStr"/>
      <c r="K201" s="11" t="inlineStr"/>
      <c r="L201" s="23" t="inlineStr">
        <is>
          <t>М6 (6c) · новое</t>
        </is>
      </c>
      <c r="M201" s="16" t="inlineStr">
        <is>
          <t>М8 (8c) · повт.</t>
        </is>
      </c>
      <c r="N201" s="16" t="inlineStr">
        <is>
          <t>М8 (8c) · повт.</t>
        </is>
      </c>
      <c r="O201" s="16" t="inlineStr">
        <is>
          <t>М6 (6c) · повт.</t>
        </is>
      </c>
      <c r="P201" s="20" t="inlineStr">
        <is>
          <t>—</t>
        </is>
      </c>
      <c r="Q201" s="21" t="inlineStr"/>
      <c r="R201" s="17" t="inlineStr">
        <is>
          <t>нет</t>
        </is>
      </c>
      <c r="S201" s="11" t="inlineStr"/>
      <c r="T201" s="11" t="inlineStr"/>
    </row>
    <row r="202">
      <c r="A202" s="4" t="n">
        <v>201</v>
      </c>
      <c r="B202" s="4" t="inlineStr">
        <is>
          <t>Грамматика</t>
        </is>
      </c>
      <c r="C202" s="4" t="inlineStr">
        <is>
          <t>Глаголы: to be / have got / модальные</t>
        </is>
      </c>
      <c r="D202" s="5" t="inlineStr">
        <is>
          <t>can/could (ability past)</t>
        </is>
      </c>
      <c r="E202" s="24" t="inlineStr">
        <is>
          <t>can/could (ability past): could — общая способность в прошлом</t>
        </is>
      </c>
      <c r="F202" s="4" t="inlineStr">
        <is>
          <t>10+</t>
        </is>
      </c>
      <c r="G202" s="4" t="inlineStr"/>
      <c r="H202" s="4" t="inlineStr"/>
      <c r="I202" s="4" t="inlineStr"/>
      <c r="J202" s="4" t="inlineStr"/>
      <c r="K202" s="4" t="inlineStr"/>
      <c r="L202" s="27" t="inlineStr">
        <is>
          <t>М7 (7c) · новое</t>
        </is>
      </c>
      <c r="M202" s="9" t="inlineStr">
        <is>
          <t>М7 (7d) · повт.</t>
        </is>
      </c>
      <c r="N202" s="30" t="inlineStr">
        <is>
          <t>М4 (4c) · расш.</t>
        </is>
      </c>
      <c r="O202" s="9" t="inlineStr">
        <is>
          <t>М5 (5c) · повт.</t>
        </is>
      </c>
      <c r="P202" s="28" t="inlineStr">
        <is>
          <t>—</t>
        </is>
      </c>
      <c r="Q202" s="29" t="inlineStr"/>
      <c r="R202" s="10" t="inlineStr">
        <is>
          <t>нет</t>
        </is>
      </c>
      <c r="S202" s="4" t="inlineStr"/>
      <c r="T202" s="4" t="inlineStr"/>
    </row>
    <row r="203">
      <c r="A203" s="11" t="n">
        <v>202</v>
      </c>
      <c r="B203" s="11" t="inlineStr">
        <is>
          <t>Грамматика</t>
        </is>
      </c>
      <c r="C203" s="11" t="inlineStr">
        <is>
          <t>Глаголы: to be / have got / модальные</t>
        </is>
      </c>
      <c r="D203" s="12" t="inlineStr">
        <is>
          <t>can/could (ability past)</t>
        </is>
      </c>
      <c r="E203" s="13" t="inlineStr">
        <is>
          <t>can/could (ability past): was/were able to — способность в конкретной ситуации</t>
        </is>
      </c>
      <c r="F203" s="11" t="inlineStr">
        <is>
          <t>10+</t>
        </is>
      </c>
      <c r="G203" s="11" t="inlineStr"/>
      <c r="H203" s="11" t="inlineStr"/>
      <c r="I203" s="11" t="inlineStr"/>
      <c r="J203" s="11" t="inlineStr"/>
      <c r="K203" s="11" t="inlineStr"/>
      <c r="L203" s="23" t="inlineStr">
        <is>
          <t>М7 (7c) · новое</t>
        </is>
      </c>
      <c r="M203" s="16" t="inlineStr">
        <is>
          <t>М7 (7d) · повт.</t>
        </is>
      </c>
      <c r="N203" s="16" t="inlineStr">
        <is>
          <t>М4 (4c) · повт.</t>
        </is>
      </c>
      <c r="O203" s="16" t="inlineStr">
        <is>
          <t>М5 (5c) · повт.</t>
        </is>
      </c>
      <c r="P203" s="20" t="inlineStr">
        <is>
          <t>—</t>
        </is>
      </c>
      <c r="Q203" s="21" t="inlineStr"/>
      <c r="R203" s="17" t="inlineStr">
        <is>
          <t>нет</t>
        </is>
      </c>
      <c r="S203" s="11" t="inlineStr"/>
      <c r="T203" s="11" t="inlineStr"/>
    </row>
    <row r="204">
      <c r="A204" s="11" t="n">
        <v>203</v>
      </c>
      <c r="B204" s="11" t="inlineStr">
        <is>
          <t>Грамматика</t>
        </is>
      </c>
      <c r="C204" s="11" t="inlineStr">
        <is>
          <t>Глаголы: to be / have got / модальные</t>
        </is>
      </c>
      <c r="D204" s="12" t="inlineStr">
        <is>
          <t>can/could (ability past)</t>
        </is>
      </c>
      <c r="E204" s="13" t="inlineStr">
        <is>
          <t>can/could (ability past): couldn't — неспособность в прошлом</t>
        </is>
      </c>
      <c r="F204" s="11" t="inlineStr">
        <is>
          <t>10+</t>
        </is>
      </c>
      <c r="G204" s="11" t="inlineStr"/>
      <c r="H204" s="11" t="inlineStr"/>
      <c r="I204" s="11" t="inlineStr"/>
      <c r="J204" s="11" t="inlineStr"/>
      <c r="K204" s="11" t="inlineStr"/>
      <c r="L204" s="23" t="inlineStr">
        <is>
          <t>М7 (7c) · новое</t>
        </is>
      </c>
      <c r="M204" s="16" t="inlineStr">
        <is>
          <t>М7 (7d) · повт.</t>
        </is>
      </c>
      <c r="N204" s="19" t="inlineStr">
        <is>
          <t>М4 (4c) · расш.</t>
        </is>
      </c>
      <c r="O204" s="16" t="inlineStr">
        <is>
          <t>М5 (5c) · повт.</t>
        </is>
      </c>
      <c r="P204" s="20" t="inlineStr">
        <is>
          <t>—</t>
        </is>
      </c>
      <c r="Q204" s="21" t="inlineStr"/>
      <c r="R204" s="17" t="inlineStr">
        <is>
          <t>нет</t>
        </is>
      </c>
      <c r="S204" s="11" t="inlineStr"/>
      <c r="T204" s="11" t="inlineStr"/>
    </row>
    <row r="205">
      <c r="A205" s="11" t="n">
        <v>204</v>
      </c>
      <c r="B205" s="11" t="inlineStr">
        <is>
          <t>Грамматика</t>
        </is>
      </c>
      <c r="C205" s="11" t="inlineStr">
        <is>
          <t>Глаголы: to be / have got / модальные</t>
        </is>
      </c>
      <c r="D205" s="12" t="inlineStr">
        <is>
          <t>can/could (ability past)</t>
        </is>
      </c>
      <c r="E205" s="13" t="inlineStr">
        <is>
          <t>can/could (ability past): be able to в других временах (will be able to)</t>
        </is>
      </c>
      <c r="F205" s="11" t="inlineStr">
        <is>
          <t>10+</t>
        </is>
      </c>
      <c r="G205" s="11" t="inlineStr"/>
      <c r="H205" s="11" t="inlineStr"/>
      <c r="I205" s="11" t="inlineStr"/>
      <c r="J205" s="11" t="inlineStr"/>
      <c r="K205" s="11" t="inlineStr"/>
      <c r="L205" s="11" t="inlineStr"/>
      <c r="M205" s="11" t="inlineStr"/>
      <c r="N205" s="11" t="inlineStr"/>
      <c r="O205" s="23" t="inlineStr">
        <is>
          <t>М5 (5c) · новое</t>
        </is>
      </c>
      <c r="P205" s="20" t="inlineStr">
        <is>
          <t>—</t>
        </is>
      </c>
      <c r="Q205" s="21" t="inlineStr"/>
      <c r="R205" s="17" t="inlineStr">
        <is>
          <t>нет</t>
        </is>
      </c>
      <c r="S205" s="11" t="inlineStr"/>
      <c r="T205" s="11" t="inlineStr"/>
    </row>
    <row r="206">
      <c r="A206" s="4" t="n">
        <v>205</v>
      </c>
      <c r="B206" s="4" t="inlineStr">
        <is>
          <t>Грамматика</t>
        </is>
      </c>
      <c r="C206" s="4" t="inlineStr">
        <is>
          <t>Глаголы: to be / have got / модальные</t>
        </is>
      </c>
      <c r="D206" s="5" t="inlineStr">
        <is>
          <t>Semi-modals</t>
        </is>
      </c>
      <c r="E206" s="24" t="inlineStr">
        <is>
          <t>Semi-modals: need (= must), have (got) to (= must)</t>
        </is>
      </c>
      <c r="F206" s="4" t="inlineStr">
        <is>
          <t>10+</t>
        </is>
      </c>
      <c r="G206" s="4" t="inlineStr"/>
      <c r="H206" s="4" t="inlineStr"/>
      <c r="I206" s="4" t="inlineStr"/>
      <c r="J206" s="4" t="inlineStr"/>
      <c r="K206" s="4" t="inlineStr"/>
      <c r="L206" s="4" t="inlineStr"/>
      <c r="M206" s="4" t="inlineStr"/>
      <c r="N206" s="4" t="inlineStr"/>
      <c r="O206" s="27" t="inlineStr">
        <is>
          <t>М5 (5c) · новое</t>
        </is>
      </c>
      <c r="P206" s="28" t="inlineStr">
        <is>
          <t>—</t>
        </is>
      </c>
      <c r="Q206" s="29" t="inlineStr"/>
      <c r="R206" s="10" t="inlineStr">
        <is>
          <t>нет</t>
        </is>
      </c>
      <c r="S206" s="4" t="inlineStr"/>
      <c r="T206" s="4" t="inlineStr"/>
    </row>
    <row r="207">
      <c r="A207" s="11" t="n">
        <v>206</v>
      </c>
      <c r="B207" s="11" t="inlineStr">
        <is>
          <t>Грамматика</t>
        </is>
      </c>
      <c r="C207" s="11" t="inlineStr">
        <is>
          <t>Глаголы: to be / have got / модальные</t>
        </is>
      </c>
      <c r="D207" s="12" t="inlineStr">
        <is>
          <t>Semi-modals</t>
        </is>
      </c>
      <c r="E207" s="13" t="inlineStr">
        <is>
          <t>Semi-modals: had better (= should)</t>
        </is>
      </c>
      <c r="F207" s="11" t="inlineStr">
        <is>
          <t>10+</t>
        </is>
      </c>
      <c r="G207" s="11" t="inlineStr"/>
      <c r="H207" s="11" t="inlineStr"/>
      <c r="I207" s="11" t="inlineStr"/>
      <c r="J207" s="11" t="inlineStr"/>
      <c r="K207" s="11" t="inlineStr"/>
      <c r="L207" s="11" t="inlineStr"/>
      <c r="M207" s="11" t="inlineStr"/>
      <c r="N207" s="11" t="inlineStr"/>
      <c r="O207" s="23" t="inlineStr">
        <is>
          <t>М5 (5c) · новое</t>
        </is>
      </c>
      <c r="P207" s="20" t="inlineStr">
        <is>
          <t>—</t>
        </is>
      </c>
      <c r="Q207" s="21" t="inlineStr"/>
      <c r="R207" s="17" t="inlineStr">
        <is>
          <t>нет</t>
        </is>
      </c>
      <c r="S207" s="11" t="inlineStr"/>
      <c r="T207" s="11" t="inlineStr"/>
    </row>
    <row r="208">
      <c r="A208" s="11" t="n">
        <v>207</v>
      </c>
      <c r="B208" s="11" t="inlineStr">
        <is>
          <t>Грамматика</t>
        </is>
      </c>
      <c r="C208" s="11" t="inlineStr">
        <is>
          <t>Глаголы: to be / have got / модальные</t>
        </is>
      </c>
      <c r="D208" s="12" t="inlineStr">
        <is>
          <t>Semi-modals</t>
        </is>
      </c>
      <c r="E208" s="13" t="inlineStr">
        <is>
          <t>Semi-modals: be able to (= can)</t>
        </is>
      </c>
      <c r="F208" s="11" t="inlineStr">
        <is>
          <t>10+</t>
        </is>
      </c>
      <c r="G208" s="11" t="inlineStr"/>
      <c r="H208" s="11" t="inlineStr"/>
      <c r="I208" s="11" t="inlineStr"/>
      <c r="J208" s="11" t="inlineStr"/>
      <c r="K208" s="11" t="inlineStr"/>
      <c r="L208" s="11" t="inlineStr"/>
      <c r="M208" s="11" t="inlineStr"/>
      <c r="N208" s="11" t="inlineStr"/>
      <c r="O208" s="23" t="inlineStr">
        <is>
          <t>М5 (5c) · новое</t>
        </is>
      </c>
      <c r="P208" s="20" t="inlineStr">
        <is>
          <t>—</t>
        </is>
      </c>
      <c r="Q208" s="21" t="inlineStr"/>
      <c r="R208" s="17" t="inlineStr">
        <is>
          <t>нет</t>
        </is>
      </c>
      <c r="S208" s="11" t="inlineStr"/>
      <c r="T208" s="11" t="inlineStr"/>
    </row>
    <row r="209">
      <c r="A209" s="11" t="n">
        <v>208</v>
      </c>
      <c r="B209" s="11" t="inlineStr">
        <is>
          <t>Грамматика</t>
        </is>
      </c>
      <c r="C209" s="11" t="inlineStr">
        <is>
          <t>Глаголы: to be / have got / модальные</t>
        </is>
      </c>
      <c r="D209" s="12" t="inlineStr">
        <is>
          <t>Semi-modals</t>
        </is>
      </c>
      <c r="E209" s="13" t="inlineStr">
        <is>
          <t>Semi-modals: used to (= would)</t>
        </is>
      </c>
      <c r="F209" s="11" t="inlineStr">
        <is>
          <t>10+</t>
        </is>
      </c>
      <c r="G209" s="11" t="inlineStr"/>
      <c r="H209" s="11" t="inlineStr"/>
      <c r="I209" s="11" t="inlineStr"/>
      <c r="J209" s="11" t="inlineStr"/>
      <c r="K209" s="11" t="inlineStr"/>
      <c r="L209" s="11" t="inlineStr"/>
      <c r="M209" s="11" t="inlineStr"/>
      <c r="N209" s="11" t="inlineStr"/>
      <c r="O209" s="23" t="inlineStr">
        <is>
          <t>М5 (5c) · новое</t>
        </is>
      </c>
      <c r="P209" s="20" t="inlineStr">
        <is>
          <t>—</t>
        </is>
      </c>
      <c r="Q209" s="21" t="inlineStr"/>
      <c r="R209" s="17" t="inlineStr">
        <is>
          <t>нет</t>
        </is>
      </c>
      <c r="S209" s="11" t="inlineStr"/>
      <c r="T209" s="11" t="inlineStr"/>
    </row>
    <row r="210">
      <c r="A210" s="4" t="n">
        <v>209</v>
      </c>
      <c r="B210" s="4" t="inlineStr">
        <is>
          <t>Грамматика</t>
        </is>
      </c>
      <c r="C210" s="4" t="inlineStr">
        <is>
          <t>Глаголы: to be / have got / модальные</t>
        </is>
      </c>
      <c r="D210" s="5" t="inlineStr">
        <is>
          <t>must/have to (obligation)</t>
        </is>
      </c>
      <c r="E210" s="24" t="inlineStr">
        <is>
          <t>must/have to (obligation): must vs have to — субъективная vs объективная необходимость</t>
        </is>
      </c>
      <c r="F210" s="4" t="inlineStr">
        <is>
          <t>10+</t>
        </is>
      </c>
      <c r="G210" s="4" t="inlineStr"/>
      <c r="H210" s="4" t="inlineStr"/>
      <c r="I210" s="4" t="inlineStr"/>
      <c r="J210" s="4" t="inlineStr"/>
      <c r="K210" s="4" t="inlineStr"/>
      <c r="L210" s="4" t="inlineStr"/>
      <c r="M210" s="4" t="inlineStr"/>
      <c r="N210" s="4" t="inlineStr"/>
      <c r="O210" s="27" t="inlineStr">
        <is>
          <t>М5 (5c) · новое</t>
        </is>
      </c>
      <c r="P210" s="28" t="inlineStr">
        <is>
          <t>—</t>
        </is>
      </c>
      <c r="Q210" s="29" t="inlineStr"/>
      <c r="R210" s="10" t="inlineStr">
        <is>
          <t>нет</t>
        </is>
      </c>
      <c r="S210" s="4" t="inlineStr"/>
      <c r="T210" s="4" t="inlineStr"/>
    </row>
    <row r="211">
      <c r="A211" s="11" t="n">
        <v>210</v>
      </c>
      <c r="B211" s="11" t="inlineStr">
        <is>
          <t>Грамматика</t>
        </is>
      </c>
      <c r="C211" s="11" t="inlineStr">
        <is>
          <t>Глаголы: to be / have got / модальные</t>
        </is>
      </c>
      <c r="D211" s="12" t="inlineStr">
        <is>
          <t>must/have to (obligation)</t>
        </is>
      </c>
      <c r="E211" s="13" t="inlineStr">
        <is>
          <t>must/have to (obligation): had to — прошедшее для must и have to</t>
        </is>
      </c>
      <c r="F211" s="11" t="inlineStr">
        <is>
          <t>10+</t>
        </is>
      </c>
      <c r="G211" s="11" t="inlineStr"/>
      <c r="H211" s="11" t="inlineStr"/>
      <c r="I211" s="11" t="inlineStr"/>
      <c r="J211" s="11" t="inlineStr"/>
      <c r="K211" s="11" t="inlineStr"/>
      <c r="L211" s="11" t="inlineStr"/>
      <c r="M211" s="11" t="inlineStr"/>
      <c r="N211" s="11" t="inlineStr"/>
      <c r="O211" s="23" t="inlineStr">
        <is>
          <t>М5 (5c) · новое</t>
        </is>
      </c>
      <c r="P211" s="20" t="inlineStr">
        <is>
          <t>—</t>
        </is>
      </c>
      <c r="Q211" s="21" t="inlineStr"/>
      <c r="R211" s="17" t="inlineStr">
        <is>
          <t>нет</t>
        </is>
      </c>
      <c r="S211" s="11" t="inlineStr"/>
      <c r="T211" s="11" t="inlineStr"/>
    </row>
    <row r="212">
      <c r="A212" s="11" t="n">
        <v>211</v>
      </c>
      <c r="B212" s="11" t="inlineStr">
        <is>
          <t>Грамматика</t>
        </is>
      </c>
      <c r="C212" s="11" t="inlineStr">
        <is>
          <t>Глаголы: to be / have got / модальные</t>
        </is>
      </c>
      <c r="D212" s="12" t="inlineStr">
        <is>
          <t>must/have to (obligation)</t>
        </is>
      </c>
      <c r="E212" s="13" t="inlineStr">
        <is>
          <t>must/have to (obligation): should/ought to — долг, слабая обязанность</t>
        </is>
      </c>
      <c r="F212" s="11" t="inlineStr">
        <is>
          <t>10+</t>
        </is>
      </c>
      <c r="G212" s="11" t="inlineStr"/>
      <c r="H212" s="11" t="inlineStr"/>
      <c r="I212" s="11" t="inlineStr"/>
      <c r="J212" s="11" t="inlineStr"/>
      <c r="K212" s="11" t="inlineStr"/>
      <c r="L212" s="11" t="inlineStr"/>
      <c r="M212" s="11" t="inlineStr"/>
      <c r="N212" s="11" t="inlineStr"/>
      <c r="O212" s="23" t="inlineStr">
        <is>
          <t>М5 (5c) · новое</t>
        </is>
      </c>
      <c r="P212" s="20" t="inlineStr">
        <is>
          <t>—</t>
        </is>
      </c>
      <c r="Q212" s="21" t="inlineStr"/>
      <c r="R212" s="17" t="inlineStr">
        <is>
          <t>нет</t>
        </is>
      </c>
      <c r="S212" s="11" t="inlineStr"/>
      <c r="T212" s="11" t="inlineStr"/>
    </row>
    <row r="213">
      <c r="A213" s="4" t="n">
        <v>212</v>
      </c>
      <c r="B213" s="4" t="inlineStr">
        <is>
          <t>Грамматика</t>
        </is>
      </c>
      <c r="C213" s="4" t="inlineStr">
        <is>
          <t>Глаголы: другое</t>
        </is>
      </c>
      <c r="D213" s="5" t="inlineStr">
        <is>
          <t>Conditionals (Type 0)</t>
        </is>
      </c>
      <c r="E213" s="6" t="inlineStr">
        <is>
          <t>Conditionals Type 0: форма If/When + Present Simple — Present Simple</t>
        </is>
      </c>
      <c r="F213" s="4" t="inlineStr">
        <is>
          <t>10+</t>
        </is>
      </c>
      <c r="G213" s="4" t="inlineStr"/>
      <c r="H213" s="4" t="inlineStr"/>
      <c r="I213" s="4" t="inlineStr"/>
      <c r="J213" s="4" t="inlineStr"/>
      <c r="K213" s="27" t="inlineStr">
        <is>
          <t>М5 · новое</t>
        </is>
      </c>
      <c r="L213" s="9" t="inlineStr">
        <is>
          <t>М8 (8c) · повт.</t>
        </is>
      </c>
      <c r="M213" s="4" t="inlineStr"/>
      <c r="N213" s="9" t="inlineStr">
        <is>
          <t>М6 (6c) · повт.</t>
        </is>
      </c>
      <c r="O213" s="4" t="inlineStr"/>
      <c r="P213" s="28" t="inlineStr">
        <is>
          <t>—</t>
        </is>
      </c>
      <c r="Q213" s="29" t="inlineStr"/>
      <c r="R213" s="10" t="inlineStr">
        <is>
          <t>видео</t>
        </is>
      </c>
      <c r="S213" s="4" t="inlineStr">
        <is>
          <t>Conditionals type 0and type 1
Sport + Conditionals 0-1</t>
        </is>
      </c>
      <c r="T213" s="4" t="inlineStr"/>
    </row>
    <row r="214">
      <c r="A214" s="11" t="n">
        <v>213</v>
      </c>
      <c r="B214" s="11" t="inlineStr">
        <is>
          <t>Грамматика</t>
        </is>
      </c>
      <c r="C214" s="11" t="inlineStr">
        <is>
          <t>Глаголы: другое</t>
        </is>
      </c>
      <c r="D214" s="12" t="inlineStr">
        <is>
          <t>Conditionals (Type 0)</t>
        </is>
      </c>
      <c r="E214" s="22" t="inlineStr">
        <is>
          <t>Conditionals Type 0: значение — общие истины, научные факты</t>
        </is>
      </c>
      <c r="F214" s="11" t="inlineStr">
        <is>
          <t>10+</t>
        </is>
      </c>
      <c r="G214" s="11" t="inlineStr"/>
      <c r="H214" s="11" t="inlineStr"/>
      <c r="I214" s="11" t="inlineStr"/>
      <c r="J214" s="11" t="inlineStr"/>
      <c r="K214" s="23" t="inlineStr">
        <is>
          <t>М5 · новое</t>
        </is>
      </c>
      <c r="L214" s="16" t="inlineStr">
        <is>
          <t>М8 (8c) · повт.</t>
        </is>
      </c>
      <c r="M214" s="11" t="inlineStr"/>
      <c r="N214" s="16" t="inlineStr">
        <is>
          <t>М6 (6c) · повт.</t>
        </is>
      </c>
      <c r="O214" s="11" t="inlineStr"/>
      <c r="P214" s="20" t="inlineStr">
        <is>
          <t>—</t>
        </is>
      </c>
      <c r="Q214" s="21" t="inlineStr"/>
      <c r="R214" s="17" t="inlineStr">
        <is>
          <t>видео</t>
        </is>
      </c>
      <c r="S214" s="11" t="inlineStr">
        <is>
          <t>Conditionals type 0and type 1
Sport + Conditionals 0-1</t>
        </is>
      </c>
      <c r="T214" s="11" t="inlineStr"/>
    </row>
    <row r="215">
      <c r="A215" s="11" t="n">
        <v>214</v>
      </c>
      <c r="B215" s="11" t="inlineStr">
        <is>
          <t>Грамматика</t>
        </is>
      </c>
      <c r="C215" s="11" t="inlineStr">
        <is>
          <t>Глаголы: другое</t>
        </is>
      </c>
      <c r="D215" s="12" t="inlineStr">
        <is>
          <t>Conditionals (Type 0)</t>
        </is>
      </c>
      <c r="E215" s="13" t="inlineStr">
        <is>
          <t>Conditionals Type 0: when вместо if</t>
        </is>
      </c>
      <c r="F215" s="11" t="inlineStr">
        <is>
          <t>10+</t>
        </is>
      </c>
      <c r="G215" s="11" t="inlineStr"/>
      <c r="H215" s="11" t="inlineStr"/>
      <c r="I215" s="11" t="inlineStr"/>
      <c r="J215" s="11" t="inlineStr"/>
      <c r="K215" s="23" t="inlineStr">
        <is>
          <t>М5 · новое</t>
        </is>
      </c>
      <c r="L215" s="16" t="inlineStr">
        <is>
          <t>М8 (8c) · повт.</t>
        </is>
      </c>
      <c r="M215" s="11" t="inlineStr"/>
      <c r="N215" s="16" t="inlineStr">
        <is>
          <t>М6 (6c) · повт.</t>
        </is>
      </c>
      <c r="O215" s="11" t="inlineStr"/>
      <c r="P215" s="20" t="inlineStr">
        <is>
          <t>—</t>
        </is>
      </c>
      <c r="Q215" s="21" t="inlineStr"/>
      <c r="R215" s="17" t="inlineStr">
        <is>
          <t>нет</t>
        </is>
      </c>
      <c r="S215" s="11" t="inlineStr"/>
      <c r="T215" s="11" t="inlineStr"/>
    </row>
    <row r="216">
      <c r="A216" s="4" t="n">
        <v>215</v>
      </c>
      <c r="B216" s="4" t="inlineStr">
        <is>
          <t>Грамматика</t>
        </is>
      </c>
      <c r="C216" s="4" t="inlineStr">
        <is>
          <t>Глаголы: другое</t>
        </is>
      </c>
      <c r="D216" s="5" t="inlineStr">
        <is>
          <t>Conditionals (Type 1)</t>
        </is>
      </c>
      <c r="E216" s="6" t="inlineStr">
        <is>
          <t>Conditionals Type 1: форма If + Present Simple — will + V</t>
        </is>
      </c>
      <c r="F216" s="4" t="inlineStr">
        <is>
          <t>10+</t>
        </is>
      </c>
      <c r="G216" s="4" t="inlineStr"/>
      <c r="H216" s="4" t="inlineStr"/>
      <c r="I216" s="4" t="inlineStr"/>
      <c r="J216" s="4" t="inlineStr"/>
      <c r="K216" s="27" t="inlineStr">
        <is>
          <t>М5 · новое</t>
        </is>
      </c>
      <c r="L216" s="9" t="inlineStr">
        <is>
          <t>М8 (8c) · повт.</t>
        </is>
      </c>
      <c r="M216" s="9" t="inlineStr">
        <is>
          <t>М7 (7c) · повт.</t>
        </is>
      </c>
      <c r="N216" s="9" t="inlineStr">
        <is>
          <t>М6 (6c) · повт.</t>
        </is>
      </c>
      <c r="O216" s="9" t="inlineStr">
        <is>
          <t>М7 (7c) · повт.</t>
        </is>
      </c>
      <c r="P216" s="28" t="inlineStr">
        <is>
          <t>—</t>
        </is>
      </c>
      <c r="Q216" s="29" t="inlineStr"/>
      <c r="R216" s="10" t="inlineStr">
        <is>
          <t>видео</t>
        </is>
      </c>
      <c r="S216" s="4" t="inlineStr">
        <is>
          <t>Conditionals type 0and type 1
Sport + Conditionals 0-1</t>
        </is>
      </c>
      <c r="T216" s="4" t="inlineStr"/>
    </row>
    <row r="217">
      <c r="A217" s="11" t="n">
        <v>216</v>
      </c>
      <c r="B217" s="11" t="inlineStr">
        <is>
          <t>Грамматика</t>
        </is>
      </c>
      <c r="C217" s="11" t="inlineStr">
        <is>
          <t>Глаголы: другое</t>
        </is>
      </c>
      <c r="D217" s="12" t="inlineStr">
        <is>
          <t>Conditionals (Type 1)</t>
        </is>
      </c>
      <c r="E217" s="13" t="inlineStr">
        <is>
          <t>Conditionals Type 1: главная часть с Imperative / can, must, may</t>
        </is>
      </c>
      <c r="F217" s="11" t="inlineStr">
        <is>
          <t>10+</t>
        </is>
      </c>
      <c r="G217" s="11" t="inlineStr"/>
      <c r="H217" s="11" t="inlineStr"/>
      <c r="I217" s="11" t="inlineStr"/>
      <c r="J217" s="11" t="inlineStr"/>
      <c r="K217" s="23" t="inlineStr">
        <is>
          <t>М5 · новое</t>
        </is>
      </c>
      <c r="L217" s="16" t="inlineStr">
        <is>
          <t>М8 (8c) · повт.</t>
        </is>
      </c>
      <c r="M217" s="11" t="inlineStr"/>
      <c r="N217" s="16" t="inlineStr">
        <is>
          <t>М6 (6c) · повт.</t>
        </is>
      </c>
      <c r="O217" s="11" t="inlineStr"/>
      <c r="P217" s="20" t="inlineStr">
        <is>
          <t>—</t>
        </is>
      </c>
      <c r="Q217" s="21" t="inlineStr"/>
      <c r="R217" s="17" t="inlineStr">
        <is>
          <t>нет</t>
        </is>
      </c>
      <c r="S217" s="11" t="inlineStr"/>
      <c r="T217" s="11" t="inlineStr"/>
    </row>
    <row r="218">
      <c r="A218" s="11" t="n">
        <v>217</v>
      </c>
      <c r="B218" s="11" t="inlineStr">
        <is>
          <t>Грамматика</t>
        </is>
      </c>
      <c r="C218" s="11" t="inlineStr">
        <is>
          <t>Глаголы: другое</t>
        </is>
      </c>
      <c r="D218" s="12" t="inlineStr">
        <is>
          <t>Conditionals (Type 1)</t>
        </is>
      </c>
      <c r="E218" s="22" t="inlineStr">
        <is>
          <t>Conditionals Type 1: значение — реальная/вероятная ситуация в настоящем/будущем</t>
        </is>
      </c>
      <c r="F218" s="11" t="inlineStr">
        <is>
          <t>10+</t>
        </is>
      </c>
      <c r="G218" s="11" t="inlineStr"/>
      <c r="H218" s="11" t="inlineStr"/>
      <c r="I218" s="11" t="inlineStr"/>
      <c r="J218" s="11" t="inlineStr"/>
      <c r="K218" s="23" t="inlineStr">
        <is>
          <t>М5 · новое</t>
        </is>
      </c>
      <c r="L218" s="16" t="inlineStr">
        <is>
          <t>М8 (8c) · повт.</t>
        </is>
      </c>
      <c r="M218" s="16" t="inlineStr">
        <is>
          <t>М7 (7c) · повт.</t>
        </is>
      </c>
      <c r="N218" s="16" t="inlineStr">
        <is>
          <t>М6 (6c) · повт.</t>
        </is>
      </c>
      <c r="O218" s="16" t="inlineStr">
        <is>
          <t>М7 (7c) · повт.</t>
        </is>
      </c>
      <c r="P218" s="20" t="inlineStr">
        <is>
          <t>—</t>
        </is>
      </c>
      <c r="Q218" s="21" t="inlineStr"/>
      <c r="R218" s="17" t="inlineStr">
        <is>
          <t>видео</t>
        </is>
      </c>
      <c r="S218" s="11" t="inlineStr">
        <is>
          <t>Conditionals type 0and type 1
Sport + Conditionals 0-1</t>
        </is>
      </c>
      <c r="T218" s="11" t="inlineStr"/>
    </row>
    <row r="219">
      <c r="A219" s="11" t="n">
        <v>218</v>
      </c>
      <c r="B219" s="11" t="inlineStr">
        <is>
          <t>Грамматика</t>
        </is>
      </c>
      <c r="C219" s="11" t="inlineStr">
        <is>
          <t>Глаголы: другое</t>
        </is>
      </c>
      <c r="D219" s="12" t="inlineStr">
        <is>
          <t>Conditionals (Type 1)</t>
        </is>
      </c>
      <c r="E219" s="13" t="inlineStr">
        <is>
          <t>Conditionals Type 1: запятая, если if-часть впереди</t>
        </is>
      </c>
      <c r="F219" s="11" t="inlineStr">
        <is>
          <t>10+</t>
        </is>
      </c>
      <c r="G219" s="11" t="inlineStr"/>
      <c r="H219" s="11" t="inlineStr"/>
      <c r="I219" s="11" t="inlineStr"/>
      <c r="J219" s="11" t="inlineStr"/>
      <c r="K219" s="23" t="inlineStr">
        <is>
          <t>М5 · новое</t>
        </is>
      </c>
      <c r="L219" s="16" t="inlineStr">
        <is>
          <t>М8 (8c) · повт.</t>
        </is>
      </c>
      <c r="M219" s="16" t="inlineStr">
        <is>
          <t>М7 (7c) · повт.</t>
        </is>
      </c>
      <c r="N219" s="16" t="inlineStr">
        <is>
          <t>М6 (6c) · повт.</t>
        </is>
      </c>
      <c r="O219" s="16" t="inlineStr">
        <is>
          <t>М7 (7c) · повт.</t>
        </is>
      </c>
      <c r="P219" s="20" t="inlineStr">
        <is>
          <t>—</t>
        </is>
      </c>
      <c r="Q219" s="21" t="inlineStr"/>
      <c r="R219" s="17" t="inlineStr">
        <is>
          <t>нет</t>
        </is>
      </c>
      <c r="S219" s="11" t="inlineStr"/>
      <c r="T219" s="11" t="inlineStr"/>
    </row>
    <row r="220">
      <c r="A220" s="11" t="n">
        <v>219</v>
      </c>
      <c r="B220" s="11" t="inlineStr">
        <is>
          <t>Грамматика</t>
        </is>
      </c>
      <c r="C220" s="11" t="inlineStr">
        <is>
          <t>Глаголы: другое</t>
        </is>
      </c>
      <c r="D220" s="12" t="inlineStr">
        <is>
          <t>Conditionals (Type 1)</t>
        </is>
      </c>
      <c r="E220" s="13" t="inlineStr">
        <is>
          <t>Conditionals Type 1: unless = if not</t>
        </is>
      </c>
      <c r="F220" s="11" t="inlineStr">
        <is>
          <t>10+</t>
        </is>
      </c>
      <c r="G220" s="11" t="inlineStr"/>
      <c r="H220" s="11" t="inlineStr"/>
      <c r="I220" s="11" t="inlineStr"/>
      <c r="J220" s="11" t="inlineStr"/>
      <c r="K220" s="23" t="inlineStr">
        <is>
          <t>М5 · новое</t>
        </is>
      </c>
      <c r="L220" s="16" t="inlineStr">
        <is>
          <t>М8 (8c) · повт.</t>
        </is>
      </c>
      <c r="M220" s="16" t="inlineStr">
        <is>
          <t>М7 (7c) · повт.</t>
        </is>
      </c>
      <c r="N220" s="16" t="inlineStr">
        <is>
          <t>М6 (6c) · повт.</t>
        </is>
      </c>
      <c r="O220" s="16" t="inlineStr">
        <is>
          <t>М7 (7c) · повт.</t>
        </is>
      </c>
      <c r="P220" s="20" t="inlineStr">
        <is>
          <t>—</t>
        </is>
      </c>
      <c r="Q220" s="21" t="inlineStr"/>
      <c r="R220" s="17" t="inlineStr">
        <is>
          <t>нет</t>
        </is>
      </c>
      <c r="S220" s="11" t="inlineStr"/>
      <c r="T220" s="11" t="inlineStr"/>
    </row>
    <row r="221">
      <c r="A221" s="4" t="n">
        <v>220</v>
      </c>
      <c r="B221" s="4" t="inlineStr">
        <is>
          <t>Грамматика</t>
        </is>
      </c>
      <c r="C221" s="4" t="inlineStr">
        <is>
          <t>Глаголы: другое</t>
        </is>
      </c>
      <c r="D221" s="5" t="inlineStr">
        <is>
          <t>Irregular verbs (list)</t>
        </is>
      </c>
      <c r="E221" s="24" t="inlineStr">
        <is>
          <t>Irregular verbs: таблица Infinitive – Past – Past Participle</t>
        </is>
      </c>
      <c r="F221" s="4" t="inlineStr">
        <is>
          <t>10+</t>
        </is>
      </c>
      <c r="G221" s="4" t="inlineStr"/>
      <c r="H221" s="4" t="inlineStr"/>
      <c r="I221" s="4" t="inlineStr"/>
      <c r="J221" s="4" t="inlineStr"/>
      <c r="K221" s="27" t="inlineStr">
        <is>
          <t>Irregular Verbs · новое</t>
        </is>
      </c>
      <c r="L221" s="9" t="inlineStr">
        <is>
          <t>Irregular Verbs · повт.</t>
        </is>
      </c>
      <c r="M221" s="9" t="inlineStr">
        <is>
          <t>Irregular Verbs · повт.</t>
        </is>
      </c>
      <c r="N221" s="9" t="inlineStr">
        <is>
          <t>Irregular Verbs · повт.</t>
        </is>
      </c>
      <c r="O221" s="9" t="inlineStr">
        <is>
          <t>М1 · повт.</t>
        </is>
      </c>
      <c r="P221" s="28" t="inlineStr">
        <is>
          <t>—</t>
        </is>
      </c>
      <c r="Q221" s="29" t="inlineStr"/>
      <c r="R221" s="10" t="inlineStr">
        <is>
          <t>нет</t>
        </is>
      </c>
      <c r="S221" s="4" t="inlineStr"/>
      <c r="T221" s="4" t="inlineStr"/>
    </row>
    <row r="222">
      <c r="A222" s="11" t="n">
        <v>221</v>
      </c>
      <c r="B222" s="11" t="inlineStr">
        <is>
          <t>Грамматика</t>
        </is>
      </c>
      <c r="C222" s="11" t="inlineStr">
        <is>
          <t>Глаголы: другое</t>
        </is>
      </c>
      <c r="D222" s="12" t="inlineStr">
        <is>
          <t>Irregular verbs (list)</t>
        </is>
      </c>
      <c r="E222" s="13" t="inlineStr">
        <is>
          <t>Irregular verbs: двойные и особые формы (burnt/burned, got/gotten, can – could)</t>
        </is>
      </c>
      <c r="F222" s="11" t="inlineStr">
        <is>
          <t>10+</t>
        </is>
      </c>
      <c r="G222" s="11" t="inlineStr"/>
      <c r="H222" s="11" t="inlineStr"/>
      <c r="I222" s="11" t="inlineStr"/>
      <c r="J222" s="11" t="inlineStr"/>
      <c r="K222" s="23" t="inlineStr">
        <is>
          <t>Irregular Verbs · новое</t>
        </is>
      </c>
      <c r="L222" s="19" t="inlineStr">
        <is>
          <t>Irregular Verbs · расш.</t>
        </is>
      </c>
      <c r="M222" s="16" t="inlineStr">
        <is>
          <t>Irregular Verbs · повт.</t>
        </is>
      </c>
      <c r="N222" s="16" t="inlineStr">
        <is>
          <t>Irregular Verbs · повт.</t>
        </is>
      </c>
      <c r="O222" s="16" t="inlineStr">
        <is>
          <t>М1 · повт.</t>
        </is>
      </c>
      <c r="P222" s="20" t="inlineStr">
        <is>
          <t>—</t>
        </is>
      </c>
      <c r="Q222" s="21" t="inlineStr"/>
      <c r="R222" s="17" t="inlineStr">
        <is>
          <t>нет</t>
        </is>
      </c>
      <c r="S222" s="11" t="inlineStr"/>
      <c r="T222" s="11" t="inlineStr"/>
    </row>
    <row r="223">
      <c r="A223" s="4" t="n">
        <v>222</v>
      </c>
      <c r="B223" s="4" t="inlineStr">
        <is>
          <t>Грамматика</t>
        </is>
      </c>
      <c r="C223" s="4" t="inlineStr">
        <is>
          <t>Глаголы: другое</t>
        </is>
      </c>
      <c r="D223" s="5" t="inlineStr">
        <is>
          <t>used to</t>
        </is>
      </c>
      <c r="E223" s="6" t="inlineStr">
        <is>
          <t>used to: значение — прошлые привычки и регулярные действия</t>
        </is>
      </c>
      <c r="F223" s="4" t="inlineStr">
        <is>
          <t>10+</t>
        </is>
      </c>
      <c r="G223" s="4" t="inlineStr"/>
      <c r="H223" s="4" t="inlineStr"/>
      <c r="I223" s="4" t="inlineStr"/>
      <c r="J223" s="4" t="inlineStr"/>
      <c r="K223" s="27" t="inlineStr">
        <is>
          <t>М2 · новое</t>
        </is>
      </c>
      <c r="L223" s="4" t="inlineStr"/>
      <c r="M223" s="9" t="inlineStr">
        <is>
          <t>М3 (3c) · повт.</t>
        </is>
      </c>
      <c r="N223" s="4" t="inlineStr"/>
      <c r="O223" s="9" t="inlineStr">
        <is>
          <t>М1 (1c) · повт.</t>
        </is>
      </c>
      <c r="P223" s="28" t="inlineStr">
        <is>
          <t>—</t>
        </is>
      </c>
      <c r="Q223" s="29" t="inlineStr"/>
      <c r="R223" s="10" t="inlineStr">
        <is>
          <t>видео</t>
        </is>
      </c>
      <c r="S223" s="4" t="inlineStr">
        <is>
          <t>Used to + infinitive + vanished things</t>
        </is>
      </c>
      <c r="T223" s="4" t="inlineStr"/>
    </row>
    <row r="224">
      <c r="A224" s="11" t="n">
        <v>223</v>
      </c>
      <c r="B224" s="11" t="inlineStr">
        <is>
          <t>Грамматика</t>
        </is>
      </c>
      <c r="C224" s="11" t="inlineStr">
        <is>
          <t>Глаголы: другое</t>
        </is>
      </c>
      <c r="D224" s="12" t="inlineStr">
        <is>
          <t>used to</t>
        </is>
      </c>
      <c r="E224" s="22" t="inlineStr">
        <is>
          <t>used to: значение — прошлые состояния, которых больше нет</t>
        </is>
      </c>
      <c r="F224" s="11" t="inlineStr">
        <is>
          <t>10+</t>
        </is>
      </c>
      <c r="G224" s="11" t="inlineStr"/>
      <c r="H224" s="11" t="inlineStr"/>
      <c r="I224" s="11" t="inlineStr"/>
      <c r="J224" s="11" t="inlineStr"/>
      <c r="K224" s="23" t="inlineStr">
        <is>
          <t>М2 · новое</t>
        </is>
      </c>
      <c r="L224" s="11" t="inlineStr"/>
      <c r="M224" s="16" t="inlineStr">
        <is>
          <t>М3 (3c) · повт.</t>
        </is>
      </c>
      <c r="N224" s="11" t="inlineStr"/>
      <c r="O224" s="11" t="inlineStr"/>
      <c r="P224" s="20" t="inlineStr">
        <is>
          <t>—</t>
        </is>
      </c>
      <c r="Q224" s="21" t="inlineStr"/>
      <c r="R224" s="17" t="inlineStr">
        <is>
          <t>видео</t>
        </is>
      </c>
      <c r="S224" s="11" t="inlineStr">
        <is>
          <t>Used to + infinitive + vanished things</t>
        </is>
      </c>
      <c r="T224" s="11" t="inlineStr"/>
    </row>
    <row r="225">
      <c r="A225" s="11" t="n">
        <v>224</v>
      </c>
      <c r="B225" s="11" t="inlineStr">
        <is>
          <t>Грамматика</t>
        </is>
      </c>
      <c r="C225" s="11" t="inlineStr">
        <is>
          <t>Глаголы: другое</t>
        </is>
      </c>
      <c r="D225" s="12" t="inlineStr">
        <is>
          <t>used to</t>
        </is>
      </c>
      <c r="E225" s="13" t="inlineStr">
        <is>
          <t>used to vs Past Simple: однократное действие — только Past Simple</t>
        </is>
      </c>
      <c r="F225" s="11" t="inlineStr">
        <is>
          <t>10+</t>
        </is>
      </c>
      <c r="G225" s="11" t="inlineStr"/>
      <c r="H225" s="11" t="inlineStr"/>
      <c r="I225" s="11" t="inlineStr"/>
      <c r="J225" s="11" t="inlineStr"/>
      <c r="K225" s="23" t="inlineStr">
        <is>
          <t>М2 · новое</t>
        </is>
      </c>
      <c r="L225" s="11" t="inlineStr"/>
      <c r="M225" s="16" t="inlineStr">
        <is>
          <t>М3 (3c) · повт.</t>
        </is>
      </c>
      <c r="N225" s="11" t="inlineStr"/>
      <c r="O225" s="11" t="inlineStr"/>
      <c r="P225" s="20" t="inlineStr">
        <is>
          <t>—</t>
        </is>
      </c>
      <c r="Q225" s="21" t="inlineStr"/>
      <c r="R225" s="17" t="inlineStr">
        <is>
          <t>нет</t>
        </is>
      </c>
      <c r="S225" s="11" t="inlineStr"/>
      <c r="T225" s="11" t="inlineStr"/>
    </row>
    <row r="226">
      <c r="A226" s="11" t="n">
        <v>225</v>
      </c>
      <c r="B226" s="11" t="inlineStr">
        <is>
          <t>Грамматика</t>
        </is>
      </c>
      <c r="C226" s="11" t="inlineStr">
        <is>
          <t>Глаголы: другое</t>
        </is>
      </c>
      <c r="D226" s="12" t="inlineStr">
        <is>
          <t>used to</t>
        </is>
      </c>
      <c r="E226" s="13" t="inlineStr">
        <is>
          <t>used to vs be/get used to + -ing</t>
        </is>
      </c>
      <c r="F226" s="11" t="inlineStr">
        <is>
          <t>10+</t>
        </is>
      </c>
      <c r="G226" s="11" t="inlineStr"/>
      <c r="H226" s="11" t="inlineStr"/>
      <c r="I226" s="11" t="inlineStr"/>
      <c r="J226" s="11" t="inlineStr"/>
      <c r="K226" s="11" t="inlineStr"/>
      <c r="L226" s="11" t="inlineStr"/>
      <c r="M226" s="11" t="inlineStr"/>
      <c r="N226" s="23" t="inlineStr">
        <is>
          <t>М2 (2c) · новое</t>
        </is>
      </c>
      <c r="O226" s="16" t="inlineStr">
        <is>
          <t>М1 (1c) · повт.</t>
        </is>
      </c>
      <c r="P226" s="20" t="inlineStr">
        <is>
          <t>—</t>
        </is>
      </c>
      <c r="Q226" s="21" t="inlineStr"/>
      <c r="R226" s="17" t="inlineStr">
        <is>
          <t>нет</t>
        </is>
      </c>
      <c r="S226" s="11" t="inlineStr"/>
      <c r="T226" s="11" t="inlineStr"/>
    </row>
    <row r="227">
      <c r="A227" s="11" t="n">
        <v>226</v>
      </c>
      <c r="B227" s="11" t="inlineStr">
        <is>
          <t>Грамматика</t>
        </is>
      </c>
      <c r="C227" s="11" t="inlineStr">
        <is>
          <t>Глаголы: другое</t>
        </is>
      </c>
      <c r="D227" s="12" t="inlineStr">
        <is>
          <t>used to</t>
        </is>
      </c>
      <c r="E227" s="13" t="inlineStr">
        <is>
          <t>used to и would (used to = would)</t>
        </is>
      </c>
      <c r="F227" s="11" t="inlineStr">
        <is>
          <t>10+</t>
        </is>
      </c>
      <c r="G227" s="11" t="inlineStr"/>
      <c r="H227" s="11" t="inlineStr"/>
      <c r="I227" s="11" t="inlineStr"/>
      <c r="J227" s="11" t="inlineStr"/>
      <c r="K227" s="11" t="inlineStr"/>
      <c r="L227" s="11" t="inlineStr"/>
      <c r="M227" s="11" t="inlineStr"/>
      <c r="N227" s="11" t="inlineStr"/>
      <c r="O227" s="23" t="inlineStr">
        <is>
          <t>М1 (1c) · новое</t>
        </is>
      </c>
      <c r="P227" s="20" t="inlineStr">
        <is>
          <t>—</t>
        </is>
      </c>
      <c r="Q227" s="21" t="inlineStr"/>
      <c r="R227" s="17" t="inlineStr">
        <is>
          <t>нет</t>
        </is>
      </c>
      <c r="S227" s="11" t="inlineStr"/>
      <c r="T227" s="11" t="inlineStr"/>
    </row>
    <row r="228">
      <c r="A228" s="4" t="n">
        <v>227</v>
      </c>
      <c r="B228" s="4" t="inlineStr">
        <is>
          <t>Грамматика</t>
        </is>
      </c>
      <c r="C228" s="4" t="inlineStr">
        <is>
          <t>Глаголы: другое</t>
        </is>
      </c>
      <c r="D228" s="5" t="inlineStr">
        <is>
          <t>Causative (have something done)</t>
        </is>
      </c>
      <c r="E228" s="6" t="inlineStr">
        <is>
          <t>Causative: форма have + object + V3</t>
        </is>
      </c>
      <c r="F228" s="4" t="inlineStr">
        <is>
          <t>10+</t>
        </is>
      </c>
      <c r="G228" s="4" t="inlineStr"/>
      <c r="H228" s="4" t="inlineStr"/>
      <c r="I228" s="4" t="inlineStr"/>
      <c r="J228" s="4" t="inlineStr"/>
      <c r="K228" s="4" t="inlineStr"/>
      <c r="L228" s="27" t="inlineStr">
        <is>
          <t>М4 (4d) · новое</t>
        </is>
      </c>
      <c r="M228" s="9" t="inlineStr">
        <is>
          <t>М6 (6c) · повт.</t>
        </is>
      </c>
      <c r="N228" s="4" t="inlineStr"/>
      <c r="O228" s="9" t="inlineStr">
        <is>
          <t>М4 (4c) · повт.</t>
        </is>
      </c>
      <c r="P228" s="28" t="inlineStr">
        <is>
          <t>—</t>
        </is>
      </c>
      <c r="Q228" s="29" t="inlineStr"/>
      <c r="R228" s="10" t="inlineStr">
        <is>
          <t>видео</t>
        </is>
      </c>
      <c r="S228" s="4" t="inlineStr">
        <is>
          <t>Fashion trends+Causative have (по названию)</t>
        </is>
      </c>
      <c r="T228" s="4" t="inlineStr"/>
    </row>
    <row r="229">
      <c r="A229" s="11" t="n">
        <v>228</v>
      </c>
      <c r="B229" s="11" t="inlineStr">
        <is>
          <t>Грамматика</t>
        </is>
      </c>
      <c r="C229" s="11" t="inlineStr">
        <is>
          <t>Глаголы: другое</t>
        </is>
      </c>
      <c r="D229" s="12" t="inlineStr">
        <is>
          <t>Causative (have something done)</t>
        </is>
      </c>
      <c r="E229" s="22" t="inlineStr">
        <is>
          <t>Causative: значение — действие выполняет кто-то другой для подлежащего</t>
        </is>
      </c>
      <c r="F229" s="11" t="inlineStr">
        <is>
          <t>10+</t>
        </is>
      </c>
      <c r="G229" s="11" t="inlineStr"/>
      <c r="H229" s="11" t="inlineStr"/>
      <c r="I229" s="11" t="inlineStr"/>
      <c r="J229" s="11" t="inlineStr"/>
      <c r="K229" s="11" t="inlineStr"/>
      <c r="L229" s="23" t="inlineStr">
        <is>
          <t>М4 (4d) · новое</t>
        </is>
      </c>
      <c r="M229" s="16" t="inlineStr">
        <is>
          <t>М6 (6c) · повт.</t>
        </is>
      </c>
      <c r="N229" s="11" t="inlineStr"/>
      <c r="O229" s="16" t="inlineStr">
        <is>
          <t>М4 (4c) · повт.</t>
        </is>
      </c>
      <c r="P229" s="20" t="inlineStr">
        <is>
          <t>—</t>
        </is>
      </c>
      <c r="Q229" s="21" t="inlineStr"/>
      <c r="R229" s="17" t="inlineStr">
        <is>
          <t>видео</t>
        </is>
      </c>
      <c r="S229" s="11" t="inlineStr">
        <is>
          <t>Fashion trends+Causative have (по названию)</t>
        </is>
      </c>
      <c r="T229" s="11" t="inlineStr"/>
    </row>
    <row r="230">
      <c r="A230" s="11" t="n">
        <v>229</v>
      </c>
      <c r="B230" s="11" t="inlineStr">
        <is>
          <t>Грамматика</t>
        </is>
      </c>
      <c r="C230" s="11" t="inlineStr">
        <is>
          <t>Глаголы: другое</t>
        </is>
      </c>
      <c r="D230" s="12" t="inlineStr">
        <is>
          <t>Causative (have something done)</t>
        </is>
      </c>
      <c r="E230" s="13" t="inlineStr">
        <is>
          <t>Causative: have sth done в разных временах (Continuous, Perfect, Future)</t>
        </is>
      </c>
      <c r="F230" s="11" t="inlineStr">
        <is>
          <t>10+</t>
        </is>
      </c>
      <c r="G230" s="11" t="inlineStr"/>
      <c r="H230" s="11" t="inlineStr"/>
      <c r="I230" s="11" t="inlineStr"/>
      <c r="J230" s="11" t="inlineStr"/>
      <c r="K230" s="11" t="inlineStr"/>
      <c r="L230" s="23" t="inlineStr">
        <is>
          <t>М4 (4d) · новое</t>
        </is>
      </c>
      <c r="M230" s="19" t="inlineStr">
        <is>
          <t>М6 (6c) · расш.</t>
        </is>
      </c>
      <c r="N230" s="11" t="inlineStr"/>
      <c r="O230" s="16" t="inlineStr">
        <is>
          <t>М4 (4c) · повт.</t>
        </is>
      </c>
      <c r="P230" s="20" t="inlineStr">
        <is>
          <t>—</t>
        </is>
      </c>
      <c r="Q230" s="21" t="inlineStr"/>
      <c r="R230" s="17" t="inlineStr">
        <is>
          <t>нет</t>
        </is>
      </c>
      <c r="S230" s="11" t="inlineStr"/>
      <c r="T230" s="11" t="inlineStr"/>
    </row>
    <row r="231">
      <c r="A231" s="11" t="n">
        <v>230</v>
      </c>
      <c r="B231" s="11" t="inlineStr">
        <is>
          <t>Грамматика</t>
        </is>
      </c>
      <c r="C231" s="11" t="inlineStr">
        <is>
          <t>Глаголы: другое</t>
        </is>
      </c>
      <c r="D231" s="12" t="inlineStr">
        <is>
          <t>Causative (have something done)</t>
        </is>
      </c>
      <c r="E231" s="13" t="inlineStr">
        <is>
          <t>Causative: инфинитив, -ing и модальные (to have / having sth done)</t>
        </is>
      </c>
      <c r="F231" s="11" t="inlineStr">
        <is>
          <t>10+</t>
        </is>
      </c>
      <c r="G231" s="11" t="inlineStr"/>
      <c r="H231" s="11" t="inlineStr"/>
      <c r="I231" s="11" t="inlineStr"/>
      <c r="J231" s="11" t="inlineStr"/>
      <c r="K231" s="11" t="inlineStr"/>
      <c r="L231" s="23" t="inlineStr">
        <is>
          <t>М4 (4d) · новое</t>
        </is>
      </c>
      <c r="M231" s="16" t="inlineStr">
        <is>
          <t>М6 (6c) · повт.</t>
        </is>
      </c>
      <c r="N231" s="11" t="inlineStr"/>
      <c r="O231" s="16" t="inlineStr">
        <is>
          <t>М4 (4c) · повт.</t>
        </is>
      </c>
      <c r="P231" s="20" t="inlineStr">
        <is>
          <t>—</t>
        </is>
      </c>
      <c r="Q231" s="21" t="inlineStr"/>
      <c r="R231" s="17" t="inlineStr">
        <is>
          <t>нет</t>
        </is>
      </c>
      <c r="S231" s="11" t="inlineStr"/>
      <c r="T231" s="11" t="inlineStr"/>
    </row>
    <row r="232">
      <c r="A232" s="11" t="n">
        <v>231</v>
      </c>
      <c r="B232" s="11" t="inlineStr">
        <is>
          <t>Грамматика</t>
        </is>
      </c>
      <c r="C232" s="11" t="inlineStr">
        <is>
          <t>Глаголы: другое</t>
        </is>
      </c>
      <c r="D232" s="12" t="inlineStr">
        <is>
          <t>Causative (have something done)</t>
        </is>
      </c>
      <c r="E232" s="13" t="inlineStr">
        <is>
          <t>Causative: отрицания и вопросы с do/does/did</t>
        </is>
      </c>
      <c r="F232" s="11" t="inlineStr">
        <is>
          <t>10+</t>
        </is>
      </c>
      <c r="G232" s="11" t="inlineStr"/>
      <c r="H232" s="11" t="inlineStr"/>
      <c r="I232" s="11" t="inlineStr"/>
      <c r="J232" s="11" t="inlineStr"/>
      <c r="K232" s="11" t="inlineStr"/>
      <c r="L232" s="11" t="inlineStr"/>
      <c r="M232" s="23" t="inlineStr">
        <is>
          <t>М6 (6c) · новое</t>
        </is>
      </c>
      <c r="N232" s="11" t="inlineStr"/>
      <c r="O232" s="16" t="inlineStr">
        <is>
          <t>М4 (4c) · повт.</t>
        </is>
      </c>
      <c r="P232" s="20" t="inlineStr">
        <is>
          <t>—</t>
        </is>
      </c>
      <c r="Q232" s="21" t="inlineStr"/>
      <c r="R232" s="17" t="inlineStr">
        <is>
          <t>нет</t>
        </is>
      </c>
      <c r="S232" s="11" t="inlineStr"/>
      <c r="T232" s="11" t="inlineStr"/>
    </row>
    <row r="233">
      <c r="A233" s="11" t="n">
        <v>232</v>
      </c>
      <c r="B233" s="11" t="inlineStr">
        <is>
          <t>Грамматика</t>
        </is>
      </c>
      <c r="C233" s="11" t="inlineStr">
        <is>
          <t>Глаголы: другое</t>
        </is>
      </c>
      <c r="D233" s="12" t="inlineStr">
        <is>
          <t>Causative (have something done)</t>
        </is>
      </c>
      <c r="E233" s="13" t="inlineStr">
        <is>
          <t>Causative: get sth done вместо have</t>
        </is>
      </c>
      <c r="F233" s="11" t="inlineStr">
        <is>
          <t>10+</t>
        </is>
      </c>
      <c r="G233" s="11" t="inlineStr"/>
      <c r="H233" s="11" t="inlineStr"/>
      <c r="I233" s="11" t="inlineStr"/>
      <c r="J233" s="11" t="inlineStr"/>
      <c r="K233" s="11" t="inlineStr"/>
      <c r="L233" s="11" t="inlineStr"/>
      <c r="M233" s="23" t="inlineStr">
        <is>
          <t>М6 (6c) · новое</t>
        </is>
      </c>
      <c r="N233" s="11" t="inlineStr"/>
      <c r="O233" s="16" t="inlineStr">
        <is>
          <t>М4 (4c) · повт.</t>
        </is>
      </c>
      <c r="P233" s="20" t="inlineStr">
        <is>
          <t>—</t>
        </is>
      </c>
      <c r="Q233" s="21" t="inlineStr"/>
      <c r="R233" s="17" t="inlineStr">
        <is>
          <t>нет</t>
        </is>
      </c>
      <c r="S233" s="11" t="inlineStr"/>
      <c r="T233" s="11" t="inlineStr"/>
    </row>
    <row r="234">
      <c r="A234" s="11" t="n">
        <v>233</v>
      </c>
      <c r="B234" s="11" t="inlineStr">
        <is>
          <t>Грамматика</t>
        </is>
      </c>
      <c r="C234" s="11" t="inlineStr">
        <is>
          <t>Глаголы: другое</t>
        </is>
      </c>
      <c r="D234" s="12" t="inlineStr">
        <is>
          <t>Causative (have something done)</t>
        </is>
      </c>
      <c r="E234" s="13" t="inlineStr">
        <is>
          <t>Causative: значение — неприятное происшествие (had his car stolen)</t>
        </is>
      </c>
      <c r="F234" s="11" t="inlineStr">
        <is>
          <t>10+</t>
        </is>
      </c>
      <c r="G234" s="11" t="inlineStr"/>
      <c r="H234" s="11" t="inlineStr"/>
      <c r="I234" s="11" t="inlineStr"/>
      <c r="J234" s="11" t="inlineStr"/>
      <c r="K234" s="11" t="inlineStr"/>
      <c r="L234" s="11" t="inlineStr"/>
      <c r="M234" s="23" t="inlineStr">
        <is>
          <t>М6 (6c) · новое</t>
        </is>
      </c>
      <c r="N234" s="11" t="inlineStr"/>
      <c r="O234" s="16" t="inlineStr">
        <is>
          <t>М4 (4c) · повт.</t>
        </is>
      </c>
      <c r="P234" s="20" t="inlineStr">
        <is>
          <t>—</t>
        </is>
      </c>
      <c r="Q234" s="21" t="inlineStr"/>
      <c r="R234" s="17" t="inlineStr">
        <is>
          <t>нет</t>
        </is>
      </c>
      <c r="S234" s="11" t="inlineStr"/>
      <c r="T234" s="11" t="inlineStr"/>
    </row>
    <row r="235">
      <c r="A235" s="4" t="n">
        <v>234</v>
      </c>
      <c r="B235" s="4" t="inlineStr">
        <is>
          <t>Грамматика</t>
        </is>
      </c>
      <c r="C235" s="4" t="inlineStr">
        <is>
          <t>Глаголы: другое</t>
        </is>
      </c>
      <c r="D235" s="5" t="inlineStr">
        <is>
          <t>Conditionals (Type 2)</t>
        </is>
      </c>
      <c r="E235" s="26" t="inlineStr">
        <is>
          <t>Conditionals Type 2: форма If + Past Simple — would/could/might + V</t>
        </is>
      </c>
      <c r="F235" s="4" t="inlineStr">
        <is>
          <t>10+</t>
        </is>
      </c>
      <c r="G235" s="4" t="inlineStr"/>
      <c r="H235" s="4" t="inlineStr"/>
      <c r="I235" s="4" t="inlineStr"/>
      <c r="J235" s="4" t="inlineStr"/>
      <c r="K235" s="4" t="inlineStr"/>
      <c r="L235" s="27" t="inlineStr">
        <is>
          <t>М8 (8c) · новое</t>
        </is>
      </c>
      <c r="M235" s="9" t="inlineStr">
        <is>
          <t>М7 (7c) · повт.</t>
        </is>
      </c>
      <c r="N235" s="9" t="inlineStr">
        <is>
          <t>М6 (6c) · повт.</t>
        </is>
      </c>
      <c r="O235" s="9" t="inlineStr">
        <is>
          <t>М7 (7c) · повт.</t>
        </is>
      </c>
      <c r="P235" s="28" t="inlineStr">
        <is>
          <t>—</t>
        </is>
      </c>
      <c r="Q235" s="29" t="inlineStr"/>
      <c r="R235" s="10" t="inlineStr">
        <is>
          <t>вебинар</t>
        </is>
      </c>
      <c r="S235" s="4" t="inlineStr">
        <is>
          <t>вебинар 27.11 (по расписанию): Conditionals 2 и 3 + health
материалы: Health + Conditionals 2-3</t>
        </is>
      </c>
      <c r="T235" s="4" t="inlineStr"/>
    </row>
    <row r="236">
      <c r="A236" s="11" t="n">
        <v>235</v>
      </c>
      <c r="B236" s="11" t="inlineStr">
        <is>
          <t>Грамматика</t>
        </is>
      </c>
      <c r="C236" s="11" t="inlineStr">
        <is>
          <t>Глаголы: другое</t>
        </is>
      </c>
      <c r="D236" s="12" t="inlineStr">
        <is>
          <t>Conditionals (Type 2)</t>
        </is>
      </c>
      <c r="E236" s="13" t="inlineStr">
        <is>
          <t>Conditionals Type 2: If + Past Continuous</t>
        </is>
      </c>
      <c r="F236" s="11" t="inlineStr">
        <is>
          <t>10+</t>
        </is>
      </c>
      <c r="G236" s="11" t="inlineStr"/>
      <c r="H236" s="11" t="inlineStr"/>
      <c r="I236" s="11" t="inlineStr"/>
      <c r="J236" s="11" t="inlineStr"/>
      <c r="K236" s="11" t="inlineStr"/>
      <c r="L236" s="23" t="inlineStr">
        <is>
          <t>М8 (8c) · новое</t>
        </is>
      </c>
      <c r="M236" s="16" t="inlineStr">
        <is>
          <t>М7 (7c) · повт.</t>
        </is>
      </c>
      <c r="N236" s="16" t="inlineStr">
        <is>
          <t>М6 (6c) · повт.</t>
        </is>
      </c>
      <c r="O236" s="16" t="inlineStr">
        <is>
          <t>М7 (7c) · повт.</t>
        </is>
      </c>
      <c r="P236" s="20" t="inlineStr">
        <is>
          <t>—</t>
        </is>
      </c>
      <c r="Q236" s="21" t="inlineStr"/>
      <c r="R236" s="17" t="inlineStr">
        <is>
          <t>нет</t>
        </is>
      </c>
      <c r="S236" s="11" t="inlineStr"/>
      <c r="T236" s="11" t="inlineStr"/>
    </row>
    <row r="237">
      <c r="A237" s="11" t="n">
        <v>236</v>
      </c>
      <c r="B237" s="11" t="inlineStr">
        <is>
          <t>Грамматика</t>
        </is>
      </c>
      <c r="C237" s="11" t="inlineStr">
        <is>
          <t>Глаголы: другое</t>
        </is>
      </c>
      <c r="D237" s="12" t="inlineStr">
        <is>
          <t>Conditionals (Type 2)</t>
        </is>
      </c>
      <c r="E237" s="18" t="inlineStr">
        <is>
          <t>Conditionals Type 2: значение — воображаемая/маловероятная ситуация в настоящем/будущем</t>
        </is>
      </c>
      <c r="F237" s="11" t="inlineStr">
        <is>
          <t>10+</t>
        </is>
      </c>
      <c r="G237" s="11" t="inlineStr"/>
      <c r="H237" s="11" t="inlineStr"/>
      <c r="I237" s="11" t="inlineStr"/>
      <c r="J237" s="11" t="inlineStr"/>
      <c r="K237" s="11" t="inlineStr"/>
      <c r="L237" s="23" t="inlineStr">
        <is>
          <t>М8 (8c) · новое</t>
        </is>
      </c>
      <c r="M237" s="16" t="inlineStr">
        <is>
          <t>М7 (7c) · повт.</t>
        </is>
      </c>
      <c r="N237" s="16" t="inlineStr">
        <is>
          <t>М6 (6c) · повт.</t>
        </is>
      </c>
      <c r="O237" s="16" t="inlineStr">
        <is>
          <t>М7 (7c) · повт.</t>
        </is>
      </c>
      <c r="P237" s="20" t="inlineStr">
        <is>
          <t>—</t>
        </is>
      </c>
      <c r="Q237" s="21" t="inlineStr"/>
      <c r="R237" s="17" t="inlineStr">
        <is>
          <t>вебинар</t>
        </is>
      </c>
      <c r="S237" s="11" t="inlineStr">
        <is>
          <t>вебинар 27.11 (по расписанию): Conditionals 2 и 3 + health
материалы: Health + Conditionals 2-3</t>
        </is>
      </c>
      <c r="T237" s="11" t="inlineStr"/>
    </row>
    <row r="238">
      <c r="A238" s="11" t="n">
        <v>237</v>
      </c>
      <c r="B238" s="11" t="inlineStr">
        <is>
          <t>Грамматика</t>
        </is>
      </c>
      <c r="C238" s="11" t="inlineStr">
        <is>
          <t>Глаголы: другое</t>
        </is>
      </c>
      <c r="D238" s="12" t="inlineStr">
        <is>
          <t>Conditionals (Type 2)</t>
        </is>
      </c>
      <c r="E238" s="13" t="inlineStr">
        <is>
          <t>Conditionals Type 2: were/was для I, he, she, it</t>
        </is>
      </c>
      <c r="F238" s="11" t="inlineStr">
        <is>
          <t>10+</t>
        </is>
      </c>
      <c r="G238" s="11" t="inlineStr"/>
      <c r="H238" s="11" t="inlineStr"/>
      <c r="I238" s="11" t="inlineStr"/>
      <c r="J238" s="11" t="inlineStr"/>
      <c r="K238" s="11" t="inlineStr"/>
      <c r="L238" s="23" t="inlineStr">
        <is>
          <t>М8 (8c) · новое</t>
        </is>
      </c>
      <c r="M238" s="19" t="inlineStr">
        <is>
          <t>М7 (7c) · расш.</t>
        </is>
      </c>
      <c r="N238" s="16" t="inlineStr">
        <is>
          <t>М6 (6c) · повт.</t>
        </is>
      </c>
      <c r="O238" s="16" t="inlineStr">
        <is>
          <t>М7 (7c) · повт.</t>
        </is>
      </c>
      <c r="P238" s="20" t="inlineStr">
        <is>
          <t>—</t>
        </is>
      </c>
      <c r="Q238" s="21" t="inlineStr"/>
      <c r="R238" s="17" t="inlineStr">
        <is>
          <t>нет</t>
        </is>
      </c>
      <c r="S238" s="11" t="inlineStr"/>
      <c r="T238" s="11" t="inlineStr"/>
    </row>
    <row r="239">
      <c r="A239" s="11" t="n">
        <v>238</v>
      </c>
      <c r="B239" s="11" t="inlineStr">
        <is>
          <t>Грамматика</t>
        </is>
      </c>
      <c r="C239" s="11" t="inlineStr">
        <is>
          <t>Глаголы: другое</t>
        </is>
      </c>
      <c r="D239" s="12" t="inlineStr">
        <is>
          <t>Conditionals (Type 2)</t>
        </is>
      </c>
      <c r="E239" s="13" t="inlineStr">
        <is>
          <t>Conditionals Type 2: If I were you — совет</t>
        </is>
      </c>
      <c r="F239" s="11" t="inlineStr">
        <is>
          <t>10+</t>
        </is>
      </c>
      <c r="G239" s="11" t="inlineStr"/>
      <c r="H239" s="11" t="inlineStr"/>
      <c r="I239" s="11" t="inlineStr"/>
      <c r="J239" s="11" t="inlineStr"/>
      <c r="K239" s="11" t="inlineStr"/>
      <c r="L239" s="23" t="inlineStr">
        <is>
          <t>М8 (8c) · новое</t>
        </is>
      </c>
      <c r="M239" s="16" t="inlineStr">
        <is>
          <t>М7 (7c) · повт.</t>
        </is>
      </c>
      <c r="N239" s="16" t="inlineStr">
        <is>
          <t>М6 (6c) · повт.</t>
        </is>
      </c>
      <c r="O239" s="16" t="inlineStr">
        <is>
          <t>М7 (7c) · повт.</t>
        </is>
      </c>
      <c r="P239" s="20" t="inlineStr">
        <is>
          <t>—</t>
        </is>
      </c>
      <c r="Q239" s="21" t="inlineStr"/>
      <c r="R239" s="17" t="inlineStr">
        <is>
          <t>нет</t>
        </is>
      </c>
      <c r="S239" s="11" t="inlineStr"/>
      <c r="T239" s="11" t="inlineStr"/>
    </row>
    <row r="240">
      <c r="A240" s="4" t="n">
        <v>239</v>
      </c>
      <c r="B240" s="4" t="inlineStr">
        <is>
          <t>Грамматика</t>
        </is>
      </c>
      <c r="C240" s="4" t="inlineStr">
        <is>
          <t>Глаголы: другое</t>
        </is>
      </c>
      <c r="D240" s="5" t="inlineStr">
        <is>
          <t>Conditionals (Type 3)</t>
        </is>
      </c>
      <c r="E240" s="26" t="inlineStr">
        <is>
          <t>Conditionals Type 3: форма If + Past Perfect — would/could/might have + V3</t>
        </is>
      </c>
      <c r="F240" s="4" t="inlineStr">
        <is>
          <t>10+</t>
        </is>
      </c>
      <c r="G240" s="4" t="inlineStr"/>
      <c r="H240" s="4" t="inlineStr"/>
      <c r="I240" s="4" t="inlineStr"/>
      <c r="J240" s="4" t="inlineStr"/>
      <c r="K240" s="4" t="inlineStr"/>
      <c r="L240" s="27" t="inlineStr">
        <is>
          <t>М8 (8c) · новое</t>
        </is>
      </c>
      <c r="M240" s="9" t="inlineStr">
        <is>
          <t>М7 (7c) · повт.</t>
        </is>
      </c>
      <c r="N240" s="9" t="inlineStr">
        <is>
          <t>М6 (6c) · повт.</t>
        </is>
      </c>
      <c r="O240" s="9" t="inlineStr">
        <is>
          <t>М7 (7c) · повт.</t>
        </is>
      </c>
      <c r="P240" s="28" t="inlineStr">
        <is>
          <t>—</t>
        </is>
      </c>
      <c r="Q240" s="29" t="inlineStr"/>
      <c r="R240" s="10" t="inlineStr">
        <is>
          <t>вебинар</t>
        </is>
      </c>
      <c r="S240" s="4" t="inlineStr">
        <is>
          <t>вебинар 27.11 (по расписанию): Conditionals 2 и 3 + health
материалы: Health + Conditionals 2-3</t>
        </is>
      </c>
      <c r="T240" s="4" t="inlineStr"/>
    </row>
    <row r="241">
      <c r="A241" s="11" t="n">
        <v>240</v>
      </c>
      <c r="B241" s="11" t="inlineStr">
        <is>
          <t>Грамматика</t>
        </is>
      </c>
      <c r="C241" s="11" t="inlineStr">
        <is>
          <t>Глаголы: другое</t>
        </is>
      </c>
      <c r="D241" s="12" t="inlineStr">
        <is>
          <t>Conditionals (Type 3)</t>
        </is>
      </c>
      <c r="E241" s="13" t="inlineStr">
        <is>
          <t>Conditionals Type 3: If + Past Perfect Continuous</t>
        </is>
      </c>
      <c r="F241" s="11" t="inlineStr">
        <is>
          <t>10+</t>
        </is>
      </c>
      <c r="G241" s="11" t="inlineStr"/>
      <c r="H241" s="11" t="inlineStr"/>
      <c r="I241" s="11" t="inlineStr"/>
      <c r="J241" s="11" t="inlineStr"/>
      <c r="K241" s="11" t="inlineStr"/>
      <c r="L241" s="23" t="inlineStr">
        <is>
          <t>М8 (8c) · новое</t>
        </is>
      </c>
      <c r="M241" s="16" t="inlineStr">
        <is>
          <t>М7 (7c) · повт.</t>
        </is>
      </c>
      <c r="N241" s="16" t="inlineStr">
        <is>
          <t>М6 (6c) · повт.</t>
        </is>
      </c>
      <c r="O241" s="16" t="inlineStr">
        <is>
          <t>М7 (7c) · повт.</t>
        </is>
      </c>
      <c r="P241" s="20" t="inlineStr">
        <is>
          <t>—</t>
        </is>
      </c>
      <c r="Q241" s="21" t="inlineStr"/>
      <c r="R241" s="17" t="inlineStr">
        <is>
          <t>нет</t>
        </is>
      </c>
      <c r="S241" s="11" t="inlineStr"/>
      <c r="T241" s="11" t="inlineStr"/>
    </row>
    <row r="242">
      <c r="A242" s="11" t="n">
        <v>241</v>
      </c>
      <c r="B242" s="11" t="inlineStr">
        <is>
          <t>Грамматика</t>
        </is>
      </c>
      <c r="C242" s="11" t="inlineStr">
        <is>
          <t>Глаголы: другое</t>
        </is>
      </c>
      <c r="D242" s="12" t="inlineStr">
        <is>
          <t>Conditionals (Type 3)</t>
        </is>
      </c>
      <c r="E242" s="18" t="inlineStr">
        <is>
          <t>Conditionals Type 3: значение — нереальная ситуация в прошлом</t>
        </is>
      </c>
      <c r="F242" s="11" t="inlineStr">
        <is>
          <t>10+</t>
        </is>
      </c>
      <c r="G242" s="11" t="inlineStr"/>
      <c r="H242" s="11" t="inlineStr"/>
      <c r="I242" s="11" t="inlineStr"/>
      <c r="J242" s="11" t="inlineStr"/>
      <c r="K242" s="11" t="inlineStr"/>
      <c r="L242" s="23" t="inlineStr">
        <is>
          <t>М8 (8c) · новое</t>
        </is>
      </c>
      <c r="M242" s="16" t="inlineStr">
        <is>
          <t>М7 (7c) · повт.</t>
        </is>
      </c>
      <c r="N242" s="16" t="inlineStr">
        <is>
          <t>М6 (6c) · повт.</t>
        </is>
      </c>
      <c r="O242" s="16" t="inlineStr">
        <is>
          <t>М7 (7c) · повт.</t>
        </is>
      </c>
      <c r="P242" s="20" t="inlineStr">
        <is>
          <t>—</t>
        </is>
      </c>
      <c r="Q242" s="21" t="inlineStr"/>
      <c r="R242" s="17" t="inlineStr">
        <is>
          <t>вебинар</t>
        </is>
      </c>
      <c r="S242" s="11" t="inlineStr">
        <is>
          <t>вебинар 27.11 (по расписанию): Conditionals 2 и 3 + health
материалы: Health + Conditionals 2-3</t>
        </is>
      </c>
      <c r="T242" s="11" t="inlineStr"/>
    </row>
    <row r="243">
      <c r="A243" s="11" t="n">
        <v>242</v>
      </c>
      <c r="B243" s="11" t="inlineStr">
        <is>
          <t>Грамматика</t>
        </is>
      </c>
      <c r="C243" s="11" t="inlineStr">
        <is>
          <t>Глаголы: другое</t>
        </is>
      </c>
      <c r="D243" s="12" t="inlineStr">
        <is>
          <t>Conditionals (Type 3)</t>
        </is>
      </c>
      <c r="E243" s="18" t="inlineStr">
        <is>
          <t>Conditionals Type 3: значение — сожаление, критика</t>
        </is>
      </c>
      <c r="F243" s="11" t="inlineStr">
        <is>
          <t>10+</t>
        </is>
      </c>
      <c r="G243" s="11" t="inlineStr"/>
      <c r="H243" s="11" t="inlineStr"/>
      <c r="I243" s="11" t="inlineStr"/>
      <c r="J243" s="11" t="inlineStr"/>
      <c r="K243" s="11" t="inlineStr"/>
      <c r="L243" s="23" t="inlineStr">
        <is>
          <t>М8 (8c) · новое</t>
        </is>
      </c>
      <c r="M243" s="16" t="inlineStr">
        <is>
          <t>М7 (7c) · повт.</t>
        </is>
      </c>
      <c r="N243" s="16" t="inlineStr">
        <is>
          <t>М6 (6c) · повт.</t>
        </is>
      </c>
      <c r="O243" s="16" t="inlineStr">
        <is>
          <t>М7 (7c) · повт.</t>
        </is>
      </c>
      <c r="P243" s="20" t="inlineStr">
        <is>
          <t>—</t>
        </is>
      </c>
      <c r="Q243" s="21" t="inlineStr"/>
      <c r="R243" s="17" t="inlineStr">
        <is>
          <t>вебинар</t>
        </is>
      </c>
      <c r="S243" s="11" t="inlineStr">
        <is>
          <t>вебинар 27.11 (по расписанию): Conditionals 2 и 3 + health
материалы: Health + Conditionals 2-3</t>
        </is>
      </c>
      <c r="T243" s="11" t="inlineStr"/>
    </row>
    <row r="244">
      <c r="A244" s="4" t="n">
        <v>243</v>
      </c>
      <c r="B244" s="4" t="inlineStr">
        <is>
          <t>Грамматика</t>
        </is>
      </c>
      <c r="C244" s="4" t="inlineStr">
        <is>
          <t>Глаголы: другое</t>
        </is>
      </c>
      <c r="D244" s="5" t="inlineStr">
        <is>
          <t>Infinitive / -ing form</t>
        </is>
      </c>
      <c r="E244" s="24" t="inlineStr">
        <is>
          <t>-ing form: в роли подлежащего</t>
        </is>
      </c>
      <c r="F244" s="4" t="inlineStr">
        <is>
          <t>10+</t>
        </is>
      </c>
      <c r="G244" s="4" t="inlineStr"/>
      <c r="H244" s="4" t="inlineStr"/>
      <c r="I244" s="4" t="inlineStr"/>
      <c r="J244" s="4" t="inlineStr"/>
      <c r="K244" s="4" t="inlineStr"/>
      <c r="L244" s="27" t="inlineStr">
        <is>
          <t>М5 (5c) · новое</t>
        </is>
      </c>
      <c r="M244" s="9" t="inlineStr">
        <is>
          <t>М2 (2c) · повт.</t>
        </is>
      </c>
      <c r="N244" s="9" t="inlineStr">
        <is>
          <t>М2 (2c) · повт.</t>
        </is>
      </c>
      <c r="O244" s="9" t="inlineStr">
        <is>
          <t>М3 (3c) · повт.</t>
        </is>
      </c>
      <c r="P244" s="28" t="inlineStr">
        <is>
          <t>—</t>
        </is>
      </c>
      <c r="Q244" s="29" t="inlineStr"/>
      <c r="R244" s="10" t="inlineStr">
        <is>
          <t>нет</t>
        </is>
      </c>
      <c r="S244" s="4" t="inlineStr"/>
      <c r="T244" s="4" t="inlineStr"/>
    </row>
    <row r="245">
      <c r="A245" s="11" t="n">
        <v>244</v>
      </c>
      <c r="B245" s="11" t="inlineStr">
        <is>
          <t>Грамматика</t>
        </is>
      </c>
      <c r="C245" s="11" t="inlineStr">
        <is>
          <t>Глаголы: другое</t>
        </is>
      </c>
      <c r="D245" s="12" t="inlineStr">
        <is>
          <t>Infinitive / -ing form</t>
        </is>
      </c>
      <c r="E245" s="22" t="inlineStr">
        <is>
          <t>-ing form: после глаголов admit, avoid, consider, deny, fancy, go, imagine, mind, miss, practise, suggest…</t>
        </is>
      </c>
      <c r="F245" s="11" t="inlineStr">
        <is>
          <t>10+</t>
        </is>
      </c>
      <c r="G245" s="11" t="inlineStr"/>
      <c r="H245" s="11" t="inlineStr"/>
      <c r="I245" s="11" t="inlineStr"/>
      <c r="J245" s="11" t="inlineStr"/>
      <c r="K245" s="11" t="inlineStr"/>
      <c r="L245" s="23" t="inlineStr">
        <is>
          <t>М5 (5c) · новое</t>
        </is>
      </c>
      <c r="M245" s="16" t="inlineStr">
        <is>
          <t>М2 (2c) · повт.</t>
        </is>
      </c>
      <c r="N245" s="16" t="inlineStr">
        <is>
          <t>М2 (2c) · повт.</t>
        </is>
      </c>
      <c r="O245" s="16" t="inlineStr">
        <is>
          <t>М3 (3c) · повт.</t>
        </is>
      </c>
      <c r="P245" s="20" t="inlineStr">
        <is>
          <t>—</t>
        </is>
      </c>
      <c r="Q245" s="21" t="inlineStr"/>
      <c r="R245" s="17" t="inlineStr">
        <is>
          <t>видео</t>
        </is>
      </c>
      <c r="S245" s="11" t="inlineStr">
        <is>
          <t>Gerunds and infinitives, experiences</t>
        </is>
      </c>
      <c r="T245" s="11" t="inlineStr"/>
    </row>
    <row r="246">
      <c r="A246" s="11" t="n">
        <v>245</v>
      </c>
      <c r="B246" s="11" t="inlineStr">
        <is>
          <t>Грамматика</t>
        </is>
      </c>
      <c r="C246" s="11" t="inlineStr">
        <is>
          <t>Глаголы: другое</t>
        </is>
      </c>
      <c r="D246" s="12" t="inlineStr">
        <is>
          <t>Infinitive / -ing form</t>
        </is>
      </c>
      <c r="E246" s="22" t="inlineStr">
        <is>
          <t>-ing form: после like, love, enjoy, prefer, dislike, hate — общее предпочтение</t>
        </is>
      </c>
      <c r="F246" s="11" t="inlineStr">
        <is>
          <t>10+</t>
        </is>
      </c>
      <c r="G246" s="11" t="inlineStr"/>
      <c r="H246" s="11" t="inlineStr"/>
      <c r="I246" s="11" t="inlineStr"/>
      <c r="J246" s="11" t="inlineStr"/>
      <c r="K246" s="11" t="inlineStr"/>
      <c r="L246" s="23" t="inlineStr">
        <is>
          <t>М5 (5c) · новое</t>
        </is>
      </c>
      <c r="M246" s="16" t="inlineStr">
        <is>
          <t>М2 (2c) · повт.</t>
        </is>
      </c>
      <c r="N246" s="16" t="inlineStr">
        <is>
          <t>М2 (2c) · повт.</t>
        </is>
      </c>
      <c r="O246" s="16" t="inlineStr">
        <is>
          <t>М3 (3c) · повт.</t>
        </is>
      </c>
      <c r="P246" s="20" t="inlineStr">
        <is>
          <t>—</t>
        </is>
      </c>
      <c r="Q246" s="21" t="inlineStr"/>
      <c r="R246" s="17" t="inlineStr">
        <is>
          <t>видео</t>
        </is>
      </c>
      <c r="S246" s="11" t="inlineStr">
        <is>
          <t>Gerunds and infinitives, experiences</t>
        </is>
      </c>
      <c r="T246" s="11" t="inlineStr"/>
    </row>
    <row r="247">
      <c r="A247" s="11" t="n">
        <v>246</v>
      </c>
      <c r="B247" s="11" t="inlineStr">
        <is>
          <t>Грамматика</t>
        </is>
      </c>
      <c r="C247" s="11" t="inlineStr">
        <is>
          <t>Глаголы: другое</t>
        </is>
      </c>
      <c r="D247" s="12" t="inlineStr">
        <is>
          <t>Infinitive / -ing form</t>
        </is>
      </c>
      <c r="E247" s="22" t="inlineStr">
        <is>
          <t>-ing form: после выражений it's no use, it's (not) worth, can't help, there's no point…</t>
        </is>
      </c>
      <c r="F247" s="11" t="inlineStr">
        <is>
          <t>10+</t>
        </is>
      </c>
      <c r="G247" s="11" t="inlineStr"/>
      <c r="H247" s="11" t="inlineStr"/>
      <c r="I247" s="11" t="inlineStr"/>
      <c r="J247" s="11" t="inlineStr"/>
      <c r="K247" s="11" t="inlineStr"/>
      <c r="L247" s="23" t="inlineStr">
        <is>
          <t>М5 (5c) · новое</t>
        </is>
      </c>
      <c r="M247" s="16" t="inlineStr">
        <is>
          <t>М2 (2c) · повт.</t>
        </is>
      </c>
      <c r="N247" s="16" t="inlineStr">
        <is>
          <t>М2 (2c) · повт.</t>
        </is>
      </c>
      <c r="O247" s="16" t="inlineStr">
        <is>
          <t>М3 (3c) · повт.</t>
        </is>
      </c>
      <c r="P247" s="20" t="inlineStr">
        <is>
          <t>—</t>
        </is>
      </c>
      <c r="Q247" s="21" t="inlineStr"/>
      <c r="R247" s="17" t="inlineStr">
        <is>
          <t>видео</t>
        </is>
      </c>
      <c r="S247" s="11" t="inlineStr">
        <is>
          <t>Gerunds and infinitives, experiences</t>
        </is>
      </c>
      <c r="T247" s="11" t="inlineStr"/>
    </row>
    <row r="248">
      <c r="A248" s="11" t="n">
        <v>247</v>
      </c>
      <c r="B248" s="11" t="inlineStr">
        <is>
          <t>Грамматика</t>
        </is>
      </c>
      <c r="C248" s="11" t="inlineStr">
        <is>
          <t>Глаголы: другое</t>
        </is>
      </c>
      <c r="D248" s="12" t="inlineStr">
        <is>
          <t>Infinitive / -ing form</t>
        </is>
      </c>
      <c r="E248" s="13" t="inlineStr">
        <is>
          <t>-ing form: после spend/waste/lose + время/деньги</t>
        </is>
      </c>
      <c r="F248" s="11" t="inlineStr">
        <is>
          <t>10+</t>
        </is>
      </c>
      <c r="G248" s="11" t="inlineStr"/>
      <c r="H248" s="11" t="inlineStr"/>
      <c r="I248" s="11" t="inlineStr"/>
      <c r="J248" s="11" t="inlineStr"/>
      <c r="K248" s="11" t="inlineStr"/>
      <c r="L248" s="23" t="inlineStr">
        <is>
          <t>М5 (5c) · новое</t>
        </is>
      </c>
      <c r="M248" s="16" t="inlineStr">
        <is>
          <t>М2 (2c) · повт.</t>
        </is>
      </c>
      <c r="N248" s="16" t="inlineStr">
        <is>
          <t>М2 (2c) · повт.</t>
        </is>
      </c>
      <c r="O248" s="16" t="inlineStr">
        <is>
          <t>М3 (3c) · повт.</t>
        </is>
      </c>
      <c r="P248" s="20" t="inlineStr">
        <is>
          <t>—</t>
        </is>
      </c>
      <c r="Q248" s="21" t="inlineStr"/>
      <c r="R248" s="17" t="inlineStr">
        <is>
          <t>нет</t>
        </is>
      </c>
      <c r="S248" s="11" t="inlineStr"/>
      <c r="T248" s="11" t="inlineStr"/>
    </row>
    <row r="249">
      <c r="A249" s="11" t="n">
        <v>248</v>
      </c>
      <c r="B249" s="11" t="inlineStr">
        <is>
          <t>Грамматика</t>
        </is>
      </c>
      <c r="C249" s="11" t="inlineStr">
        <is>
          <t>Глаголы: другое</t>
        </is>
      </c>
      <c r="D249" s="12" t="inlineStr">
        <is>
          <t>Infinitive / -ing form</t>
        </is>
      </c>
      <c r="E249" s="22" t="inlineStr">
        <is>
          <t>-ing form: после предлогов (look forward to, be used to, object to…)</t>
        </is>
      </c>
      <c r="F249" s="11" t="inlineStr">
        <is>
          <t>10+</t>
        </is>
      </c>
      <c r="G249" s="11" t="inlineStr"/>
      <c r="H249" s="11" t="inlineStr"/>
      <c r="I249" s="11" t="inlineStr"/>
      <c r="J249" s="11" t="inlineStr"/>
      <c r="K249" s="11" t="inlineStr"/>
      <c r="L249" s="23" t="inlineStr">
        <is>
          <t>М5 (5c) · новое</t>
        </is>
      </c>
      <c r="M249" s="19" t="inlineStr">
        <is>
          <t>М2 (2c) · расш.</t>
        </is>
      </c>
      <c r="N249" s="16" t="inlineStr">
        <is>
          <t>М2 (2c) · повт.</t>
        </is>
      </c>
      <c r="O249" s="16" t="inlineStr">
        <is>
          <t>М3 (3c) · повт.</t>
        </is>
      </c>
      <c r="P249" s="20" t="inlineStr">
        <is>
          <t>—</t>
        </is>
      </c>
      <c r="Q249" s="21" t="inlineStr"/>
      <c r="R249" s="17" t="inlineStr">
        <is>
          <t>видео</t>
        </is>
      </c>
      <c r="S249" s="11" t="inlineStr">
        <is>
          <t>Gerunds and infinitives, experiences</t>
        </is>
      </c>
      <c r="T249" s="11" t="inlineStr"/>
    </row>
    <row r="250">
      <c r="A250" s="11" t="n">
        <v>249</v>
      </c>
      <c r="B250" s="11" t="inlineStr">
        <is>
          <t>Грамматика</t>
        </is>
      </c>
      <c r="C250" s="11" t="inlineStr">
        <is>
          <t>Глаголы: другое</t>
        </is>
      </c>
      <c r="D250" s="12" t="inlineStr">
        <is>
          <t>Infinitive / -ing form</t>
        </is>
      </c>
      <c r="E250" s="13" t="inlineStr">
        <is>
          <t>-ing vs bare infinitive после see, hear, watch, feel — незавершённое vs завершённое</t>
        </is>
      </c>
      <c r="F250" s="11" t="inlineStr">
        <is>
          <t>10+</t>
        </is>
      </c>
      <c r="G250" s="11" t="inlineStr"/>
      <c r="H250" s="11" t="inlineStr"/>
      <c r="I250" s="11" t="inlineStr"/>
      <c r="J250" s="11" t="inlineStr"/>
      <c r="K250" s="11" t="inlineStr"/>
      <c r="L250" s="23" t="inlineStr">
        <is>
          <t>М5 (5c) · новое</t>
        </is>
      </c>
      <c r="M250" s="16" t="inlineStr">
        <is>
          <t>М2 (2c) · повт.</t>
        </is>
      </c>
      <c r="N250" s="16" t="inlineStr">
        <is>
          <t>М2 (2c) · повт.</t>
        </is>
      </c>
      <c r="O250" s="16" t="inlineStr">
        <is>
          <t>М3 (3c) · повт.</t>
        </is>
      </c>
      <c r="P250" s="20" t="inlineStr">
        <is>
          <t>—</t>
        </is>
      </c>
      <c r="Q250" s="21" t="inlineStr"/>
      <c r="R250" s="17" t="inlineStr">
        <is>
          <t>нет</t>
        </is>
      </c>
      <c r="S250" s="11" t="inlineStr"/>
      <c r="T250" s="11" t="inlineStr"/>
    </row>
    <row r="251">
      <c r="A251" s="11" t="n">
        <v>250</v>
      </c>
      <c r="B251" s="11" t="inlineStr">
        <is>
          <t>Грамматика</t>
        </is>
      </c>
      <c r="C251" s="11" t="inlineStr">
        <is>
          <t>Глаголы: другое</t>
        </is>
      </c>
      <c r="D251" s="12" t="inlineStr">
        <is>
          <t>Infinitive / -ing form</t>
        </is>
      </c>
      <c r="E251" s="13" t="inlineStr">
        <is>
          <t>-ing form: be/get used to + -ing vs used to + V</t>
        </is>
      </c>
      <c r="F251" s="11" t="inlineStr">
        <is>
          <t>10+</t>
        </is>
      </c>
      <c r="G251" s="11" t="inlineStr"/>
      <c r="H251" s="11" t="inlineStr"/>
      <c r="I251" s="11" t="inlineStr"/>
      <c r="J251" s="11" t="inlineStr"/>
      <c r="K251" s="11" t="inlineStr"/>
      <c r="L251" s="11" t="inlineStr"/>
      <c r="M251" s="23" t="inlineStr">
        <is>
          <t>М2 (2c) · новое</t>
        </is>
      </c>
      <c r="N251" s="11" t="inlineStr"/>
      <c r="O251" s="16" t="inlineStr">
        <is>
          <t>М3 (3c) · повт.</t>
        </is>
      </c>
      <c r="P251" s="20" t="inlineStr">
        <is>
          <t>—</t>
        </is>
      </c>
      <c r="Q251" s="21" t="inlineStr"/>
      <c r="R251" s="17" t="inlineStr">
        <is>
          <t>нет</t>
        </is>
      </c>
      <c r="S251" s="11" t="inlineStr"/>
      <c r="T251" s="11" t="inlineStr"/>
    </row>
    <row r="252">
      <c r="A252" s="11" t="n">
        <v>251</v>
      </c>
      <c r="B252" s="11" t="inlineStr">
        <is>
          <t>Грамматика</t>
        </is>
      </c>
      <c r="C252" s="11" t="inlineStr">
        <is>
          <t>Глаголы: другое</t>
        </is>
      </c>
      <c r="D252" s="12" t="inlineStr">
        <is>
          <t>Infinitive / -ing form</t>
        </is>
      </c>
      <c r="E252" s="22" t="inlineStr">
        <is>
          <t>to-infinitive: цель</t>
        </is>
      </c>
      <c r="F252" s="11" t="inlineStr">
        <is>
          <t>10+</t>
        </is>
      </c>
      <c r="G252" s="11" t="inlineStr"/>
      <c r="H252" s="11" t="inlineStr"/>
      <c r="I252" s="11" t="inlineStr"/>
      <c r="J252" s="11" t="inlineStr"/>
      <c r="K252" s="11" t="inlineStr"/>
      <c r="L252" s="23" t="inlineStr">
        <is>
          <t>М5 (5c) · новое</t>
        </is>
      </c>
      <c r="M252" s="16" t="inlineStr">
        <is>
          <t>М2 (2c) · повт.</t>
        </is>
      </c>
      <c r="N252" s="16" t="inlineStr">
        <is>
          <t>М2 (2c) · повт.</t>
        </is>
      </c>
      <c r="O252" s="16" t="inlineStr">
        <is>
          <t>М3 (3c) · повт.</t>
        </is>
      </c>
      <c r="P252" s="20" t="inlineStr">
        <is>
          <t>—</t>
        </is>
      </c>
      <c r="Q252" s="21" t="inlineStr"/>
      <c r="R252" s="17" t="inlineStr">
        <is>
          <t>видео</t>
        </is>
      </c>
      <c r="S252" s="11" t="inlineStr">
        <is>
          <t>Gerunds and infinitives, experiences</t>
        </is>
      </c>
      <c r="T252" s="11" t="inlineStr"/>
    </row>
    <row r="253">
      <c r="A253" s="11" t="n">
        <v>252</v>
      </c>
      <c r="B253" s="11" t="inlineStr">
        <is>
          <t>Грамматика</t>
        </is>
      </c>
      <c r="C253" s="11" t="inlineStr">
        <is>
          <t>Глаголы: другое</t>
        </is>
      </c>
      <c r="D253" s="12" t="inlineStr">
        <is>
          <t>Infinitive / -ing form</t>
        </is>
      </c>
      <c r="E253" s="22" t="inlineStr">
        <is>
          <t>to-infinitive: после agree, decide, expect, hope, plan, promise, refuse, want</t>
        </is>
      </c>
      <c r="F253" s="11" t="inlineStr">
        <is>
          <t>10+</t>
        </is>
      </c>
      <c r="G253" s="11" t="inlineStr"/>
      <c r="H253" s="11" t="inlineStr"/>
      <c r="I253" s="11" t="inlineStr"/>
      <c r="J253" s="11" t="inlineStr"/>
      <c r="K253" s="11" t="inlineStr"/>
      <c r="L253" s="23" t="inlineStr">
        <is>
          <t>М5 (5c) · новое</t>
        </is>
      </c>
      <c r="M253" s="19" t="inlineStr">
        <is>
          <t>М2 (2c) · расш.</t>
        </is>
      </c>
      <c r="N253" s="16" t="inlineStr">
        <is>
          <t>М2 (2c) · повт.</t>
        </is>
      </c>
      <c r="O253" s="16" t="inlineStr">
        <is>
          <t>М3 (3c) · повт.</t>
        </is>
      </c>
      <c r="P253" s="20" t="inlineStr">
        <is>
          <t>—</t>
        </is>
      </c>
      <c r="Q253" s="21" t="inlineStr"/>
      <c r="R253" s="17" t="inlineStr">
        <is>
          <t>видео</t>
        </is>
      </c>
      <c r="S253" s="11" t="inlineStr">
        <is>
          <t>Gerunds and infinitives, experiences</t>
        </is>
      </c>
      <c r="T253" s="11" t="inlineStr"/>
    </row>
    <row r="254">
      <c r="A254" s="11" t="n">
        <v>253</v>
      </c>
      <c r="B254" s="11" t="inlineStr">
        <is>
          <t>Грамматика</t>
        </is>
      </c>
      <c r="C254" s="11" t="inlineStr">
        <is>
          <t>Глаголы: другое</t>
        </is>
      </c>
      <c r="D254" s="12" t="inlineStr">
        <is>
          <t>Infinitive / -ing form</t>
        </is>
      </c>
      <c r="E254" s="13" t="inlineStr">
        <is>
          <t>to-infinitive: после would like/prefer/love — конкретное предпочтение</t>
        </is>
      </c>
      <c r="F254" s="11" t="inlineStr">
        <is>
          <t>10+</t>
        </is>
      </c>
      <c r="G254" s="11" t="inlineStr"/>
      <c r="H254" s="11" t="inlineStr"/>
      <c r="I254" s="11" t="inlineStr"/>
      <c r="J254" s="11" t="inlineStr"/>
      <c r="K254" s="11" t="inlineStr"/>
      <c r="L254" s="23" t="inlineStr">
        <is>
          <t>М5 (5c) · новое</t>
        </is>
      </c>
      <c r="M254" s="16" t="inlineStr">
        <is>
          <t>М2 (2c) · повт.</t>
        </is>
      </c>
      <c r="N254" s="16" t="inlineStr">
        <is>
          <t>М2 (2c) · повт.</t>
        </is>
      </c>
      <c r="O254" s="16" t="inlineStr">
        <is>
          <t>М3 (3c) · повт.</t>
        </is>
      </c>
      <c r="P254" s="20" t="inlineStr">
        <is>
          <t>—</t>
        </is>
      </c>
      <c r="Q254" s="21" t="inlineStr"/>
      <c r="R254" s="17" t="inlineStr">
        <is>
          <t>нет</t>
        </is>
      </c>
      <c r="S254" s="11" t="inlineStr"/>
      <c r="T254" s="11" t="inlineStr"/>
    </row>
    <row r="255">
      <c r="A255" s="11" t="n">
        <v>254</v>
      </c>
      <c r="B255" s="11" t="inlineStr">
        <is>
          <t>Грамматика</t>
        </is>
      </c>
      <c r="C255" s="11" t="inlineStr">
        <is>
          <t>Глаголы: другое</t>
        </is>
      </c>
      <c r="D255" s="12" t="inlineStr">
        <is>
          <t>Infinitive / -ing form</t>
        </is>
      </c>
      <c r="E255" s="22" t="inlineStr">
        <is>
          <t>to-infinitive: после прилагательных (happy, eager, kind, lucky…); It was kind of you to…</t>
        </is>
      </c>
      <c r="F255" s="11" t="inlineStr">
        <is>
          <t>10+</t>
        </is>
      </c>
      <c r="G255" s="11" t="inlineStr"/>
      <c r="H255" s="11" t="inlineStr"/>
      <c r="I255" s="11" t="inlineStr"/>
      <c r="J255" s="11" t="inlineStr"/>
      <c r="K255" s="11" t="inlineStr"/>
      <c r="L255" s="23" t="inlineStr">
        <is>
          <t>М5 (5c) · новое</t>
        </is>
      </c>
      <c r="M255" s="16" t="inlineStr">
        <is>
          <t>М2 (2c) · повт.</t>
        </is>
      </c>
      <c r="N255" s="16" t="inlineStr">
        <is>
          <t>М2 (2c) · повт.</t>
        </is>
      </c>
      <c r="O255" s="16" t="inlineStr">
        <is>
          <t>М3 (3c) · повт.</t>
        </is>
      </c>
      <c r="P255" s="20" t="inlineStr">
        <is>
          <t>—</t>
        </is>
      </c>
      <c r="Q255" s="21" t="inlineStr"/>
      <c r="R255" s="17" t="inlineStr">
        <is>
          <t>видео</t>
        </is>
      </c>
      <c r="S255" s="11" t="inlineStr">
        <is>
          <t>Gerunds and infinitives, experiences</t>
        </is>
      </c>
      <c r="T255" s="11" t="inlineStr"/>
    </row>
    <row r="256">
      <c r="A256" s="11" t="n">
        <v>255</v>
      </c>
      <c r="B256" s="11" t="inlineStr">
        <is>
          <t>Грамматика</t>
        </is>
      </c>
      <c r="C256" s="11" t="inlineStr">
        <is>
          <t>Глаголы: другое</t>
        </is>
      </c>
      <c r="D256" s="12" t="inlineStr">
        <is>
          <t>Infinitive / -ing form</t>
        </is>
      </c>
      <c r="E256" s="13" t="inlineStr">
        <is>
          <t>to-infinitive: после too/enough</t>
        </is>
      </c>
      <c r="F256" s="11" t="inlineStr">
        <is>
          <t>10+</t>
        </is>
      </c>
      <c r="G256" s="11" t="inlineStr"/>
      <c r="H256" s="11" t="inlineStr"/>
      <c r="I256" s="11" t="inlineStr"/>
      <c r="J256" s="11" t="inlineStr"/>
      <c r="K256" s="11" t="inlineStr"/>
      <c r="L256" s="23" t="inlineStr">
        <is>
          <t>М5 (5c) · новое</t>
        </is>
      </c>
      <c r="M256" s="16" t="inlineStr">
        <is>
          <t>М2 (2c) · повт.</t>
        </is>
      </c>
      <c r="N256" s="16" t="inlineStr">
        <is>
          <t>М2 (2c) · повт.</t>
        </is>
      </c>
      <c r="O256" s="16" t="inlineStr">
        <is>
          <t>М3 (3c) · повт.</t>
        </is>
      </c>
      <c r="P256" s="20" t="inlineStr">
        <is>
          <t>—</t>
        </is>
      </c>
      <c r="Q256" s="21" t="inlineStr"/>
      <c r="R256" s="17" t="inlineStr">
        <is>
          <t>нет</t>
        </is>
      </c>
      <c r="S256" s="11" t="inlineStr"/>
      <c r="T256" s="11" t="inlineStr"/>
    </row>
    <row r="257">
      <c r="A257" s="11" t="n">
        <v>256</v>
      </c>
      <c r="B257" s="11" t="inlineStr">
        <is>
          <t>Грамматика</t>
        </is>
      </c>
      <c r="C257" s="11" t="inlineStr">
        <is>
          <t>Глаголы: другое</t>
        </is>
      </c>
      <c r="D257" s="12" t="inlineStr">
        <is>
          <t>Infinitive / -ing form</t>
        </is>
      </c>
      <c r="E257" s="13" t="inlineStr">
        <is>
          <t>to-infinitive: после be the first/next/last</t>
        </is>
      </c>
      <c r="F257" s="11" t="inlineStr">
        <is>
          <t>10+</t>
        </is>
      </c>
      <c r="G257" s="11" t="inlineStr"/>
      <c r="H257" s="11" t="inlineStr"/>
      <c r="I257" s="11" t="inlineStr"/>
      <c r="J257" s="11" t="inlineStr"/>
      <c r="K257" s="11" t="inlineStr"/>
      <c r="L257" s="23" t="inlineStr">
        <is>
          <t>М5 (5c) · новое</t>
        </is>
      </c>
      <c r="M257" s="16" t="inlineStr">
        <is>
          <t>М2 (2c) · повт.</t>
        </is>
      </c>
      <c r="N257" s="16" t="inlineStr">
        <is>
          <t>М2 (2c) · повт.</t>
        </is>
      </c>
      <c r="O257" s="16" t="inlineStr">
        <is>
          <t>М3 (3c) · повт.</t>
        </is>
      </c>
      <c r="P257" s="20" t="inlineStr">
        <is>
          <t>—</t>
        </is>
      </c>
      <c r="Q257" s="21" t="inlineStr"/>
      <c r="R257" s="17" t="inlineStr">
        <is>
          <t>нет</t>
        </is>
      </c>
      <c r="S257" s="11" t="inlineStr"/>
      <c r="T257" s="11" t="inlineStr"/>
    </row>
    <row r="258">
      <c r="A258" s="11" t="n">
        <v>257</v>
      </c>
      <c r="B258" s="11" t="inlineStr">
        <is>
          <t>Грамматика</t>
        </is>
      </c>
      <c r="C258" s="11" t="inlineStr">
        <is>
          <t>Глаголы: другое</t>
        </is>
      </c>
      <c r="D258" s="12" t="inlineStr">
        <is>
          <t>Infinitive / -ing form</t>
        </is>
      </c>
      <c r="E258" s="13" t="inlineStr">
        <is>
          <t>to-infinitive: устойчивые выражения (to tell you the truth, to be honest, to sum up…)</t>
        </is>
      </c>
      <c r="F258" s="11" t="inlineStr">
        <is>
          <t>10+</t>
        </is>
      </c>
      <c r="G258" s="11" t="inlineStr"/>
      <c r="H258" s="11" t="inlineStr"/>
      <c r="I258" s="11" t="inlineStr"/>
      <c r="J258" s="11" t="inlineStr"/>
      <c r="K258" s="11" t="inlineStr"/>
      <c r="L258" s="23" t="inlineStr">
        <is>
          <t>М5 (5c) · новое</t>
        </is>
      </c>
      <c r="M258" s="16" t="inlineStr">
        <is>
          <t>М2 (2c) · повт.</t>
        </is>
      </c>
      <c r="N258" s="16" t="inlineStr">
        <is>
          <t>М2 (2c) · повт.</t>
        </is>
      </c>
      <c r="O258" s="16" t="inlineStr">
        <is>
          <t>М3 (3c) · повт.</t>
        </is>
      </c>
      <c r="P258" s="20" t="inlineStr">
        <is>
          <t>—</t>
        </is>
      </c>
      <c r="Q258" s="21" t="inlineStr"/>
      <c r="R258" s="17" t="inlineStr">
        <is>
          <t>нет</t>
        </is>
      </c>
      <c r="S258" s="11" t="inlineStr"/>
      <c r="T258" s="11" t="inlineStr"/>
    </row>
    <row r="259">
      <c r="A259" s="11" t="n">
        <v>258</v>
      </c>
      <c r="B259" s="11" t="inlineStr">
        <is>
          <t>Грамматика</t>
        </is>
      </c>
      <c r="C259" s="11" t="inlineStr">
        <is>
          <t>Глаголы: другое</t>
        </is>
      </c>
      <c r="D259" s="12" t="inlineStr">
        <is>
          <t>Infinitive / -ing form</t>
        </is>
      </c>
      <c r="E259" s="13" t="inlineStr">
        <is>
          <t>to-infinitive: вопросительное слово + to-inf (when to go)</t>
        </is>
      </c>
      <c r="F259" s="11" t="inlineStr">
        <is>
          <t>10+</t>
        </is>
      </c>
      <c r="G259" s="11" t="inlineStr"/>
      <c r="H259" s="11" t="inlineStr"/>
      <c r="I259" s="11" t="inlineStr"/>
      <c r="J259" s="11" t="inlineStr"/>
      <c r="K259" s="11" t="inlineStr"/>
      <c r="L259" s="11" t="inlineStr"/>
      <c r="M259" s="23" t="inlineStr">
        <is>
          <t>М2 (2c) · новое</t>
        </is>
      </c>
      <c r="N259" s="16" t="inlineStr">
        <is>
          <t>М2 (2c) · повт.</t>
        </is>
      </c>
      <c r="O259" s="16" t="inlineStr">
        <is>
          <t>М3 (3c) · повт.</t>
        </is>
      </c>
      <c r="P259" s="20" t="inlineStr">
        <is>
          <t>—</t>
        </is>
      </c>
      <c r="Q259" s="21" t="inlineStr"/>
      <c r="R259" s="17" t="inlineStr">
        <is>
          <t>нет</t>
        </is>
      </c>
      <c r="S259" s="11" t="inlineStr"/>
      <c r="T259" s="11" t="inlineStr"/>
    </row>
    <row r="260">
      <c r="A260" s="11" t="n">
        <v>259</v>
      </c>
      <c r="B260" s="11" t="inlineStr">
        <is>
          <t>Грамматика</t>
        </is>
      </c>
      <c r="C260" s="11" t="inlineStr">
        <is>
          <t>Глаголы: другое</t>
        </is>
      </c>
      <c r="D260" s="12" t="inlineStr">
        <is>
          <t>Infinitive / -ing form</t>
        </is>
      </c>
      <c r="E260" s="13" t="inlineStr">
        <is>
          <t>to-infinitive: после существительных; so + adj + as to; only + to-inf; for + sb + to-inf</t>
        </is>
      </c>
      <c r="F260" s="11" t="inlineStr">
        <is>
          <t>10+</t>
        </is>
      </c>
      <c r="G260" s="11" t="inlineStr"/>
      <c r="H260" s="11" t="inlineStr"/>
      <c r="I260" s="11" t="inlineStr"/>
      <c r="J260" s="11" t="inlineStr"/>
      <c r="K260" s="11" t="inlineStr"/>
      <c r="L260" s="11" t="inlineStr"/>
      <c r="M260" s="23" t="inlineStr">
        <is>
          <t>М2 (2c) · новое</t>
        </is>
      </c>
      <c r="N260" s="16" t="inlineStr">
        <is>
          <t>М2 (2c) · повт.</t>
        </is>
      </c>
      <c r="O260" s="16" t="inlineStr">
        <is>
          <t>М3 (3c) · повт.</t>
        </is>
      </c>
      <c r="P260" s="20" t="inlineStr">
        <is>
          <t>—</t>
        </is>
      </c>
      <c r="Q260" s="21" t="inlineStr"/>
      <c r="R260" s="17" t="inlineStr">
        <is>
          <t>нет</t>
        </is>
      </c>
      <c r="S260" s="11" t="inlineStr"/>
      <c r="T260" s="11" t="inlineStr"/>
    </row>
    <row r="261">
      <c r="A261" s="11" t="n">
        <v>260</v>
      </c>
      <c r="B261" s="11" t="inlineStr">
        <is>
          <t>Грамматика</t>
        </is>
      </c>
      <c r="C261" s="11" t="inlineStr">
        <is>
          <t>Глаголы: другое</t>
        </is>
      </c>
      <c r="D261" s="12" t="inlineStr">
        <is>
          <t>Infinitive / -ing form</t>
        </is>
      </c>
      <c r="E261" s="13" t="inlineStr">
        <is>
          <t>to-infinitive: второй инфинитив после and/or без to</t>
        </is>
      </c>
      <c r="F261" s="11" t="inlineStr">
        <is>
          <t>10+</t>
        </is>
      </c>
      <c r="G261" s="11" t="inlineStr"/>
      <c r="H261" s="11" t="inlineStr"/>
      <c r="I261" s="11" t="inlineStr"/>
      <c r="J261" s="11" t="inlineStr"/>
      <c r="K261" s="11" t="inlineStr"/>
      <c r="L261" s="23" t="inlineStr">
        <is>
          <t>М5 (5c) · новое</t>
        </is>
      </c>
      <c r="M261" s="16" t="inlineStr">
        <is>
          <t>М2 (2c) · повт.</t>
        </is>
      </c>
      <c r="N261" s="16" t="inlineStr">
        <is>
          <t>М2 (2c) · повт.</t>
        </is>
      </c>
      <c r="O261" s="16" t="inlineStr">
        <is>
          <t>М3 (3c) · повт.</t>
        </is>
      </c>
      <c r="P261" s="20" t="inlineStr">
        <is>
          <t>—</t>
        </is>
      </c>
      <c r="Q261" s="21" t="inlineStr"/>
      <c r="R261" s="17" t="inlineStr">
        <is>
          <t>нет</t>
        </is>
      </c>
      <c r="S261" s="11" t="inlineStr"/>
      <c r="T261" s="11" t="inlineStr"/>
    </row>
    <row r="262">
      <c r="A262" s="11" t="n">
        <v>261</v>
      </c>
      <c r="B262" s="11" t="inlineStr">
        <is>
          <t>Грамматика</t>
        </is>
      </c>
      <c r="C262" s="11" t="inlineStr">
        <is>
          <t>Глаголы: другое</t>
        </is>
      </c>
      <c r="D262" s="12" t="inlineStr">
        <is>
          <t>Infinitive / -ing form</t>
        </is>
      </c>
      <c r="E262" s="13" t="inlineStr">
        <is>
          <t>to-infinitive: dare — с to и без</t>
        </is>
      </c>
      <c r="F262" s="11" t="inlineStr">
        <is>
          <t>10+</t>
        </is>
      </c>
      <c r="G262" s="11" t="inlineStr"/>
      <c r="H262" s="11" t="inlineStr"/>
      <c r="I262" s="11" t="inlineStr"/>
      <c r="J262" s="11" t="inlineStr"/>
      <c r="K262" s="11" t="inlineStr"/>
      <c r="L262" s="11" t="inlineStr"/>
      <c r="M262" s="23" t="inlineStr">
        <is>
          <t>М2 (2c) · новое</t>
        </is>
      </c>
      <c r="N262" s="16" t="inlineStr">
        <is>
          <t>М2 (2c) · повт.</t>
        </is>
      </c>
      <c r="O262" s="16" t="inlineStr">
        <is>
          <t>М3 (3c) · повт.</t>
        </is>
      </c>
      <c r="P262" s="20" t="inlineStr">
        <is>
          <t>—</t>
        </is>
      </c>
      <c r="Q262" s="21" t="inlineStr"/>
      <c r="R262" s="17" t="inlineStr">
        <is>
          <t>нет</t>
        </is>
      </c>
      <c r="S262" s="11" t="inlineStr"/>
      <c r="T262" s="11" t="inlineStr"/>
    </row>
    <row r="263">
      <c r="A263" s="11" t="n">
        <v>262</v>
      </c>
      <c r="B263" s="11" t="inlineStr">
        <is>
          <t>Грамматика</t>
        </is>
      </c>
      <c r="C263" s="11" t="inlineStr">
        <is>
          <t>Глаголы: другое</t>
        </is>
      </c>
      <c r="D263" s="12" t="inlineStr">
        <is>
          <t>Infinitive / -ing form</t>
        </is>
      </c>
      <c r="E263" s="13" t="inlineStr">
        <is>
          <t>Bare infinitive: после модальных, had better, would rather</t>
        </is>
      </c>
      <c r="F263" s="11" t="inlineStr">
        <is>
          <t>10+</t>
        </is>
      </c>
      <c r="G263" s="11" t="inlineStr"/>
      <c r="H263" s="11" t="inlineStr"/>
      <c r="I263" s="11" t="inlineStr"/>
      <c r="J263" s="11" t="inlineStr"/>
      <c r="K263" s="11" t="inlineStr"/>
      <c r="L263" s="23" t="inlineStr">
        <is>
          <t>М5 (5c) · новое</t>
        </is>
      </c>
      <c r="M263" s="16" t="inlineStr">
        <is>
          <t>М2 (2c) · повт.</t>
        </is>
      </c>
      <c r="N263" s="16" t="inlineStr">
        <is>
          <t>М2 (2c) · повт.</t>
        </is>
      </c>
      <c r="O263" s="16" t="inlineStr">
        <is>
          <t>М3 (3c) · повт.</t>
        </is>
      </c>
      <c r="P263" s="20" t="inlineStr">
        <is>
          <t>—</t>
        </is>
      </c>
      <c r="Q263" s="21" t="inlineStr"/>
      <c r="R263" s="17" t="inlineStr">
        <is>
          <t>нет</t>
        </is>
      </c>
      <c r="S263" s="11" t="inlineStr"/>
      <c r="T263" s="11" t="inlineStr"/>
    </row>
    <row r="264">
      <c r="A264" s="11" t="n">
        <v>263</v>
      </c>
      <c r="B264" s="11" t="inlineStr">
        <is>
          <t>Грамматика</t>
        </is>
      </c>
      <c r="C264" s="11" t="inlineStr">
        <is>
          <t>Глаголы: другое</t>
        </is>
      </c>
      <c r="D264" s="12" t="inlineStr">
        <is>
          <t>Infinitive / -ing form</t>
        </is>
      </c>
      <c r="E264" s="13" t="inlineStr">
        <is>
          <t>Bare infinitive: let/make/see/hear/feel + object + V; в пассиве + to (was made to)</t>
        </is>
      </c>
      <c r="F264" s="11" t="inlineStr">
        <is>
          <t>10+</t>
        </is>
      </c>
      <c r="G264" s="11" t="inlineStr"/>
      <c r="H264" s="11" t="inlineStr"/>
      <c r="I264" s="11" t="inlineStr"/>
      <c r="J264" s="11" t="inlineStr"/>
      <c r="K264" s="11" t="inlineStr"/>
      <c r="L264" s="23" t="inlineStr">
        <is>
          <t>М5 (5c) · новое</t>
        </is>
      </c>
      <c r="M264" s="19" t="inlineStr">
        <is>
          <t>М2 (2c) · расш.</t>
        </is>
      </c>
      <c r="N264" s="19" t="inlineStr">
        <is>
          <t>М2 (2c) · расш.</t>
        </is>
      </c>
      <c r="O264" s="16" t="inlineStr">
        <is>
          <t>М3 (3c) · повт.</t>
        </is>
      </c>
      <c r="P264" s="20" t="inlineStr">
        <is>
          <t>—</t>
        </is>
      </c>
      <c r="Q264" s="21" t="inlineStr"/>
      <c r="R264" s="17" t="inlineStr">
        <is>
          <t>нет</t>
        </is>
      </c>
      <c r="S264" s="11" t="inlineStr"/>
      <c r="T264" s="11" t="inlineStr"/>
    </row>
    <row r="265">
      <c r="A265" s="11" t="n">
        <v>264</v>
      </c>
      <c r="B265" s="11" t="inlineStr">
        <is>
          <t>Грамматика</t>
        </is>
      </c>
      <c r="C265" s="11" t="inlineStr">
        <is>
          <t>Глаголы: другое</t>
        </is>
      </c>
      <c r="D265" s="12" t="inlineStr">
        <is>
          <t>Infinitive / -ing form</t>
        </is>
      </c>
      <c r="E265" s="13" t="inlineStr">
        <is>
          <t>Bare infinitive: help + (to) V</t>
        </is>
      </c>
      <c r="F265" s="11" t="inlineStr">
        <is>
          <t>10+</t>
        </is>
      </c>
      <c r="G265" s="11" t="inlineStr"/>
      <c r="H265" s="11" t="inlineStr"/>
      <c r="I265" s="11" t="inlineStr"/>
      <c r="J265" s="11" t="inlineStr"/>
      <c r="K265" s="11" t="inlineStr"/>
      <c r="L265" s="23" t="inlineStr">
        <is>
          <t>М5 (5c) · новое</t>
        </is>
      </c>
      <c r="M265" s="16" t="inlineStr">
        <is>
          <t>М2 (2c) · повт.</t>
        </is>
      </c>
      <c r="N265" s="16" t="inlineStr">
        <is>
          <t>М2 (2c) · повт.</t>
        </is>
      </c>
      <c r="O265" s="16" t="inlineStr">
        <is>
          <t>М3 (3c) · повт.</t>
        </is>
      </c>
      <c r="P265" s="20" t="inlineStr">
        <is>
          <t>—</t>
        </is>
      </c>
      <c r="Q265" s="21" t="inlineStr"/>
      <c r="R265" s="17" t="inlineStr">
        <is>
          <t>нет</t>
        </is>
      </c>
      <c r="S265" s="11" t="inlineStr"/>
      <c r="T265" s="11" t="inlineStr"/>
    </row>
    <row r="266">
      <c r="A266" s="4" t="n">
        <v>265</v>
      </c>
      <c r="B266" s="4" t="inlineStr">
        <is>
          <t>Грамматика</t>
        </is>
      </c>
      <c r="C266" s="4" t="inlineStr">
        <is>
          <t>Глаголы: другое</t>
        </is>
      </c>
      <c r="D266" s="5" t="inlineStr">
        <is>
          <t>Infinitive / -ing form (difference in meaning)</t>
        </is>
      </c>
      <c r="E266" s="24" t="inlineStr">
        <is>
          <t>Infinitive vs -ing: forget/remember</t>
        </is>
      </c>
      <c r="F266" s="4" t="inlineStr">
        <is>
          <t>10+</t>
        </is>
      </c>
      <c r="G266" s="4" t="inlineStr"/>
      <c r="H266" s="4" t="inlineStr"/>
      <c r="I266" s="4" t="inlineStr"/>
      <c r="J266" s="4" t="inlineStr"/>
      <c r="K266" s="4" t="inlineStr"/>
      <c r="L266" s="27" t="inlineStr">
        <is>
          <t>М5 (5c) · новое</t>
        </is>
      </c>
      <c r="M266" s="30" t="inlineStr">
        <is>
          <t>М2 (2c) · расш.</t>
        </is>
      </c>
      <c r="N266" s="9" t="inlineStr">
        <is>
          <t>М2 (2c) · повт.</t>
        </is>
      </c>
      <c r="O266" s="9" t="inlineStr">
        <is>
          <t>М3 (3c) · повт.</t>
        </is>
      </c>
      <c r="P266" s="28" t="inlineStr">
        <is>
          <t>—</t>
        </is>
      </c>
      <c r="Q266" s="29" t="inlineStr"/>
      <c r="R266" s="10" t="inlineStr">
        <is>
          <t>нет</t>
        </is>
      </c>
      <c r="S266" s="4" t="inlineStr"/>
      <c r="T266" s="4" t="inlineStr"/>
    </row>
    <row r="267">
      <c r="A267" s="11" t="n">
        <v>266</v>
      </c>
      <c r="B267" s="11" t="inlineStr">
        <is>
          <t>Грамматика</t>
        </is>
      </c>
      <c r="C267" s="11" t="inlineStr">
        <is>
          <t>Глаголы: другое</t>
        </is>
      </c>
      <c r="D267" s="12" t="inlineStr">
        <is>
          <t>Infinitive / -ing form (difference in meaning)</t>
        </is>
      </c>
      <c r="E267" s="13" t="inlineStr">
        <is>
          <t>Infinitive vs -ing: stop</t>
        </is>
      </c>
      <c r="F267" s="11" t="inlineStr">
        <is>
          <t>10+</t>
        </is>
      </c>
      <c r="G267" s="11" t="inlineStr"/>
      <c r="H267" s="11" t="inlineStr"/>
      <c r="I267" s="11" t="inlineStr"/>
      <c r="J267" s="11" t="inlineStr"/>
      <c r="K267" s="11" t="inlineStr"/>
      <c r="L267" s="23" t="inlineStr">
        <is>
          <t>М5 (5c) · новое</t>
        </is>
      </c>
      <c r="M267" s="19" t="inlineStr">
        <is>
          <t>М2 (2c) · расш.</t>
        </is>
      </c>
      <c r="N267" s="16" t="inlineStr">
        <is>
          <t>М2 (2c) · повт.</t>
        </is>
      </c>
      <c r="O267" s="16" t="inlineStr">
        <is>
          <t>М3 (3c) · повт.</t>
        </is>
      </c>
      <c r="P267" s="20" t="inlineStr">
        <is>
          <t>—</t>
        </is>
      </c>
      <c r="Q267" s="21" t="inlineStr"/>
      <c r="R267" s="17" t="inlineStr">
        <is>
          <t>нет</t>
        </is>
      </c>
      <c r="S267" s="11" t="inlineStr"/>
      <c r="T267" s="11" t="inlineStr"/>
    </row>
    <row r="268">
      <c r="A268" s="11" t="n">
        <v>267</v>
      </c>
      <c r="B268" s="11" t="inlineStr">
        <is>
          <t>Грамматика</t>
        </is>
      </c>
      <c r="C268" s="11" t="inlineStr">
        <is>
          <t>Глаголы: другое</t>
        </is>
      </c>
      <c r="D268" s="12" t="inlineStr">
        <is>
          <t>Infinitive / -ing form (difference in meaning)</t>
        </is>
      </c>
      <c r="E268" s="13" t="inlineStr">
        <is>
          <t>Infinitive vs -ing: try</t>
        </is>
      </c>
      <c r="F268" s="11" t="inlineStr">
        <is>
          <t>10+</t>
        </is>
      </c>
      <c r="G268" s="11" t="inlineStr"/>
      <c r="H268" s="11" t="inlineStr"/>
      <c r="I268" s="11" t="inlineStr"/>
      <c r="J268" s="11" t="inlineStr"/>
      <c r="K268" s="11" t="inlineStr"/>
      <c r="L268" s="23" t="inlineStr">
        <is>
          <t>М5 (5c) · новое</t>
        </is>
      </c>
      <c r="M268" s="19" t="inlineStr">
        <is>
          <t>М2 (2c) · расш.</t>
        </is>
      </c>
      <c r="N268" s="16" t="inlineStr">
        <is>
          <t>М2 (2c) · повт.</t>
        </is>
      </c>
      <c r="O268" s="16" t="inlineStr">
        <is>
          <t>М3 (3c) · повт.</t>
        </is>
      </c>
      <c r="P268" s="20" t="inlineStr">
        <is>
          <t>—</t>
        </is>
      </c>
      <c r="Q268" s="21" t="inlineStr"/>
      <c r="R268" s="17" t="inlineStr">
        <is>
          <t>нет</t>
        </is>
      </c>
      <c r="S268" s="11" t="inlineStr"/>
      <c r="T268" s="11" t="inlineStr"/>
    </row>
    <row r="269">
      <c r="A269" s="11" t="n">
        <v>268</v>
      </c>
      <c r="B269" s="11" t="inlineStr">
        <is>
          <t>Грамматика</t>
        </is>
      </c>
      <c r="C269" s="11" t="inlineStr">
        <is>
          <t>Глаголы: другое</t>
        </is>
      </c>
      <c r="D269" s="12" t="inlineStr">
        <is>
          <t>Infinitive / -ing form (difference in meaning)</t>
        </is>
      </c>
      <c r="E269" s="13" t="inlineStr">
        <is>
          <t>Infinitive vs -ing: regret</t>
        </is>
      </c>
      <c r="F269" s="11" t="inlineStr">
        <is>
          <t>10+</t>
        </is>
      </c>
      <c r="G269" s="11" t="inlineStr"/>
      <c r="H269" s="11" t="inlineStr"/>
      <c r="I269" s="11" t="inlineStr"/>
      <c r="J269" s="11" t="inlineStr"/>
      <c r="K269" s="11" t="inlineStr"/>
      <c r="L269" s="23" t="inlineStr">
        <is>
          <t>М5 (5c) · новое</t>
        </is>
      </c>
      <c r="M269" s="19" t="inlineStr">
        <is>
          <t>М2 (2c) · расш.</t>
        </is>
      </c>
      <c r="N269" s="16" t="inlineStr">
        <is>
          <t>М2 (2c) · повт.</t>
        </is>
      </c>
      <c r="O269" s="16" t="inlineStr">
        <is>
          <t>М3 (3c) · повт.</t>
        </is>
      </c>
      <c r="P269" s="20" t="inlineStr">
        <is>
          <t>—</t>
        </is>
      </c>
      <c r="Q269" s="21" t="inlineStr"/>
      <c r="R269" s="17" t="inlineStr">
        <is>
          <t>нет</t>
        </is>
      </c>
      <c r="S269" s="11" t="inlineStr"/>
      <c r="T269" s="11" t="inlineStr"/>
    </row>
    <row r="270">
      <c r="A270" s="11" t="n">
        <v>269</v>
      </c>
      <c r="B270" s="11" t="inlineStr">
        <is>
          <t>Грамматика</t>
        </is>
      </c>
      <c r="C270" s="11" t="inlineStr">
        <is>
          <t>Глаголы: другое</t>
        </is>
      </c>
      <c r="D270" s="12" t="inlineStr">
        <is>
          <t>Infinitive / -ing form (difference in meaning)</t>
        </is>
      </c>
      <c r="E270" s="13" t="inlineStr">
        <is>
          <t>Infinitive vs -ing: mean</t>
        </is>
      </c>
      <c r="F270" s="11" t="inlineStr">
        <is>
          <t>10+</t>
        </is>
      </c>
      <c r="G270" s="11" t="inlineStr"/>
      <c r="H270" s="11" t="inlineStr"/>
      <c r="I270" s="11" t="inlineStr"/>
      <c r="J270" s="11" t="inlineStr"/>
      <c r="K270" s="11" t="inlineStr"/>
      <c r="L270" s="23" t="inlineStr">
        <is>
          <t>М5 (5c) · новое</t>
        </is>
      </c>
      <c r="M270" s="19" t="inlineStr">
        <is>
          <t>М2 (2c) · расш.</t>
        </is>
      </c>
      <c r="N270" s="16" t="inlineStr">
        <is>
          <t>М2 (2c) · повт.</t>
        </is>
      </c>
      <c r="O270" s="16" t="inlineStr">
        <is>
          <t>М3 (3c) · повт.</t>
        </is>
      </c>
      <c r="P270" s="20" t="inlineStr">
        <is>
          <t>—</t>
        </is>
      </c>
      <c r="Q270" s="21" t="inlineStr"/>
      <c r="R270" s="17" t="inlineStr">
        <is>
          <t>нет</t>
        </is>
      </c>
      <c r="S270" s="11" t="inlineStr"/>
      <c r="T270" s="11" t="inlineStr"/>
    </row>
    <row r="271">
      <c r="A271" s="11" t="n">
        <v>270</v>
      </c>
      <c r="B271" s="11" t="inlineStr">
        <is>
          <t>Грамматика</t>
        </is>
      </c>
      <c r="C271" s="11" t="inlineStr">
        <is>
          <t>Глаголы: другое</t>
        </is>
      </c>
      <c r="D271" s="12" t="inlineStr">
        <is>
          <t>Infinitive / -ing form (difference in meaning)</t>
        </is>
      </c>
      <c r="E271" s="13" t="inlineStr">
        <is>
          <t>Infinitive vs -ing: go on</t>
        </is>
      </c>
      <c r="F271" s="11" t="inlineStr">
        <is>
          <t>10+</t>
        </is>
      </c>
      <c r="G271" s="11" t="inlineStr"/>
      <c r="H271" s="11" t="inlineStr"/>
      <c r="I271" s="11" t="inlineStr"/>
      <c r="J271" s="11" t="inlineStr"/>
      <c r="K271" s="11" t="inlineStr"/>
      <c r="L271" s="23" t="inlineStr">
        <is>
          <t>М5 (5c) · новое</t>
        </is>
      </c>
      <c r="M271" s="19" t="inlineStr">
        <is>
          <t>М2 (2c) · расш.</t>
        </is>
      </c>
      <c r="N271" s="16" t="inlineStr">
        <is>
          <t>М2 (2c) · повт.</t>
        </is>
      </c>
      <c r="O271" s="16" t="inlineStr">
        <is>
          <t>М3 (3c) · повт.</t>
        </is>
      </c>
      <c r="P271" s="20" t="inlineStr">
        <is>
          <t>—</t>
        </is>
      </c>
      <c r="Q271" s="21" t="inlineStr"/>
      <c r="R271" s="17" t="inlineStr">
        <is>
          <t>нет</t>
        </is>
      </c>
      <c r="S271" s="11" t="inlineStr"/>
      <c r="T271" s="11" t="inlineStr"/>
    </row>
    <row r="272">
      <c r="A272" s="11" t="n">
        <v>271</v>
      </c>
      <c r="B272" s="11" t="inlineStr">
        <is>
          <t>Грамматика</t>
        </is>
      </c>
      <c r="C272" s="11" t="inlineStr">
        <is>
          <t>Глаголы: другое</t>
        </is>
      </c>
      <c r="D272" s="12" t="inlineStr">
        <is>
          <t>Infinitive / -ing form (difference in meaning)</t>
        </is>
      </c>
      <c r="E272" s="13" t="inlineStr">
        <is>
          <t>Infinitive vs -ing: hate</t>
        </is>
      </c>
      <c r="F272" s="11" t="inlineStr">
        <is>
          <t>10+</t>
        </is>
      </c>
      <c r="G272" s="11" t="inlineStr"/>
      <c r="H272" s="11" t="inlineStr"/>
      <c r="I272" s="11" t="inlineStr"/>
      <c r="J272" s="11" t="inlineStr"/>
      <c r="K272" s="11" t="inlineStr"/>
      <c r="L272" s="23" t="inlineStr">
        <is>
          <t>М5 (5c) · новое</t>
        </is>
      </c>
      <c r="M272" s="16" t="inlineStr">
        <is>
          <t>М2 (2c) · повт.</t>
        </is>
      </c>
      <c r="N272" s="16" t="inlineStr">
        <is>
          <t>М2 (2c) · повт.</t>
        </is>
      </c>
      <c r="O272" s="16" t="inlineStr">
        <is>
          <t>М3 (3c) · повт.</t>
        </is>
      </c>
      <c r="P272" s="20" t="inlineStr">
        <is>
          <t>—</t>
        </is>
      </c>
      <c r="Q272" s="21" t="inlineStr"/>
      <c r="R272" s="17" t="inlineStr">
        <is>
          <t>нет</t>
        </is>
      </c>
      <c r="S272" s="11" t="inlineStr"/>
      <c r="T272" s="11" t="inlineStr"/>
    </row>
    <row r="273">
      <c r="A273" s="11" t="n">
        <v>272</v>
      </c>
      <c r="B273" s="11" t="inlineStr">
        <is>
          <t>Грамматика</t>
        </is>
      </c>
      <c r="C273" s="11" t="inlineStr">
        <is>
          <t>Глаголы: другое</t>
        </is>
      </c>
      <c r="D273" s="12" t="inlineStr">
        <is>
          <t>Infinitive / -ing form (difference in meaning)</t>
        </is>
      </c>
      <c r="E273" s="13" t="inlineStr">
        <is>
          <t>Infinitive vs -ing: want (My car wants cleaning)</t>
        </is>
      </c>
      <c r="F273" s="11" t="inlineStr">
        <is>
          <t>10+</t>
        </is>
      </c>
      <c r="G273" s="11" t="inlineStr"/>
      <c r="H273" s="11" t="inlineStr"/>
      <c r="I273" s="11" t="inlineStr"/>
      <c r="J273" s="11" t="inlineStr"/>
      <c r="K273" s="11" t="inlineStr"/>
      <c r="L273" s="11" t="inlineStr"/>
      <c r="M273" s="23" t="inlineStr">
        <is>
          <t>М2 (2c) · новое</t>
        </is>
      </c>
      <c r="N273" s="16" t="inlineStr">
        <is>
          <t>М2 (2c) · повт.</t>
        </is>
      </c>
      <c r="O273" s="16" t="inlineStr">
        <is>
          <t>М3 (3c) · повт.</t>
        </is>
      </c>
      <c r="P273" s="20" t="inlineStr">
        <is>
          <t>—</t>
        </is>
      </c>
      <c r="Q273" s="21" t="inlineStr"/>
      <c r="R273" s="17" t="inlineStr">
        <is>
          <t>нет</t>
        </is>
      </c>
      <c r="S273" s="11" t="inlineStr"/>
      <c r="T273" s="11" t="inlineStr"/>
    </row>
    <row r="274">
      <c r="A274" s="11" t="n">
        <v>273</v>
      </c>
      <c r="B274" s="11" t="inlineStr">
        <is>
          <t>Грамматика</t>
        </is>
      </c>
      <c r="C274" s="11" t="inlineStr">
        <is>
          <t>Глаголы: другое</t>
        </is>
      </c>
      <c r="D274" s="12" t="inlineStr">
        <is>
          <t>Infinitive / -ing form (difference in meaning)</t>
        </is>
      </c>
      <c r="E274" s="13" t="inlineStr">
        <is>
          <t>Infinitive vs -ing: be sorry to / for -ing; be afraid to / of -ing</t>
        </is>
      </c>
      <c r="F274" s="11" t="inlineStr">
        <is>
          <t>10+</t>
        </is>
      </c>
      <c r="G274" s="11" t="inlineStr"/>
      <c r="H274" s="11" t="inlineStr"/>
      <c r="I274" s="11" t="inlineStr"/>
      <c r="J274" s="11" t="inlineStr"/>
      <c r="K274" s="11" t="inlineStr"/>
      <c r="L274" s="11" t="inlineStr"/>
      <c r="M274" s="23" t="inlineStr">
        <is>
          <t>М2 (2c) · новое</t>
        </is>
      </c>
      <c r="N274" s="16" t="inlineStr">
        <is>
          <t>М2 (2c) · повт.</t>
        </is>
      </c>
      <c r="O274" s="16" t="inlineStr">
        <is>
          <t>М3 (3c) · повт.</t>
        </is>
      </c>
      <c r="P274" s="20" t="inlineStr">
        <is>
          <t>—</t>
        </is>
      </c>
      <c r="Q274" s="21" t="inlineStr"/>
      <c r="R274" s="17" t="inlineStr">
        <is>
          <t>нет</t>
        </is>
      </c>
      <c r="S274" s="11" t="inlineStr"/>
      <c r="T274" s="11" t="inlineStr"/>
    </row>
    <row r="275">
      <c r="A275" s="11" t="n">
        <v>274</v>
      </c>
      <c r="B275" s="11" t="inlineStr">
        <is>
          <t>Грамматика</t>
        </is>
      </c>
      <c r="C275" s="11" t="inlineStr">
        <is>
          <t>Глаголы: другое</t>
        </is>
      </c>
      <c r="D275" s="12" t="inlineStr">
        <is>
          <t>Infinitive / -ing form (difference in meaning)</t>
        </is>
      </c>
      <c r="E275" s="13" t="inlineStr">
        <is>
          <t>Infinitive / -ing без смены значения: begin, start, continue, intend</t>
        </is>
      </c>
      <c r="F275" s="11" t="inlineStr">
        <is>
          <t>10+</t>
        </is>
      </c>
      <c r="G275" s="11" t="inlineStr"/>
      <c r="H275" s="11" t="inlineStr"/>
      <c r="I275" s="11" t="inlineStr"/>
      <c r="J275" s="11" t="inlineStr"/>
      <c r="K275" s="11" t="inlineStr"/>
      <c r="L275" s="11" t="inlineStr"/>
      <c r="M275" s="23" t="inlineStr">
        <is>
          <t>М2 (2c) · новое</t>
        </is>
      </c>
      <c r="N275" s="16" t="inlineStr">
        <is>
          <t>М2 (2c) · повт.</t>
        </is>
      </c>
      <c r="O275" s="16" t="inlineStr">
        <is>
          <t>М3 (3c) · повт.</t>
        </is>
      </c>
      <c r="P275" s="20" t="inlineStr">
        <is>
          <t>—</t>
        </is>
      </c>
      <c r="Q275" s="21" t="inlineStr"/>
      <c r="R275" s="17" t="inlineStr">
        <is>
          <t>нет</t>
        </is>
      </c>
      <c r="S275" s="11" t="inlineStr"/>
      <c r="T275" s="11" t="inlineStr"/>
    </row>
    <row r="276">
      <c r="A276" s="11" t="n">
        <v>275</v>
      </c>
      <c r="B276" s="11" t="inlineStr">
        <is>
          <t>Грамматика</t>
        </is>
      </c>
      <c r="C276" s="11" t="inlineStr">
        <is>
          <t>Глаголы: другое</t>
        </is>
      </c>
      <c r="D276" s="12" t="inlineStr">
        <is>
          <t>Infinitive / -ing form (difference in meaning)</t>
        </is>
      </c>
      <c r="E276" s="13" t="inlineStr">
        <is>
          <t>Infinitive / -ing: advise, allow, encourage, permit, require + object + to-inf / + -ing; в пассиве только to-inf</t>
        </is>
      </c>
      <c r="F276" s="11" t="inlineStr">
        <is>
          <t>10+</t>
        </is>
      </c>
      <c r="G276" s="11" t="inlineStr"/>
      <c r="H276" s="11" t="inlineStr"/>
      <c r="I276" s="11" t="inlineStr"/>
      <c r="J276" s="11" t="inlineStr"/>
      <c r="K276" s="11" t="inlineStr"/>
      <c r="L276" s="11" t="inlineStr"/>
      <c r="M276" s="23" t="inlineStr">
        <is>
          <t>М2 (2c) · новое</t>
        </is>
      </c>
      <c r="N276" s="16" t="inlineStr">
        <is>
          <t>М2 (2c) · повт.</t>
        </is>
      </c>
      <c r="O276" s="16" t="inlineStr">
        <is>
          <t>М3 (3c) · повт.</t>
        </is>
      </c>
      <c r="P276" s="20" t="inlineStr">
        <is>
          <t>—</t>
        </is>
      </c>
      <c r="Q276" s="21" t="inlineStr"/>
      <c r="R276" s="17" t="inlineStr">
        <is>
          <t>нет</t>
        </is>
      </c>
      <c r="S276" s="11" t="inlineStr"/>
      <c r="T276" s="11" t="inlineStr"/>
    </row>
    <row r="277">
      <c r="A277" s="11" t="n">
        <v>276</v>
      </c>
      <c r="B277" s="11" t="inlineStr">
        <is>
          <t>Грамматика</t>
        </is>
      </c>
      <c r="C277" s="11" t="inlineStr">
        <is>
          <t>Глаголы: другое</t>
        </is>
      </c>
      <c r="D277" s="12" t="inlineStr">
        <is>
          <t>Infinitive / -ing form (difference in meaning)</t>
        </is>
      </c>
      <c r="E277" s="13" t="inlineStr">
        <is>
          <t>Infinitive / -ing: need/require/want + -ing / to be done (пассивное значение)</t>
        </is>
      </c>
      <c r="F277" s="11" t="inlineStr">
        <is>
          <t>10+</t>
        </is>
      </c>
      <c r="G277" s="11" t="inlineStr"/>
      <c r="H277" s="11" t="inlineStr"/>
      <c r="I277" s="11" t="inlineStr"/>
      <c r="J277" s="11" t="inlineStr"/>
      <c r="K277" s="11" t="inlineStr"/>
      <c r="L277" s="11" t="inlineStr"/>
      <c r="M277" s="23" t="inlineStr">
        <is>
          <t>М2 (2c) · новое</t>
        </is>
      </c>
      <c r="N277" s="16" t="inlineStr">
        <is>
          <t>М2 (2c) · повт.</t>
        </is>
      </c>
      <c r="O277" s="16" t="inlineStr">
        <is>
          <t>М3 (3c) · повт.</t>
        </is>
      </c>
      <c r="P277" s="20" t="inlineStr">
        <is>
          <t>—</t>
        </is>
      </c>
      <c r="Q277" s="21" t="inlineStr"/>
      <c r="R277" s="17" t="inlineStr">
        <is>
          <t>нет</t>
        </is>
      </c>
      <c r="S277" s="11" t="inlineStr"/>
      <c r="T277" s="11" t="inlineStr"/>
    </row>
    <row r="278">
      <c r="A278" s="4" t="n">
        <v>277</v>
      </c>
      <c r="B278" s="4" t="inlineStr">
        <is>
          <t>Грамматика</t>
        </is>
      </c>
      <c r="C278" s="4" t="inlineStr">
        <is>
          <t>Глаголы: другое</t>
        </is>
      </c>
      <c r="D278" s="5" t="inlineStr">
        <is>
          <t>Passive Voice</t>
        </is>
      </c>
      <c r="E278" s="24" t="inlineStr">
        <is>
          <t>Passive Voice: форма be + V3 — Present Simple и Past Simple</t>
        </is>
      </c>
      <c r="F278" s="4" t="inlineStr">
        <is>
          <t>10+</t>
        </is>
      </c>
      <c r="G278" s="4" t="inlineStr"/>
      <c r="H278" s="4" t="inlineStr"/>
      <c r="I278" s="4" t="inlineStr"/>
      <c r="J278" s="4" t="inlineStr"/>
      <c r="K278" s="4" t="inlineStr"/>
      <c r="L278" s="27" t="inlineStr">
        <is>
          <t>М4 (4c) · новое</t>
        </is>
      </c>
      <c r="M278" s="9" t="inlineStr">
        <is>
          <t>М6 (6c) · повт.</t>
        </is>
      </c>
      <c r="N278" s="9" t="inlineStr">
        <is>
          <t>М7 (7c) · повт.</t>
        </is>
      </c>
      <c r="O278" s="9" t="inlineStr">
        <is>
          <t>М4 (4c) · повт.</t>
        </is>
      </c>
      <c r="P278" s="28" t="inlineStr">
        <is>
          <t>—</t>
        </is>
      </c>
      <c r="Q278" s="29" t="inlineStr"/>
      <c r="R278" s="10" t="inlineStr">
        <is>
          <t>нет</t>
        </is>
      </c>
      <c r="S278" s="4" t="inlineStr"/>
      <c r="T278" s="4" t="inlineStr"/>
    </row>
    <row r="279">
      <c r="A279" s="11" t="n">
        <v>278</v>
      </c>
      <c r="B279" s="11" t="inlineStr">
        <is>
          <t>Грамматика</t>
        </is>
      </c>
      <c r="C279" s="11" t="inlineStr">
        <is>
          <t>Глаголы: другое</t>
        </is>
      </c>
      <c r="D279" s="12" t="inlineStr">
        <is>
          <t>Passive Voice</t>
        </is>
      </c>
      <c r="E279" s="13" t="inlineStr">
        <is>
          <t>Passive Voice: Continuous (is/was being + V3)</t>
        </is>
      </c>
      <c r="F279" s="11" t="inlineStr">
        <is>
          <t>10+</t>
        </is>
      </c>
      <c r="G279" s="11" t="inlineStr"/>
      <c r="H279" s="11" t="inlineStr"/>
      <c r="I279" s="11" t="inlineStr"/>
      <c r="J279" s="11" t="inlineStr"/>
      <c r="K279" s="11" t="inlineStr"/>
      <c r="L279" s="23" t="inlineStr">
        <is>
          <t>М4 (4c) · новое</t>
        </is>
      </c>
      <c r="M279" s="16" t="inlineStr">
        <is>
          <t>М6 (6c) · повт.</t>
        </is>
      </c>
      <c r="N279" s="16" t="inlineStr">
        <is>
          <t>М7 (7c) · повт.</t>
        </is>
      </c>
      <c r="O279" s="16" t="inlineStr">
        <is>
          <t>М4 (4c) · повт.</t>
        </is>
      </c>
      <c r="P279" s="20" t="inlineStr">
        <is>
          <t>—</t>
        </is>
      </c>
      <c r="Q279" s="21" t="inlineStr"/>
      <c r="R279" s="17" t="inlineStr">
        <is>
          <t>нет</t>
        </is>
      </c>
      <c r="S279" s="11" t="inlineStr"/>
      <c r="T279" s="11" t="inlineStr"/>
    </row>
    <row r="280">
      <c r="A280" s="11" t="n">
        <v>279</v>
      </c>
      <c r="B280" s="11" t="inlineStr">
        <is>
          <t>Грамматика</t>
        </is>
      </c>
      <c r="C280" s="11" t="inlineStr">
        <is>
          <t>Глаголы: другое</t>
        </is>
      </c>
      <c r="D280" s="12" t="inlineStr">
        <is>
          <t>Passive Voice</t>
        </is>
      </c>
      <c r="E280" s="13" t="inlineStr">
        <is>
          <t>Passive Voice: Present/Past Perfect (has/had been + V3)</t>
        </is>
      </c>
      <c r="F280" s="11" t="inlineStr">
        <is>
          <t>10+</t>
        </is>
      </c>
      <c r="G280" s="11" t="inlineStr"/>
      <c r="H280" s="11" t="inlineStr"/>
      <c r="I280" s="11" t="inlineStr"/>
      <c r="J280" s="11" t="inlineStr"/>
      <c r="K280" s="11" t="inlineStr"/>
      <c r="L280" s="23" t="inlineStr">
        <is>
          <t>М4 (4c) · новое</t>
        </is>
      </c>
      <c r="M280" s="16" t="inlineStr">
        <is>
          <t>М6 (6c) · повт.</t>
        </is>
      </c>
      <c r="N280" s="16" t="inlineStr">
        <is>
          <t>М7 (7c) · повт.</t>
        </is>
      </c>
      <c r="O280" s="16" t="inlineStr">
        <is>
          <t>М4 (4c) · повт.</t>
        </is>
      </c>
      <c r="P280" s="20" t="inlineStr">
        <is>
          <t>—</t>
        </is>
      </c>
      <c r="Q280" s="21" t="inlineStr"/>
      <c r="R280" s="17" t="inlineStr">
        <is>
          <t>нет</t>
        </is>
      </c>
      <c r="S280" s="11" t="inlineStr"/>
      <c r="T280" s="11" t="inlineStr"/>
    </row>
    <row r="281">
      <c r="A281" s="11" t="n">
        <v>280</v>
      </c>
      <c r="B281" s="11" t="inlineStr">
        <is>
          <t>Грамматика</t>
        </is>
      </c>
      <c r="C281" s="11" t="inlineStr">
        <is>
          <t>Глаголы: другое</t>
        </is>
      </c>
      <c r="D281" s="12" t="inlineStr">
        <is>
          <t>Passive Voice</t>
        </is>
      </c>
      <c r="E281" s="13" t="inlineStr">
        <is>
          <t>Passive Voice: Future Simple (will be + V3)</t>
        </is>
      </c>
      <c r="F281" s="11" t="inlineStr">
        <is>
          <t>10+</t>
        </is>
      </c>
      <c r="G281" s="11" t="inlineStr"/>
      <c r="H281" s="11" t="inlineStr"/>
      <c r="I281" s="11" t="inlineStr"/>
      <c r="J281" s="11" t="inlineStr"/>
      <c r="K281" s="11" t="inlineStr"/>
      <c r="L281" s="23" t="inlineStr">
        <is>
          <t>М4 (4c) · новое</t>
        </is>
      </c>
      <c r="M281" s="16" t="inlineStr">
        <is>
          <t>М6 (6c) · повт.</t>
        </is>
      </c>
      <c r="N281" s="16" t="inlineStr">
        <is>
          <t>М7 (7c) · повт.</t>
        </is>
      </c>
      <c r="O281" s="16" t="inlineStr">
        <is>
          <t>М4 (4c) · повт.</t>
        </is>
      </c>
      <c r="P281" s="20" t="inlineStr">
        <is>
          <t>—</t>
        </is>
      </c>
      <c r="Q281" s="21" t="inlineStr"/>
      <c r="R281" s="17" t="inlineStr">
        <is>
          <t>нет</t>
        </is>
      </c>
      <c r="S281" s="11" t="inlineStr"/>
      <c r="T281" s="11" t="inlineStr"/>
    </row>
    <row r="282">
      <c r="A282" s="11" t="n">
        <v>281</v>
      </c>
      <c r="B282" s="11" t="inlineStr">
        <is>
          <t>Грамматика</t>
        </is>
      </c>
      <c r="C282" s="11" t="inlineStr">
        <is>
          <t>Глаголы: другое</t>
        </is>
      </c>
      <c r="D282" s="12" t="inlineStr">
        <is>
          <t>Passive Voice</t>
        </is>
      </c>
      <c r="E282" s="13" t="inlineStr">
        <is>
          <t>Passive Voice: Future Perfect (will have been + V3)</t>
        </is>
      </c>
      <c r="F282" s="11" t="inlineStr">
        <is>
          <t>10+</t>
        </is>
      </c>
      <c r="G282" s="11" t="inlineStr"/>
      <c r="H282" s="11" t="inlineStr"/>
      <c r="I282" s="11" t="inlineStr"/>
      <c r="J282" s="11" t="inlineStr"/>
      <c r="K282" s="11" t="inlineStr"/>
      <c r="L282" s="11" t="inlineStr"/>
      <c r="M282" s="23" t="inlineStr">
        <is>
          <t>М6 (6c) · новое</t>
        </is>
      </c>
      <c r="N282" s="16" t="inlineStr">
        <is>
          <t>М7 (7c) · повт.</t>
        </is>
      </c>
      <c r="O282" s="16" t="inlineStr">
        <is>
          <t>М4 (4c) · повт.</t>
        </is>
      </c>
      <c r="P282" s="20" t="inlineStr">
        <is>
          <t>—</t>
        </is>
      </c>
      <c r="Q282" s="21" t="inlineStr"/>
      <c r="R282" s="17" t="inlineStr">
        <is>
          <t>нет</t>
        </is>
      </c>
      <c r="S282" s="11" t="inlineStr"/>
      <c r="T282" s="11" t="inlineStr"/>
    </row>
    <row r="283">
      <c r="A283" s="11" t="n">
        <v>282</v>
      </c>
      <c r="B283" s="11" t="inlineStr">
        <is>
          <t>Грамматика</t>
        </is>
      </c>
      <c r="C283" s="11" t="inlineStr">
        <is>
          <t>Глаголы: другое</t>
        </is>
      </c>
      <c r="D283" s="12" t="inlineStr">
        <is>
          <t>Passive Voice</t>
        </is>
      </c>
      <c r="E283" s="13" t="inlineStr">
        <is>
          <t>Passive Voice: инфинитив и модальные (has to be / can be + V3)</t>
        </is>
      </c>
      <c r="F283" s="11" t="inlineStr">
        <is>
          <t>10+</t>
        </is>
      </c>
      <c r="G283" s="11" t="inlineStr"/>
      <c r="H283" s="11" t="inlineStr"/>
      <c r="I283" s="11" t="inlineStr"/>
      <c r="J283" s="11" t="inlineStr"/>
      <c r="K283" s="11" t="inlineStr"/>
      <c r="L283" s="23" t="inlineStr">
        <is>
          <t>М4 (4c) · новое</t>
        </is>
      </c>
      <c r="M283" s="16" t="inlineStr">
        <is>
          <t>М6 (6c) · повт.</t>
        </is>
      </c>
      <c r="N283" s="16" t="inlineStr">
        <is>
          <t>М7 (7c) · повт.</t>
        </is>
      </c>
      <c r="O283" s="16" t="inlineStr">
        <is>
          <t>М4 (4c) · повт.</t>
        </is>
      </c>
      <c r="P283" s="20" t="inlineStr">
        <is>
          <t>—</t>
        </is>
      </c>
      <c r="Q283" s="21" t="inlineStr"/>
      <c r="R283" s="17" t="inlineStr">
        <is>
          <t>нет</t>
        </is>
      </c>
      <c r="S283" s="11" t="inlineStr"/>
      <c r="T283" s="11" t="inlineStr"/>
    </row>
    <row r="284">
      <c r="A284" s="11" t="n">
        <v>283</v>
      </c>
      <c r="B284" s="11" t="inlineStr">
        <is>
          <t>Грамматика</t>
        </is>
      </c>
      <c r="C284" s="11" t="inlineStr">
        <is>
          <t>Глаголы: другое</t>
        </is>
      </c>
      <c r="D284" s="12" t="inlineStr">
        <is>
          <t>Passive Voice</t>
        </is>
      </c>
      <c r="E284" s="13" t="inlineStr">
        <is>
          <t>Passive Voice: преобразование active → passive</t>
        </is>
      </c>
      <c r="F284" s="11" t="inlineStr">
        <is>
          <t>10+</t>
        </is>
      </c>
      <c r="G284" s="11" t="inlineStr"/>
      <c r="H284" s="11" t="inlineStr"/>
      <c r="I284" s="11" t="inlineStr"/>
      <c r="J284" s="11" t="inlineStr"/>
      <c r="K284" s="11" t="inlineStr"/>
      <c r="L284" s="23" t="inlineStr">
        <is>
          <t>М4 (4c) · новое</t>
        </is>
      </c>
      <c r="M284" s="16" t="inlineStr">
        <is>
          <t>М6 (6c) · повт.</t>
        </is>
      </c>
      <c r="N284" s="16" t="inlineStr">
        <is>
          <t>М7 (7c) · повт.</t>
        </is>
      </c>
      <c r="O284" s="16" t="inlineStr">
        <is>
          <t>М4 (4c) · повт.</t>
        </is>
      </c>
      <c r="P284" s="20" t="inlineStr">
        <is>
          <t>—</t>
        </is>
      </c>
      <c r="Q284" s="21" t="inlineStr"/>
      <c r="R284" s="17" t="inlineStr">
        <is>
          <t>нет</t>
        </is>
      </c>
      <c r="S284" s="11" t="inlineStr"/>
      <c r="T284" s="11" t="inlineStr"/>
    </row>
    <row r="285">
      <c r="A285" s="11" t="n">
        <v>284</v>
      </c>
      <c r="B285" s="11" t="inlineStr">
        <is>
          <t>Грамматика</t>
        </is>
      </c>
      <c r="C285" s="11" t="inlineStr">
        <is>
          <t>Глаголы: другое</t>
        </is>
      </c>
      <c r="D285" s="12" t="inlineStr">
        <is>
          <t>Passive Voice</t>
        </is>
      </c>
      <c r="E285" s="13" t="inlineStr">
        <is>
          <t>Passive Voice: значение — исполнитель неизвестен/неважен/очевиден</t>
        </is>
      </c>
      <c r="F285" s="11" t="inlineStr">
        <is>
          <t>10+</t>
        </is>
      </c>
      <c r="G285" s="11" t="inlineStr"/>
      <c r="H285" s="11" t="inlineStr"/>
      <c r="I285" s="11" t="inlineStr"/>
      <c r="J285" s="11" t="inlineStr"/>
      <c r="K285" s="11" t="inlineStr"/>
      <c r="L285" s="23" t="inlineStr">
        <is>
          <t>М4 (4c) · новое</t>
        </is>
      </c>
      <c r="M285" s="19" t="inlineStr">
        <is>
          <t>М6 (6c) · расш.</t>
        </is>
      </c>
      <c r="N285" s="16" t="inlineStr">
        <is>
          <t>М7 (7c) · повт.</t>
        </is>
      </c>
      <c r="O285" s="16" t="inlineStr">
        <is>
          <t>М4 (4c) · повт.</t>
        </is>
      </c>
      <c r="P285" s="20" t="inlineStr">
        <is>
          <t>—</t>
        </is>
      </c>
      <c r="Q285" s="21" t="inlineStr"/>
      <c r="R285" s="17" t="inlineStr">
        <is>
          <t>нет</t>
        </is>
      </c>
      <c r="S285" s="11" t="inlineStr"/>
      <c r="T285" s="11" t="inlineStr"/>
    </row>
    <row r="286">
      <c r="A286" s="11" t="n">
        <v>285</v>
      </c>
      <c r="B286" s="11" t="inlineStr">
        <is>
          <t>Грамматика</t>
        </is>
      </c>
      <c r="C286" s="11" t="inlineStr">
        <is>
          <t>Глаголы: другое</t>
        </is>
      </c>
      <c r="D286" s="12" t="inlineStr">
        <is>
          <t>Passive Voice</t>
        </is>
      </c>
      <c r="E286" s="13" t="inlineStr">
        <is>
          <t>Passive Voice: значение — действие важнее исполнителя (новости, инструкции, реклама)</t>
        </is>
      </c>
      <c r="F286" s="11" t="inlineStr">
        <is>
          <t>10+</t>
        </is>
      </c>
      <c r="G286" s="11" t="inlineStr"/>
      <c r="H286" s="11" t="inlineStr"/>
      <c r="I286" s="11" t="inlineStr"/>
      <c r="J286" s="11" t="inlineStr"/>
      <c r="K286" s="11" t="inlineStr"/>
      <c r="L286" s="23" t="inlineStr">
        <is>
          <t>М4 (4c) · новое</t>
        </is>
      </c>
      <c r="M286" s="16" t="inlineStr">
        <is>
          <t>М6 (6c) · повт.</t>
        </is>
      </c>
      <c r="N286" s="16" t="inlineStr">
        <is>
          <t>М7 (7c) · повт.</t>
        </is>
      </c>
      <c r="O286" s="16" t="inlineStr">
        <is>
          <t>М4 (4c) · повт.</t>
        </is>
      </c>
      <c r="P286" s="20" t="inlineStr">
        <is>
          <t>—</t>
        </is>
      </c>
      <c r="Q286" s="21" t="inlineStr"/>
      <c r="R286" s="17" t="inlineStr">
        <is>
          <t>нет</t>
        </is>
      </c>
      <c r="S286" s="11" t="inlineStr"/>
      <c r="T286" s="11" t="inlineStr"/>
    </row>
    <row r="287">
      <c r="A287" s="11" t="n">
        <v>286</v>
      </c>
      <c r="B287" s="11" t="inlineStr">
        <is>
          <t>Грамматика</t>
        </is>
      </c>
      <c r="C287" s="11" t="inlineStr">
        <is>
          <t>Глаголы: другое</t>
        </is>
      </c>
      <c r="D287" s="12" t="inlineStr">
        <is>
          <t>Passive Voice</t>
        </is>
      </c>
      <c r="E287" s="13" t="inlineStr">
        <is>
          <t>Passive Voice: значение — уход от ответственности</t>
        </is>
      </c>
      <c r="F287" s="11" t="inlineStr">
        <is>
          <t>10+</t>
        </is>
      </c>
      <c r="G287" s="11" t="inlineStr"/>
      <c r="H287" s="11" t="inlineStr"/>
      <c r="I287" s="11" t="inlineStr"/>
      <c r="J287" s="11" t="inlineStr"/>
      <c r="K287" s="11" t="inlineStr"/>
      <c r="L287" s="23" t="inlineStr">
        <is>
          <t>М4 (4c) · новое</t>
        </is>
      </c>
      <c r="M287" s="16" t="inlineStr">
        <is>
          <t>М6 (6c) · повт.</t>
        </is>
      </c>
      <c r="N287" s="16" t="inlineStr">
        <is>
          <t>М7 (7c) · повт.</t>
        </is>
      </c>
      <c r="O287" s="16" t="inlineStr">
        <is>
          <t>М4 (4c) · повт.</t>
        </is>
      </c>
      <c r="P287" s="20" t="inlineStr">
        <is>
          <t>—</t>
        </is>
      </c>
      <c r="Q287" s="21" t="inlineStr"/>
      <c r="R287" s="17" t="inlineStr">
        <is>
          <t>нет</t>
        </is>
      </c>
      <c r="S287" s="11" t="inlineStr"/>
      <c r="T287" s="11" t="inlineStr"/>
    </row>
    <row r="288">
      <c r="A288" s="11" t="n">
        <v>287</v>
      </c>
      <c r="B288" s="11" t="inlineStr">
        <is>
          <t>Грамматика</t>
        </is>
      </c>
      <c r="C288" s="11" t="inlineStr">
        <is>
          <t>Глаголы: другое</t>
        </is>
      </c>
      <c r="D288" s="12" t="inlineStr">
        <is>
          <t>Passive Voice</t>
        </is>
      </c>
      <c r="E288" s="13" t="inlineStr">
        <is>
          <t>Passive Voice: значение — акцент на исполнителе</t>
        </is>
      </c>
      <c r="F288" s="11" t="inlineStr">
        <is>
          <t>10+</t>
        </is>
      </c>
      <c r="G288" s="11" t="inlineStr"/>
      <c r="H288" s="11" t="inlineStr"/>
      <c r="I288" s="11" t="inlineStr"/>
      <c r="J288" s="11" t="inlineStr"/>
      <c r="K288" s="11" t="inlineStr"/>
      <c r="L288" s="23" t="inlineStr">
        <is>
          <t>М4 (4c) · новое</t>
        </is>
      </c>
      <c r="M288" s="16" t="inlineStr">
        <is>
          <t>М6 (6c) · повт.</t>
        </is>
      </c>
      <c r="N288" s="16" t="inlineStr">
        <is>
          <t>М7 (7c) · повт.</t>
        </is>
      </c>
      <c r="O288" s="16" t="inlineStr">
        <is>
          <t>М4 (4c) · повт.</t>
        </is>
      </c>
      <c r="P288" s="20" t="inlineStr">
        <is>
          <t>—</t>
        </is>
      </c>
      <c r="Q288" s="21" t="inlineStr"/>
      <c r="R288" s="17" t="inlineStr">
        <is>
          <t>нет</t>
        </is>
      </c>
      <c r="S288" s="11" t="inlineStr"/>
      <c r="T288" s="11" t="inlineStr"/>
    </row>
    <row r="289">
      <c r="A289" s="11" t="n">
        <v>288</v>
      </c>
      <c r="B289" s="11" t="inlineStr">
        <is>
          <t>Грамматика</t>
        </is>
      </c>
      <c r="C289" s="11" t="inlineStr">
        <is>
          <t>Глаголы: другое</t>
        </is>
      </c>
      <c r="D289" s="12" t="inlineStr">
        <is>
          <t>Passive Voice</t>
        </is>
      </c>
      <c r="E289" s="13" t="inlineStr">
        <is>
          <t>Passive Voice: значение — формальность, вежливость</t>
        </is>
      </c>
      <c r="F289" s="11" t="inlineStr">
        <is>
          <t>10+</t>
        </is>
      </c>
      <c r="G289" s="11" t="inlineStr"/>
      <c r="H289" s="11" t="inlineStr"/>
      <c r="I289" s="11" t="inlineStr"/>
      <c r="J289" s="11" t="inlineStr"/>
      <c r="K289" s="11" t="inlineStr"/>
      <c r="L289" s="23" t="inlineStr">
        <is>
          <t>М4 (4c) · новое</t>
        </is>
      </c>
      <c r="M289" s="16" t="inlineStr">
        <is>
          <t>М6 (6c) · повт.</t>
        </is>
      </c>
      <c r="N289" s="16" t="inlineStr">
        <is>
          <t>М7 (7c) · повт.</t>
        </is>
      </c>
      <c r="O289" s="16" t="inlineStr">
        <is>
          <t>М4 (4c) · повт.</t>
        </is>
      </c>
      <c r="P289" s="20" t="inlineStr">
        <is>
          <t>—</t>
        </is>
      </c>
      <c r="Q289" s="21" t="inlineStr"/>
      <c r="R289" s="17" t="inlineStr">
        <is>
          <t>нет</t>
        </is>
      </c>
      <c r="S289" s="11" t="inlineStr"/>
      <c r="T289" s="11" t="inlineStr"/>
    </row>
    <row r="290">
      <c r="A290" s="11" t="n">
        <v>289</v>
      </c>
      <c r="B290" s="11" t="inlineStr">
        <is>
          <t>Грамматика</t>
        </is>
      </c>
      <c r="C290" s="11" t="inlineStr">
        <is>
          <t>Глаголы: другое</t>
        </is>
      </c>
      <c r="D290" s="12" t="inlineStr">
        <is>
          <t>Passive Voice</t>
        </is>
      </c>
      <c r="E290" s="13" t="inlineStr">
        <is>
          <t>Passive Voice: by + исполнитель vs with + инструмент/материал</t>
        </is>
      </c>
      <c r="F290" s="11" t="inlineStr">
        <is>
          <t>10+</t>
        </is>
      </c>
      <c r="G290" s="11" t="inlineStr"/>
      <c r="H290" s="11" t="inlineStr"/>
      <c r="I290" s="11" t="inlineStr"/>
      <c r="J290" s="11" t="inlineStr"/>
      <c r="K290" s="11" t="inlineStr"/>
      <c r="L290" s="23" t="inlineStr">
        <is>
          <t>М4 (4c) · новое</t>
        </is>
      </c>
      <c r="M290" s="16" t="inlineStr">
        <is>
          <t>М6 (6c) · повт.</t>
        </is>
      </c>
      <c r="N290" s="16" t="inlineStr">
        <is>
          <t>М7 (7c) · повт.</t>
        </is>
      </c>
      <c r="O290" s="16" t="inlineStr">
        <is>
          <t>М4 (4c) · повт.</t>
        </is>
      </c>
      <c r="P290" s="20" t="inlineStr">
        <is>
          <t>—</t>
        </is>
      </c>
      <c r="Q290" s="21" t="inlineStr"/>
      <c r="R290" s="17" t="inlineStr">
        <is>
          <t>нет</t>
        </is>
      </c>
      <c r="S290" s="11" t="inlineStr"/>
      <c r="T290" s="11" t="inlineStr"/>
    </row>
    <row r="291">
      <c r="A291" s="11" t="n">
        <v>290</v>
      </c>
      <c r="B291" s="11" t="inlineStr">
        <is>
          <t>Грамматика</t>
        </is>
      </c>
      <c r="C291" s="11" t="inlineStr">
        <is>
          <t>Глаголы: другое</t>
        </is>
      </c>
      <c r="D291" s="12" t="inlineStr">
        <is>
          <t>Passive Voice</t>
        </is>
      </c>
      <c r="E291" s="13" t="inlineStr">
        <is>
          <t>Passive Voice: когда агент опускается (they, people, someone…)</t>
        </is>
      </c>
      <c r="F291" s="11" t="inlineStr">
        <is>
          <t>10+</t>
        </is>
      </c>
      <c r="G291" s="11" t="inlineStr"/>
      <c r="H291" s="11" t="inlineStr"/>
      <c r="I291" s="11" t="inlineStr"/>
      <c r="J291" s="11" t="inlineStr"/>
      <c r="K291" s="11" t="inlineStr"/>
      <c r="L291" s="23" t="inlineStr">
        <is>
          <t>М4 (4c) · новое</t>
        </is>
      </c>
      <c r="M291" s="16" t="inlineStr">
        <is>
          <t>М6 (6c) · повт.</t>
        </is>
      </c>
      <c r="N291" s="16" t="inlineStr">
        <is>
          <t>М7 (7c) · повт.</t>
        </is>
      </c>
      <c r="O291" s="16" t="inlineStr">
        <is>
          <t>М4 (4c) · повт.</t>
        </is>
      </c>
      <c r="P291" s="20" t="inlineStr">
        <is>
          <t>—</t>
        </is>
      </c>
      <c r="Q291" s="21" t="inlineStr"/>
      <c r="R291" s="17" t="inlineStr">
        <is>
          <t>нет</t>
        </is>
      </c>
      <c r="S291" s="11" t="inlineStr"/>
      <c r="T291" s="11" t="inlineStr"/>
    </row>
    <row r="292">
      <c r="A292" s="11" t="n">
        <v>291</v>
      </c>
      <c r="B292" s="11" t="inlineStr">
        <is>
          <t>Грамматика</t>
        </is>
      </c>
      <c r="C292" s="11" t="inlineStr">
        <is>
          <t>Глаголы: другое</t>
        </is>
      </c>
      <c r="D292" s="12" t="inlineStr">
        <is>
          <t>Passive Voice</t>
        </is>
      </c>
      <c r="E292" s="13" t="inlineStr">
        <is>
          <t>Passive Voice: глаголы без пассива (непереходные; have, fit, suit, resemble…)</t>
        </is>
      </c>
      <c r="F292" s="11" t="inlineStr">
        <is>
          <t>10+</t>
        </is>
      </c>
      <c r="G292" s="11" t="inlineStr"/>
      <c r="H292" s="11" t="inlineStr"/>
      <c r="I292" s="11" t="inlineStr"/>
      <c r="J292" s="11" t="inlineStr"/>
      <c r="K292" s="11" t="inlineStr"/>
      <c r="L292" s="23" t="inlineStr">
        <is>
          <t>М4 (4c) · новое</t>
        </is>
      </c>
      <c r="M292" s="19" t="inlineStr">
        <is>
          <t>М6 (6c) · расш.</t>
        </is>
      </c>
      <c r="N292" s="16" t="inlineStr">
        <is>
          <t>М7 (7c) · повт.</t>
        </is>
      </c>
      <c r="O292" s="16" t="inlineStr">
        <is>
          <t>М4 (4c) · повт.</t>
        </is>
      </c>
      <c r="P292" s="20" t="inlineStr">
        <is>
          <t>—</t>
        </is>
      </c>
      <c r="Q292" s="21" t="inlineStr"/>
      <c r="R292" s="17" t="inlineStr">
        <is>
          <t>нет</t>
        </is>
      </c>
      <c r="S292" s="11" t="inlineStr"/>
      <c r="T292" s="11" t="inlineStr"/>
    </row>
    <row r="293">
      <c r="A293" s="11" t="n">
        <v>292</v>
      </c>
      <c r="B293" s="11" t="inlineStr">
        <is>
          <t>Грамматика</t>
        </is>
      </c>
      <c r="C293" s="11" t="inlineStr">
        <is>
          <t>Глаголы: другое</t>
        </is>
      </c>
      <c r="D293" s="12" t="inlineStr">
        <is>
          <t>Passive Voice</t>
        </is>
      </c>
      <c r="E293" s="13" t="inlineStr">
        <is>
          <t>Passive Voice: get вместо be</t>
        </is>
      </c>
      <c r="F293" s="11" t="inlineStr">
        <is>
          <t>10+</t>
        </is>
      </c>
      <c r="G293" s="11" t="inlineStr"/>
      <c r="H293" s="11" t="inlineStr"/>
      <c r="I293" s="11" t="inlineStr"/>
      <c r="J293" s="11" t="inlineStr"/>
      <c r="K293" s="11" t="inlineStr"/>
      <c r="L293" s="23" t="inlineStr">
        <is>
          <t>М4 (4c) · новое</t>
        </is>
      </c>
      <c r="M293" s="16" t="inlineStr">
        <is>
          <t>М6 (6c) · повт.</t>
        </is>
      </c>
      <c r="N293" s="16" t="inlineStr">
        <is>
          <t>М7 (7c) · повт.</t>
        </is>
      </c>
      <c r="O293" s="16" t="inlineStr">
        <is>
          <t>М4 (4c) · повт.</t>
        </is>
      </c>
      <c r="P293" s="20" t="inlineStr">
        <is>
          <t>—</t>
        </is>
      </c>
      <c r="Q293" s="21" t="inlineStr"/>
      <c r="R293" s="17" t="inlineStr">
        <is>
          <t>нет</t>
        </is>
      </c>
      <c r="S293" s="11" t="inlineStr"/>
      <c r="T293" s="11" t="inlineStr"/>
    </row>
    <row r="294">
      <c r="A294" s="11" t="n">
        <v>293</v>
      </c>
      <c r="B294" s="11" t="inlineStr">
        <is>
          <t>Грамматика</t>
        </is>
      </c>
      <c r="C294" s="11" t="inlineStr">
        <is>
          <t>Глаголы: другое</t>
        </is>
      </c>
      <c r="D294" s="12" t="inlineStr">
        <is>
          <t>Passive Voice</t>
        </is>
      </c>
      <c r="E294" s="13" t="inlineStr">
        <is>
          <t>Passive Voice: глаголы с двумя дополнениями (give, offer, send…)</t>
        </is>
      </c>
      <c r="F294" s="11" t="inlineStr">
        <is>
          <t>10+</t>
        </is>
      </c>
      <c r="G294" s="11" t="inlineStr"/>
      <c r="H294" s="11" t="inlineStr"/>
      <c r="I294" s="11" t="inlineStr"/>
      <c r="J294" s="11" t="inlineStr"/>
      <c r="K294" s="11" t="inlineStr"/>
      <c r="L294" s="23" t="inlineStr">
        <is>
          <t>М4 (4c) · новое</t>
        </is>
      </c>
      <c r="M294" s="16" t="inlineStr">
        <is>
          <t>М6 (6c) · повт.</t>
        </is>
      </c>
      <c r="N294" s="16" t="inlineStr">
        <is>
          <t>М7 (7c) · повт.</t>
        </is>
      </c>
      <c r="O294" s="16" t="inlineStr">
        <is>
          <t>М4 (4c) · повт.</t>
        </is>
      </c>
      <c r="P294" s="20" t="inlineStr">
        <is>
          <t>—</t>
        </is>
      </c>
      <c r="Q294" s="21" t="inlineStr"/>
      <c r="R294" s="17" t="inlineStr">
        <is>
          <t>нет</t>
        </is>
      </c>
      <c r="S294" s="11" t="inlineStr"/>
      <c r="T294" s="11" t="inlineStr"/>
    </row>
    <row r="295">
      <c r="A295" s="11" t="n">
        <v>294</v>
      </c>
      <c r="B295" s="11" t="inlineStr">
        <is>
          <t>Грамматика</t>
        </is>
      </c>
      <c r="C295" s="11" t="inlineStr">
        <is>
          <t>Глаголы: другое</t>
        </is>
      </c>
      <c r="D295" s="12" t="inlineStr">
        <is>
          <t>Passive Voice</t>
        </is>
      </c>
      <c r="E295" s="13" t="inlineStr">
        <is>
          <t>Passive Voice: by в вопросах с who/whom/which</t>
        </is>
      </c>
      <c r="F295" s="11" t="inlineStr">
        <is>
          <t>10+</t>
        </is>
      </c>
      <c r="G295" s="11" t="inlineStr"/>
      <c r="H295" s="11" t="inlineStr"/>
      <c r="I295" s="11" t="inlineStr"/>
      <c r="J295" s="11" t="inlineStr"/>
      <c r="K295" s="11" t="inlineStr"/>
      <c r="L295" s="23" t="inlineStr">
        <is>
          <t>М4 (4c) · новое</t>
        </is>
      </c>
      <c r="M295" s="16" t="inlineStr">
        <is>
          <t>М6 (6c) · повт.</t>
        </is>
      </c>
      <c r="N295" s="16" t="inlineStr">
        <is>
          <t>М7 (7c) · повт.</t>
        </is>
      </c>
      <c r="O295" s="16" t="inlineStr">
        <is>
          <t>М4 (4c) · повт.</t>
        </is>
      </c>
      <c r="P295" s="20" t="inlineStr">
        <is>
          <t>—</t>
        </is>
      </c>
      <c r="Q295" s="21" t="inlineStr"/>
      <c r="R295" s="17" t="inlineStr">
        <is>
          <t>нет</t>
        </is>
      </c>
      <c r="S295" s="11" t="inlineStr"/>
      <c r="T295" s="11" t="inlineStr"/>
    </row>
    <row r="296">
      <c r="A296" s="11" t="n">
        <v>295</v>
      </c>
      <c r="B296" s="11" t="inlineStr">
        <is>
          <t>Грамматика</t>
        </is>
      </c>
      <c r="C296" s="11" t="inlineStr">
        <is>
          <t>Глаголы: другое</t>
        </is>
      </c>
      <c r="D296" s="12" t="inlineStr">
        <is>
          <t>Passive Voice</t>
        </is>
      </c>
      <c r="E296" s="13" t="inlineStr">
        <is>
          <t>Passive Voice: make/hear/see/help + to-inf в пассиве; see/hear/watch + -ing</t>
        </is>
      </c>
      <c r="F296" s="11" t="inlineStr">
        <is>
          <t>10+</t>
        </is>
      </c>
      <c r="G296" s="11" t="inlineStr"/>
      <c r="H296" s="11" t="inlineStr"/>
      <c r="I296" s="11" t="inlineStr"/>
      <c r="J296" s="11" t="inlineStr"/>
      <c r="K296" s="11" t="inlineStr"/>
      <c r="L296" s="11" t="inlineStr"/>
      <c r="M296" s="23" t="inlineStr">
        <is>
          <t>М6 (6c) · новое</t>
        </is>
      </c>
      <c r="N296" s="16" t="inlineStr">
        <is>
          <t>М7 (7c) · повт.</t>
        </is>
      </c>
      <c r="O296" s="16" t="inlineStr">
        <is>
          <t>М4 (4c) · повт.</t>
        </is>
      </c>
      <c r="P296" s="20" t="inlineStr">
        <is>
          <t>—</t>
        </is>
      </c>
      <c r="Q296" s="21" t="inlineStr"/>
      <c r="R296" s="17" t="inlineStr">
        <is>
          <t>нет</t>
        </is>
      </c>
      <c r="S296" s="11" t="inlineStr"/>
      <c r="T296" s="11" t="inlineStr"/>
    </row>
    <row r="297">
      <c r="A297" s="4" t="n">
        <v>296</v>
      </c>
      <c r="B297" s="4" t="inlineStr">
        <is>
          <t>Грамматика</t>
        </is>
      </c>
      <c r="C297" s="4" t="inlineStr">
        <is>
          <t>Глаголы: другое</t>
        </is>
      </c>
      <c r="D297" s="5" t="inlineStr">
        <is>
          <t>Reported Speech</t>
        </is>
      </c>
      <c r="E297" s="24" t="inlineStr">
        <is>
          <t>Reported Speech: прямая vs косвенная речь, that можно опустить</t>
        </is>
      </c>
      <c r="F297" s="4" t="inlineStr">
        <is>
          <t>10+</t>
        </is>
      </c>
      <c r="G297" s="4" t="inlineStr"/>
      <c r="H297" s="4" t="inlineStr"/>
      <c r="I297" s="4" t="inlineStr"/>
      <c r="J297" s="4" t="inlineStr"/>
      <c r="K297" s="4" t="inlineStr"/>
      <c r="L297" s="27" t="inlineStr">
        <is>
          <t>М6 (6c) · новое</t>
        </is>
      </c>
      <c r="M297" s="4" t="inlineStr"/>
      <c r="N297" s="9" t="inlineStr">
        <is>
          <t>М8 (8c) · повт.</t>
        </is>
      </c>
      <c r="O297" s="9" t="inlineStr">
        <is>
          <t>М6 (6c) · повт.</t>
        </is>
      </c>
      <c r="P297" s="28" t="inlineStr">
        <is>
          <t>—</t>
        </is>
      </c>
      <c r="Q297" s="29" t="inlineStr"/>
      <c r="R297" s="10" t="inlineStr">
        <is>
          <t>нет</t>
        </is>
      </c>
      <c r="S297" s="4" t="inlineStr"/>
      <c r="T297" s="4" t="inlineStr"/>
    </row>
    <row r="298">
      <c r="A298" s="11" t="n">
        <v>297</v>
      </c>
      <c r="B298" s="11" t="inlineStr">
        <is>
          <t>Грамматика</t>
        </is>
      </c>
      <c r="C298" s="11" t="inlineStr">
        <is>
          <t>Глаголы: другое</t>
        </is>
      </c>
      <c r="D298" s="12" t="inlineStr">
        <is>
          <t>Reported Speech</t>
        </is>
      </c>
      <c r="E298" s="13" t="inlineStr">
        <is>
          <t>Reported Speech: say vs tell (say to sb, tell sb)</t>
        </is>
      </c>
      <c r="F298" s="11" t="inlineStr">
        <is>
          <t>10+</t>
        </is>
      </c>
      <c r="G298" s="11" t="inlineStr"/>
      <c r="H298" s="11" t="inlineStr"/>
      <c r="I298" s="11" t="inlineStr"/>
      <c r="J298" s="11" t="inlineStr"/>
      <c r="K298" s="11" t="inlineStr"/>
      <c r="L298" s="23" t="inlineStr">
        <is>
          <t>М6 (6c) · новое</t>
        </is>
      </c>
      <c r="M298" s="16" t="inlineStr">
        <is>
          <t>М8 (8c) · повт.</t>
        </is>
      </c>
      <c r="N298" s="16" t="inlineStr">
        <is>
          <t>М8 (8c) · повт.</t>
        </is>
      </c>
      <c r="O298" s="16" t="inlineStr">
        <is>
          <t>М6 (6c) · повт.</t>
        </is>
      </c>
      <c r="P298" s="20" t="inlineStr">
        <is>
          <t>—</t>
        </is>
      </c>
      <c r="Q298" s="21" t="inlineStr"/>
      <c r="R298" s="17" t="inlineStr">
        <is>
          <t>нет</t>
        </is>
      </c>
      <c r="S298" s="11" t="inlineStr"/>
      <c r="T298" s="11" t="inlineStr"/>
    </row>
    <row r="299">
      <c r="A299" s="11" t="n">
        <v>298</v>
      </c>
      <c r="B299" s="11" t="inlineStr">
        <is>
          <t>Грамматика</t>
        </is>
      </c>
      <c r="C299" s="11" t="inlineStr">
        <is>
          <t>Глаголы: другое</t>
        </is>
      </c>
      <c r="D299" s="12" t="inlineStr">
        <is>
          <t>Reported Speech</t>
        </is>
      </c>
      <c r="E299" s="13" t="inlineStr">
        <is>
          <t>Reported Speech: say + to-inf; speak/talk about (не say about)</t>
        </is>
      </c>
      <c r="F299" s="11" t="inlineStr">
        <is>
          <t>10+</t>
        </is>
      </c>
      <c r="G299" s="11" t="inlineStr"/>
      <c r="H299" s="11" t="inlineStr"/>
      <c r="I299" s="11" t="inlineStr"/>
      <c r="J299" s="11" t="inlineStr"/>
      <c r="K299" s="11" t="inlineStr"/>
      <c r="L299" s="11" t="inlineStr"/>
      <c r="M299" s="23" t="inlineStr">
        <is>
          <t>М8 (8c) · новое</t>
        </is>
      </c>
      <c r="N299" s="16" t="inlineStr">
        <is>
          <t>М8 (8c) · повт.</t>
        </is>
      </c>
      <c r="O299" s="16" t="inlineStr">
        <is>
          <t>М6 (6c) · повт.</t>
        </is>
      </c>
      <c r="P299" s="20" t="inlineStr">
        <is>
          <t>—</t>
        </is>
      </c>
      <c r="Q299" s="21" t="inlineStr"/>
      <c r="R299" s="17" t="inlineStr">
        <is>
          <t>нет</t>
        </is>
      </c>
      <c r="S299" s="11" t="inlineStr"/>
      <c r="T299" s="11" t="inlineStr"/>
    </row>
    <row r="300">
      <c r="A300" s="11" t="n">
        <v>299</v>
      </c>
      <c r="B300" s="11" t="inlineStr">
        <is>
          <t>Грамматика</t>
        </is>
      </c>
      <c r="C300" s="11" t="inlineStr">
        <is>
          <t>Глаголы: другое</t>
        </is>
      </c>
      <c r="D300" s="12" t="inlineStr">
        <is>
          <t>Reported Speech</t>
        </is>
      </c>
      <c r="E300" s="13" t="inlineStr">
        <is>
          <t>Reported Speech: устойчивые сочетания с say/tell/ask</t>
        </is>
      </c>
      <c r="F300" s="11" t="inlineStr">
        <is>
          <t>10+</t>
        </is>
      </c>
      <c r="G300" s="11" t="inlineStr"/>
      <c r="H300" s="11" t="inlineStr"/>
      <c r="I300" s="11" t="inlineStr"/>
      <c r="J300" s="11" t="inlineStr"/>
      <c r="K300" s="11" t="inlineStr"/>
      <c r="L300" s="23" t="inlineStr">
        <is>
          <t>М6 (6c) · новое</t>
        </is>
      </c>
      <c r="M300" s="16" t="inlineStr">
        <is>
          <t>М8 (8c) · повт.</t>
        </is>
      </c>
      <c r="N300" s="16" t="inlineStr">
        <is>
          <t>М8 (8c) · повт.</t>
        </is>
      </c>
      <c r="O300" s="16" t="inlineStr">
        <is>
          <t>М6 (6c) · повт.</t>
        </is>
      </c>
      <c r="P300" s="20" t="inlineStr">
        <is>
          <t>—</t>
        </is>
      </c>
      <c r="Q300" s="21" t="inlineStr"/>
      <c r="R300" s="17" t="inlineStr">
        <is>
          <t>нет</t>
        </is>
      </c>
      <c r="S300" s="11" t="inlineStr"/>
      <c r="T300" s="11" t="inlineStr"/>
    </row>
    <row r="301">
      <c r="A301" s="11" t="n">
        <v>300</v>
      </c>
      <c r="B301" s="11" t="inlineStr">
        <is>
          <t>Грамматика</t>
        </is>
      </c>
      <c r="C301" s="11" t="inlineStr">
        <is>
          <t>Глаголы: другое</t>
        </is>
      </c>
      <c r="D301" s="12" t="inlineStr">
        <is>
          <t>Reported Speech</t>
        </is>
      </c>
      <c r="E301" s="13" t="inlineStr">
        <is>
          <t>Reported Speech: смена местоимений</t>
        </is>
      </c>
      <c r="F301" s="11" t="inlineStr">
        <is>
          <t>10+</t>
        </is>
      </c>
      <c r="G301" s="11" t="inlineStr"/>
      <c r="H301" s="11" t="inlineStr"/>
      <c r="I301" s="11" t="inlineStr"/>
      <c r="J301" s="11" t="inlineStr"/>
      <c r="K301" s="11" t="inlineStr"/>
      <c r="L301" s="23" t="inlineStr">
        <is>
          <t>М6 (6c) · новое</t>
        </is>
      </c>
      <c r="M301" s="16" t="inlineStr">
        <is>
          <t>М8 (8c) · повт.</t>
        </is>
      </c>
      <c r="N301" s="11" t="inlineStr"/>
      <c r="O301" s="16" t="inlineStr">
        <is>
          <t>М6 (6c) · повт.</t>
        </is>
      </c>
      <c r="P301" s="20" t="inlineStr">
        <is>
          <t>—</t>
        </is>
      </c>
      <c r="Q301" s="21" t="inlineStr"/>
      <c r="R301" s="17" t="inlineStr">
        <is>
          <t>нет</t>
        </is>
      </c>
      <c r="S301" s="11" t="inlineStr"/>
      <c r="T301" s="11" t="inlineStr"/>
    </row>
    <row r="302">
      <c r="A302" s="11" t="n">
        <v>301</v>
      </c>
      <c r="B302" s="11" t="inlineStr">
        <is>
          <t>Грамматика</t>
        </is>
      </c>
      <c r="C302" s="11" t="inlineStr">
        <is>
          <t>Глаголы: другое</t>
        </is>
      </c>
      <c r="D302" s="12" t="inlineStr">
        <is>
          <t>Reported Speech</t>
        </is>
      </c>
      <c r="E302" s="13" t="inlineStr">
        <is>
          <t>Reported Speech: без сдвига времён — вводящий глагол в настоящем (up-to-date reporting)</t>
        </is>
      </c>
      <c r="F302" s="11" t="inlineStr">
        <is>
          <t>10+</t>
        </is>
      </c>
      <c r="G302" s="11" t="inlineStr"/>
      <c r="H302" s="11" t="inlineStr"/>
      <c r="I302" s="11" t="inlineStr"/>
      <c r="J302" s="11" t="inlineStr"/>
      <c r="K302" s="11" t="inlineStr"/>
      <c r="L302" s="23" t="inlineStr">
        <is>
          <t>М6 (6c) · новое</t>
        </is>
      </c>
      <c r="M302" s="19" t="inlineStr">
        <is>
          <t>М8 (8c) · расш.</t>
        </is>
      </c>
      <c r="N302" s="16" t="inlineStr">
        <is>
          <t>М8 (8c) · повт.</t>
        </is>
      </c>
      <c r="O302" s="16" t="inlineStr">
        <is>
          <t>М6 (6c) · повт.</t>
        </is>
      </c>
      <c r="P302" s="20" t="inlineStr">
        <is>
          <t>—</t>
        </is>
      </c>
      <c r="Q302" s="21" t="inlineStr"/>
      <c r="R302" s="17" t="inlineStr">
        <is>
          <t>нет</t>
        </is>
      </c>
      <c r="S302" s="11" t="inlineStr"/>
      <c r="T302" s="11" t="inlineStr"/>
    </row>
    <row r="303">
      <c r="A303" s="11" t="n">
        <v>302</v>
      </c>
      <c r="B303" s="11" t="inlineStr">
        <is>
          <t>Грамматика</t>
        </is>
      </c>
      <c r="C303" s="11" t="inlineStr">
        <is>
          <t>Глаголы: другое</t>
        </is>
      </c>
      <c r="D303" s="12" t="inlineStr">
        <is>
          <t>Reported Speech</t>
        </is>
      </c>
      <c r="E303" s="13" t="inlineStr">
        <is>
          <t>Reported Speech: без сдвига времён — общие истины, условные 2/3 типа, wish, сразу после сказанного</t>
        </is>
      </c>
      <c r="F303" s="11" t="inlineStr">
        <is>
          <t>10+</t>
        </is>
      </c>
      <c r="G303" s="11" t="inlineStr"/>
      <c r="H303" s="11" t="inlineStr"/>
      <c r="I303" s="11" t="inlineStr"/>
      <c r="J303" s="11" t="inlineStr"/>
      <c r="K303" s="11" t="inlineStr"/>
      <c r="L303" s="11" t="inlineStr"/>
      <c r="M303" s="23" t="inlineStr">
        <is>
          <t>М8 (8c) · новое</t>
        </is>
      </c>
      <c r="N303" s="16" t="inlineStr">
        <is>
          <t>М8 (8c) · повт.</t>
        </is>
      </c>
      <c r="O303" s="16" t="inlineStr">
        <is>
          <t>М6 (6c) · повт.</t>
        </is>
      </c>
      <c r="P303" s="20" t="inlineStr">
        <is>
          <t>—</t>
        </is>
      </c>
      <c r="Q303" s="21" t="inlineStr"/>
      <c r="R303" s="17" t="inlineStr">
        <is>
          <t>нет</t>
        </is>
      </c>
      <c r="S303" s="11" t="inlineStr"/>
      <c r="T303" s="11" t="inlineStr"/>
    </row>
    <row r="304">
      <c r="A304" s="11" t="n">
        <v>303</v>
      </c>
      <c r="B304" s="11" t="inlineStr">
        <is>
          <t>Грамматика</t>
        </is>
      </c>
      <c r="C304" s="11" t="inlineStr">
        <is>
          <t>Глаголы: другое</t>
        </is>
      </c>
      <c r="D304" s="12" t="inlineStr">
        <is>
          <t>Reported Speech</t>
        </is>
      </c>
      <c r="E304" s="13" t="inlineStr">
        <is>
          <t>Reported Speech: сдвиг времён (Present → Past, Past → Past Perfect, will → would)</t>
        </is>
      </c>
      <c r="F304" s="11" t="inlineStr">
        <is>
          <t>10+</t>
        </is>
      </c>
      <c r="G304" s="11" t="inlineStr"/>
      <c r="H304" s="11" t="inlineStr"/>
      <c r="I304" s="11" t="inlineStr"/>
      <c r="J304" s="11" t="inlineStr"/>
      <c r="K304" s="11" t="inlineStr"/>
      <c r="L304" s="23" t="inlineStr">
        <is>
          <t>М6 (6c) · новое</t>
        </is>
      </c>
      <c r="M304" s="19" t="inlineStr">
        <is>
          <t>М8 (8c) · расш.</t>
        </is>
      </c>
      <c r="N304" s="16" t="inlineStr">
        <is>
          <t>М8 (8c) · повт.</t>
        </is>
      </c>
      <c r="O304" s="16" t="inlineStr">
        <is>
          <t>М6 (6c) · повт.</t>
        </is>
      </c>
      <c r="P304" s="20" t="inlineStr">
        <is>
          <t>—</t>
        </is>
      </c>
      <c r="Q304" s="21" t="inlineStr"/>
      <c r="R304" s="17" t="inlineStr">
        <is>
          <t>нет</t>
        </is>
      </c>
      <c r="S304" s="11" t="inlineStr"/>
      <c r="T304" s="11" t="inlineStr"/>
    </row>
    <row r="305">
      <c r="A305" s="11" t="n">
        <v>304</v>
      </c>
      <c r="B305" s="11" t="inlineStr">
        <is>
          <t>Грамматика</t>
        </is>
      </c>
      <c r="C305" s="11" t="inlineStr">
        <is>
          <t>Глаголы: другое</t>
        </is>
      </c>
      <c r="D305" s="12" t="inlineStr">
        <is>
          <t>Reported Speech</t>
        </is>
      </c>
      <c r="E305" s="13" t="inlineStr">
        <is>
          <t>Reported Speech: слова времени и места (now → then, yesterday → the day before…)</t>
        </is>
      </c>
      <c r="F305" s="11" t="inlineStr">
        <is>
          <t>10+</t>
        </is>
      </c>
      <c r="G305" s="11" t="inlineStr"/>
      <c r="H305" s="11" t="inlineStr"/>
      <c r="I305" s="11" t="inlineStr"/>
      <c r="J305" s="11" t="inlineStr"/>
      <c r="K305" s="11" t="inlineStr"/>
      <c r="L305" s="23" t="inlineStr">
        <is>
          <t>М6 (6c) · новое</t>
        </is>
      </c>
      <c r="M305" s="16" t="inlineStr">
        <is>
          <t>М8 (8c) · повт.</t>
        </is>
      </c>
      <c r="N305" s="16" t="inlineStr">
        <is>
          <t>М8 (8c) · повт.</t>
        </is>
      </c>
      <c r="O305" s="16" t="inlineStr">
        <is>
          <t>М6 (6c) · повт.</t>
        </is>
      </c>
      <c r="P305" s="20" t="inlineStr">
        <is>
          <t>—</t>
        </is>
      </c>
      <c r="Q305" s="21" t="inlineStr"/>
      <c r="R305" s="17" t="inlineStr">
        <is>
          <t>нет</t>
        </is>
      </c>
      <c r="S305" s="11" t="inlineStr"/>
      <c r="T305" s="11" t="inlineStr"/>
    </row>
    <row r="306">
      <c r="A306" s="4" t="n">
        <v>305</v>
      </c>
      <c r="B306" s="4" t="inlineStr">
        <is>
          <t>Грамматика</t>
        </is>
      </c>
      <c r="C306" s="4" t="inlineStr">
        <is>
          <t>Глаголы: другое</t>
        </is>
      </c>
      <c r="D306" s="5" t="inlineStr">
        <is>
          <t>Reported commands/requests</t>
        </is>
      </c>
      <c r="E306" s="24" t="inlineStr">
        <is>
          <t>Reported commands: приказы — order/tell + sb + (not) to-inf</t>
        </is>
      </c>
      <c r="F306" s="4" t="inlineStr">
        <is>
          <t>10+</t>
        </is>
      </c>
      <c r="G306" s="4" t="inlineStr"/>
      <c r="H306" s="4" t="inlineStr"/>
      <c r="I306" s="4" t="inlineStr"/>
      <c r="J306" s="4" t="inlineStr"/>
      <c r="K306" s="4" t="inlineStr"/>
      <c r="L306" s="27" t="inlineStr">
        <is>
          <t>М6 (6c) · новое</t>
        </is>
      </c>
      <c r="M306" s="9" t="inlineStr">
        <is>
          <t>М8 (8c) · повт.</t>
        </is>
      </c>
      <c r="N306" s="9" t="inlineStr">
        <is>
          <t>М8 (8c) · повт.</t>
        </is>
      </c>
      <c r="O306" s="9" t="inlineStr">
        <is>
          <t>М6 (6c) · повт.</t>
        </is>
      </c>
      <c r="P306" s="28" t="inlineStr">
        <is>
          <t>—</t>
        </is>
      </c>
      <c r="Q306" s="29" t="inlineStr"/>
      <c r="R306" s="10" t="inlineStr">
        <is>
          <t>нет</t>
        </is>
      </c>
      <c r="S306" s="4" t="inlineStr"/>
      <c r="T306" s="4" t="inlineStr"/>
    </row>
    <row r="307">
      <c r="A307" s="11" t="n">
        <v>306</v>
      </c>
      <c r="B307" s="11" t="inlineStr">
        <is>
          <t>Грамматика</t>
        </is>
      </c>
      <c r="C307" s="11" t="inlineStr">
        <is>
          <t>Глаголы: другое</t>
        </is>
      </c>
      <c r="D307" s="12" t="inlineStr">
        <is>
          <t>Reported commands/requests</t>
        </is>
      </c>
      <c r="E307" s="13" t="inlineStr">
        <is>
          <t>Reported requests: ask/beg + sb + (not) to-inf</t>
        </is>
      </c>
      <c r="F307" s="11" t="inlineStr">
        <is>
          <t>10+</t>
        </is>
      </c>
      <c r="G307" s="11" t="inlineStr"/>
      <c r="H307" s="11" t="inlineStr"/>
      <c r="I307" s="11" t="inlineStr"/>
      <c r="J307" s="11" t="inlineStr"/>
      <c r="K307" s="11" t="inlineStr"/>
      <c r="L307" s="23" t="inlineStr">
        <is>
          <t>М6 (6c) · новое</t>
        </is>
      </c>
      <c r="M307" s="16" t="inlineStr">
        <is>
          <t>М8 (8c) · повт.</t>
        </is>
      </c>
      <c r="N307" s="16" t="inlineStr">
        <is>
          <t>М8 (8c) · повт.</t>
        </is>
      </c>
      <c r="O307" s="16" t="inlineStr">
        <is>
          <t>М6 (6c) · повт.</t>
        </is>
      </c>
      <c r="P307" s="20" t="inlineStr">
        <is>
          <t>—</t>
        </is>
      </c>
      <c r="Q307" s="21" t="inlineStr"/>
      <c r="R307" s="17" t="inlineStr">
        <is>
          <t>нет</t>
        </is>
      </c>
      <c r="S307" s="11" t="inlineStr"/>
      <c r="T307" s="11" t="inlineStr"/>
    </row>
    <row r="308">
      <c r="A308" s="11" t="n">
        <v>307</v>
      </c>
      <c r="B308" s="11" t="inlineStr">
        <is>
          <t>Грамматика</t>
        </is>
      </c>
      <c r="C308" s="11" t="inlineStr">
        <is>
          <t>Глаголы: другое</t>
        </is>
      </c>
      <c r="D308" s="12" t="inlineStr">
        <is>
          <t>Reported commands/requests</t>
        </is>
      </c>
      <c r="E308" s="13" t="inlineStr">
        <is>
          <t>Reported suggestions: suggest + -ing / that sb (should) …</t>
        </is>
      </c>
      <c r="F308" s="11" t="inlineStr">
        <is>
          <t>10+</t>
        </is>
      </c>
      <c r="G308" s="11" t="inlineStr"/>
      <c r="H308" s="11" t="inlineStr"/>
      <c r="I308" s="11" t="inlineStr"/>
      <c r="J308" s="11" t="inlineStr"/>
      <c r="K308" s="11" t="inlineStr"/>
      <c r="L308" s="23" t="inlineStr">
        <is>
          <t>М6 (6c) · новое</t>
        </is>
      </c>
      <c r="M308" s="16" t="inlineStr">
        <is>
          <t>М8 (8c) · повт.</t>
        </is>
      </c>
      <c r="N308" s="16" t="inlineStr">
        <is>
          <t>М8 (8c) · повт.</t>
        </is>
      </c>
      <c r="O308" s="16" t="inlineStr">
        <is>
          <t>М6 (6c) · повт.</t>
        </is>
      </c>
      <c r="P308" s="20" t="inlineStr">
        <is>
          <t>—</t>
        </is>
      </c>
      <c r="Q308" s="21" t="inlineStr"/>
      <c r="R308" s="17" t="inlineStr">
        <is>
          <t>нет</t>
        </is>
      </c>
      <c r="S308" s="11" t="inlineStr"/>
      <c r="T308" s="11" t="inlineStr"/>
    </row>
    <row r="309">
      <c r="A309" s="11" t="n">
        <v>308</v>
      </c>
      <c r="B309" s="11" t="inlineStr">
        <is>
          <t>Грамматика</t>
        </is>
      </c>
      <c r="C309" s="11" t="inlineStr">
        <is>
          <t>Глаголы: другое</t>
        </is>
      </c>
      <c r="D309" s="12" t="inlineStr">
        <is>
          <t>Reported commands/requests</t>
        </is>
      </c>
      <c r="E309" s="13" t="inlineStr">
        <is>
          <t>Reported advice: advise + sb + (not) to-inf</t>
        </is>
      </c>
      <c r="F309" s="11" t="inlineStr">
        <is>
          <t>10+</t>
        </is>
      </c>
      <c r="G309" s="11" t="inlineStr"/>
      <c r="H309" s="11" t="inlineStr"/>
      <c r="I309" s="11" t="inlineStr"/>
      <c r="J309" s="11" t="inlineStr"/>
      <c r="K309" s="11" t="inlineStr"/>
      <c r="L309" s="23" t="inlineStr">
        <is>
          <t>М6 (6c) · новое</t>
        </is>
      </c>
      <c r="M309" s="16" t="inlineStr">
        <is>
          <t>М8 (8c) · повт.</t>
        </is>
      </c>
      <c r="N309" s="16" t="inlineStr">
        <is>
          <t>М8 (8c) · повт.</t>
        </is>
      </c>
      <c r="O309" s="16" t="inlineStr">
        <is>
          <t>М6 (6c) · повт.</t>
        </is>
      </c>
      <c r="P309" s="20" t="inlineStr">
        <is>
          <t>—</t>
        </is>
      </c>
      <c r="Q309" s="21" t="inlineStr"/>
      <c r="R309" s="17" t="inlineStr">
        <is>
          <t>нет</t>
        </is>
      </c>
      <c r="S309" s="11" t="inlineStr"/>
      <c r="T309" s="11" t="inlineStr"/>
    </row>
    <row r="310">
      <c r="A310" s="4" t="n">
        <v>309</v>
      </c>
      <c r="B310" s="4" t="inlineStr">
        <is>
          <t>Грамматика</t>
        </is>
      </c>
      <c r="C310" s="4" t="inlineStr">
        <is>
          <t>Глаголы: другое</t>
        </is>
      </c>
      <c r="D310" s="5" t="inlineStr">
        <is>
          <t>be/get used to</t>
        </is>
      </c>
      <c r="E310" s="24" t="inlineStr">
        <is>
          <t>be/get used to: be used to + -ing — привык</t>
        </is>
      </c>
      <c r="F310" s="4" t="inlineStr">
        <is>
          <t>10+</t>
        </is>
      </c>
      <c r="G310" s="4" t="inlineStr"/>
      <c r="H310" s="4" t="inlineStr"/>
      <c r="I310" s="4" t="inlineStr"/>
      <c r="J310" s="4" t="inlineStr"/>
      <c r="K310" s="4" t="inlineStr"/>
      <c r="L310" s="27" t="inlineStr">
        <is>
          <t>М5 (5c) · новое</t>
        </is>
      </c>
      <c r="M310" s="4" t="inlineStr"/>
      <c r="N310" s="4" t="inlineStr"/>
      <c r="O310" s="9" t="inlineStr">
        <is>
          <t>М1 (1c) · повт.</t>
        </is>
      </c>
      <c r="P310" s="28" t="inlineStr">
        <is>
          <t>—</t>
        </is>
      </c>
      <c r="Q310" s="29" t="inlineStr"/>
      <c r="R310" s="10" t="inlineStr">
        <is>
          <t>нет</t>
        </is>
      </c>
      <c r="S310" s="4" t="inlineStr"/>
      <c r="T310" s="4" t="inlineStr"/>
    </row>
    <row r="311">
      <c r="A311" s="11" t="n">
        <v>310</v>
      </c>
      <c r="B311" s="11" t="inlineStr">
        <is>
          <t>Грамматика</t>
        </is>
      </c>
      <c r="C311" s="11" t="inlineStr">
        <is>
          <t>Глаголы: другое</t>
        </is>
      </c>
      <c r="D311" s="12" t="inlineStr">
        <is>
          <t>be/get used to</t>
        </is>
      </c>
      <c r="E311" s="13" t="inlineStr">
        <is>
          <t>be/get used to: get used to + -ing — привыкаю</t>
        </is>
      </c>
      <c r="F311" s="11" t="inlineStr">
        <is>
          <t>10+</t>
        </is>
      </c>
      <c r="G311" s="11" t="inlineStr"/>
      <c r="H311" s="11" t="inlineStr"/>
      <c r="I311" s="11" t="inlineStr"/>
      <c r="J311" s="11" t="inlineStr"/>
      <c r="K311" s="11" t="inlineStr"/>
      <c r="L311" s="23" t="inlineStr">
        <is>
          <t>М5 (5c) · новое</t>
        </is>
      </c>
      <c r="M311" s="11" t="inlineStr"/>
      <c r="N311" s="11" t="inlineStr"/>
      <c r="O311" s="16" t="inlineStr">
        <is>
          <t>М1 (1c) · повт.</t>
        </is>
      </c>
      <c r="P311" s="20" t="inlineStr">
        <is>
          <t>—</t>
        </is>
      </c>
      <c r="Q311" s="21" t="inlineStr"/>
      <c r="R311" s="17" t="inlineStr">
        <is>
          <t>нет</t>
        </is>
      </c>
      <c r="S311" s="11" t="inlineStr"/>
      <c r="T311" s="11" t="inlineStr"/>
    </row>
    <row r="312">
      <c r="A312" s="11" t="n">
        <v>311</v>
      </c>
      <c r="B312" s="11" t="inlineStr">
        <is>
          <t>Грамматика</t>
        </is>
      </c>
      <c r="C312" s="11" t="inlineStr">
        <is>
          <t>Глаголы: другое</t>
        </is>
      </c>
      <c r="D312" s="12" t="inlineStr">
        <is>
          <t>be/get used to</t>
        </is>
      </c>
      <c r="E312" s="13" t="inlineStr">
        <is>
          <t>be/get used to vs used to + V (to — предлог vs частица)</t>
        </is>
      </c>
      <c r="F312" s="11" t="inlineStr">
        <is>
          <t>10+</t>
        </is>
      </c>
      <c r="G312" s="11" t="inlineStr"/>
      <c r="H312" s="11" t="inlineStr"/>
      <c r="I312" s="11" t="inlineStr"/>
      <c r="J312" s="11" t="inlineStr"/>
      <c r="K312" s="11" t="inlineStr"/>
      <c r="L312" s="23" t="inlineStr">
        <is>
          <t>М5 (5c) · новое</t>
        </is>
      </c>
      <c r="M312" s="11" t="inlineStr"/>
      <c r="N312" s="11" t="inlineStr"/>
      <c r="O312" s="16" t="inlineStr">
        <is>
          <t>М1 (1c) · повт.</t>
        </is>
      </c>
      <c r="P312" s="20" t="inlineStr">
        <is>
          <t>—</t>
        </is>
      </c>
      <c r="Q312" s="21" t="inlineStr"/>
      <c r="R312" s="17" t="inlineStr">
        <is>
          <t>нет</t>
        </is>
      </c>
      <c r="S312" s="11" t="inlineStr"/>
      <c r="T312" s="11" t="inlineStr"/>
    </row>
    <row r="313">
      <c r="A313" s="4" t="n">
        <v>312</v>
      </c>
      <c r="B313" s="4" t="inlineStr">
        <is>
          <t>Грамматика</t>
        </is>
      </c>
      <c r="C313" s="4" t="inlineStr">
        <is>
          <t>Глаголы: другое</t>
        </is>
      </c>
      <c r="D313" s="5" t="inlineStr">
        <is>
          <t>Expressing preference (prefer / would rather)</t>
        </is>
      </c>
      <c r="E313" s="6" t="inlineStr">
        <is>
          <t>Expressing preference: prefer + noun/-ing to noun/-ing — общее предпочтение</t>
        </is>
      </c>
      <c r="F313" s="4" t="inlineStr">
        <is>
          <t>10+</t>
        </is>
      </c>
      <c r="G313" s="4" t="inlineStr"/>
      <c r="H313" s="4" t="inlineStr"/>
      <c r="I313" s="4" t="inlineStr"/>
      <c r="J313" s="4" t="inlineStr"/>
      <c r="K313" s="4" t="inlineStr"/>
      <c r="L313" s="4" t="inlineStr"/>
      <c r="M313" s="27" t="inlineStr">
        <is>
          <t>М5 (5d) · новое</t>
        </is>
      </c>
      <c r="N313" s="9" t="inlineStr">
        <is>
          <t>М2 (2c) · повт.</t>
        </is>
      </c>
      <c r="O313" s="9" t="inlineStr">
        <is>
          <t>М3 · повт.</t>
        </is>
      </c>
      <c r="P313" s="28" t="inlineStr">
        <is>
          <t>—</t>
        </is>
      </c>
      <c r="Q313" s="29" t="inlineStr"/>
      <c r="R313" s="10" t="inlineStr">
        <is>
          <t>видео</t>
        </is>
      </c>
      <c r="S313" s="4" t="inlineStr">
        <is>
          <t>Gerunds and infinitives, experiences</t>
        </is>
      </c>
      <c r="T313" s="4" t="inlineStr"/>
    </row>
    <row r="314">
      <c r="A314" s="11" t="n">
        <v>313</v>
      </c>
      <c r="B314" s="11" t="inlineStr">
        <is>
          <t>Грамматика</t>
        </is>
      </c>
      <c r="C314" s="11" t="inlineStr">
        <is>
          <t>Глаголы: другое</t>
        </is>
      </c>
      <c r="D314" s="12" t="inlineStr">
        <is>
          <t>Expressing preference (prefer / would rather)</t>
        </is>
      </c>
      <c r="E314" s="13" t="inlineStr">
        <is>
          <t>Expressing preference: prefer + to-inf rather than + bare inf</t>
        </is>
      </c>
      <c r="F314" s="11" t="inlineStr">
        <is>
          <t>10+</t>
        </is>
      </c>
      <c r="G314" s="11" t="inlineStr"/>
      <c r="H314" s="11" t="inlineStr"/>
      <c r="I314" s="11" t="inlineStr"/>
      <c r="J314" s="11" t="inlineStr"/>
      <c r="K314" s="11" t="inlineStr"/>
      <c r="L314" s="11" t="inlineStr"/>
      <c r="M314" s="23" t="inlineStr">
        <is>
          <t>М5 (5d) · новое</t>
        </is>
      </c>
      <c r="N314" s="16" t="inlineStr">
        <is>
          <t>М2 (2c) · повт.</t>
        </is>
      </c>
      <c r="O314" s="16" t="inlineStr">
        <is>
          <t>М3 · повт.</t>
        </is>
      </c>
      <c r="P314" s="20" t="inlineStr">
        <is>
          <t>—</t>
        </is>
      </c>
      <c r="Q314" s="21" t="inlineStr"/>
      <c r="R314" s="17" t="inlineStr">
        <is>
          <t>нет</t>
        </is>
      </c>
      <c r="S314" s="11" t="inlineStr"/>
      <c r="T314" s="11" t="inlineStr"/>
    </row>
    <row r="315">
      <c r="A315" s="11" t="n">
        <v>314</v>
      </c>
      <c r="B315" s="11" t="inlineStr">
        <is>
          <t>Грамматика</t>
        </is>
      </c>
      <c r="C315" s="11" t="inlineStr">
        <is>
          <t>Глаголы: другое</t>
        </is>
      </c>
      <c r="D315" s="12" t="inlineStr">
        <is>
          <t>Expressing preference (prefer / would rather)</t>
        </is>
      </c>
      <c r="E315" s="13" t="inlineStr">
        <is>
          <t>Expressing preference: I'd prefer + to-inf / noun (rather than) — конкретное предпочтение</t>
        </is>
      </c>
      <c r="F315" s="11" t="inlineStr">
        <is>
          <t>10+</t>
        </is>
      </c>
      <c r="G315" s="11" t="inlineStr"/>
      <c r="H315" s="11" t="inlineStr"/>
      <c r="I315" s="11" t="inlineStr"/>
      <c r="J315" s="11" t="inlineStr"/>
      <c r="K315" s="11" t="inlineStr"/>
      <c r="L315" s="11" t="inlineStr"/>
      <c r="M315" s="23" t="inlineStr">
        <is>
          <t>М5 (5d) · новое</t>
        </is>
      </c>
      <c r="N315" s="16" t="inlineStr">
        <is>
          <t>М2 (2c) · повт.</t>
        </is>
      </c>
      <c r="O315" s="16" t="inlineStr">
        <is>
          <t>М3 · повт.</t>
        </is>
      </c>
      <c r="P315" s="20" t="inlineStr">
        <is>
          <t>—</t>
        </is>
      </c>
      <c r="Q315" s="21" t="inlineStr"/>
      <c r="R315" s="17" t="inlineStr">
        <is>
          <t>нет</t>
        </is>
      </c>
      <c r="S315" s="11" t="inlineStr"/>
      <c r="T315" s="11" t="inlineStr"/>
    </row>
    <row r="316">
      <c r="A316" s="11" t="n">
        <v>315</v>
      </c>
      <c r="B316" s="11" t="inlineStr">
        <is>
          <t>Грамматика</t>
        </is>
      </c>
      <c r="C316" s="11" t="inlineStr">
        <is>
          <t>Глаголы: другое</t>
        </is>
      </c>
      <c r="D316" s="12" t="inlineStr">
        <is>
          <t>Expressing preference (prefer / would rather)</t>
        </is>
      </c>
      <c r="E316" s="13" t="inlineStr">
        <is>
          <t>Expressing preference: I'd rather + bare inf (than + bare inf)</t>
        </is>
      </c>
      <c r="F316" s="11" t="inlineStr">
        <is>
          <t>10+</t>
        </is>
      </c>
      <c r="G316" s="11" t="inlineStr"/>
      <c r="H316" s="11" t="inlineStr"/>
      <c r="I316" s="11" t="inlineStr"/>
      <c r="J316" s="11" t="inlineStr"/>
      <c r="K316" s="11" t="inlineStr"/>
      <c r="L316" s="11" t="inlineStr"/>
      <c r="M316" s="23" t="inlineStr">
        <is>
          <t>М5 (5d) · новое</t>
        </is>
      </c>
      <c r="N316" s="16" t="inlineStr">
        <is>
          <t>М2 (2c) · повт.</t>
        </is>
      </c>
      <c r="O316" s="16" t="inlineStr">
        <is>
          <t>М3 · повт.</t>
        </is>
      </c>
      <c r="P316" s="20" t="inlineStr">
        <is>
          <t>—</t>
        </is>
      </c>
      <c r="Q316" s="21" t="inlineStr"/>
      <c r="R316" s="17" t="inlineStr">
        <is>
          <t>нет</t>
        </is>
      </c>
      <c r="S316" s="11" t="inlineStr"/>
      <c r="T316" s="11" t="inlineStr"/>
    </row>
    <row r="317">
      <c r="A317" s="4" t="n">
        <v>316</v>
      </c>
      <c r="B317" s="4" t="inlineStr">
        <is>
          <t>Грамматика</t>
        </is>
      </c>
      <c r="C317" s="4" t="inlineStr">
        <is>
          <t>Глаголы: другое</t>
        </is>
      </c>
      <c r="D317" s="5" t="inlineStr">
        <is>
          <t>Reporting verbs</t>
        </is>
      </c>
      <c r="E317" s="24" t="inlineStr">
        <is>
          <t>Reporting verbs: + to-inf (agree, claim, offer, promise, refuse, threaten…)</t>
        </is>
      </c>
      <c r="F317" s="4" t="inlineStr">
        <is>
          <t>10+</t>
        </is>
      </c>
      <c r="G317" s="4" t="inlineStr"/>
      <c r="H317" s="4" t="inlineStr"/>
      <c r="I317" s="4" t="inlineStr"/>
      <c r="J317" s="4" t="inlineStr"/>
      <c r="K317" s="4" t="inlineStr"/>
      <c r="L317" s="4" t="inlineStr"/>
      <c r="M317" s="27" t="inlineStr">
        <is>
          <t>М8 (8c) · новое</t>
        </is>
      </c>
      <c r="N317" s="9" t="inlineStr">
        <is>
          <t>М8 (8c) · повт.</t>
        </is>
      </c>
      <c r="O317" s="9" t="inlineStr">
        <is>
          <t>М6 (6c) · повт.</t>
        </is>
      </c>
      <c r="P317" s="28" t="inlineStr">
        <is>
          <t>—</t>
        </is>
      </c>
      <c r="Q317" s="29" t="inlineStr"/>
      <c r="R317" s="10" t="inlineStr">
        <is>
          <t>нет</t>
        </is>
      </c>
      <c r="S317" s="4" t="inlineStr"/>
      <c r="T317" s="4" t="inlineStr"/>
    </row>
    <row r="318">
      <c r="A318" s="11" t="n">
        <v>317</v>
      </c>
      <c r="B318" s="11" t="inlineStr">
        <is>
          <t>Грамматика</t>
        </is>
      </c>
      <c r="C318" s="11" t="inlineStr">
        <is>
          <t>Глаголы: другое</t>
        </is>
      </c>
      <c r="D318" s="12" t="inlineStr">
        <is>
          <t>Reporting verbs</t>
        </is>
      </c>
      <c r="E318" s="13" t="inlineStr">
        <is>
          <t>Reporting verbs: + sb + to-inf (advise, allow, encourage, order, remind, warn…)</t>
        </is>
      </c>
      <c r="F318" s="11" t="inlineStr">
        <is>
          <t>10+</t>
        </is>
      </c>
      <c r="G318" s="11" t="inlineStr"/>
      <c r="H318" s="11" t="inlineStr"/>
      <c r="I318" s="11" t="inlineStr"/>
      <c r="J318" s="11" t="inlineStr"/>
      <c r="K318" s="11" t="inlineStr"/>
      <c r="L318" s="11" t="inlineStr"/>
      <c r="M318" s="23" t="inlineStr">
        <is>
          <t>М8 (8c) · новое</t>
        </is>
      </c>
      <c r="N318" s="16" t="inlineStr">
        <is>
          <t>М8 (8c) · повт.</t>
        </is>
      </c>
      <c r="O318" s="16" t="inlineStr">
        <is>
          <t>М6 (6c) · повт.</t>
        </is>
      </c>
      <c r="P318" s="20" t="inlineStr">
        <is>
          <t>—</t>
        </is>
      </c>
      <c r="Q318" s="21" t="inlineStr"/>
      <c r="R318" s="17" t="inlineStr">
        <is>
          <t>нет</t>
        </is>
      </c>
      <c r="S318" s="11" t="inlineStr"/>
      <c r="T318" s="11" t="inlineStr"/>
    </row>
    <row r="319">
      <c r="A319" s="11" t="n">
        <v>318</v>
      </c>
      <c r="B319" s="11" t="inlineStr">
        <is>
          <t>Грамматика</t>
        </is>
      </c>
      <c r="C319" s="11" t="inlineStr">
        <is>
          <t>Глаголы: другое</t>
        </is>
      </c>
      <c r="D319" s="12" t="inlineStr">
        <is>
          <t>Reporting verbs</t>
        </is>
      </c>
      <c r="E319" s="13" t="inlineStr">
        <is>
          <t>Reporting verbs: + (предлог +) -ing (accuse sb of, apologise for, deny, insist on, suggest…)</t>
        </is>
      </c>
      <c r="F319" s="11" t="inlineStr">
        <is>
          <t>10+</t>
        </is>
      </c>
      <c r="G319" s="11" t="inlineStr"/>
      <c r="H319" s="11" t="inlineStr"/>
      <c r="I319" s="11" t="inlineStr"/>
      <c r="J319" s="11" t="inlineStr"/>
      <c r="K319" s="11" t="inlineStr"/>
      <c r="L319" s="11" t="inlineStr"/>
      <c r="M319" s="23" t="inlineStr">
        <is>
          <t>М8 (8c) · новое</t>
        </is>
      </c>
      <c r="N319" s="16" t="inlineStr">
        <is>
          <t>М8 (8c) · повт.</t>
        </is>
      </c>
      <c r="O319" s="16" t="inlineStr">
        <is>
          <t>М6 (6c) · повт.</t>
        </is>
      </c>
      <c r="P319" s="20" t="inlineStr">
        <is>
          <t>—</t>
        </is>
      </c>
      <c r="Q319" s="21" t="inlineStr"/>
      <c r="R319" s="17" t="inlineStr">
        <is>
          <t>нет</t>
        </is>
      </c>
      <c r="S319" s="11" t="inlineStr"/>
      <c r="T319" s="11" t="inlineStr"/>
    </row>
    <row r="320">
      <c r="A320" s="11" t="n">
        <v>319</v>
      </c>
      <c r="B320" s="11" t="inlineStr">
        <is>
          <t>Грамматика</t>
        </is>
      </c>
      <c r="C320" s="11" t="inlineStr">
        <is>
          <t>Глаголы: другое</t>
        </is>
      </c>
      <c r="D320" s="12" t="inlineStr">
        <is>
          <t>Reporting verbs</t>
        </is>
      </c>
      <c r="E320" s="13" t="inlineStr">
        <is>
          <t>Reporting verbs: + that-clause (agree, claim, explain, inform sb, promise…)</t>
        </is>
      </c>
      <c r="F320" s="11" t="inlineStr">
        <is>
          <t>10+</t>
        </is>
      </c>
      <c r="G320" s="11" t="inlineStr"/>
      <c r="H320" s="11" t="inlineStr"/>
      <c r="I320" s="11" t="inlineStr"/>
      <c r="J320" s="11" t="inlineStr"/>
      <c r="K320" s="11" t="inlineStr"/>
      <c r="L320" s="11" t="inlineStr"/>
      <c r="M320" s="23" t="inlineStr">
        <is>
          <t>М8 (8c) · новое</t>
        </is>
      </c>
      <c r="N320" s="16" t="inlineStr">
        <is>
          <t>М8 (8c) · повт.</t>
        </is>
      </c>
      <c r="O320" s="16" t="inlineStr">
        <is>
          <t>М6 (6c) · повт.</t>
        </is>
      </c>
      <c r="P320" s="20" t="inlineStr">
        <is>
          <t>—</t>
        </is>
      </c>
      <c r="Q320" s="21" t="inlineStr"/>
      <c r="R320" s="17" t="inlineStr">
        <is>
          <t>нет</t>
        </is>
      </c>
      <c r="S320" s="11" t="inlineStr"/>
      <c r="T320" s="11" t="inlineStr"/>
    </row>
    <row r="321">
      <c r="A321" s="11" t="n">
        <v>320</v>
      </c>
      <c r="B321" s="11" t="inlineStr">
        <is>
          <t>Грамматика</t>
        </is>
      </c>
      <c r="C321" s="11" t="inlineStr">
        <is>
          <t>Глаголы: другое</t>
        </is>
      </c>
      <c r="D321" s="12" t="inlineStr">
        <is>
          <t>Reporting verbs</t>
        </is>
      </c>
      <c r="E321" s="13" t="inlineStr">
        <is>
          <t>Reporting verbs: explain/wonder + вопросительное слово (+ to-inf / clause)</t>
        </is>
      </c>
      <c r="F321" s="11" t="inlineStr">
        <is>
          <t>10+</t>
        </is>
      </c>
      <c r="G321" s="11" t="inlineStr"/>
      <c r="H321" s="11" t="inlineStr"/>
      <c r="I321" s="11" t="inlineStr"/>
      <c r="J321" s="11" t="inlineStr"/>
      <c r="K321" s="11" t="inlineStr"/>
      <c r="L321" s="11" t="inlineStr"/>
      <c r="M321" s="23" t="inlineStr">
        <is>
          <t>М8 (8c) · новое</t>
        </is>
      </c>
      <c r="N321" s="16" t="inlineStr">
        <is>
          <t>М8 (8c) · повт.</t>
        </is>
      </c>
      <c r="O321" s="16" t="inlineStr">
        <is>
          <t>М6 (6c) · повт.</t>
        </is>
      </c>
      <c r="P321" s="20" t="inlineStr">
        <is>
          <t>—</t>
        </is>
      </c>
      <c r="Q321" s="21" t="inlineStr"/>
      <c r="R321" s="17" t="inlineStr">
        <is>
          <t>нет</t>
        </is>
      </c>
      <c r="S321" s="11" t="inlineStr"/>
      <c r="T321" s="11" t="inlineStr"/>
    </row>
    <row r="322">
      <c r="A322" s="11" t="n">
        <v>321</v>
      </c>
      <c r="B322" s="11" t="inlineStr">
        <is>
          <t>Грамматика</t>
        </is>
      </c>
      <c r="C322" s="11" t="inlineStr">
        <is>
          <t>Глаголы: другое</t>
        </is>
      </c>
      <c r="D322" s="12" t="inlineStr">
        <is>
          <t>Reporting verbs</t>
        </is>
      </c>
      <c r="E322" s="13" t="inlineStr">
        <is>
          <t>Reporting verbs: пересказ диалогов — связки, восклицания, краткие ответы, question tags</t>
        </is>
      </c>
      <c r="F322" s="11" t="inlineStr">
        <is>
          <t>10+</t>
        </is>
      </c>
      <c r="G322" s="11" t="inlineStr"/>
      <c r="H322" s="11" t="inlineStr"/>
      <c r="I322" s="11" t="inlineStr"/>
      <c r="J322" s="11" t="inlineStr"/>
      <c r="K322" s="11" t="inlineStr"/>
      <c r="L322" s="11" t="inlineStr"/>
      <c r="M322" s="11" t="inlineStr"/>
      <c r="N322" s="23" t="inlineStr">
        <is>
          <t>М8 (8c) · новое</t>
        </is>
      </c>
      <c r="O322" s="11" t="inlineStr"/>
      <c r="P322" s="20" t="inlineStr">
        <is>
          <t>—</t>
        </is>
      </c>
      <c r="Q322" s="21" t="inlineStr"/>
      <c r="R322" s="17" t="inlineStr">
        <is>
          <t>нет</t>
        </is>
      </c>
      <c r="S322" s="11" t="inlineStr"/>
      <c r="T322" s="11" t="inlineStr"/>
    </row>
    <row r="323">
      <c r="A323" s="4" t="n">
        <v>322</v>
      </c>
      <c r="B323" s="4" t="inlineStr">
        <is>
          <t>Грамматика</t>
        </is>
      </c>
      <c r="C323" s="4" t="inlineStr">
        <is>
          <t>Глаголы: другое</t>
        </is>
      </c>
      <c r="D323" s="5" t="inlineStr">
        <is>
          <t>Wishes (I wish / If only)</t>
        </is>
      </c>
      <c r="E323" s="24" t="inlineStr">
        <is>
          <t>Wishes: I wish / If only + Past Simple/Continuous — желание изменить настоящее</t>
        </is>
      </c>
      <c r="F323" s="4" t="inlineStr">
        <is>
          <t>10+</t>
        </is>
      </c>
      <c r="G323" s="4" t="inlineStr"/>
      <c r="H323" s="4" t="inlineStr"/>
      <c r="I323" s="4" t="inlineStr"/>
      <c r="J323" s="4" t="inlineStr"/>
      <c r="K323" s="4" t="inlineStr"/>
      <c r="L323" s="4" t="inlineStr"/>
      <c r="M323" s="27" t="inlineStr">
        <is>
          <t>М7 (7c) · новое</t>
        </is>
      </c>
      <c r="N323" s="9" t="inlineStr">
        <is>
          <t>М6 (6c) · повт.</t>
        </is>
      </c>
      <c r="O323" s="9" t="inlineStr">
        <is>
          <t>М7 (7c) · повт.</t>
        </is>
      </c>
      <c r="P323" s="28" t="inlineStr">
        <is>
          <t>—</t>
        </is>
      </c>
      <c r="Q323" s="29" t="inlineStr"/>
      <c r="R323" s="10" t="inlineStr">
        <is>
          <t>нет</t>
        </is>
      </c>
      <c r="S323" s="4" t="inlineStr"/>
      <c r="T323" s="4" t="inlineStr"/>
    </row>
    <row r="324">
      <c r="A324" s="11" t="n">
        <v>323</v>
      </c>
      <c r="B324" s="11" t="inlineStr">
        <is>
          <t>Грамматика</t>
        </is>
      </c>
      <c r="C324" s="11" t="inlineStr">
        <is>
          <t>Глаголы: другое</t>
        </is>
      </c>
      <c r="D324" s="12" t="inlineStr">
        <is>
          <t>Wishes (I wish / If only)</t>
        </is>
      </c>
      <c r="E324" s="13" t="inlineStr">
        <is>
          <t>Wishes: I wish / If only + Past Perfect — сожаление о прошлом</t>
        </is>
      </c>
      <c r="F324" s="11" t="inlineStr">
        <is>
          <t>10+</t>
        </is>
      </c>
      <c r="G324" s="11" t="inlineStr"/>
      <c r="H324" s="11" t="inlineStr"/>
      <c r="I324" s="11" t="inlineStr"/>
      <c r="J324" s="11" t="inlineStr"/>
      <c r="K324" s="11" t="inlineStr"/>
      <c r="L324" s="11" t="inlineStr"/>
      <c r="M324" s="23" t="inlineStr">
        <is>
          <t>М7 (7c) · новое</t>
        </is>
      </c>
      <c r="N324" s="16" t="inlineStr">
        <is>
          <t>М6 (6c) · повт.</t>
        </is>
      </c>
      <c r="O324" s="16" t="inlineStr">
        <is>
          <t>М7 (7c) · повт.</t>
        </is>
      </c>
      <c r="P324" s="20" t="inlineStr">
        <is>
          <t>—</t>
        </is>
      </c>
      <c r="Q324" s="21" t="inlineStr"/>
      <c r="R324" s="17" t="inlineStr">
        <is>
          <t>нет</t>
        </is>
      </c>
      <c r="S324" s="11" t="inlineStr"/>
      <c r="T324" s="11" t="inlineStr"/>
    </row>
    <row r="325">
      <c r="A325" s="11" t="n">
        <v>324</v>
      </c>
      <c r="B325" s="11" t="inlineStr">
        <is>
          <t>Грамматика</t>
        </is>
      </c>
      <c r="C325" s="11" t="inlineStr">
        <is>
          <t>Глаголы: другое</t>
        </is>
      </c>
      <c r="D325" s="12" t="inlineStr">
        <is>
          <t>Wishes (I wish / If only)</t>
        </is>
      </c>
      <c r="E325" s="13" t="inlineStr">
        <is>
          <t>Wishes: I wish / If only + would + V — раздражение, просьба изменить поведение</t>
        </is>
      </c>
      <c r="F325" s="11" t="inlineStr">
        <is>
          <t>10+</t>
        </is>
      </c>
      <c r="G325" s="11" t="inlineStr"/>
      <c r="H325" s="11" t="inlineStr"/>
      <c r="I325" s="11" t="inlineStr"/>
      <c r="J325" s="11" t="inlineStr"/>
      <c r="K325" s="11" t="inlineStr"/>
      <c r="L325" s="11" t="inlineStr"/>
      <c r="M325" s="23" t="inlineStr">
        <is>
          <t>М7 (7c) · новое</t>
        </is>
      </c>
      <c r="N325" s="16" t="inlineStr">
        <is>
          <t>М6 (6c) · повт.</t>
        </is>
      </c>
      <c r="O325" s="16" t="inlineStr">
        <is>
          <t>М7 (7c) · повт.</t>
        </is>
      </c>
      <c r="P325" s="20" t="inlineStr">
        <is>
          <t>—</t>
        </is>
      </c>
      <c r="Q325" s="21" t="inlineStr"/>
      <c r="R325" s="17" t="inlineStr">
        <is>
          <t>нет</t>
        </is>
      </c>
      <c r="S325" s="11" t="inlineStr"/>
      <c r="T325" s="11" t="inlineStr"/>
    </row>
    <row r="326">
      <c r="A326" s="11" t="n">
        <v>325</v>
      </c>
      <c r="B326" s="11" t="inlineStr">
        <is>
          <t>Грамматика</t>
        </is>
      </c>
      <c r="C326" s="11" t="inlineStr">
        <is>
          <t>Глаголы: другое</t>
        </is>
      </c>
      <c r="D326" s="12" t="inlineStr">
        <is>
          <t>Wishes (I wish / If only)</t>
        </is>
      </c>
      <c r="E326" s="13" t="inlineStr">
        <is>
          <t>Wishes: were вместо was</t>
        </is>
      </c>
      <c r="F326" s="11" t="inlineStr">
        <is>
          <t>10+</t>
        </is>
      </c>
      <c r="G326" s="11" t="inlineStr"/>
      <c r="H326" s="11" t="inlineStr"/>
      <c r="I326" s="11" t="inlineStr"/>
      <c r="J326" s="11" t="inlineStr"/>
      <c r="K326" s="11" t="inlineStr"/>
      <c r="L326" s="11" t="inlineStr"/>
      <c r="M326" s="23" t="inlineStr">
        <is>
          <t>М7 (7c) · новое</t>
        </is>
      </c>
      <c r="N326" s="16" t="inlineStr">
        <is>
          <t>М6 (6c) · повт.</t>
        </is>
      </c>
      <c r="O326" s="16" t="inlineStr">
        <is>
          <t>М7 (7c) · повт.</t>
        </is>
      </c>
      <c r="P326" s="20" t="inlineStr">
        <is>
          <t>—</t>
        </is>
      </c>
      <c r="Q326" s="21" t="inlineStr"/>
      <c r="R326" s="17" t="inlineStr">
        <is>
          <t>нет</t>
        </is>
      </c>
      <c r="S326" s="11" t="inlineStr"/>
      <c r="T326" s="11" t="inlineStr"/>
    </row>
    <row r="327">
      <c r="A327" s="11" t="n">
        <v>326</v>
      </c>
      <c r="B327" s="11" t="inlineStr">
        <is>
          <t>Грамматика</t>
        </is>
      </c>
      <c r="C327" s="11" t="inlineStr">
        <is>
          <t>Глаголы: другое</t>
        </is>
      </c>
      <c r="D327" s="12" t="inlineStr">
        <is>
          <t>Wishes (I wish / If only)</t>
        </is>
      </c>
      <c r="E327" s="13" t="inlineStr">
        <is>
          <t>Wishes: If only vs I wish — эмоциональность</t>
        </is>
      </c>
      <c r="F327" s="11" t="inlineStr">
        <is>
          <t>10+</t>
        </is>
      </c>
      <c r="G327" s="11" t="inlineStr"/>
      <c r="H327" s="11" t="inlineStr"/>
      <c r="I327" s="11" t="inlineStr"/>
      <c r="J327" s="11" t="inlineStr"/>
      <c r="K327" s="11" t="inlineStr"/>
      <c r="L327" s="11" t="inlineStr"/>
      <c r="M327" s="23" t="inlineStr">
        <is>
          <t>М7 (7c) · новое</t>
        </is>
      </c>
      <c r="N327" s="16" t="inlineStr">
        <is>
          <t>М6 (6c) · повт.</t>
        </is>
      </c>
      <c r="O327" s="16" t="inlineStr">
        <is>
          <t>М7 (7c) · повт.</t>
        </is>
      </c>
      <c r="P327" s="20" t="inlineStr">
        <is>
          <t>—</t>
        </is>
      </c>
      <c r="Q327" s="21" t="inlineStr"/>
      <c r="R327" s="17" t="inlineStr">
        <is>
          <t>нет</t>
        </is>
      </c>
      <c r="S327" s="11" t="inlineStr"/>
      <c r="T327" s="11" t="inlineStr"/>
    </row>
    <row r="328">
      <c r="A328" s="4" t="n">
        <v>327</v>
      </c>
      <c r="B328" s="4" t="inlineStr">
        <is>
          <t>Грамматика</t>
        </is>
      </c>
      <c r="C328" s="4" t="inlineStr">
        <is>
          <t>Глаголы: другое</t>
        </is>
      </c>
      <c r="D328" s="5" t="inlineStr">
        <is>
          <t>would (past habits)</t>
        </is>
      </c>
      <c r="E328" s="24" t="inlineStr">
        <is>
          <t>would: значение — повторяющиеся действия в прошлом (would + V)</t>
        </is>
      </c>
      <c r="F328" s="4" t="inlineStr">
        <is>
          <t>10+</t>
        </is>
      </c>
      <c r="G328" s="4" t="inlineStr"/>
      <c r="H328" s="4" t="inlineStr"/>
      <c r="I328" s="4" t="inlineStr"/>
      <c r="J328" s="4" t="inlineStr"/>
      <c r="K328" s="4" t="inlineStr"/>
      <c r="L328" s="4" t="inlineStr"/>
      <c r="M328" s="27" t="inlineStr">
        <is>
          <t>М3 (3c) · новое</t>
        </is>
      </c>
      <c r="N328" s="4" t="inlineStr"/>
      <c r="O328" s="4" t="inlineStr"/>
      <c r="P328" s="28" t="inlineStr">
        <is>
          <t>—</t>
        </is>
      </c>
      <c r="Q328" s="29" t="inlineStr"/>
      <c r="R328" s="10" t="inlineStr">
        <is>
          <t>нет</t>
        </is>
      </c>
      <c r="S328" s="4" t="inlineStr"/>
      <c r="T328" s="4" t="inlineStr"/>
    </row>
    <row r="329">
      <c r="A329" s="11" t="n">
        <v>328</v>
      </c>
      <c r="B329" s="11" t="inlineStr">
        <is>
          <t>Грамматика</t>
        </is>
      </c>
      <c r="C329" s="11" t="inlineStr">
        <is>
          <t>Глаголы: другое</t>
        </is>
      </c>
      <c r="D329" s="12" t="inlineStr">
        <is>
          <t>would (past habits)</t>
        </is>
      </c>
      <c r="E329" s="13" t="inlineStr">
        <is>
          <t>would vs used to: прошлые состояния — только used to</t>
        </is>
      </c>
      <c r="F329" s="11" t="inlineStr">
        <is>
          <t>10+</t>
        </is>
      </c>
      <c r="G329" s="11" t="inlineStr"/>
      <c r="H329" s="11" t="inlineStr"/>
      <c r="I329" s="11" t="inlineStr"/>
      <c r="J329" s="11" t="inlineStr"/>
      <c r="K329" s="11" t="inlineStr"/>
      <c r="L329" s="11" t="inlineStr"/>
      <c r="M329" s="23" t="inlineStr">
        <is>
          <t>М3 (3c) · новое</t>
        </is>
      </c>
      <c r="N329" s="11" t="inlineStr"/>
      <c r="O329" s="11" t="inlineStr"/>
      <c r="P329" s="20" t="inlineStr">
        <is>
          <t>—</t>
        </is>
      </c>
      <c r="Q329" s="21" t="inlineStr"/>
      <c r="R329" s="17" t="inlineStr">
        <is>
          <t>нет</t>
        </is>
      </c>
      <c r="S329" s="11" t="inlineStr"/>
      <c r="T329" s="11" t="inlineStr"/>
    </row>
    <row r="330">
      <c r="A330" s="4" t="n">
        <v>329</v>
      </c>
      <c r="B330" s="4" t="inlineStr">
        <is>
          <t>Грамматика</t>
        </is>
      </c>
      <c r="C330" s="4" t="inlineStr">
        <is>
          <t>Существительные и артикли</t>
        </is>
      </c>
      <c r="D330" s="5" t="inlineStr">
        <is>
          <t>Countable / Uncountable nouns</t>
        </is>
      </c>
      <c r="E330" s="6" t="inlineStr">
        <is>
          <t>Countable / Uncountable: различие исчисляемых и неисчисляемых</t>
        </is>
      </c>
      <c r="F330" s="4" t="inlineStr">
        <is>
          <t>обе</t>
        </is>
      </c>
      <c r="G330" s="7" t="inlineStr">
        <is>
          <t>М3 · новое</t>
        </is>
      </c>
      <c r="H330" s="8" t="inlineStr">
        <is>
          <t>М3 · повт.</t>
        </is>
      </c>
      <c r="I330" s="30" t="inlineStr">
        <is>
          <t>М8 (8a) · расш.</t>
        </is>
      </c>
      <c r="J330" s="9" t="inlineStr">
        <is>
          <t>М9 (9a) · повт.</t>
        </is>
      </c>
      <c r="K330" s="9" t="inlineStr">
        <is>
          <t>М9 · повт.</t>
        </is>
      </c>
      <c r="L330" s="9" t="inlineStr">
        <is>
          <t>М2 (2d) · повт.</t>
        </is>
      </c>
      <c r="M330" s="4" t="inlineStr"/>
      <c r="N330" s="4" t="inlineStr"/>
      <c r="O330" s="9" t="inlineStr">
        <is>
          <t>М8 (8c) · повт.</t>
        </is>
      </c>
      <c r="P330" s="10" t="inlineStr">
        <is>
          <t>видео</t>
        </is>
      </c>
      <c r="Q330" s="4" t="inlineStr">
        <is>
          <t>Food.Much.Many.A lot of.
How much many a lot of not much not many</t>
        </is>
      </c>
      <c r="R330" s="10" t="inlineStr">
        <is>
          <t>видео</t>
        </is>
      </c>
      <c r="S330" s="4" t="inlineStr">
        <is>
          <t>Food Quantifiers, countables-uncountables
Singular vs plural no... countable uncountable</t>
        </is>
      </c>
      <c r="T330" s="4" t="inlineStr"/>
    </row>
    <row r="331">
      <c r="A331" s="11" t="n">
        <v>330</v>
      </c>
      <c r="B331" s="11" t="inlineStr">
        <is>
          <t>Грамматика</t>
        </is>
      </c>
      <c r="C331" s="11" t="inlineStr">
        <is>
          <t>Существительные и артикли</t>
        </is>
      </c>
      <c r="D331" s="12" t="inlineStr">
        <is>
          <t>Countable / Uncountable nouns</t>
        </is>
      </c>
      <c r="E331" s="22" t="inlineStr">
        <is>
          <t>Countable / Uncountable: неисчисляемые — еда и жидкости</t>
        </is>
      </c>
      <c r="F331" s="11" t="inlineStr">
        <is>
          <t>10+</t>
        </is>
      </c>
      <c r="G331" s="11" t="inlineStr"/>
      <c r="H331" s="11" t="inlineStr"/>
      <c r="I331" s="23" t="inlineStr">
        <is>
          <t>М8 (8a) · новое</t>
        </is>
      </c>
      <c r="J331" s="19" t="inlineStr">
        <is>
          <t>М9 (9a) · расш.</t>
        </is>
      </c>
      <c r="K331" s="11" t="inlineStr"/>
      <c r="L331" s="19" t="inlineStr">
        <is>
          <t>М2 (2d) · расш.</t>
        </is>
      </c>
      <c r="M331" s="11" t="inlineStr"/>
      <c r="N331" s="11" t="inlineStr"/>
      <c r="O331" s="16" t="inlineStr">
        <is>
          <t>М8 (8c) · повт.</t>
        </is>
      </c>
      <c r="P331" s="20" t="inlineStr">
        <is>
          <t>—</t>
        </is>
      </c>
      <c r="Q331" s="21" t="inlineStr"/>
      <c r="R331" s="17" t="inlineStr">
        <is>
          <t>видео</t>
        </is>
      </c>
      <c r="S331" s="11" t="inlineStr">
        <is>
          <t>Food Quantifiers, countables-uncountables
Singular vs plural no... countable uncountable</t>
        </is>
      </c>
      <c r="T331" s="11" t="inlineStr"/>
    </row>
    <row r="332">
      <c r="A332" s="11" t="n">
        <v>331</v>
      </c>
      <c r="B332" s="11" t="inlineStr">
        <is>
          <t>Грамматика</t>
        </is>
      </c>
      <c r="C332" s="11" t="inlineStr">
        <is>
          <t>Существительные и артикли</t>
        </is>
      </c>
      <c r="D332" s="12" t="inlineStr">
        <is>
          <t>Countable / Uncountable nouns</t>
        </is>
      </c>
      <c r="E332" s="22" t="inlineStr">
        <is>
          <t>Countable / Uncountable: количество с неисчисляемыми (a jar of, a bottle of)</t>
        </is>
      </c>
      <c r="F332" s="11" t="inlineStr">
        <is>
          <t>10+</t>
        </is>
      </c>
      <c r="G332" s="11" t="inlineStr"/>
      <c r="H332" s="11" t="inlineStr"/>
      <c r="I332" s="23" t="inlineStr">
        <is>
          <t>М8 (8a) · новое</t>
        </is>
      </c>
      <c r="J332" s="16" t="inlineStr">
        <is>
          <t>М9 (9a) · повт.</t>
        </is>
      </c>
      <c r="K332" s="11" t="inlineStr"/>
      <c r="L332" s="11" t="inlineStr"/>
      <c r="M332" s="11" t="inlineStr"/>
      <c r="N332" s="11" t="inlineStr"/>
      <c r="O332" s="19" t="inlineStr">
        <is>
          <t>М8 (8c) · расш.</t>
        </is>
      </c>
      <c r="P332" s="20" t="inlineStr">
        <is>
          <t>—</t>
        </is>
      </c>
      <c r="Q332" s="21" t="inlineStr"/>
      <c r="R332" s="17" t="inlineStr">
        <is>
          <t>видео</t>
        </is>
      </c>
      <c r="S332" s="11" t="inlineStr">
        <is>
          <t>Singular vs plural no... countable uncountable</t>
        </is>
      </c>
      <c r="T332" s="11" t="inlineStr"/>
    </row>
    <row r="333">
      <c r="A333" s="11" t="n">
        <v>332</v>
      </c>
      <c r="B333" s="11" t="inlineStr">
        <is>
          <t>Грамматика</t>
        </is>
      </c>
      <c r="C333" s="11" t="inlineStr">
        <is>
          <t>Существительные и артикли</t>
        </is>
      </c>
      <c r="D333" s="12" t="inlineStr">
        <is>
          <t>Countable / Uncountable nouns</t>
        </is>
      </c>
      <c r="E333" s="22" t="inlineStr">
        <is>
          <t>Countable / Uncountable: существительные без ед. числа (clothes, jeans)</t>
        </is>
      </c>
      <c r="F333" s="11" t="inlineStr">
        <is>
          <t>10+</t>
        </is>
      </c>
      <c r="G333" s="11" t="inlineStr"/>
      <c r="H333" s="11" t="inlineStr"/>
      <c r="I333" s="23" t="inlineStr">
        <is>
          <t>М8 (8a) · новое</t>
        </is>
      </c>
      <c r="J333" s="11" t="inlineStr"/>
      <c r="K333" s="11" t="inlineStr"/>
      <c r="L333" s="11" t="inlineStr"/>
      <c r="M333" s="11" t="inlineStr"/>
      <c r="N333" s="11" t="inlineStr"/>
      <c r="O333" s="11" t="inlineStr"/>
      <c r="P333" s="20" t="inlineStr">
        <is>
          <t>—</t>
        </is>
      </c>
      <c r="Q333" s="21" t="inlineStr"/>
      <c r="R333" s="17" t="inlineStr">
        <is>
          <t>видео</t>
        </is>
      </c>
      <c r="S333" s="11" t="inlineStr">
        <is>
          <t>Singular vs plural no... countable uncountable</t>
        </is>
      </c>
      <c r="T333" s="11" t="inlineStr"/>
    </row>
    <row r="334">
      <c r="A334" s="11" t="n">
        <v>333</v>
      </c>
      <c r="B334" s="11" t="inlineStr">
        <is>
          <t>Грамматика</t>
        </is>
      </c>
      <c r="C334" s="11" t="inlineStr">
        <is>
          <t>Существительные и артикли</t>
        </is>
      </c>
      <c r="D334" s="12" t="inlineStr">
        <is>
          <t>Countable / Uncountable nouns</t>
        </is>
      </c>
      <c r="E334" s="22" t="inlineStr">
        <is>
          <t>Countable / Uncountable: There is/are + исчисляемые/неисчисляемые — утверждение</t>
        </is>
      </c>
      <c r="F334" s="11" t="inlineStr">
        <is>
          <t>10+</t>
        </is>
      </c>
      <c r="G334" s="11" t="inlineStr"/>
      <c r="H334" s="11" t="inlineStr"/>
      <c r="I334" s="11" t="inlineStr"/>
      <c r="J334" s="11" t="inlineStr"/>
      <c r="K334" s="23" t="inlineStr">
        <is>
          <t>М9 · новое</t>
        </is>
      </c>
      <c r="L334" s="11" t="inlineStr"/>
      <c r="M334" s="11" t="inlineStr"/>
      <c r="N334" s="11" t="inlineStr"/>
      <c r="O334" s="11" t="inlineStr"/>
      <c r="P334" s="20" t="inlineStr">
        <is>
          <t>—</t>
        </is>
      </c>
      <c r="Q334" s="21" t="inlineStr"/>
      <c r="R334" s="17" t="inlineStr">
        <is>
          <t>видео</t>
        </is>
      </c>
      <c r="S334" s="11" t="inlineStr">
        <is>
          <t>Food Quantifiers, countables-uncountables</t>
        </is>
      </c>
      <c r="T334" s="11" t="inlineStr"/>
    </row>
    <row r="335">
      <c r="A335" s="11" t="n">
        <v>334</v>
      </c>
      <c r="B335" s="11" t="inlineStr">
        <is>
          <t>Грамматика</t>
        </is>
      </c>
      <c r="C335" s="11" t="inlineStr">
        <is>
          <t>Существительные и артикли</t>
        </is>
      </c>
      <c r="D335" s="12" t="inlineStr">
        <is>
          <t>Countable / Uncountable nouns</t>
        </is>
      </c>
      <c r="E335" s="22" t="inlineStr">
        <is>
          <t>Countable / Uncountable: There is/are + исчисляемые/неисчисляемые — отрицание</t>
        </is>
      </c>
      <c r="F335" s="11" t="inlineStr">
        <is>
          <t>10+</t>
        </is>
      </c>
      <c r="G335" s="11" t="inlineStr"/>
      <c r="H335" s="11" t="inlineStr"/>
      <c r="I335" s="11" t="inlineStr"/>
      <c r="J335" s="11" t="inlineStr"/>
      <c r="K335" s="23" t="inlineStr">
        <is>
          <t>М9 · новое</t>
        </is>
      </c>
      <c r="L335" s="11" t="inlineStr"/>
      <c r="M335" s="11" t="inlineStr"/>
      <c r="N335" s="11" t="inlineStr"/>
      <c r="O335" s="11" t="inlineStr"/>
      <c r="P335" s="20" t="inlineStr">
        <is>
          <t>—</t>
        </is>
      </c>
      <c r="Q335" s="21" t="inlineStr"/>
      <c r="R335" s="17" t="inlineStr">
        <is>
          <t>видео</t>
        </is>
      </c>
      <c r="S335" s="11" t="inlineStr">
        <is>
          <t>Food Quantifiers, countables-uncountables</t>
        </is>
      </c>
      <c r="T335" s="11" t="inlineStr"/>
    </row>
    <row r="336">
      <c r="A336" s="11" t="n">
        <v>335</v>
      </c>
      <c r="B336" s="11" t="inlineStr">
        <is>
          <t>Грамматика</t>
        </is>
      </c>
      <c r="C336" s="11" t="inlineStr">
        <is>
          <t>Существительные и артикли</t>
        </is>
      </c>
      <c r="D336" s="12" t="inlineStr">
        <is>
          <t>Countable / Uncountable nouns</t>
        </is>
      </c>
      <c r="E336" s="22" t="inlineStr">
        <is>
          <t>Countable / Uncountable: There is/are + исчисляемые/неисчисляемые — вопрос</t>
        </is>
      </c>
      <c r="F336" s="11" t="inlineStr">
        <is>
          <t>10+</t>
        </is>
      </c>
      <c r="G336" s="11" t="inlineStr"/>
      <c r="H336" s="11" t="inlineStr"/>
      <c r="I336" s="11" t="inlineStr"/>
      <c r="J336" s="11" t="inlineStr"/>
      <c r="K336" s="23" t="inlineStr">
        <is>
          <t>М9 · новое</t>
        </is>
      </c>
      <c r="L336" s="11" t="inlineStr"/>
      <c r="M336" s="11" t="inlineStr"/>
      <c r="N336" s="11" t="inlineStr"/>
      <c r="O336" s="11" t="inlineStr"/>
      <c r="P336" s="20" t="inlineStr">
        <is>
          <t>—</t>
        </is>
      </c>
      <c r="Q336" s="21" t="inlineStr"/>
      <c r="R336" s="17" t="inlineStr">
        <is>
          <t>видео</t>
        </is>
      </c>
      <c r="S336" s="11" t="inlineStr">
        <is>
          <t>Food Quantifiers, countables-uncountables</t>
        </is>
      </c>
      <c r="T336" s="11" t="inlineStr"/>
    </row>
    <row r="337">
      <c r="A337" s="11" t="n">
        <v>336</v>
      </c>
      <c r="B337" s="11" t="inlineStr">
        <is>
          <t>Грамматика</t>
        </is>
      </c>
      <c r="C337" s="11" t="inlineStr">
        <is>
          <t>Существительные и артикли</t>
        </is>
      </c>
      <c r="D337" s="12" t="inlineStr">
        <is>
          <t>Countable / Uncountable nouns</t>
        </is>
      </c>
      <c r="E337" s="22" t="inlineStr">
        <is>
          <t>Countable / Uncountable: неисчисляемые без a/an, глагол в ед. ч.</t>
        </is>
      </c>
      <c r="F337" s="11" t="inlineStr">
        <is>
          <t>10+</t>
        </is>
      </c>
      <c r="G337" s="11" t="inlineStr"/>
      <c r="H337" s="11" t="inlineStr"/>
      <c r="I337" s="11" t="inlineStr"/>
      <c r="J337" s="11" t="inlineStr"/>
      <c r="K337" s="11" t="inlineStr"/>
      <c r="L337" s="23" t="inlineStr">
        <is>
          <t>М2 (2d) · новое</t>
        </is>
      </c>
      <c r="M337" s="11" t="inlineStr"/>
      <c r="N337" s="11" t="inlineStr"/>
      <c r="O337" s="19" t="inlineStr">
        <is>
          <t>М8 (8c) · расш.</t>
        </is>
      </c>
      <c r="P337" s="20" t="inlineStr">
        <is>
          <t>—</t>
        </is>
      </c>
      <c r="Q337" s="21" t="inlineStr"/>
      <c r="R337" s="17" t="inlineStr">
        <is>
          <t>видео</t>
        </is>
      </c>
      <c r="S337" s="11" t="inlineStr">
        <is>
          <t>Singular vs plural no... countable uncountable</t>
        </is>
      </c>
      <c r="T337" s="11" t="inlineStr"/>
    </row>
    <row r="338">
      <c r="A338" s="11" t="n">
        <v>337</v>
      </c>
      <c r="B338" s="11" t="inlineStr">
        <is>
          <t>Грамматика</t>
        </is>
      </c>
      <c r="C338" s="11" t="inlineStr">
        <is>
          <t>Существительные и артикли</t>
        </is>
      </c>
      <c r="D338" s="12" t="inlineStr">
        <is>
          <t>Countable / Uncountable nouns</t>
        </is>
      </c>
      <c r="E338" s="13" t="inlineStr">
        <is>
          <t>Countable / Uncountable: исключения с a/an (a help, a pity, a shame)</t>
        </is>
      </c>
      <c r="F338" s="11" t="inlineStr">
        <is>
          <t>10+</t>
        </is>
      </c>
      <c r="G338" s="11" t="inlineStr"/>
      <c r="H338" s="11" t="inlineStr"/>
      <c r="I338" s="11" t="inlineStr"/>
      <c r="J338" s="11" t="inlineStr"/>
      <c r="K338" s="11" t="inlineStr"/>
      <c r="L338" s="11" t="inlineStr"/>
      <c r="M338" s="11" t="inlineStr"/>
      <c r="N338" s="11" t="inlineStr"/>
      <c r="O338" s="23" t="inlineStr">
        <is>
          <t>М8 (8c) · новое</t>
        </is>
      </c>
      <c r="P338" s="20" t="inlineStr">
        <is>
          <t>—</t>
        </is>
      </c>
      <c r="Q338" s="21" t="inlineStr"/>
      <c r="R338" s="17" t="inlineStr">
        <is>
          <t>нет</t>
        </is>
      </c>
      <c r="S338" s="11" t="inlineStr"/>
      <c r="T338" s="11" t="inlineStr"/>
    </row>
    <row r="339">
      <c r="A339" s="11" t="n">
        <v>338</v>
      </c>
      <c r="B339" s="11" t="inlineStr">
        <is>
          <t>Грамматика</t>
        </is>
      </c>
      <c r="C339" s="11" t="inlineStr">
        <is>
          <t>Существительные и артикли</t>
        </is>
      </c>
      <c r="D339" s="12" t="inlineStr">
        <is>
          <t>Countable / Uncountable nouns</t>
        </is>
      </c>
      <c r="E339" s="13" t="inlineStr">
        <is>
          <t>Countable / Uncountable: группы неисчисляемых — предметы, языки, игры, болезни, явления природы</t>
        </is>
      </c>
      <c r="F339" s="11" t="inlineStr">
        <is>
          <t>10+</t>
        </is>
      </c>
      <c r="G339" s="11" t="inlineStr"/>
      <c r="H339" s="11" t="inlineStr"/>
      <c r="I339" s="11" t="inlineStr"/>
      <c r="J339" s="11" t="inlineStr"/>
      <c r="K339" s="11" t="inlineStr"/>
      <c r="L339" s="23" t="inlineStr">
        <is>
          <t>М2 (2d) · новое</t>
        </is>
      </c>
      <c r="M339" s="11" t="inlineStr"/>
      <c r="N339" s="11" t="inlineStr"/>
      <c r="O339" s="19" t="inlineStr">
        <is>
          <t>М8 (8c) · расш.</t>
        </is>
      </c>
      <c r="P339" s="20" t="inlineStr">
        <is>
          <t>—</t>
        </is>
      </c>
      <c r="Q339" s="21" t="inlineStr"/>
      <c r="R339" s="17" t="inlineStr">
        <is>
          <t>нет</t>
        </is>
      </c>
      <c r="S339" s="11" t="inlineStr"/>
      <c r="T339" s="11" t="inlineStr"/>
    </row>
    <row r="340">
      <c r="A340" s="11" t="n">
        <v>339</v>
      </c>
      <c r="B340" s="11" t="inlineStr">
        <is>
          <t>Грамматика</t>
        </is>
      </c>
      <c r="C340" s="11" t="inlineStr">
        <is>
          <t>Существительные и артикли</t>
        </is>
      </c>
      <c r="D340" s="12" t="inlineStr">
        <is>
          <t>Countable / Uncountable nouns</t>
        </is>
      </c>
      <c r="E340" s="13" t="inlineStr">
        <is>
          <t>Countable / Uncountable: «ловушки» — advice, information, news, furniture, luggage, money</t>
        </is>
      </c>
      <c r="F340" s="11" t="inlineStr">
        <is>
          <t>10+</t>
        </is>
      </c>
      <c r="G340" s="11" t="inlineStr"/>
      <c r="H340" s="11" t="inlineStr"/>
      <c r="I340" s="11" t="inlineStr"/>
      <c r="J340" s="11" t="inlineStr"/>
      <c r="K340" s="11" t="inlineStr"/>
      <c r="L340" s="23" t="inlineStr">
        <is>
          <t>М2 (2d) · новое</t>
        </is>
      </c>
      <c r="M340" s="11" t="inlineStr"/>
      <c r="N340" s="11" t="inlineStr"/>
      <c r="O340" s="19" t="inlineStr">
        <is>
          <t>М8 (8c) · расш.</t>
        </is>
      </c>
      <c r="P340" s="20" t="inlineStr">
        <is>
          <t>—</t>
        </is>
      </c>
      <c r="Q340" s="21" t="inlineStr"/>
      <c r="R340" s="17" t="inlineStr">
        <is>
          <t>нет</t>
        </is>
      </c>
      <c r="S340" s="11" t="inlineStr"/>
      <c r="T340" s="11" t="inlineStr"/>
    </row>
    <row r="341">
      <c r="A341" s="11" t="n">
        <v>340</v>
      </c>
      <c r="B341" s="11" t="inlineStr">
        <is>
          <t>Грамматика</t>
        </is>
      </c>
      <c r="C341" s="11" t="inlineStr">
        <is>
          <t>Существительные и артикли</t>
        </is>
      </c>
      <c r="D341" s="12" t="inlineStr">
        <is>
          <t>Countable / Uncountable nouns</t>
        </is>
      </c>
      <c r="E341" s="22" t="inlineStr">
        <is>
          <t>Countable / Uncountable: собирательные (family, team) и составные (homework, countryside)</t>
        </is>
      </c>
      <c r="F341" s="11" t="inlineStr">
        <is>
          <t>10+</t>
        </is>
      </c>
      <c r="G341" s="11" t="inlineStr"/>
      <c r="H341" s="11" t="inlineStr"/>
      <c r="I341" s="11" t="inlineStr"/>
      <c r="J341" s="11" t="inlineStr"/>
      <c r="K341" s="11" t="inlineStr"/>
      <c r="L341" s="11" t="inlineStr"/>
      <c r="M341" s="11" t="inlineStr"/>
      <c r="N341" s="11" t="inlineStr"/>
      <c r="O341" s="23" t="inlineStr">
        <is>
          <t>М8 (8c) · новое</t>
        </is>
      </c>
      <c r="P341" s="20" t="inlineStr">
        <is>
          <t>—</t>
        </is>
      </c>
      <c r="Q341" s="21" t="inlineStr"/>
      <c r="R341" s="17" t="inlineStr">
        <is>
          <t>видео</t>
        </is>
      </c>
      <c r="S341" s="11" t="inlineStr">
        <is>
          <t>Singular vs plural no... countable uncountable</t>
        </is>
      </c>
      <c r="T341" s="11" t="inlineStr"/>
    </row>
    <row r="342">
      <c r="A342" s="11" t="n">
        <v>341</v>
      </c>
      <c r="B342" s="11" t="inlineStr">
        <is>
          <t>Грамматика</t>
        </is>
      </c>
      <c r="C342" s="11" t="inlineStr">
        <is>
          <t>Существительные и артикли</t>
        </is>
      </c>
      <c r="D342" s="12" t="inlineStr">
        <is>
          <t>Countable / Uncountable nouns</t>
        </is>
      </c>
      <c r="E342" s="13" t="inlineStr">
        <is>
          <t>Countable / Uncountable: длительность, расстояние, деньги как целое — глагол в ед. ч.</t>
        </is>
      </c>
      <c r="F342" s="11" t="inlineStr">
        <is>
          <t>10+</t>
        </is>
      </c>
      <c r="G342" s="11" t="inlineStr"/>
      <c r="H342" s="11" t="inlineStr"/>
      <c r="I342" s="11" t="inlineStr"/>
      <c r="J342" s="11" t="inlineStr"/>
      <c r="K342" s="11" t="inlineStr"/>
      <c r="L342" s="11" t="inlineStr"/>
      <c r="M342" s="11" t="inlineStr"/>
      <c r="N342" s="11" t="inlineStr"/>
      <c r="O342" s="23" t="inlineStr">
        <is>
          <t>М8 (8c) · новое</t>
        </is>
      </c>
      <c r="P342" s="20" t="inlineStr">
        <is>
          <t>—</t>
        </is>
      </c>
      <c r="Q342" s="21" t="inlineStr"/>
      <c r="R342" s="17" t="inlineStr">
        <is>
          <t>нет</t>
        </is>
      </c>
      <c r="S342" s="11" t="inlineStr"/>
      <c r="T342" s="11" t="inlineStr"/>
    </row>
    <row r="343">
      <c r="A343" s="4" t="n">
        <v>342</v>
      </c>
      <c r="B343" s="4" t="inlineStr">
        <is>
          <t>Грамматика</t>
        </is>
      </c>
      <c r="C343" s="4" t="inlineStr">
        <is>
          <t>Существительные и артикли</t>
        </is>
      </c>
      <c r="D343" s="5" t="inlineStr">
        <is>
          <t>Plurals (irregular)</t>
        </is>
      </c>
      <c r="E343" s="6" t="inlineStr">
        <is>
          <t>Plurals (irregular): man — men, child — children, tooth — teeth, foot — feet, mouse — mice</t>
        </is>
      </c>
      <c r="F343" s="4" t="inlineStr">
        <is>
          <t>обе</t>
        </is>
      </c>
      <c r="G343" s="7" t="inlineStr">
        <is>
          <t>М5 · новое</t>
        </is>
      </c>
      <c r="H343" s="4" t="inlineStr"/>
      <c r="I343" s="9" t="inlineStr">
        <is>
          <t>М2 (2b) · повт.</t>
        </is>
      </c>
      <c r="J343" s="9" t="inlineStr">
        <is>
          <t>М1 · повт.</t>
        </is>
      </c>
      <c r="K343" s="4" t="inlineStr"/>
      <c r="L343" s="4" t="inlineStr"/>
      <c r="M343" s="4" t="inlineStr"/>
      <c r="N343" s="4" t="inlineStr"/>
      <c r="O343" s="4" t="inlineStr"/>
      <c r="P343" s="10" t="inlineStr">
        <is>
          <t>видео</t>
        </is>
      </c>
      <c r="Q343" s="4" t="inlineStr">
        <is>
          <t>Irregular plurals</t>
        </is>
      </c>
      <c r="R343" s="10" t="inlineStr">
        <is>
          <t>видео</t>
        </is>
      </c>
      <c r="S343" s="4" t="inlineStr">
        <is>
          <t>Farm animals+irregular plurals (по названию)</t>
        </is>
      </c>
      <c r="T343" s="4" t="inlineStr"/>
    </row>
    <row r="344">
      <c r="A344" s="11" t="n">
        <v>343</v>
      </c>
      <c r="B344" s="11" t="inlineStr">
        <is>
          <t>Грамматика</t>
        </is>
      </c>
      <c r="C344" s="11" t="inlineStr">
        <is>
          <t>Существительные и артикли</t>
        </is>
      </c>
      <c r="D344" s="12" t="inlineStr">
        <is>
          <t>Plurals (irregular)</t>
        </is>
      </c>
      <c r="E344" s="22" t="inlineStr">
        <is>
          <t>Plurals (irregular): одинаковая форма ед. и мн. ч. (fish, sheep)</t>
        </is>
      </c>
      <c r="F344" s="11" t="inlineStr">
        <is>
          <t>7–9</t>
        </is>
      </c>
      <c r="G344" s="14" t="inlineStr">
        <is>
          <t>М5 · новое</t>
        </is>
      </c>
      <c r="H344" s="11" t="inlineStr"/>
      <c r="I344" s="11" t="inlineStr"/>
      <c r="J344" s="11" t="inlineStr"/>
      <c r="K344" s="11" t="inlineStr"/>
      <c r="L344" s="11" t="inlineStr"/>
      <c r="M344" s="11" t="inlineStr"/>
      <c r="N344" s="11" t="inlineStr"/>
      <c r="O344" s="11" t="inlineStr"/>
      <c r="P344" s="17" t="inlineStr">
        <is>
          <t>видео</t>
        </is>
      </c>
      <c r="Q344" s="11" t="inlineStr">
        <is>
          <t>Farm animals+irregular plurals</t>
        </is>
      </c>
      <c r="R344" s="20" t="inlineStr">
        <is>
          <t>—</t>
        </is>
      </c>
      <c r="S344" s="21" t="inlineStr"/>
      <c r="T344" s="11" t="inlineStr"/>
    </row>
    <row r="345">
      <c r="A345" s="11" t="n">
        <v>344</v>
      </c>
      <c r="B345" s="11" t="inlineStr">
        <is>
          <t>Грамматика</t>
        </is>
      </c>
      <c r="C345" s="11" t="inlineStr">
        <is>
          <t>Существительные и артикли</t>
        </is>
      </c>
      <c r="D345" s="12" t="inlineStr">
        <is>
          <t>Plurals (irregular)</t>
        </is>
      </c>
      <c r="E345" s="22" t="inlineStr">
        <is>
          <t>Plurals (irregular): существительные только во мн. ч. (jeans, scissors)</t>
        </is>
      </c>
      <c r="F345" s="11" t="inlineStr">
        <is>
          <t>10+</t>
        </is>
      </c>
      <c r="G345" s="11" t="inlineStr"/>
      <c r="H345" s="11" t="inlineStr"/>
      <c r="I345" s="23" t="inlineStr">
        <is>
          <t>М2 (2b) · новое</t>
        </is>
      </c>
      <c r="J345" s="11" t="inlineStr"/>
      <c r="K345" s="11" t="inlineStr"/>
      <c r="L345" s="11" t="inlineStr"/>
      <c r="M345" s="11" t="inlineStr"/>
      <c r="N345" s="11" t="inlineStr"/>
      <c r="O345" s="11" t="inlineStr"/>
      <c r="P345" s="20" t="inlineStr">
        <is>
          <t>—</t>
        </is>
      </c>
      <c r="Q345" s="21" t="inlineStr"/>
      <c r="R345" s="17" t="inlineStr">
        <is>
          <t>видео</t>
        </is>
      </c>
      <c r="S345" s="11" t="inlineStr">
        <is>
          <t>Singular vs plural no... countable uncountable</t>
        </is>
      </c>
      <c r="T345" s="11" t="inlineStr"/>
    </row>
    <row r="346">
      <c r="A346" s="4" t="n">
        <v>345</v>
      </c>
      <c r="B346" s="4" t="inlineStr">
        <is>
          <t>Грамматика</t>
        </is>
      </c>
      <c r="C346" s="4" t="inlineStr">
        <is>
          <t>Существительные и артикли</t>
        </is>
      </c>
      <c r="D346" s="5" t="inlineStr">
        <is>
          <t>Plurals (regular)</t>
        </is>
      </c>
      <c r="E346" s="24" t="inlineStr">
        <is>
          <t>Plurals (regular): основное правило — + -s</t>
        </is>
      </c>
      <c r="F346" s="4" t="inlineStr">
        <is>
          <t>обе</t>
        </is>
      </c>
      <c r="G346" s="7" t="inlineStr">
        <is>
          <t>М2 · новое
М6 · повт.</t>
        </is>
      </c>
      <c r="H346" s="4" t="inlineStr"/>
      <c r="I346" s="9" t="inlineStr">
        <is>
          <t>М2 (2b) · повт.</t>
        </is>
      </c>
      <c r="J346" s="9" t="inlineStr">
        <is>
          <t>М1 · повт.</t>
        </is>
      </c>
      <c r="K346" s="4" t="inlineStr"/>
      <c r="L346" s="4" t="inlineStr"/>
      <c r="M346" s="4" t="inlineStr"/>
      <c r="N346" s="4" t="inlineStr"/>
      <c r="O346" s="4" t="inlineStr"/>
      <c r="P346" s="10" t="inlineStr">
        <is>
          <t>видео</t>
        </is>
      </c>
      <c r="Q346" s="4" t="inlineStr">
        <is>
          <t>Plurals+regular(s)+What is it? What are they?</t>
        </is>
      </c>
      <c r="R346" s="10" t="inlineStr">
        <is>
          <t>нет</t>
        </is>
      </c>
      <c r="S346" s="4" t="inlineStr"/>
      <c r="T346" s="4" t="inlineStr"/>
    </row>
    <row r="347">
      <c r="A347" s="11" t="n">
        <v>346</v>
      </c>
      <c r="B347" s="11" t="inlineStr">
        <is>
          <t>Грамматика</t>
        </is>
      </c>
      <c r="C347" s="11" t="inlineStr">
        <is>
          <t>Существительные и артикли</t>
        </is>
      </c>
      <c r="D347" s="12" t="inlineStr">
        <is>
          <t>Plurals (regular)</t>
        </is>
      </c>
      <c r="E347" s="13" t="inlineStr">
        <is>
          <t>Plurals (regular): орфография — + -es после -s, -ss, -sh, -ch, -x, -o</t>
        </is>
      </c>
      <c r="F347" s="11" t="inlineStr">
        <is>
          <t>обе</t>
        </is>
      </c>
      <c r="G347" s="14" t="inlineStr">
        <is>
          <t>М6 · новое</t>
        </is>
      </c>
      <c r="H347" s="11" t="inlineStr"/>
      <c r="I347" s="19" t="inlineStr">
        <is>
          <t>М2 (2b) · расш.</t>
        </is>
      </c>
      <c r="J347" s="16" t="inlineStr">
        <is>
          <t>М1 · повт.</t>
        </is>
      </c>
      <c r="K347" s="11" t="inlineStr"/>
      <c r="L347" s="11" t="inlineStr"/>
      <c r="M347" s="11" t="inlineStr"/>
      <c r="N347" s="11" t="inlineStr"/>
      <c r="O347" s="11" t="inlineStr"/>
      <c r="P347" s="17" t="inlineStr">
        <is>
          <t>видео</t>
        </is>
      </c>
      <c r="Q347" s="11" t="inlineStr">
        <is>
          <t>Plurals -es, -ies, -ves
Plurals-es,ies,ves</t>
        </is>
      </c>
      <c r="R347" s="17" t="inlineStr">
        <is>
          <t>нет</t>
        </is>
      </c>
      <c r="S347" s="11" t="inlineStr"/>
      <c r="T347" s="11" t="inlineStr"/>
    </row>
    <row r="348">
      <c r="A348" s="11" t="n">
        <v>347</v>
      </c>
      <c r="B348" s="11" t="inlineStr">
        <is>
          <t>Грамматика</t>
        </is>
      </c>
      <c r="C348" s="11" t="inlineStr">
        <is>
          <t>Существительные и артикли</t>
        </is>
      </c>
      <c r="D348" s="12" t="inlineStr">
        <is>
          <t>Plurals (regular)</t>
        </is>
      </c>
      <c r="E348" s="13" t="inlineStr">
        <is>
          <t>Plurals (regular): орфография — -y → -ies (но гласная + y → -s)</t>
        </is>
      </c>
      <c r="F348" s="11" t="inlineStr">
        <is>
          <t>обе</t>
        </is>
      </c>
      <c r="G348" s="14" t="inlineStr">
        <is>
          <t>М6 · новое</t>
        </is>
      </c>
      <c r="H348" s="11" t="inlineStr"/>
      <c r="I348" s="16" t="inlineStr">
        <is>
          <t>М2 (2b) · повт.</t>
        </is>
      </c>
      <c r="J348" s="16" t="inlineStr">
        <is>
          <t>М1 · повт.</t>
        </is>
      </c>
      <c r="K348" s="11" t="inlineStr"/>
      <c r="L348" s="11" t="inlineStr"/>
      <c r="M348" s="11" t="inlineStr"/>
      <c r="N348" s="11" t="inlineStr"/>
      <c r="O348" s="11" t="inlineStr"/>
      <c r="P348" s="17" t="inlineStr">
        <is>
          <t>видео</t>
        </is>
      </c>
      <c r="Q348" s="11" t="inlineStr">
        <is>
          <t>Plurals -es, -ies, -ves
Plurals-es,ies,ves</t>
        </is>
      </c>
      <c r="R348" s="17" t="inlineStr">
        <is>
          <t>нет</t>
        </is>
      </c>
      <c r="S348" s="11" t="inlineStr"/>
      <c r="T348" s="11" t="inlineStr"/>
    </row>
    <row r="349">
      <c r="A349" s="11" t="n">
        <v>348</v>
      </c>
      <c r="B349" s="11" t="inlineStr">
        <is>
          <t>Грамматика</t>
        </is>
      </c>
      <c r="C349" s="11" t="inlineStr">
        <is>
          <t>Существительные и артикли</t>
        </is>
      </c>
      <c r="D349" s="12" t="inlineStr">
        <is>
          <t>Plurals (regular)</t>
        </is>
      </c>
      <c r="E349" s="13" t="inlineStr">
        <is>
          <t>Plurals (regular): орфография — -f/-fe → -ves</t>
        </is>
      </c>
      <c r="F349" s="11" t="inlineStr">
        <is>
          <t>обе</t>
        </is>
      </c>
      <c r="G349" s="14" t="inlineStr">
        <is>
          <t>М6 · новое</t>
        </is>
      </c>
      <c r="H349" s="11" t="inlineStr"/>
      <c r="I349" s="16" t="inlineStr">
        <is>
          <t>М2 (2b) · повт.</t>
        </is>
      </c>
      <c r="J349" s="16" t="inlineStr">
        <is>
          <t>М1 · повт.</t>
        </is>
      </c>
      <c r="K349" s="11" t="inlineStr"/>
      <c r="L349" s="11" t="inlineStr"/>
      <c r="M349" s="11" t="inlineStr"/>
      <c r="N349" s="11" t="inlineStr"/>
      <c r="O349" s="11" t="inlineStr"/>
      <c r="P349" s="17" t="inlineStr">
        <is>
          <t>видео</t>
        </is>
      </c>
      <c r="Q349" s="11" t="inlineStr">
        <is>
          <t>Plurals -es, -ies, -ves
Plurals-es,ies,ves</t>
        </is>
      </c>
      <c r="R349" s="17" t="inlineStr">
        <is>
          <t>нет</t>
        </is>
      </c>
      <c r="S349" s="11" t="inlineStr"/>
      <c r="T349" s="11" t="inlineStr"/>
    </row>
    <row r="350">
      <c r="A350" s="11" t="n">
        <v>349</v>
      </c>
      <c r="B350" s="11" t="inlineStr">
        <is>
          <t>Грамматика</t>
        </is>
      </c>
      <c r="C350" s="11" t="inlineStr">
        <is>
          <t>Существительные и артикли</t>
        </is>
      </c>
      <c r="D350" s="12" t="inlineStr">
        <is>
          <t>Plurals (regular)</t>
        </is>
      </c>
      <c r="E350" s="13" t="inlineStr">
        <is>
          <t>Plurals (regular): исключения на -o — только -s (photos, videos)</t>
        </is>
      </c>
      <c r="F350" s="11" t="inlineStr">
        <is>
          <t>10+</t>
        </is>
      </c>
      <c r="G350" s="11" t="inlineStr"/>
      <c r="H350" s="11" t="inlineStr"/>
      <c r="I350" s="11" t="inlineStr"/>
      <c r="J350" s="23" t="inlineStr">
        <is>
          <t>М1 · новое</t>
        </is>
      </c>
      <c r="K350" s="11" t="inlineStr"/>
      <c r="L350" s="11" t="inlineStr"/>
      <c r="M350" s="11" t="inlineStr"/>
      <c r="N350" s="11" t="inlineStr"/>
      <c r="O350" s="11" t="inlineStr"/>
      <c r="P350" s="20" t="inlineStr">
        <is>
          <t>—</t>
        </is>
      </c>
      <c r="Q350" s="21" t="inlineStr"/>
      <c r="R350" s="17" t="inlineStr">
        <is>
          <t>нет</t>
        </is>
      </c>
      <c r="S350" s="11" t="inlineStr"/>
      <c r="T350" s="11" t="inlineStr"/>
    </row>
    <row r="351">
      <c r="A351" s="11" t="n">
        <v>350</v>
      </c>
      <c r="B351" s="11" t="inlineStr">
        <is>
          <t>Грамматика</t>
        </is>
      </c>
      <c r="C351" s="11" t="inlineStr">
        <is>
          <t>Существительные и артикли</t>
        </is>
      </c>
      <c r="D351" s="12" t="inlineStr">
        <is>
          <t>Plurals (regular)</t>
        </is>
      </c>
      <c r="E351" s="13" t="inlineStr">
        <is>
          <t>Plurals (regular): произношение окончания -(e)s</t>
        </is>
      </c>
      <c r="F351" s="11" t="inlineStr">
        <is>
          <t>10+</t>
        </is>
      </c>
      <c r="G351" s="11" t="inlineStr"/>
      <c r="H351" s="11" t="inlineStr"/>
      <c r="I351" s="23" t="inlineStr">
        <is>
          <t>М2 (2b) · новое</t>
        </is>
      </c>
      <c r="J351" s="11" t="inlineStr"/>
      <c r="K351" s="11" t="inlineStr"/>
      <c r="L351" s="11" t="inlineStr"/>
      <c r="M351" s="11" t="inlineStr"/>
      <c r="N351" s="11" t="inlineStr"/>
      <c r="O351" s="11" t="inlineStr"/>
      <c r="P351" s="20" t="inlineStr">
        <is>
          <t>—</t>
        </is>
      </c>
      <c r="Q351" s="21" t="inlineStr"/>
      <c r="R351" s="17" t="inlineStr">
        <is>
          <t>нет</t>
        </is>
      </c>
      <c r="S351" s="11" t="inlineStr"/>
      <c r="T351" s="11" t="inlineStr"/>
    </row>
    <row r="352">
      <c r="A352" s="4" t="n">
        <v>351</v>
      </c>
      <c r="B352" s="4" t="inlineStr">
        <is>
          <t>Грамматика</t>
        </is>
      </c>
      <c r="C352" s="4" t="inlineStr">
        <is>
          <t>Существительные и артикли</t>
        </is>
      </c>
      <c r="D352" s="5" t="inlineStr">
        <is>
          <t>Possessive case ('s)</t>
        </is>
      </c>
      <c r="E352" s="26" t="inlineStr">
        <is>
          <t>Possessive case ('s): 's в ед. ч. — принадлежность</t>
        </is>
      </c>
      <c r="F352" s="4" t="inlineStr">
        <is>
          <t>обе</t>
        </is>
      </c>
      <c r="G352" s="7" t="inlineStr">
        <is>
          <t>М4 · новое</t>
        </is>
      </c>
      <c r="H352" s="4" t="inlineStr"/>
      <c r="I352" s="9" t="inlineStr">
        <is>
          <t>М4 (4b) · повт.</t>
        </is>
      </c>
      <c r="J352" s="9" t="inlineStr">
        <is>
          <t>М1 (1a) · повт.</t>
        </is>
      </c>
      <c r="K352" s="4" t="inlineStr"/>
      <c r="L352" s="4" t="inlineStr"/>
      <c r="M352" s="4" t="inlineStr"/>
      <c r="N352" s="4" t="inlineStr"/>
      <c r="O352" s="4" t="inlineStr"/>
      <c r="P352" s="10" t="inlineStr">
        <is>
          <t>видео</t>
        </is>
      </c>
      <c r="Q352" s="4" t="inlineStr">
        <is>
          <t>Possessive case ('s) + Whose is this + toys</t>
        </is>
      </c>
      <c r="R352" s="10" t="inlineStr">
        <is>
          <t>вебинар</t>
        </is>
      </c>
      <c r="S352" s="4" t="inlineStr">
        <is>
          <t>вебинар 23.10 (по расписанию): Possessive of vs 's
вебинар 03.11 (по расписанию): Possessive adjectives + possessive case, Whose?
материалы: Possessive of vs _s; Possessive case and pronouns + describing collections and personal belongings</t>
        </is>
      </c>
      <c r="T352" s="4" t="inlineStr"/>
    </row>
    <row r="353">
      <c r="A353" s="11" t="n">
        <v>352</v>
      </c>
      <c r="B353" s="11" t="inlineStr">
        <is>
          <t>Грамматика</t>
        </is>
      </c>
      <c r="C353" s="11" t="inlineStr">
        <is>
          <t>Существительные и артикли</t>
        </is>
      </c>
      <c r="D353" s="12" t="inlineStr">
        <is>
          <t>Possessive case ('s)</t>
        </is>
      </c>
      <c r="E353" s="18" t="inlineStr">
        <is>
          <t>Possessive case ('s): вопрос Whose?</t>
        </is>
      </c>
      <c r="F353" s="11" t="inlineStr">
        <is>
          <t>обе</t>
        </is>
      </c>
      <c r="G353" s="14" t="inlineStr">
        <is>
          <t>М4 · новое</t>
        </is>
      </c>
      <c r="H353" s="11" t="inlineStr"/>
      <c r="I353" s="16" t="inlineStr">
        <is>
          <t>М4 (4b) · повт.</t>
        </is>
      </c>
      <c r="J353" s="11" t="inlineStr"/>
      <c r="K353" s="11" t="inlineStr"/>
      <c r="L353" s="11" t="inlineStr"/>
      <c r="M353" s="11" t="inlineStr"/>
      <c r="N353" s="11" t="inlineStr"/>
      <c r="O353" s="11" t="inlineStr"/>
      <c r="P353" s="17" t="inlineStr">
        <is>
          <t>видео</t>
        </is>
      </c>
      <c r="Q353" s="11" t="inlineStr">
        <is>
          <t>Possessive case ('s) + Whose is this + toys</t>
        </is>
      </c>
      <c r="R353" s="17" t="inlineStr">
        <is>
          <t>вебинар</t>
        </is>
      </c>
      <c r="S353" s="11" t="inlineStr">
        <is>
          <t>вебинар 03.11 (по расписанию): Possessive adjectives + possessive case, Whose?
материалы: Possessive case and pronouns + describing collections and personal belongings</t>
        </is>
      </c>
      <c r="T353" s="11" t="inlineStr"/>
    </row>
    <row r="354">
      <c r="A354" s="11" t="n">
        <v>353</v>
      </c>
      <c r="B354" s="11" t="inlineStr">
        <is>
          <t>Грамматика</t>
        </is>
      </c>
      <c r="C354" s="11" t="inlineStr">
        <is>
          <t>Существительные и артикли</t>
        </is>
      </c>
      <c r="D354" s="12" t="inlineStr">
        <is>
          <t>Possessive case ('s)</t>
        </is>
      </c>
      <c r="E354" s="13" t="inlineStr">
        <is>
          <t>Possessive case ('s): значение — отношения между людьми</t>
        </is>
      </c>
      <c r="F354" s="11" t="inlineStr">
        <is>
          <t>10+</t>
        </is>
      </c>
      <c r="G354" s="11" t="inlineStr"/>
      <c r="H354" s="11" t="inlineStr"/>
      <c r="I354" s="23" t="inlineStr">
        <is>
          <t>М4 (4b) · новое</t>
        </is>
      </c>
      <c r="J354" s="16" t="inlineStr">
        <is>
          <t>М1 (1a) · повт.</t>
        </is>
      </c>
      <c r="K354" s="11" t="inlineStr"/>
      <c r="L354" s="11" t="inlineStr"/>
      <c r="M354" s="11" t="inlineStr"/>
      <c r="N354" s="11" t="inlineStr"/>
      <c r="O354" s="11" t="inlineStr"/>
      <c r="P354" s="20" t="inlineStr">
        <is>
          <t>—</t>
        </is>
      </c>
      <c r="Q354" s="21" t="inlineStr"/>
      <c r="R354" s="17" t="inlineStr">
        <is>
          <t>нет</t>
        </is>
      </c>
      <c r="S354" s="11" t="inlineStr"/>
      <c r="T354" s="11" t="inlineStr"/>
    </row>
    <row r="355">
      <c r="A355" s="11" t="n">
        <v>354</v>
      </c>
      <c r="B355" s="11" t="inlineStr">
        <is>
          <t>Грамматика</t>
        </is>
      </c>
      <c r="C355" s="11" t="inlineStr">
        <is>
          <t>Существительные и артикли</t>
        </is>
      </c>
      <c r="D355" s="12" t="inlineStr">
        <is>
          <t>Possessive case ('s)</t>
        </is>
      </c>
      <c r="E355" s="13" t="inlineStr">
        <is>
          <t>Possessive case ('s): магазины, учреждения, чей-то дом (at the baker's)</t>
        </is>
      </c>
      <c r="F355" s="11" t="inlineStr">
        <is>
          <t>10+</t>
        </is>
      </c>
      <c r="G355" s="11" t="inlineStr"/>
      <c r="H355" s="11" t="inlineStr"/>
      <c r="I355" s="23" t="inlineStr">
        <is>
          <t>М4 (4b) · новое</t>
        </is>
      </c>
      <c r="J355" s="19" t="inlineStr">
        <is>
          <t>М1 (1a) · расш.</t>
        </is>
      </c>
      <c r="K355" s="11" t="inlineStr"/>
      <c r="L355" s="11" t="inlineStr"/>
      <c r="M355" s="11" t="inlineStr"/>
      <c r="N355" s="11" t="inlineStr"/>
      <c r="O355" s="11" t="inlineStr"/>
      <c r="P355" s="20" t="inlineStr">
        <is>
          <t>—</t>
        </is>
      </c>
      <c r="Q355" s="21" t="inlineStr"/>
      <c r="R355" s="17" t="inlineStr">
        <is>
          <t>нет</t>
        </is>
      </c>
      <c r="S355" s="11" t="inlineStr"/>
      <c r="T355" s="11" t="inlineStr"/>
    </row>
    <row r="356">
      <c r="A356" s="11" t="n">
        <v>355</v>
      </c>
      <c r="B356" s="11" t="inlineStr">
        <is>
          <t>Грамматика</t>
        </is>
      </c>
      <c r="C356" s="11" t="inlineStr">
        <is>
          <t>Существительные и артикли</t>
        </is>
      </c>
      <c r="D356" s="12" t="inlineStr">
        <is>
          <t>Possessive case ('s)</t>
        </is>
      </c>
      <c r="E356" s="18" t="inlineStr">
        <is>
          <t>Possessive case ('s): имена на -s — 's или только апостроф</t>
        </is>
      </c>
      <c r="F356" s="11" t="inlineStr">
        <is>
          <t>10+</t>
        </is>
      </c>
      <c r="G356" s="11" t="inlineStr"/>
      <c r="H356" s="11" t="inlineStr"/>
      <c r="I356" s="23" t="inlineStr">
        <is>
          <t>М4 (4b) · новое</t>
        </is>
      </c>
      <c r="J356" s="16" t="inlineStr">
        <is>
          <t>М1 (1a) · повт.</t>
        </is>
      </c>
      <c r="K356" s="11" t="inlineStr"/>
      <c r="L356" s="11" t="inlineStr"/>
      <c r="M356" s="11" t="inlineStr"/>
      <c r="N356" s="11" t="inlineStr"/>
      <c r="O356" s="11" t="inlineStr"/>
      <c r="P356" s="20" t="inlineStr">
        <is>
          <t>—</t>
        </is>
      </c>
      <c r="Q356" s="21" t="inlineStr"/>
      <c r="R356" s="17" t="inlineStr">
        <is>
          <t>вебинар</t>
        </is>
      </c>
      <c r="S356" s="11" t="inlineStr">
        <is>
          <t>вебинар 03.11 (по расписанию): Possessive adjectives + possessive case, Whose?</t>
        </is>
      </c>
      <c r="T356" s="11" t="inlineStr"/>
    </row>
    <row r="357">
      <c r="A357" s="11" t="n">
        <v>356</v>
      </c>
      <c r="B357" s="11" t="inlineStr">
        <is>
          <t>Грамматика</t>
        </is>
      </c>
      <c r="C357" s="11" t="inlineStr">
        <is>
          <t>Существительные и артикли</t>
        </is>
      </c>
      <c r="D357" s="12" t="inlineStr">
        <is>
          <t>Possessive case ('s)</t>
        </is>
      </c>
      <c r="E357" s="18" t="inlineStr">
        <is>
          <t>Possessive case ('s): мн. ч. — s' (the boys') и исключения 's (the children's)</t>
        </is>
      </c>
      <c r="F357" s="11" t="inlineStr">
        <is>
          <t>10+</t>
        </is>
      </c>
      <c r="G357" s="11" t="inlineStr"/>
      <c r="H357" s="11" t="inlineStr"/>
      <c r="I357" s="23" t="inlineStr">
        <is>
          <t>М4 (4b) · новое</t>
        </is>
      </c>
      <c r="J357" s="16" t="inlineStr">
        <is>
          <t>М1 (1a) · повт.</t>
        </is>
      </c>
      <c r="K357" s="11" t="inlineStr"/>
      <c r="L357" s="11" t="inlineStr"/>
      <c r="M357" s="11" t="inlineStr"/>
      <c r="N357" s="11" t="inlineStr"/>
      <c r="O357" s="11" t="inlineStr"/>
      <c r="P357" s="20" t="inlineStr">
        <is>
          <t>—</t>
        </is>
      </c>
      <c r="Q357" s="21" t="inlineStr"/>
      <c r="R357" s="17" t="inlineStr">
        <is>
          <t>вебинар</t>
        </is>
      </c>
      <c r="S357" s="11" t="inlineStr">
        <is>
          <t>вебинар 23.10 (по расписанию): Possessive of vs 's
вебинар 03.11 (по расписанию): Possessive adjectives + possessive case, Whose?
материалы: Possessive of vs _s; Possessive case and pronouns + describing collections and personal belongings</t>
        </is>
      </c>
      <c r="T357" s="11" t="inlineStr"/>
    </row>
    <row r="358">
      <c r="A358" s="11" t="n">
        <v>357</v>
      </c>
      <c r="B358" s="11" t="inlineStr">
        <is>
          <t>Грамматика</t>
        </is>
      </c>
      <c r="C358" s="11" t="inlineStr">
        <is>
          <t>Существительные и артикли</t>
        </is>
      </c>
      <c r="D358" s="12" t="inlineStr">
        <is>
          <t>Possessive case ('s)</t>
        </is>
      </c>
      <c r="E358" s="18" t="inlineStr">
        <is>
          <t>Possessive case ('s): of для неодушевлённых (the windows of the house)</t>
        </is>
      </c>
      <c r="F358" s="11" t="inlineStr">
        <is>
          <t>10+</t>
        </is>
      </c>
      <c r="G358" s="11" t="inlineStr"/>
      <c r="H358" s="11" t="inlineStr"/>
      <c r="I358" s="23" t="inlineStr">
        <is>
          <t>М4 (4b) · новое</t>
        </is>
      </c>
      <c r="J358" s="11" t="inlineStr"/>
      <c r="K358" s="11" t="inlineStr"/>
      <c r="L358" s="11" t="inlineStr"/>
      <c r="M358" s="11" t="inlineStr"/>
      <c r="N358" s="11" t="inlineStr"/>
      <c r="O358" s="11" t="inlineStr"/>
      <c r="P358" s="20" t="inlineStr">
        <is>
          <t>—</t>
        </is>
      </c>
      <c r="Q358" s="21" t="inlineStr"/>
      <c r="R358" s="17" t="inlineStr">
        <is>
          <t>вебинар</t>
        </is>
      </c>
      <c r="S358" s="11" t="inlineStr">
        <is>
          <t>вебинар 23.10 (по расписанию): Possessive of vs 's
материалы: Possessive of vs _s</t>
        </is>
      </c>
      <c r="T358" s="11" t="inlineStr"/>
    </row>
    <row r="359">
      <c r="A359" s="4" t="n">
        <v>358</v>
      </c>
      <c r="B359" s="4" t="inlineStr">
        <is>
          <t>Грамматика</t>
        </is>
      </c>
      <c r="C359" s="4" t="inlineStr">
        <is>
          <t>Существительные и артикли</t>
        </is>
      </c>
      <c r="D359" s="5" t="inlineStr">
        <is>
          <t>a/an</t>
        </is>
      </c>
      <c r="E359" s="24" t="inlineStr">
        <is>
          <t>a/an: неопределённый артикль — только с исчисляемыми в ед. ч.</t>
        </is>
      </c>
      <c r="F359" s="4" t="inlineStr">
        <is>
          <t>обе</t>
        </is>
      </c>
      <c r="G359" s="7" t="inlineStr">
        <is>
          <t>М4 · новое</t>
        </is>
      </c>
      <c r="H359" s="4" t="inlineStr"/>
      <c r="I359" s="9" t="inlineStr">
        <is>
          <t>М1 (1a) · повт.</t>
        </is>
      </c>
      <c r="J359" s="4" t="inlineStr"/>
      <c r="K359" s="4" t="inlineStr"/>
      <c r="L359" s="4" t="inlineStr"/>
      <c r="M359" s="4" t="inlineStr"/>
      <c r="N359" s="4" t="inlineStr"/>
      <c r="O359" s="4" t="inlineStr"/>
      <c r="P359" s="10" t="inlineStr">
        <is>
          <t>нет</t>
        </is>
      </c>
      <c r="Q359" s="4" t="inlineStr"/>
      <c r="R359" s="10" t="inlineStr">
        <is>
          <t>видео</t>
        </is>
      </c>
      <c r="S359" s="4" t="inlineStr">
        <is>
          <t>Shopping .Articles.
Shopping. Articles.
Articles review + travel and holidays</t>
        </is>
      </c>
      <c r="T359" s="4" t="inlineStr"/>
    </row>
    <row r="360">
      <c r="A360" s="11" t="n">
        <v>359</v>
      </c>
      <c r="B360" s="11" t="inlineStr">
        <is>
          <t>Грамматика</t>
        </is>
      </c>
      <c r="C360" s="11" t="inlineStr">
        <is>
          <t>Существительные и артикли</t>
        </is>
      </c>
      <c r="D360" s="12" t="inlineStr">
        <is>
          <t>a/an</t>
        </is>
      </c>
      <c r="E360" s="22" t="inlineStr">
        <is>
          <t>a/an: a перед согласной, an перед гласной</t>
        </is>
      </c>
      <c r="F360" s="11" t="inlineStr">
        <is>
          <t>обе</t>
        </is>
      </c>
      <c r="G360" s="14" t="inlineStr">
        <is>
          <t>М4 · новое</t>
        </is>
      </c>
      <c r="H360" s="11" t="inlineStr"/>
      <c r="I360" s="16" t="inlineStr">
        <is>
          <t>М1 (1a) · повт.</t>
        </is>
      </c>
      <c r="J360" s="11" t="inlineStr"/>
      <c r="K360" s="11" t="inlineStr"/>
      <c r="L360" s="11" t="inlineStr"/>
      <c r="M360" s="11" t="inlineStr"/>
      <c r="N360" s="11" t="inlineStr"/>
      <c r="O360" s="11" t="inlineStr"/>
      <c r="P360" s="17" t="inlineStr">
        <is>
          <t>видео</t>
        </is>
      </c>
      <c r="Q360" s="11" t="inlineStr">
        <is>
          <t>A,An+This,That+various subjects</t>
        </is>
      </c>
      <c r="R360" s="17" t="inlineStr">
        <is>
          <t>видео</t>
        </is>
      </c>
      <c r="S360" s="11" t="inlineStr">
        <is>
          <t>Shopping .Articles.
Shopping. Articles.
Articles review + travel and holidays</t>
        </is>
      </c>
      <c r="T360" s="11" t="inlineStr"/>
    </row>
    <row r="361">
      <c r="A361" s="4" t="n">
        <v>360</v>
      </c>
      <c r="B361" s="4" t="inlineStr">
        <is>
          <t>Грамматика</t>
        </is>
      </c>
      <c r="C361" s="4" t="inlineStr">
        <is>
          <t>Существительные и артикли</t>
        </is>
      </c>
      <c r="D361" s="5" t="inlineStr">
        <is>
          <t>a/an/some/any</t>
        </is>
      </c>
      <c r="E361" s="26" t="inlineStr">
        <is>
          <t>a/an/some/any: some — в утверждениях (неисчисляемые и мн. ч.)</t>
        </is>
      </c>
      <c r="F361" s="4" t="inlineStr">
        <is>
          <t>обе</t>
        </is>
      </c>
      <c r="G361" s="7" t="inlineStr">
        <is>
          <t>М3 · новое</t>
        </is>
      </c>
      <c r="H361" s="4" t="inlineStr"/>
      <c r="I361" s="9" t="inlineStr">
        <is>
          <t>М8 (8b) · повт.</t>
        </is>
      </c>
      <c r="J361" s="9" t="inlineStr">
        <is>
          <t>М2 (2b) · повт.</t>
        </is>
      </c>
      <c r="K361" s="9" t="inlineStr">
        <is>
          <t>М9 · повт.</t>
        </is>
      </c>
      <c r="L361" s="4" t="inlineStr"/>
      <c r="M361" s="4" t="inlineStr"/>
      <c r="N361" s="4" t="inlineStr"/>
      <c r="O361" s="4" t="inlineStr"/>
      <c r="P361" s="10" t="inlineStr">
        <is>
          <t>вебинар</t>
        </is>
      </c>
      <c r="Q361" s="4" t="inlineStr">
        <is>
          <t>вебинар 22.10 (по расписанию): Some / any + Can I have some… + food
материалы: Some  any  Can I have some… + food; Can I have some any + food</t>
        </is>
      </c>
      <c r="R361" s="10" t="inlineStr">
        <is>
          <t>видео</t>
        </is>
      </c>
      <c r="S361" s="4" t="inlineStr">
        <is>
          <t>Food Quantifiers, countables-uncountables</t>
        </is>
      </c>
      <c r="T361" s="4" t="inlineStr"/>
    </row>
    <row r="362">
      <c r="A362" s="11" t="n">
        <v>361</v>
      </c>
      <c r="B362" s="11" t="inlineStr">
        <is>
          <t>Грамматика</t>
        </is>
      </c>
      <c r="C362" s="11" t="inlineStr">
        <is>
          <t>Существительные и артикли</t>
        </is>
      </c>
      <c r="D362" s="12" t="inlineStr">
        <is>
          <t>a/an/some/any</t>
        </is>
      </c>
      <c r="E362" s="18" t="inlineStr">
        <is>
          <t>a/an/some/any: any — в отрицаниях</t>
        </is>
      </c>
      <c r="F362" s="11" t="inlineStr">
        <is>
          <t>обе</t>
        </is>
      </c>
      <c r="G362" s="14" t="inlineStr">
        <is>
          <t>М3 · новое</t>
        </is>
      </c>
      <c r="H362" s="11" t="inlineStr"/>
      <c r="I362" s="16" t="inlineStr">
        <is>
          <t>М8 (8b) · повт.</t>
        </is>
      </c>
      <c r="J362" s="16" t="inlineStr">
        <is>
          <t>М2 (2b) · повт.</t>
        </is>
      </c>
      <c r="K362" s="16" t="inlineStr">
        <is>
          <t>М9 · повт.</t>
        </is>
      </c>
      <c r="L362" s="11" t="inlineStr"/>
      <c r="M362" s="11" t="inlineStr"/>
      <c r="N362" s="11" t="inlineStr"/>
      <c r="O362" s="11" t="inlineStr"/>
      <c r="P362" s="17" t="inlineStr">
        <is>
          <t>вебинар</t>
        </is>
      </c>
      <c r="Q362" s="11" t="inlineStr">
        <is>
          <t>вебинар 22.10 (по расписанию): Some / any + Can I have some… + food
материалы: Some  any  Can I have some… + food; Can I have some any + food</t>
        </is>
      </c>
      <c r="R362" s="17" t="inlineStr">
        <is>
          <t>видео</t>
        </is>
      </c>
      <c r="S362" s="11" t="inlineStr">
        <is>
          <t>Food Quantifiers, countables-uncountables</t>
        </is>
      </c>
      <c r="T362" s="11" t="inlineStr"/>
    </row>
    <row r="363">
      <c r="A363" s="11" t="n">
        <v>362</v>
      </c>
      <c r="B363" s="11" t="inlineStr">
        <is>
          <t>Грамматика</t>
        </is>
      </c>
      <c r="C363" s="11" t="inlineStr">
        <is>
          <t>Существительные и артикли</t>
        </is>
      </c>
      <c r="D363" s="12" t="inlineStr">
        <is>
          <t>a/an/some/any</t>
        </is>
      </c>
      <c r="E363" s="18" t="inlineStr">
        <is>
          <t>a/an/some/any: any — в вопросах</t>
        </is>
      </c>
      <c r="F363" s="11" t="inlineStr">
        <is>
          <t>обе</t>
        </is>
      </c>
      <c r="G363" s="14" t="inlineStr">
        <is>
          <t>М3 · новое</t>
        </is>
      </c>
      <c r="H363" s="11" t="inlineStr"/>
      <c r="I363" s="16" t="inlineStr">
        <is>
          <t>М8 (8b) · повт.</t>
        </is>
      </c>
      <c r="J363" s="16" t="inlineStr">
        <is>
          <t>М2 (2b) · повт.</t>
        </is>
      </c>
      <c r="K363" s="16" t="inlineStr">
        <is>
          <t>М9 · повт.</t>
        </is>
      </c>
      <c r="L363" s="11" t="inlineStr"/>
      <c r="M363" s="11" t="inlineStr"/>
      <c r="N363" s="11" t="inlineStr"/>
      <c r="O363" s="11" t="inlineStr"/>
      <c r="P363" s="17" t="inlineStr">
        <is>
          <t>вебинар</t>
        </is>
      </c>
      <c r="Q363" s="11" t="inlineStr">
        <is>
          <t>вебинар 22.10 (по расписанию): Some / any + Can I have some… + food
материалы: Some  any  Can I have some… + food; Can I have some any + food</t>
        </is>
      </c>
      <c r="R363" s="17" t="inlineStr">
        <is>
          <t>видео</t>
        </is>
      </c>
      <c r="S363" s="11" t="inlineStr">
        <is>
          <t>Food Quantifiers, countables-uncountables</t>
        </is>
      </c>
      <c r="T363" s="11" t="inlineStr"/>
    </row>
    <row r="364">
      <c r="A364" s="11" t="n">
        <v>363</v>
      </c>
      <c r="B364" s="11" t="inlineStr">
        <is>
          <t>Грамматика</t>
        </is>
      </c>
      <c r="C364" s="11" t="inlineStr">
        <is>
          <t>Существительные и артикли</t>
        </is>
      </c>
      <c r="D364" s="12" t="inlineStr">
        <is>
          <t>a/an/some/any</t>
        </is>
      </c>
      <c r="E364" s="13" t="inlineStr">
        <is>
          <t>a/an/some/any: some в вопросах — просьба и предложение</t>
        </is>
      </c>
      <c r="F364" s="11" t="inlineStr">
        <is>
          <t>обе</t>
        </is>
      </c>
      <c r="G364" s="14" t="inlineStr">
        <is>
          <t>М3 · новое</t>
        </is>
      </c>
      <c r="H364" s="11" t="inlineStr"/>
      <c r="I364" s="16" t="inlineStr">
        <is>
          <t>М8 (8b) · повт.</t>
        </is>
      </c>
      <c r="J364" s="19" t="inlineStr">
        <is>
          <t>М2 (2b) · расш.</t>
        </is>
      </c>
      <c r="K364" s="16" t="inlineStr">
        <is>
          <t>М9 · повт.</t>
        </is>
      </c>
      <c r="L364" s="11" t="inlineStr"/>
      <c r="M364" s="11" t="inlineStr"/>
      <c r="N364" s="11" t="inlineStr"/>
      <c r="O364" s="11" t="inlineStr"/>
      <c r="P364" s="17" t="inlineStr">
        <is>
          <t>вебинар</t>
        </is>
      </c>
      <c r="Q364" s="11" t="inlineStr">
        <is>
          <t>вебинар 22.10 (по расписанию): Some / any + Can I have some… + food
материалы: Some  any  Can I have some… + food; Can I have some any + food</t>
        </is>
      </c>
      <c r="R364" s="17" t="inlineStr">
        <is>
          <t>нет</t>
        </is>
      </c>
      <c r="S364" s="11" t="inlineStr"/>
      <c r="T364" s="11" t="inlineStr"/>
    </row>
    <row r="365">
      <c r="A365" s="11" t="n">
        <v>364</v>
      </c>
      <c r="B365" s="11" t="inlineStr">
        <is>
          <t>Грамматика</t>
        </is>
      </c>
      <c r="C365" s="11" t="inlineStr">
        <is>
          <t>Существительные и артикли</t>
        </is>
      </c>
      <c r="D365" s="12" t="inlineStr">
        <is>
          <t>a/an/some/any</t>
        </is>
      </c>
      <c r="E365" s="13" t="inlineStr">
        <is>
          <t>a/an/some/any: a/an vs some/any — исчисляемые ед. ч. во всех типах предложений</t>
        </is>
      </c>
      <c r="F365" s="11" t="inlineStr">
        <is>
          <t>10+</t>
        </is>
      </c>
      <c r="G365" s="11" t="inlineStr"/>
      <c r="H365" s="11" t="inlineStr"/>
      <c r="I365" s="23" t="inlineStr">
        <is>
          <t>М8 (8b) · новое</t>
        </is>
      </c>
      <c r="J365" s="11" t="inlineStr"/>
      <c r="K365" s="16" t="inlineStr">
        <is>
          <t>М9 · повт.</t>
        </is>
      </c>
      <c r="L365" s="11" t="inlineStr"/>
      <c r="M365" s="11" t="inlineStr"/>
      <c r="N365" s="11" t="inlineStr"/>
      <c r="O365" s="11" t="inlineStr"/>
      <c r="P365" s="20" t="inlineStr">
        <is>
          <t>—</t>
        </is>
      </c>
      <c r="Q365" s="21" t="inlineStr"/>
      <c r="R365" s="17" t="inlineStr">
        <is>
          <t>нет</t>
        </is>
      </c>
      <c r="S365" s="11" t="inlineStr"/>
      <c r="T365" s="11" t="inlineStr"/>
    </row>
    <row r="366">
      <c r="A366" s="11" t="n">
        <v>365</v>
      </c>
      <c r="B366" s="11" t="inlineStr">
        <is>
          <t>Грамматика</t>
        </is>
      </c>
      <c r="C366" s="11" t="inlineStr">
        <is>
          <t>Существительные и артикли</t>
        </is>
      </c>
      <c r="D366" s="12" t="inlineStr">
        <is>
          <t>a/an/some/any</t>
        </is>
      </c>
      <c r="E366" s="13" t="inlineStr">
        <is>
          <t>a/an/some/any: перевод some — «несколько» / «немного» / не переводится</t>
        </is>
      </c>
      <c r="F366" s="11" t="inlineStr">
        <is>
          <t>10+</t>
        </is>
      </c>
      <c r="G366" s="11" t="inlineStr"/>
      <c r="H366" s="11" t="inlineStr"/>
      <c r="I366" s="23" t="inlineStr">
        <is>
          <t>М8 (8b) · новое</t>
        </is>
      </c>
      <c r="J366" s="16" t="inlineStr">
        <is>
          <t>М2 (2b) · повт.</t>
        </is>
      </c>
      <c r="K366" s="11" t="inlineStr"/>
      <c r="L366" s="11" t="inlineStr"/>
      <c r="M366" s="11" t="inlineStr"/>
      <c r="N366" s="11" t="inlineStr"/>
      <c r="O366" s="11" t="inlineStr"/>
      <c r="P366" s="20" t="inlineStr">
        <is>
          <t>—</t>
        </is>
      </c>
      <c r="Q366" s="21" t="inlineStr"/>
      <c r="R366" s="17" t="inlineStr">
        <is>
          <t>нет</t>
        </is>
      </c>
      <c r="S366" s="11" t="inlineStr"/>
      <c r="T366" s="11" t="inlineStr"/>
    </row>
    <row r="367">
      <c r="A367" s="4" t="n">
        <v>366</v>
      </c>
      <c r="B367" s="4" t="inlineStr">
        <is>
          <t>Грамматика</t>
        </is>
      </c>
      <c r="C367" s="4" t="inlineStr">
        <is>
          <t>Существительные и артикли</t>
        </is>
      </c>
      <c r="D367" s="5" t="inlineStr">
        <is>
          <t>much/many/a lot of</t>
        </is>
      </c>
      <c r="E367" s="6" t="inlineStr">
        <is>
          <t>much/many/a lot of: a lot of / lots of — в утверждениях (исчисляемые и неисчисляемые)</t>
        </is>
      </c>
      <c r="F367" s="4" t="inlineStr">
        <is>
          <t>обе</t>
        </is>
      </c>
      <c r="G367" s="4" t="inlineStr"/>
      <c r="H367" s="7" t="inlineStr">
        <is>
          <t>М3 · новое</t>
        </is>
      </c>
      <c r="I367" s="9" t="inlineStr">
        <is>
          <t>М8 (8b) · повт.</t>
        </is>
      </c>
      <c r="J367" s="30" t="inlineStr">
        <is>
          <t>М9 (9a) · расш.</t>
        </is>
      </c>
      <c r="K367" s="9" t="inlineStr">
        <is>
          <t>М9 · повт.</t>
        </is>
      </c>
      <c r="L367" s="4" t="inlineStr"/>
      <c r="M367" s="4" t="inlineStr"/>
      <c r="N367" s="9" t="inlineStr">
        <is>
          <t>М5 (5c) · повт.</t>
        </is>
      </c>
      <c r="O367" s="9" t="inlineStr">
        <is>
          <t>М8 (8c) · повт.</t>
        </is>
      </c>
      <c r="P367" s="10" t="inlineStr">
        <is>
          <t>видео</t>
        </is>
      </c>
      <c r="Q367" s="4" t="inlineStr">
        <is>
          <t>Food.Much.Many.A lot of.
How much many a lot of not much not many</t>
        </is>
      </c>
      <c r="R367" s="10" t="inlineStr">
        <is>
          <t>видео</t>
        </is>
      </c>
      <c r="S367" s="4" t="inlineStr">
        <is>
          <t>Food Quantifiers, countables-uncountables</t>
        </is>
      </c>
      <c r="T367" s="4" t="inlineStr"/>
    </row>
    <row r="368">
      <c r="A368" s="11" t="n">
        <v>367</v>
      </c>
      <c r="B368" s="11" t="inlineStr">
        <is>
          <t>Грамматика</t>
        </is>
      </c>
      <c r="C368" s="11" t="inlineStr">
        <is>
          <t>Существительные и артикли</t>
        </is>
      </c>
      <c r="D368" s="12" t="inlineStr">
        <is>
          <t>much/many/a lot of</t>
        </is>
      </c>
      <c r="E368" s="22" t="inlineStr">
        <is>
          <t>much/many/a lot of: much/many — отрицание</t>
        </is>
      </c>
      <c r="F368" s="11" t="inlineStr">
        <is>
          <t>обе</t>
        </is>
      </c>
      <c r="G368" s="11" t="inlineStr"/>
      <c r="H368" s="14" t="inlineStr">
        <is>
          <t>М3 · новое</t>
        </is>
      </c>
      <c r="I368" s="16" t="inlineStr">
        <is>
          <t>М8 (8b) · повт.</t>
        </is>
      </c>
      <c r="J368" s="16" t="inlineStr">
        <is>
          <t>М9 (9a) · повт.</t>
        </is>
      </c>
      <c r="K368" s="16" t="inlineStr">
        <is>
          <t>М9 · повт.</t>
        </is>
      </c>
      <c r="L368" s="11" t="inlineStr"/>
      <c r="M368" s="11" t="inlineStr"/>
      <c r="N368" s="16" t="inlineStr">
        <is>
          <t>М5 (5c) · повт.</t>
        </is>
      </c>
      <c r="O368" s="16" t="inlineStr">
        <is>
          <t>М8 (8c) · повт.</t>
        </is>
      </c>
      <c r="P368" s="17" t="inlineStr">
        <is>
          <t>видео</t>
        </is>
      </c>
      <c r="Q368" s="11" t="inlineStr">
        <is>
          <t>Food.Much.Many.A lot of.</t>
        </is>
      </c>
      <c r="R368" s="17" t="inlineStr">
        <is>
          <t>видео</t>
        </is>
      </c>
      <c r="S368" s="11" t="inlineStr">
        <is>
          <t>Food Quantifiers, countables-uncountables</t>
        </is>
      </c>
      <c r="T368" s="11" t="inlineStr"/>
    </row>
    <row r="369">
      <c r="A369" s="11" t="n">
        <v>368</v>
      </c>
      <c r="B369" s="11" t="inlineStr">
        <is>
          <t>Грамматика</t>
        </is>
      </c>
      <c r="C369" s="11" t="inlineStr">
        <is>
          <t>Существительные и артикли</t>
        </is>
      </c>
      <c r="D369" s="12" t="inlineStr">
        <is>
          <t>much/many/a lot of</t>
        </is>
      </c>
      <c r="E369" s="22" t="inlineStr">
        <is>
          <t>much/many/a lot of: much/many — вопросы</t>
        </is>
      </c>
      <c r="F369" s="11" t="inlineStr">
        <is>
          <t>обе</t>
        </is>
      </c>
      <c r="G369" s="11" t="inlineStr"/>
      <c r="H369" s="14" t="inlineStr">
        <is>
          <t>М3 · новое</t>
        </is>
      </c>
      <c r="I369" s="16" t="inlineStr">
        <is>
          <t>М8 (8b) · повт.</t>
        </is>
      </c>
      <c r="J369" s="16" t="inlineStr">
        <is>
          <t>М9 (9a) · повт.</t>
        </is>
      </c>
      <c r="K369" s="16" t="inlineStr">
        <is>
          <t>М9 · повт.</t>
        </is>
      </c>
      <c r="L369" s="11" t="inlineStr"/>
      <c r="M369" s="11" t="inlineStr"/>
      <c r="N369" s="16" t="inlineStr">
        <is>
          <t>М5 (5c) · повт.</t>
        </is>
      </c>
      <c r="O369" s="16" t="inlineStr">
        <is>
          <t>М8 (8c) · повт.</t>
        </is>
      </c>
      <c r="P369" s="17" t="inlineStr">
        <is>
          <t>видео</t>
        </is>
      </c>
      <c r="Q369" s="11" t="inlineStr">
        <is>
          <t>Food.Much.Many.A lot of.</t>
        </is>
      </c>
      <c r="R369" s="17" t="inlineStr">
        <is>
          <t>видео</t>
        </is>
      </c>
      <c r="S369" s="11" t="inlineStr">
        <is>
          <t>Food Quantifiers, countables-uncountables</t>
        </is>
      </c>
      <c r="T369" s="11" t="inlineStr"/>
    </row>
    <row r="370">
      <c r="A370" s="11" t="n">
        <v>369</v>
      </c>
      <c r="B370" s="11" t="inlineStr">
        <is>
          <t>Грамматика</t>
        </is>
      </c>
      <c r="C370" s="11" t="inlineStr">
        <is>
          <t>Существительные и артикли</t>
        </is>
      </c>
      <c r="D370" s="12" t="inlineStr">
        <is>
          <t>much/many/a lot of</t>
        </is>
      </c>
      <c r="E370" s="22" t="inlineStr">
        <is>
          <t>much/many/a lot of: How much? / How many?</t>
        </is>
      </c>
      <c r="F370" s="11" t="inlineStr">
        <is>
          <t>обе</t>
        </is>
      </c>
      <c r="G370" s="11" t="inlineStr"/>
      <c r="H370" s="14" t="inlineStr">
        <is>
          <t>М3 · новое</t>
        </is>
      </c>
      <c r="I370" s="16" t="inlineStr">
        <is>
          <t>М8 (8b) · повт.</t>
        </is>
      </c>
      <c r="J370" s="16" t="inlineStr">
        <is>
          <t>М9 (9a) · повт.</t>
        </is>
      </c>
      <c r="K370" s="11" t="inlineStr"/>
      <c r="L370" s="11" t="inlineStr"/>
      <c r="M370" s="11" t="inlineStr"/>
      <c r="N370" s="11" t="inlineStr"/>
      <c r="O370" s="11" t="inlineStr"/>
      <c r="P370" s="17" t="inlineStr">
        <is>
          <t>видео</t>
        </is>
      </c>
      <c r="Q370" s="11" t="inlineStr">
        <is>
          <t>Food.Much.Many.A lot of.
How much many a lot of not much not many</t>
        </is>
      </c>
      <c r="R370" s="17" t="inlineStr">
        <is>
          <t>видео</t>
        </is>
      </c>
      <c r="S370" s="11" t="inlineStr">
        <is>
          <t>Food Quantifiers, countables-uncountables
Singular vs plural no... countable uncountable</t>
        </is>
      </c>
      <c r="T370" s="11" t="inlineStr"/>
    </row>
    <row r="371">
      <c r="A371" s="11" t="n">
        <v>370</v>
      </c>
      <c r="B371" s="11" t="inlineStr">
        <is>
          <t>Грамматика</t>
        </is>
      </c>
      <c r="C371" s="11" t="inlineStr">
        <is>
          <t>Существительные и артикли</t>
        </is>
      </c>
      <c r="D371" s="12" t="inlineStr">
        <is>
          <t>much/many/a lot of</t>
        </is>
      </c>
      <c r="E371" s="13" t="inlineStr">
        <is>
          <t>much/many/a lot of: краткие ответы и a lot / lots без существительного</t>
        </is>
      </c>
      <c r="F371" s="11" t="inlineStr">
        <is>
          <t>обе</t>
        </is>
      </c>
      <c r="G371" s="11" t="inlineStr"/>
      <c r="H371" s="14" t="inlineStr">
        <is>
          <t>М3 · новое</t>
        </is>
      </c>
      <c r="I371" s="11" t="inlineStr"/>
      <c r="J371" s="11" t="inlineStr"/>
      <c r="K371" s="19" t="inlineStr">
        <is>
          <t>М9 · расш.</t>
        </is>
      </c>
      <c r="L371" s="11" t="inlineStr"/>
      <c r="M371" s="11" t="inlineStr"/>
      <c r="N371" s="16" t="inlineStr">
        <is>
          <t>М5 (5c) · повт.</t>
        </is>
      </c>
      <c r="O371" s="16" t="inlineStr">
        <is>
          <t>М8 (8c) · повт.</t>
        </is>
      </c>
      <c r="P371" s="17" t="inlineStr">
        <is>
          <t>видео</t>
        </is>
      </c>
      <c r="Q371" s="11" t="inlineStr">
        <is>
          <t>How much many a lot of not much not many</t>
        </is>
      </c>
      <c r="R371" s="17" t="inlineStr">
        <is>
          <t>нет</t>
        </is>
      </c>
      <c r="S371" s="11" t="inlineStr"/>
      <c r="T371" s="11" t="inlineStr"/>
    </row>
    <row r="372">
      <c r="A372" s="4" t="n">
        <v>371</v>
      </c>
      <c r="B372" s="4" t="inlineStr">
        <is>
          <t>Грамматика</t>
        </is>
      </c>
      <c r="C372" s="4" t="inlineStr">
        <is>
          <t>Существительные и артикли</t>
        </is>
      </c>
      <c r="D372" s="5" t="inlineStr">
        <is>
          <t>Articles (a/an/the/zero)</t>
        </is>
      </c>
      <c r="E372" s="6" t="inlineStr">
        <is>
          <t>Articles: a/an — первое упоминание, значение «один»</t>
        </is>
      </c>
      <c r="F372" s="4" t="inlineStr">
        <is>
          <t>10+</t>
        </is>
      </c>
      <c r="G372" s="4" t="inlineStr"/>
      <c r="H372" s="4" t="inlineStr"/>
      <c r="I372" s="27" t="inlineStr">
        <is>
          <t>М9 (9a) · новое</t>
        </is>
      </c>
      <c r="J372" s="4" t="inlineStr"/>
      <c r="K372" s="4" t="inlineStr"/>
      <c r="L372" s="9" t="inlineStr">
        <is>
          <t>М2 (2b) · повт.</t>
        </is>
      </c>
      <c r="M372" s="4" t="inlineStr"/>
      <c r="N372" s="9" t="inlineStr">
        <is>
          <t>М5 (5c) · повт.</t>
        </is>
      </c>
      <c r="O372" s="4" t="inlineStr"/>
      <c r="P372" s="28" t="inlineStr">
        <is>
          <t>—</t>
        </is>
      </c>
      <c r="Q372" s="29" t="inlineStr"/>
      <c r="R372" s="10" t="inlineStr">
        <is>
          <t>видео</t>
        </is>
      </c>
      <c r="S372" s="4" t="inlineStr">
        <is>
          <t>Shopping .Articles.
Shopping. Articles.
Articles review + travel and holidays</t>
        </is>
      </c>
      <c r="T372" s="4" t="inlineStr"/>
    </row>
    <row r="373">
      <c r="A373" s="11" t="n">
        <v>372</v>
      </c>
      <c r="B373" s="11" t="inlineStr">
        <is>
          <t>Грамматика</t>
        </is>
      </c>
      <c r="C373" s="11" t="inlineStr">
        <is>
          <t>Существительные и артикли</t>
        </is>
      </c>
      <c r="D373" s="12" t="inlineStr">
        <is>
          <t>Articles (a/an/the/zero)</t>
        </is>
      </c>
      <c r="E373" s="22" t="inlineStr">
        <is>
          <t>Articles: the — известный, упомянутый ранее предмет</t>
        </is>
      </c>
      <c r="F373" s="11" t="inlineStr">
        <is>
          <t>10+</t>
        </is>
      </c>
      <c r="G373" s="11" t="inlineStr"/>
      <c r="H373" s="11" t="inlineStr"/>
      <c r="I373" s="23" t="inlineStr">
        <is>
          <t>М9 (9a) · новое</t>
        </is>
      </c>
      <c r="J373" s="11" t="inlineStr"/>
      <c r="K373" s="11" t="inlineStr"/>
      <c r="L373" s="19" t="inlineStr">
        <is>
          <t>М2 (2b) · расш.</t>
        </is>
      </c>
      <c r="M373" s="11" t="inlineStr"/>
      <c r="N373" s="16" t="inlineStr">
        <is>
          <t>М5 (5c) · повт.</t>
        </is>
      </c>
      <c r="O373" s="11" t="inlineStr"/>
      <c r="P373" s="20" t="inlineStr">
        <is>
          <t>—</t>
        </is>
      </c>
      <c r="Q373" s="21" t="inlineStr"/>
      <c r="R373" s="17" t="inlineStr">
        <is>
          <t>видео</t>
        </is>
      </c>
      <c r="S373" s="11" t="inlineStr">
        <is>
          <t>Shopping .Articles.
Shopping. Articles.
Articles review + travel and holidays</t>
        </is>
      </c>
      <c r="T373" s="11" t="inlineStr"/>
    </row>
    <row r="374">
      <c r="A374" s="11" t="n">
        <v>373</v>
      </c>
      <c r="B374" s="11" t="inlineStr">
        <is>
          <t>Грамматика</t>
        </is>
      </c>
      <c r="C374" s="11" t="inlineStr">
        <is>
          <t>Существительные и артикли</t>
        </is>
      </c>
      <c r="D374" s="12" t="inlineStr">
        <is>
          <t>Articles (a/an/the/zero)</t>
        </is>
      </c>
      <c r="E374" s="22" t="inlineStr">
        <is>
          <t>Articles: нулевой артикль — мн. ч. и неисчисляемые в общем значении</t>
        </is>
      </c>
      <c r="F374" s="11" t="inlineStr">
        <is>
          <t>10+</t>
        </is>
      </c>
      <c r="G374" s="11" t="inlineStr"/>
      <c r="H374" s="11" t="inlineStr"/>
      <c r="I374" s="23" t="inlineStr">
        <is>
          <t>М9 (9a) · новое</t>
        </is>
      </c>
      <c r="J374" s="11" t="inlineStr"/>
      <c r="K374" s="11" t="inlineStr"/>
      <c r="L374" s="16" t="inlineStr">
        <is>
          <t>М2 (2b) · повт.</t>
        </is>
      </c>
      <c r="M374" s="11" t="inlineStr"/>
      <c r="N374" s="16" t="inlineStr">
        <is>
          <t>М5 (5c) · повт.</t>
        </is>
      </c>
      <c r="O374" s="11" t="inlineStr"/>
      <c r="P374" s="20" t="inlineStr">
        <is>
          <t>—</t>
        </is>
      </c>
      <c r="Q374" s="21" t="inlineStr"/>
      <c r="R374" s="17" t="inlineStr">
        <is>
          <t>видео</t>
        </is>
      </c>
      <c r="S374" s="11" t="inlineStr">
        <is>
          <t>Shopping .Articles.
Articles review + travel and holidays</t>
        </is>
      </c>
      <c r="T374" s="11" t="inlineStr"/>
    </row>
    <row r="375">
      <c r="A375" s="11" t="n">
        <v>374</v>
      </c>
      <c r="B375" s="11" t="inlineStr">
        <is>
          <t>Грамматика</t>
        </is>
      </c>
      <c r="C375" s="11" t="inlineStr">
        <is>
          <t>Существительные и артикли</t>
        </is>
      </c>
      <c r="D375" s="12" t="inlineStr">
        <is>
          <t>Articles (a/an/the/zero)</t>
        </is>
      </c>
      <c r="E375" s="13" t="inlineStr">
        <is>
          <t>Articles: нулевой артикль — при другом определителе (my, this, some, числительное, 's)</t>
        </is>
      </c>
      <c r="F375" s="11" t="inlineStr">
        <is>
          <t>10+</t>
        </is>
      </c>
      <c r="G375" s="11" t="inlineStr"/>
      <c r="H375" s="11" t="inlineStr"/>
      <c r="I375" s="23" t="inlineStr">
        <is>
          <t>М9 (9a) · новое</t>
        </is>
      </c>
      <c r="J375" s="11" t="inlineStr"/>
      <c r="K375" s="11" t="inlineStr"/>
      <c r="L375" s="11" t="inlineStr"/>
      <c r="M375" s="11" t="inlineStr"/>
      <c r="N375" s="11" t="inlineStr"/>
      <c r="O375" s="11" t="inlineStr"/>
      <c r="P375" s="20" t="inlineStr">
        <is>
          <t>—</t>
        </is>
      </c>
      <c r="Q375" s="21" t="inlineStr"/>
      <c r="R375" s="17" t="inlineStr">
        <is>
          <t>нет</t>
        </is>
      </c>
      <c r="S375" s="11" t="inlineStr"/>
      <c r="T375" s="11" t="inlineStr"/>
    </row>
    <row r="376">
      <c r="A376" s="11" t="n">
        <v>375</v>
      </c>
      <c r="B376" s="11" t="inlineStr">
        <is>
          <t>Грамматика</t>
        </is>
      </c>
      <c r="C376" s="11" t="inlineStr">
        <is>
          <t>Существительные и артикли</t>
        </is>
      </c>
      <c r="D376" s="12" t="inlineStr">
        <is>
          <t>Articles (a/an/the/zero)</t>
        </is>
      </c>
      <c r="E376" s="13" t="inlineStr">
        <is>
          <t>Articles: a/an = per; деньги, дроби, меры, частота, скорость</t>
        </is>
      </c>
      <c r="F376" s="11" t="inlineStr">
        <is>
          <t>10+</t>
        </is>
      </c>
      <c r="G376" s="11" t="inlineStr"/>
      <c r="H376" s="11" t="inlineStr"/>
      <c r="I376" s="11" t="inlineStr"/>
      <c r="J376" s="11" t="inlineStr"/>
      <c r="K376" s="11" t="inlineStr"/>
      <c r="L376" s="23" t="inlineStr">
        <is>
          <t>М2 (2b) · новое</t>
        </is>
      </c>
      <c r="M376" s="11" t="inlineStr"/>
      <c r="N376" s="16" t="inlineStr">
        <is>
          <t>М5 (5c) · повт.</t>
        </is>
      </c>
      <c r="O376" s="11" t="inlineStr"/>
      <c r="P376" s="20" t="inlineStr">
        <is>
          <t>—</t>
        </is>
      </c>
      <c r="Q376" s="21" t="inlineStr"/>
      <c r="R376" s="17" t="inlineStr">
        <is>
          <t>нет</t>
        </is>
      </c>
      <c r="S376" s="11" t="inlineStr"/>
      <c r="T376" s="11" t="inlineStr"/>
    </row>
    <row r="377">
      <c r="A377" s="11" t="n">
        <v>376</v>
      </c>
      <c r="B377" s="11" t="inlineStr">
        <is>
          <t>Грамматика</t>
        </is>
      </c>
      <c r="C377" s="11" t="inlineStr">
        <is>
          <t>Существительные и артикли</t>
        </is>
      </c>
      <c r="D377" s="12" t="inlineStr">
        <is>
          <t>Articles (a/an/the/zero)</t>
        </is>
      </c>
      <c r="E377" s="13" t="inlineStr">
        <is>
          <t>Articles: a/an с болезнями (a cold, но flu)</t>
        </is>
      </c>
      <c r="F377" s="11" t="inlineStr">
        <is>
          <t>10+</t>
        </is>
      </c>
      <c r="G377" s="11" t="inlineStr"/>
      <c r="H377" s="11" t="inlineStr"/>
      <c r="I377" s="11" t="inlineStr"/>
      <c r="J377" s="11" t="inlineStr"/>
      <c r="K377" s="11" t="inlineStr"/>
      <c r="L377" s="23" t="inlineStr">
        <is>
          <t>М2 (2b) · новое</t>
        </is>
      </c>
      <c r="M377" s="11" t="inlineStr"/>
      <c r="N377" s="16" t="inlineStr">
        <is>
          <t>М5 (5c) · повт.</t>
        </is>
      </c>
      <c r="O377" s="11" t="inlineStr"/>
      <c r="P377" s="20" t="inlineStr">
        <is>
          <t>—</t>
        </is>
      </c>
      <c r="Q377" s="21" t="inlineStr"/>
      <c r="R377" s="17" t="inlineStr">
        <is>
          <t>нет</t>
        </is>
      </c>
      <c r="S377" s="11" t="inlineStr"/>
      <c r="T377" s="11" t="inlineStr"/>
    </row>
    <row r="378">
      <c r="A378" s="11" t="n">
        <v>377</v>
      </c>
      <c r="B378" s="11" t="inlineStr">
        <is>
          <t>Грамматика</t>
        </is>
      </c>
      <c r="C378" s="11" t="inlineStr">
        <is>
          <t>Существительные и артикли</t>
        </is>
      </c>
      <c r="D378" s="12" t="inlineStr">
        <is>
          <t>Articles (a/an/the/zero)</t>
        </is>
      </c>
      <c r="E378" s="13" t="inlineStr">
        <is>
          <t>Articles: a/the + ед. ч. — обобщение группы</t>
        </is>
      </c>
      <c r="F378" s="11" t="inlineStr">
        <is>
          <t>10+</t>
        </is>
      </c>
      <c r="G378" s="11" t="inlineStr"/>
      <c r="H378" s="11" t="inlineStr"/>
      <c r="I378" s="11" t="inlineStr"/>
      <c r="J378" s="11" t="inlineStr"/>
      <c r="K378" s="11" t="inlineStr"/>
      <c r="L378" s="11" t="inlineStr"/>
      <c r="M378" s="11" t="inlineStr"/>
      <c r="N378" s="23" t="inlineStr">
        <is>
          <t>М5 (5c) · новое</t>
        </is>
      </c>
      <c r="O378" s="11" t="inlineStr"/>
      <c r="P378" s="20" t="inlineStr">
        <is>
          <t>—</t>
        </is>
      </c>
      <c r="Q378" s="21" t="inlineStr"/>
      <c r="R378" s="17" t="inlineStr">
        <is>
          <t>нет</t>
        </is>
      </c>
      <c r="S378" s="11" t="inlineStr"/>
      <c r="T378" s="11" t="inlineStr"/>
    </row>
    <row r="379">
      <c r="A379" s="11" t="n">
        <v>378</v>
      </c>
      <c r="B379" s="11" t="inlineStr">
        <is>
          <t>Грамматика</t>
        </is>
      </c>
      <c r="C379" s="11" t="inlineStr">
        <is>
          <t>Существительные и артикли</t>
        </is>
      </c>
      <c r="D379" s="12" t="inlineStr">
        <is>
          <t>Articles (a/an/the/zero)</t>
        </is>
      </c>
      <c r="E379" s="22" t="inlineStr">
        <is>
          <t>Articles: the — уникальные объекты, музыкальные инструменты, исторические события</t>
        </is>
      </c>
      <c r="F379" s="11" t="inlineStr">
        <is>
          <t>10+</t>
        </is>
      </c>
      <c r="G379" s="11" t="inlineStr"/>
      <c r="H379" s="11" t="inlineStr"/>
      <c r="I379" s="11" t="inlineStr"/>
      <c r="J379" s="11" t="inlineStr"/>
      <c r="K379" s="11" t="inlineStr"/>
      <c r="L379" s="23" t="inlineStr">
        <is>
          <t>М2 (2b) · новое</t>
        </is>
      </c>
      <c r="M379" s="11" t="inlineStr"/>
      <c r="N379" s="16" t="inlineStr">
        <is>
          <t>М5 (5c) · повт.</t>
        </is>
      </c>
      <c r="O379" s="11" t="inlineStr"/>
      <c r="P379" s="20" t="inlineStr">
        <is>
          <t>—</t>
        </is>
      </c>
      <c r="Q379" s="21" t="inlineStr"/>
      <c r="R379" s="17" t="inlineStr">
        <is>
          <t>видео</t>
        </is>
      </c>
      <c r="S379" s="11" t="inlineStr">
        <is>
          <t>Articles review + travel and holidays</t>
        </is>
      </c>
      <c r="T379" s="11" t="inlineStr"/>
    </row>
    <row r="380">
      <c r="A380" s="11" t="n">
        <v>379</v>
      </c>
      <c r="B380" s="11" t="inlineStr">
        <is>
          <t>Грамматика</t>
        </is>
      </c>
      <c r="C380" s="11" t="inlineStr">
        <is>
          <t>Существительные и артикли</t>
        </is>
      </c>
      <c r="D380" s="12" t="inlineStr">
        <is>
          <t>Articles (a/an/the/zero)</t>
        </is>
      </c>
      <c r="E380" s="22" t="inlineStr">
        <is>
          <t>Articles: the и нулевой — географические названия</t>
        </is>
      </c>
      <c r="F380" s="11" t="inlineStr">
        <is>
          <t>10+</t>
        </is>
      </c>
      <c r="G380" s="11" t="inlineStr"/>
      <c r="H380" s="11" t="inlineStr"/>
      <c r="I380" s="11" t="inlineStr"/>
      <c r="J380" s="11" t="inlineStr"/>
      <c r="K380" s="11" t="inlineStr"/>
      <c r="L380" s="23" t="inlineStr">
        <is>
          <t>М2 (2b) · новое</t>
        </is>
      </c>
      <c r="M380" s="11" t="inlineStr"/>
      <c r="N380" s="16" t="inlineStr">
        <is>
          <t>М5 (5c) · повт.</t>
        </is>
      </c>
      <c r="O380" s="11" t="inlineStr"/>
      <c r="P380" s="20" t="inlineStr">
        <is>
          <t>—</t>
        </is>
      </c>
      <c r="Q380" s="21" t="inlineStr"/>
      <c r="R380" s="17" t="inlineStr">
        <is>
          <t>видео</t>
        </is>
      </c>
      <c r="S380" s="11" t="inlineStr">
        <is>
          <t>Articles review + travel and holidays</t>
        </is>
      </c>
      <c r="T380" s="11" t="inlineStr"/>
    </row>
    <row r="381">
      <c r="A381" s="11" t="n">
        <v>380</v>
      </c>
      <c r="B381" s="11" t="inlineStr">
        <is>
          <t>Грамматика</t>
        </is>
      </c>
      <c r="C381" s="11" t="inlineStr">
        <is>
          <t>Существительные и артикли</t>
        </is>
      </c>
      <c r="D381" s="12" t="inlineStr">
        <is>
          <t>Articles (a/an/the/zero)</t>
        </is>
      </c>
      <c r="E381" s="13" t="inlineStr">
        <is>
          <t>Articles: the и нулевой — театры, отели, музеи, газеты; названия с именем (Victoria Station, Harrods)</t>
        </is>
      </c>
      <c r="F381" s="11" t="inlineStr">
        <is>
          <t>10+</t>
        </is>
      </c>
      <c r="G381" s="11" t="inlineStr"/>
      <c r="H381" s="11" t="inlineStr"/>
      <c r="I381" s="11" t="inlineStr"/>
      <c r="J381" s="11" t="inlineStr"/>
      <c r="K381" s="11" t="inlineStr"/>
      <c r="L381" s="23" t="inlineStr">
        <is>
          <t>М2 (2b) · новое</t>
        </is>
      </c>
      <c r="M381" s="11" t="inlineStr"/>
      <c r="N381" s="16" t="inlineStr">
        <is>
          <t>М5 (5c) · повт.</t>
        </is>
      </c>
      <c r="O381" s="11" t="inlineStr"/>
      <c r="P381" s="20" t="inlineStr">
        <is>
          <t>—</t>
        </is>
      </c>
      <c r="Q381" s="21" t="inlineStr"/>
      <c r="R381" s="17" t="inlineStr">
        <is>
          <t>нет</t>
        </is>
      </c>
      <c r="S381" s="11" t="inlineStr"/>
      <c r="T381" s="11" t="inlineStr"/>
    </row>
    <row r="382">
      <c r="A382" s="11" t="n">
        <v>381</v>
      </c>
      <c r="B382" s="11" t="inlineStr">
        <is>
          <t>Грамматика</t>
        </is>
      </c>
      <c r="C382" s="11" t="inlineStr">
        <is>
          <t>Существительные и артикли</t>
        </is>
      </c>
      <c r="D382" s="12" t="inlineStr">
        <is>
          <t>Articles (a/an/the/zero)</t>
        </is>
      </c>
      <c r="E382" s="13" t="inlineStr">
        <is>
          <t>Articles: the — люди: фамилии, титулы, the + прилагательное (the rich)</t>
        </is>
      </c>
      <c r="F382" s="11" t="inlineStr">
        <is>
          <t>10+</t>
        </is>
      </c>
      <c r="G382" s="11" t="inlineStr"/>
      <c r="H382" s="11" t="inlineStr"/>
      <c r="I382" s="11" t="inlineStr"/>
      <c r="J382" s="11" t="inlineStr"/>
      <c r="K382" s="11" t="inlineStr"/>
      <c r="L382" s="23" t="inlineStr">
        <is>
          <t>М2 (2b) · новое</t>
        </is>
      </c>
      <c r="M382" s="11" t="inlineStr"/>
      <c r="N382" s="16" t="inlineStr">
        <is>
          <t>М5 (5c) · повт.</t>
        </is>
      </c>
      <c r="O382" s="11" t="inlineStr"/>
      <c r="P382" s="20" t="inlineStr">
        <is>
          <t>—</t>
        </is>
      </c>
      <c r="Q382" s="21" t="inlineStr"/>
      <c r="R382" s="17" t="inlineStr">
        <is>
          <t>нет</t>
        </is>
      </c>
      <c r="S382" s="11" t="inlineStr"/>
      <c r="T382" s="11" t="inlineStr"/>
    </row>
    <row r="383">
      <c r="A383" s="11" t="n">
        <v>382</v>
      </c>
      <c r="B383" s="11" t="inlineStr">
        <is>
          <t>Грамматика</t>
        </is>
      </c>
      <c r="C383" s="11" t="inlineStr">
        <is>
          <t>Существительные и артикли</t>
        </is>
      </c>
      <c r="D383" s="12" t="inlineStr">
        <is>
          <t>Articles (a/an/the/zero)</t>
        </is>
      </c>
      <c r="E383" s="22" t="inlineStr">
        <is>
          <t>Articles: нулевой артикль — имена, спорт, дни, месяцы, праздники, цвета, напитки, еда, языки</t>
        </is>
      </c>
      <c r="F383" s="11" t="inlineStr">
        <is>
          <t>10+</t>
        </is>
      </c>
      <c r="G383" s="11" t="inlineStr"/>
      <c r="H383" s="11" t="inlineStr"/>
      <c r="I383" s="11" t="inlineStr"/>
      <c r="J383" s="11" t="inlineStr"/>
      <c r="K383" s="11" t="inlineStr"/>
      <c r="L383" s="23" t="inlineStr">
        <is>
          <t>М2 (2b) · новое</t>
        </is>
      </c>
      <c r="M383" s="11" t="inlineStr"/>
      <c r="N383" s="16" t="inlineStr">
        <is>
          <t>М5 (5c) · повт.</t>
        </is>
      </c>
      <c r="O383" s="11" t="inlineStr"/>
      <c r="P383" s="20" t="inlineStr">
        <is>
          <t>—</t>
        </is>
      </c>
      <c r="Q383" s="21" t="inlineStr"/>
      <c r="R383" s="17" t="inlineStr">
        <is>
          <t>видео</t>
        </is>
      </c>
      <c r="S383" s="11" t="inlineStr">
        <is>
          <t>Articles review + travel and holidays</t>
        </is>
      </c>
      <c r="T383" s="11" t="inlineStr"/>
    </row>
    <row r="384">
      <c r="A384" s="11" t="n">
        <v>383</v>
      </c>
      <c r="B384" s="11" t="inlineStr">
        <is>
          <t>Грамматика</t>
        </is>
      </c>
      <c r="C384" s="11" t="inlineStr">
        <is>
          <t>Существительные и артикли</t>
        </is>
      </c>
      <c r="D384" s="12" t="inlineStr">
        <is>
          <t>Articles (a/an/the/zero)</t>
        </is>
      </c>
      <c r="E384" s="18" t="inlineStr">
        <is>
          <t>Articles: нулевой артикль — school, hospital, church, bed по назначению</t>
        </is>
      </c>
      <c r="F384" s="11" t="inlineStr">
        <is>
          <t>10+</t>
        </is>
      </c>
      <c r="G384" s="11" t="inlineStr"/>
      <c r="H384" s="11" t="inlineStr"/>
      <c r="I384" s="11" t="inlineStr"/>
      <c r="J384" s="11" t="inlineStr"/>
      <c r="K384" s="11" t="inlineStr"/>
      <c r="L384" s="23" t="inlineStr">
        <is>
          <t>М2 (2b) · новое</t>
        </is>
      </c>
      <c r="M384" s="11" t="inlineStr"/>
      <c r="N384" s="16" t="inlineStr">
        <is>
          <t>М5 (5c) · повт.</t>
        </is>
      </c>
      <c r="O384" s="11" t="inlineStr"/>
      <c r="P384" s="20" t="inlineStr">
        <is>
          <t>—</t>
        </is>
      </c>
      <c r="Q384" s="21" t="inlineStr"/>
      <c r="R384" s="17" t="inlineStr">
        <is>
          <t>вебинар</t>
        </is>
      </c>
      <c r="S384" s="11" t="inlineStr">
        <is>
          <t>вебинар 20.10 (по расписанию): Zero article vs the
материалы: Zero article vs the</t>
        </is>
      </c>
      <c r="T384" s="11" t="inlineStr"/>
    </row>
    <row r="385">
      <c r="A385" s="4" t="n">
        <v>384</v>
      </c>
      <c r="B385" s="4" t="inlineStr">
        <is>
          <t>Грамматика</t>
        </is>
      </c>
      <c r="C385" s="4" t="inlineStr">
        <is>
          <t>Существительные и артикли</t>
        </is>
      </c>
      <c r="D385" s="5" t="inlineStr">
        <is>
          <t>a few/a little</t>
        </is>
      </c>
      <c r="E385" s="6" t="inlineStr">
        <is>
          <t>a few/a little: a few — с исчисляемыми мн. ч. («несколько»)</t>
        </is>
      </c>
      <c r="F385" s="4" t="inlineStr">
        <is>
          <t>10+</t>
        </is>
      </c>
      <c r="G385" s="4" t="inlineStr"/>
      <c r="H385" s="4" t="inlineStr"/>
      <c r="I385" s="27" t="inlineStr">
        <is>
          <t>М8 (8b) · новое</t>
        </is>
      </c>
      <c r="J385" s="9" t="inlineStr">
        <is>
          <t>М9 (9a) · повт.</t>
        </is>
      </c>
      <c r="K385" s="9" t="inlineStr">
        <is>
          <t>М9 · повт.</t>
        </is>
      </c>
      <c r="L385" s="4" t="inlineStr"/>
      <c r="M385" s="9" t="inlineStr">
        <is>
          <t>М8 (8d) · повт.</t>
        </is>
      </c>
      <c r="N385" s="9" t="inlineStr">
        <is>
          <t>М5 (5c) · повт.</t>
        </is>
      </c>
      <c r="O385" s="9" t="inlineStr">
        <is>
          <t>М8 (8c) · повт.</t>
        </is>
      </c>
      <c r="P385" s="28" t="inlineStr">
        <is>
          <t>—</t>
        </is>
      </c>
      <c r="Q385" s="29" t="inlineStr"/>
      <c r="R385" s="10" t="inlineStr">
        <is>
          <t>видео</t>
        </is>
      </c>
      <c r="S385" s="4" t="inlineStr">
        <is>
          <t>Quantifiers extended ...d and drinks shopping
Quantifiers extended + travel</t>
        </is>
      </c>
      <c r="T385" s="4" t="inlineStr"/>
    </row>
    <row r="386">
      <c r="A386" s="11" t="n">
        <v>385</v>
      </c>
      <c r="B386" s="11" t="inlineStr">
        <is>
          <t>Грамматика</t>
        </is>
      </c>
      <c r="C386" s="11" t="inlineStr">
        <is>
          <t>Существительные и артикли</t>
        </is>
      </c>
      <c r="D386" s="12" t="inlineStr">
        <is>
          <t>a few/a little</t>
        </is>
      </c>
      <c r="E386" s="22" t="inlineStr">
        <is>
          <t>a few/a little: a little — с неисчисляемыми («немного»)</t>
        </is>
      </c>
      <c r="F386" s="11" t="inlineStr">
        <is>
          <t>10+</t>
        </is>
      </c>
      <c r="G386" s="11" t="inlineStr"/>
      <c r="H386" s="11" t="inlineStr"/>
      <c r="I386" s="23" t="inlineStr">
        <is>
          <t>М8 (8b) · новое</t>
        </is>
      </c>
      <c r="J386" s="16" t="inlineStr">
        <is>
          <t>М9 (9a) · повт.</t>
        </is>
      </c>
      <c r="K386" s="16" t="inlineStr">
        <is>
          <t>М9 · повт.</t>
        </is>
      </c>
      <c r="L386" s="11" t="inlineStr"/>
      <c r="M386" s="16" t="inlineStr">
        <is>
          <t>М8 (8d) · повт.</t>
        </is>
      </c>
      <c r="N386" s="16" t="inlineStr">
        <is>
          <t>М5 (5c) · повт.</t>
        </is>
      </c>
      <c r="O386" s="16" t="inlineStr">
        <is>
          <t>М8 (8c) · повт.</t>
        </is>
      </c>
      <c r="P386" s="20" t="inlineStr">
        <is>
          <t>—</t>
        </is>
      </c>
      <c r="Q386" s="21" t="inlineStr"/>
      <c r="R386" s="17" t="inlineStr">
        <is>
          <t>видео</t>
        </is>
      </c>
      <c r="S386" s="11" t="inlineStr">
        <is>
          <t>Quantifiers extended ...d and drinks shopping
Quantifiers extended + travel</t>
        </is>
      </c>
      <c r="T386" s="11" t="inlineStr"/>
    </row>
    <row r="387">
      <c r="A387" s="11" t="n">
        <v>386</v>
      </c>
      <c r="B387" s="11" t="inlineStr">
        <is>
          <t>Грамматика</t>
        </is>
      </c>
      <c r="C387" s="11" t="inlineStr">
        <is>
          <t>Существительные и артикли</t>
        </is>
      </c>
      <c r="D387" s="12" t="inlineStr">
        <is>
          <t>a few/a little</t>
        </is>
      </c>
      <c r="E387" s="22" t="inlineStr">
        <is>
          <t>a few/a little: few / little — «мало»</t>
        </is>
      </c>
      <c r="F387" s="11" t="inlineStr">
        <is>
          <t>10+</t>
        </is>
      </c>
      <c r="G387" s="11" t="inlineStr"/>
      <c r="H387" s="11" t="inlineStr"/>
      <c r="I387" s="23" t="inlineStr">
        <is>
          <t>М8 (8b) · новое</t>
        </is>
      </c>
      <c r="J387" s="11" t="inlineStr"/>
      <c r="K387" s="16" t="inlineStr">
        <is>
          <t>М9 · повт.</t>
        </is>
      </c>
      <c r="L387" s="11" t="inlineStr"/>
      <c r="M387" s="16" t="inlineStr">
        <is>
          <t>М8 (8d) · повт.</t>
        </is>
      </c>
      <c r="N387" s="16" t="inlineStr">
        <is>
          <t>М5 (5c) · повт.</t>
        </is>
      </c>
      <c r="O387" s="16" t="inlineStr">
        <is>
          <t>М8 (8c) · повт.</t>
        </is>
      </c>
      <c r="P387" s="20" t="inlineStr">
        <is>
          <t>—</t>
        </is>
      </c>
      <c r="Q387" s="21" t="inlineStr"/>
      <c r="R387" s="17" t="inlineStr">
        <is>
          <t>видео</t>
        </is>
      </c>
      <c r="S387" s="11" t="inlineStr">
        <is>
          <t>Quantifiers extended ...d and drinks shopping
Quantifiers extended + travel</t>
        </is>
      </c>
      <c r="T387" s="11" t="inlineStr"/>
    </row>
    <row r="388">
      <c r="A388" s="11" t="n">
        <v>387</v>
      </c>
      <c r="B388" s="11" t="inlineStr">
        <is>
          <t>Грамматика</t>
        </is>
      </c>
      <c r="C388" s="11" t="inlineStr">
        <is>
          <t>Существительные и артикли</t>
        </is>
      </c>
      <c r="D388" s="12" t="inlineStr">
        <is>
          <t>a few/a little</t>
        </is>
      </c>
      <c r="E388" s="22" t="inlineStr">
        <is>
          <t>a few/a little: a few vs few, a little vs little — «немного, но достаточно» vs «почти нет»</t>
        </is>
      </c>
      <c r="F388" s="11" t="inlineStr">
        <is>
          <t>10+</t>
        </is>
      </c>
      <c r="G388" s="11" t="inlineStr"/>
      <c r="H388" s="11" t="inlineStr"/>
      <c r="I388" s="23" t="inlineStr">
        <is>
          <t>М8 (8b) · новое</t>
        </is>
      </c>
      <c r="J388" s="11" t="inlineStr"/>
      <c r="K388" s="16" t="inlineStr">
        <is>
          <t>М9 · повт.</t>
        </is>
      </c>
      <c r="L388" s="11" t="inlineStr"/>
      <c r="M388" s="19" t="inlineStr">
        <is>
          <t>М8 (8d) · расш.</t>
        </is>
      </c>
      <c r="N388" s="16" t="inlineStr">
        <is>
          <t>М5 (5c) · повт.</t>
        </is>
      </c>
      <c r="O388" s="16" t="inlineStr">
        <is>
          <t>М8 (8c) · повт.</t>
        </is>
      </c>
      <c r="P388" s="20" t="inlineStr">
        <is>
          <t>—</t>
        </is>
      </c>
      <c r="Q388" s="21" t="inlineStr"/>
      <c r="R388" s="17" t="inlineStr">
        <is>
          <t>видео</t>
        </is>
      </c>
      <c r="S388" s="11" t="inlineStr">
        <is>
          <t>Quantifiers extended ...d and drinks shopping
Quantifiers extended + travel</t>
        </is>
      </c>
      <c r="T388" s="11" t="inlineStr"/>
    </row>
    <row r="389">
      <c r="A389" s="11" t="n">
        <v>388</v>
      </c>
      <c r="B389" s="11" t="inlineStr">
        <is>
          <t>Грамматика</t>
        </is>
      </c>
      <c r="C389" s="11" t="inlineStr">
        <is>
          <t>Существительные и артикли</t>
        </is>
      </c>
      <c r="D389" s="12" t="inlineStr">
        <is>
          <t>a few/a little</t>
        </is>
      </c>
      <c r="E389" s="13" t="inlineStr">
        <is>
          <t>a few/a little: very few / very little</t>
        </is>
      </c>
      <c r="F389" s="11" t="inlineStr">
        <is>
          <t>10+</t>
        </is>
      </c>
      <c r="G389" s="11" t="inlineStr"/>
      <c r="H389" s="11" t="inlineStr"/>
      <c r="I389" s="11" t="inlineStr"/>
      <c r="J389" s="11" t="inlineStr"/>
      <c r="K389" s="11" t="inlineStr"/>
      <c r="L389" s="11" t="inlineStr"/>
      <c r="M389" s="23" t="inlineStr">
        <is>
          <t>М8 (8d) · новое</t>
        </is>
      </c>
      <c r="N389" s="16" t="inlineStr">
        <is>
          <t>М5 (5c) · повт.</t>
        </is>
      </c>
      <c r="O389" s="16" t="inlineStr">
        <is>
          <t>М8 (8c) · повт.</t>
        </is>
      </c>
      <c r="P389" s="20" t="inlineStr">
        <is>
          <t>—</t>
        </is>
      </c>
      <c r="Q389" s="21" t="inlineStr"/>
      <c r="R389" s="17" t="inlineStr">
        <is>
          <t>нет</t>
        </is>
      </c>
      <c r="S389" s="11" t="inlineStr"/>
      <c r="T389" s="11" t="inlineStr"/>
    </row>
    <row r="390">
      <c r="A390" s="11" t="n">
        <v>389</v>
      </c>
      <c r="B390" s="11" t="inlineStr">
        <is>
          <t>Грамматика</t>
        </is>
      </c>
      <c r="C390" s="11" t="inlineStr">
        <is>
          <t>Существительные и артикли</t>
        </is>
      </c>
      <c r="D390" s="12" t="inlineStr">
        <is>
          <t>a few/a little</t>
        </is>
      </c>
      <c r="E390" s="13" t="inlineStr">
        <is>
          <t>a few/a little: a little + прилагательное (a little cold)</t>
        </is>
      </c>
      <c r="F390" s="11" t="inlineStr">
        <is>
          <t>10+</t>
        </is>
      </c>
      <c r="G390" s="11" t="inlineStr"/>
      <c r="H390" s="11" t="inlineStr"/>
      <c r="I390" s="11" t="inlineStr"/>
      <c r="J390" s="11" t="inlineStr"/>
      <c r="K390" s="11" t="inlineStr"/>
      <c r="L390" s="11" t="inlineStr"/>
      <c r="M390" s="11" t="inlineStr"/>
      <c r="N390" s="11" t="inlineStr"/>
      <c r="O390" s="23" t="inlineStr">
        <is>
          <t>М8 (8c) · новое</t>
        </is>
      </c>
      <c r="P390" s="20" t="inlineStr">
        <is>
          <t>—</t>
        </is>
      </c>
      <c r="Q390" s="21" t="inlineStr"/>
      <c r="R390" s="17" t="inlineStr">
        <is>
          <t>нет</t>
        </is>
      </c>
      <c r="S390" s="11" t="inlineStr"/>
      <c r="T390" s="11" t="inlineStr"/>
    </row>
    <row r="391">
      <c r="A391" s="4" t="n">
        <v>390</v>
      </c>
      <c r="B391" s="4" t="inlineStr">
        <is>
          <t>Грамматика</t>
        </is>
      </c>
      <c r="C391" s="4" t="inlineStr">
        <is>
          <t>Существительные и артикли</t>
        </is>
      </c>
      <c r="D391" s="5" t="inlineStr">
        <is>
          <t>Partitives (a bottle of…)</t>
        </is>
      </c>
      <c r="E391" s="6" t="inlineStr">
        <is>
          <t>Partitives: a bottle/glass/carton/cup/bowl/packet/slice/loaf/kilo/bar of</t>
        </is>
      </c>
      <c r="F391" s="4" t="inlineStr">
        <is>
          <t>10+</t>
        </is>
      </c>
      <c r="G391" s="4" t="inlineStr"/>
      <c r="H391" s="4" t="inlineStr"/>
      <c r="I391" s="4" t="inlineStr"/>
      <c r="J391" s="4" t="inlineStr"/>
      <c r="K391" s="27" t="inlineStr">
        <is>
          <t>М9 · новое</t>
        </is>
      </c>
      <c r="L391" s="4" t="inlineStr"/>
      <c r="M391" s="4" t="inlineStr"/>
      <c r="N391" s="4" t="inlineStr"/>
      <c r="O391" s="4" t="inlineStr"/>
      <c r="P391" s="28" t="inlineStr">
        <is>
          <t>—</t>
        </is>
      </c>
      <c r="Q391" s="29" t="inlineStr"/>
      <c r="R391" s="10" t="inlineStr">
        <is>
          <t>видео</t>
        </is>
      </c>
      <c r="S391" s="4" t="inlineStr">
        <is>
          <t>Quantifiers extended ...d and drinks shopping
Singular vs plural no... countable uncountable</t>
        </is>
      </c>
      <c r="T391" s="4" t="inlineStr"/>
    </row>
    <row r="392">
      <c r="A392" s="11" t="n">
        <v>391</v>
      </c>
      <c r="B392" s="11" t="inlineStr">
        <is>
          <t>Грамматика</t>
        </is>
      </c>
      <c r="C392" s="11" t="inlineStr">
        <is>
          <t>Существительные и артикли</t>
        </is>
      </c>
      <c r="D392" s="12" t="inlineStr">
        <is>
          <t>Partitives (a bottle of…)</t>
        </is>
      </c>
      <c r="E392" s="13" t="inlineStr">
        <is>
          <t>Partitives: мн. ч. — two bottles of, two loaves of</t>
        </is>
      </c>
      <c r="F392" s="11" t="inlineStr">
        <is>
          <t>10+</t>
        </is>
      </c>
      <c r="G392" s="11" t="inlineStr"/>
      <c r="H392" s="11" t="inlineStr"/>
      <c r="I392" s="11" t="inlineStr"/>
      <c r="J392" s="11" t="inlineStr"/>
      <c r="K392" s="23" t="inlineStr">
        <is>
          <t>М9 · новое</t>
        </is>
      </c>
      <c r="L392" s="11" t="inlineStr"/>
      <c r="M392" s="11" t="inlineStr"/>
      <c r="N392" s="11" t="inlineStr"/>
      <c r="O392" s="11" t="inlineStr"/>
      <c r="P392" s="20" t="inlineStr">
        <is>
          <t>—</t>
        </is>
      </c>
      <c r="Q392" s="21" t="inlineStr"/>
      <c r="R392" s="17" t="inlineStr">
        <is>
          <t>нет</t>
        </is>
      </c>
      <c r="S392" s="11" t="inlineStr"/>
      <c r="T392" s="11" t="inlineStr"/>
    </row>
    <row r="393">
      <c r="A393" s="4" t="n">
        <v>392</v>
      </c>
      <c r="B393" s="4" t="inlineStr">
        <is>
          <t>Грамматика</t>
        </is>
      </c>
      <c r="C393" s="4" t="inlineStr">
        <is>
          <t>Существительные и артикли</t>
        </is>
      </c>
      <c r="D393" s="5" t="inlineStr">
        <is>
          <t>Plurals (only plural / collective nouns)</t>
        </is>
      </c>
      <c r="E393" s="6" t="inlineStr">
        <is>
          <t>Plurals (only plural / collective nouns): только мн. ч. — одежда, приборы, инструменты, people, stairs</t>
        </is>
      </c>
      <c r="F393" s="4" t="inlineStr">
        <is>
          <t>10+</t>
        </is>
      </c>
      <c r="G393" s="4" t="inlineStr"/>
      <c r="H393" s="4" t="inlineStr"/>
      <c r="I393" s="4" t="inlineStr"/>
      <c r="J393" s="4" t="inlineStr"/>
      <c r="K393" s="4" t="inlineStr"/>
      <c r="L393" s="27" t="inlineStr">
        <is>
          <t>М2 (2d) · новое</t>
        </is>
      </c>
      <c r="M393" s="4" t="inlineStr"/>
      <c r="N393" s="4" t="inlineStr"/>
      <c r="O393" s="4" t="inlineStr"/>
      <c r="P393" s="28" t="inlineStr">
        <is>
          <t>—</t>
        </is>
      </c>
      <c r="Q393" s="29" t="inlineStr"/>
      <c r="R393" s="10" t="inlineStr">
        <is>
          <t>видео</t>
        </is>
      </c>
      <c r="S393" s="4" t="inlineStr">
        <is>
          <t>Singular vs plural no... countable uncountable</t>
        </is>
      </c>
      <c r="T393" s="4" t="inlineStr"/>
    </row>
    <row r="394">
      <c r="A394" s="11" t="n">
        <v>393</v>
      </c>
      <c r="B394" s="11" t="inlineStr">
        <is>
          <t>Грамматика</t>
        </is>
      </c>
      <c r="C394" s="11" t="inlineStr">
        <is>
          <t>Существительные и артикли</t>
        </is>
      </c>
      <c r="D394" s="12" t="inlineStr">
        <is>
          <t>Plurals (only plural / collective nouns)</t>
        </is>
      </c>
      <c r="E394" s="22" t="inlineStr">
        <is>
          <t>Plurals (only plural / collective nouns): собирательные (team, family, police) — глагол в ед. или мн. ч.</t>
        </is>
      </c>
      <c r="F394" s="11" t="inlineStr">
        <is>
          <t>10+</t>
        </is>
      </c>
      <c r="G394" s="11" t="inlineStr"/>
      <c r="H394" s="11" t="inlineStr"/>
      <c r="I394" s="11" t="inlineStr"/>
      <c r="J394" s="11" t="inlineStr"/>
      <c r="K394" s="11" t="inlineStr"/>
      <c r="L394" s="23" t="inlineStr">
        <is>
          <t>М2 (2d) · новое</t>
        </is>
      </c>
      <c r="M394" s="11" t="inlineStr"/>
      <c r="N394" s="11" t="inlineStr"/>
      <c r="O394" s="11" t="inlineStr"/>
      <c r="P394" s="20" t="inlineStr">
        <is>
          <t>—</t>
        </is>
      </c>
      <c r="Q394" s="21" t="inlineStr"/>
      <c r="R394" s="17" t="inlineStr">
        <is>
          <t>видео</t>
        </is>
      </c>
      <c r="S394" s="11" t="inlineStr">
        <is>
          <t>Singular vs plural no... countable uncountable</t>
        </is>
      </c>
      <c r="T394" s="11" t="inlineStr"/>
    </row>
    <row r="395">
      <c r="A395" s="4" t="n">
        <v>394</v>
      </c>
      <c r="B395" s="4" t="inlineStr">
        <is>
          <t>Грамматика</t>
        </is>
      </c>
      <c r="C395" s="4" t="inlineStr">
        <is>
          <t>Существительные и артикли</t>
        </is>
      </c>
      <c r="D395" s="5" t="inlineStr">
        <is>
          <t>Quantifiers</t>
        </is>
      </c>
      <c r="E395" s="6" t="inlineStr">
        <is>
          <t>Quantifiers: a few/few vs a little/little</t>
        </is>
      </c>
      <c r="F395" s="4" t="inlineStr">
        <is>
          <t>10+</t>
        </is>
      </c>
      <c r="G395" s="4" t="inlineStr"/>
      <c r="H395" s="4" t="inlineStr"/>
      <c r="I395" s="4" t="inlineStr"/>
      <c r="J395" s="4" t="inlineStr"/>
      <c r="K395" s="4" t="inlineStr"/>
      <c r="L395" s="27" t="inlineStr">
        <is>
          <t>М2 (2b) · новое</t>
        </is>
      </c>
      <c r="M395" s="4" t="inlineStr"/>
      <c r="N395" s="4" t="inlineStr"/>
      <c r="O395" s="4" t="inlineStr"/>
      <c r="P395" s="28" t="inlineStr">
        <is>
          <t>—</t>
        </is>
      </c>
      <c r="Q395" s="29" t="inlineStr"/>
      <c r="R395" s="10" t="inlineStr">
        <is>
          <t>видео</t>
        </is>
      </c>
      <c r="S395" s="4" t="inlineStr">
        <is>
          <t>Quantifiers extended ...d and drinks shopping
Quantifiers extended + travel</t>
        </is>
      </c>
      <c r="T395" s="4" t="inlineStr"/>
    </row>
    <row r="396">
      <c r="A396" s="11" t="n">
        <v>395</v>
      </c>
      <c r="B396" s="11" t="inlineStr">
        <is>
          <t>Грамматика</t>
        </is>
      </c>
      <c r="C396" s="11" t="inlineStr">
        <is>
          <t>Существительные и артикли</t>
        </is>
      </c>
      <c r="D396" s="12" t="inlineStr">
        <is>
          <t>Quantifiers</t>
        </is>
      </c>
      <c r="E396" s="22" t="inlineStr">
        <is>
          <t>Quantifiers: a lot of / lots of</t>
        </is>
      </c>
      <c r="F396" s="11" t="inlineStr">
        <is>
          <t>10+</t>
        </is>
      </c>
      <c r="G396" s="11" t="inlineStr"/>
      <c r="H396" s="11" t="inlineStr"/>
      <c r="I396" s="11" t="inlineStr"/>
      <c r="J396" s="11" t="inlineStr"/>
      <c r="K396" s="11" t="inlineStr"/>
      <c r="L396" s="23" t="inlineStr">
        <is>
          <t>М2 (2b) · новое</t>
        </is>
      </c>
      <c r="M396" s="11" t="inlineStr"/>
      <c r="N396" s="11" t="inlineStr"/>
      <c r="O396" s="11" t="inlineStr"/>
      <c r="P396" s="20" t="inlineStr">
        <is>
          <t>—</t>
        </is>
      </c>
      <c r="Q396" s="21" t="inlineStr"/>
      <c r="R396" s="17" t="inlineStr">
        <is>
          <t>видео</t>
        </is>
      </c>
      <c r="S396" s="11" t="inlineStr">
        <is>
          <t>Food Quantifiers, countables-uncountables</t>
        </is>
      </c>
      <c r="T396" s="11" t="inlineStr"/>
    </row>
    <row r="397">
      <c r="A397" s="11" t="n">
        <v>396</v>
      </c>
      <c r="B397" s="11" t="inlineStr">
        <is>
          <t>Грамматика</t>
        </is>
      </c>
      <c r="C397" s="11" t="inlineStr">
        <is>
          <t>Существительные и артикли</t>
        </is>
      </c>
      <c r="D397" s="12" t="inlineStr">
        <is>
          <t>Quantifiers</t>
        </is>
      </c>
      <c r="E397" s="22" t="inlineStr">
        <is>
          <t>Quantifiers: much/many — отрицания и вопросы</t>
        </is>
      </c>
      <c r="F397" s="11" t="inlineStr">
        <is>
          <t>10+</t>
        </is>
      </c>
      <c r="G397" s="11" t="inlineStr"/>
      <c r="H397" s="11" t="inlineStr"/>
      <c r="I397" s="11" t="inlineStr"/>
      <c r="J397" s="11" t="inlineStr"/>
      <c r="K397" s="11" t="inlineStr"/>
      <c r="L397" s="23" t="inlineStr">
        <is>
          <t>М2 (2b) · новое</t>
        </is>
      </c>
      <c r="M397" s="11" t="inlineStr"/>
      <c r="N397" s="11" t="inlineStr"/>
      <c r="O397" s="11" t="inlineStr"/>
      <c r="P397" s="20" t="inlineStr">
        <is>
          <t>—</t>
        </is>
      </c>
      <c r="Q397" s="21" t="inlineStr"/>
      <c r="R397" s="17" t="inlineStr">
        <is>
          <t>видео</t>
        </is>
      </c>
      <c r="S397" s="11" t="inlineStr">
        <is>
          <t>Food Quantifiers, countables-uncountables</t>
        </is>
      </c>
      <c r="T397" s="11" t="inlineStr"/>
    </row>
    <row r="398">
      <c r="A398" s="11" t="n">
        <v>397</v>
      </c>
      <c r="B398" s="11" t="inlineStr">
        <is>
          <t>Грамматика</t>
        </is>
      </c>
      <c r="C398" s="11" t="inlineStr">
        <is>
          <t>Существительные и артикли</t>
        </is>
      </c>
      <c r="D398" s="12" t="inlineStr">
        <is>
          <t>Quantifiers</t>
        </is>
      </c>
      <c r="E398" s="22" t="inlineStr">
        <is>
          <t>Quantifiers: every vs each</t>
        </is>
      </c>
      <c r="F398" s="11" t="inlineStr">
        <is>
          <t>10+</t>
        </is>
      </c>
      <c r="G398" s="11" t="inlineStr"/>
      <c r="H398" s="11" t="inlineStr"/>
      <c r="I398" s="11" t="inlineStr"/>
      <c r="J398" s="11" t="inlineStr"/>
      <c r="K398" s="11" t="inlineStr"/>
      <c r="L398" s="11" t="inlineStr"/>
      <c r="M398" s="11" t="inlineStr"/>
      <c r="N398" s="11" t="inlineStr"/>
      <c r="O398" s="23" t="inlineStr">
        <is>
          <t>М8 (8c) · новое</t>
        </is>
      </c>
      <c r="P398" s="20" t="inlineStr">
        <is>
          <t>—</t>
        </is>
      </c>
      <c r="Q398" s="21" t="inlineStr"/>
      <c r="R398" s="17" t="inlineStr">
        <is>
          <t>видео</t>
        </is>
      </c>
      <c r="S398" s="11" t="inlineStr">
        <is>
          <t>Quantifiers extended + travel</t>
        </is>
      </c>
      <c r="T398" s="11" t="inlineStr"/>
    </row>
    <row r="399">
      <c r="A399" s="11" t="n">
        <v>398</v>
      </c>
      <c r="B399" s="11" t="inlineStr">
        <is>
          <t>Грамматика</t>
        </is>
      </c>
      <c r="C399" s="11" t="inlineStr">
        <is>
          <t>Существительные и артикли</t>
        </is>
      </c>
      <c r="D399" s="12" t="inlineStr">
        <is>
          <t>Quantifiers</t>
        </is>
      </c>
      <c r="E399" s="13" t="inlineStr">
        <is>
          <t>Quantifiers: a couple of, several + исчисляемые мн. ч.</t>
        </is>
      </c>
      <c r="F399" s="11" t="inlineStr">
        <is>
          <t>10+</t>
        </is>
      </c>
      <c r="G399" s="11" t="inlineStr"/>
      <c r="H399" s="11" t="inlineStr"/>
      <c r="I399" s="11" t="inlineStr"/>
      <c r="J399" s="11" t="inlineStr"/>
      <c r="K399" s="11" t="inlineStr"/>
      <c r="L399" s="11" t="inlineStr"/>
      <c r="M399" s="11" t="inlineStr"/>
      <c r="N399" s="11" t="inlineStr"/>
      <c r="O399" s="23" t="inlineStr">
        <is>
          <t>М8 (8c) · новое</t>
        </is>
      </c>
      <c r="P399" s="20" t="inlineStr">
        <is>
          <t>—</t>
        </is>
      </c>
      <c r="Q399" s="21" t="inlineStr"/>
      <c r="R399" s="17" t="inlineStr">
        <is>
          <t>нет</t>
        </is>
      </c>
      <c r="S399" s="11" t="inlineStr"/>
      <c r="T399" s="11" t="inlineStr"/>
    </row>
    <row r="400">
      <c r="A400" s="11" t="n">
        <v>399</v>
      </c>
      <c r="B400" s="11" t="inlineStr">
        <is>
          <t>Грамматика</t>
        </is>
      </c>
      <c r="C400" s="11" t="inlineStr">
        <is>
          <t>Существительные и артикли</t>
        </is>
      </c>
      <c r="D400" s="12" t="inlineStr">
        <is>
          <t>Quantifiers</t>
        </is>
      </c>
      <c r="E400" s="13" t="inlineStr">
        <is>
          <t>Quantifiers: a great deal of, plenty of</t>
        </is>
      </c>
      <c r="F400" s="11" t="inlineStr">
        <is>
          <t>10+</t>
        </is>
      </c>
      <c r="G400" s="11" t="inlineStr"/>
      <c r="H400" s="11" t="inlineStr"/>
      <c r="I400" s="11" t="inlineStr"/>
      <c r="J400" s="11" t="inlineStr"/>
      <c r="K400" s="11" t="inlineStr"/>
      <c r="L400" s="11" t="inlineStr"/>
      <c r="M400" s="11" t="inlineStr"/>
      <c r="N400" s="11" t="inlineStr"/>
      <c r="O400" s="23" t="inlineStr">
        <is>
          <t>М8 (8c) · новое</t>
        </is>
      </c>
      <c r="P400" s="20" t="inlineStr">
        <is>
          <t>—</t>
        </is>
      </c>
      <c r="Q400" s="21" t="inlineStr"/>
      <c r="R400" s="17" t="inlineStr">
        <is>
          <t>нет</t>
        </is>
      </c>
      <c r="S400" s="11" t="inlineStr"/>
      <c r="T400" s="11" t="inlineStr"/>
    </row>
    <row r="401">
      <c r="A401" s="11" t="n">
        <v>400</v>
      </c>
      <c r="B401" s="11" t="inlineStr">
        <is>
          <t>Грамматика</t>
        </is>
      </c>
      <c r="C401" s="11" t="inlineStr">
        <is>
          <t>Существительные и артикли</t>
        </is>
      </c>
      <c r="D401" s="12" t="inlineStr">
        <is>
          <t>Quantifiers</t>
        </is>
      </c>
      <c r="E401" s="22" t="inlineStr">
        <is>
          <t>Quantifiers: hardly any</t>
        </is>
      </c>
      <c r="F401" s="11" t="inlineStr">
        <is>
          <t>10+</t>
        </is>
      </c>
      <c r="G401" s="11" t="inlineStr"/>
      <c r="H401" s="11" t="inlineStr"/>
      <c r="I401" s="11" t="inlineStr"/>
      <c r="J401" s="11" t="inlineStr"/>
      <c r="K401" s="11" t="inlineStr"/>
      <c r="L401" s="11" t="inlineStr"/>
      <c r="M401" s="11" t="inlineStr"/>
      <c r="N401" s="11" t="inlineStr"/>
      <c r="O401" s="23" t="inlineStr">
        <is>
          <t>М8 (8c) · новое</t>
        </is>
      </c>
      <c r="P401" s="20" t="inlineStr">
        <is>
          <t>—</t>
        </is>
      </c>
      <c r="Q401" s="21" t="inlineStr"/>
      <c r="R401" s="17" t="inlineStr">
        <is>
          <t>видео</t>
        </is>
      </c>
      <c r="S401" s="11" t="inlineStr">
        <is>
          <t>Quantifiers extended + travel</t>
        </is>
      </c>
      <c r="T401" s="11" t="inlineStr"/>
    </row>
    <row r="402">
      <c r="A402" s="4" t="n">
        <v>401</v>
      </c>
      <c r="B402" s="4" t="inlineStr">
        <is>
          <t>Грамматика</t>
        </is>
      </c>
      <c r="C402" s="4" t="inlineStr">
        <is>
          <t>Местоимения</t>
        </is>
      </c>
      <c r="D402" s="5" t="inlineStr">
        <is>
          <t>Demonstratives (this/that/these/those)</t>
        </is>
      </c>
      <c r="E402" s="24" t="inlineStr">
        <is>
          <t>Demonstratives: this — these (ед. и мн. ч.)</t>
        </is>
      </c>
      <c r="F402" s="4" t="inlineStr">
        <is>
          <t>обе</t>
        </is>
      </c>
      <c r="G402" s="7" t="inlineStr">
        <is>
          <t>М4 · новое</t>
        </is>
      </c>
      <c r="H402" s="4" t="inlineStr"/>
      <c r="I402" s="9" t="inlineStr">
        <is>
          <t>М2 (2b) · повт.</t>
        </is>
      </c>
      <c r="J402" s="4" t="inlineStr"/>
      <c r="K402" s="4" t="inlineStr"/>
      <c r="L402" s="4" t="inlineStr"/>
      <c r="M402" s="4" t="inlineStr"/>
      <c r="N402" s="4" t="inlineStr"/>
      <c r="O402" s="4" t="inlineStr"/>
      <c r="P402" s="10" t="inlineStr">
        <is>
          <t>видео</t>
        </is>
      </c>
      <c r="Q402" s="4" t="inlineStr">
        <is>
          <t>These those + room items</t>
        </is>
      </c>
      <c r="R402" s="10" t="inlineStr">
        <is>
          <t>нет</t>
        </is>
      </c>
      <c r="S402" s="4" t="inlineStr"/>
      <c r="T402" s="4" t="inlineStr"/>
    </row>
    <row r="403">
      <c r="A403" s="11" t="n">
        <v>402</v>
      </c>
      <c r="B403" s="11" t="inlineStr">
        <is>
          <t>Грамматика</t>
        </is>
      </c>
      <c r="C403" s="11" t="inlineStr">
        <is>
          <t>Местоимения</t>
        </is>
      </c>
      <c r="D403" s="12" t="inlineStr">
        <is>
          <t>Demonstratives (this/that/these/those)</t>
        </is>
      </c>
      <c r="E403" s="13" t="inlineStr">
        <is>
          <t>Demonstratives: that — those (ед. и мн. ч.)</t>
        </is>
      </c>
      <c r="F403" s="11" t="inlineStr">
        <is>
          <t>обе</t>
        </is>
      </c>
      <c r="G403" s="14" t="inlineStr">
        <is>
          <t>М4 · новое</t>
        </is>
      </c>
      <c r="H403" s="11" t="inlineStr"/>
      <c r="I403" s="16" t="inlineStr">
        <is>
          <t>М2 (2b) · повт.</t>
        </is>
      </c>
      <c r="J403" s="11" t="inlineStr"/>
      <c r="K403" s="11" t="inlineStr"/>
      <c r="L403" s="11" t="inlineStr"/>
      <c r="M403" s="11" t="inlineStr"/>
      <c r="N403" s="11" t="inlineStr"/>
      <c r="O403" s="11" t="inlineStr"/>
      <c r="P403" s="17" t="inlineStr">
        <is>
          <t>видео</t>
        </is>
      </c>
      <c r="Q403" s="11" t="inlineStr">
        <is>
          <t>These those + room items</t>
        </is>
      </c>
      <c r="R403" s="17" t="inlineStr">
        <is>
          <t>нет</t>
        </is>
      </c>
      <c r="S403" s="11" t="inlineStr"/>
      <c r="T403" s="11" t="inlineStr"/>
    </row>
    <row r="404">
      <c r="A404" s="11" t="n">
        <v>403</v>
      </c>
      <c r="B404" s="11" t="inlineStr">
        <is>
          <t>Грамматика</t>
        </is>
      </c>
      <c r="C404" s="11" t="inlineStr">
        <is>
          <t>Местоимения</t>
        </is>
      </c>
      <c r="D404" s="12" t="inlineStr">
        <is>
          <t>Demonstratives (this/that/these/those)</t>
        </is>
      </c>
      <c r="E404" s="22" t="inlineStr">
        <is>
          <t>Demonstratives: this/these vs that/those — близко vs далеко</t>
        </is>
      </c>
      <c r="F404" s="11" t="inlineStr">
        <is>
          <t>7–9</t>
        </is>
      </c>
      <c r="G404" s="14" t="inlineStr">
        <is>
          <t>М4 · новое</t>
        </is>
      </c>
      <c r="H404" s="11" t="inlineStr"/>
      <c r="I404" s="11" t="inlineStr"/>
      <c r="J404" s="11" t="inlineStr"/>
      <c r="K404" s="11" t="inlineStr"/>
      <c r="L404" s="11" t="inlineStr"/>
      <c r="M404" s="11" t="inlineStr"/>
      <c r="N404" s="11" t="inlineStr"/>
      <c r="O404" s="11" t="inlineStr"/>
      <c r="P404" s="17" t="inlineStr">
        <is>
          <t>видео</t>
        </is>
      </c>
      <c r="Q404" s="11" t="inlineStr">
        <is>
          <t>A,An+This,That+various subjects
These those + room items</t>
        </is>
      </c>
      <c r="R404" s="20" t="inlineStr">
        <is>
          <t>—</t>
        </is>
      </c>
      <c r="S404" s="21" t="inlineStr"/>
      <c r="T404" s="11" t="inlineStr"/>
    </row>
    <row r="405">
      <c r="A405" s="4" t="n">
        <v>404</v>
      </c>
      <c r="B405" s="4" t="inlineStr">
        <is>
          <t>Грамматика</t>
        </is>
      </c>
      <c r="C405" s="4" t="inlineStr">
        <is>
          <t>Местоимения</t>
        </is>
      </c>
      <c r="D405" s="5" t="inlineStr">
        <is>
          <t>Possessive adjectives</t>
        </is>
      </c>
      <c r="E405" s="26" t="inlineStr">
        <is>
          <t>Possessive adjectives: формы my, your, his, her, its, our, their</t>
        </is>
      </c>
      <c r="F405" s="4" t="inlineStr">
        <is>
          <t>обе</t>
        </is>
      </c>
      <c r="G405" s="7" t="inlineStr">
        <is>
          <t>М2 · новое</t>
        </is>
      </c>
      <c r="H405" s="4" t="inlineStr"/>
      <c r="I405" s="9" t="inlineStr">
        <is>
          <t>М3 (3b) · повт.</t>
        </is>
      </c>
      <c r="J405" s="9" t="inlineStr">
        <is>
          <t>М1 (1a) · повт.</t>
        </is>
      </c>
      <c r="K405" s="4" t="inlineStr"/>
      <c r="L405" s="4" t="inlineStr"/>
      <c r="M405" s="4" t="inlineStr"/>
      <c r="N405" s="4" t="inlineStr"/>
      <c r="O405" s="4" t="inlineStr"/>
      <c r="P405" s="10" t="inlineStr">
        <is>
          <t>видео</t>
        </is>
      </c>
      <c r="Q405" s="4" t="inlineStr">
        <is>
          <t>Possesive adjectives+extended Family
Possesive adjectives+extened</t>
        </is>
      </c>
      <c r="R405" s="10" t="inlineStr">
        <is>
          <t>вебинар</t>
        </is>
      </c>
      <c r="S405" s="4" t="inlineStr">
        <is>
          <t>вебинар 03.11 (по расписанию): Possessive adjectives + possessive case, Whose?
материалы: Possessive case and pronouns + describing collections and personal belongings</t>
        </is>
      </c>
      <c r="T405" s="4" t="inlineStr"/>
    </row>
    <row r="406">
      <c r="A406" s="11" t="n">
        <v>405</v>
      </c>
      <c r="B406" s="11" t="inlineStr">
        <is>
          <t>Грамматика</t>
        </is>
      </c>
      <c r="C406" s="11" t="inlineStr">
        <is>
          <t>Местоимения</t>
        </is>
      </c>
      <c r="D406" s="12" t="inlineStr">
        <is>
          <t>Possessive adjectives</t>
        </is>
      </c>
      <c r="E406" s="18" t="inlineStr">
        <is>
          <t>Possessive adjectives: значение — принадлежность и отношения между людьми</t>
        </is>
      </c>
      <c r="F406" s="11" t="inlineStr">
        <is>
          <t>обе</t>
        </is>
      </c>
      <c r="G406" s="14" t="inlineStr">
        <is>
          <t>М2 · новое</t>
        </is>
      </c>
      <c r="H406" s="11" t="inlineStr"/>
      <c r="I406" s="16" t="inlineStr">
        <is>
          <t>М3 (3b) · повт.</t>
        </is>
      </c>
      <c r="J406" s="16" t="inlineStr">
        <is>
          <t>М1 (1a) · повт.</t>
        </is>
      </c>
      <c r="K406" s="11" t="inlineStr"/>
      <c r="L406" s="11" t="inlineStr"/>
      <c r="M406" s="11" t="inlineStr"/>
      <c r="N406" s="11" t="inlineStr"/>
      <c r="O406" s="11" t="inlineStr"/>
      <c r="P406" s="17" t="inlineStr">
        <is>
          <t>видео</t>
        </is>
      </c>
      <c r="Q406" s="11" t="inlineStr">
        <is>
          <t>Possesive adjectives+extended Family
Possesive adjectives+extened</t>
        </is>
      </c>
      <c r="R406" s="17" t="inlineStr">
        <is>
          <t>вебинар</t>
        </is>
      </c>
      <c r="S406" s="11" t="inlineStr">
        <is>
          <t>вебинар 03.11 (по расписанию): Possessive adjectives + possessive case, Whose?
материалы: Possessive case and pronouns + describing collections and personal belongings</t>
        </is>
      </c>
      <c r="T406" s="11" t="inlineStr"/>
    </row>
    <row r="407">
      <c r="A407" s="11" t="n">
        <v>406</v>
      </c>
      <c r="B407" s="11" t="inlineStr">
        <is>
          <t>Грамматика</t>
        </is>
      </c>
      <c r="C407" s="11" t="inlineStr">
        <is>
          <t>Местоимения</t>
        </is>
      </c>
      <c r="D407" s="12" t="inlineStr">
        <is>
          <t>Possessive adjectives</t>
        </is>
      </c>
      <c r="E407" s="18" t="inlineStr">
        <is>
          <t>Possessive adjectives: обязательны с частями тела, одеждой, родственниками (vs русский)</t>
        </is>
      </c>
      <c r="F407" s="11" t="inlineStr">
        <is>
          <t>10+</t>
        </is>
      </c>
      <c r="G407" s="11" t="inlineStr"/>
      <c r="H407" s="11" t="inlineStr"/>
      <c r="I407" s="23" t="inlineStr">
        <is>
          <t>М3 (3b) · новое</t>
        </is>
      </c>
      <c r="J407" s="11" t="inlineStr"/>
      <c r="K407" s="11" t="inlineStr"/>
      <c r="L407" s="11" t="inlineStr"/>
      <c r="M407" s="11" t="inlineStr"/>
      <c r="N407" s="11" t="inlineStr"/>
      <c r="O407" s="11" t="inlineStr"/>
      <c r="P407" s="20" t="inlineStr">
        <is>
          <t>—</t>
        </is>
      </c>
      <c r="Q407" s="21" t="inlineStr"/>
      <c r="R407" s="17" t="inlineStr">
        <is>
          <t>вебинар</t>
        </is>
      </c>
      <c r="S407" s="11" t="inlineStr">
        <is>
          <t>вебинар 03.11 (по расписанию): Possessive adjectives + possessive case, Whose?</t>
        </is>
      </c>
      <c r="T407" s="11" t="inlineStr"/>
    </row>
    <row r="408">
      <c r="A408" s="4" t="n">
        <v>407</v>
      </c>
      <c r="B408" s="4" t="inlineStr">
        <is>
          <t>Грамматика</t>
        </is>
      </c>
      <c r="C408" s="4" t="inlineStr">
        <is>
          <t>Местоимения</t>
        </is>
      </c>
      <c r="D408" s="5" t="inlineStr">
        <is>
          <t>Object pronouns</t>
        </is>
      </c>
      <c r="E408" s="6" t="inlineStr">
        <is>
          <t>Object pronouns: формы me, you, him, her, it, us, them</t>
        </is>
      </c>
      <c r="F408" s="4" t="inlineStr">
        <is>
          <t>10+</t>
        </is>
      </c>
      <c r="G408" s="4" t="inlineStr"/>
      <c r="H408" s="4" t="inlineStr"/>
      <c r="I408" s="27" t="inlineStr">
        <is>
          <t>М4 (4a) · новое</t>
        </is>
      </c>
      <c r="J408" s="4" t="inlineStr"/>
      <c r="K408" s="4" t="inlineStr"/>
      <c r="L408" s="4" t="inlineStr"/>
      <c r="M408" s="4" t="inlineStr"/>
      <c r="N408" s="4" t="inlineStr"/>
      <c r="O408" s="4" t="inlineStr"/>
      <c r="P408" s="28" t="inlineStr">
        <is>
          <t>—</t>
        </is>
      </c>
      <c r="Q408" s="29" t="inlineStr"/>
      <c r="R408" s="10" t="inlineStr">
        <is>
          <t>видео</t>
        </is>
      </c>
      <c r="S408" s="4" t="inlineStr">
        <is>
          <t>Object Pronounce+describing relashiionship (по названию)</t>
        </is>
      </c>
      <c r="T408" s="4" t="inlineStr"/>
    </row>
    <row r="409">
      <c r="A409" s="11" t="n">
        <v>408</v>
      </c>
      <c r="B409" s="11" t="inlineStr">
        <is>
          <t>Грамматика</t>
        </is>
      </c>
      <c r="C409" s="11" t="inlineStr">
        <is>
          <t>Местоимения</t>
        </is>
      </c>
      <c r="D409" s="12" t="inlineStr">
        <is>
          <t>Object pronouns</t>
        </is>
      </c>
      <c r="E409" s="22" t="inlineStr">
        <is>
          <t>Object pronouns: употребление — дополнение, после предлогов</t>
        </is>
      </c>
      <c r="F409" s="11" t="inlineStr">
        <is>
          <t>10+</t>
        </is>
      </c>
      <c r="G409" s="11" t="inlineStr"/>
      <c r="H409" s="11" t="inlineStr"/>
      <c r="I409" s="23" t="inlineStr">
        <is>
          <t>М4 (4a) · новое</t>
        </is>
      </c>
      <c r="J409" s="11" t="inlineStr"/>
      <c r="K409" s="11" t="inlineStr"/>
      <c r="L409" s="11" t="inlineStr"/>
      <c r="M409" s="11" t="inlineStr"/>
      <c r="N409" s="11" t="inlineStr"/>
      <c r="O409" s="11" t="inlineStr"/>
      <c r="P409" s="20" t="inlineStr">
        <is>
          <t>—</t>
        </is>
      </c>
      <c r="Q409" s="21" t="inlineStr"/>
      <c r="R409" s="17" t="inlineStr">
        <is>
          <t>видео</t>
        </is>
      </c>
      <c r="S409" s="11" t="inlineStr">
        <is>
          <t>Object Pronounce+describing relashiionship (по названию)</t>
        </is>
      </c>
      <c r="T409" s="11" t="inlineStr"/>
    </row>
    <row r="410">
      <c r="A410" s="11" t="n">
        <v>409</v>
      </c>
      <c r="B410" s="11" t="inlineStr">
        <is>
          <t>Грамматика</t>
        </is>
      </c>
      <c r="C410" s="11" t="inlineStr">
        <is>
          <t>Местоимения</t>
        </is>
      </c>
      <c r="D410" s="12" t="inlineStr">
        <is>
          <t>Object pronouns</t>
        </is>
      </c>
      <c r="E410" s="13" t="inlineStr">
        <is>
          <t>Object pronouns: личные vs объектные vs притяжательные — сопоставление</t>
        </is>
      </c>
      <c r="F410" s="11" t="inlineStr">
        <is>
          <t>10+</t>
        </is>
      </c>
      <c r="G410" s="11" t="inlineStr"/>
      <c r="H410" s="11" t="inlineStr"/>
      <c r="I410" s="23" t="inlineStr">
        <is>
          <t>М4 (4a) · новое</t>
        </is>
      </c>
      <c r="J410" s="11" t="inlineStr"/>
      <c r="K410" s="11" t="inlineStr"/>
      <c r="L410" s="11" t="inlineStr"/>
      <c r="M410" s="11" t="inlineStr"/>
      <c r="N410" s="11" t="inlineStr"/>
      <c r="O410" s="11" t="inlineStr"/>
      <c r="P410" s="20" t="inlineStr">
        <is>
          <t>—</t>
        </is>
      </c>
      <c r="Q410" s="21" t="inlineStr"/>
      <c r="R410" s="17" t="inlineStr">
        <is>
          <t>нет</t>
        </is>
      </c>
      <c r="S410" s="11" t="inlineStr"/>
      <c r="T410" s="11" t="inlineStr"/>
    </row>
    <row r="411">
      <c r="A411" s="4" t="n">
        <v>410</v>
      </c>
      <c r="B411" s="4" t="inlineStr">
        <is>
          <t>Грамматика</t>
        </is>
      </c>
      <c r="C411" s="4" t="inlineStr">
        <is>
          <t>Местоимения</t>
        </is>
      </c>
      <c r="D411" s="5" t="inlineStr">
        <is>
          <t>Personal pronouns (subject)</t>
        </is>
      </c>
      <c r="E411" s="24" t="inlineStr">
        <is>
          <t>Personal pronouns: формы I, you, he, she, it, we, you, they</t>
        </is>
      </c>
      <c r="F411" s="4" t="inlineStr">
        <is>
          <t>10+</t>
        </is>
      </c>
      <c r="G411" s="4" t="inlineStr"/>
      <c r="H411" s="4" t="inlineStr"/>
      <c r="I411" s="27" t="inlineStr">
        <is>
          <t>М1 (1b) · новое</t>
        </is>
      </c>
      <c r="J411" s="9" t="inlineStr">
        <is>
          <t>М1 · повт.</t>
        </is>
      </c>
      <c r="K411" s="4" t="inlineStr"/>
      <c r="L411" s="4" t="inlineStr"/>
      <c r="M411" s="4" t="inlineStr"/>
      <c r="N411" s="4" t="inlineStr"/>
      <c r="O411" s="4" t="inlineStr"/>
      <c r="P411" s="28" t="inlineStr">
        <is>
          <t>—</t>
        </is>
      </c>
      <c r="Q411" s="29" t="inlineStr"/>
      <c r="R411" s="10" t="inlineStr">
        <is>
          <t>нет</t>
        </is>
      </c>
      <c r="S411" s="4" t="inlineStr"/>
      <c r="T411" s="4" t="inlineStr"/>
    </row>
    <row r="412">
      <c r="A412" s="11" t="n">
        <v>411</v>
      </c>
      <c r="B412" s="11" t="inlineStr">
        <is>
          <t>Грамматика</t>
        </is>
      </c>
      <c r="C412" s="11" t="inlineStr">
        <is>
          <t>Местоимения</t>
        </is>
      </c>
      <c r="D412" s="12" t="inlineStr">
        <is>
          <t>Personal pronouns (subject)</t>
        </is>
      </c>
      <c r="E412" s="13" t="inlineStr">
        <is>
          <t>Personal pronouns: употребление — подлежащее вместо существительного</t>
        </is>
      </c>
      <c r="F412" s="11" t="inlineStr">
        <is>
          <t>10+</t>
        </is>
      </c>
      <c r="G412" s="11" t="inlineStr"/>
      <c r="H412" s="11" t="inlineStr"/>
      <c r="I412" s="23" t="inlineStr">
        <is>
          <t>М1 (1b) · новое</t>
        </is>
      </c>
      <c r="J412" s="16" t="inlineStr">
        <is>
          <t>М1 · повт.</t>
        </is>
      </c>
      <c r="K412" s="11" t="inlineStr"/>
      <c r="L412" s="11" t="inlineStr"/>
      <c r="M412" s="11" t="inlineStr"/>
      <c r="N412" s="11" t="inlineStr"/>
      <c r="O412" s="11" t="inlineStr"/>
      <c r="P412" s="20" t="inlineStr">
        <is>
          <t>—</t>
        </is>
      </c>
      <c r="Q412" s="21" t="inlineStr"/>
      <c r="R412" s="17" t="inlineStr">
        <is>
          <t>нет</t>
        </is>
      </c>
      <c r="S412" s="11" t="inlineStr"/>
      <c r="T412" s="11" t="inlineStr"/>
    </row>
    <row r="413">
      <c r="A413" s="11" t="n">
        <v>412</v>
      </c>
      <c r="B413" s="11" t="inlineStr">
        <is>
          <t>Грамматика</t>
        </is>
      </c>
      <c r="C413" s="11" t="inlineStr">
        <is>
          <t>Местоимения</t>
        </is>
      </c>
      <c r="D413" s="12" t="inlineStr">
        <is>
          <t>Personal pronouns (subject)</t>
        </is>
      </c>
      <c r="E413" s="13" t="inlineStr">
        <is>
          <t>Personal pronouns: he/she vs it vs they — выбор местоимения</t>
        </is>
      </c>
      <c r="F413" s="11" t="inlineStr">
        <is>
          <t>10+</t>
        </is>
      </c>
      <c r="G413" s="11" t="inlineStr"/>
      <c r="H413" s="11" t="inlineStr"/>
      <c r="I413" s="23" t="inlineStr">
        <is>
          <t>М1 (1b) · новое</t>
        </is>
      </c>
      <c r="J413" s="16" t="inlineStr">
        <is>
          <t>М1 · повт.</t>
        </is>
      </c>
      <c r="K413" s="11" t="inlineStr"/>
      <c r="L413" s="11" t="inlineStr"/>
      <c r="M413" s="11" t="inlineStr"/>
      <c r="N413" s="11" t="inlineStr"/>
      <c r="O413" s="11" t="inlineStr"/>
      <c r="P413" s="20" t="inlineStr">
        <is>
          <t>—</t>
        </is>
      </c>
      <c r="Q413" s="21" t="inlineStr"/>
      <c r="R413" s="17" t="inlineStr">
        <is>
          <t>нет</t>
        </is>
      </c>
      <c r="S413" s="11" t="inlineStr"/>
      <c r="T413" s="11" t="inlineStr"/>
    </row>
    <row r="414">
      <c r="A414" s="4" t="n">
        <v>413</v>
      </c>
      <c r="B414" s="4" t="inlineStr">
        <is>
          <t>Грамматика</t>
        </is>
      </c>
      <c r="C414" s="4" t="inlineStr">
        <is>
          <t>Местоимения</t>
        </is>
      </c>
      <c r="D414" s="5" t="inlineStr">
        <is>
          <t>Possessive pronouns</t>
        </is>
      </c>
      <c r="E414" s="6" t="inlineStr">
        <is>
          <t>Possessive pronouns: формы mine, yours, his, hers, its, ours, theirs — без существительного</t>
        </is>
      </c>
      <c r="F414" s="4" t="inlineStr">
        <is>
          <t>10+</t>
        </is>
      </c>
      <c r="G414" s="4" t="inlineStr"/>
      <c r="H414" s="4" t="inlineStr"/>
      <c r="I414" s="4" t="inlineStr"/>
      <c r="J414" s="27" t="inlineStr">
        <is>
          <t>М1 (1b) · новое</t>
        </is>
      </c>
      <c r="K414" s="4" t="inlineStr"/>
      <c r="L414" s="4" t="inlineStr"/>
      <c r="M414" s="4" t="inlineStr"/>
      <c r="N414" s="4" t="inlineStr"/>
      <c r="O414" s="4" t="inlineStr"/>
      <c r="P414" s="28" t="inlineStr">
        <is>
          <t>—</t>
        </is>
      </c>
      <c r="Q414" s="29" t="inlineStr"/>
      <c r="R414" s="10" t="inlineStr">
        <is>
          <t>видео</t>
        </is>
      </c>
      <c r="S414" s="4" t="inlineStr">
        <is>
          <t>Possesive pronounce+f...tification_09.06.2026</t>
        </is>
      </c>
      <c r="T414" s="4" t="inlineStr"/>
    </row>
    <row r="415">
      <c r="A415" s="11" t="n">
        <v>414</v>
      </c>
      <c r="B415" s="11" t="inlineStr">
        <is>
          <t>Грамматика</t>
        </is>
      </c>
      <c r="C415" s="11" t="inlineStr">
        <is>
          <t>Местоимения</t>
        </is>
      </c>
      <c r="D415" s="12" t="inlineStr">
        <is>
          <t>Possessive pronouns</t>
        </is>
      </c>
      <c r="E415" s="22" t="inlineStr">
        <is>
          <t>Possessive pronouns: my vs mine — сопоставление основной и абсолютной формы</t>
        </is>
      </c>
      <c r="F415" s="11" t="inlineStr">
        <is>
          <t>10+</t>
        </is>
      </c>
      <c r="G415" s="11" t="inlineStr"/>
      <c r="H415" s="11" t="inlineStr"/>
      <c r="I415" s="11" t="inlineStr"/>
      <c r="J415" s="23" t="inlineStr">
        <is>
          <t>М1 (1b) · новое</t>
        </is>
      </c>
      <c r="K415" s="11" t="inlineStr"/>
      <c r="L415" s="11" t="inlineStr"/>
      <c r="M415" s="11" t="inlineStr"/>
      <c r="N415" s="11" t="inlineStr"/>
      <c r="O415" s="11" t="inlineStr"/>
      <c r="P415" s="20" t="inlineStr">
        <is>
          <t>—</t>
        </is>
      </c>
      <c r="Q415" s="21" t="inlineStr"/>
      <c r="R415" s="17" t="inlineStr">
        <is>
          <t>видео</t>
        </is>
      </c>
      <c r="S415" s="11" t="inlineStr">
        <is>
          <t>Possesive pronounce+f...tification_09.06.2026</t>
        </is>
      </c>
      <c r="T415" s="11" t="inlineStr"/>
    </row>
    <row r="416">
      <c r="A416" s="4" t="n">
        <v>415</v>
      </c>
      <c r="B416" s="4" t="inlineStr">
        <is>
          <t>Грамматика</t>
        </is>
      </c>
      <c r="C416" s="4" t="inlineStr">
        <is>
          <t>Местоимения</t>
        </is>
      </c>
      <c r="D416" s="5" t="inlineStr">
        <is>
          <t>Reflexive pronouns</t>
        </is>
      </c>
      <c r="E416" s="6" t="inlineStr">
        <is>
          <t>Reflexive pronouns: формы myself … themselves</t>
        </is>
      </c>
      <c r="F416" s="4" t="inlineStr">
        <is>
          <t>10+</t>
        </is>
      </c>
      <c r="G416" s="4" t="inlineStr"/>
      <c r="H416" s="4" t="inlineStr"/>
      <c r="I416" s="4" t="inlineStr"/>
      <c r="J416" s="4" t="inlineStr"/>
      <c r="K416" s="27" t="inlineStr">
        <is>
          <t>М10 · новое</t>
        </is>
      </c>
      <c r="L416" s="4" t="inlineStr"/>
      <c r="M416" s="9" t="inlineStr">
        <is>
          <t>М6 (6d) · повт.</t>
        </is>
      </c>
      <c r="N416" s="4" t="inlineStr"/>
      <c r="O416" s="9" t="inlineStr">
        <is>
          <t>М4 · повт.</t>
        </is>
      </c>
      <c r="P416" s="28" t="inlineStr">
        <is>
          <t>—</t>
        </is>
      </c>
      <c r="Q416" s="29" t="inlineStr"/>
      <c r="R416" s="10" t="inlineStr">
        <is>
          <t>видео</t>
        </is>
      </c>
      <c r="S416" s="4" t="inlineStr">
        <is>
          <t>Reflexive pronouns</t>
        </is>
      </c>
      <c r="T416" s="4" t="inlineStr"/>
    </row>
    <row r="417">
      <c r="A417" s="11" t="n">
        <v>416</v>
      </c>
      <c r="B417" s="11" t="inlineStr">
        <is>
          <t>Грамматика</t>
        </is>
      </c>
      <c r="C417" s="11" t="inlineStr">
        <is>
          <t>Местоимения</t>
        </is>
      </c>
      <c r="D417" s="12" t="inlineStr">
        <is>
          <t>Reflexive pronouns</t>
        </is>
      </c>
      <c r="E417" s="22" t="inlineStr">
        <is>
          <t>Reflexive pronouns: подлежащее = дополнение (cut himself)</t>
        </is>
      </c>
      <c r="F417" s="11" t="inlineStr">
        <is>
          <t>10+</t>
        </is>
      </c>
      <c r="G417" s="11" t="inlineStr"/>
      <c r="H417" s="11" t="inlineStr"/>
      <c r="I417" s="11" t="inlineStr"/>
      <c r="J417" s="11" t="inlineStr"/>
      <c r="K417" s="23" t="inlineStr">
        <is>
          <t>М10 · новое</t>
        </is>
      </c>
      <c r="L417" s="11" t="inlineStr"/>
      <c r="M417" s="19" t="inlineStr">
        <is>
          <t>М6 (6d) · расш.</t>
        </is>
      </c>
      <c r="N417" s="11" t="inlineStr"/>
      <c r="O417" s="16" t="inlineStr">
        <is>
          <t>М4 · повт.</t>
        </is>
      </c>
      <c r="P417" s="20" t="inlineStr">
        <is>
          <t>—</t>
        </is>
      </c>
      <c r="Q417" s="21" t="inlineStr"/>
      <c r="R417" s="17" t="inlineStr">
        <is>
          <t>видео</t>
        </is>
      </c>
      <c r="S417" s="11" t="inlineStr">
        <is>
          <t>Reflexive pronouns</t>
        </is>
      </c>
      <c r="T417" s="11" t="inlineStr"/>
    </row>
    <row r="418">
      <c r="A418" s="11" t="n">
        <v>417</v>
      </c>
      <c r="B418" s="11" t="inlineStr">
        <is>
          <t>Грамматика</t>
        </is>
      </c>
      <c r="C418" s="11" t="inlineStr">
        <is>
          <t>Местоимения</t>
        </is>
      </c>
      <c r="D418" s="12" t="inlineStr">
        <is>
          <t>Reflexive pronouns</t>
        </is>
      </c>
      <c r="E418" s="13" t="inlineStr">
        <is>
          <t>Reflexive pronouns: эмфатическое — «сам» (She will cut the cake herself)</t>
        </is>
      </c>
      <c r="F418" s="11" t="inlineStr">
        <is>
          <t>10+</t>
        </is>
      </c>
      <c r="G418" s="11" t="inlineStr"/>
      <c r="H418" s="11" t="inlineStr"/>
      <c r="I418" s="11" t="inlineStr"/>
      <c r="J418" s="11" t="inlineStr"/>
      <c r="K418" s="23" t="inlineStr">
        <is>
          <t>М10 · новое</t>
        </is>
      </c>
      <c r="L418" s="11" t="inlineStr"/>
      <c r="M418" s="16" t="inlineStr">
        <is>
          <t>М6 (6d) · повт.</t>
        </is>
      </c>
      <c r="N418" s="11" t="inlineStr"/>
      <c r="O418" s="11" t="inlineStr"/>
      <c r="P418" s="20" t="inlineStr">
        <is>
          <t>—</t>
        </is>
      </c>
      <c r="Q418" s="21" t="inlineStr"/>
      <c r="R418" s="17" t="inlineStr">
        <is>
          <t>нет</t>
        </is>
      </c>
      <c r="S418" s="11" t="inlineStr"/>
      <c r="T418" s="11" t="inlineStr"/>
    </row>
    <row r="419">
      <c r="A419" s="11" t="n">
        <v>418</v>
      </c>
      <c r="B419" s="11" t="inlineStr">
        <is>
          <t>Грамматика</t>
        </is>
      </c>
      <c r="C419" s="11" t="inlineStr">
        <is>
          <t>Местоимения</t>
        </is>
      </c>
      <c r="D419" s="12" t="inlineStr">
        <is>
          <t>Reflexive pronouns</t>
        </is>
      </c>
      <c r="E419" s="22" t="inlineStr">
        <is>
          <t>Reflexive pronouns: by myself — «сам, в одиночку»</t>
        </is>
      </c>
      <c r="F419" s="11" t="inlineStr">
        <is>
          <t>10+</t>
        </is>
      </c>
      <c r="G419" s="11" t="inlineStr"/>
      <c r="H419" s="11" t="inlineStr"/>
      <c r="I419" s="11" t="inlineStr"/>
      <c r="J419" s="11" t="inlineStr"/>
      <c r="K419" s="23" t="inlineStr">
        <is>
          <t>М10 · новое</t>
        </is>
      </c>
      <c r="L419" s="11" t="inlineStr"/>
      <c r="M419" s="16" t="inlineStr">
        <is>
          <t>М6 (6d) · повт.</t>
        </is>
      </c>
      <c r="N419" s="11" t="inlineStr"/>
      <c r="O419" s="16" t="inlineStr">
        <is>
          <t>М4 · повт.</t>
        </is>
      </c>
      <c r="P419" s="20" t="inlineStr">
        <is>
          <t>—</t>
        </is>
      </c>
      <c r="Q419" s="21" t="inlineStr"/>
      <c r="R419" s="17" t="inlineStr">
        <is>
          <t>видео</t>
        </is>
      </c>
      <c r="S419" s="11" t="inlineStr">
        <is>
          <t>Reflexive pronouns</t>
        </is>
      </c>
      <c r="T419" s="11" t="inlineStr"/>
    </row>
    <row r="420">
      <c r="A420" s="11" t="n">
        <v>419</v>
      </c>
      <c r="B420" s="11" t="inlineStr">
        <is>
          <t>Грамматика</t>
        </is>
      </c>
      <c r="C420" s="11" t="inlineStr">
        <is>
          <t>Местоимения</t>
        </is>
      </c>
      <c r="D420" s="12" t="inlineStr">
        <is>
          <t>Reflexive pronouns</t>
        </is>
      </c>
      <c r="E420" s="13" t="inlineStr">
        <is>
          <t>Reflexive pronouns: глаголы без возвратного местоимения (wash, dress, meet)</t>
        </is>
      </c>
      <c r="F420" s="11" t="inlineStr">
        <is>
          <t>10+</t>
        </is>
      </c>
      <c r="G420" s="11" t="inlineStr"/>
      <c r="H420" s="11" t="inlineStr"/>
      <c r="I420" s="11" t="inlineStr"/>
      <c r="J420" s="11" t="inlineStr"/>
      <c r="K420" s="23" t="inlineStr">
        <is>
          <t>М10 · новое</t>
        </is>
      </c>
      <c r="L420" s="11" t="inlineStr"/>
      <c r="M420" s="19" t="inlineStr">
        <is>
          <t>М6 (6d) · расш.</t>
        </is>
      </c>
      <c r="N420" s="11" t="inlineStr"/>
      <c r="O420" s="19" t="inlineStr">
        <is>
          <t>М4 · расш.</t>
        </is>
      </c>
      <c r="P420" s="20" t="inlineStr">
        <is>
          <t>—</t>
        </is>
      </c>
      <c r="Q420" s="21" t="inlineStr"/>
      <c r="R420" s="17" t="inlineStr">
        <is>
          <t>нет</t>
        </is>
      </c>
      <c r="S420" s="11" t="inlineStr"/>
      <c r="T420" s="11" t="inlineStr"/>
    </row>
    <row r="421">
      <c r="A421" s="11" t="n">
        <v>420</v>
      </c>
      <c r="B421" s="11" t="inlineStr">
        <is>
          <t>Грамматика</t>
        </is>
      </c>
      <c r="C421" s="11" t="inlineStr">
        <is>
          <t>Местоимения</t>
        </is>
      </c>
      <c r="D421" s="12" t="inlineStr">
        <is>
          <t>Reflexive pronouns</t>
        </is>
      </c>
      <c r="E421" s="13" t="inlineStr">
        <is>
          <t>Reflexive pronouns: после be, feel, look, seem</t>
        </is>
      </c>
      <c r="F421" s="11" t="inlineStr">
        <is>
          <t>10+</t>
        </is>
      </c>
      <c r="G421" s="11" t="inlineStr"/>
      <c r="H421" s="11" t="inlineStr"/>
      <c r="I421" s="11" t="inlineStr"/>
      <c r="J421" s="11" t="inlineStr"/>
      <c r="K421" s="11" t="inlineStr"/>
      <c r="L421" s="11" t="inlineStr"/>
      <c r="M421" s="23" t="inlineStr">
        <is>
          <t>М6 (6d) · новое</t>
        </is>
      </c>
      <c r="N421" s="11" t="inlineStr"/>
      <c r="O421" s="16" t="inlineStr">
        <is>
          <t>М4 · повт.</t>
        </is>
      </c>
      <c r="P421" s="20" t="inlineStr">
        <is>
          <t>—</t>
        </is>
      </c>
      <c r="Q421" s="21" t="inlineStr"/>
      <c r="R421" s="17" t="inlineStr">
        <is>
          <t>нет</t>
        </is>
      </c>
      <c r="S421" s="11" t="inlineStr"/>
      <c r="T421" s="11" t="inlineStr"/>
    </row>
    <row r="422">
      <c r="A422" s="11" t="n">
        <v>421</v>
      </c>
      <c r="B422" s="11" t="inlineStr">
        <is>
          <t>Грамматика</t>
        </is>
      </c>
      <c r="C422" s="11" t="inlineStr">
        <is>
          <t>Местоимения</t>
        </is>
      </c>
      <c r="D422" s="12" t="inlineStr">
        <is>
          <t>Reflexive pronouns</t>
        </is>
      </c>
      <c r="E422" s="13" t="inlineStr">
        <is>
          <t>Reflexive pronouns: после предлогов (но не предлогов места)</t>
        </is>
      </c>
      <c r="F422" s="11" t="inlineStr">
        <is>
          <t>10+</t>
        </is>
      </c>
      <c r="G422" s="11" t="inlineStr"/>
      <c r="H422" s="11" t="inlineStr"/>
      <c r="I422" s="11" t="inlineStr"/>
      <c r="J422" s="11" t="inlineStr"/>
      <c r="K422" s="11" t="inlineStr"/>
      <c r="L422" s="11" t="inlineStr"/>
      <c r="M422" s="23" t="inlineStr">
        <is>
          <t>М6 (6d) · новое</t>
        </is>
      </c>
      <c r="N422" s="11" t="inlineStr"/>
      <c r="O422" s="16" t="inlineStr">
        <is>
          <t>М4 · повт.</t>
        </is>
      </c>
      <c r="P422" s="20" t="inlineStr">
        <is>
          <t>—</t>
        </is>
      </c>
      <c r="Q422" s="21" t="inlineStr"/>
      <c r="R422" s="17" t="inlineStr">
        <is>
          <t>нет</t>
        </is>
      </c>
      <c r="S422" s="11" t="inlineStr"/>
      <c r="T422" s="11" t="inlineStr"/>
    </row>
    <row r="423">
      <c r="A423" s="11" t="n">
        <v>422</v>
      </c>
      <c r="B423" s="11" t="inlineStr">
        <is>
          <t>Грамматика</t>
        </is>
      </c>
      <c r="C423" s="11" t="inlineStr">
        <is>
          <t>Местоимения</t>
        </is>
      </c>
      <c r="D423" s="12" t="inlineStr">
        <is>
          <t>Reflexive pronouns</t>
        </is>
      </c>
      <c r="E423" s="13" t="inlineStr">
        <is>
          <t>Reflexive pronouns: устойчивые выражения (Enjoy yourself!, Help yourself, Make yourself at home)</t>
        </is>
      </c>
      <c r="F423" s="11" t="inlineStr">
        <is>
          <t>10+</t>
        </is>
      </c>
      <c r="G423" s="11" t="inlineStr"/>
      <c r="H423" s="11" t="inlineStr"/>
      <c r="I423" s="11" t="inlineStr"/>
      <c r="J423" s="11" t="inlineStr"/>
      <c r="K423" s="11" t="inlineStr"/>
      <c r="L423" s="11" t="inlineStr"/>
      <c r="M423" s="23" t="inlineStr">
        <is>
          <t>М6 (6d) · новое</t>
        </is>
      </c>
      <c r="N423" s="11" t="inlineStr"/>
      <c r="O423" s="16" t="inlineStr">
        <is>
          <t>М4 · повт.</t>
        </is>
      </c>
      <c r="P423" s="20" t="inlineStr">
        <is>
          <t>—</t>
        </is>
      </c>
      <c r="Q423" s="21" t="inlineStr"/>
      <c r="R423" s="17" t="inlineStr">
        <is>
          <t>нет</t>
        </is>
      </c>
      <c r="S423" s="11" t="inlineStr"/>
      <c r="T423" s="11" t="inlineStr"/>
    </row>
    <row r="424">
      <c r="A424" s="4" t="n">
        <v>423</v>
      </c>
      <c r="B424" s="4" t="inlineStr">
        <is>
          <t>Грамматика</t>
        </is>
      </c>
      <c r="C424" s="4" t="inlineStr">
        <is>
          <t>Местоимения</t>
        </is>
      </c>
      <c r="D424" s="5" t="inlineStr">
        <is>
          <t>Determiners (every/each)</t>
        </is>
      </c>
      <c r="E424" s="6" t="inlineStr">
        <is>
          <t>Determiners (every/each): every + ед. ч. — вся группа (= all)</t>
        </is>
      </c>
      <c r="F424" s="4" t="inlineStr">
        <is>
          <t>10+</t>
        </is>
      </c>
      <c r="G424" s="4" t="inlineStr"/>
      <c r="H424" s="4" t="inlineStr"/>
      <c r="I424" s="4" t="inlineStr"/>
      <c r="J424" s="4" t="inlineStr"/>
      <c r="K424" s="4" t="inlineStr"/>
      <c r="L424" s="4" t="inlineStr"/>
      <c r="M424" s="27" t="inlineStr">
        <is>
          <t>М8 (8d) · новое</t>
        </is>
      </c>
      <c r="N424" s="9" t="inlineStr">
        <is>
          <t>М5 (5c) · повт.</t>
        </is>
      </c>
      <c r="O424" s="4" t="inlineStr"/>
      <c r="P424" s="28" t="inlineStr">
        <is>
          <t>—</t>
        </is>
      </c>
      <c r="Q424" s="29" t="inlineStr"/>
      <c r="R424" s="10" t="inlineStr">
        <is>
          <t>видео</t>
        </is>
      </c>
      <c r="S424" s="4" t="inlineStr">
        <is>
          <t>Quantifiers extended + travel</t>
        </is>
      </c>
      <c r="T424" s="4" t="inlineStr"/>
    </row>
    <row r="425">
      <c r="A425" s="11" t="n">
        <v>424</v>
      </c>
      <c r="B425" s="11" t="inlineStr">
        <is>
          <t>Грамматика</t>
        </is>
      </c>
      <c r="C425" s="11" t="inlineStr">
        <is>
          <t>Местоимения</t>
        </is>
      </c>
      <c r="D425" s="12" t="inlineStr">
        <is>
          <t>Determiners (every/each)</t>
        </is>
      </c>
      <c r="E425" s="22" t="inlineStr">
        <is>
          <t>Determiners (every/each): each + ед. ч. — каждый в отдельности</t>
        </is>
      </c>
      <c r="F425" s="11" t="inlineStr">
        <is>
          <t>10+</t>
        </is>
      </c>
      <c r="G425" s="11" t="inlineStr"/>
      <c r="H425" s="11" t="inlineStr"/>
      <c r="I425" s="11" t="inlineStr"/>
      <c r="J425" s="11" t="inlineStr"/>
      <c r="K425" s="11" t="inlineStr"/>
      <c r="L425" s="11" t="inlineStr"/>
      <c r="M425" s="23" t="inlineStr">
        <is>
          <t>М8 (8d) · новое</t>
        </is>
      </c>
      <c r="N425" s="16" t="inlineStr">
        <is>
          <t>М5 (5c) · повт.</t>
        </is>
      </c>
      <c r="O425" s="11" t="inlineStr"/>
      <c r="P425" s="20" t="inlineStr">
        <is>
          <t>—</t>
        </is>
      </c>
      <c r="Q425" s="21" t="inlineStr"/>
      <c r="R425" s="17" t="inlineStr">
        <is>
          <t>видео</t>
        </is>
      </c>
      <c r="S425" s="11" t="inlineStr">
        <is>
          <t>Quantifiers extended + travel</t>
        </is>
      </c>
      <c r="T425" s="11" t="inlineStr"/>
    </row>
    <row r="426">
      <c r="A426" s="11" t="n">
        <v>425</v>
      </c>
      <c r="B426" s="11" t="inlineStr">
        <is>
          <t>Грамматика</t>
        </is>
      </c>
      <c r="C426" s="11" t="inlineStr">
        <is>
          <t>Местоимения</t>
        </is>
      </c>
      <c r="D426" s="12" t="inlineStr">
        <is>
          <t>Determiners (every/each)</t>
        </is>
      </c>
      <c r="E426" s="13" t="inlineStr">
        <is>
          <t>Determiners (every/each): every vs each — о двух vs о трёх и более</t>
        </is>
      </c>
      <c r="F426" s="11" t="inlineStr">
        <is>
          <t>10+</t>
        </is>
      </c>
      <c r="G426" s="11" t="inlineStr"/>
      <c r="H426" s="11" t="inlineStr"/>
      <c r="I426" s="11" t="inlineStr"/>
      <c r="J426" s="11" t="inlineStr"/>
      <c r="K426" s="11" t="inlineStr"/>
      <c r="L426" s="11" t="inlineStr"/>
      <c r="M426" s="23" t="inlineStr">
        <is>
          <t>М8 (8d) · новое</t>
        </is>
      </c>
      <c r="N426" s="16" t="inlineStr">
        <is>
          <t>М5 (5c) · повт.</t>
        </is>
      </c>
      <c r="O426" s="11" t="inlineStr"/>
      <c r="P426" s="20" t="inlineStr">
        <is>
          <t>—</t>
        </is>
      </c>
      <c r="Q426" s="21" t="inlineStr"/>
      <c r="R426" s="17" t="inlineStr">
        <is>
          <t>нет</t>
        </is>
      </c>
      <c r="S426" s="11" t="inlineStr"/>
      <c r="T426" s="11" t="inlineStr"/>
    </row>
    <row r="427">
      <c r="A427" s="11" t="n">
        <v>426</v>
      </c>
      <c r="B427" s="11" t="inlineStr">
        <is>
          <t>Грамматика</t>
        </is>
      </c>
      <c r="C427" s="11" t="inlineStr">
        <is>
          <t>Местоимения</t>
        </is>
      </c>
      <c r="D427" s="12" t="inlineStr">
        <is>
          <t>Determiners (every/each)</t>
        </is>
      </c>
      <c r="E427" s="13" t="inlineStr">
        <is>
          <t>Determiners (every/each): each (one) of / every one of</t>
        </is>
      </c>
      <c r="F427" s="11" t="inlineStr">
        <is>
          <t>10+</t>
        </is>
      </c>
      <c r="G427" s="11" t="inlineStr"/>
      <c r="H427" s="11" t="inlineStr"/>
      <c r="I427" s="11" t="inlineStr"/>
      <c r="J427" s="11" t="inlineStr"/>
      <c r="K427" s="11" t="inlineStr"/>
      <c r="L427" s="11" t="inlineStr"/>
      <c r="M427" s="23" t="inlineStr">
        <is>
          <t>М8 (8d) · новое</t>
        </is>
      </c>
      <c r="N427" s="16" t="inlineStr">
        <is>
          <t>М5 (5c) · повт.</t>
        </is>
      </c>
      <c r="O427" s="11" t="inlineStr"/>
      <c r="P427" s="20" t="inlineStr">
        <is>
          <t>—</t>
        </is>
      </c>
      <c r="Q427" s="21" t="inlineStr"/>
      <c r="R427" s="17" t="inlineStr">
        <is>
          <t>нет</t>
        </is>
      </c>
      <c r="S427" s="11" t="inlineStr"/>
      <c r="T427" s="11" t="inlineStr"/>
    </row>
    <row r="428">
      <c r="A428" s="4" t="n">
        <v>427</v>
      </c>
      <c r="B428" s="4" t="inlineStr">
        <is>
          <t>Грамматика</t>
        </is>
      </c>
      <c r="C428" s="4" t="inlineStr">
        <is>
          <t>Местоимения</t>
        </is>
      </c>
      <c r="D428" s="5" t="inlineStr">
        <is>
          <t>Indefinite pronouns (some-/any-/no-/every-)</t>
        </is>
      </c>
      <c r="E428" s="24" t="inlineStr">
        <is>
          <t>Indefinite pronouns: some/any/no + неисчисляемые и мн. ч.</t>
        </is>
      </c>
      <c r="F428" s="4" t="inlineStr">
        <is>
          <t>10+</t>
        </is>
      </c>
      <c r="G428" s="4" t="inlineStr"/>
      <c r="H428" s="4" t="inlineStr"/>
      <c r="I428" s="4" t="inlineStr"/>
      <c r="J428" s="4" t="inlineStr"/>
      <c r="K428" s="4" t="inlineStr"/>
      <c r="L428" s="4" t="inlineStr"/>
      <c r="M428" s="27" t="inlineStr">
        <is>
          <t>М8 (8d) · новое</t>
        </is>
      </c>
      <c r="N428" s="9" t="inlineStr">
        <is>
          <t>М5 (5c) · повт.</t>
        </is>
      </c>
      <c r="O428" s="9" t="inlineStr">
        <is>
          <t>М8 (8c) · повт.</t>
        </is>
      </c>
      <c r="P428" s="28" t="inlineStr">
        <is>
          <t>—</t>
        </is>
      </c>
      <c r="Q428" s="29" t="inlineStr"/>
      <c r="R428" s="10" t="inlineStr">
        <is>
          <t>нет</t>
        </is>
      </c>
      <c r="S428" s="4" t="inlineStr"/>
      <c r="T428" s="4" t="inlineStr"/>
    </row>
    <row r="429">
      <c r="A429" s="11" t="n">
        <v>428</v>
      </c>
      <c r="B429" s="11" t="inlineStr">
        <is>
          <t>Грамматика</t>
        </is>
      </c>
      <c r="C429" s="11" t="inlineStr">
        <is>
          <t>Местоимения</t>
        </is>
      </c>
      <c r="D429" s="12" t="inlineStr">
        <is>
          <t>Indefinite pronouns (some-/any-/no-/every-)</t>
        </is>
      </c>
      <c r="E429" s="22" t="inlineStr">
        <is>
          <t>Indefinite pronouns: производные — люди, вещи, места (somebody, anything, nowhere)</t>
        </is>
      </c>
      <c r="F429" s="11" t="inlineStr">
        <is>
          <t>10+</t>
        </is>
      </c>
      <c r="G429" s="11" t="inlineStr"/>
      <c r="H429" s="11" t="inlineStr"/>
      <c r="I429" s="11" t="inlineStr"/>
      <c r="J429" s="11" t="inlineStr"/>
      <c r="K429" s="11" t="inlineStr"/>
      <c r="L429" s="11" t="inlineStr"/>
      <c r="M429" s="23" t="inlineStr">
        <is>
          <t>М8 (8d) · новое</t>
        </is>
      </c>
      <c r="N429" s="16" t="inlineStr">
        <is>
          <t>М5 (5c) · повт.</t>
        </is>
      </c>
      <c r="O429" s="16" t="inlineStr">
        <is>
          <t>М8 (8c) · повт.</t>
        </is>
      </c>
      <c r="P429" s="20" t="inlineStr">
        <is>
          <t>—</t>
        </is>
      </c>
      <c r="Q429" s="21" t="inlineStr"/>
      <c r="R429" s="17" t="inlineStr">
        <is>
          <t>видео</t>
        </is>
      </c>
      <c r="S429" s="11" t="inlineStr">
        <is>
          <t>Quantifiers extended + travel</t>
        </is>
      </c>
      <c r="T429" s="11" t="inlineStr"/>
    </row>
    <row r="430">
      <c r="A430" s="11" t="n">
        <v>429</v>
      </c>
      <c r="B430" s="11" t="inlineStr">
        <is>
          <t>Грамматика</t>
        </is>
      </c>
      <c r="C430" s="11" t="inlineStr">
        <is>
          <t>Местоимения</t>
        </is>
      </c>
      <c r="D430" s="12" t="inlineStr">
        <is>
          <t>Indefinite pronouns (some-/any-/no-/every-)</t>
        </is>
      </c>
      <c r="E430" s="22" t="inlineStr">
        <is>
          <t>Indefinite pronouns: some- — в утверждениях</t>
        </is>
      </c>
      <c r="F430" s="11" t="inlineStr">
        <is>
          <t>10+</t>
        </is>
      </c>
      <c r="G430" s="11" t="inlineStr"/>
      <c r="H430" s="11" t="inlineStr"/>
      <c r="I430" s="11" t="inlineStr"/>
      <c r="J430" s="11" t="inlineStr"/>
      <c r="K430" s="11" t="inlineStr"/>
      <c r="L430" s="11" t="inlineStr"/>
      <c r="M430" s="23" t="inlineStr">
        <is>
          <t>М8 (8d) · новое</t>
        </is>
      </c>
      <c r="N430" s="16" t="inlineStr">
        <is>
          <t>М5 (5c) · повт.</t>
        </is>
      </c>
      <c r="O430" s="16" t="inlineStr">
        <is>
          <t>М8 (8c) · повт.</t>
        </is>
      </c>
      <c r="P430" s="20" t="inlineStr">
        <is>
          <t>—</t>
        </is>
      </c>
      <c r="Q430" s="21" t="inlineStr"/>
      <c r="R430" s="17" t="inlineStr">
        <is>
          <t>видео</t>
        </is>
      </c>
      <c r="S430" s="11" t="inlineStr">
        <is>
          <t>Quantifiers extended + travel</t>
        </is>
      </c>
      <c r="T430" s="11" t="inlineStr"/>
    </row>
    <row r="431">
      <c r="A431" s="11" t="n">
        <v>430</v>
      </c>
      <c r="B431" s="11" t="inlineStr">
        <is>
          <t>Грамматика</t>
        </is>
      </c>
      <c r="C431" s="11" t="inlineStr">
        <is>
          <t>Местоимения</t>
        </is>
      </c>
      <c r="D431" s="12" t="inlineStr">
        <is>
          <t>Indefinite pronouns (some-/any-/no-/every-)</t>
        </is>
      </c>
      <c r="E431" s="13" t="inlineStr">
        <is>
          <t>Indefinite pronouns: some- в вопросах — предложения и просьбы</t>
        </is>
      </c>
      <c r="F431" s="11" t="inlineStr">
        <is>
          <t>10+</t>
        </is>
      </c>
      <c r="G431" s="11" t="inlineStr"/>
      <c r="H431" s="11" t="inlineStr"/>
      <c r="I431" s="11" t="inlineStr"/>
      <c r="J431" s="11" t="inlineStr"/>
      <c r="K431" s="11" t="inlineStr"/>
      <c r="L431" s="11" t="inlineStr"/>
      <c r="M431" s="23" t="inlineStr">
        <is>
          <t>М8 (8d) · новое</t>
        </is>
      </c>
      <c r="N431" s="16" t="inlineStr">
        <is>
          <t>М5 (5c) · повт.</t>
        </is>
      </c>
      <c r="O431" s="19" t="inlineStr">
        <is>
          <t>М8 (8c) · расш.</t>
        </is>
      </c>
      <c r="P431" s="20" t="inlineStr">
        <is>
          <t>—</t>
        </is>
      </c>
      <c r="Q431" s="21" t="inlineStr"/>
      <c r="R431" s="17" t="inlineStr">
        <is>
          <t>нет</t>
        </is>
      </c>
      <c r="S431" s="11" t="inlineStr"/>
      <c r="T431" s="11" t="inlineStr"/>
    </row>
    <row r="432">
      <c r="A432" s="11" t="n">
        <v>431</v>
      </c>
      <c r="B432" s="11" t="inlineStr">
        <is>
          <t>Грамматика</t>
        </is>
      </c>
      <c r="C432" s="11" t="inlineStr">
        <is>
          <t>Местоимения</t>
        </is>
      </c>
      <c r="D432" s="12" t="inlineStr">
        <is>
          <t>Indefinite pronouns (some-/any-/no-/every-)</t>
        </is>
      </c>
      <c r="E432" s="22" t="inlineStr">
        <is>
          <t>Indefinite pronouns: any- — в вопросах</t>
        </is>
      </c>
      <c r="F432" s="11" t="inlineStr">
        <is>
          <t>10+</t>
        </is>
      </c>
      <c r="G432" s="11" t="inlineStr"/>
      <c r="H432" s="11" t="inlineStr"/>
      <c r="I432" s="11" t="inlineStr"/>
      <c r="J432" s="11" t="inlineStr"/>
      <c r="K432" s="11" t="inlineStr"/>
      <c r="L432" s="11" t="inlineStr"/>
      <c r="M432" s="23" t="inlineStr">
        <is>
          <t>М8 (8d) · новое</t>
        </is>
      </c>
      <c r="N432" s="16" t="inlineStr">
        <is>
          <t>М5 (5c) · повт.</t>
        </is>
      </c>
      <c r="O432" s="16" t="inlineStr">
        <is>
          <t>М8 (8c) · повт.</t>
        </is>
      </c>
      <c r="P432" s="20" t="inlineStr">
        <is>
          <t>—</t>
        </is>
      </c>
      <c r="Q432" s="21" t="inlineStr"/>
      <c r="R432" s="17" t="inlineStr">
        <is>
          <t>видео</t>
        </is>
      </c>
      <c r="S432" s="11" t="inlineStr">
        <is>
          <t>Quantifiers extended + travel</t>
        </is>
      </c>
      <c r="T432" s="11" t="inlineStr"/>
    </row>
    <row r="433">
      <c r="A433" s="11" t="n">
        <v>432</v>
      </c>
      <c r="B433" s="11" t="inlineStr">
        <is>
          <t>Грамматика</t>
        </is>
      </c>
      <c r="C433" s="11" t="inlineStr">
        <is>
          <t>Местоимения</t>
        </is>
      </c>
      <c r="D433" s="12" t="inlineStr">
        <is>
          <t>Indefinite pronouns (some-/any-/no-/every-)</t>
        </is>
      </c>
      <c r="E433" s="22" t="inlineStr">
        <is>
          <t>Indefinite pronouns: not any- в отрицаниях; any после without, never, rarely</t>
        </is>
      </c>
      <c r="F433" s="11" t="inlineStr">
        <is>
          <t>10+</t>
        </is>
      </c>
      <c r="G433" s="11" t="inlineStr"/>
      <c r="H433" s="11" t="inlineStr"/>
      <c r="I433" s="11" t="inlineStr"/>
      <c r="J433" s="11" t="inlineStr"/>
      <c r="K433" s="11" t="inlineStr"/>
      <c r="L433" s="11" t="inlineStr"/>
      <c r="M433" s="23" t="inlineStr">
        <is>
          <t>М8 (8d) · новое</t>
        </is>
      </c>
      <c r="N433" s="16" t="inlineStr">
        <is>
          <t>М5 (5c) · повт.</t>
        </is>
      </c>
      <c r="O433" s="16" t="inlineStr">
        <is>
          <t>М8 (8c) · повт.</t>
        </is>
      </c>
      <c r="P433" s="20" t="inlineStr">
        <is>
          <t>—</t>
        </is>
      </c>
      <c r="Q433" s="21" t="inlineStr"/>
      <c r="R433" s="17" t="inlineStr">
        <is>
          <t>видео</t>
        </is>
      </c>
      <c r="S433" s="11" t="inlineStr">
        <is>
          <t>Quantifiers extended + travel</t>
        </is>
      </c>
      <c r="T433" s="11" t="inlineStr"/>
    </row>
    <row r="434">
      <c r="A434" s="11" t="n">
        <v>433</v>
      </c>
      <c r="B434" s="11" t="inlineStr">
        <is>
          <t>Грамматика</t>
        </is>
      </c>
      <c r="C434" s="11" t="inlineStr">
        <is>
          <t>Местоимения</t>
        </is>
      </c>
      <c r="D434" s="12" t="inlineStr">
        <is>
          <t>Indefinite pronouns (some-/any-/no-/every-)</t>
        </is>
      </c>
      <c r="E434" s="13" t="inlineStr">
        <is>
          <t>Indefinite pronouns: any в утверждении = «любой, неважно кто/что»</t>
        </is>
      </c>
      <c r="F434" s="11" t="inlineStr">
        <is>
          <t>10+</t>
        </is>
      </c>
      <c r="G434" s="11" t="inlineStr"/>
      <c r="H434" s="11" t="inlineStr"/>
      <c r="I434" s="11" t="inlineStr"/>
      <c r="J434" s="11" t="inlineStr"/>
      <c r="K434" s="11" t="inlineStr"/>
      <c r="L434" s="11" t="inlineStr"/>
      <c r="M434" s="23" t="inlineStr">
        <is>
          <t>М8 (8d) · новое</t>
        </is>
      </c>
      <c r="N434" s="16" t="inlineStr">
        <is>
          <t>М5 (5c) · повт.</t>
        </is>
      </c>
      <c r="O434" s="16" t="inlineStr">
        <is>
          <t>М8 (8c) · повт.</t>
        </is>
      </c>
      <c r="P434" s="20" t="inlineStr">
        <is>
          <t>—</t>
        </is>
      </c>
      <c r="Q434" s="21" t="inlineStr"/>
      <c r="R434" s="17" t="inlineStr">
        <is>
          <t>нет</t>
        </is>
      </c>
      <c r="S434" s="11" t="inlineStr"/>
      <c r="T434" s="11" t="inlineStr"/>
    </row>
    <row r="435">
      <c r="A435" s="11" t="n">
        <v>434</v>
      </c>
      <c r="B435" s="11" t="inlineStr">
        <is>
          <t>Грамматика</t>
        </is>
      </c>
      <c r="C435" s="11" t="inlineStr">
        <is>
          <t>Местоимения</t>
        </is>
      </c>
      <c r="D435" s="12" t="inlineStr">
        <is>
          <t>Indefinite pronouns (some-/any-/no-/every-)</t>
        </is>
      </c>
      <c r="E435" s="22" t="inlineStr">
        <is>
          <t>Indefinite pronouns: no- вместо not any (глагол утвердительный)</t>
        </is>
      </c>
      <c r="F435" s="11" t="inlineStr">
        <is>
          <t>10+</t>
        </is>
      </c>
      <c r="G435" s="11" t="inlineStr"/>
      <c r="H435" s="11" t="inlineStr"/>
      <c r="I435" s="11" t="inlineStr"/>
      <c r="J435" s="11" t="inlineStr"/>
      <c r="K435" s="11" t="inlineStr"/>
      <c r="L435" s="11" t="inlineStr"/>
      <c r="M435" s="23" t="inlineStr">
        <is>
          <t>М8 (8d) · новое</t>
        </is>
      </c>
      <c r="N435" s="19" t="inlineStr">
        <is>
          <t>М5 (5c) · расш.</t>
        </is>
      </c>
      <c r="O435" s="16" t="inlineStr">
        <is>
          <t>М8 (8c) · повт.</t>
        </is>
      </c>
      <c r="P435" s="20" t="inlineStr">
        <is>
          <t>—</t>
        </is>
      </c>
      <c r="Q435" s="21" t="inlineStr"/>
      <c r="R435" s="17" t="inlineStr">
        <is>
          <t>видео</t>
        </is>
      </c>
      <c r="S435" s="11" t="inlineStr">
        <is>
          <t>Quantifiers extended + travel</t>
        </is>
      </c>
      <c r="T435" s="11" t="inlineStr"/>
    </row>
    <row r="436">
      <c r="A436" s="11" t="n">
        <v>435</v>
      </c>
      <c r="B436" s="11" t="inlineStr">
        <is>
          <t>Грамматика</t>
        </is>
      </c>
      <c r="C436" s="11" t="inlineStr">
        <is>
          <t>Местоимения</t>
        </is>
      </c>
      <c r="D436" s="12" t="inlineStr">
        <is>
          <t>Indefinite pronouns (some-/any-/no-/every-)</t>
        </is>
      </c>
      <c r="E436" s="22" t="inlineStr">
        <is>
          <t>Indefinite pronouns: hardly any</t>
        </is>
      </c>
      <c r="F436" s="11" t="inlineStr">
        <is>
          <t>10+</t>
        </is>
      </c>
      <c r="G436" s="11" t="inlineStr"/>
      <c r="H436" s="11" t="inlineStr"/>
      <c r="I436" s="11" t="inlineStr"/>
      <c r="J436" s="11" t="inlineStr"/>
      <c r="K436" s="11" t="inlineStr"/>
      <c r="L436" s="11" t="inlineStr"/>
      <c r="M436" s="23" t="inlineStr">
        <is>
          <t>М8 (8d) · новое</t>
        </is>
      </c>
      <c r="N436" s="11" t="inlineStr"/>
      <c r="O436" s="16" t="inlineStr">
        <is>
          <t>М8 (8c) · повт.</t>
        </is>
      </c>
      <c r="P436" s="20" t="inlineStr">
        <is>
          <t>—</t>
        </is>
      </c>
      <c r="Q436" s="21" t="inlineStr"/>
      <c r="R436" s="17" t="inlineStr">
        <is>
          <t>видео</t>
        </is>
      </c>
      <c r="S436" s="11" t="inlineStr">
        <is>
          <t>Quantifiers extended + travel</t>
        </is>
      </c>
      <c r="T436" s="11" t="inlineStr"/>
    </row>
    <row r="437">
      <c r="A437" s="11" t="n">
        <v>436</v>
      </c>
      <c r="B437" s="11" t="inlineStr">
        <is>
          <t>Грамматика</t>
        </is>
      </c>
      <c r="C437" s="11" t="inlineStr">
        <is>
          <t>Местоимения</t>
        </is>
      </c>
      <c r="D437" s="12" t="inlineStr">
        <is>
          <t>Indefinite pronouns (some-/any-/no-/every-)</t>
        </is>
      </c>
      <c r="E437" s="13" t="inlineStr">
        <is>
          <t>Indefinite pronouns: every + ед. ч.; everybody, everything, everywhere</t>
        </is>
      </c>
      <c r="F437" s="11" t="inlineStr">
        <is>
          <t>10+</t>
        </is>
      </c>
      <c r="G437" s="11" t="inlineStr"/>
      <c r="H437" s="11" t="inlineStr"/>
      <c r="I437" s="11" t="inlineStr"/>
      <c r="J437" s="11" t="inlineStr"/>
      <c r="K437" s="11" t="inlineStr"/>
      <c r="L437" s="11" t="inlineStr"/>
      <c r="M437" s="23" t="inlineStr">
        <is>
          <t>М8 (8d) · новое</t>
        </is>
      </c>
      <c r="N437" s="11" t="inlineStr"/>
      <c r="O437" s="16" t="inlineStr">
        <is>
          <t>М8 (8c) · повт.</t>
        </is>
      </c>
      <c r="P437" s="20" t="inlineStr">
        <is>
          <t>—</t>
        </is>
      </c>
      <c r="Q437" s="21" t="inlineStr"/>
      <c r="R437" s="17" t="inlineStr">
        <is>
          <t>нет</t>
        </is>
      </c>
      <c r="S437" s="11" t="inlineStr"/>
      <c r="T437" s="11" t="inlineStr"/>
    </row>
    <row r="438">
      <c r="A438" s="11" t="n">
        <v>437</v>
      </c>
      <c r="B438" s="11" t="inlineStr">
        <is>
          <t>Грамматика</t>
        </is>
      </c>
      <c r="C438" s="11" t="inlineStr">
        <is>
          <t>Местоимения</t>
        </is>
      </c>
      <c r="D438" s="12" t="inlineStr">
        <is>
          <t>Indefinite pronouns (some-/any-/no-/every-)</t>
        </is>
      </c>
      <c r="E438" s="13" t="inlineStr">
        <is>
          <t>Indefinite pronouns: глагол после производных — в ед. ч.</t>
        </is>
      </c>
      <c r="F438" s="11" t="inlineStr">
        <is>
          <t>10+</t>
        </is>
      </c>
      <c r="G438" s="11" t="inlineStr"/>
      <c r="H438" s="11" t="inlineStr"/>
      <c r="I438" s="11" t="inlineStr"/>
      <c r="J438" s="11" t="inlineStr"/>
      <c r="K438" s="11" t="inlineStr"/>
      <c r="L438" s="11" t="inlineStr"/>
      <c r="M438" s="23" t="inlineStr">
        <is>
          <t>М8 (8d) · новое</t>
        </is>
      </c>
      <c r="N438" s="16" t="inlineStr">
        <is>
          <t>М5 (5c) · повт.</t>
        </is>
      </c>
      <c r="O438" s="16" t="inlineStr">
        <is>
          <t>М8 (8c) · повт.</t>
        </is>
      </c>
      <c r="P438" s="20" t="inlineStr">
        <is>
          <t>—</t>
        </is>
      </c>
      <c r="Q438" s="21" t="inlineStr"/>
      <c r="R438" s="17" t="inlineStr">
        <is>
          <t>нет</t>
        </is>
      </c>
      <c r="S438" s="11" t="inlineStr"/>
      <c r="T438" s="11" t="inlineStr"/>
    </row>
    <row r="439">
      <c r="A439" s="4" t="n">
        <v>438</v>
      </c>
      <c r="B439" s="4" t="inlineStr">
        <is>
          <t>Грамматика</t>
        </is>
      </c>
      <c r="C439" s="4" t="inlineStr">
        <is>
          <t>Местоимения</t>
        </is>
      </c>
      <c r="D439" s="5" t="inlineStr">
        <is>
          <t>Determiners (both/either/neither/all/none)</t>
        </is>
      </c>
      <c r="E439" s="6" t="inlineStr">
        <is>
          <t>Determiners: both — о двух, глагол во мн. ч.</t>
        </is>
      </c>
      <c r="F439" s="4" t="inlineStr">
        <is>
          <t>10+</t>
        </is>
      </c>
      <c r="G439" s="4" t="inlineStr"/>
      <c r="H439" s="4" t="inlineStr"/>
      <c r="I439" s="4" t="inlineStr"/>
      <c r="J439" s="4" t="inlineStr"/>
      <c r="K439" s="4" t="inlineStr"/>
      <c r="L439" s="4" t="inlineStr"/>
      <c r="M439" s="4" t="inlineStr"/>
      <c r="N439" s="4" t="inlineStr"/>
      <c r="O439" s="27" t="inlineStr">
        <is>
          <t>М8 (8c) · новое</t>
        </is>
      </c>
      <c r="P439" s="28" t="inlineStr">
        <is>
          <t>—</t>
        </is>
      </c>
      <c r="Q439" s="29" t="inlineStr"/>
      <c r="R439" s="10" t="inlineStr">
        <is>
          <t>видео</t>
        </is>
      </c>
      <c r="S439" s="4" t="inlineStr">
        <is>
          <t>Quantifiers extended + travel</t>
        </is>
      </c>
      <c r="T439" s="4" t="inlineStr"/>
    </row>
    <row r="440">
      <c r="A440" s="11" t="n">
        <v>439</v>
      </c>
      <c r="B440" s="11" t="inlineStr">
        <is>
          <t>Грамматика</t>
        </is>
      </c>
      <c r="C440" s="11" t="inlineStr">
        <is>
          <t>Местоимения</t>
        </is>
      </c>
      <c r="D440" s="12" t="inlineStr">
        <is>
          <t>Determiners (both/either/neither/all/none)</t>
        </is>
      </c>
      <c r="E440" s="22" t="inlineStr">
        <is>
          <t>Determiners: either / neither (+ of)</t>
        </is>
      </c>
      <c r="F440" s="11" t="inlineStr">
        <is>
          <t>10+</t>
        </is>
      </c>
      <c r="G440" s="11" t="inlineStr"/>
      <c r="H440" s="11" t="inlineStr"/>
      <c r="I440" s="11" t="inlineStr"/>
      <c r="J440" s="11" t="inlineStr"/>
      <c r="K440" s="11" t="inlineStr"/>
      <c r="L440" s="11" t="inlineStr"/>
      <c r="M440" s="11" t="inlineStr"/>
      <c r="N440" s="11" t="inlineStr"/>
      <c r="O440" s="23" t="inlineStr">
        <is>
          <t>М8 (8c) · новое</t>
        </is>
      </c>
      <c r="P440" s="20" t="inlineStr">
        <is>
          <t>—</t>
        </is>
      </c>
      <c r="Q440" s="21" t="inlineStr"/>
      <c r="R440" s="17" t="inlineStr">
        <is>
          <t>видео</t>
        </is>
      </c>
      <c r="S440" s="11" t="inlineStr">
        <is>
          <t>Quantifiers extended + travel</t>
        </is>
      </c>
      <c r="T440" s="11" t="inlineStr"/>
    </row>
    <row r="441">
      <c r="A441" s="11" t="n">
        <v>440</v>
      </c>
      <c r="B441" s="11" t="inlineStr">
        <is>
          <t>Грамматика</t>
        </is>
      </c>
      <c r="C441" s="11" t="inlineStr">
        <is>
          <t>Местоимения</t>
        </is>
      </c>
      <c r="D441" s="12" t="inlineStr">
        <is>
          <t>Determiners (both/either/neither/all/none)</t>
        </is>
      </c>
      <c r="E441" s="22" t="inlineStr">
        <is>
          <t>Determiners: all — о более чем двух; all + that-clause</t>
        </is>
      </c>
      <c r="F441" s="11" t="inlineStr">
        <is>
          <t>10+</t>
        </is>
      </c>
      <c r="G441" s="11" t="inlineStr"/>
      <c r="H441" s="11" t="inlineStr"/>
      <c r="I441" s="11" t="inlineStr"/>
      <c r="J441" s="11" t="inlineStr"/>
      <c r="K441" s="11" t="inlineStr"/>
      <c r="L441" s="11" t="inlineStr"/>
      <c r="M441" s="11" t="inlineStr"/>
      <c r="N441" s="11" t="inlineStr"/>
      <c r="O441" s="23" t="inlineStr">
        <is>
          <t>М8 (8c) · новое</t>
        </is>
      </c>
      <c r="P441" s="20" t="inlineStr">
        <is>
          <t>—</t>
        </is>
      </c>
      <c r="Q441" s="21" t="inlineStr"/>
      <c r="R441" s="17" t="inlineStr">
        <is>
          <t>видео</t>
        </is>
      </c>
      <c r="S441" s="11" t="inlineStr">
        <is>
          <t>Quantifiers extended + travel</t>
        </is>
      </c>
      <c r="T441" s="11" t="inlineStr"/>
    </row>
    <row r="442">
      <c r="A442" s="11" t="n">
        <v>441</v>
      </c>
      <c r="B442" s="11" t="inlineStr">
        <is>
          <t>Грамматика</t>
        </is>
      </c>
      <c r="C442" s="11" t="inlineStr">
        <is>
          <t>Местоимения</t>
        </is>
      </c>
      <c r="D442" s="12" t="inlineStr">
        <is>
          <t>Determiners (both/either/neither/all/none)</t>
        </is>
      </c>
      <c r="E442" s="22" t="inlineStr">
        <is>
          <t>Determiners: none / none of</t>
        </is>
      </c>
      <c r="F442" s="11" t="inlineStr">
        <is>
          <t>10+</t>
        </is>
      </c>
      <c r="G442" s="11" t="inlineStr"/>
      <c r="H442" s="11" t="inlineStr"/>
      <c r="I442" s="11" t="inlineStr"/>
      <c r="J442" s="11" t="inlineStr"/>
      <c r="K442" s="11" t="inlineStr"/>
      <c r="L442" s="11" t="inlineStr"/>
      <c r="M442" s="11" t="inlineStr"/>
      <c r="N442" s="11" t="inlineStr"/>
      <c r="O442" s="23" t="inlineStr">
        <is>
          <t>М8 (8c) · новое</t>
        </is>
      </c>
      <c r="P442" s="20" t="inlineStr">
        <is>
          <t>—</t>
        </is>
      </c>
      <c r="Q442" s="21" t="inlineStr"/>
      <c r="R442" s="17" t="inlineStr">
        <is>
          <t>видео</t>
        </is>
      </c>
      <c r="S442" s="11" t="inlineStr">
        <is>
          <t>Quantifiers extended + travel</t>
        </is>
      </c>
      <c r="T442" s="11" t="inlineStr"/>
    </row>
    <row r="443">
      <c r="A443" s="11" t="n">
        <v>442</v>
      </c>
      <c r="B443" s="11" t="inlineStr">
        <is>
          <t>Грамматика</t>
        </is>
      </c>
      <c r="C443" s="11" t="inlineStr">
        <is>
          <t>Местоимения</t>
        </is>
      </c>
      <c r="D443" s="12" t="inlineStr">
        <is>
          <t>Determiners (both/either/neither/all/none)</t>
        </is>
      </c>
      <c r="E443" s="22" t="inlineStr">
        <is>
          <t>Determiners: whole vs all (the whole morning = all morning)</t>
        </is>
      </c>
      <c r="F443" s="11" t="inlineStr">
        <is>
          <t>10+</t>
        </is>
      </c>
      <c r="G443" s="11" t="inlineStr"/>
      <c r="H443" s="11" t="inlineStr"/>
      <c r="I443" s="11" t="inlineStr"/>
      <c r="J443" s="11" t="inlineStr"/>
      <c r="K443" s="11" t="inlineStr"/>
      <c r="L443" s="11" t="inlineStr"/>
      <c r="M443" s="11" t="inlineStr"/>
      <c r="N443" s="11" t="inlineStr"/>
      <c r="O443" s="23" t="inlineStr">
        <is>
          <t>М8 (8c) · новое</t>
        </is>
      </c>
      <c r="P443" s="20" t="inlineStr">
        <is>
          <t>—</t>
        </is>
      </c>
      <c r="Q443" s="21" t="inlineStr"/>
      <c r="R443" s="17" t="inlineStr">
        <is>
          <t>видео</t>
        </is>
      </c>
      <c r="S443" s="11" t="inlineStr">
        <is>
          <t>Quantifiers extended + travel</t>
        </is>
      </c>
      <c r="T443" s="11" t="inlineStr"/>
    </row>
    <row r="444">
      <c r="A444" s="11" t="n">
        <v>443</v>
      </c>
      <c r="B444" s="11" t="inlineStr">
        <is>
          <t>Грамматика</t>
        </is>
      </c>
      <c r="C444" s="11" t="inlineStr">
        <is>
          <t>Местоимения</t>
        </is>
      </c>
      <c r="D444" s="12" t="inlineStr">
        <is>
          <t>Determiners (both/either/neither/all/none)</t>
        </is>
      </c>
      <c r="E444" s="13" t="inlineStr">
        <is>
          <t>Determiners: both/neither vs all/none — о двух vs о многих</t>
        </is>
      </c>
      <c r="F444" s="11" t="inlineStr">
        <is>
          <t>10+</t>
        </is>
      </c>
      <c r="G444" s="11" t="inlineStr"/>
      <c r="H444" s="11" t="inlineStr"/>
      <c r="I444" s="11" t="inlineStr"/>
      <c r="J444" s="11" t="inlineStr"/>
      <c r="K444" s="11" t="inlineStr"/>
      <c r="L444" s="11" t="inlineStr"/>
      <c r="M444" s="11" t="inlineStr"/>
      <c r="N444" s="11" t="inlineStr"/>
      <c r="O444" s="23" t="inlineStr">
        <is>
          <t>М8 (8c) · новое</t>
        </is>
      </c>
      <c r="P444" s="20" t="inlineStr">
        <is>
          <t>—</t>
        </is>
      </c>
      <c r="Q444" s="21" t="inlineStr"/>
      <c r="R444" s="17" t="inlineStr">
        <is>
          <t>нет</t>
        </is>
      </c>
      <c r="S444" s="11" t="inlineStr"/>
      <c r="T444" s="11" t="inlineStr"/>
    </row>
    <row r="445">
      <c r="A445" s="4" t="n">
        <v>444</v>
      </c>
      <c r="B445" s="4" t="inlineStr">
        <is>
          <t>Грамматика</t>
        </is>
      </c>
      <c r="C445" s="4" t="inlineStr">
        <is>
          <t>Прилагательные и наречия</t>
        </is>
      </c>
      <c r="D445" s="5" t="inlineStr">
        <is>
          <t>Adverbs of frequency</t>
        </is>
      </c>
      <c r="E445" s="6" t="inlineStr">
        <is>
          <t>Adverbs of frequency: значение — never, sometimes, usually, often, always</t>
        </is>
      </c>
      <c r="F445" s="4" t="inlineStr">
        <is>
          <t>обе</t>
        </is>
      </c>
      <c r="G445" s="4" t="inlineStr"/>
      <c r="H445" s="7" t="inlineStr">
        <is>
          <t>М2 · новое</t>
        </is>
      </c>
      <c r="I445" s="9" t="inlineStr">
        <is>
          <t>М6 (6a) · повт.</t>
        </is>
      </c>
      <c r="J445" s="9" t="inlineStr">
        <is>
          <t>М4 (4a) · повт.</t>
        </is>
      </c>
      <c r="K445" s="4" t="inlineStr"/>
      <c r="L445" s="4" t="inlineStr"/>
      <c r="M445" s="4" t="inlineStr"/>
      <c r="N445" s="4" t="inlineStr"/>
      <c r="O445" s="4" t="inlineStr"/>
      <c r="P445" s="10" t="inlineStr">
        <is>
          <t>видео</t>
        </is>
      </c>
      <c r="Q445" s="4" t="inlineStr">
        <is>
          <t>A day in my life+adver...ency in Present Simple</t>
        </is>
      </c>
      <c r="R445" s="10" t="inlineStr">
        <is>
          <t>видео</t>
        </is>
      </c>
      <c r="S445" s="4" t="inlineStr">
        <is>
          <t>Daily Activities. Adverbs of Frequency in Pr.S.</t>
        </is>
      </c>
      <c r="T445" s="4" t="inlineStr"/>
    </row>
    <row r="446">
      <c r="A446" s="11" t="n">
        <v>445</v>
      </c>
      <c r="B446" s="11" t="inlineStr">
        <is>
          <t>Грамматика</t>
        </is>
      </c>
      <c r="C446" s="11" t="inlineStr">
        <is>
          <t>Прилагательные и наречия</t>
        </is>
      </c>
      <c r="D446" s="12" t="inlineStr">
        <is>
          <t>Adverbs of frequency</t>
        </is>
      </c>
      <c r="E446" s="22" t="inlineStr">
        <is>
          <t>Adverbs of frequency: место — перед смысловым глаголом, после be</t>
        </is>
      </c>
      <c r="F446" s="11" t="inlineStr">
        <is>
          <t>обе</t>
        </is>
      </c>
      <c r="G446" s="11" t="inlineStr"/>
      <c r="H446" s="14" t="inlineStr">
        <is>
          <t>М2 · новое</t>
        </is>
      </c>
      <c r="I446" s="19" t="inlineStr">
        <is>
          <t>М6 (6a) · расш.</t>
        </is>
      </c>
      <c r="J446" s="16" t="inlineStr">
        <is>
          <t>М4 (4a) · повт.</t>
        </is>
      </c>
      <c r="K446" s="11" t="inlineStr"/>
      <c r="L446" s="16" t="inlineStr">
        <is>
          <t>М1 (1c) · повт.</t>
        </is>
      </c>
      <c r="M446" s="16" t="inlineStr">
        <is>
          <t>М1 (1c) · повт.</t>
        </is>
      </c>
      <c r="N446" s="16" t="inlineStr">
        <is>
          <t>М1 (1c) · повт.</t>
        </is>
      </c>
      <c r="O446" s="16" t="inlineStr">
        <is>
          <t>М1 (1c) · повт.</t>
        </is>
      </c>
      <c r="P446" s="17" t="inlineStr">
        <is>
          <t>видео</t>
        </is>
      </c>
      <c r="Q446" s="11" t="inlineStr">
        <is>
          <t>A day in my life+adver...ency in Present Simple</t>
        </is>
      </c>
      <c r="R446" s="17" t="inlineStr">
        <is>
          <t>видео</t>
        </is>
      </c>
      <c r="S446" s="11" t="inlineStr">
        <is>
          <t>Daily Activities. Adverbs of Frequency in Pr.S.</t>
        </is>
      </c>
      <c r="T446" s="11" t="inlineStr"/>
    </row>
    <row r="447">
      <c r="A447" s="11" t="n">
        <v>446</v>
      </c>
      <c r="B447" s="11" t="inlineStr">
        <is>
          <t>Грамматика</t>
        </is>
      </c>
      <c r="C447" s="11" t="inlineStr">
        <is>
          <t>Прилагательные и наречия</t>
        </is>
      </c>
      <c r="D447" s="12" t="inlineStr">
        <is>
          <t>Adverbs of frequency</t>
        </is>
      </c>
      <c r="E447" s="13" t="inlineStr">
        <is>
          <t>Adverbs of frequency: место — после вспомогательных и модальных глаголов</t>
        </is>
      </c>
      <c r="F447" s="11" t="inlineStr">
        <is>
          <t>10+</t>
        </is>
      </c>
      <c r="G447" s="11" t="inlineStr"/>
      <c r="H447" s="11" t="inlineStr"/>
      <c r="I447" s="23" t="inlineStr">
        <is>
          <t>М6 (6a) · новое</t>
        </is>
      </c>
      <c r="J447" s="16" t="inlineStr">
        <is>
          <t>М4 (4a) · повт.</t>
        </is>
      </c>
      <c r="K447" s="11" t="inlineStr"/>
      <c r="L447" s="16" t="inlineStr">
        <is>
          <t>М1 (1c) · повт.</t>
        </is>
      </c>
      <c r="M447" s="16" t="inlineStr">
        <is>
          <t>М1 (1c) · повт.</t>
        </is>
      </c>
      <c r="N447" s="16" t="inlineStr">
        <is>
          <t>М1 (1c) · повт.</t>
        </is>
      </c>
      <c r="O447" s="16" t="inlineStr">
        <is>
          <t>М1 (1c) · повт.</t>
        </is>
      </c>
      <c r="P447" s="20" t="inlineStr">
        <is>
          <t>—</t>
        </is>
      </c>
      <c r="Q447" s="21" t="inlineStr"/>
      <c r="R447" s="17" t="inlineStr">
        <is>
          <t>нет</t>
        </is>
      </c>
      <c r="S447" s="11" t="inlineStr"/>
      <c r="T447" s="11" t="inlineStr"/>
    </row>
    <row r="448">
      <c r="A448" s="11" t="n">
        <v>447</v>
      </c>
      <c r="B448" s="11" t="inlineStr">
        <is>
          <t>Грамматика</t>
        </is>
      </c>
      <c r="C448" s="11" t="inlineStr">
        <is>
          <t>Прилагательные и наречия</t>
        </is>
      </c>
      <c r="D448" s="12" t="inlineStr">
        <is>
          <t>Adverbs of frequency</t>
        </is>
      </c>
      <c r="E448" s="13" t="inlineStr">
        <is>
          <t>Adverbs of frequency: seldom / rarely</t>
        </is>
      </c>
      <c r="F448" s="11" t="inlineStr">
        <is>
          <t>10+</t>
        </is>
      </c>
      <c r="G448" s="11" t="inlineStr"/>
      <c r="H448" s="11" t="inlineStr"/>
      <c r="I448" s="11" t="inlineStr"/>
      <c r="J448" s="23" t="inlineStr">
        <is>
          <t>М4 (4a) · новое</t>
        </is>
      </c>
      <c r="K448" s="11" t="inlineStr"/>
      <c r="L448" s="11" t="inlineStr"/>
      <c r="M448" s="11" t="inlineStr"/>
      <c r="N448" s="11" t="inlineStr"/>
      <c r="O448" s="11" t="inlineStr"/>
      <c r="P448" s="20" t="inlineStr">
        <is>
          <t>—</t>
        </is>
      </c>
      <c r="Q448" s="21" t="inlineStr"/>
      <c r="R448" s="17" t="inlineStr">
        <is>
          <t>нет</t>
        </is>
      </c>
      <c r="S448" s="11" t="inlineStr"/>
      <c r="T448" s="11" t="inlineStr"/>
    </row>
    <row r="449">
      <c r="A449" s="11" t="n">
        <v>448</v>
      </c>
      <c r="B449" s="11" t="inlineStr">
        <is>
          <t>Грамматика</t>
        </is>
      </c>
      <c r="C449" s="11" t="inlineStr">
        <is>
          <t>Прилагательные и наречия</t>
        </is>
      </c>
      <c r="D449" s="12" t="inlineStr">
        <is>
          <t>Adverbs of frequency</t>
        </is>
      </c>
      <c r="E449" s="22" t="inlineStr">
        <is>
          <t>Adverbs of frequency: шкала частотности в % (always 100% … never 0%)</t>
        </is>
      </c>
      <c r="F449" s="11" t="inlineStr">
        <is>
          <t>10+</t>
        </is>
      </c>
      <c r="G449" s="11" t="inlineStr"/>
      <c r="H449" s="11" t="inlineStr"/>
      <c r="I449" s="11" t="inlineStr"/>
      <c r="J449" s="11" t="inlineStr"/>
      <c r="K449" s="11" t="inlineStr"/>
      <c r="L449" s="23" t="inlineStr">
        <is>
          <t>М1 (1c) · новое</t>
        </is>
      </c>
      <c r="M449" s="16" t="inlineStr">
        <is>
          <t>М1 (1c) · повт.</t>
        </is>
      </c>
      <c r="N449" s="16" t="inlineStr">
        <is>
          <t>М1 (1c) · повт.</t>
        </is>
      </c>
      <c r="O449" s="16" t="inlineStr">
        <is>
          <t>М1 (1c) · повт.</t>
        </is>
      </c>
      <c r="P449" s="20" t="inlineStr">
        <is>
          <t>—</t>
        </is>
      </c>
      <c r="Q449" s="21" t="inlineStr"/>
      <c r="R449" s="17" t="inlineStr">
        <is>
          <t>видео</t>
        </is>
      </c>
      <c r="S449" s="11" t="inlineStr">
        <is>
          <t>Daily Activities. Adverbs of Frequency in Pr.S.</t>
        </is>
      </c>
      <c r="T449" s="11" t="inlineStr"/>
    </row>
    <row r="450">
      <c r="A450" s="4" t="n">
        <v>449</v>
      </c>
      <c r="B450" s="4" t="inlineStr">
        <is>
          <t>Грамматика</t>
        </is>
      </c>
      <c r="C450" s="4" t="inlineStr">
        <is>
          <t>Прилагательные и наречия</t>
        </is>
      </c>
      <c r="D450" s="5" t="inlineStr">
        <is>
          <t>Comparatives &amp; Superlatives</t>
        </is>
      </c>
      <c r="E450" s="6" t="inlineStr">
        <is>
          <t>Comparatives &amp; Superlatives: сравнительная степень — -er + than</t>
        </is>
      </c>
      <c r="F450" s="4" t="inlineStr">
        <is>
          <t>обе</t>
        </is>
      </c>
      <c r="G450" s="4" t="inlineStr"/>
      <c r="H450" s="7" t="inlineStr">
        <is>
          <t>М4 · новое</t>
        </is>
      </c>
      <c r="I450" s="9" t="inlineStr">
        <is>
          <t>М7 · повт.</t>
        </is>
      </c>
      <c r="J450" s="9" t="inlineStr">
        <is>
          <t>М8 (8b) · повт.</t>
        </is>
      </c>
      <c r="K450" s="9" t="inlineStr">
        <is>
          <t>М7 · повт.</t>
        </is>
      </c>
      <c r="L450" s="9" t="inlineStr">
        <is>
          <t>М1 (1d) · повт.</t>
        </is>
      </c>
      <c r="M450" s="9" t="inlineStr">
        <is>
          <t>М5 (5c) · повт.</t>
        </is>
      </c>
      <c r="N450" s="9" t="inlineStr">
        <is>
          <t>М3 (3c) · повт.</t>
        </is>
      </c>
      <c r="O450" s="4" t="inlineStr"/>
      <c r="P450" s="10" t="inlineStr">
        <is>
          <t>видео</t>
        </is>
      </c>
      <c r="Q450" s="4" t="inlineStr">
        <is>
          <t>Fairy-tales+comparatives</t>
        </is>
      </c>
      <c r="R450" s="10" t="inlineStr">
        <is>
          <t>видео</t>
        </is>
      </c>
      <c r="S450" s="4" t="inlineStr">
        <is>
          <t>Comparatives superlatives Places in town (по названию)</t>
        </is>
      </c>
      <c r="T450" s="4" t="inlineStr"/>
    </row>
    <row r="451">
      <c r="A451" s="11" t="n">
        <v>450</v>
      </c>
      <c r="B451" s="11" t="inlineStr">
        <is>
          <t>Грамматика</t>
        </is>
      </c>
      <c r="C451" s="11" t="inlineStr">
        <is>
          <t>Прилагательные и наречия</t>
        </is>
      </c>
      <c r="D451" s="12" t="inlineStr">
        <is>
          <t>Comparatives &amp; Superlatives</t>
        </is>
      </c>
      <c r="E451" s="22" t="inlineStr">
        <is>
          <t>Comparatives &amp; Superlatives: сравнительная степень — more (многосложные)</t>
        </is>
      </c>
      <c r="F451" s="11" t="inlineStr">
        <is>
          <t>обе</t>
        </is>
      </c>
      <c r="G451" s="11" t="inlineStr"/>
      <c r="H451" s="14" t="inlineStr">
        <is>
          <t>М4 · новое</t>
        </is>
      </c>
      <c r="I451" s="16" t="inlineStr">
        <is>
          <t>М7 · повт.</t>
        </is>
      </c>
      <c r="J451" s="16" t="inlineStr">
        <is>
          <t>М8 (8b) · повт.</t>
        </is>
      </c>
      <c r="K451" s="16" t="inlineStr">
        <is>
          <t>М7 · повт.</t>
        </is>
      </c>
      <c r="L451" s="16" t="inlineStr">
        <is>
          <t>М1 (1d) · повт.</t>
        </is>
      </c>
      <c r="M451" s="16" t="inlineStr">
        <is>
          <t>М5 (5c) · повт.</t>
        </is>
      </c>
      <c r="N451" s="16" t="inlineStr">
        <is>
          <t>М3 (3c) · повт.</t>
        </is>
      </c>
      <c r="O451" s="11" t="inlineStr"/>
      <c r="P451" s="17" t="inlineStr">
        <is>
          <t>видео</t>
        </is>
      </c>
      <c r="Q451" s="11" t="inlineStr">
        <is>
          <t>Fairy-tales+comparatives</t>
        </is>
      </c>
      <c r="R451" s="17" t="inlineStr">
        <is>
          <t>видео</t>
        </is>
      </c>
      <c r="S451" s="11" t="inlineStr">
        <is>
          <t>Comparatives superlatives Places in town (по названию)</t>
        </is>
      </c>
      <c r="T451" s="11" t="inlineStr"/>
    </row>
    <row r="452">
      <c r="A452" s="11" t="n">
        <v>451</v>
      </c>
      <c r="B452" s="11" t="inlineStr">
        <is>
          <t>Грамматика</t>
        </is>
      </c>
      <c r="C452" s="11" t="inlineStr">
        <is>
          <t>Прилагательные и наречия</t>
        </is>
      </c>
      <c r="D452" s="12" t="inlineStr">
        <is>
          <t>Comparatives &amp; Superlatives</t>
        </is>
      </c>
      <c r="E452" s="13" t="inlineStr">
        <is>
          <t>Comparatives &amp; Superlatives: орфография -er/-est (удвоение, -e, y → i)</t>
        </is>
      </c>
      <c r="F452" s="11" t="inlineStr">
        <is>
          <t>обе</t>
        </is>
      </c>
      <c r="G452" s="11" t="inlineStr"/>
      <c r="H452" s="14" t="inlineStr">
        <is>
          <t>М4 · новое
М7 · расш.</t>
        </is>
      </c>
      <c r="I452" s="16" t="inlineStr">
        <is>
          <t>М7 · повт.</t>
        </is>
      </c>
      <c r="J452" s="16" t="inlineStr">
        <is>
          <t>М8 (8b) · повт.</t>
        </is>
      </c>
      <c r="K452" s="16" t="inlineStr">
        <is>
          <t>М7 · повт.</t>
        </is>
      </c>
      <c r="L452" s="16" t="inlineStr">
        <is>
          <t>М1 (1d) · повт.</t>
        </is>
      </c>
      <c r="M452" s="16" t="inlineStr">
        <is>
          <t>М5 (5c) · повт.</t>
        </is>
      </c>
      <c r="N452" s="16" t="inlineStr">
        <is>
          <t>М3 (3c) · повт.</t>
        </is>
      </c>
      <c r="O452" s="11" t="inlineStr"/>
      <c r="P452" s="17" t="inlineStr">
        <is>
          <t>видео</t>
        </is>
      </c>
      <c r="Q452" s="11" t="inlineStr">
        <is>
          <t>Fairy-tales+comparatives</t>
        </is>
      </c>
      <c r="R452" s="17" t="inlineStr">
        <is>
          <t>нет</t>
        </is>
      </c>
      <c r="S452" s="11" t="inlineStr"/>
      <c r="T452" s="11" t="inlineStr"/>
    </row>
    <row r="453">
      <c r="A453" s="11" t="n">
        <v>452</v>
      </c>
      <c r="B453" s="11" t="inlineStr">
        <is>
          <t>Грамматика</t>
        </is>
      </c>
      <c r="C453" s="11" t="inlineStr">
        <is>
          <t>Прилагательные и наречия</t>
        </is>
      </c>
      <c r="D453" s="12" t="inlineStr">
        <is>
          <t>Comparatives &amp; Superlatives</t>
        </is>
      </c>
      <c r="E453" s="18" t="inlineStr">
        <is>
          <t>Comparatives &amp; Superlatives: превосходная степень — the -est + of/in</t>
        </is>
      </c>
      <c r="F453" s="11" t="inlineStr">
        <is>
          <t>обе</t>
        </is>
      </c>
      <c r="G453" s="11" t="inlineStr"/>
      <c r="H453" s="14" t="inlineStr">
        <is>
          <t>М7 · новое</t>
        </is>
      </c>
      <c r="I453" s="16" t="inlineStr">
        <is>
          <t>М7 · повт.</t>
        </is>
      </c>
      <c r="J453" s="16" t="inlineStr">
        <is>
          <t>М8 (8b) · повт.</t>
        </is>
      </c>
      <c r="K453" s="16" t="inlineStr">
        <is>
          <t>М7 · повт.</t>
        </is>
      </c>
      <c r="L453" s="16" t="inlineStr">
        <is>
          <t>М1 (1d) · повт.</t>
        </is>
      </c>
      <c r="M453" s="16" t="inlineStr">
        <is>
          <t>М5 (5c) · повт.</t>
        </is>
      </c>
      <c r="N453" s="16" t="inlineStr">
        <is>
          <t>М3 (3c) · повт.</t>
        </is>
      </c>
      <c r="O453" s="11" t="inlineStr"/>
      <c r="P453" s="17" t="inlineStr">
        <is>
          <t>вебинар</t>
        </is>
      </c>
      <c r="Q453" s="11" t="inlineStr">
        <is>
          <t>вебинар 26.10 (по расписанию): Superlatives + describing classmates
вебинар 29.10 (по расписанию): Comparatives vs Superlatives
материалы: Superlatives + describing classmates; Comparatives vs Superlatives</t>
        </is>
      </c>
      <c r="R453" s="17" t="inlineStr">
        <is>
          <t>видео</t>
        </is>
      </c>
      <c r="S453" s="11" t="inlineStr">
        <is>
          <t>Comparatives superlatives Places in town (по названию)</t>
        </is>
      </c>
      <c r="T453" s="11" t="inlineStr"/>
    </row>
    <row r="454">
      <c r="A454" s="11" t="n">
        <v>453</v>
      </c>
      <c r="B454" s="11" t="inlineStr">
        <is>
          <t>Грамматика</t>
        </is>
      </c>
      <c r="C454" s="11" t="inlineStr">
        <is>
          <t>Прилагательные и наречия</t>
        </is>
      </c>
      <c r="D454" s="12" t="inlineStr">
        <is>
          <t>Comparatives &amp; Superlatives</t>
        </is>
      </c>
      <c r="E454" s="13" t="inlineStr">
        <is>
          <t>Comparatives &amp; Superlatives: превосходная степень — the most</t>
        </is>
      </c>
      <c r="F454" s="11" t="inlineStr">
        <is>
          <t>обе</t>
        </is>
      </c>
      <c r="G454" s="11" t="inlineStr"/>
      <c r="H454" s="14" t="inlineStr">
        <is>
          <t>М7 · новое</t>
        </is>
      </c>
      <c r="I454" s="16" t="inlineStr">
        <is>
          <t>М7 · повт.</t>
        </is>
      </c>
      <c r="J454" s="16" t="inlineStr">
        <is>
          <t>М8 (8b) · повт.</t>
        </is>
      </c>
      <c r="K454" s="16" t="inlineStr">
        <is>
          <t>М7 · повт.</t>
        </is>
      </c>
      <c r="L454" s="16" t="inlineStr">
        <is>
          <t>М1 (1d) · повт.</t>
        </is>
      </c>
      <c r="M454" s="16" t="inlineStr">
        <is>
          <t>М5 (5c) · повт.</t>
        </is>
      </c>
      <c r="N454" s="16" t="inlineStr">
        <is>
          <t>М3 (3c) · повт.</t>
        </is>
      </c>
      <c r="O454" s="11" t="inlineStr"/>
      <c r="P454" s="17" t="inlineStr">
        <is>
          <t>нет</t>
        </is>
      </c>
      <c r="Q454" s="11" t="inlineStr"/>
      <c r="R454" s="17" t="inlineStr">
        <is>
          <t>видео</t>
        </is>
      </c>
      <c r="S454" s="11" t="inlineStr">
        <is>
          <t>Comparatives superlatives Places in town (по названию)</t>
        </is>
      </c>
      <c r="T454" s="11" t="inlineStr"/>
    </row>
    <row r="455">
      <c r="A455" s="11" t="n">
        <v>454</v>
      </c>
      <c r="B455" s="11" t="inlineStr">
        <is>
          <t>Грамматика</t>
        </is>
      </c>
      <c r="C455" s="11" t="inlineStr">
        <is>
          <t>Прилагательные и наречия</t>
        </is>
      </c>
      <c r="D455" s="12" t="inlineStr">
        <is>
          <t>Comparatives &amp; Superlatives</t>
        </is>
      </c>
      <c r="E455" s="13" t="inlineStr">
        <is>
          <t>Comparatives &amp; Superlatives: неправильные прилагательные (good, bad, many/much, little)</t>
        </is>
      </c>
      <c r="F455" s="11" t="inlineStr">
        <is>
          <t>обе</t>
        </is>
      </c>
      <c r="G455" s="11" t="inlineStr"/>
      <c r="H455" s="14" t="inlineStr">
        <is>
          <t>М7 · новое</t>
        </is>
      </c>
      <c r="I455" s="19" t="inlineStr">
        <is>
          <t>М6 · расш.
М7 · повт.</t>
        </is>
      </c>
      <c r="J455" s="16" t="inlineStr">
        <is>
          <t>М8 (8b) · повт.</t>
        </is>
      </c>
      <c r="K455" s="16" t="inlineStr">
        <is>
          <t>М7 · повт.</t>
        </is>
      </c>
      <c r="L455" s="16" t="inlineStr">
        <is>
          <t>М1 (1d) · повт.</t>
        </is>
      </c>
      <c r="M455" s="16" t="inlineStr">
        <is>
          <t>М5 (5c) · повт.</t>
        </is>
      </c>
      <c r="N455" s="16" t="inlineStr">
        <is>
          <t>М3 (3c) · повт.</t>
        </is>
      </c>
      <c r="O455" s="11" t="inlineStr"/>
      <c r="P455" s="17" t="inlineStr">
        <is>
          <t>видео</t>
        </is>
      </c>
      <c r="Q455" s="11" t="inlineStr">
        <is>
          <t>Fairy-tales+comparatives</t>
        </is>
      </c>
      <c r="R455" s="17" t="inlineStr">
        <is>
          <t>нет</t>
        </is>
      </c>
      <c r="S455" s="11" t="inlineStr"/>
      <c r="T455" s="11" t="inlineStr"/>
    </row>
    <row r="456">
      <c r="A456" s="11" t="n">
        <v>455</v>
      </c>
      <c r="B456" s="11" t="inlineStr">
        <is>
          <t>Грамматика</t>
        </is>
      </c>
      <c r="C456" s="11" t="inlineStr">
        <is>
          <t>Прилагательные и наречия</t>
        </is>
      </c>
      <c r="D456" s="12" t="inlineStr">
        <is>
          <t>Comparatives &amp; Superlatives</t>
        </is>
      </c>
      <c r="E456" s="13" t="inlineStr">
        <is>
          <t>Comparatives &amp; Superlatives: двусложные на -y/-er/-ow — -er/-est</t>
        </is>
      </c>
      <c r="F456" s="11" t="inlineStr">
        <is>
          <t>обе</t>
        </is>
      </c>
      <c r="G456" s="11" t="inlineStr"/>
      <c r="H456" s="14" t="inlineStr">
        <is>
          <t>М4 · новое
М7 · повт.</t>
        </is>
      </c>
      <c r="I456" s="11" t="inlineStr"/>
      <c r="J456" s="19" t="inlineStr">
        <is>
          <t>М8 (8b) · расш.</t>
        </is>
      </c>
      <c r="K456" s="19" t="inlineStr">
        <is>
          <t>М7 · расш.</t>
        </is>
      </c>
      <c r="L456" s="11" t="inlineStr"/>
      <c r="M456" s="16" t="inlineStr">
        <is>
          <t>М5 (5c) · повт.</t>
        </is>
      </c>
      <c r="N456" s="16" t="inlineStr">
        <is>
          <t>М3 (3c) · повт.</t>
        </is>
      </c>
      <c r="O456" s="11" t="inlineStr"/>
      <c r="P456" s="17" t="inlineStr">
        <is>
          <t>нет</t>
        </is>
      </c>
      <c r="Q456" s="11" t="inlineStr"/>
      <c r="R456" s="17" t="inlineStr">
        <is>
          <t>нет</t>
        </is>
      </c>
      <c r="S456" s="11" t="inlineStr"/>
      <c r="T456" s="11" t="inlineStr"/>
    </row>
    <row r="457">
      <c r="A457" s="11" t="n">
        <v>456</v>
      </c>
      <c r="B457" s="11" t="inlineStr">
        <is>
          <t>Грамматика</t>
        </is>
      </c>
      <c r="C457" s="11" t="inlineStr">
        <is>
          <t>Прилагательные и наречия</t>
        </is>
      </c>
      <c r="D457" s="12" t="inlineStr">
        <is>
          <t>Comparatives &amp; Superlatives</t>
        </is>
      </c>
      <c r="E457" s="13" t="inlineStr">
        <is>
          <t>Comparatives &amp; Superlatives: прилагательные с двумя способами (clever, quiet, friendly…)</t>
        </is>
      </c>
      <c r="F457" s="11" t="inlineStr">
        <is>
          <t>10+</t>
        </is>
      </c>
      <c r="G457" s="11" t="inlineStr"/>
      <c r="H457" s="11" t="inlineStr"/>
      <c r="I457" s="11" t="inlineStr"/>
      <c r="J457" s="11" t="inlineStr"/>
      <c r="K457" s="23" t="inlineStr">
        <is>
          <t>М7 · новое</t>
        </is>
      </c>
      <c r="L457" s="16" t="inlineStr">
        <is>
          <t>М1 (1d) · повт.</t>
        </is>
      </c>
      <c r="M457" s="16" t="inlineStr">
        <is>
          <t>М5 (5c) · повт.</t>
        </is>
      </c>
      <c r="N457" s="16" t="inlineStr">
        <is>
          <t>М3 (3c) · повт.</t>
        </is>
      </c>
      <c r="O457" s="11" t="inlineStr"/>
      <c r="P457" s="20" t="inlineStr">
        <is>
          <t>—</t>
        </is>
      </c>
      <c r="Q457" s="21" t="inlineStr"/>
      <c r="R457" s="17" t="inlineStr">
        <is>
          <t>нет</t>
        </is>
      </c>
      <c r="S457" s="11" t="inlineStr"/>
      <c r="T457" s="11" t="inlineStr"/>
    </row>
    <row r="458">
      <c r="A458" s="11" t="n">
        <v>457</v>
      </c>
      <c r="B458" s="11" t="inlineStr">
        <is>
          <t>Грамматика</t>
        </is>
      </c>
      <c r="C458" s="11" t="inlineStr">
        <is>
          <t>Прилагательные и наречия</t>
        </is>
      </c>
      <c r="D458" s="12" t="inlineStr">
        <is>
          <t>Comparatives &amp; Superlatives</t>
        </is>
      </c>
      <c r="E458" s="13" t="inlineStr">
        <is>
          <t>Comparatives &amp; Superlatives: far — farther/further, old — elder/eldest</t>
        </is>
      </c>
      <c r="F458" s="11" t="inlineStr">
        <is>
          <t>10+</t>
        </is>
      </c>
      <c r="G458" s="11" t="inlineStr"/>
      <c r="H458" s="11" t="inlineStr"/>
      <c r="I458" s="11" t="inlineStr"/>
      <c r="J458" s="11" t="inlineStr"/>
      <c r="K458" s="23" t="inlineStr">
        <is>
          <t>М7 · новое</t>
        </is>
      </c>
      <c r="L458" s="19" t="inlineStr">
        <is>
          <t>М1 (1d) · расш.</t>
        </is>
      </c>
      <c r="M458" s="16" t="inlineStr">
        <is>
          <t>М5 (5c) · повт.</t>
        </is>
      </c>
      <c r="N458" s="16" t="inlineStr">
        <is>
          <t>М3 (3c) · повт.</t>
        </is>
      </c>
      <c r="O458" s="11" t="inlineStr"/>
      <c r="P458" s="20" t="inlineStr">
        <is>
          <t>—</t>
        </is>
      </c>
      <c r="Q458" s="21" t="inlineStr"/>
      <c r="R458" s="17" t="inlineStr">
        <is>
          <t>нет</t>
        </is>
      </c>
      <c r="S458" s="11" t="inlineStr"/>
      <c r="T458" s="11" t="inlineStr"/>
    </row>
    <row r="459">
      <c r="A459" s="11" t="n">
        <v>458</v>
      </c>
      <c r="B459" s="11" t="inlineStr">
        <is>
          <t>Грамматика</t>
        </is>
      </c>
      <c r="C459" s="11" t="inlineStr">
        <is>
          <t>Прилагательные и наречия</t>
        </is>
      </c>
      <c r="D459" s="12" t="inlineStr">
        <is>
          <t>Comparatives &amp; Superlatives</t>
        </is>
      </c>
      <c r="E459" s="22" t="inlineStr">
        <is>
          <t>Comparatives &amp; Superlatives: наречия — -er/-est (hard, fast, early)</t>
        </is>
      </c>
      <c r="F459" s="11" t="inlineStr">
        <is>
          <t>10+</t>
        </is>
      </c>
      <c r="G459" s="11" t="inlineStr"/>
      <c r="H459" s="11" t="inlineStr"/>
      <c r="I459" s="23" t="inlineStr">
        <is>
          <t>М6 · новое</t>
        </is>
      </c>
      <c r="J459" s="11" t="inlineStr"/>
      <c r="K459" s="19" t="inlineStr">
        <is>
          <t>М7 · расш.</t>
        </is>
      </c>
      <c r="L459" s="16" t="inlineStr">
        <is>
          <t>М1 (1d) · повт.</t>
        </is>
      </c>
      <c r="M459" s="16" t="inlineStr">
        <is>
          <t>М5 (5c) · повт.</t>
        </is>
      </c>
      <c r="N459" s="16" t="inlineStr">
        <is>
          <t>М3 (3c) · повт.</t>
        </is>
      </c>
      <c r="O459" s="11" t="inlineStr"/>
      <c r="P459" s="20" t="inlineStr">
        <is>
          <t>—</t>
        </is>
      </c>
      <c r="Q459" s="21" t="inlineStr"/>
      <c r="R459" s="17" t="inlineStr">
        <is>
          <t>видео</t>
        </is>
      </c>
      <c r="S459" s="11" t="inlineStr">
        <is>
          <t>Adverb comparatives + landmarks (по названию)</t>
        </is>
      </c>
      <c r="T459" s="11" t="inlineStr"/>
    </row>
    <row r="460">
      <c r="A460" s="11" t="n">
        <v>459</v>
      </c>
      <c r="B460" s="11" t="inlineStr">
        <is>
          <t>Грамматика</t>
        </is>
      </c>
      <c r="C460" s="11" t="inlineStr">
        <is>
          <t>Прилагательные и наречия</t>
        </is>
      </c>
      <c r="D460" s="12" t="inlineStr">
        <is>
          <t>Comparatives &amp; Superlatives</t>
        </is>
      </c>
      <c r="E460" s="22" t="inlineStr">
        <is>
          <t>Comparatives &amp; Superlatives: наречия — more/most (slowly)</t>
        </is>
      </c>
      <c r="F460" s="11" t="inlineStr">
        <is>
          <t>10+</t>
        </is>
      </c>
      <c r="G460" s="11" t="inlineStr"/>
      <c r="H460" s="11" t="inlineStr"/>
      <c r="I460" s="23" t="inlineStr">
        <is>
          <t>М6 · новое</t>
        </is>
      </c>
      <c r="J460" s="11" t="inlineStr"/>
      <c r="K460" s="16" t="inlineStr">
        <is>
          <t>М7 · повт.</t>
        </is>
      </c>
      <c r="L460" s="16" t="inlineStr">
        <is>
          <t>М1 (1d) · повт.</t>
        </is>
      </c>
      <c r="M460" s="16" t="inlineStr">
        <is>
          <t>М5 (5c) · повт.</t>
        </is>
      </c>
      <c r="N460" s="16" t="inlineStr">
        <is>
          <t>М3 (3c) · повт.</t>
        </is>
      </c>
      <c r="O460" s="11" t="inlineStr"/>
      <c r="P460" s="20" t="inlineStr">
        <is>
          <t>—</t>
        </is>
      </c>
      <c r="Q460" s="21" t="inlineStr"/>
      <c r="R460" s="17" t="inlineStr">
        <is>
          <t>видео</t>
        </is>
      </c>
      <c r="S460" s="11" t="inlineStr">
        <is>
          <t>Adverb comparatives + landmarks (по названию)</t>
        </is>
      </c>
      <c r="T460" s="11" t="inlineStr"/>
    </row>
    <row r="461">
      <c r="A461" s="11" t="n">
        <v>460</v>
      </c>
      <c r="B461" s="11" t="inlineStr">
        <is>
          <t>Грамматика</t>
        </is>
      </c>
      <c r="C461" s="11" t="inlineStr">
        <is>
          <t>Прилагательные и наречия</t>
        </is>
      </c>
      <c r="D461" s="12" t="inlineStr">
        <is>
          <t>Comparatives &amp; Superlatives</t>
        </is>
      </c>
      <c r="E461" s="22" t="inlineStr">
        <is>
          <t>Comparatives &amp; Superlatives: неправильные наречия (well, badly)</t>
        </is>
      </c>
      <c r="F461" s="11" t="inlineStr">
        <is>
          <t>10+</t>
        </is>
      </c>
      <c r="G461" s="11" t="inlineStr"/>
      <c r="H461" s="11" t="inlineStr"/>
      <c r="I461" s="23" t="inlineStr">
        <is>
          <t>М6 · новое</t>
        </is>
      </c>
      <c r="J461" s="11" t="inlineStr"/>
      <c r="K461" s="16" t="inlineStr">
        <is>
          <t>М7 · повт.</t>
        </is>
      </c>
      <c r="L461" s="16" t="inlineStr">
        <is>
          <t>М1 (1d) · повт.</t>
        </is>
      </c>
      <c r="M461" s="16" t="inlineStr">
        <is>
          <t>М5 (5c) · повт.</t>
        </is>
      </c>
      <c r="N461" s="16" t="inlineStr">
        <is>
          <t>М3 (3c) · повт.</t>
        </is>
      </c>
      <c r="O461" s="11" t="inlineStr"/>
      <c r="P461" s="20" t="inlineStr">
        <is>
          <t>—</t>
        </is>
      </c>
      <c r="Q461" s="21" t="inlineStr"/>
      <c r="R461" s="17" t="inlineStr">
        <is>
          <t>видео</t>
        </is>
      </c>
      <c r="S461" s="11" t="inlineStr">
        <is>
          <t>Adverb comparatives + landmarks (по названию)</t>
        </is>
      </c>
      <c r="T461" s="11" t="inlineStr"/>
    </row>
    <row r="462">
      <c r="A462" s="4" t="n">
        <v>461</v>
      </c>
      <c r="B462" s="4" t="inlineStr">
        <is>
          <t>Грамматика</t>
        </is>
      </c>
      <c r="C462" s="4" t="inlineStr">
        <is>
          <t>Прилагательные и наречия</t>
        </is>
      </c>
      <c r="D462" s="5" t="inlineStr">
        <is>
          <t>Adjectives (general)</t>
        </is>
      </c>
      <c r="E462" s="24" t="inlineStr">
        <is>
          <t>Adjectives: не изменяются по числам</t>
        </is>
      </c>
      <c r="F462" s="4" t="inlineStr">
        <is>
          <t>10+</t>
        </is>
      </c>
      <c r="G462" s="4" t="inlineStr"/>
      <c r="H462" s="4" t="inlineStr"/>
      <c r="I462" s="4" t="inlineStr"/>
      <c r="J462" s="4" t="inlineStr"/>
      <c r="K462" s="27" t="inlineStr">
        <is>
          <t>М3 · новое</t>
        </is>
      </c>
      <c r="L462" s="4" t="inlineStr"/>
      <c r="M462" s="4" t="inlineStr"/>
      <c r="N462" s="4" t="inlineStr"/>
      <c r="O462" s="4" t="inlineStr"/>
      <c r="P462" s="28" t="inlineStr">
        <is>
          <t>—</t>
        </is>
      </c>
      <c r="Q462" s="29" t="inlineStr"/>
      <c r="R462" s="10" t="inlineStr">
        <is>
          <t>нет</t>
        </is>
      </c>
      <c r="S462" s="4" t="inlineStr"/>
      <c r="T462" s="4" t="inlineStr"/>
    </row>
    <row r="463">
      <c r="A463" s="11" t="n">
        <v>462</v>
      </c>
      <c r="B463" s="11" t="inlineStr">
        <is>
          <t>Грамматика</t>
        </is>
      </c>
      <c r="C463" s="11" t="inlineStr">
        <is>
          <t>Прилагательные и наречия</t>
        </is>
      </c>
      <c r="D463" s="12" t="inlineStr">
        <is>
          <t>Adjectives (general)</t>
        </is>
      </c>
      <c r="E463" s="13" t="inlineStr">
        <is>
          <t>Adjectives: место — перед существительным, после be / look, smell, sound, feel, taste</t>
        </is>
      </c>
      <c r="F463" s="11" t="inlineStr">
        <is>
          <t>10+</t>
        </is>
      </c>
      <c r="G463" s="11" t="inlineStr"/>
      <c r="H463" s="11" t="inlineStr"/>
      <c r="I463" s="11" t="inlineStr"/>
      <c r="J463" s="11" t="inlineStr"/>
      <c r="K463" s="23" t="inlineStr">
        <is>
          <t>М3 · новое</t>
        </is>
      </c>
      <c r="L463" s="11" t="inlineStr"/>
      <c r="M463" s="11" t="inlineStr"/>
      <c r="N463" s="11" t="inlineStr"/>
      <c r="O463" s="11" t="inlineStr"/>
      <c r="P463" s="20" t="inlineStr">
        <is>
          <t>—</t>
        </is>
      </c>
      <c r="Q463" s="21" t="inlineStr"/>
      <c r="R463" s="17" t="inlineStr">
        <is>
          <t>нет</t>
        </is>
      </c>
      <c r="S463" s="11" t="inlineStr"/>
      <c r="T463" s="11" t="inlineStr"/>
    </row>
    <row r="464">
      <c r="A464" s="11" t="n">
        <v>463</v>
      </c>
      <c r="B464" s="11" t="inlineStr">
        <is>
          <t>Грамматика</t>
        </is>
      </c>
      <c r="C464" s="11" t="inlineStr">
        <is>
          <t>Прилагательные и наречия</t>
        </is>
      </c>
      <c r="D464" s="12" t="inlineStr">
        <is>
          <t>Adjectives (general)</t>
        </is>
      </c>
      <c r="E464" s="13" t="inlineStr">
        <is>
          <t>Adjectives: мнение vs объективные характеристики</t>
        </is>
      </c>
      <c r="F464" s="11" t="inlineStr">
        <is>
          <t>10+</t>
        </is>
      </c>
      <c r="G464" s="11" t="inlineStr"/>
      <c r="H464" s="11" t="inlineStr"/>
      <c r="I464" s="11" t="inlineStr"/>
      <c r="J464" s="11" t="inlineStr"/>
      <c r="K464" s="23" t="inlineStr">
        <is>
          <t>М3 · новое</t>
        </is>
      </c>
      <c r="L464" s="11" t="inlineStr"/>
      <c r="M464" s="11" t="inlineStr"/>
      <c r="N464" s="11" t="inlineStr"/>
      <c r="O464" s="11" t="inlineStr"/>
      <c r="P464" s="20" t="inlineStr">
        <is>
          <t>—</t>
        </is>
      </c>
      <c r="Q464" s="21" t="inlineStr"/>
      <c r="R464" s="17" t="inlineStr">
        <is>
          <t>нет</t>
        </is>
      </c>
      <c r="S464" s="11" t="inlineStr"/>
      <c r="T464" s="11" t="inlineStr"/>
    </row>
    <row r="465">
      <c r="A465" s="4" t="n">
        <v>464</v>
      </c>
      <c r="B465" s="4" t="inlineStr">
        <is>
          <t>Грамматика</t>
        </is>
      </c>
      <c r="C465" s="4" t="inlineStr">
        <is>
          <t>Прилагательные и наречия</t>
        </is>
      </c>
      <c r="D465" s="5" t="inlineStr">
        <is>
          <t>Adjectives (order)</t>
        </is>
      </c>
      <c r="E465" s="6" t="inlineStr">
        <is>
          <t>Adjectives (order): мнение перед объективными характеристиками</t>
        </is>
      </c>
      <c r="F465" s="4" t="inlineStr">
        <is>
          <t>10+</t>
        </is>
      </c>
      <c r="G465" s="4" t="inlineStr"/>
      <c r="H465" s="4" t="inlineStr"/>
      <c r="I465" s="4" t="inlineStr"/>
      <c r="J465" s="4" t="inlineStr"/>
      <c r="K465" s="27" t="inlineStr">
        <is>
          <t>М3 · новое</t>
        </is>
      </c>
      <c r="L465" s="9" t="inlineStr">
        <is>
          <t>М2 (2e) · повт.</t>
        </is>
      </c>
      <c r="M465" s="4" t="inlineStr"/>
      <c r="N465" s="4" t="inlineStr"/>
      <c r="O465" s="4" t="inlineStr"/>
      <c r="P465" s="28" t="inlineStr">
        <is>
          <t>—</t>
        </is>
      </c>
      <c r="Q465" s="29" t="inlineStr"/>
      <c r="R465" s="10" t="inlineStr">
        <is>
          <t>видео</t>
        </is>
      </c>
      <c r="S465" s="4" t="inlineStr">
        <is>
          <t>Adjectives+Appearance</t>
        </is>
      </c>
      <c r="T465" s="4" t="inlineStr"/>
    </row>
    <row r="466">
      <c r="A466" s="11" t="n">
        <v>465</v>
      </c>
      <c r="B466" s="11" t="inlineStr">
        <is>
          <t>Грамматика</t>
        </is>
      </c>
      <c r="C466" s="11" t="inlineStr">
        <is>
          <t>Прилагательные и наречия</t>
        </is>
      </c>
      <c r="D466" s="12" t="inlineStr">
        <is>
          <t>Adjectives (order)</t>
        </is>
      </c>
      <c r="E466" s="22" t="inlineStr">
        <is>
          <t>Adjectives (order): размер – возраст – форма – цвет – происхождение – материал</t>
        </is>
      </c>
      <c r="F466" s="11" t="inlineStr">
        <is>
          <t>10+</t>
        </is>
      </c>
      <c r="G466" s="11" t="inlineStr"/>
      <c r="H466" s="11" t="inlineStr"/>
      <c r="I466" s="11" t="inlineStr"/>
      <c r="J466" s="11" t="inlineStr"/>
      <c r="K466" s="23" t="inlineStr">
        <is>
          <t>М3 · новое</t>
        </is>
      </c>
      <c r="L466" s="16" t="inlineStr">
        <is>
          <t>М2 (2e) · повт.</t>
        </is>
      </c>
      <c r="M466" s="11" t="inlineStr"/>
      <c r="N466" s="11" t="inlineStr"/>
      <c r="O466" s="11" t="inlineStr"/>
      <c r="P466" s="20" t="inlineStr">
        <is>
          <t>—</t>
        </is>
      </c>
      <c r="Q466" s="21" t="inlineStr"/>
      <c r="R466" s="17" t="inlineStr">
        <is>
          <t>видео</t>
        </is>
      </c>
      <c r="S466" s="11" t="inlineStr">
        <is>
          <t>Adjectives+Appearance</t>
        </is>
      </c>
      <c r="T466" s="11" t="inlineStr"/>
    </row>
    <row r="467">
      <c r="A467" s="11" t="n">
        <v>466</v>
      </c>
      <c r="B467" s="11" t="inlineStr">
        <is>
          <t>Грамматика</t>
        </is>
      </c>
      <c r="C467" s="11" t="inlineStr">
        <is>
          <t>Прилагательные и наречия</t>
        </is>
      </c>
      <c r="D467" s="12" t="inlineStr">
        <is>
          <t>Adjectives (order)</t>
        </is>
      </c>
      <c r="E467" s="13" t="inlineStr">
        <is>
          <t>Adjectives (order): узор (pattern) в порядке прилагательных</t>
        </is>
      </c>
      <c r="F467" s="11" t="inlineStr">
        <is>
          <t>10+</t>
        </is>
      </c>
      <c r="G467" s="11" t="inlineStr"/>
      <c r="H467" s="11" t="inlineStr"/>
      <c r="I467" s="11" t="inlineStr"/>
      <c r="J467" s="11" t="inlineStr"/>
      <c r="K467" s="11" t="inlineStr"/>
      <c r="L467" s="23" t="inlineStr">
        <is>
          <t>М2 (2e) · новое</t>
        </is>
      </c>
      <c r="M467" s="11" t="inlineStr"/>
      <c r="N467" s="11" t="inlineStr"/>
      <c r="O467" s="11" t="inlineStr"/>
      <c r="P467" s="20" t="inlineStr">
        <is>
          <t>—</t>
        </is>
      </c>
      <c r="Q467" s="21" t="inlineStr"/>
      <c r="R467" s="17" t="inlineStr">
        <is>
          <t>нет</t>
        </is>
      </c>
      <c r="S467" s="11" t="inlineStr"/>
      <c r="T467" s="11" t="inlineStr"/>
    </row>
    <row r="468">
      <c r="A468" s="4" t="n">
        <v>467</v>
      </c>
      <c r="B468" s="4" t="inlineStr">
        <is>
          <t>Грамматика</t>
        </is>
      </c>
      <c r="C468" s="4" t="inlineStr">
        <is>
          <t>Прилагательные и наречия</t>
        </is>
      </c>
      <c r="D468" s="5" t="inlineStr">
        <is>
          <t>Adjectives -ed/-ing</t>
        </is>
      </c>
      <c r="E468" s="6" t="inlineStr">
        <is>
          <t>Adjectives -ed/-ing: -ing — каков предмет/явление (amazing)</t>
        </is>
      </c>
      <c r="F468" s="4" t="inlineStr">
        <is>
          <t>10+</t>
        </is>
      </c>
      <c r="G468" s="4" t="inlineStr"/>
      <c r="H468" s="4" t="inlineStr"/>
      <c r="I468" s="4" t="inlineStr"/>
      <c r="J468" s="4" t="inlineStr"/>
      <c r="K468" s="27" t="inlineStr">
        <is>
          <t>М3 · новое</t>
        </is>
      </c>
      <c r="L468" s="4" t="inlineStr"/>
      <c r="M468" s="4" t="inlineStr"/>
      <c r="N468" s="9" t="inlineStr">
        <is>
          <t>М5 (5e) · повт.</t>
        </is>
      </c>
      <c r="O468" s="4" t="inlineStr"/>
      <c r="P468" s="28" t="inlineStr">
        <is>
          <t>—</t>
        </is>
      </c>
      <c r="Q468" s="29" t="inlineStr"/>
      <c r="R468" s="10" t="inlineStr">
        <is>
          <t>видео</t>
        </is>
      </c>
      <c r="S468" s="4" t="inlineStr">
        <is>
          <t>Adjectives -ing -ed + ...ons and characteristics (по названию)</t>
        </is>
      </c>
      <c r="T468" s="4" t="inlineStr"/>
    </row>
    <row r="469">
      <c r="A469" s="11" t="n">
        <v>468</v>
      </c>
      <c r="B469" s="11" t="inlineStr">
        <is>
          <t>Грамматика</t>
        </is>
      </c>
      <c r="C469" s="11" t="inlineStr">
        <is>
          <t>Прилагательные и наречия</t>
        </is>
      </c>
      <c r="D469" s="12" t="inlineStr">
        <is>
          <t>Adjectives -ed/-ing</t>
        </is>
      </c>
      <c r="E469" s="22" t="inlineStr">
        <is>
          <t>Adjectives -ed/-ing: -ed — что чувствует человек (amazed)</t>
        </is>
      </c>
      <c r="F469" s="11" t="inlineStr">
        <is>
          <t>10+</t>
        </is>
      </c>
      <c r="G469" s="11" t="inlineStr"/>
      <c r="H469" s="11" t="inlineStr"/>
      <c r="I469" s="11" t="inlineStr"/>
      <c r="J469" s="11" t="inlineStr"/>
      <c r="K469" s="23" t="inlineStr">
        <is>
          <t>М3 · новое</t>
        </is>
      </c>
      <c r="L469" s="11" t="inlineStr"/>
      <c r="M469" s="11" t="inlineStr"/>
      <c r="N469" s="16" t="inlineStr">
        <is>
          <t>М5 (5e) · повт.</t>
        </is>
      </c>
      <c r="O469" s="11" t="inlineStr"/>
      <c r="P469" s="20" t="inlineStr">
        <is>
          <t>—</t>
        </is>
      </c>
      <c r="Q469" s="21" t="inlineStr"/>
      <c r="R469" s="17" t="inlineStr">
        <is>
          <t>видео</t>
        </is>
      </c>
      <c r="S469" s="11" t="inlineStr">
        <is>
          <t>Adjectives -ing -ed + ...ons and characteristics (по названию)</t>
        </is>
      </c>
      <c r="T469" s="11" t="inlineStr"/>
    </row>
    <row r="470">
      <c r="A470" s="4" t="n">
        <v>469</v>
      </c>
      <c r="B470" s="4" t="inlineStr">
        <is>
          <t>Грамматика</t>
        </is>
      </c>
      <c r="C470" s="4" t="inlineStr">
        <is>
          <t>Прилагательные и наречия</t>
        </is>
      </c>
      <c r="D470" s="5" t="inlineStr">
        <is>
          <t>Comparative structures</t>
        </is>
      </c>
      <c r="E470" s="6" t="inlineStr">
        <is>
          <t>Comparative structures: as … as / not as (so) … as</t>
        </is>
      </c>
      <c r="F470" s="4" t="inlineStr">
        <is>
          <t>10+</t>
        </is>
      </c>
      <c r="G470" s="4" t="inlineStr"/>
      <c r="H470" s="4" t="inlineStr"/>
      <c r="I470" s="4" t="inlineStr"/>
      <c r="J470" s="4" t="inlineStr"/>
      <c r="K470" s="27" t="inlineStr">
        <is>
          <t>М7 · новое</t>
        </is>
      </c>
      <c r="L470" s="4" t="inlineStr"/>
      <c r="M470" s="9" t="inlineStr">
        <is>
          <t>М5 (5c) · повт.</t>
        </is>
      </c>
      <c r="N470" s="9" t="inlineStr">
        <is>
          <t>М3 (3c) · повт.</t>
        </is>
      </c>
      <c r="O470" s="4" t="inlineStr"/>
      <c r="P470" s="28" t="inlineStr">
        <is>
          <t>—</t>
        </is>
      </c>
      <c r="Q470" s="29" t="inlineStr"/>
      <c r="R470" s="10" t="inlineStr">
        <is>
          <t>видео</t>
        </is>
      </c>
      <c r="S470" s="4" t="inlineStr">
        <is>
          <t>Comparison extended+famous people</t>
        </is>
      </c>
      <c r="T470" s="4" t="inlineStr"/>
    </row>
    <row r="471">
      <c r="A471" s="11" t="n">
        <v>470</v>
      </c>
      <c r="B471" s="11" t="inlineStr">
        <is>
          <t>Грамматика</t>
        </is>
      </c>
      <c r="C471" s="11" t="inlineStr">
        <is>
          <t>Прилагательные и наречия</t>
        </is>
      </c>
      <c r="D471" s="12" t="inlineStr">
        <is>
          <t>Comparative structures</t>
        </is>
      </c>
      <c r="E471" s="22" t="inlineStr">
        <is>
          <t>Comparative structures: less … than / the least … of/in</t>
        </is>
      </c>
      <c r="F471" s="11" t="inlineStr">
        <is>
          <t>10+</t>
        </is>
      </c>
      <c r="G471" s="11" t="inlineStr"/>
      <c r="H471" s="11" t="inlineStr"/>
      <c r="I471" s="11" t="inlineStr"/>
      <c r="J471" s="11" t="inlineStr"/>
      <c r="K471" s="23" t="inlineStr">
        <is>
          <t>М7 · новое</t>
        </is>
      </c>
      <c r="L471" s="11" t="inlineStr"/>
      <c r="M471" s="16" t="inlineStr">
        <is>
          <t>М5 (5c) · повт.</t>
        </is>
      </c>
      <c r="N471" s="16" t="inlineStr">
        <is>
          <t>М3 (3c) · повт.</t>
        </is>
      </c>
      <c r="O471" s="11" t="inlineStr"/>
      <c r="P471" s="20" t="inlineStr">
        <is>
          <t>—</t>
        </is>
      </c>
      <c r="Q471" s="21" t="inlineStr"/>
      <c r="R471" s="17" t="inlineStr">
        <is>
          <t>видео</t>
        </is>
      </c>
      <c r="S471" s="11" t="inlineStr">
        <is>
          <t>Comparison extended+famous people</t>
        </is>
      </c>
      <c r="T471" s="11" t="inlineStr"/>
    </row>
    <row r="472">
      <c r="A472" s="11" t="n">
        <v>471</v>
      </c>
      <c r="B472" s="11" t="inlineStr">
        <is>
          <t>Грамматика</t>
        </is>
      </c>
      <c r="C472" s="11" t="inlineStr">
        <is>
          <t>Прилагательные и наречия</t>
        </is>
      </c>
      <c r="D472" s="12" t="inlineStr">
        <is>
          <t>Comparative structures</t>
        </is>
      </c>
      <c r="E472" s="22" t="inlineStr">
        <is>
          <t>Comparative structures: much/a lot/far/a bit/slightly + comparative</t>
        </is>
      </c>
      <c r="F472" s="11" t="inlineStr">
        <is>
          <t>10+</t>
        </is>
      </c>
      <c r="G472" s="11" t="inlineStr"/>
      <c r="H472" s="11" t="inlineStr"/>
      <c r="I472" s="11" t="inlineStr"/>
      <c r="J472" s="11" t="inlineStr"/>
      <c r="K472" s="23" t="inlineStr">
        <is>
          <t>М7 · новое</t>
        </is>
      </c>
      <c r="L472" s="11" t="inlineStr"/>
      <c r="M472" s="16" t="inlineStr">
        <is>
          <t>М5 (5c) · повт.</t>
        </is>
      </c>
      <c r="N472" s="16" t="inlineStr">
        <is>
          <t>М3 (3c) · повт.</t>
        </is>
      </c>
      <c r="O472" s="11" t="inlineStr"/>
      <c r="P472" s="20" t="inlineStr">
        <is>
          <t>—</t>
        </is>
      </c>
      <c r="Q472" s="21" t="inlineStr"/>
      <c r="R472" s="17" t="inlineStr">
        <is>
          <t>видео</t>
        </is>
      </c>
      <c r="S472" s="11" t="inlineStr">
        <is>
          <t>Comparison extended+famous people</t>
        </is>
      </c>
      <c r="T472" s="11" t="inlineStr"/>
    </row>
    <row r="473">
      <c r="A473" s="11" t="n">
        <v>472</v>
      </c>
      <c r="B473" s="11" t="inlineStr">
        <is>
          <t>Грамматика</t>
        </is>
      </c>
      <c r="C473" s="11" t="inlineStr">
        <is>
          <t>Прилагательные и наречия</t>
        </is>
      </c>
      <c r="D473" s="12" t="inlineStr">
        <is>
          <t>Comparative structures</t>
        </is>
      </c>
      <c r="E473" s="22" t="inlineStr">
        <is>
          <t>Comparative structures: the + comparative …, the + comparative</t>
        </is>
      </c>
      <c r="F473" s="11" t="inlineStr">
        <is>
          <t>10+</t>
        </is>
      </c>
      <c r="G473" s="11" t="inlineStr"/>
      <c r="H473" s="11" t="inlineStr"/>
      <c r="I473" s="11" t="inlineStr"/>
      <c r="J473" s="11" t="inlineStr"/>
      <c r="K473" s="23" t="inlineStr">
        <is>
          <t>М7 · новое</t>
        </is>
      </c>
      <c r="L473" s="11" t="inlineStr"/>
      <c r="M473" s="16" t="inlineStr">
        <is>
          <t>М5 (5c) · повт.</t>
        </is>
      </c>
      <c r="N473" s="16" t="inlineStr">
        <is>
          <t>М3 (3c) · повт.</t>
        </is>
      </c>
      <c r="O473" s="11" t="inlineStr"/>
      <c r="P473" s="20" t="inlineStr">
        <is>
          <t>—</t>
        </is>
      </c>
      <c r="Q473" s="21" t="inlineStr"/>
      <c r="R473" s="17" t="inlineStr">
        <is>
          <t>видео</t>
        </is>
      </c>
      <c r="S473" s="11" t="inlineStr">
        <is>
          <t>Comparison extended+famous people</t>
        </is>
      </c>
      <c r="T473" s="11" t="inlineStr"/>
    </row>
    <row r="474">
      <c r="A474" s="11" t="n">
        <v>473</v>
      </c>
      <c r="B474" s="11" t="inlineStr">
        <is>
          <t>Грамматика</t>
        </is>
      </c>
      <c r="C474" s="11" t="inlineStr">
        <is>
          <t>Прилагательные и наречия</t>
        </is>
      </c>
      <c r="D474" s="12" t="inlineStr">
        <is>
          <t>Comparative structures</t>
        </is>
      </c>
      <c r="E474" s="22" t="inlineStr">
        <is>
          <t>Comparative structures: comparative and comparative (shorter and shorter)</t>
        </is>
      </c>
      <c r="F474" s="11" t="inlineStr">
        <is>
          <t>10+</t>
        </is>
      </c>
      <c r="G474" s="11" t="inlineStr"/>
      <c r="H474" s="11" t="inlineStr"/>
      <c r="I474" s="11" t="inlineStr"/>
      <c r="J474" s="11" t="inlineStr"/>
      <c r="K474" s="23" t="inlineStr">
        <is>
          <t>М7 · новое</t>
        </is>
      </c>
      <c r="L474" s="11" t="inlineStr"/>
      <c r="M474" s="16" t="inlineStr">
        <is>
          <t>М5 (5c) · повт.</t>
        </is>
      </c>
      <c r="N474" s="16" t="inlineStr">
        <is>
          <t>М3 (3c) · повт.</t>
        </is>
      </c>
      <c r="O474" s="11" t="inlineStr"/>
      <c r="P474" s="20" t="inlineStr">
        <is>
          <t>—</t>
        </is>
      </c>
      <c r="Q474" s="21" t="inlineStr"/>
      <c r="R474" s="17" t="inlineStr">
        <is>
          <t>видео</t>
        </is>
      </c>
      <c r="S474" s="11" t="inlineStr">
        <is>
          <t>Comparison extended+famous people</t>
        </is>
      </c>
      <c r="T474" s="11" t="inlineStr"/>
    </row>
    <row r="475">
      <c r="A475" s="11" t="n">
        <v>474</v>
      </c>
      <c r="B475" s="11" t="inlineStr">
        <is>
          <t>Грамматика</t>
        </is>
      </c>
      <c r="C475" s="11" t="inlineStr">
        <is>
          <t>Прилагательные и наречия</t>
        </is>
      </c>
      <c r="D475" s="12" t="inlineStr">
        <is>
          <t>Comparative structures</t>
        </is>
      </c>
      <c r="E475" s="22" t="inlineStr">
        <is>
          <t>Comparative structures: by far + the superlative</t>
        </is>
      </c>
      <c r="F475" s="11" t="inlineStr">
        <is>
          <t>10+</t>
        </is>
      </c>
      <c r="G475" s="11" t="inlineStr"/>
      <c r="H475" s="11" t="inlineStr"/>
      <c r="I475" s="11" t="inlineStr"/>
      <c r="J475" s="11" t="inlineStr"/>
      <c r="K475" s="23" t="inlineStr">
        <is>
          <t>М7 · новое</t>
        </is>
      </c>
      <c r="L475" s="11" t="inlineStr"/>
      <c r="M475" s="16" t="inlineStr">
        <is>
          <t>М5 (5c) · повт.</t>
        </is>
      </c>
      <c r="N475" s="16" t="inlineStr">
        <is>
          <t>М3 (3c) · повт.</t>
        </is>
      </c>
      <c r="O475" s="11" t="inlineStr"/>
      <c r="P475" s="20" t="inlineStr">
        <is>
          <t>—</t>
        </is>
      </c>
      <c r="Q475" s="21" t="inlineStr"/>
      <c r="R475" s="17" t="inlineStr">
        <is>
          <t>видео</t>
        </is>
      </c>
      <c r="S475" s="11" t="inlineStr">
        <is>
          <t>Comparison extended+famous people</t>
        </is>
      </c>
      <c r="T475" s="11" t="inlineStr"/>
    </row>
    <row r="476">
      <c r="A476" s="11" t="n">
        <v>475</v>
      </c>
      <c r="B476" s="11" t="inlineStr">
        <is>
          <t>Грамматика</t>
        </is>
      </c>
      <c r="C476" s="11" t="inlineStr">
        <is>
          <t>Прилагательные и наречия</t>
        </is>
      </c>
      <c r="D476" s="12" t="inlineStr">
        <is>
          <t>Comparative structures</t>
        </is>
      </c>
      <c r="E476" s="13" t="inlineStr">
        <is>
          <t>Comparative structures: twice / three times / half as … as</t>
        </is>
      </c>
      <c r="F476" s="11" t="inlineStr">
        <is>
          <t>10+</t>
        </is>
      </c>
      <c r="G476" s="11" t="inlineStr"/>
      <c r="H476" s="11" t="inlineStr"/>
      <c r="I476" s="11" t="inlineStr"/>
      <c r="J476" s="11" t="inlineStr"/>
      <c r="K476" s="11" t="inlineStr"/>
      <c r="L476" s="11" t="inlineStr"/>
      <c r="M476" s="11" t="inlineStr"/>
      <c r="N476" s="23" t="inlineStr">
        <is>
          <t>М3 (3c) · новое</t>
        </is>
      </c>
      <c r="O476" s="11" t="inlineStr"/>
      <c r="P476" s="20" t="inlineStr">
        <is>
          <t>—</t>
        </is>
      </c>
      <c r="Q476" s="21" t="inlineStr"/>
      <c r="R476" s="17" t="inlineStr">
        <is>
          <t>нет</t>
        </is>
      </c>
      <c r="S476" s="11" t="inlineStr"/>
      <c r="T476" s="11" t="inlineStr"/>
    </row>
    <row r="477">
      <c r="A477" s="11" t="n">
        <v>476</v>
      </c>
      <c r="B477" s="11" t="inlineStr">
        <is>
          <t>Грамматика</t>
        </is>
      </c>
      <c r="C477" s="11" t="inlineStr">
        <is>
          <t>Прилагательные и наречия</t>
        </is>
      </c>
      <c r="D477" s="12" t="inlineStr">
        <is>
          <t>Comparative structures</t>
        </is>
      </c>
      <c r="E477" s="13" t="inlineStr">
        <is>
          <t>Comparative structures: the same … as</t>
        </is>
      </c>
      <c r="F477" s="11" t="inlineStr">
        <is>
          <t>10+</t>
        </is>
      </c>
      <c r="G477" s="11" t="inlineStr"/>
      <c r="H477" s="11" t="inlineStr"/>
      <c r="I477" s="11" t="inlineStr"/>
      <c r="J477" s="11" t="inlineStr"/>
      <c r="K477" s="11" t="inlineStr"/>
      <c r="L477" s="11" t="inlineStr"/>
      <c r="M477" s="11" t="inlineStr"/>
      <c r="N477" s="23" t="inlineStr">
        <is>
          <t>М3 (3c) · новое</t>
        </is>
      </c>
      <c r="O477" s="11" t="inlineStr"/>
      <c r="P477" s="20" t="inlineStr">
        <is>
          <t>—</t>
        </is>
      </c>
      <c r="Q477" s="21" t="inlineStr"/>
      <c r="R477" s="17" t="inlineStr">
        <is>
          <t>нет</t>
        </is>
      </c>
      <c r="S477" s="11" t="inlineStr"/>
      <c r="T477" s="11" t="inlineStr"/>
    </row>
    <row r="478">
      <c r="A478" s="11" t="n">
        <v>477</v>
      </c>
      <c r="B478" s="11" t="inlineStr">
        <is>
          <t>Грамматика</t>
        </is>
      </c>
      <c r="C478" s="11" t="inlineStr">
        <is>
          <t>Прилагательные и наречия</t>
        </is>
      </c>
      <c r="D478" s="12" t="inlineStr">
        <is>
          <t>Comparative structures</t>
        </is>
      </c>
      <c r="E478" s="13" t="inlineStr">
        <is>
          <t>Comparative structures: look/sound/smell/taste + like</t>
        </is>
      </c>
      <c r="F478" s="11" t="inlineStr">
        <is>
          <t>10+</t>
        </is>
      </c>
      <c r="G478" s="11" t="inlineStr"/>
      <c r="H478" s="11" t="inlineStr"/>
      <c r="I478" s="11" t="inlineStr"/>
      <c r="J478" s="11" t="inlineStr"/>
      <c r="K478" s="11" t="inlineStr"/>
      <c r="L478" s="11" t="inlineStr"/>
      <c r="M478" s="11" t="inlineStr"/>
      <c r="N478" s="23" t="inlineStr">
        <is>
          <t>М3 (3c) · новое</t>
        </is>
      </c>
      <c r="O478" s="11" t="inlineStr"/>
      <c r="P478" s="20" t="inlineStr">
        <is>
          <t>—</t>
        </is>
      </c>
      <c r="Q478" s="21" t="inlineStr"/>
      <c r="R478" s="17" t="inlineStr">
        <is>
          <t>нет</t>
        </is>
      </c>
      <c r="S478" s="11" t="inlineStr"/>
      <c r="T478" s="11" t="inlineStr"/>
    </row>
    <row r="479">
      <c r="A479" s="4" t="n">
        <v>478</v>
      </c>
      <c r="B479" s="4" t="inlineStr">
        <is>
          <t>Грамматика</t>
        </is>
      </c>
      <c r="C479" s="4" t="inlineStr">
        <is>
          <t>Прилагательные и наречия</t>
        </is>
      </c>
      <c r="D479" s="5" t="inlineStr">
        <is>
          <t>Adverbs of degree</t>
        </is>
      </c>
      <c r="E479" s="6" t="inlineStr">
        <is>
          <t>Adverbs of degree: сильная степень — really, very, extremely</t>
        </is>
      </c>
      <c r="F479" s="4" t="inlineStr">
        <is>
          <t>10+</t>
        </is>
      </c>
      <c r="G479" s="4" t="inlineStr"/>
      <c r="H479" s="4" t="inlineStr"/>
      <c r="I479" s="4" t="inlineStr"/>
      <c r="J479" s="4" t="inlineStr"/>
      <c r="K479" s="4" t="inlineStr"/>
      <c r="L479" s="27" t="inlineStr">
        <is>
          <t>М1 (1d) · новое</t>
        </is>
      </c>
      <c r="M479" s="4" t="inlineStr"/>
      <c r="N479" s="4" t="inlineStr"/>
      <c r="O479" s="4" t="inlineStr"/>
      <c r="P479" s="28" t="inlineStr">
        <is>
          <t>—</t>
        </is>
      </c>
      <c r="Q479" s="29" t="inlineStr"/>
      <c r="R479" s="10" t="inlineStr">
        <is>
          <t>видео</t>
        </is>
      </c>
      <c r="S479" s="4" t="inlineStr">
        <is>
          <t>Adverbs of degree + p...ance and relationships (по названию)</t>
        </is>
      </c>
      <c r="T479" s="4" t="inlineStr"/>
    </row>
    <row r="480">
      <c r="A480" s="11" t="n">
        <v>479</v>
      </c>
      <c r="B480" s="11" t="inlineStr">
        <is>
          <t>Грамматика</t>
        </is>
      </c>
      <c r="C480" s="11" t="inlineStr">
        <is>
          <t>Прилагательные и наречия</t>
        </is>
      </c>
      <c r="D480" s="12" t="inlineStr">
        <is>
          <t>Adverbs of degree</t>
        </is>
      </c>
      <c r="E480" s="22" t="inlineStr">
        <is>
          <t>Adverbs of degree: средняя степень — pretty, quite, rather</t>
        </is>
      </c>
      <c r="F480" s="11" t="inlineStr">
        <is>
          <t>10+</t>
        </is>
      </c>
      <c r="G480" s="11" t="inlineStr"/>
      <c r="H480" s="11" t="inlineStr"/>
      <c r="I480" s="11" t="inlineStr"/>
      <c r="J480" s="11" t="inlineStr"/>
      <c r="K480" s="11" t="inlineStr"/>
      <c r="L480" s="23" t="inlineStr">
        <is>
          <t>М1 (1d) · новое</t>
        </is>
      </c>
      <c r="M480" s="11" t="inlineStr"/>
      <c r="N480" s="11" t="inlineStr"/>
      <c r="O480" s="11" t="inlineStr"/>
      <c r="P480" s="20" t="inlineStr">
        <is>
          <t>—</t>
        </is>
      </c>
      <c r="Q480" s="21" t="inlineStr"/>
      <c r="R480" s="17" t="inlineStr">
        <is>
          <t>видео</t>
        </is>
      </c>
      <c r="S480" s="11" t="inlineStr">
        <is>
          <t>Adverbs of degree + p...ance and relationships (по названию)</t>
        </is>
      </c>
      <c r="T480" s="11" t="inlineStr"/>
    </row>
    <row r="481">
      <c r="A481" s="11" t="n">
        <v>480</v>
      </c>
      <c r="B481" s="11" t="inlineStr">
        <is>
          <t>Грамматика</t>
        </is>
      </c>
      <c r="C481" s="11" t="inlineStr">
        <is>
          <t>Прилагательные и наречия</t>
        </is>
      </c>
      <c r="D481" s="12" t="inlineStr">
        <is>
          <t>Adverbs of degree</t>
        </is>
      </c>
      <c r="E481" s="22" t="inlineStr">
        <is>
          <t>Adverbs of degree: слабая степень — a little, a bit</t>
        </is>
      </c>
      <c r="F481" s="11" t="inlineStr">
        <is>
          <t>10+</t>
        </is>
      </c>
      <c r="G481" s="11" t="inlineStr"/>
      <c r="H481" s="11" t="inlineStr"/>
      <c r="I481" s="11" t="inlineStr"/>
      <c r="J481" s="11" t="inlineStr"/>
      <c r="K481" s="11" t="inlineStr"/>
      <c r="L481" s="23" t="inlineStr">
        <is>
          <t>М1 (1d) · новое</t>
        </is>
      </c>
      <c r="M481" s="11" t="inlineStr"/>
      <c r="N481" s="11" t="inlineStr"/>
      <c r="O481" s="11" t="inlineStr"/>
      <c r="P481" s="20" t="inlineStr">
        <is>
          <t>—</t>
        </is>
      </c>
      <c r="Q481" s="21" t="inlineStr"/>
      <c r="R481" s="17" t="inlineStr">
        <is>
          <t>видео</t>
        </is>
      </c>
      <c r="S481" s="11" t="inlineStr">
        <is>
          <t>Adverbs of degree + p...ance and relationships (по названию)</t>
        </is>
      </c>
      <c r="T481" s="11" t="inlineStr"/>
    </row>
    <row r="482">
      <c r="A482" s="4" t="n">
        <v>481</v>
      </c>
      <c r="B482" s="4" t="inlineStr">
        <is>
          <t>Грамматика</t>
        </is>
      </c>
      <c r="C482" s="4" t="inlineStr">
        <is>
          <t>Прилагательные и наречия</t>
        </is>
      </c>
      <c r="D482" s="5" t="inlineStr">
        <is>
          <t>too / enough</t>
        </is>
      </c>
      <c r="E482" s="6" t="inlineStr">
        <is>
          <t>too / enough: too + прил./нареч. — чрезмерность</t>
        </is>
      </c>
      <c r="F482" s="4" t="inlineStr">
        <is>
          <t>10+</t>
        </is>
      </c>
      <c r="G482" s="4" t="inlineStr"/>
      <c r="H482" s="4" t="inlineStr"/>
      <c r="I482" s="4" t="inlineStr"/>
      <c r="J482" s="4" t="inlineStr"/>
      <c r="K482" s="4" t="inlineStr"/>
      <c r="L482" s="27" t="inlineStr">
        <is>
          <t>М4 (4b) · новое</t>
        </is>
      </c>
      <c r="M482" s="9" t="inlineStr">
        <is>
          <t>М2 (2c) · повт.</t>
        </is>
      </c>
      <c r="N482" s="4" t="inlineStr"/>
      <c r="O482" s="4" t="inlineStr"/>
      <c r="P482" s="28" t="inlineStr">
        <is>
          <t>—</t>
        </is>
      </c>
      <c r="Q482" s="29" t="inlineStr"/>
      <c r="R482" s="10" t="inlineStr">
        <is>
          <t>видео</t>
        </is>
      </c>
      <c r="S482" s="4" t="inlineStr">
        <is>
          <t>Too + Enough + clothes</t>
        </is>
      </c>
      <c r="T482" s="4" t="inlineStr"/>
    </row>
    <row r="483">
      <c r="A483" s="11" t="n">
        <v>482</v>
      </c>
      <c r="B483" s="11" t="inlineStr">
        <is>
          <t>Грамматика</t>
        </is>
      </c>
      <c r="C483" s="11" t="inlineStr">
        <is>
          <t>Прилагательные и наречия</t>
        </is>
      </c>
      <c r="D483" s="12" t="inlineStr">
        <is>
          <t>too / enough</t>
        </is>
      </c>
      <c r="E483" s="22" t="inlineStr">
        <is>
          <t>too / enough: прил./нареч. + enough — достаточность</t>
        </is>
      </c>
      <c r="F483" s="11" t="inlineStr">
        <is>
          <t>10+</t>
        </is>
      </c>
      <c r="G483" s="11" t="inlineStr"/>
      <c r="H483" s="11" t="inlineStr"/>
      <c r="I483" s="11" t="inlineStr"/>
      <c r="J483" s="11" t="inlineStr"/>
      <c r="K483" s="11" t="inlineStr"/>
      <c r="L483" s="23" t="inlineStr">
        <is>
          <t>М4 (4b) · новое</t>
        </is>
      </c>
      <c r="M483" s="16" t="inlineStr">
        <is>
          <t>М2 (2c) · повт.</t>
        </is>
      </c>
      <c r="N483" s="11" t="inlineStr"/>
      <c r="O483" s="11" t="inlineStr"/>
      <c r="P483" s="20" t="inlineStr">
        <is>
          <t>—</t>
        </is>
      </c>
      <c r="Q483" s="21" t="inlineStr"/>
      <c r="R483" s="17" t="inlineStr">
        <is>
          <t>видео</t>
        </is>
      </c>
      <c r="S483" s="11" t="inlineStr">
        <is>
          <t>Too + Enough + clothes</t>
        </is>
      </c>
      <c r="T483" s="11" t="inlineStr"/>
    </row>
    <row r="484">
      <c r="A484" s="11" t="n">
        <v>483</v>
      </c>
      <c r="B484" s="11" t="inlineStr">
        <is>
          <t>Грамматика</t>
        </is>
      </c>
      <c r="C484" s="11" t="inlineStr">
        <is>
          <t>Прилагательные и наречия</t>
        </is>
      </c>
      <c r="D484" s="12" t="inlineStr">
        <is>
          <t>too / enough</t>
        </is>
      </c>
      <c r="E484" s="13" t="inlineStr">
        <is>
          <t>too / enough: enough / not enough + существительное</t>
        </is>
      </c>
      <c r="F484" s="11" t="inlineStr">
        <is>
          <t>10+</t>
        </is>
      </c>
      <c r="G484" s="11" t="inlineStr"/>
      <c r="H484" s="11" t="inlineStr"/>
      <c r="I484" s="11" t="inlineStr"/>
      <c r="J484" s="11" t="inlineStr"/>
      <c r="K484" s="11" t="inlineStr"/>
      <c r="L484" s="23" t="inlineStr">
        <is>
          <t>М4 (4b) · новое</t>
        </is>
      </c>
      <c r="M484" s="16" t="inlineStr">
        <is>
          <t>М2 (2c) · повт.</t>
        </is>
      </c>
      <c r="N484" s="11" t="inlineStr"/>
      <c r="O484" s="11" t="inlineStr"/>
      <c r="P484" s="20" t="inlineStr">
        <is>
          <t>—</t>
        </is>
      </c>
      <c r="Q484" s="21" t="inlineStr"/>
      <c r="R484" s="17" t="inlineStr">
        <is>
          <t>нет</t>
        </is>
      </c>
      <c r="S484" s="11" t="inlineStr"/>
      <c r="T484" s="11" t="inlineStr"/>
    </row>
    <row r="485">
      <c r="A485" s="11" t="n">
        <v>484</v>
      </c>
      <c r="B485" s="11" t="inlineStr">
        <is>
          <t>Грамматика</t>
        </is>
      </c>
      <c r="C485" s="11" t="inlineStr">
        <is>
          <t>Прилагательные и наречия</t>
        </is>
      </c>
      <c r="D485" s="12" t="inlineStr">
        <is>
          <t>too / enough</t>
        </is>
      </c>
      <c r="E485" s="13" t="inlineStr">
        <is>
          <t>too / enough: too … / … enough + to-infinitive</t>
        </is>
      </c>
      <c r="F485" s="11" t="inlineStr">
        <is>
          <t>10+</t>
        </is>
      </c>
      <c r="G485" s="11" t="inlineStr"/>
      <c r="H485" s="11" t="inlineStr"/>
      <c r="I485" s="11" t="inlineStr"/>
      <c r="J485" s="11" t="inlineStr"/>
      <c r="K485" s="11" t="inlineStr"/>
      <c r="L485" s="23" t="inlineStr">
        <is>
          <t>М4 (4b) · новое</t>
        </is>
      </c>
      <c r="M485" s="19" t="inlineStr">
        <is>
          <t>М2 (2c) · расш.</t>
        </is>
      </c>
      <c r="N485" s="11" t="inlineStr"/>
      <c r="O485" s="11" t="inlineStr"/>
      <c r="P485" s="20" t="inlineStr">
        <is>
          <t>—</t>
        </is>
      </c>
      <c r="Q485" s="21" t="inlineStr"/>
      <c r="R485" s="17" t="inlineStr">
        <is>
          <t>нет</t>
        </is>
      </c>
      <c r="S485" s="11" t="inlineStr"/>
      <c r="T485" s="11" t="inlineStr"/>
    </row>
    <row r="486">
      <c r="A486" s="4" t="n">
        <v>485</v>
      </c>
      <c r="B486" s="4" t="inlineStr">
        <is>
          <t>Грамматика</t>
        </is>
      </c>
      <c r="C486" s="4" t="inlineStr">
        <is>
          <t>Прилагательные и наречия</t>
        </is>
      </c>
      <c r="D486" s="5" t="inlineStr">
        <is>
          <t>so / such</t>
        </is>
      </c>
      <c r="E486" s="24" t="inlineStr">
        <is>
          <t>so / such: so + прил./нареч.; so + many/much/few/little + сущ.</t>
        </is>
      </c>
      <c r="F486" s="4" t="inlineStr">
        <is>
          <t>10+</t>
        </is>
      </c>
      <c r="G486" s="4" t="inlineStr"/>
      <c r="H486" s="4" t="inlineStr"/>
      <c r="I486" s="4" t="inlineStr"/>
      <c r="J486" s="4" t="inlineStr"/>
      <c r="K486" s="4" t="inlineStr"/>
      <c r="L486" s="4" t="inlineStr"/>
      <c r="M486" s="27" t="inlineStr">
        <is>
          <t>М4 (4c) · новое</t>
        </is>
      </c>
      <c r="N486" s="4" t="inlineStr"/>
      <c r="O486" s="9" t="inlineStr">
        <is>
          <t>М2 (2c) · повт.</t>
        </is>
      </c>
      <c r="P486" s="28" t="inlineStr">
        <is>
          <t>—</t>
        </is>
      </c>
      <c r="Q486" s="29" t="inlineStr"/>
      <c r="R486" s="10" t="inlineStr">
        <is>
          <t>нет</t>
        </is>
      </c>
      <c r="S486" s="4" t="inlineStr"/>
      <c r="T486" s="4" t="inlineStr"/>
    </row>
    <row r="487">
      <c r="A487" s="11" t="n">
        <v>486</v>
      </c>
      <c r="B487" s="11" t="inlineStr">
        <is>
          <t>Грамматика</t>
        </is>
      </c>
      <c r="C487" s="11" t="inlineStr">
        <is>
          <t>Прилагательные и наречия</t>
        </is>
      </c>
      <c r="D487" s="12" t="inlineStr">
        <is>
          <t>so / such</t>
        </is>
      </c>
      <c r="E487" s="13" t="inlineStr">
        <is>
          <t>so / such: such (a/an) + (прил.) + сущ.; such a lot of</t>
        </is>
      </c>
      <c r="F487" s="11" t="inlineStr">
        <is>
          <t>10+</t>
        </is>
      </c>
      <c r="G487" s="11" t="inlineStr"/>
      <c r="H487" s="11" t="inlineStr"/>
      <c r="I487" s="11" t="inlineStr"/>
      <c r="J487" s="11" t="inlineStr"/>
      <c r="K487" s="11" t="inlineStr"/>
      <c r="L487" s="11" t="inlineStr"/>
      <c r="M487" s="23" t="inlineStr">
        <is>
          <t>М4 (4c) · новое</t>
        </is>
      </c>
      <c r="N487" s="11" t="inlineStr"/>
      <c r="O487" s="16" t="inlineStr">
        <is>
          <t>М2 (2c) · повт.</t>
        </is>
      </c>
      <c r="P487" s="20" t="inlineStr">
        <is>
          <t>—</t>
        </is>
      </c>
      <c r="Q487" s="21" t="inlineStr"/>
      <c r="R487" s="17" t="inlineStr">
        <is>
          <t>нет</t>
        </is>
      </c>
      <c r="S487" s="11" t="inlineStr"/>
      <c r="T487" s="11" t="inlineStr"/>
    </row>
    <row r="488">
      <c r="A488" s="11" t="n">
        <v>487</v>
      </c>
      <c r="B488" s="11" t="inlineStr">
        <is>
          <t>Грамматика</t>
        </is>
      </c>
      <c r="C488" s="11" t="inlineStr">
        <is>
          <t>Прилагательные и наречия</t>
        </is>
      </c>
      <c r="D488" s="12" t="inlineStr">
        <is>
          <t>so / such</t>
        </is>
      </c>
      <c r="E488" s="13" t="inlineStr">
        <is>
          <t>so / such: so + прил. + a(n) + сущ.</t>
        </is>
      </c>
      <c r="F488" s="11" t="inlineStr">
        <is>
          <t>10+</t>
        </is>
      </c>
      <c r="G488" s="11" t="inlineStr"/>
      <c r="H488" s="11" t="inlineStr"/>
      <c r="I488" s="11" t="inlineStr"/>
      <c r="J488" s="11" t="inlineStr"/>
      <c r="K488" s="11" t="inlineStr"/>
      <c r="L488" s="11" t="inlineStr"/>
      <c r="M488" s="23" t="inlineStr">
        <is>
          <t>М4 (4c) · новое</t>
        </is>
      </c>
      <c r="N488" s="11" t="inlineStr"/>
      <c r="O488" s="16" t="inlineStr">
        <is>
          <t>М2 (2c) · повт.</t>
        </is>
      </c>
      <c r="P488" s="20" t="inlineStr">
        <is>
          <t>—</t>
        </is>
      </c>
      <c r="Q488" s="21" t="inlineStr"/>
      <c r="R488" s="17" t="inlineStr">
        <is>
          <t>нет</t>
        </is>
      </c>
      <c r="S488" s="11" t="inlineStr"/>
      <c r="T488" s="11" t="inlineStr"/>
    </row>
    <row r="489">
      <c r="A489" s="4" t="n">
        <v>488</v>
      </c>
      <c r="B489" s="4" t="inlineStr">
        <is>
          <t>Грамматика</t>
        </is>
      </c>
      <c r="C489" s="4" t="inlineStr">
        <is>
          <t>Числительные</t>
        </is>
      </c>
      <c r="D489" s="5" t="inlineStr">
        <is>
          <t>Ordinal numbers</t>
        </is>
      </c>
      <c r="E489" s="24" t="inlineStr">
        <is>
          <t>Ordinal numbers: first, second, third и составные (21st, 22nd)</t>
        </is>
      </c>
      <c r="F489" s="4" t="inlineStr">
        <is>
          <t>обе</t>
        </is>
      </c>
      <c r="G489" s="4" t="inlineStr"/>
      <c r="H489" s="7" t="inlineStr">
        <is>
          <t>М5 · новое</t>
        </is>
      </c>
      <c r="I489" s="4" t="inlineStr"/>
      <c r="J489" s="30" t="inlineStr">
        <is>
          <t>М2 (2a) · расш.</t>
        </is>
      </c>
      <c r="K489" s="4" t="inlineStr"/>
      <c r="L489" s="4" t="inlineStr"/>
      <c r="M489" s="4" t="inlineStr"/>
      <c r="N489" s="4" t="inlineStr"/>
      <c r="O489" s="4" t="inlineStr"/>
      <c r="P489" s="10" t="inlineStr">
        <is>
          <t>видео</t>
        </is>
      </c>
      <c r="Q489" s="4" t="inlineStr">
        <is>
          <t>Tea Party+порядковые числительные</t>
        </is>
      </c>
      <c r="R489" s="10" t="inlineStr">
        <is>
          <t>нет</t>
        </is>
      </c>
      <c r="S489" s="4" t="inlineStr"/>
      <c r="T489" s="4" t="inlineStr"/>
    </row>
    <row r="490">
      <c r="A490" s="11" t="n">
        <v>489</v>
      </c>
      <c r="B490" s="11" t="inlineStr">
        <is>
          <t>Грамматика</t>
        </is>
      </c>
      <c r="C490" s="11" t="inlineStr">
        <is>
          <t>Числительные</t>
        </is>
      </c>
      <c r="D490" s="12" t="inlineStr">
        <is>
          <t>Ordinal numbers</t>
        </is>
      </c>
      <c r="E490" s="13" t="inlineStr">
        <is>
          <t>Ordinal numbers: образование с -th и орфография (fifth, ninth, twelfth, twentieth)</t>
        </is>
      </c>
      <c r="F490" s="11" t="inlineStr">
        <is>
          <t>обе</t>
        </is>
      </c>
      <c r="G490" s="11" t="inlineStr"/>
      <c r="H490" s="14" t="inlineStr">
        <is>
          <t>М5 · новое</t>
        </is>
      </c>
      <c r="I490" s="11" t="inlineStr"/>
      <c r="J490" s="19" t="inlineStr">
        <is>
          <t>М2 (2a) · расш.</t>
        </is>
      </c>
      <c r="K490" s="11" t="inlineStr"/>
      <c r="L490" s="11" t="inlineStr"/>
      <c r="M490" s="11" t="inlineStr"/>
      <c r="N490" s="11" t="inlineStr"/>
      <c r="O490" s="11" t="inlineStr"/>
      <c r="P490" s="17" t="inlineStr">
        <is>
          <t>видео</t>
        </is>
      </c>
      <c r="Q490" s="11" t="inlineStr">
        <is>
          <t>Tea Party+порядковые числительные</t>
        </is>
      </c>
      <c r="R490" s="17" t="inlineStr">
        <is>
          <t>нет</t>
        </is>
      </c>
      <c r="S490" s="11" t="inlineStr"/>
      <c r="T490" s="11" t="inlineStr"/>
    </row>
    <row r="491">
      <c r="A491" s="11" t="n">
        <v>490</v>
      </c>
      <c r="B491" s="11" t="inlineStr">
        <is>
          <t>Грамматика</t>
        </is>
      </c>
      <c r="C491" s="11" t="inlineStr">
        <is>
          <t>Числительные</t>
        </is>
      </c>
      <c r="D491" s="12" t="inlineStr">
        <is>
          <t>Ordinal numbers</t>
        </is>
      </c>
      <c r="E491" s="13" t="inlineStr">
        <is>
          <t>Ordinal numbers: с артиклем the и даты</t>
        </is>
      </c>
      <c r="F491" s="11" t="inlineStr">
        <is>
          <t>обе</t>
        </is>
      </c>
      <c r="G491" s="11" t="inlineStr"/>
      <c r="H491" s="14" t="inlineStr">
        <is>
          <t>М5 · новое</t>
        </is>
      </c>
      <c r="I491" s="11" t="inlineStr"/>
      <c r="J491" s="19" t="inlineStr">
        <is>
          <t>М2 (2a) · расш.</t>
        </is>
      </c>
      <c r="K491" s="11" t="inlineStr"/>
      <c r="L491" s="11" t="inlineStr"/>
      <c r="M491" s="11" t="inlineStr"/>
      <c r="N491" s="11" t="inlineStr"/>
      <c r="O491" s="11" t="inlineStr"/>
      <c r="P491" s="17" t="inlineStr">
        <is>
          <t>нет</t>
        </is>
      </c>
      <c r="Q491" s="11" t="inlineStr"/>
      <c r="R491" s="17" t="inlineStr">
        <is>
          <t>нет</t>
        </is>
      </c>
      <c r="S491" s="11" t="inlineStr"/>
      <c r="T491" s="11" t="inlineStr"/>
    </row>
    <row r="492">
      <c r="A492" s="4" t="n">
        <v>491</v>
      </c>
      <c r="B492" s="4" t="inlineStr">
        <is>
          <t>Грамматика</t>
        </is>
      </c>
      <c r="C492" s="4" t="inlineStr">
        <is>
          <t>Предлоги</t>
        </is>
      </c>
      <c r="D492" s="5" t="inlineStr">
        <is>
          <t>Prepositions of place</t>
        </is>
      </c>
      <c r="E492" s="24" t="inlineStr">
        <is>
          <t>Prepositions of place: in, on, under</t>
        </is>
      </c>
      <c r="F492" s="4" t="inlineStr">
        <is>
          <t>обе</t>
        </is>
      </c>
      <c r="G492" s="7" t="inlineStr">
        <is>
          <t>М6 · новое</t>
        </is>
      </c>
      <c r="H492" s="8" t="inlineStr">
        <is>
          <t>М1 · повт.</t>
        </is>
      </c>
      <c r="I492" s="9" t="inlineStr">
        <is>
          <t>М3 (3c) · повт.</t>
        </is>
      </c>
      <c r="J492" s="9" t="inlineStr">
        <is>
          <t>М2 (2b) · повт.</t>
        </is>
      </c>
      <c r="K492" s="4" t="inlineStr"/>
      <c r="L492" s="4" t="inlineStr"/>
      <c r="M492" s="4" t="inlineStr"/>
      <c r="N492" s="4" t="inlineStr"/>
      <c r="O492" s="4" t="inlineStr"/>
      <c r="P492" s="10" t="inlineStr">
        <is>
          <t>видео</t>
        </is>
      </c>
      <c r="Q492" s="4" t="inlineStr">
        <is>
          <t>Homes, rooms + prepositions of place</t>
        </is>
      </c>
      <c r="R492" s="10" t="inlineStr">
        <is>
          <t>нет</t>
        </is>
      </c>
      <c r="S492" s="4" t="inlineStr"/>
      <c r="T492" s="4" t="inlineStr"/>
    </row>
    <row r="493">
      <c r="A493" s="11" t="n">
        <v>492</v>
      </c>
      <c r="B493" s="11" t="inlineStr">
        <is>
          <t>Грамматика</t>
        </is>
      </c>
      <c r="C493" s="11" t="inlineStr">
        <is>
          <t>Предлоги</t>
        </is>
      </c>
      <c r="D493" s="12" t="inlineStr">
        <is>
          <t>Prepositions of place</t>
        </is>
      </c>
      <c r="E493" s="13" t="inlineStr">
        <is>
          <t>Prepositions of place: next to, in front of, behind</t>
        </is>
      </c>
      <c r="F493" s="11" t="inlineStr">
        <is>
          <t>обе</t>
        </is>
      </c>
      <c r="G493" s="14" t="inlineStr">
        <is>
          <t>М6 · новое</t>
        </is>
      </c>
      <c r="H493" s="15" t="inlineStr">
        <is>
          <t>М1 · повт.</t>
        </is>
      </c>
      <c r="I493" s="16" t="inlineStr">
        <is>
          <t>М3 (3c) · повт.</t>
        </is>
      </c>
      <c r="J493" s="16" t="inlineStr">
        <is>
          <t>М2 (2b) · повт.</t>
        </is>
      </c>
      <c r="K493" s="11" t="inlineStr"/>
      <c r="L493" s="11" t="inlineStr"/>
      <c r="M493" s="11" t="inlineStr"/>
      <c r="N493" s="11" t="inlineStr"/>
      <c r="O493" s="11" t="inlineStr"/>
      <c r="P493" s="17" t="inlineStr">
        <is>
          <t>видео</t>
        </is>
      </c>
      <c r="Q493" s="11" t="inlineStr">
        <is>
          <t>Prepositions of place+extended+object</t>
        </is>
      </c>
      <c r="R493" s="17" t="inlineStr">
        <is>
          <t>нет</t>
        </is>
      </c>
      <c r="S493" s="11" t="inlineStr"/>
      <c r="T493" s="11" t="inlineStr"/>
    </row>
    <row r="494">
      <c r="A494" s="11" t="n">
        <v>493</v>
      </c>
      <c r="B494" s="11" t="inlineStr">
        <is>
          <t>Грамматика</t>
        </is>
      </c>
      <c r="C494" s="11" t="inlineStr">
        <is>
          <t>Предлоги</t>
        </is>
      </c>
      <c r="D494" s="12" t="inlineStr">
        <is>
          <t>Prepositions of place</t>
        </is>
      </c>
      <c r="E494" s="13" t="inlineStr">
        <is>
          <t>Prepositions of place: opposite, between</t>
        </is>
      </c>
      <c r="F494" s="11" t="inlineStr">
        <is>
          <t>обе</t>
        </is>
      </c>
      <c r="G494" s="11" t="inlineStr"/>
      <c r="H494" s="14" t="inlineStr">
        <is>
          <t>М1 · новое</t>
        </is>
      </c>
      <c r="I494" s="11" t="inlineStr"/>
      <c r="J494" s="16" t="inlineStr">
        <is>
          <t>М2 (2b) · повт.</t>
        </is>
      </c>
      <c r="K494" s="11" t="inlineStr"/>
      <c r="L494" s="11" t="inlineStr"/>
      <c r="M494" s="11" t="inlineStr"/>
      <c r="N494" s="11" t="inlineStr"/>
      <c r="O494" s="11" t="inlineStr"/>
      <c r="P494" s="17" t="inlineStr">
        <is>
          <t>нет</t>
        </is>
      </c>
      <c r="Q494" s="11" t="inlineStr"/>
      <c r="R494" s="17" t="inlineStr">
        <is>
          <t>нет</t>
        </is>
      </c>
      <c r="S494" s="11" t="inlineStr"/>
      <c r="T494" s="11" t="inlineStr"/>
    </row>
    <row r="495">
      <c r="A495" s="11" t="n">
        <v>494</v>
      </c>
      <c r="B495" s="11" t="inlineStr">
        <is>
          <t>Грамматика</t>
        </is>
      </c>
      <c r="C495" s="11" t="inlineStr">
        <is>
          <t>Предлоги</t>
        </is>
      </c>
      <c r="D495" s="12" t="inlineStr">
        <is>
          <t>Prepositions of place</t>
        </is>
      </c>
      <c r="E495" s="13" t="inlineStr">
        <is>
          <t>Prepositions of place: near, beside</t>
        </is>
      </c>
      <c r="F495" s="11" t="inlineStr">
        <is>
          <t>10+</t>
        </is>
      </c>
      <c r="G495" s="11" t="inlineStr"/>
      <c r="H495" s="11" t="inlineStr"/>
      <c r="I495" s="11" t="inlineStr"/>
      <c r="J495" s="23" t="inlineStr">
        <is>
          <t>М2 (2b) · новое</t>
        </is>
      </c>
      <c r="K495" s="11" t="inlineStr"/>
      <c r="L495" s="11" t="inlineStr"/>
      <c r="M495" s="11" t="inlineStr"/>
      <c r="N495" s="11" t="inlineStr"/>
      <c r="O495" s="11" t="inlineStr"/>
      <c r="P495" s="20" t="inlineStr">
        <is>
          <t>—</t>
        </is>
      </c>
      <c r="Q495" s="21" t="inlineStr"/>
      <c r="R495" s="17" t="inlineStr">
        <is>
          <t>нет</t>
        </is>
      </c>
      <c r="S495" s="11" t="inlineStr"/>
      <c r="T495" s="11" t="inlineStr"/>
    </row>
    <row r="496">
      <c r="A496" s="11" t="n">
        <v>495</v>
      </c>
      <c r="B496" s="11" t="inlineStr">
        <is>
          <t>Грамматика</t>
        </is>
      </c>
      <c r="C496" s="11" t="inlineStr">
        <is>
          <t>Предлоги</t>
        </is>
      </c>
      <c r="D496" s="12" t="inlineStr">
        <is>
          <t>Prepositions of place</t>
        </is>
      </c>
      <c r="E496" s="13" t="inlineStr">
        <is>
          <t>Prepositions of place: at — at school/work/home, в адресах</t>
        </is>
      </c>
      <c r="F496" s="11" t="inlineStr">
        <is>
          <t>10+</t>
        </is>
      </c>
      <c r="G496" s="11" t="inlineStr"/>
      <c r="H496" s="11" t="inlineStr"/>
      <c r="I496" s="23" t="inlineStr">
        <is>
          <t>М3 (3c) · новое</t>
        </is>
      </c>
      <c r="J496" s="16" t="inlineStr">
        <is>
          <t>М2 (2b) · повт.</t>
        </is>
      </c>
      <c r="K496" s="11" t="inlineStr"/>
      <c r="L496" s="11" t="inlineStr"/>
      <c r="M496" s="11" t="inlineStr"/>
      <c r="N496" s="11" t="inlineStr"/>
      <c r="O496" s="11" t="inlineStr"/>
      <c r="P496" s="20" t="inlineStr">
        <is>
          <t>—</t>
        </is>
      </c>
      <c r="Q496" s="21" t="inlineStr"/>
      <c r="R496" s="17" t="inlineStr">
        <is>
          <t>нет</t>
        </is>
      </c>
      <c r="S496" s="11" t="inlineStr"/>
      <c r="T496" s="11" t="inlineStr"/>
    </row>
    <row r="497">
      <c r="A497" s="11" t="n">
        <v>496</v>
      </c>
      <c r="B497" s="11" t="inlineStr">
        <is>
          <t>Грамматика</t>
        </is>
      </c>
      <c r="C497" s="11" t="inlineStr">
        <is>
          <t>Предлоги</t>
        </is>
      </c>
      <c r="D497" s="12" t="inlineStr">
        <is>
          <t>Prepositions of place</t>
        </is>
      </c>
      <c r="E497" s="13" t="inlineStr">
        <is>
          <t>Prepositions of place: in — устойчивые выражения (in bed, in hospital, in the sky, in a picture)</t>
        </is>
      </c>
      <c r="F497" s="11" t="inlineStr">
        <is>
          <t>10+</t>
        </is>
      </c>
      <c r="G497" s="11" t="inlineStr"/>
      <c r="H497" s="11" t="inlineStr"/>
      <c r="I497" s="23" t="inlineStr">
        <is>
          <t>М3 (3c) · новое</t>
        </is>
      </c>
      <c r="J497" s="16" t="inlineStr">
        <is>
          <t>М2 (2b) · повт.</t>
        </is>
      </c>
      <c r="K497" s="11" t="inlineStr"/>
      <c r="L497" s="11" t="inlineStr"/>
      <c r="M497" s="11" t="inlineStr"/>
      <c r="N497" s="11" t="inlineStr"/>
      <c r="O497" s="11" t="inlineStr"/>
      <c r="P497" s="20" t="inlineStr">
        <is>
          <t>—</t>
        </is>
      </c>
      <c r="Q497" s="21" t="inlineStr"/>
      <c r="R497" s="17" t="inlineStr">
        <is>
          <t>нет</t>
        </is>
      </c>
      <c r="S497" s="11" t="inlineStr"/>
      <c r="T497" s="11" t="inlineStr"/>
    </row>
    <row r="498">
      <c r="A498" s="11" t="n">
        <v>497</v>
      </c>
      <c r="B498" s="11" t="inlineStr">
        <is>
          <t>Грамматика</t>
        </is>
      </c>
      <c r="C498" s="11" t="inlineStr">
        <is>
          <t>Предлоги</t>
        </is>
      </c>
      <c r="D498" s="12" t="inlineStr">
        <is>
          <t>Prepositions of place</t>
        </is>
      </c>
      <c r="E498" s="13" t="inlineStr">
        <is>
          <t>Prepositions of place: in — города, страны, континенты</t>
        </is>
      </c>
      <c r="F498" s="11" t="inlineStr">
        <is>
          <t>10+</t>
        </is>
      </c>
      <c r="G498" s="11" t="inlineStr"/>
      <c r="H498" s="11" t="inlineStr"/>
      <c r="I498" s="23" t="inlineStr">
        <is>
          <t>М3 (3c) · новое</t>
        </is>
      </c>
      <c r="J498" s="16" t="inlineStr">
        <is>
          <t>М2 (2b) · повт.</t>
        </is>
      </c>
      <c r="K498" s="11" t="inlineStr"/>
      <c r="L498" s="11" t="inlineStr"/>
      <c r="M498" s="11" t="inlineStr"/>
      <c r="N498" s="11" t="inlineStr"/>
      <c r="O498" s="11" t="inlineStr"/>
      <c r="P498" s="20" t="inlineStr">
        <is>
          <t>—</t>
        </is>
      </c>
      <c r="Q498" s="21" t="inlineStr"/>
      <c r="R498" s="17" t="inlineStr">
        <is>
          <t>нет</t>
        </is>
      </c>
      <c r="S498" s="11" t="inlineStr"/>
      <c r="T498" s="11" t="inlineStr"/>
    </row>
    <row r="499">
      <c r="A499" s="11" t="n">
        <v>498</v>
      </c>
      <c r="B499" s="11" t="inlineStr">
        <is>
          <t>Грамматика</t>
        </is>
      </c>
      <c r="C499" s="11" t="inlineStr">
        <is>
          <t>Предлоги</t>
        </is>
      </c>
      <c r="D499" s="12" t="inlineStr">
        <is>
          <t>Prepositions of place</t>
        </is>
      </c>
      <c r="E499" s="13" t="inlineStr">
        <is>
          <t>Prepositions of place: on — on the left/right, on the first floor</t>
        </is>
      </c>
      <c r="F499" s="11" t="inlineStr">
        <is>
          <t>10+</t>
        </is>
      </c>
      <c r="G499" s="11" t="inlineStr"/>
      <c r="H499" s="11" t="inlineStr"/>
      <c r="I499" s="23" t="inlineStr">
        <is>
          <t>М3 (3c) · новое</t>
        </is>
      </c>
      <c r="J499" s="16" t="inlineStr">
        <is>
          <t>М2 (2b) · повт.</t>
        </is>
      </c>
      <c r="K499" s="11" t="inlineStr"/>
      <c r="L499" s="11" t="inlineStr"/>
      <c r="M499" s="11" t="inlineStr"/>
      <c r="N499" s="11" t="inlineStr"/>
      <c r="O499" s="11" t="inlineStr"/>
      <c r="P499" s="20" t="inlineStr">
        <is>
          <t>—</t>
        </is>
      </c>
      <c r="Q499" s="21" t="inlineStr"/>
      <c r="R499" s="17" t="inlineStr">
        <is>
          <t>нет</t>
        </is>
      </c>
      <c r="S499" s="11" t="inlineStr"/>
      <c r="T499" s="11" t="inlineStr"/>
    </row>
    <row r="500">
      <c r="A500" s="4" t="n">
        <v>499</v>
      </c>
      <c r="B500" s="4" t="inlineStr">
        <is>
          <t>Грамматика</t>
        </is>
      </c>
      <c r="C500" s="4" t="inlineStr">
        <is>
          <t>Предлоги</t>
        </is>
      </c>
      <c r="D500" s="5" t="inlineStr">
        <is>
          <t>Prepositions of time</t>
        </is>
      </c>
      <c r="E500" s="24" t="inlineStr">
        <is>
          <t>Prepositions of time: at — время, праздники, at night/at noon/at the weekend</t>
        </is>
      </c>
      <c r="F500" s="4" t="inlineStr">
        <is>
          <t>обе</t>
        </is>
      </c>
      <c r="G500" s="7" t="inlineStr">
        <is>
          <t>М8 · новое</t>
        </is>
      </c>
      <c r="H500" s="4" t="inlineStr"/>
      <c r="I500" s="30" t="inlineStr">
        <is>
          <t>М6 (6a) · расш.</t>
        </is>
      </c>
      <c r="J500" s="9" t="inlineStr">
        <is>
          <t>М2 (2a) · повт.</t>
        </is>
      </c>
      <c r="K500" s="4" t="inlineStr"/>
      <c r="L500" s="4" t="inlineStr"/>
      <c r="M500" s="4" t="inlineStr"/>
      <c r="N500" s="4" t="inlineStr"/>
      <c r="O500" s="4" t="inlineStr"/>
      <c r="P500" s="10" t="inlineStr">
        <is>
          <t>видео</t>
        </is>
      </c>
      <c r="Q500" s="4" t="inlineStr">
        <is>
          <t>At the weekend+ prepositions of time</t>
        </is>
      </c>
      <c r="R500" s="10" t="inlineStr">
        <is>
          <t>нет</t>
        </is>
      </c>
      <c r="S500" s="4" t="inlineStr"/>
      <c r="T500" s="4" t="inlineStr"/>
    </row>
    <row r="501">
      <c r="A501" s="11" t="n">
        <v>500</v>
      </c>
      <c r="B501" s="11" t="inlineStr">
        <is>
          <t>Грамматика</t>
        </is>
      </c>
      <c r="C501" s="11" t="inlineStr">
        <is>
          <t>Предлоги</t>
        </is>
      </c>
      <c r="D501" s="12" t="inlineStr">
        <is>
          <t>Prepositions of time</t>
        </is>
      </c>
      <c r="E501" s="13" t="inlineStr">
        <is>
          <t>Prepositions of time: on — дни недели и праздничные дни</t>
        </is>
      </c>
      <c r="F501" s="11" t="inlineStr">
        <is>
          <t>обе</t>
        </is>
      </c>
      <c r="G501" s="14" t="inlineStr">
        <is>
          <t>М8 · новое</t>
        </is>
      </c>
      <c r="H501" s="11" t="inlineStr"/>
      <c r="I501" s="16" t="inlineStr">
        <is>
          <t>М6 (6a) · повт.</t>
        </is>
      </c>
      <c r="J501" s="16" t="inlineStr">
        <is>
          <t>М2 (2a) · повт.</t>
        </is>
      </c>
      <c r="K501" s="11" t="inlineStr"/>
      <c r="L501" s="11" t="inlineStr"/>
      <c r="M501" s="11" t="inlineStr"/>
      <c r="N501" s="11" t="inlineStr"/>
      <c r="O501" s="11" t="inlineStr"/>
      <c r="P501" s="17" t="inlineStr">
        <is>
          <t>видео</t>
        </is>
      </c>
      <c r="Q501" s="11" t="inlineStr">
        <is>
          <t>At the weekend+ prepositions of time</t>
        </is>
      </c>
      <c r="R501" s="17" t="inlineStr">
        <is>
          <t>нет</t>
        </is>
      </c>
      <c r="S501" s="11" t="inlineStr"/>
      <c r="T501" s="11" t="inlineStr"/>
    </row>
    <row r="502">
      <c r="A502" s="11" t="n">
        <v>501</v>
      </c>
      <c r="B502" s="11" t="inlineStr">
        <is>
          <t>Грамматика</t>
        </is>
      </c>
      <c r="C502" s="11" t="inlineStr">
        <is>
          <t>Предлоги</t>
        </is>
      </c>
      <c r="D502" s="12" t="inlineStr">
        <is>
          <t>Prepositions of time</t>
        </is>
      </c>
      <c r="E502" s="13" t="inlineStr">
        <is>
          <t>Prepositions of time: on — даты, день недели + часть дня, on a hot day</t>
        </is>
      </c>
      <c r="F502" s="11" t="inlineStr">
        <is>
          <t>10+</t>
        </is>
      </c>
      <c r="G502" s="11" t="inlineStr"/>
      <c r="H502" s="11" t="inlineStr"/>
      <c r="I502" s="23" t="inlineStr">
        <is>
          <t>М6 (6a) · новое</t>
        </is>
      </c>
      <c r="J502" s="16" t="inlineStr">
        <is>
          <t>М2 (2a) · повт.</t>
        </is>
      </c>
      <c r="K502" s="11" t="inlineStr"/>
      <c r="L502" s="11" t="inlineStr"/>
      <c r="M502" s="11" t="inlineStr"/>
      <c r="N502" s="11" t="inlineStr"/>
      <c r="O502" s="11" t="inlineStr"/>
      <c r="P502" s="20" t="inlineStr">
        <is>
          <t>—</t>
        </is>
      </c>
      <c r="Q502" s="21" t="inlineStr"/>
      <c r="R502" s="17" t="inlineStr">
        <is>
          <t>нет</t>
        </is>
      </c>
      <c r="S502" s="11" t="inlineStr"/>
      <c r="T502" s="11" t="inlineStr"/>
    </row>
    <row r="503">
      <c r="A503" s="11" t="n">
        <v>502</v>
      </c>
      <c r="B503" s="11" t="inlineStr">
        <is>
          <t>Грамматика</t>
        </is>
      </c>
      <c r="C503" s="11" t="inlineStr">
        <is>
          <t>Предлоги</t>
        </is>
      </c>
      <c r="D503" s="12" t="inlineStr">
        <is>
          <t>Prepositions of time</t>
        </is>
      </c>
      <c r="E503" s="13" t="inlineStr">
        <is>
          <t>Prepositions of time: in — части суток (in the morning/afternoon/evening)</t>
        </is>
      </c>
      <c r="F503" s="11" t="inlineStr">
        <is>
          <t>обе</t>
        </is>
      </c>
      <c r="G503" s="14" t="inlineStr">
        <is>
          <t>М8 · новое</t>
        </is>
      </c>
      <c r="H503" s="11" t="inlineStr"/>
      <c r="I503" s="16" t="inlineStr">
        <is>
          <t>М6 (6a) · повт.</t>
        </is>
      </c>
      <c r="J503" s="16" t="inlineStr">
        <is>
          <t>М2 (2a) · повт.</t>
        </is>
      </c>
      <c r="K503" s="11" t="inlineStr"/>
      <c r="L503" s="11" t="inlineStr"/>
      <c r="M503" s="11" t="inlineStr"/>
      <c r="N503" s="11" t="inlineStr"/>
      <c r="O503" s="11" t="inlineStr"/>
      <c r="P503" s="17" t="inlineStr">
        <is>
          <t>видео</t>
        </is>
      </c>
      <c r="Q503" s="11" t="inlineStr">
        <is>
          <t>At the weekend+ prepositions of time</t>
        </is>
      </c>
      <c r="R503" s="17" t="inlineStr">
        <is>
          <t>нет</t>
        </is>
      </c>
      <c r="S503" s="11" t="inlineStr"/>
      <c r="T503" s="11" t="inlineStr"/>
    </row>
    <row r="504">
      <c r="A504" s="11" t="n">
        <v>503</v>
      </c>
      <c r="B504" s="11" t="inlineStr">
        <is>
          <t>Грамматика</t>
        </is>
      </c>
      <c r="C504" s="11" t="inlineStr">
        <is>
          <t>Предлоги</t>
        </is>
      </c>
      <c r="D504" s="12" t="inlineStr">
        <is>
          <t>Prepositions of time</t>
        </is>
      </c>
      <c r="E504" s="13" t="inlineStr">
        <is>
          <t>Prepositions of time: in — месяцы, времена года, годы, века</t>
        </is>
      </c>
      <c r="F504" s="11" t="inlineStr">
        <is>
          <t>10+</t>
        </is>
      </c>
      <c r="G504" s="11" t="inlineStr"/>
      <c r="H504" s="11" t="inlineStr"/>
      <c r="I504" s="23" t="inlineStr">
        <is>
          <t>М6 (6a) · новое</t>
        </is>
      </c>
      <c r="J504" s="16" t="inlineStr">
        <is>
          <t>М2 (2a) · повт.</t>
        </is>
      </c>
      <c r="K504" s="11" t="inlineStr"/>
      <c r="L504" s="11" t="inlineStr"/>
      <c r="M504" s="11" t="inlineStr"/>
      <c r="N504" s="11" t="inlineStr"/>
      <c r="O504" s="11" t="inlineStr"/>
      <c r="P504" s="20" t="inlineStr">
        <is>
          <t>—</t>
        </is>
      </c>
      <c r="Q504" s="21" t="inlineStr"/>
      <c r="R504" s="17" t="inlineStr">
        <is>
          <t>нет</t>
        </is>
      </c>
      <c r="S504" s="11" t="inlineStr"/>
      <c r="T504" s="11" t="inlineStr"/>
    </row>
    <row r="505">
      <c r="A505" s="11" t="n">
        <v>504</v>
      </c>
      <c r="B505" s="11" t="inlineStr">
        <is>
          <t>Грамматика</t>
        </is>
      </c>
      <c r="C505" s="11" t="inlineStr">
        <is>
          <t>Предлоги</t>
        </is>
      </c>
      <c r="D505" s="12" t="inlineStr">
        <is>
          <t>Prepositions of time</t>
        </is>
      </c>
      <c r="E505" s="13" t="inlineStr">
        <is>
          <t>Prepositions of time: in = «через» (in an hour, in a week)</t>
        </is>
      </c>
      <c r="F505" s="11" t="inlineStr">
        <is>
          <t>10+</t>
        </is>
      </c>
      <c r="G505" s="11" t="inlineStr"/>
      <c r="H505" s="11" t="inlineStr"/>
      <c r="I505" s="23" t="inlineStr">
        <is>
          <t>М6 (6a) · новое</t>
        </is>
      </c>
      <c r="J505" s="16" t="inlineStr">
        <is>
          <t>М2 (2a) · повт.</t>
        </is>
      </c>
      <c r="K505" s="11" t="inlineStr"/>
      <c r="L505" s="11" t="inlineStr"/>
      <c r="M505" s="11" t="inlineStr"/>
      <c r="N505" s="11" t="inlineStr"/>
      <c r="O505" s="11" t="inlineStr"/>
      <c r="P505" s="20" t="inlineStr">
        <is>
          <t>—</t>
        </is>
      </c>
      <c r="Q505" s="21" t="inlineStr"/>
      <c r="R505" s="17" t="inlineStr">
        <is>
          <t>нет</t>
        </is>
      </c>
      <c r="S505" s="11" t="inlineStr"/>
      <c r="T505" s="11" t="inlineStr"/>
    </row>
    <row r="506">
      <c r="A506" s="4" t="n">
        <v>505</v>
      </c>
      <c r="B506" s="4" t="inlineStr">
        <is>
          <t>Грамматика</t>
        </is>
      </c>
      <c r="C506" s="4" t="inlineStr">
        <is>
          <t>Предлоги</t>
        </is>
      </c>
      <c r="D506" s="5" t="inlineStr">
        <is>
          <t>Like / As</t>
        </is>
      </c>
      <c r="E506" s="24" t="inlineStr">
        <is>
          <t>Like / As: like — сходство; после feel, look, smell, taste, sound</t>
        </is>
      </c>
      <c r="F506" s="4" t="inlineStr">
        <is>
          <t>10+</t>
        </is>
      </c>
      <c r="G506" s="4" t="inlineStr"/>
      <c r="H506" s="4" t="inlineStr"/>
      <c r="I506" s="4" t="inlineStr"/>
      <c r="J506" s="4" t="inlineStr"/>
      <c r="K506" s="4" t="inlineStr"/>
      <c r="L506" s="4" t="inlineStr"/>
      <c r="M506" s="4" t="inlineStr"/>
      <c r="N506" s="27" t="inlineStr">
        <is>
          <t>М3 (3c) · новое</t>
        </is>
      </c>
      <c r="O506" s="4" t="inlineStr"/>
      <c r="P506" s="28" t="inlineStr">
        <is>
          <t>—</t>
        </is>
      </c>
      <c r="Q506" s="29" t="inlineStr"/>
      <c r="R506" s="10" t="inlineStr">
        <is>
          <t>нет</t>
        </is>
      </c>
      <c r="S506" s="4" t="inlineStr"/>
      <c r="T506" s="4" t="inlineStr"/>
    </row>
    <row r="507">
      <c r="A507" s="11" t="n">
        <v>506</v>
      </c>
      <c r="B507" s="11" t="inlineStr">
        <is>
          <t>Грамматика</t>
        </is>
      </c>
      <c r="C507" s="11" t="inlineStr">
        <is>
          <t>Предлоги</t>
        </is>
      </c>
      <c r="D507" s="12" t="inlineStr">
        <is>
          <t>Like / As</t>
        </is>
      </c>
      <c r="E507" s="13" t="inlineStr">
        <is>
          <t>Like / As: as — роль, профессия; после regard, describe, be known; as usual, such as, the same as</t>
        </is>
      </c>
      <c r="F507" s="11" t="inlineStr">
        <is>
          <t>10+</t>
        </is>
      </c>
      <c r="G507" s="11" t="inlineStr"/>
      <c r="H507" s="11" t="inlineStr"/>
      <c r="I507" s="11" t="inlineStr"/>
      <c r="J507" s="11" t="inlineStr"/>
      <c r="K507" s="11" t="inlineStr"/>
      <c r="L507" s="11" t="inlineStr"/>
      <c r="M507" s="11" t="inlineStr"/>
      <c r="N507" s="23" t="inlineStr">
        <is>
          <t>М3 (3c) · новое</t>
        </is>
      </c>
      <c r="O507" s="11" t="inlineStr"/>
      <c r="P507" s="20" t="inlineStr">
        <is>
          <t>—</t>
        </is>
      </c>
      <c r="Q507" s="21" t="inlineStr"/>
      <c r="R507" s="17" t="inlineStr">
        <is>
          <t>нет</t>
        </is>
      </c>
      <c r="S507" s="11" t="inlineStr"/>
      <c r="T507" s="11" t="inlineStr"/>
    </row>
    <row r="508">
      <c r="A508" s="11" t="n">
        <v>507</v>
      </c>
      <c r="B508" s="11" t="inlineStr">
        <is>
          <t>Грамматика</t>
        </is>
      </c>
      <c r="C508" s="11" t="inlineStr">
        <is>
          <t>Предлоги</t>
        </is>
      </c>
      <c r="D508" s="12" t="inlineStr">
        <is>
          <t>Like / As</t>
        </is>
      </c>
      <c r="E508" s="13" t="inlineStr">
        <is>
          <t>Like / As: like vs as — сходство vs реальная роль</t>
        </is>
      </c>
      <c r="F508" s="11" t="inlineStr">
        <is>
          <t>10+</t>
        </is>
      </c>
      <c r="G508" s="11" t="inlineStr"/>
      <c r="H508" s="11" t="inlineStr"/>
      <c r="I508" s="11" t="inlineStr"/>
      <c r="J508" s="11" t="inlineStr"/>
      <c r="K508" s="11" t="inlineStr"/>
      <c r="L508" s="11" t="inlineStr"/>
      <c r="M508" s="11" t="inlineStr"/>
      <c r="N508" s="23" t="inlineStr">
        <is>
          <t>М3 (3c) · новое</t>
        </is>
      </c>
      <c r="O508" s="11" t="inlineStr"/>
      <c r="P508" s="20" t="inlineStr">
        <is>
          <t>—</t>
        </is>
      </c>
      <c r="Q508" s="21" t="inlineStr"/>
      <c r="R508" s="17" t="inlineStr">
        <is>
          <t>нет</t>
        </is>
      </c>
      <c r="S508" s="11" t="inlineStr"/>
      <c r="T508" s="11" t="inlineStr"/>
    </row>
    <row r="509">
      <c r="A509" s="4" t="n">
        <v>508</v>
      </c>
      <c r="B509" s="4" t="inlineStr">
        <is>
          <t>Грамматика</t>
        </is>
      </c>
      <c r="C509" s="4" t="inlineStr">
        <is>
          <t>Предложение и вопросы</t>
        </is>
      </c>
      <c r="D509" s="5" t="inlineStr">
        <is>
          <t>Question words</t>
        </is>
      </c>
      <c r="E509" s="6" t="inlineStr">
        <is>
          <t>Question words: Whose? — чья вещь</t>
        </is>
      </c>
      <c r="F509" s="4" t="inlineStr">
        <is>
          <t>7–9</t>
        </is>
      </c>
      <c r="G509" s="7" t="inlineStr">
        <is>
          <t>М4 · новое</t>
        </is>
      </c>
      <c r="H509" s="4" t="inlineStr"/>
      <c r="I509" s="4" t="inlineStr"/>
      <c r="J509" s="4" t="inlineStr"/>
      <c r="K509" s="4" t="inlineStr"/>
      <c r="L509" s="4" t="inlineStr"/>
      <c r="M509" s="4" t="inlineStr"/>
      <c r="N509" s="4" t="inlineStr"/>
      <c r="O509" s="4" t="inlineStr"/>
      <c r="P509" s="10" t="inlineStr">
        <is>
          <t>видео</t>
        </is>
      </c>
      <c r="Q509" s="4" t="inlineStr">
        <is>
          <t>Possessive case ('s) + Whose is this + toys</t>
        </is>
      </c>
      <c r="R509" s="28" t="inlineStr">
        <is>
          <t>—</t>
        </is>
      </c>
      <c r="S509" s="29" t="inlineStr"/>
      <c r="T509" s="4" t="inlineStr"/>
    </row>
    <row r="510">
      <c r="A510" s="11" t="n">
        <v>509</v>
      </c>
      <c r="B510" s="11" t="inlineStr">
        <is>
          <t>Грамматика</t>
        </is>
      </c>
      <c r="C510" s="11" t="inlineStr">
        <is>
          <t>Предложение и вопросы</t>
        </is>
      </c>
      <c r="D510" s="12" t="inlineStr">
        <is>
          <t>Question words</t>
        </is>
      </c>
      <c r="E510" s="22" t="inlineStr">
        <is>
          <t>Question words: How much? / How many?</t>
        </is>
      </c>
      <c r="F510" s="11" t="inlineStr">
        <is>
          <t>7–9</t>
        </is>
      </c>
      <c r="G510" s="11" t="inlineStr"/>
      <c r="H510" s="14" t="inlineStr">
        <is>
          <t>М3 · новое</t>
        </is>
      </c>
      <c r="I510" s="11" t="inlineStr"/>
      <c r="J510" s="11" t="inlineStr"/>
      <c r="K510" s="11" t="inlineStr"/>
      <c r="L510" s="11" t="inlineStr"/>
      <c r="M510" s="11" t="inlineStr"/>
      <c r="N510" s="11" t="inlineStr"/>
      <c r="O510" s="11" t="inlineStr"/>
      <c r="P510" s="17" t="inlineStr">
        <is>
          <t>видео</t>
        </is>
      </c>
      <c r="Q510" s="11" t="inlineStr">
        <is>
          <t>How much many a lot of not much not many</t>
        </is>
      </c>
      <c r="R510" s="20" t="inlineStr">
        <is>
          <t>—</t>
        </is>
      </c>
      <c r="S510" s="21" t="inlineStr"/>
      <c r="T510" s="11" t="inlineStr"/>
    </row>
    <row r="511">
      <c r="A511" s="11" t="n">
        <v>510</v>
      </c>
      <c r="B511" s="11" t="inlineStr">
        <is>
          <t>Грамматика</t>
        </is>
      </c>
      <c r="C511" s="11" t="inlineStr">
        <is>
          <t>Предложение и вопросы</t>
        </is>
      </c>
      <c r="D511" s="12" t="inlineStr">
        <is>
          <t>Question words</t>
        </is>
      </c>
      <c r="E511" s="22" t="inlineStr">
        <is>
          <t>Question words: who / what / where / when / why / how</t>
        </is>
      </c>
      <c r="F511" s="11" t="inlineStr">
        <is>
          <t>7–9</t>
        </is>
      </c>
      <c r="G511" s="11" t="inlineStr"/>
      <c r="H511" s="14" t="inlineStr">
        <is>
          <t>М8 · новое</t>
        </is>
      </c>
      <c r="I511" s="11" t="inlineStr"/>
      <c r="J511" s="11" t="inlineStr"/>
      <c r="K511" s="11" t="inlineStr"/>
      <c r="L511" s="11" t="inlineStr"/>
      <c r="M511" s="11" t="inlineStr"/>
      <c r="N511" s="11" t="inlineStr"/>
      <c r="O511" s="11" t="inlineStr"/>
      <c r="P511" s="17" t="inlineStr">
        <is>
          <t>видео</t>
        </is>
      </c>
      <c r="Q511" s="11" t="inlineStr">
        <is>
          <t>Travelling+questions words</t>
        </is>
      </c>
      <c r="R511" s="20" t="inlineStr">
        <is>
          <t>—</t>
        </is>
      </c>
      <c r="S511" s="21" t="inlineStr"/>
      <c r="T511" s="11" t="inlineStr"/>
    </row>
    <row r="512">
      <c r="A512" s="4" t="n">
        <v>511</v>
      </c>
      <c r="B512" s="4" t="inlineStr">
        <is>
          <t>Грамматика</t>
        </is>
      </c>
      <c r="C512" s="4" t="inlineStr">
        <is>
          <t>Предложение и вопросы</t>
        </is>
      </c>
      <c r="D512" s="5" t="inlineStr">
        <is>
          <t>There is / There are</t>
        </is>
      </c>
      <c r="E512" s="24" t="inlineStr">
        <is>
          <t>There is / There are: there is — утверждение (ед. ч.)</t>
        </is>
      </c>
      <c r="F512" s="4" t="inlineStr">
        <is>
          <t>обе</t>
        </is>
      </c>
      <c r="G512" s="7" t="inlineStr">
        <is>
          <t>М6 · новое</t>
        </is>
      </c>
      <c r="H512" s="4" t="inlineStr"/>
      <c r="I512" s="9" t="inlineStr">
        <is>
          <t>М3 (3b) · повт.</t>
        </is>
      </c>
      <c r="J512" s="4" t="inlineStr"/>
      <c r="K512" s="4" t="inlineStr"/>
      <c r="L512" s="4" t="inlineStr"/>
      <c r="M512" s="4" t="inlineStr"/>
      <c r="N512" s="4" t="inlineStr"/>
      <c r="O512" s="4" t="inlineStr"/>
      <c r="P512" s="10" t="inlineStr">
        <is>
          <t>видео</t>
        </is>
      </c>
      <c r="Q512" s="4" t="inlineStr">
        <is>
          <t>There is are furniture</t>
        </is>
      </c>
      <c r="R512" s="10" t="inlineStr">
        <is>
          <t>нет</t>
        </is>
      </c>
      <c r="S512" s="4" t="inlineStr"/>
      <c r="T512" s="4" t="inlineStr"/>
    </row>
    <row r="513">
      <c r="A513" s="11" t="n">
        <v>512</v>
      </c>
      <c r="B513" s="11" t="inlineStr">
        <is>
          <t>Грамматика</t>
        </is>
      </c>
      <c r="C513" s="11" t="inlineStr">
        <is>
          <t>Предложение и вопросы</t>
        </is>
      </c>
      <c r="D513" s="12" t="inlineStr">
        <is>
          <t>There is / There are</t>
        </is>
      </c>
      <c r="E513" s="13" t="inlineStr">
        <is>
          <t>There is / There are: there are — утверждение (мн. ч.)</t>
        </is>
      </c>
      <c r="F513" s="11" t="inlineStr">
        <is>
          <t>обе</t>
        </is>
      </c>
      <c r="G513" s="14" t="inlineStr">
        <is>
          <t>М6 · новое</t>
        </is>
      </c>
      <c r="H513" s="11" t="inlineStr"/>
      <c r="I513" s="16" t="inlineStr">
        <is>
          <t>М3 (3b) · повт.</t>
        </is>
      </c>
      <c r="J513" s="11" t="inlineStr"/>
      <c r="K513" s="11" t="inlineStr"/>
      <c r="L513" s="11" t="inlineStr"/>
      <c r="M513" s="11" t="inlineStr"/>
      <c r="N513" s="11" t="inlineStr"/>
      <c r="O513" s="11" t="inlineStr"/>
      <c r="P513" s="17" t="inlineStr">
        <is>
          <t>видео</t>
        </is>
      </c>
      <c r="Q513" s="11" t="inlineStr">
        <is>
          <t>There is are furniture</t>
        </is>
      </c>
      <c r="R513" s="17" t="inlineStr">
        <is>
          <t>нет</t>
        </is>
      </c>
      <c r="S513" s="11" t="inlineStr"/>
      <c r="T513" s="11" t="inlineStr"/>
    </row>
    <row r="514">
      <c r="A514" s="11" t="n">
        <v>513</v>
      </c>
      <c r="B514" s="11" t="inlineStr">
        <is>
          <t>Грамматика</t>
        </is>
      </c>
      <c r="C514" s="11" t="inlineStr">
        <is>
          <t>Предложение и вопросы</t>
        </is>
      </c>
      <c r="D514" s="12" t="inlineStr">
        <is>
          <t>There is / There are</t>
        </is>
      </c>
      <c r="E514" s="13" t="inlineStr">
        <is>
          <t>There is / There are: отрицание — there isn't / there aren't</t>
        </is>
      </c>
      <c r="F514" s="11" t="inlineStr">
        <is>
          <t>обе</t>
        </is>
      </c>
      <c r="G514" s="14" t="inlineStr">
        <is>
          <t>М6 · новое</t>
        </is>
      </c>
      <c r="H514" s="11" t="inlineStr"/>
      <c r="I514" s="16" t="inlineStr">
        <is>
          <t>М3 (3b) · повт.</t>
        </is>
      </c>
      <c r="J514" s="11" t="inlineStr"/>
      <c r="K514" s="11" t="inlineStr"/>
      <c r="L514" s="11" t="inlineStr"/>
      <c r="M514" s="11" t="inlineStr"/>
      <c r="N514" s="11" t="inlineStr"/>
      <c r="O514" s="11" t="inlineStr"/>
      <c r="P514" s="17" t="inlineStr">
        <is>
          <t>видео</t>
        </is>
      </c>
      <c r="Q514" s="11" t="inlineStr">
        <is>
          <t>There is are furniture</t>
        </is>
      </c>
      <c r="R514" s="17" t="inlineStr">
        <is>
          <t>нет</t>
        </is>
      </c>
      <c r="S514" s="11" t="inlineStr"/>
      <c r="T514" s="11" t="inlineStr"/>
    </row>
    <row r="515">
      <c r="A515" s="11" t="n">
        <v>514</v>
      </c>
      <c r="B515" s="11" t="inlineStr">
        <is>
          <t>Грамматика</t>
        </is>
      </c>
      <c r="C515" s="11" t="inlineStr">
        <is>
          <t>Предложение и вопросы</t>
        </is>
      </c>
      <c r="D515" s="12" t="inlineStr">
        <is>
          <t>There is / There are</t>
        </is>
      </c>
      <c r="E515" s="13" t="inlineStr">
        <is>
          <t>There is / There are: вопросы — Is there…? / Are there…?</t>
        </is>
      </c>
      <c r="F515" s="11" t="inlineStr">
        <is>
          <t>обе</t>
        </is>
      </c>
      <c r="G515" s="14" t="inlineStr">
        <is>
          <t>М6 · новое</t>
        </is>
      </c>
      <c r="H515" s="11" t="inlineStr"/>
      <c r="I515" s="16" t="inlineStr">
        <is>
          <t>М3 (3b) · повт.</t>
        </is>
      </c>
      <c r="J515" s="11" t="inlineStr"/>
      <c r="K515" s="11" t="inlineStr"/>
      <c r="L515" s="11" t="inlineStr"/>
      <c r="M515" s="11" t="inlineStr"/>
      <c r="N515" s="11" t="inlineStr"/>
      <c r="O515" s="11" t="inlineStr"/>
      <c r="P515" s="17" t="inlineStr">
        <is>
          <t>нет</t>
        </is>
      </c>
      <c r="Q515" s="11" t="inlineStr"/>
      <c r="R515" s="17" t="inlineStr">
        <is>
          <t>нет</t>
        </is>
      </c>
      <c r="S515" s="11" t="inlineStr"/>
      <c r="T515" s="11" t="inlineStr"/>
    </row>
    <row r="516">
      <c r="A516" s="11" t="n">
        <v>515</v>
      </c>
      <c r="B516" s="11" t="inlineStr">
        <is>
          <t>Грамматика</t>
        </is>
      </c>
      <c r="C516" s="11" t="inlineStr">
        <is>
          <t>Предложение и вопросы</t>
        </is>
      </c>
      <c r="D516" s="12" t="inlineStr">
        <is>
          <t>There is / There are</t>
        </is>
      </c>
      <c r="E516" s="13" t="inlineStr">
        <is>
          <t>There is / There are: some / any в конструкции</t>
        </is>
      </c>
      <c r="F516" s="11" t="inlineStr">
        <is>
          <t>10+</t>
        </is>
      </c>
      <c r="G516" s="11" t="inlineStr"/>
      <c r="H516" s="11" t="inlineStr"/>
      <c r="I516" s="23" t="inlineStr">
        <is>
          <t>М3 (3b) · новое</t>
        </is>
      </c>
      <c r="J516" s="11" t="inlineStr"/>
      <c r="K516" s="11" t="inlineStr"/>
      <c r="L516" s="11" t="inlineStr"/>
      <c r="M516" s="11" t="inlineStr"/>
      <c r="N516" s="11" t="inlineStr"/>
      <c r="O516" s="11" t="inlineStr"/>
      <c r="P516" s="20" t="inlineStr">
        <is>
          <t>—</t>
        </is>
      </c>
      <c r="Q516" s="21" t="inlineStr"/>
      <c r="R516" s="17" t="inlineStr">
        <is>
          <t>нет</t>
        </is>
      </c>
      <c r="S516" s="11" t="inlineStr"/>
      <c r="T516" s="11" t="inlineStr"/>
    </row>
    <row r="517">
      <c r="A517" s="4" t="n">
        <v>516</v>
      </c>
      <c r="B517" s="4" t="inlineStr">
        <is>
          <t>Грамматика</t>
        </is>
      </c>
      <c r="C517" s="4" t="inlineStr">
        <is>
          <t>Предложение и вопросы</t>
        </is>
      </c>
      <c r="D517" s="5" t="inlineStr">
        <is>
          <t>Alternative questions</t>
        </is>
      </c>
      <c r="E517" s="6" t="inlineStr">
        <is>
          <t>Alternative questions: образование (общий вопрос + or) — be, have got</t>
        </is>
      </c>
      <c r="F517" s="4" t="inlineStr">
        <is>
          <t>10+</t>
        </is>
      </c>
      <c r="G517" s="4" t="inlineStr"/>
      <c r="H517" s="4" t="inlineStr"/>
      <c r="I517" s="27" t="inlineStr">
        <is>
          <t>М1 (1b) · новое</t>
        </is>
      </c>
      <c r="J517" s="4" t="inlineStr"/>
      <c r="K517" s="4" t="inlineStr"/>
      <c r="L517" s="4" t="inlineStr"/>
      <c r="M517" s="4" t="inlineStr"/>
      <c r="N517" s="4" t="inlineStr"/>
      <c r="O517" s="4" t="inlineStr"/>
      <c r="P517" s="28" t="inlineStr">
        <is>
          <t>—</t>
        </is>
      </c>
      <c r="Q517" s="29" t="inlineStr"/>
      <c r="R517" s="10" t="inlineStr">
        <is>
          <t>видео</t>
        </is>
      </c>
      <c r="S517" s="4" t="inlineStr">
        <is>
          <t>Alternative questions + introducing yourself
Alternative questions+Introducing yourself</t>
        </is>
      </c>
      <c r="T517" s="4" t="inlineStr"/>
    </row>
    <row r="518">
      <c r="A518" s="11" t="n">
        <v>517</v>
      </c>
      <c r="B518" s="11" t="inlineStr">
        <is>
          <t>Грамматика</t>
        </is>
      </c>
      <c r="C518" s="11" t="inlineStr">
        <is>
          <t>Предложение и вопросы</t>
        </is>
      </c>
      <c r="D518" s="12" t="inlineStr">
        <is>
          <t>Alternative questions</t>
        </is>
      </c>
      <c r="E518" s="22" t="inlineStr">
        <is>
          <t>Alternative questions: в Present Simple (do/does … or …)</t>
        </is>
      </c>
      <c r="F518" s="11" t="inlineStr">
        <is>
          <t>10+</t>
        </is>
      </c>
      <c r="G518" s="11" t="inlineStr"/>
      <c r="H518" s="11" t="inlineStr"/>
      <c r="I518" s="23" t="inlineStr">
        <is>
          <t>М1 (1b) · новое
М5 (5b) · повт.</t>
        </is>
      </c>
      <c r="J518" s="11" t="inlineStr"/>
      <c r="K518" s="11" t="inlineStr"/>
      <c r="L518" s="11" t="inlineStr"/>
      <c r="M518" s="11" t="inlineStr"/>
      <c r="N518" s="11" t="inlineStr"/>
      <c r="O518" s="11" t="inlineStr"/>
      <c r="P518" s="20" t="inlineStr">
        <is>
          <t>—</t>
        </is>
      </c>
      <c r="Q518" s="21" t="inlineStr"/>
      <c r="R518" s="17" t="inlineStr">
        <is>
          <t>видео</t>
        </is>
      </c>
      <c r="S518" s="11" t="inlineStr">
        <is>
          <t>Alternative questions + introducing yourself
Alternative questions+Introducing yourself</t>
        </is>
      </c>
      <c r="T518" s="11" t="inlineStr"/>
    </row>
    <row r="519">
      <c r="A519" s="4" t="n">
        <v>518</v>
      </c>
      <c r="B519" s="4" t="inlineStr">
        <is>
          <t>Грамматика</t>
        </is>
      </c>
      <c r="C519" s="4" t="inlineStr">
        <is>
          <t>Предложение и вопросы</t>
        </is>
      </c>
      <c r="D519" s="5" t="inlineStr">
        <is>
          <t>Imperative</t>
        </is>
      </c>
      <c r="E519" s="6" t="inlineStr">
        <is>
          <t>Imperative: утверждение — инфинитив без to</t>
        </is>
      </c>
      <c r="F519" s="4" t="inlineStr">
        <is>
          <t>10+</t>
        </is>
      </c>
      <c r="G519" s="4" t="inlineStr"/>
      <c r="H519" s="4" t="inlineStr"/>
      <c r="I519" s="27" t="inlineStr">
        <is>
          <t>М1 (1a) · новое
М4 (4b) · расш.</t>
        </is>
      </c>
      <c r="J519" s="9" t="inlineStr">
        <is>
          <t>М3 (3a) · повт.</t>
        </is>
      </c>
      <c r="K519" s="4" t="inlineStr"/>
      <c r="L519" s="4" t="inlineStr"/>
      <c r="M519" s="4" t="inlineStr"/>
      <c r="N519" s="4" t="inlineStr"/>
      <c r="O519" s="4" t="inlineStr"/>
      <c r="P519" s="28" t="inlineStr">
        <is>
          <t>—</t>
        </is>
      </c>
      <c r="Q519" s="29" t="inlineStr"/>
      <c r="R519" s="10" t="inlineStr">
        <is>
          <t>видео</t>
        </is>
      </c>
      <c r="S519" s="4" t="inlineStr">
        <is>
          <t>Road safety + imperatives</t>
        </is>
      </c>
      <c r="T519" s="4" t="inlineStr"/>
    </row>
    <row r="520">
      <c r="A520" s="11" t="n">
        <v>519</v>
      </c>
      <c r="B520" s="11" t="inlineStr">
        <is>
          <t>Грамматика</t>
        </is>
      </c>
      <c r="C520" s="11" t="inlineStr">
        <is>
          <t>Предложение и вопросы</t>
        </is>
      </c>
      <c r="D520" s="12" t="inlineStr">
        <is>
          <t>Imperative</t>
        </is>
      </c>
      <c r="E520" s="22" t="inlineStr">
        <is>
          <t>Imperative: отрицание — Don't + инфинитив</t>
        </is>
      </c>
      <c r="F520" s="11" t="inlineStr">
        <is>
          <t>10+</t>
        </is>
      </c>
      <c r="G520" s="11" t="inlineStr"/>
      <c r="H520" s="11" t="inlineStr"/>
      <c r="I520" s="23" t="inlineStr">
        <is>
          <t>М1 (1a) · новое
М4 (4b) · повт.</t>
        </is>
      </c>
      <c r="J520" s="16" t="inlineStr">
        <is>
          <t>М3 (3a) · повт.</t>
        </is>
      </c>
      <c r="K520" s="11" t="inlineStr"/>
      <c r="L520" s="11" t="inlineStr"/>
      <c r="M520" s="11" t="inlineStr"/>
      <c r="N520" s="11" t="inlineStr"/>
      <c r="O520" s="11" t="inlineStr"/>
      <c r="P520" s="20" t="inlineStr">
        <is>
          <t>—</t>
        </is>
      </c>
      <c r="Q520" s="21" t="inlineStr"/>
      <c r="R520" s="17" t="inlineStr">
        <is>
          <t>видео</t>
        </is>
      </c>
      <c r="S520" s="11" t="inlineStr">
        <is>
          <t>Road safety + imperatives</t>
        </is>
      </c>
      <c r="T520" s="11" t="inlineStr"/>
    </row>
    <row r="521">
      <c r="A521" s="11" t="n">
        <v>520</v>
      </c>
      <c r="B521" s="11" t="inlineStr">
        <is>
          <t>Грамматика</t>
        </is>
      </c>
      <c r="C521" s="11" t="inlineStr">
        <is>
          <t>Предложение и вопросы</t>
        </is>
      </c>
      <c r="D521" s="12" t="inlineStr">
        <is>
          <t>Imperative</t>
        </is>
      </c>
      <c r="E521" s="22" t="inlineStr">
        <is>
          <t>Imperative: значение — приказание</t>
        </is>
      </c>
      <c r="F521" s="11" t="inlineStr">
        <is>
          <t>10+</t>
        </is>
      </c>
      <c r="G521" s="11" t="inlineStr"/>
      <c r="H521" s="11" t="inlineStr"/>
      <c r="I521" s="23" t="inlineStr">
        <is>
          <t>М4 (4b) · новое</t>
        </is>
      </c>
      <c r="J521" s="16" t="inlineStr">
        <is>
          <t>М3 (3a) · повт.</t>
        </is>
      </c>
      <c r="K521" s="11" t="inlineStr"/>
      <c r="L521" s="11" t="inlineStr"/>
      <c r="M521" s="11" t="inlineStr"/>
      <c r="N521" s="11" t="inlineStr"/>
      <c r="O521" s="11" t="inlineStr"/>
      <c r="P521" s="20" t="inlineStr">
        <is>
          <t>—</t>
        </is>
      </c>
      <c r="Q521" s="21" t="inlineStr"/>
      <c r="R521" s="17" t="inlineStr">
        <is>
          <t>видео</t>
        </is>
      </c>
      <c r="S521" s="11" t="inlineStr">
        <is>
          <t>Road safety + imperatives</t>
        </is>
      </c>
      <c r="T521" s="11" t="inlineStr"/>
    </row>
    <row r="522">
      <c r="A522" s="11" t="n">
        <v>521</v>
      </c>
      <c r="B522" s="11" t="inlineStr">
        <is>
          <t>Грамматика</t>
        </is>
      </c>
      <c r="C522" s="11" t="inlineStr">
        <is>
          <t>Предложение и вопросы</t>
        </is>
      </c>
      <c r="D522" s="12" t="inlineStr">
        <is>
          <t>Imperative</t>
        </is>
      </c>
      <c r="E522" s="13" t="inlineStr">
        <is>
          <t>Imperative: значение — инструкция, указание</t>
        </is>
      </c>
      <c r="F522" s="11" t="inlineStr">
        <is>
          <t>10+</t>
        </is>
      </c>
      <c r="G522" s="11" t="inlineStr"/>
      <c r="H522" s="11" t="inlineStr"/>
      <c r="I522" s="23" t="inlineStr">
        <is>
          <t>М4 (4b) · новое</t>
        </is>
      </c>
      <c r="J522" s="16" t="inlineStr">
        <is>
          <t>М3 (3a) · повт.</t>
        </is>
      </c>
      <c r="K522" s="11" t="inlineStr"/>
      <c r="L522" s="11" t="inlineStr"/>
      <c r="M522" s="11" t="inlineStr"/>
      <c r="N522" s="11" t="inlineStr"/>
      <c r="O522" s="11" t="inlineStr"/>
      <c r="P522" s="20" t="inlineStr">
        <is>
          <t>—</t>
        </is>
      </c>
      <c r="Q522" s="21" t="inlineStr"/>
      <c r="R522" s="17" t="inlineStr">
        <is>
          <t>нет</t>
        </is>
      </c>
      <c r="S522" s="11" t="inlineStr"/>
      <c r="T522" s="11" t="inlineStr"/>
    </row>
    <row r="523">
      <c r="A523" s="11" t="n">
        <v>522</v>
      </c>
      <c r="B523" s="11" t="inlineStr">
        <is>
          <t>Грамматика</t>
        </is>
      </c>
      <c r="C523" s="11" t="inlineStr">
        <is>
          <t>Предложение и вопросы</t>
        </is>
      </c>
      <c r="D523" s="12" t="inlineStr">
        <is>
          <t>Imperative</t>
        </is>
      </c>
      <c r="E523" s="13" t="inlineStr">
        <is>
          <t>Imperative: значение — предложение (Have some cake)</t>
        </is>
      </c>
      <c r="F523" s="11" t="inlineStr">
        <is>
          <t>10+</t>
        </is>
      </c>
      <c r="G523" s="11" t="inlineStr"/>
      <c r="H523" s="11" t="inlineStr"/>
      <c r="I523" s="23" t="inlineStr">
        <is>
          <t>М4 (4b) · новое</t>
        </is>
      </c>
      <c r="J523" s="16" t="inlineStr">
        <is>
          <t>М3 (3a) · повт.</t>
        </is>
      </c>
      <c r="K523" s="11" t="inlineStr"/>
      <c r="L523" s="11" t="inlineStr"/>
      <c r="M523" s="11" t="inlineStr"/>
      <c r="N523" s="11" t="inlineStr"/>
      <c r="O523" s="11" t="inlineStr"/>
      <c r="P523" s="20" t="inlineStr">
        <is>
          <t>—</t>
        </is>
      </c>
      <c r="Q523" s="21" t="inlineStr"/>
      <c r="R523" s="17" t="inlineStr">
        <is>
          <t>нет</t>
        </is>
      </c>
      <c r="S523" s="11" t="inlineStr"/>
      <c r="T523" s="11" t="inlineStr"/>
    </row>
    <row r="524">
      <c r="A524" s="11" t="n">
        <v>523</v>
      </c>
      <c r="B524" s="11" t="inlineStr">
        <is>
          <t>Грамматика</t>
        </is>
      </c>
      <c r="C524" s="11" t="inlineStr">
        <is>
          <t>Предложение и вопросы</t>
        </is>
      </c>
      <c r="D524" s="12" t="inlineStr">
        <is>
          <t>Imperative</t>
        </is>
      </c>
      <c r="E524" s="13" t="inlineStr">
        <is>
          <t>Imperative: значение — просьба, вежливость с please</t>
        </is>
      </c>
      <c r="F524" s="11" t="inlineStr">
        <is>
          <t>10+</t>
        </is>
      </c>
      <c r="G524" s="11" t="inlineStr"/>
      <c r="H524" s="11" t="inlineStr"/>
      <c r="I524" s="23" t="inlineStr">
        <is>
          <t>М4 (4b) · новое</t>
        </is>
      </c>
      <c r="J524" s="16" t="inlineStr">
        <is>
          <t>М3 (3a) · повт.</t>
        </is>
      </c>
      <c r="K524" s="11" t="inlineStr"/>
      <c r="L524" s="11" t="inlineStr"/>
      <c r="M524" s="11" t="inlineStr"/>
      <c r="N524" s="11" t="inlineStr"/>
      <c r="O524" s="11" t="inlineStr"/>
      <c r="P524" s="20" t="inlineStr">
        <is>
          <t>—</t>
        </is>
      </c>
      <c r="Q524" s="21" t="inlineStr"/>
      <c r="R524" s="17" t="inlineStr">
        <is>
          <t>нет</t>
        </is>
      </c>
      <c r="S524" s="11" t="inlineStr"/>
      <c r="T524" s="11" t="inlineStr"/>
    </row>
    <row r="525">
      <c r="A525" s="4" t="n">
        <v>524</v>
      </c>
      <c r="B525" s="4" t="inlineStr">
        <is>
          <t>Грамматика</t>
        </is>
      </c>
      <c r="C525" s="4" t="inlineStr">
        <is>
          <t>Предложение и вопросы</t>
        </is>
      </c>
      <c r="D525" s="5" t="inlineStr">
        <is>
          <t>Impersonal it</t>
        </is>
      </c>
      <c r="E525" s="6" t="inlineStr">
        <is>
          <t>Impersonal it: время и расстояние</t>
        </is>
      </c>
      <c r="F525" s="4" t="inlineStr">
        <is>
          <t>10+</t>
        </is>
      </c>
      <c r="G525" s="4" t="inlineStr"/>
      <c r="H525" s="4" t="inlineStr"/>
      <c r="I525" s="27" t="inlineStr">
        <is>
          <t>М7 (7a) · новое</t>
        </is>
      </c>
      <c r="J525" s="4" t="inlineStr"/>
      <c r="K525" s="4" t="inlineStr"/>
      <c r="L525" s="4" t="inlineStr"/>
      <c r="M525" s="4" t="inlineStr"/>
      <c r="N525" s="4" t="inlineStr"/>
      <c r="O525" s="4" t="inlineStr"/>
      <c r="P525" s="28" t="inlineStr">
        <is>
          <t>—</t>
        </is>
      </c>
      <c r="Q525" s="29" t="inlineStr"/>
      <c r="R525" s="10" t="inlineStr">
        <is>
          <t>видео</t>
        </is>
      </c>
      <c r="S525" s="4" t="inlineStr">
        <is>
          <t>It sentences+seasons, months, weather</t>
        </is>
      </c>
      <c r="T525" s="4" t="inlineStr"/>
    </row>
    <row r="526">
      <c r="A526" s="11" t="n">
        <v>525</v>
      </c>
      <c r="B526" s="11" t="inlineStr">
        <is>
          <t>Грамматика</t>
        </is>
      </c>
      <c r="C526" s="11" t="inlineStr">
        <is>
          <t>Предложение и вопросы</t>
        </is>
      </c>
      <c r="D526" s="12" t="inlineStr">
        <is>
          <t>Impersonal it</t>
        </is>
      </c>
      <c r="E526" s="22" t="inlineStr">
        <is>
          <t>Impersonal it: погода и явления природы</t>
        </is>
      </c>
      <c r="F526" s="11" t="inlineStr">
        <is>
          <t>10+</t>
        </is>
      </c>
      <c r="G526" s="11" t="inlineStr"/>
      <c r="H526" s="11" t="inlineStr"/>
      <c r="I526" s="23" t="inlineStr">
        <is>
          <t>М7 (7a) · новое</t>
        </is>
      </c>
      <c r="J526" s="11" t="inlineStr"/>
      <c r="K526" s="11" t="inlineStr"/>
      <c r="L526" s="11" t="inlineStr"/>
      <c r="M526" s="11" t="inlineStr"/>
      <c r="N526" s="11" t="inlineStr"/>
      <c r="O526" s="11" t="inlineStr"/>
      <c r="P526" s="20" t="inlineStr">
        <is>
          <t>—</t>
        </is>
      </c>
      <c r="Q526" s="21" t="inlineStr"/>
      <c r="R526" s="17" t="inlineStr">
        <is>
          <t>видео</t>
        </is>
      </c>
      <c r="S526" s="11" t="inlineStr">
        <is>
          <t>It sentences+seasons, months, weather</t>
        </is>
      </c>
      <c r="T526" s="11" t="inlineStr"/>
    </row>
    <row r="527">
      <c r="A527" s="4" t="n">
        <v>526</v>
      </c>
      <c r="B527" s="4" t="inlineStr">
        <is>
          <t>Грамматика</t>
        </is>
      </c>
      <c r="C527" s="4" t="inlineStr">
        <is>
          <t>Предложение и вопросы</t>
        </is>
      </c>
      <c r="D527" s="5" t="inlineStr">
        <is>
          <t>Question tags</t>
        </is>
      </c>
      <c r="E527" s="6" t="inlineStr">
        <is>
          <t>Question tags: образование — вспомогательный глагол + местоимение (do/does)</t>
        </is>
      </c>
      <c r="F527" s="4" t="inlineStr">
        <is>
          <t>10+</t>
        </is>
      </c>
      <c r="G527" s="4" t="inlineStr"/>
      <c r="H527" s="4" t="inlineStr"/>
      <c r="I527" s="27" t="inlineStr">
        <is>
          <t>М5 (5c) · новое
М7 (7a) · повт.</t>
        </is>
      </c>
      <c r="J527" s="4" t="inlineStr"/>
      <c r="K527" s="9" t="inlineStr">
        <is>
          <t>М8 · повт.</t>
        </is>
      </c>
      <c r="L527" s="4" t="inlineStr"/>
      <c r="M527" s="30" t="inlineStr">
        <is>
          <t>М8 (8d) · расш.</t>
        </is>
      </c>
      <c r="N527" s="4" t="inlineStr"/>
      <c r="O527" s="4" t="inlineStr"/>
      <c r="P527" s="28" t="inlineStr">
        <is>
          <t>—</t>
        </is>
      </c>
      <c r="Q527" s="29" t="inlineStr"/>
      <c r="R527" s="10" t="inlineStr">
        <is>
          <t>видео</t>
        </is>
      </c>
      <c r="S527" s="4" t="inlineStr">
        <is>
          <t>Animals body parts. Tag questions. (по названию)</t>
        </is>
      </c>
      <c r="T527" s="4" t="inlineStr"/>
    </row>
    <row r="528">
      <c r="A528" s="11" t="n">
        <v>527</v>
      </c>
      <c r="B528" s="11" t="inlineStr">
        <is>
          <t>Грамматика</t>
        </is>
      </c>
      <c r="C528" s="11" t="inlineStr">
        <is>
          <t>Предложение и вопросы</t>
        </is>
      </c>
      <c r="D528" s="12" t="inlineStr">
        <is>
          <t>Question tags</t>
        </is>
      </c>
      <c r="E528" s="22" t="inlineStr">
        <is>
          <t>Question tags: с be и модальными глаголами (isn't she, can't she)</t>
        </is>
      </c>
      <c r="F528" s="11" t="inlineStr">
        <is>
          <t>10+</t>
        </is>
      </c>
      <c r="G528" s="11" t="inlineStr"/>
      <c r="H528" s="11" t="inlineStr"/>
      <c r="I528" s="23" t="inlineStr">
        <is>
          <t>М5 (5c) · новое
М7 (7a) · повт.</t>
        </is>
      </c>
      <c r="J528" s="11" t="inlineStr"/>
      <c r="K528" s="16" t="inlineStr">
        <is>
          <t>М8 · повт.</t>
        </is>
      </c>
      <c r="L528" s="11" t="inlineStr"/>
      <c r="M528" s="16" t="inlineStr">
        <is>
          <t>М8 (8d) · повт.</t>
        </is>
      </c>
      <c r="N528" s="11" t="inlineStr"/>
      <c r="O528" s="11" t="inlineStr"/>
      <c r="P528" s="20" t="inlineStr">
        <is>
          <t>—</t>
        </is>
      </c>
      <c r="Q528" s="21" t="inlineStr"/>
      <c r="R528" s="17" t="inlineStr">
        <is>
          <t>видео</t>
        </is>
      </c>
      <c r="S528" s="11" t="inlineStr">
        <is>
          <t>Animals body parts. Tag questions. (по названию)</t>
        </is>
      </c>
      <c r="T528" s="11" t="inlineStr"/>
    </row>
    <row r="529">
      <c r="A529" s="11" t="n">
        <v>528</v>
      </c>
      <c r="B529" s="11" t="inlineStr">
        <is>
          <t>Грамматика</t>
        </is>
      </c>
      <c r="C529" s="11" t="inlineStr">
        <is>
          <t>Предложение и вопросы</t>
        </is>
      </c>
      <c r="D529" s="12" t="inlineStr">
        <is>
          <t>Question tags</t>
        </is>
      </c>
      <c r="E529" s="22" t="inlineStr">
        <is>
          <t>Question tags: утверждение → отрицательный хвост, отрицание → утвердительный</t>
        </is>
      </c>
      <c r="F529" s="11" t="inlineStr">
        <is>
          <t>10+</t>
        </is>
      </c>
      <c r="G529" s="11" t="inlineStr"/>
      <c r="H529" s="11" t="inlineStr"/>
      <c r="I529" s="23" t="inlineStr">
        <is>
          <t>М5 (5c) · новое
М7 (7a) · повт.</t>
        </is>
      </c>
      <c r="J529" s="11" t="inlineStr"/>
      <c r="K529" s="16" t="inlineStr">
        <is>
          <t>М8 · повт.</t>
        </is>
      </c>
      <c r="L529" s="11" t="inlineStr"/>
      <c r="M529" s="16" t="inlineStr">
        <is>
          <t>М8 (8d) · повт.</t>
        </is>
      </c>
      <c r="N529" s="11" t="inlineStr"/>
      <c r="O529" s="11" t="inlineStr"/>
      <c r="P529" s="20" t="inlineStr">
        <is>
          <t>—</t>
        </is>
      </c>
      <c r="Q529" s="21" t="inlineStr"/>
      <c r="R529" s="17" t="inlineStr">
        <is>
          <t>видео</t>
        </is>
      </c>
      <c r="S529" s="11" t="inlineStr">
        <is>
          <t>Animals body parts. Tag questions. (по названию)</t>
        </is>
      </c>
      <c r="T529" s="11" t="inlineStr"/>
    </row>
    <row r="530">
      <c r="A530" s="11" t="n">
        <v>529</v>
      </c>
      <c r="B530" s="11" t="inlineStr">
        <is>
          <t>Грамматика</t>
        </is>
      </c>
      <c r="C530" s="11" t="inlineStr">
        <is>
          <t>Предложение и вопросы</t>
        </is>
      </c>
      <c r="D530" s="12" t="inlineStr">
        <is>
          <t>Question tags</t>
        </is>
      </c>
      <c r="E530" s="18" t="inlineStr">
        <is>
          <t>Question tags: there is → is there?</t>
        </is>
      </c>
      <c r="F530" s="11" t="inlineStr">
        <is>
          <t>10+</t>
        </is>
      </c>
      <c r="G530" s="11" t="inlineStr"/>
      <c r="H530" s="11" t="inlineStr"/>
      <c r="I530" s="23" t="inlineStr">
        <is>
          <t>М5 (5c) · новое</t>
        </is>
      </c>
      <c r="J530" s="11" t="inlineStr"/>
      <c r="K530" s="11" t="inlineStr"/>
      <c r="L530" s="11" t="inlineStr"/>
      <c r="M530" s="11" t="inlineStr"/>
      <c r="N530" s="11" t="inlineStr"/>
      <c r="O530" s="11" t="inlineStr"/>
      <c r="P530" s="20" t="inlineStr">
        <is>
          <t>—</t>
        </is>
      </c>
      <c r="Q530" s="21" t="inlineStr"/>
      <c r="R530" s="17" t="inlineStr">
        <is>
          <t>вебинар</t>
        </is>
      </c>
      <c r="S530" s="11" t="inlineStr">
        <is>
          <t>вебинар 13.11 (по расписанию): Question tags: особые случаи</t>
        </is>
      </c>
      <c r="T530" s="11" t="inlineStr"/>
    </row>
    <row r="531">
      <c r="A531" s="11" t="n">
        <v>530</v>
      </c>
      <c r="B531" s="11" t="inlineStr">
        <is>
          <t>Грамматика</t>
        </is>
      </c>
      <c r="C531" s="11" t="inlineStr">
        <is>
          <t>Предложение и вопросы</t>
        </is>
      </c>
      <c r="D531" s="12" t="inlineStr">
        <is>
          <t>Question tags</t>
        </is>
      </c>
      <c r="E531" s="18" t="inlineStr">
        <is>
          <t>Question tags: never/hardly/seldom/rarely → утвердительный хвост</t>
        </is>
      </c>
      <c r="F531" s="11" t="inlineStr">
        <is>
          <t>10+</t>
        </is>
      </c>
      <c r="G531" s="11" t="inlineStr"/>
      <c r="H531" s="11" t="inlineStr"/>
      <c r="I531" s="11" t="inlineStr"/>
      <c r="J531" s="11" t="inlineStr"/>
      <c r="K531" s="23" t="inlineStr">
        <is>
          <t>М8 · новое</t>
        </is>
      </c>
      <c r="L531" s="11" t="inlineStr"/>
      <c r="M531" s="11" t="inlineStr"/>
      <c r="N531" s="11" t="inlineStr"/>
      <c r="O531" s="11" t="inlineStr"/>
      <c r="P531" s="20" t="inlineStr">
        <is>
          <t>—</t>
        </is>
      </c>
      <c r="Q531" s="21" t="inlineStr"/>
      <c r="R531" s="17" t="inlineStr">
        <is>
          <t>вебинар</t>
        </is>
      </c>
      <c r="S531" s="11" t="inlineStr">
        <is>
          <t>вебинар 13.11 (по расписанию): Question tags: особые случаи</t>
        </is>
      </c>
      <c r="T531" s="11" t="inlineStr"/>
    </row>
    <row r="532">
      <c r="A532" s="11" t="n">
        <v>531</v>
      </c>
      <c r="B532" s="11" t="inlineStr">
        <is>
          <t>Грамматика</t>
        </is>
      </c>
      <c r="C532" s="11" t="inlineStr">
        <is>
          <t>Предложение и вопросы</t>
        </is>
      </c>
      <c r="D532" s="12" t="inlineStr">
        <is>
          <t>Question tags</t>
        </is>
      </c>
      <c r="E532" s="18" t="inlineStr">
        <is>
          <t>Question tags: I am → aren't I?</t>
        </is>
      </c>
      <c r="F532" s="11" t="inlineStr">
        <is>
          <t>10+</t>
        </is>
      </c>
      <c r="G532" s="11" t="inlineStr"/>
      <c r="H532" s="11" t="inlineStr"/>
      <c r="I532" s="11" t="inlineStr"/>
      <c r="J532" s="11" t="inlineStr"/>
      <c r="K532" s="11" t="inlineStr"/>
      <c r="L532" s="11" t="inlineStr"/>
      <c r="M532" s="23" t="inlineStr">
        <is>
          <t>М8 (8d) · новое</t>
        </is>
      </c>
      <c r="N532" s="11" t="inlineStr"/>
      <c r="O532" s="11" t="inlineStr"/>
      <c r="P532" s="20" t="inlineStr">
        <is>
          <t>—</t>
        </is>
      </c>
      <c r="Q532" s="21" t="inlineStr"/>
      <c r="R532" s="17" t="inlineStr">
        <is>
          <t>вебинар</t>
        </is>
      </c>
      <c r="S532" s="11" t="inlineStr">
        <is>
          <t>вебинар 13.11 (по расписанию): Question tags: особые случаи</t>
        </is>
      </c>
      <c r="T532" s="11" t="inlineStr"/>
    </row>
    <row r="533">
      <c r="A533" s="11" t="n">
        <v>532</v>
      </c>
      <c r="B533" s="11" t="inlineStr">
        <is>
          <t>Грамматика</t>
        </is>
      </c>
      <c r="C533" s="11" t="inlineStr">
        <is>
          <t>Предложение и вопросы</t>
        </is>
      </c>
      <c r="D533" s="12" t="inlineStr">
        <is>
          <t>Question tags</t>
        </is>
      </c>
      <c r="E533" s="18" t="inlineStr">
        <is>
          <t>Question tags: Let's → shall we? / Let me → will you?</t>
        </is>
      </c>
      <c r="F533" s="11" t="inlineStr">
        <is>
          <t>10+</t>
        </is>
      </c>
      <c r="G533" s="11" t="inlineStr"/>
      <c r="H533" s="11" t="inlineStr"/>
      <c r="I533" s="11" t="inlineStr"/>
      <c r="J533" s="11" t="inlineStr"/>
      <c r="K533" s="11" t="inlineStr"/>
      <c r="L533" s="11" t="inlineStr"/>
      <c r="M533" s="23" t="inlineStr">
        <is>
          <t>М8 (8d) · новое</t>
        </is>
      </c>
      <c r="N533" s="11" t="inlineStr"/>
      <c r="O533" s="11" t="inlineStr"/>
      <c r="P533" s="20" t="inlineStr">
        <is>
          <t>—</t>
        </is>
      </c>
      <c r="Q533" s="21" t="inlineStr"/>
      <c r="R533" s="17" t="inlineStr">
        <is>
          <t>вебинар</t>
        </is>
      </c>
      <c r="S533" s="11" t="inlineStr">
        <is>
          <t>вебинар 13.11 (по расписанию): Question tags: особые случаи</t>
        </is>
      </c>
      <c r="T533" s="11" t="inlineStr"/>
    </row>
    <row r="534">
      <c r="A534" s="11" t="n">
        <v>533</v>
      </c>
      <c r="B534" s="11" t="inlineStr">
        <is>
          <t>Грамматика</t>
        </is>
      </c>
      <c r="C534" s="11" t="inlineStr">
        <is>
          <t>Предложение и вопросы</t>
        </is>
      </c>
      <c r="D534" s="12" t="inlineStr">
        <is>
          <t>Question tags</t>
        </is>
      </c>
      <c r="E534" s="18" t="inlineStr">
        <is>
          <t>Question tags: повелительное наклонение → will you?</t>
        </is>
      </c>
      <c r="F534" s="11" t="inlineStr">
        <is>
          <t>10+</t>
        </is>
      </c>
      <c r="G534" s="11" t="inlineStr"/>
      <c r="H534" s="11" t="inlineStr"/>
      <c r="I534" s="11" t="inlineStr"/>
      <c r="J534" s="11" t="inlineStr"/>
      <c r="K534" s="11" t="inlineStr"/>
      <c r="L534" s="11" t="inlineStr"/>
      <c r="M534" s="23" t="inlineStr">
        <is>
          <t>М8 (8d) · новое</t>
        </is>
      </c>
      <c r="N534" s="11" t="inlineStr"/>
      <c r="O534" s="11" t="inlineStr"/>
      <c r="P534" s="20" t="inlineStr">
        <is>
          <t>—</t>
        </is>
      </c>
      <c r="Q534" s="21" t="inlineStr"/>
      <c r="R534" s="17" t="inlineStr">
        <is>
          <t>вебинар</t>
        </is>
      </c>
      <c r="S534" s="11" t="inlineStr">
        <is>
          <t>вебинар 13.11 (по расписанию): Question tags: особые случаи</t>
        </is>
      </c>
      <c r="T534" s="11" t="inlineStr"/>
    </row>
    <row r="535">
      <c r="A535" s="11" t="n">
        <v>534</v>
      </c>
      <c r="B535" s="11" t="inlineStr">
        <is>
          <t>Грамматика</t>
        </is>
      </c>
      <c r="C535" s="11" t="inlineStr">
        <is>
          <t>Предложение и вопросы</t>
        </is>
      </c>
      <c r="D535" s="12" t="inlineStr">
        <is>
          <t>Question tags</t>
        </is>
      </c>
      <c r="E535" s="13" t="inlineStr">
        <is>
          <t>Question tags: have (владеть) → haven't I? vs have в идиоме → don't I?</t>
        </is>
      </c>
      <c r="F535" s="11" t="inlineStr">
        <is>
          <t>10+</t>
        </is>
      </c>
      <c r="G535" s="11" t="inlineStr"/>
      <c r="H535" s="11" t="inlineStr"/>
      <c r="I535" s="11" t="inlineStr"/>
      <c r="J535" s="11" t="inlineStr"/>
      <c r="K535" s="11" t="inlineStr"/>
      <c r="L535" s="11" t="inlineStr"/>
      <c r="M535" s="23" t="inlineStr">
        <is>
          <t>М8 (8d) · новое</t>
        </is>
      </c>
      <c r="N535" s="11" t="inlineStr"/>
      <c r="O535" s="11" t="inlineStr"/>
      <c r="P535" s="20" t="inlineStr">
        <is>
          <t>—</t>
        </is>
      </c>
      <c r="Q535" s="21" t="inlineStr"/>
      <c r="R535" s="17" t="inlineStr">
        <is>
          <t>нет</t>
        </is>
      </c>
      <c r="S535" s="11" t="inlineStr"/>
      <c r="T535" s="11" t="inlineStr"/>
    </row>
    <row r="536">
      <c r="A536" s="11" t="n">
        <v>535</v>
      </c>
      <c r="B536" s="11" t="inlineStr">
        <is>
          <t>Грамматика</t>
        </is>
      </c>
      <c r="C536" s="11" t="inlineStr">
        <is>
          <t>Предложение и вопросы</t>
        </is>
      </c>
      <c r="D536" s="12" t="inlineStr">
        <is>
          <t>Question tags</t>
        </is>
      </c>
      <c r="E536" s="13" t="inlineStr">
        <is>
          <t>Question tags: This/That is → isn't it?</t>
        </is>
      </c>
      <c r="F536" s="11" t="inlineStr">
        <is>
          <t>10+</t>
        </is>
      </c>
      <c r="G536" s="11" t="inlineStr"/>
      <c r="H536" s="11" t="inlineStr"/>
      <c r="I536" s="11" t="inlineStr"/>
      <c r="J536" s="11" t="inlineStr"/>
      <c r="K536" s="11" t="inlineStr"/>
      <c r="L536" s="11" t="inlineStr"/>
      <c r="M536" s="23" t="inlineStr">
        <is>
          <t>М8 (8d) · новое</t>
        </is>
      </c>
      <c r="N536" s="11" t="inlineStr"/>
      <c r="O536" s="11" t="inlineStr"/>
      <c r="P536" s="20" t="inlineStr">
        <is>
          <t>—</t>
        </is>
      </c>
      <c r="Q536" s="21" t="inlineStr"/>
      <c r="R536" s="17" t="inlineStr">
        <is>
          <t>нет</t>
        </is>
      </c>
      <c r="S536" s="11" t="inlineStr"/>
      <c r="T536" s="11" t="inlineStr"/>
    </row>
    <row r="537">
      <c r="A537" s="4" t="n">
        <v>536</v>
      </c>
      <c r="B537" s="4" t="inlineStr">
        <is>
          <t>Грамматика</t>
        </is>
      </c>
      <c r="C537" s="4" t="inlineStr">
        <is>
          <t>Предложение и вопросы</t>
        </is>
      </c>
      <c r="D537" s="5" t="inlineStr">
        <is>
          <t>Linkers</t>
        </is>
      </c>
      <c r="E537" s="6" t="inlineStr">
        <is>
          <t>Linkers: слова-связки времени (and, then, after that, when, before, later)</t>
        </is>
      </c>
      <c r="F537" s="4" t="inlineStr">
        <is>
          <t>10+</t>
        </is>
      </c>
      <c r="G537" s="4" t="inlineStr"/>
      <c r="H537" s="4" t="inlineStr"/>
      <c r="I537" s="4" t="inlineStr"/>
      <c r="J537" s="27" t="inlineStr">
        <is>
          <t>М4 (4c) · новое</t>
        </is>
      </c>
      <c r="K537" s="4" t="inlineStr"/>
      <c r="L537" s="4" t="inlineStr"/>
      <c r="M537" s="4" t="inlineStr"/>
      <c r="N537" s="4" t="inlineStr"/>
      <c r="O537" s="4" t="inlineStr"/>
      <c r="P537" s="28" t="inlineStr">
        <is>
          <t>—</t>
        </is>
      </c>
      <c r="Q537" s="29" t="inlineStr"/>
      <c r="R537" s="10" t="inlineStr">
        <is>
          <t>видео</t>
        </is>
      </c>
      <c r="S537" s="4" t="inlineStr">
        <is>
          <t>Linkers— time and seq...nce + your typical day
Weekend fun + linkers (по названию)</t>
        </is>
      </c>
      <c r="T537" s="4" t="inlineStr"/>
    </row>
    <row r="538">
      <c r="A538" s="4" t="n">
        <v>537</v>
      </c>
      <c r="B538" s="4" t="inlineStr">
        <is>
          <t>Грамматика</t>
        </is>
      </c>
      <c r="C538" s="4" t="inlineStr">
        <is>
          <t>Предложение и вопросы</t>
        </is>
      </c>
      <c r="D538" s="5" t="inlineStr">
        <is>
          <t>Relative pronouns / Relative clauses</t>
        </is>
      </c>
      <c r="E538" s="26" t="inlineStr">
        <is>
          <t>Relative clauses: who(m) / which / that — люди и предметы</t>
        </is>
      </c>
      <c r="F538" s="4" t="inlineStr">
        <is>
          <t>10+</t>
        </is>
      </c>
      <c r="G538" s="4" t="inlineStr"/>
      <c r="H538" s="4" t="inlineStr"/>
      <c r="I538" s="4" t="inlineStr"/>
      <c r="J538" s="4" t="inlineStr"/>
      <c r="K538" s="27" t="inlineStr">
        <is>
          <t>М3 · новое</t>
        </is>
      </c>
      <c r="L538" s="4" t="inlineStr"/>
      <c r="M538" s="9" t="inlineStr">
        <is>
          <t>М1 (1d) · повт.</t>
        </is>
      </c>
      <c r="N538" s="9" t="inlineStr">
        <is>
          <t>М8 (8c) · повт.</t>
        </is>
      </c>
      <c r="O538" s="9" t="inlineStr">
        <is>
          <t>М2 (2c) · повт.</t>
        </is>
      </c>
      <c r="P538" s="28" t="inlineStr">
        <is>
          <t>—</t>
        </is>
      </c>
      <c r="Q538" s="29" t="inlineStr"/>
      <c r="R538" s="10" t="inlineStr">
        <is>
          <t>вебинар</t>
        </is>
      </c>
      <c r="S538" s="4" t="inlineStr">
        <is>
          <t>вебинар 16.10 (по расписанию): Relative pronouns and adverbs
материалы: Relative pronouns and adverbs</t>
        </is>
      </c>
      <c r="T538" s="4" t="inlineStr"/>
    </row>
    <row r="539">
      <c r="A539" s="11" t="n">
        <v>538</v>
      </c>
      <c r="B539" s="11" t="inlineStr">
        <is>
          <t>Грамматика</t>
        </is>
      </c>
      <c r="C539" s="11" t="inlineStr">
        <is>
          <t>Предложение и вопросы</t>
        </is>
      </c>
      <c r="D539" s="12" t="inlineStr">
        <is>
          <t>Relative pronouns / Relative clauses</t>
        </is>
      </c>
      <c r="E539" s="18" t="inlineStr">
        <is>
          <t>Relative clauses: whose — принадлежность</t>
        </is>
      </c>
      <c r="F539" s="11" t="inlineStr">
        <is>
          <t>10+</t>
        </is>
      </c>
      <c r="G539" s="11" t="inlineStr"/>
      <c r="H539" s="11" t="inlineStr"/>
      <c r="I539" s="11" t="inlineStr"/>
      <c r="J539" s="11" t="inlineStr"/>
      <c r="K539" s="23" t="inlineStr">
        <is>
          <t>М3 · новое</t>
        </is>
      </c>
      <c r="L539" s="11" t="inlineStr"/>
      <c r="M539" s="16" t="inlineStr">
        <is>
          <t>М1 (1d) · повт.</t>
        </is>
      </c>
      <c r="N539" s="16" t="inlineStr">
        <is>
          <t>М8 (8c) · повт.</t>
        </is>
      </c>
      <c r="O539" s="16" t="inlineStr">
        <is>
          <t>М2 (2c) · повт.</t>
        </is>
      </c>
      <c r="P539" s="20" t="inlineStr">
        <is>
          <t>—</t>
        </is>
      </c>
      <c r="Q539" s="21" t="inlineStr"/>
      <c r="R539" s="17" t="inlineStr">
        <is>
          <t>вебинар</t>
        </is>
      </c>
      <c r="S539" s="11" t="inlineStr">
        <is>
          <t>вебинар 16.10 (по расписанию): Relative pronouns and adverbs
материалы: Relative pronouns and adverbs</t>
        </is>
      </c>
      <c r="T539" s="11" t="inlineStr"/>
    </row>
    <row r="540">
      <c r="A540" s="11" t="n">
        <v>539</v>
      </c>
      <c r="B540" s="11" t="inlineStr">
        <is>
          <t>Грамматика</t>
        </is>
      </c>
      <c r="C540" s="11" t="inlineStr">
        <is>
          <t>Предложение и вопросы</t>
        </is>
      </c>
      <c r="D540" s="12" t="inlineStr">
        <is>
          <t>Relative pronouns / Relative clauses</t>
        </is>
      </c>
      <c r="E540" s="18" t="inlineStr">
        <is>
          <t>Relative clauses: опущение who/which/that (дополнение vs подлежащее)</t>
        </is>
      </c>
      <c r="F540" s="11" t="inlineStr">
        <is>
          <t>10+</t>
        </is>
      </c>
      <c r="G540" s="11" t="inlineStr"/>
      <c r="H540" s="11" t="inlineStr"/>
      <c r="I540" s="11" t="inlineStr"/>
      <c r="J540" s="11" t="inlineStr"/>
      <c r="K540" s="23" t="inlineStr">
        <is>
          <t>М3 · новое</t>
        </is>
      </c>
      <c r="L540" s="11" t="inlineStr"/>
      <c r="M540" s="16" t="inlineStr">
        <is>
          <t>М1 (1d) · повт.</t>
        </is>
      </c>
      <c r="N540" s="16" t="inlineStr">
        <is>
          <t>М8 (8c) · повт.</t>
        </is>
      </c>
      <c r="O540" s="16" t="inlineStr">
        <is>
          <t>М2 (2c) · повт.</t>
        </is>
      </c>
      <c r="P540" s="20" t="inlineStr">
        <is>
          <t>—</t>
        </is>
      </c>
      <c r="Q540" s="21" t="inlineStr"/>
      <c r="R540" s="17" t="inlineStr">
        <is>
          <t>вебинар</t>
        </is>
      </c>
      <c r="S540" s="11" t="inlineStr">
        <is>
          <t>вебинар 16.10 (по расписанию): Relative pronouns and adverbs
материалы: Relative pronouns and adverbs</t>
        </is>
      </c>
      <c r="T540" s="11" t="inlineStr"/>
    </row>
    <row r="541">
      <c r="A541" s="11" t="n">
        <v>540</v>
      </c>
      <c r="B541" s="11" t="inlineStr">
        <is>
          <t>Грамматика</t>
        </is>
      </c>
      <c r="C541" s="11" t="inlineStr">
        <is>
          <t>Предложение и вопросы</t>
        </is>
      </c>
      <c r="D541" s="12" t="inlineStr">
        <is>
          <t>Relative pronouns / Relative clauses</t>
        </is>
      </c>
      <c r="E541" s="18" t="inlineStr">
        <is>
          <t>Relative clauses: относительные наречия when / where / why</t>
        </is>
      </c>
      <c r="F541" s="11" t="inlineStr">
        <is>
          <t>10+</t>
        </is>
      </c>
      <c r="G541" s="11" t="inlineStr"/>
      <c r="H541" s="11" t="inlineStr"/>
      <c r="I541" s="11" t="inlineStr"/>
      <c r="J541" s="11" t="inlineStr"/>
      <c r="K541" s="23" t="inlineStr">
        <is>
          <t>М3 · новое</t>
        </is>
      </c>
      <c r="L541" s="11" t="inlineStr"/>
      <c r="M541" s="16" t="inlineStr">
        <is>
          <t>М1 (1d) · повт.</t>
        </is>
      </c>
      <c r="N541" s="16" t="inlineStr">
        <is>
          <t>М8 (8c) · повт.</t>
        </is>
      </c>
      <c r="O541" s="11" t="inlineStr"/>
      <c r="P541" s="20" t="inlineStr">
        <is>
          <t>—</t>
        </is>
      </c>
      <c r="Q541" s="21" t="inlineStr"/>
      <c r="R541" s="17" t="inlineStr">
        <is>
          <t>вебинар</t>
        </is>
      </c>
      <c r="S541" s="11" t="inlineStr">
        <is>
          <t>вебинар 16.10 (по расписанию): Relative pronouns and adverbs
материалы: Relative pronouns and adverbs</t>
        </is>
      </c>
      <c r="T541" s="11" t="inlineStr"/>
    </row>
    <row r="542">
      <c r="A542" s="11" t="n">
        <v>541</v>
      </c>
      <c r="B542" s="11" t="inlineStr">
        <is>
          <t>Грамматика</t>
        </is>
      </c>
      <c r="C542" s="11" t="inlineStr">
        <is>
          <t>Предложение и вопросы</t>
        </is>
      </c>
      <c r="D542" s="12" t="inlineStr">
        <is>
          <t>Relative pronouns / Relative clauses</t>
        </is>
      </c>
      <c r="E542" s="13" t="inlineStr">
        <is>
          <t>Relative clauses: defining vs non-defining (запятые, без that)</t>
        </is>
      </c>
      <c r="F542" s="11" t="inlineStr">
        <is>
          <t>10+</t>
        </is>
      </c>
      <c r="G542" s="11" t="inlineStr"/>
      <c r="H542" s="11" t="inlineStr"/>
      <c r="I542" s="11" t="inlineStr"/>
      <c r="J542" s="11" t="inlineStr"/>
      <c r="K542" s="11" t="inlineStr"/>
      <c r="L542" s="11" t="inlineStr"/>
      <c r="M542" s="23" t="inlineStr">
        <is>
          <t>М1 (1d) · новое</t>
        </is>
      </c>
      <c r="N542" s="16" t="inlineStr">
        <is>
          <t>М8 (8c) · повт.</t>
        </is>
      </c>
      <c r="O542" s="16" t="inlineStr">
        <is>
          <t>М2 (2c) · повт.</t>
        </is>
      </c>
      <c r="P542" s="20" t="inlineStr">
        <is>
          <t>—</t>
        </is>
      </c>
      <c r="Q542" s="21" t="inlineStr"/>
      <c r="R542" s="17" t="inlineStr">
        <is>
          <t>нет</t>
        </is>
      </c>
      <c r="S542" s="11" t="inlineStr"/>
      <c r="T542" s="11" t="inlineStr"/>
    </row>
    <row r="543">
      <c r="A543" s="11" t="n">
        <v>542</v>
      </c>
      <c r="B543" s="11" t="inlineStr">
        <is>
          <t>Грамматика</t>
        </is>
      </c>
      <c r="C543" s="11" t="inlineStr">
        <is>
          <t>Предложение и вопросы</t>
        </is>
      </c>
      <c r="D543" s="12" t="inlineStr">
        <is>
          <t>Relative pronouns / Relative clauses</t>
        </is>
      </c>
      <c r="E543" s="13" t="inlineStr">
        <is>
          <t>Relative clauses: which, относящееся ко всему предложению</t>
        </is>
      </c>
      <c r="F543" s="11" t="inlineStr">
        <is>
          <t>10+</t>
        </is>
      </c>
      <c r="G543" s="11" t="inlineStr"/>
      <c r="H543" s="11" t="inlineStr"/>
      <c r="I543" s="11" t="inlineStr"/>
      <c r="J543" s="11" t="inlineStr"/>
      <c r="K543" s="11" t="inlineStr"/>
      <c r="L543" s="11" t="inlineStr"/>
      <c r="M543" s="23" t="inlineStr">
        <is>
          <t>М1 (1d) · новое</t>
        </is>
      </c>
      <c r="N543" s="16" t="inlineStr">
        <is>
          <t>М8 (8c) · повт.</t>
        </is>
      </c>
      <c r="O543" s="16" t="inlineStr">
        <is>
          <t>М2 (2c) · повт.</t>
        </is>
      </c>
      <c r="P543" s="20" t="inlineStr">
        <is>
          <t>—</t>
        </is>
      </c>
      <c r="Q543" s="21" t="inlineStr"/>
      <c r="R543" s="17" t="inlineStr">
        <is>
          <t>нет</t>
        </is>
      </c>
      <c r="S543" s="11" t="inlineStr"/>
      <c r="T543" s="11" t="inlineStr"/>
    </row>
    <row r="544">
      <c r="A544" s="11" t="n">
        <v>543</v>
      </c>
      <c r="B544" s="11" t="inlineStr">
        <is>
          <t>Грамматика</t>
        </is>
      </c>
      <c r="C544" s="11" t="inlineStr">
        <is>
          <t>Предложение и вопросы</t>
        </is>
      </c>
      <c r="D544" s="12" t="inlineStr">
        <is>
          <t>Relative pronouns / Relative clauses</t>
        </is>
      </c>
      <c r="E544" s="13" t="inlineStr">
        <is>
          <t>Relative clauses: of which / whose для предметов</t>
        </is>
      </c>
      <c r="F544" s="11" t="inlineStr">
        <is>
          <t>10+</t>
        </is>
      </c>
      <c r="G544" s="11" t="inlineStr"/>
      <c r="H544" s="11" t="inlineStr"/>
      <c r="I544" s="11" t="inlineStr"/>
      <c r="J544" s="11" t="inlineStr"/>
      <c r="K544" s="11" t="inlineStr"/>
      <c r="L544" s="11" t="inlineStr"/>
      <c r="M544" s="23" t="inlineStr">
        <is>
          <t>М1 (1d) · новое</t>
        </is>
      </c>
      <c r="N544" s="16" t="inlineStr">
        <is>
          <t>М8 (8c) · повт.</t>
        </is>
      </c>
      <c r="O544" s="16" t="inlineStr">
        <is>
          <t>М2 (2c) · повт.</t>
        </is>
      </c>
      <c r="P544" s="20" t="inlineStr">
        <is>
          <t>—</t>
        </is>
      </c>
      <c r="Q544" s="21" t="inlineStr"/>
      <c r="R544" s="17" t="inlineStr">
        <is>
          <t>нет</t>
        </is>
      </c>
      <c r="S544" s="11" t="inlineStr"/>
      <c r="T544" s="11" t="inlineStr"/>
    </row>
    <row r="545">
      <c r="A545" s="11" t="n">
        <v>544</v>
      </c>
      <c r="B545" s="11" t="inlineStr">
        <is>
          <t>Грамматика</t>
        </is>
      </c>
      <c r="C545" s="11" t="inlineStr">
        <is>
          <t>Предложение и вопросы</t>
        </is>
      </c>
      <c r="D545" s="12" t="inlineStr">
        <is>
          <t>Relative pronouns / Relative clauses</t>
        </is>
      </c>
      <c r="E545" s="13" t="inlineStr">
        <is>
          <t>Relative clauses: some of / most of + whom/which/whose</t>
        </is>
      </c>
      <c r="F545" s="11" t="inlineStr">
        <is>
          <t>10+</t>
        </is>
      </c>
      <c r="G545" s="11" t="inlineStr"/>
      <c r="H545" s="11" t="inlineStr"/>
      <c r="I545" s="11" t="inlineStr"/>
      <c r="J545" s="11" t="inlineStr"/>
      <c r="K545" s="11" t="inlineStr"/>
      <c r="L545" s="11" t="inlineStr"/>
      <c r="M545" s="23" t="inlineStr">
        <is>
          <t>М1 (1d) · новое</t>
        </is>
      </c>
      <c r="N545" s="16" t="inlineStr">
        <is>
          <t>М8 (8c) · повт.</t>
        </is>
      </c>
      <c r="O545" s="16" t="inlineStr">
        <is>
          <t>М2 (2c) · повт.</t>
        </is>
      </c>
      <c r="P545" s="20" t="inlineStr">
        <is>
          <t>—</t>
        </is>
      </c>
      <c r="Q545" s="21" t="inlineStr"/>
      <c r="R545" s="17" t="inlineStr">
        <is>
          <t>нет</t>
        </is>
      </c>
      <c r="S545" s="11" t="inlineStr"/>
      <c r="T545" s="11" t="inlineStr"/>
    </row>
    <row r="546">
      <c r="A546" s="11" t="n">
        <v>545</v>
      </c>
      <c r="B546" s="11" t="inlineStr">
        <is>
          <t>Грамматика</t>
        </is>
      </c>
      <c r="C546" s="11" t="inlineStr">
        <is>
          <t>Предложение и вопросы</t>
        </is>
      </c>
      <c r="D546" s="12" t="inlineStr">
        <is>
          <t>Relative pronouns / Relative clauses</t>
        </is>
      </c>
      <c r="E546" s="13" t="inlineStr">
        <is>
          <t>Relative clauses: that не после запятой и не после предлога</t>
        </is>
      </c>
      <c r="F546" s="11" t="inlineStr">
        <is>
          <t>10+</t>
        </is>
      </c>
      <c r="G546" s="11" t="inlineStr"/>
      <c r="H546" s="11" t="inlineStr"/>
      <c r="I546" s="11" t="inlineStr"/>
      <c r="J546" s="11" t="inlineStr"/>
      <c r="K546" s="11" t="inlineStr"/>
      <c r="L546" s="11" t="inlineStr"/>
      <c r="M546" s="23" t="inlineStr">
        <is>
          <t>М1 (1d) · новое</t>
        </is>
      </c>
      <c r="N546" s="16" t="inlineStr">
        <is>
          <t>М8 (8c) · повт.</t>
        </is>
      </c>
      <c r="O546" s="16" t="inlineStr">
        <is>
          <t>М2 (2c) · повт.</t>
        </is>
      </c>
      <c r="P546" s="20" t="inlineStr">
        <is>
          <t>—</t>
        </is>
      </c>
      <c r="Q546" s="21" t="inlineStr"/>
      <c r="R546" s="17" t="inlineStr">
        <is>
          <t>нет</t>
        </is>
      </c>
      <c r="S546" s="11" t="inlineStr"/>
      <c r="T546" s="11" t="inlineStr"/>
    </row>
    <row r="547">
      <c r="A547" s="4" t="n">
        <v>546</v>
      </c>
      <c r="B547" s="4" t="inlineStr">
        <is>
          <t>Грамматика</t>
        </is>
      </c>
      <c r="C547" s="4" t="inlineStr">
        <is>
          <t>Предложение и вопросы</t>
        </is>
      </c>
      <c r="D547" s="5" t="inlineStr">
        <is>
          <t>Time clauses</t>
        </is>
      </c>
      <c r="E547" s="26" t="inlineStr">
        <is>
          <t>Time clauses: Present Simple вместо будущего после when/before/after/until/as soon as…</t>
        </is>
      </c>
      <c r="F547" s="4" t="inlineStr">
        <is>
          <t>10+</t>
        </is>
      </c>
      <c r="G547" s="4" t="inlineStr"/>
      <c r="H547" s="4" t="inlineStr"/>
      <c r="I547" s="4" t="inlineStr"/>
      <c r="J547" s="4" t="inlineStr"/>
      <c r="K547" s="27" t="inlineStr">
        <is>
          <t>М5 · новое</t>
        </is>
      </c>
      <c r="L547" s="4" t="inlineStr"/>
      <c r="M547" s="9" t="inlineStr">
        <is>
          <t>М4 (4c) · повт.</t>
        </is>
      </c>
      <c r="N547" s="9" t="inlineStr">
        <is>
          <t>М3 (3c) · повт.</t>
        </is>
      </c>
      <c r="O547" s="4" t="inlineStr"/>
      <c r="P547" s="28" t="inlineStr">
        <is>
          <t>—</t>
        </is>
      </c>
      <c r="Q547" s="29" t="inlineStr"/>
      <c r="R547" s="10" t="inlineStr">
        <is>
          <t>вебинар</t>
        </is>
      </c>
      <c r="S547" s="4" t="inlineStr">
        <is>
          <t>вебинар 13.10 (по расписанию): Time clauses about future
материалы: Time clauses about future; Time clauses + technology</t>
        </is>
      </c>
      <c r="T547" s="4" t="inlineStr"/>
    </row>
    <row r="548">
      <c r="A548" s="11" t="n">
        <v>547</v>
      </c>
      <c r="B548" s="11" t="inlineStr">
        <is>
          <t>Грамматика</t>
        </is>
      </c>
      <c r="C548" s="11" t="inlineStr">
        <is>
          <t>Предложение и вопросы</t>
        </is>
      </c>
      <c r="D548" s="12" t="inlineStr">
        <is>
          <t>Time clauses</t>
        </is>
      </c>
      <c r="E548" s="18" t="inlineStr">
        <is>
          <t>Time clauses: Present Perfect в придаточном времени</t>
        </is>
      </c>
      <c r="F548" s="11" t="inlineStr">
        <is>
          <t>10+</t>
        </is>
      </c>
      <c r="G548" s="11" t="inlineStr"/>
      <c r="H548" s="11" t="inlineStr"/>
      <c r="I548" s="11" t="inlineStr"/>
      <c r="J548" s="11" t="inlineStr"/>
      <c r="K548" s="23" t="inlineStr">
        <is>
          <t>М5 · новое</t>
        </is>
      </c>
      <c r="L548" s="11" t="inlineStr"/>
      <c r="M548" s="16" t="inlineStr">
        <is>
          <t>М4 (4c) · повт.</t>
        </is>
      </c>
      <c r="N548" s="16" t="inlineStr">
        <is>
          <t>М3 (3c) · повт.</t>
        </is>
      </c>
      <c r="O548" s="11" t="inlineStr"/>
      <c r="P548" s="20" t="inlineStr">
        <is>
          <t>—</t>
        </is>
      </c>
      <c r="Q548" s="21" t="inlineStr"/>
      <c r="R548" s="17" t="inlineStr">
        <is>
          <t>вебинар</t>
        </is>
      </c>
      <c r="S548" s="11" t="inlineStr">
        <is>
          <t>вебинар 13.10 (по расписанию): Time clauses about future
материалы: Time clauses about future; Time clauses + technology</t>
        </is>
      </c>
      <c r="T548" s="11" t="inlineStr"/>
    </row>
    <row r="549">
      <c r="A549" s="11" t="n">
        <v>548</v>
      </c>
      <c r="B549" s="11" t="inlineStr">
        <is>
          <t>Грамматика</t>
        </is>
      </c>
      <c r="C549" s="11" t="inlineStr">
        <is>
          <t>Предложение и вопросы</t>
        </is>
      </c>
      <c r="D549" s="12" t="inlineStr">
        <is>
          <t>Time clauses</t>
        </is>
      </c>
      <c r="E549" s="13" t="inlineStr">
        <is>
          <t>Time clauses: то же после if, unless, in case, supposing</t>
        </is>
      </c>
      <c r="F549" s="11" t="inlineStr">
        <is>
          <t>10+</t>
        </is>
      </c>
      <c r="G549" s="11" t="inlineStr"/>
      <c r="H549" s="11" t="inlineStr"/>
      <c r="I549" s="11" t="inlineStr"/>
      <c r="J549" s="11" t="inlineStr"/>
      <c r="K549" s="11" t="inlineStr"/>
      <c r="L549" s="11" t="inlineStr"/>
      <c r="M549" s="23" t="inlineStr">
        <is>
          <t>М4 (4c) · новое</t>
        </is>
      </c>
      <c r="N549" s="16" t="inlineStr">
        <is>
          <t>М3 (3c) · повт.</t>
        </is>
      </c>
      <c r="O549" s="11" t="inlineStr"/>
      <c r="P549" s="20" t="inlineStr">
        <is>
          <t>—</t>
        </is>
      </c>
      <c r="Q549" s="21" t="inlineStr"/>
      <c r="R549" s="17" t="inlineStr">
        <is>
          <t>нет</t>
        </is>
      </c>
      <c r="S549" s="11" t="inlineStr"/>
      <c r="T549" s="11" t="inlineStr"/>
    </row>
    <row r="550">
      <c r="A550" s="11" t="n">
        <v>549</v>
      </c>
      <c r="B550" s="11" t="inlineStr">
        <is>
          <t>Грамматика</t>
        </is>
      </c>
      <c r="C550" s="11" t="inlineStr">
        <is>
          <t>Предложение и вопросы</t>
        </is>
      </c>
      <c r="D550" s="12" t="inlineStr">
        <is>
          <t>Time clauses</t>
        </is>
      </c>
      <c r="E550" s="13" t="inlineStr">
        <is>
          <t>Time clauses: when/if как вопросительное слово или после I don't know/wonder — с will</t>
        </is>
      </c>
      <c r="F550" s="11" t="inlineStr">
        <is>
          <t>10+</t>
        </is>
      </c>
      <c r="G550" s="11" t="inlineStr"/>
      <c r="H550" s="11" t="inlineStr"/>
      <c r="I550" s="11" t="inlineStr"/>
      <c r="J550" s="11" t="inlineStr"/>
      <c r="K550" s="11" t="inlineStr"/>
      <c r="L550" s="11" t="inlineStr"/>
      <c r="M550" s="23" t="inlineStr">
        <is>
          <t>М4 (4c) · новое</t>
        </is>
      </c>
      <c r="N550" s="16" t="inlineStr">
        <is>
          <t>М3 (3c) · повт.</t>
        </is>
      </c>
      <c r="O550" s="11" t="inlineStr"/>
      <c r="P550" s="20" t="inlineStr">
        <is>
          <t>—</t>
        </is>
      </c>
      <c r="Q550" s="21" t="inlineStr"/>
      <c r="R550" s="17" t="inlineStr">
        <is>
          <t>нет</t>
        </is>
      </c>
      <c r="S550" s="11" t="inlineStr"/>
      <c r="T550" s="11" t="inlineStr"/>
    </row>
    <row r="551">
      <c r="A551" s="4" t="n">
        <v>550</v>
      </c>
      <c r="B551" s="4" t="inlineStr">
        <is>
          <t>Грамматика</t>
        </is>
      </c>
      <c r="C551" s="4" t="inlineStr">
        <is>
          <t>Предложение и вопросы</t>
        </is>
      </c>
      <c r="D551" s="5" t="inlineStr">
        <is>
          <t>Indirect questions</t>
        </is>
      </c>
      <c r="E551" s="26" t="inlineStr">
        <is>
          <t>Indirect questions: Could you tell me…? / Do you know…? — прямой порядок слов</t>
        </is>
      </c>
      <c r="F551" s="4" t="inlineStr">
        <is>
          <t>10+</t>
        </is>
      </c>
      <c r="G551" s="4" t="inlineStr"/>
      <c r="H551" s="4" t="inlineStr"/>
      <c r="I551" s="4" t="inlineStr"/>
      <c r="J551" s="4" t="inlineStr"/>
      <c r="K551" s="4" t="inlineStr"/>
      <c r="L551" s="27" t="inlineStr">
        <is>
          <t>М6 (6c) · новое</t>
        </is>
      </c>
      <c r="M551" s="9" t="inlineStr">
        <is>
          <t>М2 (2d) · повт.</t>
        </is>
      </c>
      <c r="N551" s="9" t="inlineStr">
        <is>
          <t>М8 (8c) · повт.</t>
        </is>
      </c>
      <c r="O551" s="9" t="inlineStr">
        <is>
          <t>М6 (6c) · повт.</t>
        </is>
      </c>
      <c r="P551" s="28" t="inlineStr">
        <is>
          <t>—</t>
        </is>
      </c>
      <c r="Q551" s="29" t="inlineStr"/>
      <c r="R551" s="10" t="inlineStr">
        <is>
          <t>вебинар</t>
        </is>
      </c>
      <c r="S551" s="4" t="inlineStr">
        <is>
          <t>вебинар 09.10 (проведён, ждём видео): Indirect questions + neighbours
материалы: Indirect questions + neighbours</t>
        </is>
      </c>
      <c r="T551" s="4" t="inlineStr"/>
    </row>
    <row r="552">
      <c r="A552" s="11" t="n">
        <v>551</v>
      </c>
      <c r="B552" s="11" t="inlineStr">
        <is>
          <t>Грамматика</t>
        </is>
      </c>
      <c r="C552" s="11" t="inlineStr">
        <is>
          <t>Предложение и вопросы</t>
        </is>
      </c>
      <c r="D552" s="12" t="inlineStr">
        <is>
          <t>Indirect questions</t>
        </is>
      </c>
      <c r="E552" s="18" t="inlineStr">
        <is>
          <t>Indirect questions: I wonder / I want to know / I doubt — без вопросительного знака</t>
        </is>
      </c>
      <c r="F552" s="11" t="inlineStr">
        <is>
          <t>10+</t>
        </is>
      </c>
      <c r="G552" s="11" t="inlineStr"/>
      <c r="H552" s="11" t="inlineStr"/>
      <c r="I552" s="11" t="inlineStr"/>
      <c r="J552" s="11" t="inlineStr"/>
      <c r="K552" s="11" t="inlineStr"/>
      <c r="L552" s="23" t="inlineStr">
        <is>
          <t>М6 (6c) · новое</t>
        </is>
      </c>
      <c r="M552" s="16" t="inlineStr">
        <is>
          <t>М2 (2d) · повт.</t>
        </is>
      </c>
      <c r="N552" s="16" t="inlineStr">
        <is>
          <t>М8 (8c) · повт.</t>
        </is>
      </c>
      <c r="O552" s="16" t="inlineStr">
        <is>
          <t>М6 (6c) · повт.</t>
        </is>
      </c>
      <c r="P552" s="20" t="inlineStr">
        <is>
          <t>—</t>
        </is>
      </c>
      <c r="Q552" s="21" t="inlineStr"/>
      <c r="R552" s="17" t="inlineStr">
        <is>
          <t>вебинар</t>
        </is>
      </c>
      <c r="S552" s="11" t="inlineStr">
        <is>
          <t>вебинар 09.10 (проведён, ждём видео): Indirect questions + neighbours
материалы: Indirect questions + neighbours</t>
        </is>
      </c>
      <c r="T552" s="11" t="inlineStr"/>
    </row>
    <row r="553">
      <c r="A553" s="11" t="n">
        <v>552</v>
      </c>
      <c r="B553" s="11" t="inlineStr">
        <is>
          <t>Грамматика</t>
        </is>
      </c>
      <c r="C553" s="11" t="inlineStr">
        <is>
          <t>Предложение и вопросы</t>
        </is>
      </c>
      <c r="D553" s="12" t="inlineStr">
        <is>
          <t>Indirect questions</t>
        </is>
      </c>
      <c r="E553" s="18" t="inlineStr">
        <is>
          <t>Indirect questions: общий вопрос → if/whether</t>
        </is>
      </c>
      <c r="F553" s="11" t="inlineStr">
        <is>
          <t>10+</t>
        </is>
      </c>
      <c r="G553" s="11" t="inlineStr"/>
      <c r="H553" s="11" t="inlineStr"/>
      <c r="I553" s="11" t="inlineStr"/>
      <c r="J553" s="11" t="inlineStr"/>
      <c r="K553" s="11" t="inlineStr"/>
      <c r="L553" s="11" t="inlineStr"/>
      <c r="M553" s="23" t="inlineStr">
        <is>
          <t>М2 (2d) · новое</t>
        </is>
      </c>
      <c r="N553" s="11" t="inlineStr"/>
      <c r="O553" s="11" t="inlineStr"/>
      <c r="P553" s="20" t="inlineStr">
        <is>
          <t>—</t>
        </is>
      </c>
      <c r="Q553" s="21" t="inlineStr"/>
      <c r="R553" s="17" t="inlineStr">
        <is>
          <t>вебинар</t>
        </is>
      </c>
      <c r="S553" s="11" t="inlineStr">
        <is>
          <t>вебинар 09.10 (проведён, ждём видео): Indirect questions + neighbours
материалы: Indirect questions + neighbours</t>
        </is>
      </c>
      <c r="T553" s="11" t="inlineStr"/>
    </row>
    <row r="554">
      <c r="A554" s="4" t="n">
        <v>553</v>
      </c>
      <c r="B554" s="4" t="inlineStr">
        <is>
          <t>Грамматика</t>
        </is>
      </c>
      <c r="C554" s="4" t="inlineStr">
        <is>
          <t>Предложение и вопросы</t>
        </is>
      </c>
      <c r="D554" s="5" t="inlineStr">
        <is>
          <t>Reported questions</t>
        </is>
      </c>
      <c r="E554" s="24" t="inlineStr">
        <is>
          <t>Reported questions: вводящие глаголы ask, inquire, wonder, want to know</t>
        </is>
      </c>
      <c r="F554" s="4" t="inlineStr">
        <is>
          <t>10+</t>
        </is>
      </c>
      <c r="G554" s="4" t="inlineStr"/>
      <c r="H554" s="4" t="inlineStr"/>
      <c r="I554" s="4" t="inlineStr"/>
      <c r="J554" s="4" t="inlineStr"/>
      <c r="K554" s="4" t="inlineStr"/>
      <c r="L554" s="27" t="inlineStr">
        <is>
          <t>М6 (6c) · новое</t>
        </is>
      </c>
      <c r="M554" s="4" t="inlineStr"/>
      <c r="N554" s="9" t="inlineStr">
        <is>
          <t>М8 (8c) · повт.</t>
        </is>
      </c>
      <c r="O554" s="9" t="inlineStr">
        <is>
          <t>М6 (6c) · повт.</t>
        </is>
      </c>
      <c r="P554" s="28" t="inlineStr">
        <is>
          <t>—</t>
        </is>
      </c>
      <c r="Q554" s="29" t="inlineStr"/>
      <c r="R554" s="10" t="inlineStr">
        <is>
          <t>нет</t>
        </is>
      </c>
      <c r="S554" s="4" t="inlineStr"/>
      <c r="T554" s="4" t="inlineStr"/>
    </row>
    <row r="555">
      <c r="A555" s="11" t="n">
        <v>554</v>
      </c>
      <c r="B555" s="11" t="inlineStr">
        <is>
          <t>Грамматика</t>
        </is>
      </c>
      <c r="C555" s="11" t="inlineStr">
        <is>
          <t>Предложение и вопросы</t>
        </is>
      </c>
      <c r="D555" s="12" t="inlineStr">
        <is>
          <t>Reported questions</t>
        </is>
      </c>
      <c r="E555" s="13" t="inlineStr">
        <is>
          <t>Reported questions: специальные вопросы — то же вопросительное слово</t>
        </is>
      </c>
      <c r="F555" s="11" t="inlineStr">
        <is>
          <t>10+</t>
        </is>
      </c>
      <c r="G555" s="11" t="inlineStr"/>
      <c r="H555" s="11" t="inlineStr"/>
      <c r="I555" s="11" t="inlineStr"/>
      <c r="J555" s="11" t="inlineStr"/>
      <c r="K555" s="11" t="inlineStr"/>
      <c r="L555" s="23" t="inlineStr">
        <is>
          <t>М6 (6c) · новое</t>
        </is>
      </c>
      <c r="M555" s="16" t="inlineStr">
        <is>
          <t>М8 (8c) · повт.</t>
        </is>
      </c>
      <c r="N555" s="16" t="inlineStr">
        <is>
          <t>М8 (8c) · повт.</t>
        </is>
      </c>
      <c r="O555" s="16" t="inlineStr">
        <is>
          <t>М6 (6c) · повт.</t>
        </is>
      </c>
      <c r="P555" s="20" t="inlineStr">
        <is>
          <t>—</t>
        </is>
      </c>
      <c r="Q555" s="21" t="inlineStr"/>
      <c r="R555" s="17" t="inlineStr">
        <is>
          <t>нет</t>
        </is>
      </c>
      <c r="S555" s="11" t="inlineStr"/>
      <c r="T555" s="11" t="inlineStr"/>
    </row>
    <row r="556">
      <c r="A556" s="11" t="n">
        <v>555</v>
      </c>
      <c r="B556" s="11" t="inlineStr">
        <is>
          <t>Грамматика</t>
        </is>
      </c>
      <c r="C556" s="11" t="inlineStr">
        <is>
          <t>Предложение и вопросы</t>
        </is>
      </c>
      <c r="D556" s="12" t="inlineStr">
        <is>
          <t>Reported questions</t>
        </is>
      </c>
      <c r="E556" s="13" t="inlineStr">
        <is>
          <t>Reported questions: общие вопросы — if/whether</t>
        </is>
      </c>
      <c r="F556" s="11" t="inlineStr">
        <is>
          <t>10+</t>
        </is>
      </c>
      <c r="G556" s="11" t="inlineStr"/>
      <c r="H556" s="11" t="inlineStr"/>
      <c r="I556" s="11" t="inlineStr"/>
      <c r="J556" s="11" t="inlineStr"/>
      <c r="K556" s="11" t="inlineStr"/>
      <c r="L556" s="23" t="inlineStr">
        <is>
          <t>М6 (6c) · новое</t>
        </is>
      </c>
      <c r="M556" s="16" t="inlineStr">
        <is>
          <t>М8 (8c) · повт.</t>
        </is>
      </c>
      <c r="N556" s="16" t="inlineStr">
        <is>
          <t>М8 (8c) · повт.</t>
        </is>
      </c>
      <c r="O556" s="16" t="inlineStr">
        <is>
          <t>М6 (6c) · повт.</t>
        </is>
      </c>
      <c r="P556" s="20" t="inlineStr">
        <is>
          <t>—</t>
        </is>
      </c>
      <c r="Q556" s="21" t="inlineStr"/>
      <c r="R556" s="17" t="inlineStr">
        <is>
          <t>нет</t>
        </is>
      </c>
      <c r="S556" s="11" t="inlineStr"/>
      <c r="T556" s="11" t="inlineStr"/>
    </row>
    <row r="557">
      <c r="A557" s="11" t="n">
        <v>556</v>
      </c>
      <c r="B557" s="11" t="inlineStr">
        <is>
          <t>Грамматика</t>
        </is>
      </c>
      <c r="C557" s="11" t="inlineStr">
        <is>
          <t>Предложение и вопросы</t>
        </is>
      </c>
      <c r="D557" s="12" t="inlineStr">
        <is>
          <t>Reported questions</t>
        </is>
      </c>
      <c r="E557" s="13" t="inlineStr">
        <is>
          <t>Reported questions: прямой порядок слов, без «?», без please/well/oh</t>
        </is>
      </c>
      <c r="F557" s="11" t="inlineStr">
        <is>
          <t>10+</t>
        </is>
      </c>
      <c r="G557" s="11" t="inlineStr"/>
      <c r="H557" s="11" t="inlineStr"/>
      <c r="I557" s="11" t="inlineStr"/>
      <c r="J557" s="11" t="inlineStr"/>
      <c r="K557" s="11" t="inlineStr"/>
      <c r="L557" s="23" t="inlineStr">
        <is>
          <t>М6 (6c) · новое</t>
        </is>
      </c>
      <c r="M557" s="16" t="inlineStr">
        <is>
          <t>М8 (8c) · повт.</t>
        </is>
      </c>
      <c r="N557" s="16" t="inlineStr">
        <is>
          <t>М8 (8c) · повт.</t>
        </is>
      </c>
      <c r="O557" s="16" t="inlineStr">
        <is>
          <t>М6 (6c) · повт.</t>
        </is>
      </c>
      <c r="P557" s="20" t="inlineStr">
        <is>
          <t>—</t>
        </is>
      </c>
      <c r="Q557" s="21" t="inlineStr"/>
      <c r="R557" s="17" t="inlineStr">
        <is>
          <t>нет</t>
        </is>
      </c>
      <c r="S557" s="11" t="inlineStr"/>
      <c r="T557" s="11" t="inlineStr"/>
    </row>
    <row r="558">
      <c r="A558" s="11" t="n">
        <v>557</v>
      </c>
      <c r="B558" s="11" t="inlineStr">
        <is>
          <t>Грамматика</t>
        </is>
      </c>
      <c r="C558" s="11" t="inlineStr">
        <is>
          <t>Предложение и вопросы</t>
        </is>
      </c>
      <c r="D558" s="12" t="inlineStr">
        <is>
          <t>Reported questions</t>
        </is>
      </c>
      <c r="E558" s="13" t="inlineStr">
        <is>
          <t>Reported questions: сдвиг времён, местоимений и слов времени</t>
        </is>
      </c>
      <c r="F558" s="11" t="inlineStr">
        <is>
          <t>10+</t>
        </is>
      </c>
      <c r="G558" s="11" t="inlineStr"/>
      <c r="H558" s="11" t="inlineStr"/>
      <c r="I558" s="11" t="inlineStr"/>
      <c r="J558" s="11" t="inlineStr"/>
      <c r="K558" s="11" t="inlineStr"/>
      <c r="L558" s="23" t="inlineStr">
        <is>
          <t>М6 (6c) · новое</t>
        </is>
      </c>
      <c r="M558" s="11" t="inlineStr"/>
      <c r="N558" s="16" t="inlineStr">
        <is>
          <t>М8 (8c) · повт.</t>
        </is>
      </c>
      <c r="O558" s="16" t="inlineStr">
        <is>
          <t>М6 (6c) · повт.</t>
        </is>
      </c>
      <c r="P558" s="20" t="inlineStr">
        <is>
          <t>—</t>
        </is>
      </c>
      <c r="Q558" s="21" t="inlineStr"/>
      <c r="R558" s="17" t="inlineStr">
        <is>
          <t>нет</t>
        </is>
      </c>
      <c r="S558" s="11" t="inlineStr"/>
      <c r="T558" s="11" t="inlineStr"/>
    </row>
    <row r="559">
      <c r="A559" s="4" t="n">
        <v>558</v>
      </c>
      <c r="B559" s="4" t="inlineStr">
        <is>
          <t>Грамматика</t>
        </is>
      </c>
      <c r="C559" s="4" t="inlineStr">
        <is>
          <t>Предложение и вопросы</t>
        </is>
      </c>
      <c r="D559" s="5" t="inlineStr">
        <is>
          <t>Clauses of purpose</t>
        </is>
      </c>
      <c r="E559" s="24" t="inlineStr">
        <is>
          <t>Clauses of purpose: to / in order to / so as to + infinitive</t>
        </is>
      </c>
      <c r="F559" s="4" t="inlineStr">
        <is>
          <t>10+</t>
        </is>
      </c>
      <c r="G559" s="4" t="inlineStr"/>
      <c r="H559" s="4" t="inlineStr"/>
      <c r="I559" s="4" t="inlineStr"/>
      <c r="J559" s="4" t="inlineStr"/>
      <c r="K559" s="4" t="inlineStr"/>
      <c r="L559" s="4" t="inlineStr"/>
      <c r="M559" s="27" t="inlineStr">
        <is>
          <t>М4 (4c) · новое</t>
        </is>
      </c>
      <c r="N559" s="4" t="inlineStr"/>
      <c r="O559" s="9" t="inlineStr">
        <is>
          <t>М2 (2c) · повт.</t>
        </is>
      </c>
      <c r="P559" s="28" t="inlineStr">
        <is>
          <t>—</t>
        </is>
      </c>
      <c r="Q559" s="29" t="inlineStr"/>
      <c r="R559" s="10" t="inlineStr">
        <is>
          <t>нет</t>
        </is>
      </c>
      <c r="S559" s="4" t="inlineStr"/>
      <c r="T559" s="4" t="inlineStr"/>
    </row>
    <row r="560">
      <c r="A560" s="11" t="n">
        <v>559</v>
      </c>
      <c r="B560" s="11" t="inlineStr">
        <is>
          <t>Грамматика</t>
        </is>
      </c>
      <c r="C560" s="11" t="inlineStr">
        <is>
          <t>Предложение и вопросы</t>
        </is>
      </c>
      <c r="D560" s="12" t="inlineStr">
        <is>
          <t>Clauses of purpose</t>
        </is>
      </c>
      <c r="E560" s="13" t="inlineStr">
        <is>
          <t>Clauses of purpose: so that + can/will, could/would</t>
        </is>
      </c>
      <c r="F560" s="11" t="inlineStr">
        <is>
          <t>10+</t>
        </is>
      </c>
      <c r="G560" s="11" t="inlineStr"/>
      <c r="H560" s="11" t="inlineStr"/>
      <c r="I560" s="11" t="inlineStr"/>
      <c r="J560" s="11" t="inlineStr"/>
      <c r="K560" s="11" t="inlineStr"/>
      <c r="L560" s="11" t="inlineStr"/>
      <c r="M560" s="23" t="inlineStr">
        <is>
          <t>М4 (4c) · новое</t>
        </is>
      </c>
      <c r="N560" s="11" t="inlineStr"/>
      <c r="O560" s="16" t="inlineStr">
        <is>
          <t>М2 (2c) · повт.</t>
        </is>
      </c>
      <c r="P560" s="20" t="inlineStr">
        <is>
          <t>—</t>
        </is>
      </c>
      <c r="Q560" s="21" t="inlineStr"/>
      <c r="R560" s="17" t="inlineStr">
        <is>
          <t>нет</t>
        </is>
      </c>
      <c r="S560" s="11" t="inlineStr"/>
      <c r="T560" s="11" t="inlineStr"/>
    </row>
    <row r="561">
      <c r="A561" s="11" t="n">
        <v>560</v>
      </c>
      <c r="B561" s="11" t="inlineStr">
        <is>
          <t>Грамматика</t>
        </is>
      </c>
      <c r="C561" s="11" t="inlineStr">
        <is>
          <t>Предложение и вопросы</t>
        </is>
      </c>
      <c r="D561" s="12" t="inlineStr">
        <is>
          <t>Clauses of purpose</t>
        </is>
      </c>
      <c r="E561" s="13" t="inlineStr">
        <is>
          <t>Clauses of purpose: with the view to / with the aim of + -ing</t>
        </is>
      </c>
      <c r="F561" s="11" t="inlineStr">
        <is>
          <t>10+</t>
        </is>
      </c>
      <c r="G561" s="11" t="inlineStr"/>
      <c r="H561" s="11" t="inlineStr"/>
      <c r="I561" s="11" t="inlineStr"/>
      <c r="J561" s="11" t="inlineStr"/>
      <c r="K561" s="11" t="inlineStr"/>
      <c r="L561" s="11" t="inlineStr"/>
      <c r="M561" s="23" t="inlineStr">
        <is>
          <t>М4 (4c) · новое</t>
        </is>
      </c>
      <c r="N561" s="11" t="inlineStr"/>
      <c r="O561" s="16" t="inlineStr">
        <is>
          <t>М2 (2c) · повт.</t>
        </is>
      </c>
      <c r="P561" s="20" t="inlineStr">
        <is>
          <t>—</t>
        </is>
      </c>
      <c r="Q561" s="21" t="inlineStr"/>
      <c r="R561" s="17" t="inlineStr">
        <is>
          <t>нет</t>
        </is>
      </c>
      <c r="S561" s="11" t="inlineStr"/>
      <c r="T561" s="11" t="inlineStr"/>
    </row>
    <row r="562">
      <c r="A562" s="11" t="n">
        <v>561</v>
      </c>
      <c r="B562" s="11" t="inlineStr">
        <is>
          <t>Грамматика</t>
        </is>
      </c>
      <c r="C562" s="11" t="inlineStr">
        <is>
          <t>Предложение и вопросы</t>
        </is>
      </c>
      <c r="D562" s="12" t="inlineStr">
        <is>
          <t>Clauses of purpose</t>
        </is>
      </c>
      <c r="E562" s="13" t="inlineStr">
        <is>
          <t>Clauses of purpose: for + noun/-ing (назначение предмета)</t>
        </is>
      </c>
      <c r="F562" s="11" t="inlineStr">
        <is>
          <t>10+</t>
        </is>
      </c>
      <c r="G562" s="11" t="inlineStr"/>
      <c r="H562" s="11" t="inlineStr"/>
      <c r="I562" s="11" t="inlineStr"/>
      <c r="J562" s="11" t="inlineStr"/>
      <c r="K562" s="11" t="inlineStr"/>
      <c r="L562" s="11" t="inlineStr"/>
      <c r="M562" s="11" t="inlineStr"/>
      <c r="N562" s="11" t="inlineStr"/>
      <c r="O562" s="23" t="inlineStr">
        <is>
          <t>М2 (2c) · новое</t>
        </is>
      </c>
      <c r="P562" s="20" t="inlineStr">
        <is>
          <t>—</t>
        </is>
      </c>
      <c r="Q562" s="21" t="inlineStr"/>
      <c r="R562" s="17" t="inlineStr">
        <is>
          <t>нет</t>
        </is>
      </c>
      <c r="S562" s="11" t="inlineStr"/>
      <c r="T562" s="11" t="inlineStr"/>
    </row>
    <row r="563">
      <c r="A563" s="11" t="n">
        <v>562</v>
      </c>
      <c r="B563" s="11" t="inlineStr">
        <is>
          <t>Грамматика</t>
        </is>
      </c>
      <c r="C563" s="11" t="inlineStr">
        <is>
          <t>Предложение и вопросы</t>
        </is>
      </c>
      <c r="D563" s="12" t="inlineStr">
        <is>
          <t>Clauses of purpose</t>
        </is>
      </c>
      <c r="E563" s="13" t="inlineStr">
        <is>
          <t>Clauses of purpose: in case + Present / Past</t>
        </is>
      </c>
      <c r="F563" s="11" t="inlineStr">
        <is>
          <t>10+</t>
        </is>
      </c>
      <c r="G563" s="11" t="inlineStr"/>
      <c r="H563" s="11" t="inlineStr"/>
      <c r="I563" s="11" t="inlineStr"/>
      <c r="J563" s="11" t="inlineStr"/>
      <c r="K563" s="11" t="inlineStr"/>
      <c r="L563" s="11" t="inlineStr"/>
      <c r="M563" s="11" t="inlineStr"/>
      <c r="N563" s="11" t="inlineStr"/>
      <c r="O563" s="23" t="inlineStr">
        <is>
          <t>М2 (2c) · новое</t>
        </is>
      </c>
      <c r="P563" s="20" t="inlineStr">
        <is>
          <t>—</t>
        </is>
      </c>
      <c r="Q563" s="21" t="inlineStr"/>
      <c r="R563" s="17" t="inlineStr">
        <is>
          <t>нет</t>
        </is>
      </c>
      <c r="S563" s="11" t="inlineStr"/>
      <c r="T563" s="11" t="inlineStr"/>
    </row>
    <row r="564">
      <c r="A564" s="11" t="n">
        <v>563</v>
      </c>
      <c r="B564" s="11" t="inlineStr">
        <is>
          <t>Грамматика</t>
        </is>
      </c>
      <c r="C564" s="11" t="inlineStr">
        <is>
          <t>Предложение и вопросы</t>
        </is>
      </c>
      <c r="D564" s="12" t="inlineStr">
        <is>
          <t>Clauses of purpose</t>
        </is>
      </c>
      <c r="E564" s="13" t="inlineStr">
        <is>
          <t>Clauses of purpose: отрицательная цель — so as not / in order not to</t>
        </is>
      </c>
      <c r="F564" s="11" t="inlineStr">
        <is>
          <t>10+</t>
        </is>
      </c>
      <c r="G564" s="11" t="inlineStr"/>
      <c r="H564" s="11" t="inlineStr"/>
      <c r="I564" s="11" t="inlineStr"/>
      <c r="J564" s="11" t="inlineStr"/>
      <c r="K564" s="11" t="inlineStr"/>
      <c r="L564" s="11" t="inlineStr"/>
      <c r="M564" s="11" t="inlineStr"/>
      <c r="N564" s="11" t="inlineStr"/>
      <c r="O564" s="23" t="inlineStr">
        <is>
          <t>М2 (2c) · новое</t>
        </is>
      </c>
      <c r="P564" s="20" t="inlineStr">
        <is>
          <t>—</t>
        </is>
      </c>
      <c r="Q564" s="21" t="inlineStr"/>
      <c r="R564" s="17" t="inlineStr">
        <is>
          <t>нет</t>
        </is>
      </c>
      <c r="S564" s="11" t="inlineStr"/>
      <c r="T564" s="11" t="inlineStr"/>
    </row>
    <row r="565">
      <c r="A565" s="11" t="n">
        <v>564</v>
      </c>
      <c r="B565" s="11" t="inlineStr">
        <is>
          <t>Грамматика</t>
        </is>
      </c>
      <c r="C565" s="11" t="inlineStr">
        <is>
          <t>Предложение и вопросы</t>
        </is>
      </c>
      <c r="D565" s="12" t="inlineStr">
        <is>
          <t>Clauses of purpose</t>
        </is>
      </c>
      <c r="E565" s="13" t="inlineStr">
        <is>
          <t>Clauses of purpose: отрицательная цель — so that + can't/won't, couldn't/wouldn't</t>
        </is>
      </c>
      <c r="F565" s="11" t="inlineStr">
        <is>
          <t>10+</t>
        </is>
      </c>
      <c r="G565" s="11" t="inlineStr"/>
      <c r="H565" s="11" t="inlineStr"/>
      <c r="I565" s="11" t="inlineStr"/>
      <c r="J565" s="11" t="inlineStr"/>
      <c r="K565" s="11" t="inlineStr"/>
      <c r="L565" s="11" t="inlineStr"/>
      <c r="M565" s="11" t="inlineStr"/>
      <c r="N565" s="11" t="inlineStr"/>
      <c r="O565" s="23" t="inlineStr">
        <is>
          <t>М2 (2c) · новое</t>
        </is>
      </c>
      <c r="P565" s="20" t="inlineStr">
        <is>
          <t>—</t>
        </is>
      </c>
      <c r="Q565" s="21" t="inlineStr"/>
      <c r="R565" s="17" t="inlineStr">
        <is>
          <t>нет</t>
        </is>
      </c>
      <c r="S565" s="11" t="inlineStr"/>
      <c r="T565" s="11" t="inlineStr"/>
    </row>
    <row r="566">
      <c r="A566" s="11" t="n">
        <v>565</v>
      </c>
      <c r="B566" s="11" t="inlineStr">
        <is>
          <t>Грамматика</t>
        </is>
      </c>
      <c r="C566" s="11" t="inlineStr">
        <is>
          <t>Предложение и вопросы</t>
        </is>
      </c>
      <c r="D566" s="12" t="inlineStr">
        <is>
          <t>Clauses of purpose</t>
        </is>
      </c>
      <c r="E566" s="13" t="inlineStr">
        <is>
          <t>Clauses of purpose: for fear / lest; for fear of</t>
        </is>
      </c>
      <c r="F566" s="11" t="inlineStr">
        <is>
          <t>10+</t>
        </is>
      </c>
      <c r="G566" s="11" t="inlineStr"/>
      <c r="H566" s="11" t="inlineStr"/>
      <c r="I566" s="11" t="inlineStr"/>
      <c r="J566" s="11" t="inlineStr"/>
      <c r="K566" s="11" t="inlineStr"/>
      <c r="L566" s="11" t="inlineStr"/>
      <c r="M566" s="11" t="inlineStr"/>
      <c r="N566" s="11" t="inlineStr"/>
      <c r="O566" s="23" t="inlineStr">
        <is>
          <t>М2 (2c) · новое</t>
        </is>
      </c>
      <c r="P566" s="20" t="inlineStr">
        <is>
          <t>—</t>
        </is>
      </c>
      <c r="Q566" s="21" t="inlineStr"/>
      <c r="R566" s="17" t="inlineStr">
        <is>
          <t>нет</t>
        </is>
      </c>
      <c r="S566" s="11" t="inlineStr"/>
      <c r="T566" s="11" t="inlineStr"/>
    </row>
    <row r="567">
      <c r="A567" s="11" t="n">
        <v>566</v>
      </c>
      <c r="B567" s="11" t="inlineStr">
        <is>
          <t>Грамматика</t>
        </is>
      </c>
      <c r="C567" s="11" t="inlineStr">
        <is>
          <t>Предложение и вопросы</t>
        </is>
      </c>
      <c r="D567" s="12" t="inlineStr">
        <is>
          <t>Clauses of purpose</t>
        </is>
      </c>
      <c r="E567" s="13" t="inlineStr">
        <is>
          <t>Clauses of purpose: prevent … (from) + -ing / avoid + -ing</t>
        </is>
      </c>
      <c r="F567" s="11" t="inlineStr">
        <is>
          <t>10+</t>
        </is>
      </c>
      <c r="G567" s="11" t="inlineStr"/>
      <c r="H567" s="11" t="inlineStr"/>
      <c r="I567" s="11" t="inlineStr"/>
      <c r="J567" s="11" t="inlineStr"/>
      <c r="K567" s="11" t="inlineStr"/>
      <c r="L567" s="11" t="inlineStr"/>
      <c r="M567" s="11" t="inlineStr"/>
      <c r="N567" s="11" t="inlineStr"/>
      <c r="O567" s="23" t="inlineStr">
        <is>
          <t>М2 (2c) · новое</t>
        </is>
      </c>
      <c r="P567" s="20" t="inlineStr">
        <is>
          <t>—</t>
        </is>
      </c>
      <c r="Q567" s="21" t="inlineStr"/>
      <c r="R567" s="17" t="inlineStr">
        <is>
          <t>нет</t>
        </is>
      </c>
      <c r="S567" s="11" t="inlineStr"/>
      <c r="T567" s="11" t="inlineStr"/>
    </row>
    <row r="568">
      <c r="A568" s="4" t="n">
        <v>567</v>
      </c>
      <c r="B568" s="4" t="inlineStr">
        <is>
          <t>Грамматика</t>
        </is>
      </c>
      <c r="C568" s="4" t="inlineStr">
        <is>
          <t>Предложение и вопросы</t>
        </is>
      </c>
      <c r="D568" s="5" t="inlineStr">
        <is>
          <t>Clauses of result</t>
        </is>
      </c>
      <c r="E568" s="24" t="inlineStr">
        <is>
          <t>Clauses of result: such … that</t>
        </is>
      </c>
      <c r="F568" s="4" t="inlineStr">
        <is>
          <t>10+</t>
        </is>
      </c>
      <c r="G568" s="4" t="inlineStr"/>
      <c r="H568" s="4" t="inlineStr"/>
      <c r="I568" s="4" t="inlineStr"/>
      <c r="J568" s="4" t="inlineStr"/>
      <c r="K568" s="4" t="inlineStr"/>
      <c r="L568" s="4" t="inlineStr"/>
      <c r="M568" s="27" t="inlineStr">
        <is>
          <t>М4 (4c) · новое</t>
        </is>
      </c>
      <c r="N568" s="4" t="inlineStr"/>
      <c r="O568" s="9" t="inlineStr">
        <is>
          <t>М2 (2c) · повт.</t>
        </is>
      </c>
      <c r="P568" s="28" t="inlineStr">
        <is>
          <t>—</t>
        </is>
      </c>
      <c r="Q568" s="29" t="inlineStr"/>
      <c r="R568" s="10" t="inlineStr">
        <is>
          <t>нет</t>
        </is>
      </c>
      <c r="S568" s="4" t="inlineStr"/>
      <c r="T568" s="4" t="inlineStr"/>
    </row>
    <row r="569">
      <c r="A569" s="11" t="n">
        <v>568</v>
      </c>
      <c r="B569" s="11" t="inlineStr">
        <is>
          <t>Грамматика</t>
        </is>
      </c>
      <c r="C569" s="11" t="inlineStr">
        <is>
          <t>Предложение и вопросы</t>
        </is>
      </c>
      <c r="D569" s="12" t="inlineStr">
        <is>
          <t>Clauses of result</t>
        </is>
      </c>
      <c r="E569" s="13" t="inlineStr">
        <is>
          <t>Clauses of result: so … that</t>
        </is>
      </c>
      <c r="F569" s="11" t="inlineStr">
        <is>
          <t>10+</t>
        </is>
      </c>
      <c r="G569" s="11" t="inlineStr"/>
      <c r="H569" s="11" t="inlineStr"/>
      <c r="I569" s="11" t="inlineStr"/>
      <c r="J569" s="11" t="inlineStr"/>
      <c r="K569" s="11" t="inlineStr"/>
      <c r="L569" s="11" t="inlineStr"/>
      <c r="M569" s="23" t="inlineStr">
        <is>
          <t>М4 (4c) · новое</t>
        </is>
      </c>
      <c r="N569" s="11" t="inlineStr"/>
      <c r="O569" s="16" t="inlineStr">
        <is>
          <t>М2 (2c) · повт.</t>
        </is>
      </c>
      <c r="P569" s="20" t="inlineStr">
        <is>
          <t>—</t>
        </is>
      </c>
      <c r="Q569" s="21" t="inlineStr"/>
      <c r="R569" s="17" t="inlineStr">
        <is>
          <t>нет</t>
        </is>
      </c>
      <c r="S569" s="11" t="inlineStr"/>
      <c r="T569" s="11" t="inlineStr"/>
    </row>
    <row r="570">
      <c r="A570" s="11" t="n">
        <v>569</v>
      </c>
      <c r="B570" s="11" t="inlineStr">
        <is>
          <t>Грамматика</t>
        </is>
      </c>
      <c r="C570" s="11" t="inlineStr">
        <is>
          <t>Предложение и вопросы</t>
        </is>
      </c>
      <c r="D570" s="12" t="inlineStr">
        <is>
          <t>Clauses of result</t>
        </is>
      </c>
      <c r="E570" s="13" t="inlineStr">
        <is>
          <t>Clauses of result: as a result / as a consequence / consequently / therefore / so</t>
        </is>
      </c>
      <c r="F570" s="11" t="inlineStr">
        <is>
          <t>10+</t>
        </is>
      </c>
      <c r="G570" s="11" t="inlineStr"/>
      <c r="H570" s="11" t="inlineStr"/>
      <c r="I570" s="11" t="inlineStr"/>
      <c r="J570" s="11" t="inlineStr"/>
      <c r="K570" s="11" t="inlineStr"/>
      <c r="L570" s="11" t="inlineStr"/>
      <c r="M570" s="23" t="inlineStr">
        <is>
          <t>М4 (4c) · новое</t>
        </is>
      </c>
      <c r="N570" s="11" t="inlineStr"/>
      <c r="O570" s="16" t="inlineStr">
        <is>
          <t>М2 (2c) · повт.</t>
        </is>
      </c>
      <c r="P570" s="20" t="inlineStr">
        <is>
          <t>—</t>
        </is>
      </c>
      <c r="Q570" s="21" t="inlineStr"/>
      <c r="R570" s="17" t="inlineStr">
        <is>
          <t>нет</t>
        </is>
      </c>
      <c r="S570" s="11" t="inlineStr"/>
      <c r="T570" s="11" t="inlineStr"/>
    </row>
    <row r="571">
      <c r="A571" s="4" t="n">
        <v>570</v>
      </c>
      <c r="B571" s="4" t="inlineStr">
        <is>
          <t>Грамматика</t>
        </is>
      </c>
      <c r="C571" s="4" t="inlineStr">
        <is>
          <t>Предложение и вопросы</t>
        </is>
      </c>
      <c r="D571" s="5" t="inlineStr">
        <is>
          <t>Conditional linkers (unless, provided…)</t>
        </is>
      </c>
      <c r="E571" s="24" t="inlineStr">
        <is>
          <t>Conditional linkers: unless, provided/providing (that), as long as, on condition (that)</t>
        </is>
      </c>
      <c r="F571" s="4" t="inlineStr">
        <is>
          <t>10+</t>
        </is>
      </c>
      <c r="G571" s="4" t="inlineStr"/>
      <c r="H571" s="4" t="inlineStr"/>
      <c r="I571" s="4" t="inlineStr"/>
      <c r="J571" s="4" t="inlineStr"/>
      <c r="K571" s="4" t="inlineStr"/>
      <c r="L571" s="4" t="inlineStr"/>
      <c r="M571" s="27" t="inlineStr">
        <is>
          <t>М7 (7c) · новое</t>
        </is>
      </c>
      <c r="N571" s="9" t="inlineStr">
        <is>
          <t>М6 (6c) · повт.</t>
        </is>
      </c>
      <c r="O571" s="9" t="inlineStr">
        <is>
          <t>М7 (7c) · повт.</t>
        </is>
      </c>
      <c r="P571" s="28" t="inlineStr">
        <is>
          <t>—</t>
        </is>
      </c>
      <c r="Q571" s="29" t="inlineStr"/>
      <c r="R571" s="10" t="inlineStr">
        <is>
          <t>нет</t>
        </is>
      </c>
      <c r="S571" s="4" t="inlineStr"/>
      <c r="T571" s="4" t="inlineStr"/>
    </row>
    <row r="572">
      <c r="A572" s="11" t="n">
        <v>571</v>
      </c>
      <c r="B572" s="11" t="inlineStr">
        <is>
          <t>Грамматика</t>
        </is>
      </c>
      <c r="C572" s="11" t="inlineStr">
        <is>
          <t>Предложение и вопросы</t>
        </is>
      </c>
      <c r="D572" s="12" t="inlineStr">
        <is>
          <t>Conditional linkers (unless, provided…)</t>
        </is>
      </c>
      <c r="E572" s="13" t="inlineStr">
        <is>
          <t>Conditional linkers: but for, otherwise, or else</t>
        </is>
      </c>
      <c r="F572" s="11" t="inlineStr">
        <is>
          <t>10+</t>
        </is>
      </c>
      <c r="G572" s="11" t="inlineStr"/>
      <c r="H572" s="11" t="inlineStr"/>
      <c r="I572" s="11" t="inlineStr"/>
      <c r="J572" s="11" t="inlineStr"/>
      <c r="K572" s="11" t="inlineStr"/>
      <c r="L572" s="11" t="inlineStr"/>
      <c r="M572" s="23" t="inlineStr">
        <is>
          <t>М7 (7c) · новое</t>
        </is>
      </c>
      <c r="N572" s="16" t="inlineStr">
        <is>
          <t>М6 (6c) · повт.</t>
        </is>
      </c>
      <c r="O572" s="16" t="inlineStr">
        <is>
          <t>М7 (7c) · повт.</t>
        </is>
      </c>
      <c r="P572" s="20" t="inlineStr">
        <is>
          <t>—</t>
        </is>
      </c>
      <c r="Q572" s="21" t="inlineStr"/>
      <c r="R572" s="17" t="inlineStr">
        <is>
          <t>нет</t>
        </is>
      </c>
      <c r="S572" s="11" t="inlineStr"/>
      <c r="T572" s="11" t="inlineStr"/>
    </row>
    <row r="573">
      <c r="A573" s="11" t="n">
        <v>572</v>
      </c>
      <c r="B573" s="11" t="inlineStr">
        <is>
          <t>Грамматика</t>
        </is>
      </c>
      <c r="C573" s="11" t="inlineStr">
        <is>
          <t>Предложение и вопросы</t>
        </is>
      </c>
      <c r="D573" s="12" t="inlineStr">
        <is>
          <t>Conditional linkers (unless, provided…)</t>
        </is>
      </c>
      <c r="E573" s="13" t="inlineStr">
        <is>
          <t>Conditional linkers: what if, supposing, even if</t>
        </is>
      </c>
      <c r="F573" s="11" t="inlineStr">
        <is>
          <t>10+</t>
        </is>
      </c>
      <c r="G573" s="11" t="inlineStr"/>
      <c r="H573" s="11" t="inlineStr"/>
      <c r="I573" s="11" t="inlineStr"/>
      <c r="J573" s="11" t="inlineStr"/>
      <c r="K573" s="11" t="inlineStr"/>
      <c r="L573" s="11" t="inlineStr"/>
      <c r="M573" s="23" t="inlineStr">
        <is>
          <t>М7 (7c) · новое</t>
        </is>
      </c>
      <c r="N573" s="16" t="inlineStr">
        <is>
          <t>М6 (6c) · повт.</t>
        </is>
      </c>
      <c r="O573" s="16" t="inlineStr">
        <is>
          <t>М7 (7c) · повт.</t>
        </is>
      </c>
      <c r="P573" s="20" t="inlineStr">
        <is>
          <t>—</t>
        </is>
      </c>
      <c r="Q573" s="21" t="inlineStr"/>
      <c r="R573" s="17" t="inlineStr">
        <is>
          <t>нет</t>
        </is>
      </c>
      <c r="S573" s="11" t="inlineStr"/>
      <c r="T573" s="11" t="inlineStr"/>
    </row>
    <row r="574">
      <c r="A574" s="11" t="n">
        <v>573</v>
      </c>
      <c r="B574" s="11" t="inlineStr">
        <is>
          <t>Грамматика</t>
        </is>
      </c>
      <c r="C574" s="11" t="inlineStr">
        <is>
          <t>Предложение и вопросы</t>
        </is>
      </c>
      <c r="D574" s="12" t="inlineStr">
        <is>
          <t>Conditional linkers (unless, provided…)</t>
        </is>
      </c>
      <c r="E574" s="13" t="inlineStr">
        <is>
          <t>Conditional linkers: only if (+ инверсия в главном предложении)</t>
        </is>
      </c>
      <c r="F574" s="11" t="inlineStr">
        <is>
          <t>10+</t>
        </is>
      </c>
      <c r="G574" s="11" t="inlineStr"/>
      <c r="H574" s="11" t="inlineStr"/>
      <c r="I574" s="11" t="inlineStr"/>
      <c r="J574" s="11" t="inlineStr"/>
      <c r="K574" s="11" t="inlineStr"/>
      <c r="L574" s="11" t="inlineStr"/>
      <c r="M574" s="23" t="inlineStr">
        <is>
          <t>М7 (7c) · новое</t>
        </is>
      </c>
      <c r="N574" s="16" t="inlineStr">
        <is>
          <t>М6 (6c) · повт.</t>
        </is>
      </c>
      <c r="O574" s="16" t="inlineStr">
        <is>
          <t>М7 (7c) · повт.</t>
        </is>
      </c>
      <c r="P574" s="20" t="inlineStr">
        <is>
          <t>—</t>
        </is>
      </c>
      <c r="Q574" s="21" t="inlineStr"/>
      <c r="R574" s="17" t="inlineStr">
        <is>
          <t>нет</t>
        </is>
      </c>
      <c r="S574" s="11" t="inlineStr"/>
      <c r="T574" s="11" t="inlineStr"/>
    </row>
    <row r="575">
      <c r="A575" s="11" t="n">
        <v>574</v>
      </c>
      <c r="B575" s="11" t="inlineStr">
        <is>
          <t>Грамматика</t>
        </is>
      </c>
      <c r="C575" s="11" t="inlineStr">
        <is>
          <t>Предложение и вопросы</t>
        </is>
      </c>
      <c r="D575" s="12" t="inlineStr">
        <is>
          <t>Conditional linkers (unless, provided…)</t>
        </is>
      </c>
      <c r="E575" s="13" t="inlineStr">
        <is>
          <t>Conditional linkers: will/would/should в if-части (просьба, раздражение, сомнение)</t>
        </is>
      </c>
      <c r="F575" s="11" t="inlineStr">
        <is>
          <t>10+</t>
        </is>
      </c>
      <c r="G575" s="11" t="inlineStr"/>
      <c r="H575" s="11" t="inlineStr"/>
      <c r="I575" s="11" t="inlineStr"/>
      <c r="J575" s="11" t="inlineStr"/>
      <c r="K575" s="11" t="inlineStr"/>
      <c r="L575" s="11" t="inlineStr"/>
      <c r="M575" s="23" t="inlineStr">
        <is>
          <t>М7 (7c) · новое</t>
        </is>
      </c>
      <c r="N575" s="16" t="inlineStr">
        <is>
          <t>М6 (6c) · повт.</t>
        </is>
      </c>
      <c r="O575" s="19" t="inlineStr">
        <is>
          <t>М7 (7c) · расш.</t>
        </is>
      </c>
      <c r="P575" s="20" t="inlineStr">
        <is>
          <t>—</t>
        </is>
      </c>
      <c r="Q575" s="21" t="inlineStr"/>
      <c r="R575" s="17" t="inlineStr">
        <is>
          <t>нет</t>
        </is>
      </c>
      <c r="S575" s="11" t="inlineStr"/>
      <c r="T575" s="11" t="inlineStr"/>
    </row>
    <row r="576">
      <c r="A576" s="4" t="n">
        <v>575</v>
      </c>
      <c r="B576" s="4" t="inlineStr">
        <is>
          <t>Грамматика</t>
        </is>
      </c>
      <c r="C576" s="4" t="inlineStr">
        <is>
          <t>Предложение и вопросы</t>
        </is>
      </c>
      <c r="D576" s="5" t="inlineStr">
        <is>
          <t>Exclamations</t>
        </is>
      </c>
      <c r="E576" s="26" t="inlineStr">
        <is>
          <t>Exclamations: How + прил./нареч.!</t>
        </is>
      </c>
      <c r="F576" s="4" t="inlineStr">
        <is>
          <t>10+</t>
        </is>
      </c>
      <c r="G576" s="4" t="inlineStr"/>
      <c r="H576" s="4" t="inlineStr"/>
      <c r="I576" s="4" t="inlineStr"/>
      <c r="J576" s="4" t="inlineStr"/>
      <c r="K576" s="4" t="inlineStr"/>
      <c r="L576" s="4" t="inlineStr"/>
      <c r="M576" s="27" t="inlineStr">
        <is>
          <t>М1 (1c) · новое</t>
        </is>
      </c>
      <c r="N576" s="4" t="inlineStr"/>
      <c r="O576" s="4" t="inlineStr"/>
      <c r="P576" s="28" t="inlineStr">
        <is>
          <t>—</t>
        </is>
      </c>
      <c r="Q576" s="29" t="inlineStr"/>
      <c r="R576" s="10" t="inlineStr">
        <is>
          <t>вебинар</t>
        </is>
      </c>
      <c r="S576" s="4" t="inlineStr">
        <is>
          <t>вебинар 06.10 (проведён, ждём видео): Exclamations what how + festivals
материалы: Exclamations what how + festivals</t>
        </is>
      </c>
      <c r="T576" s="4" t="inlineStr"/>
    </row>
    <row r="577">
      <c r="A577" s="11" t="n">
        <v>576</v>
      </c>
      <c r="B577" s="11" t="inlineStr">
        <is>
          <t>Грамматика</t>
        </is>
      </c>
      <c r="C577" s="11" t="inlineStr">
        <is>
          <t>Предложение и вопросы</t>
        </is>
      </c>
      <c r="D577" s="12" t="inlineStr">
        <is>
          <t>Exclamations</t>
        </is>
      </c>
      <c r="E577" s="18" t="inlineStr">
        <is>
          <t>Exclamations: What a/an (+ прил.) + исчисл. сущ. ед. ч.!</t>
        </is>
      </c>
      <c r="F577" s="11" t="inlineStr">
        <is>
          <t>10+</t>
        </is>
      </c>
      <c r="G577" s="11" t="inlineStr"/>
      <c r="H577" s="11" t="inlineStr"/>
      <c r="I577" s="11" t="inlineStr"/>
      <c r="J577" s="11" t="inlineStr"/>
      <c r="K577" s="11" t="inlineStr"/>
      <c r="L577" s="11" t="inlineStr"/>
      <c r="M577" s="23" t="inlineStr">
        <is>
          <t>М1 (1c) · новое</t>
        </is>
      </c>
      <c r="N577" s="11" t="inlineStr"/>
      <c r="O577" s="11" t="inlineStr"/>
      <c r="P577" s="20" t="inlineStr">
        <is>
          <t>—</t>
        </is>
      </c>
      <c r="Q577" s="21" t="inlineStr"/>
      <c r="R577" s="17" t="inlineStr">
        <is>
          <t>вебинар</t>
        </is>
      </c>
      <c r="S577" s="11" t="inlineStr">
        <is>
          <t>вебинар 06.10 (проведён, ждём видео): Exclamations what how + festivals
материалы: Exclamations what how + festivals</t>
        </is>
      </c>
      <c r="T577" s="11" t="inlineStr"/>
    </row>
    <row r="578">
      <c r="A578" s="11" t="n">
        <v>577</v>
      </c>
      <c r="B578" s="11" t="inlineStr">
        <is>
          <t>Грамматика</t>
        </is>
      </c>
      <c r="C578" s="11" t="inlineStr">
        <is>
          <t>Предложение и вопросы</t>
        </is>
      </c>
      <c r="D578" s="12" t="inlineStr">
        <is>
          <t>Exclamations</t>
        </is>
      </c>
      <c r="E578" s="18" t="inlineStr">
        <is>
          <t>Exclamations: What (+ прил.) + неисчисл. / мн. ч.!</t>
        </is>
      </c>
      <c r="F578" s="11" t="inlineStr">
        <is>
          <t>10+</t>
        </is>
      </c>
      <c r="G578" s="11" t="inlineStr"/>
      <c r="H578" s="11" t="inlineStr"/>
      <c r="I578" s="11" t="inlineStr"/>
      <c r="J578" s="11" t="inlineStr"/>
      <c r="K578" s="11" t="inlineStr"/>
      <c r="L578" s="11" t="inlineStr"/>
      <c r="M578" s="23" t="inlineStr">
        <is>
          <t>М1 (1c) · новое</t>
        </is>
      </c>
      <c r="N578" s="11" t="inlineStr"/>
      <c r="O578" s="11" t="inlineStr"/>
      <c r="P578" s="20" t="inlineStr">
        <is>
          <t>—</t>
        </is>
      </c>
      <c r="Q578" s="21" t="inlineStr"/>
      <c r="R578" s="17" t="inlineStr">
        <is>
          <t>вебинар</t>
        </is>
      </c>
      <c r="S578" s="11" t="inlineStr">
        <is>
          <t>вебинар 06.10 (проведён, ждём видео): Exclamations what how + festivals
материалы: Exclamations what how + festivals</t>
        </is>
      </c>
      <c r="T578" s="11" t="inlineStr"/>
    </row>
    <row r="579">
      <c r="A579" s="11" t="n">
        <v>578</v>
      </c>
      <c r="B579" s="11" t="inlineStr">
        <is>
          <t>Грамматика</t>
        </is>
      </c>
      <c r="C579" s="11" t="inlineStr">
        <is>
          <t>Предложение и вопросы</t>
        </is>
      </c>
      <c r="D579" s="12" t="inlineStr">
        <is>
          <t>Exclamations</t>
        </is>
      </c>
      <c r="E579" s="13" t="inlineStr">
        <is>
          <t>Exclamations: отрицательный вопрос (Isn't it great…!)</t>
        </is>
      </c>
      <c r="F579" s="11" t="inlineStr">
        <is>
          <t>10+</t>
        </is>
      </c>
      <c r="G579" s="11" t="inlineStr"/>
      <c r="H579" s="11" t="inlineStr"/>
      <c r="I579" s="11" t="inlineStr"/>
      <c r="J579" s="11" t="inlineStr"/>
      <c r="K579" s="11" t="inlineStr"/>
      <c r="L579" s="11" t="inlineStr"/>
      <c r="M579" s="23" t="inlineStr">
        <is>
          <t>М1 (1c) · новое</t>
        </is>
      </c>
      <c r="N579" s="11" t="inlineStr"/>
      <c r="O579" s="11" t="inlineStr"/>
      <c r="P579" s="20" t="inlineStr">
        <is>
          <t>—</t>
        </is>
      </c>
      <c r="Q579" s="21" t="inlineStr"/>
      <c r="R579" s="17" t="inlineStr">
        <is>
          <t>нет</t>
        </is>
      </c>
      <c r="S579" s="11" t="inlineStr"/>
      <c r="T579" s="11" t="inlineStr"/>
    </row>
    <row r="580">
      <c r="A580" s="4" t="n">
        <v>579</v>
      </c>
      <c r="B580" s="4" t="inlineStr">
        <is>
          <t>Грамматика</t>
        </is>
      </c>
      <c r="C580" s="4" t="inlineStr">
        <is>
          <t>Предложение и вопросы</t>
        </is>
      </c>
      <c r="D580" s="5" t="inlineStr">
        <is>
          <t>Inversion</t>
        </is>
      </c>
      <c r="E580" s="24" t="inlineStr">
        <is>
          <t>Inversion: условные без if — Should/Were/Had + подлежащее</t>
        </is>
      </c>
      <c r="F580" s="4" t="inlineStr">
        <is>
          <t>10+</t>
        </is>
      </c>
      <c r="G580" s="4" t="inlineStr"/>
      <c r="H580" s="4" t="inlineStr"/>
      <c r="I580" s="4" t="inlineStr"/>
      <c r="J580" s="4" t="inlineStr"/>
      <c r="K580" s="4" t="inlineStr"/>
      <c r="L580" s="4" t="inlineStr"/>
      <c r="M580" s="27" t="inlineStr">
        <is>
          <t>М7 (7c) · новое</t>
        </is>
      </c>
      <c r="N580" s="9" t="inlineStr">
        <is>
          <t>М6 (6c) · повт.</t>
        </is>
      </c>
      <c r="O580" s="9" t="inlineStr">
        <is>
          <t>М7 (7c) · повт.
М8 (8c) · повт.</t>
        </is>
      </c>
      <c r="P580" s="28" t="inlineStr">
        <is>
          <t>—</t>
        </is>
      </c>
      <c r="Q580" s="29" t="inlineStr"/>
      <c r="R580" s="10" t="inlineStr">
        <is>
          <t>нет</t>
        </is>
      </c>
      <c r="S580" s="4" t="inlineStr"/>
      <c r="T580" s="4" t="inlineStr"/>
    </row>
    <row r="581">
      <c r="A581" s="11" t="n">
        <v>580</v>
      </c>
      <c r="B581" s="11" t="inlineStr">
        <is>
          <t>Грамматика</t>
        </is>
      </c>
      <c r="C581" s="11" t="inlineStr">
        <is>
          <t>Предложение и вопросы</t>
        </is>
      </c>
      <c r="D581" s="12" t="inlineStr">
        <is>
          <t>Inversion</t>
        </is>
      </c>
      <c r="E581" s="13" t="inlineStr">
        <is>
          <t>Inversion: эмфатическая — форма (вспомогательный / do, does, did + подлежащее)</t>
        </is>
      </c>
      <c r="F581" s="11" t="inlineStr">
        <is>
          <t>10+</t>
        </is>
      </c>
      <c r="G581" s="11" t="inlineStr"/>
      <c r="H581" s="11" t="inlineStr"/>
      <c r="I581" s="11" t="inlineStr"/>
      <c r="J581" s="11" t="inlineStr"/>
      <c r="K581" s="11" t="inlineStr"/>
      <c r="L581" s="11" t="inlineStr"/>
      <c r="M581" s="11" t="inlineStr"/>
      <c r="N581" s="11" t="inlineStr"/>
      <c r="O581" s="23" t="inlineStr">
        <is>
          <t>М8 (8c) · новое</t>
        </is>
      </c>
      <c r="P581" s="20" t="inlineStr">
        <is>
          <t>—</t>
        </is>
      </c>
      <c r="Q581" s="21" t="inlineStr"/>
      <c r="R581" s="17" t="inlineStr">
        <is>
          <t>нет</t>
        </is>
      </c>
      <c r="S581" s="11" t="inlineStr"/>
      <c r="T581" s="11" t="inlineStr"/>
    </row>
    <row r="582">
      <c r="A582" s="11" t="n">
        <v>581</v>
      </c>
      <c r="B582" s="11" t="inlineStr">
        <is>
          <t>Грамматика</t>
        </is>
      </c>
      <c r="C582" s="11" t="inlineStr">
        <is>
          <t>Предложение и вопросы</t>
        </is>
      </c>
      <c r="D582" s="12" t="inlineStr">
        <is>
          <t>Inversion</t>
        </is>
      </c>
      <c r="E582" s="13" t="inlineStr">
        <is>
          <t>Inversion: после отрицательных наречий в начале (Never, Rarely, Seldom, Little, Hardly… when, No sooner… than, Not only… but also)</t>
        </is>
      </c>
      <c r="F582" s="11" t="inlineStr">
        <is>
          <t>10+</t>
        </is>
      </c>
      <c r="G582" s="11" t="inlineStr"/>
      <c r="H582" s="11" t="inlineStr"/>
      <c r="I582" s="11" t="inlineStr"/>
      <c r="J582" s="11" t="inlineStr"/>
      <c r="K582" s="11" t="inlineStr"/>
      <c r="L582" s="11" t="inlineStr"/>
      <c r="M582" s="11" t="inlineStr"/>
      <c r="N582" s="11" t="inlineStr"/>
      <c r="O582" s="23" t="inlineStr">
        <is>
          <t>М8 (8c) · новое</t>
        </is>
      </c>
      <c r="P582" s="20" t="inlineStr">
        <is>
          <t>—</t>
        </is>
      </c>
      <c r="Q582" s="21" t="inlineStr"/>
      <c r="R582" s="17" t="inlineStr">
        <is>
          <t>нет</t>
        </is>
      </c>
      <c r="S582" s="11" t="inlineStr"/>
      <c r="T582" s="11" t="inlineStr"/>
    </row>
    <row r="583">
      <c r="A583" s="11" t="n">
        <v>582</v>
      </c>
      <c r="B583" s="11" t="inlineStr">
        <is>
          <t>Грамматика</t>
        </is>
      </c>
      <c r="C583" s="11" t="inlineStr">
        <is>
          <t>Предложение и вопросы</t>
        </is>
      </c>
      <c r="D583" s="12" t="inlineStr">
        <is>
          <t>Inversion</t>
        </is>
      </c>
      <c r="E583" s="13" t="inlineStr">
        <is>
          <t>Inversion: после Only after/by/when/then, Not till/until, Not since — в главном предложении</t>
        </is>
      </c>
      <c r="F583" s="11" t="inlineStr">
        <is>
          <t>10+</t>
        </is>
      </c>
      <c r="G583" s="11" t="inlineStr"/>
      <c r="H583" s="11" t="inlineStr"/>
      <c r="I583" s="11" t="inlineStr"/>
      <c r="J583" s="11" t="inlineStr"/>
      <c r="K583" s="11" t="inlineStr"/>
      <c r="L583" s="11" t="inlineStr"/>
      <c r="M583" s="11" t="inlineStr"/>
      <c r="N583" s="11" t="inlineStr"/>
      <c r="O583" s="23" t="inlineStr">
        <is>
          <t>М8 (8c) · новое</t>
        </is>
      </c>
      <c r="P583" s="20" t="inlineStr">
        <is>
          <t>—</t>
        </is>
      </c>
      <c r="Q583" s="21" t="inlineStr"/>
      <c r="R583" s="17" t="inlineStr">
        <is>
          <t>нет</t>
        </is>
      </c>
      <c r="S583" s="11" t="inlineStr"/>
      <c r="T583" s="11" t="inlineStr"/>
    </row>
    <row r="584">
      <c r="A584" s="11" t="n">
        <v>583</v>
      </c>
      <c r="B584" s="11" t="inlineStr">
        <is>
          <t>Грамматика</t>
        </is>
      </c>
      <c r="C584" s="11" t="inlineStr">
        <is>
          <t>Предложение и вопросы</t>
        </is>
      </c>
      <c r="D584" s="12" t="inlineStr">
        <is>
          <t>Inversion</t>
        </is>
      </c>
      <c r="E584" s="13" t="inlineStr">
        <is>
          <t>Inversion: после So/Such в начале (результат)</t>
        </is>
      </c>
      <c r="F584" s="11" t="inlineStr">
        <is>
          <t>10+</t>
        </is>
      </c>
      <c r="G584" s="11" t="inlineStr"/>
      <c r="H584" s="11" t="inlineStr"/>
      <c r="I584" s="11" t="inlineStr"/>
      <c r="J584" s="11" t="inlineStr"/>
      <c r="K584" s="11" t="inlineStr"/>
      <c r="L584" s="11" t="inlineStr"/>
      <c r="M584" s="11" t="inlineStr"/>
      <c r="N584" s="11" t="inlineStr"/>
      <c r="O584" s="23" t="inlineStr">
        <is>
          <t>М8 (8c) · новое</t>
        </is>
      </c>
      <c r="P584" s="20" t="inlineStr">
        <is>
          <t>—</t>
        </is>
      </c>
      <c r="Q584" s="21" t="inlineStr"/>
      <c r="R584" s="17" t="inlineStr">
        <is>
          <t>нет</t>
        </is>
      </c>
      <c r="S584" s="11" t="inlineStr"/>
      <c r="T584" s="11" t="inlineStr"/>
    </row>
    <row r="585">
      <c r="A585" s="11" t="n">
        <v>584</v>
      </c>
      <c r="B585" s="11" t="inlineStr">
        <is>
          <t>Грамматика</t>
        </is>
      </c>
      <c r="C585" s="11" t="inlineStr">
        <is>
          <t>Предложение и вопросы</t>
        </is>
      </c>
      <c r="D585" s="12" t="inlineStr">
        <is>
          <t>Inversion</t>
        </is>
      </c>
      <c r="E585" s="13" t="inlineStr">
        <is>
          <t>Inversion: согласие после as, so, neither/nor</t>
        </is>
      </c>
      <c r="F585" s="11" t="inlineStr">
        <is>
          <t>10+</t>
        </is>
      </c>
      <c r="G585" s="11" t="inlineStr"/>
      <c r="H585" s="11" t="inlineStr"/>
      <c r="I585" s="11" t="inlineStr"/>
      <c r="J585" s="11" t="inlineStr"/>
      <c r="K585" s="11" t="inlineStr"/>
      <c r="L585" s="11" t="inlineStr"/>
      <c r="M585" s="11" t="inlineStr"/>
      <c r="N585" s="11" t="inlineStr"/>
      <c r="O585" s="23" t="inlineStr">
        <is>
          <t>М8 (8c) · новое</t>
        </is>
      </c>
      <c r="P585" s="20" t="inlineStr">
        <is>
          <t>—</t>
        </is>
      </c>
      <c r="Q585" s="21" t="inlineStr"/>
      <c r="R585" s="17" t="inlineStr">
        <is>
          <t>нет</t>
        </is>
      </c>
      <c r="S585" s="11" t="inlineStr"/>
      <c r="T585" s="11" t="inlineStr"/>
    </row>
    <row r="586">
      <c r="A586" s="11" t="n">
        <v>585</v>
      </c>
      <c r="B586" s="11" t="inlineStr">
        <is>
          <t>Грамматика</t>
        </is>
      </c>
      <c r="C586" s="11" t="inlineStr">
        <is>
          <t>Предложение и вопросы</t>
        </is>
      </c>
      <c r="D586" s="12" t="inlineStr">
        <is>
          <t>Inversion</t>
        </is>
      </c>
      <c r="E586" s="13" t="inlineStr">
        <is>
          <t>Inversion: смысловой глагол после Here/There (There goes the bus — НО There it goes)</t>
        </is>
      </c>
      <c r="F586" s="11" t="inlineStr">
        <is>
          <t>10+</t>
        </is>
      </c>
      <c r="G586" s="11" t="inlineStr"/>
      <c r="H586" s="11" t="inlineStr"/>
      <c r="I586" s="11" t="inlineStr"/>
      <c r="J586" s="11" t="inlineStr"/>
      <c r="K586" s="11" t="inlineStr"/>
      <c r="L586" s="11" t="inlineStr"/>
      <c r="M586" s="11" t="inlineStr"/>
      <c r="N586" s="11" t="inlineStr"/>
      <c r="O586" s="23" t="inlineStr">
        <is>
          <t>М8 (8c) · новое</t>
        </is>
      </c>
      <c r="P586" s="20" t="inlineStr">
        <is>
          <t>—</t>
        </is>
      </c>
      <c r="Q586" s="21" t="inlineStr"/>
      <c r="R586" s="17" t="inlineStr">
        <is>
          <t>нет</t>
        </is>
      </c>
      <c r="S586" s="11" t="inlineStr"/>
      <c r="T586" s="11" t="inlineStr"/>
    </row>
    <row r="587">
      <c r="A587" s="11" t="n">
        <v>586</v>
      </c>
      <c r="B587" s="11" t="inlineStr">
        <is>
          <t>Грамматика</t>
        </is>
      </c>
      <c r="C587" s="11" t="inlineStr">
        <is>
          <t>Предложение и вопросы</t>
        </is>
      </c>
      <c r="D587" s="12" t="inlineStr">
        <is>
          <t>Inversion</t>
        </is>
      </c>
      <c r="E587" s="13" t="inlineStr">
        <is>
          <t>Inversion: в прямой речи после цитаты (said Bill — НО he said)</t>
        </is>
      </c>
      <c r="F587" s="11" t="inlineStr">
        <is>
          <t>10+</t>
        </is>
      </c>
      <c r="G587" s="11" t="inlineStr"/>
      <c r="H587" s="11" t="inlineStr"/>
      <c r="I587" s="11" t="inlineStr"/>
      <c r="J587" s="11" t="inlineStr"/>
      <c r="K587" s="11" t="inlineStr"/>
      <c r="L587" s="11" t="inlineStr"/>
      <c r="M587" s="11" t="inlineStr"/>
      <c r="N587" s="11" t="inlineStr"/>
      <c r="O587" s="23" t="inlineStr">
        <is>
          <t>М8 (8c) · новое</t>
        </is>
      </c>
      <c r="P587" s="20" t="inlineStr">
        <is>
          <t>—</t>
        </is>
      </c>
      <c r="Q587" s="21" t="inlineStr"/>
      <c r="R587" s="17" t="inlineStr">
        <is>
          <t>нет</t>
        </is>
      </c>
      <c r="S587" s="11" t="inlineStr"/>
      <c r="T587" s="11" t="inlineStr"/>
    </row>
    <row r="588">
      <c r="A588" s="4" t="n">
        <v>587</v>
      </c>
      <c r="B588" s="4" t="inlineStr">
        <is>
          <t>Грамматика</t>
        </is>
      </c>
      <c r="C588" s="4" t="inlineStr">
        <is>
          <t>Предложение и вопросы</t>
        </is>
      </c>
      <c r="D588" s="5" t="inlineStr">
        <is>
          <t>Clauses of reason</t>
        </is>
      </c>
      <c r="E588" s="24" t="inlineStr">
        <is>
          <t>Clauses of reason: as / because / for / on the grounds that</t>
        </is>
      </c>
      <c r="F588" s="4" t="inlineStr">
        <is>
          <t>10+</t>
        </is>
      </c>
      <c r="G588" s="4" t="inlineStr"/>
      <c r="H588" s="4" t="inlineStr"/>
      <c r="I588" s="4" t="inlineStr"/>
      <c r="J588" s="4" t="inlineStr"/>
      <c r="K588" s="4" t="inlineStr"/>
      <c r="L588" s="4" t="inlineStr"/>
      <c r="M588" s="4" t="inlineStr"/>
      <c r="N588" s="4" t="inlineStr"/>
      <c r="O588" s="27" t="inlineStr">
        <is>
          <t>М2 (2c) · новое</t>
        </is>
      </c>
      <c r="P588" s="28" t="inlineStr">
        <is>
          <t>—</t>
        </is>
      </c>
      <c r="Q588" s="29" t="inlineStr"/>
      <c r="R588" s="10" t="inlineStr">
        <is>
          <t>нет</t>
        </is>
      </c>
      <c r="S588" s="4" t="inlineStr"/>
      <c r="T588" s="4" t="inlineStr"/>
    </row>
    <row r="589">
      <c r="A589" s="11" t="n">
        <v>588</v>
      </c>
      <c r="B589" s="11" t="inlineStr">
        <is>
          <t>Грамматика</t>
        </is>
      </c>
      <c r="C589" s="11" t="inlineStr">
        <is>
          <t>Предложение и вопросы</t>
        </is>
      </c>
      <c r="D589" s="12" t="inlineStr">
        <is>
          <t>Clauses of reason</t>
        </is>
      </c>
      <c r="E589" s="13" t="inlineStr">
        <is>
          <t>Clauses of reason: the reason for / the reason (why)</t>
        </is>
      </c>
      <c r="F589" s="11" t="inlineStr">
        <is>
          <t>10+</t>
        </is>
      </c>
      <c r="G589" s="11" t="inlineStr"/>
      <c r="H589" s="11" t="inlineStr"/>
      <c r="I589" s="11" t="inlineStr"/>
      <c r="J589" s="11" t="inlineStr"/>
      <c r="K589" s="11" t="inlineStr"/>
      <c r="L589" s="11" t="inlineStr"/>
      <c r="M589" s="11" t="inlineStr"/>
      <c r="N589" s="11" t="inlineStr"/>
      <c r="O589" s="23" t="inlineStr">
        <is>
          <t>М2 (2c) · новое</t>
        </is>
      </c>
      <c r="P589" s="20" t="inlineStr">
        <is>
          <t>—</t>
        </is>
      </c>
      <c r="Q589" s="21" t="inlineStr"/>
      <c r="R589" s="17" t="inlineStr">
        <is>
          <t>нет</t>
        </is>
      </c>
      <c r="S589" s="11" t="inlineStr"/>
      <c r="T589" s="11" t="inlineStr"/>
    </row>
    <row r="590">
      <c r="A590" s="11" t="n">
        <v>589</v>
      </c>
      <c r="B590" s="11" t="inlineStr">
        <is>
          <t>Грамматика</t>
        </is>
      </c>
      <c r="C590" s="11" t="inlineStr">
        <is>
          <t>Предложение и вопросы</t>
        </is>
      </c>
      <c r="D590" s="12" t="inlineStr">
        <is>
          <t>Clauses of reason</t>
        </is>
      </c>
      <c r="E590" s="13" t="inlineStr">
        <is>
          <t>Clauses of reason: because of / due to (+ the fact that)</t>
        </is>
      </c>
      <c r="F590" s="11" t="inlineStr">
        <is>
          <t>10+</t>
        </is>
      </c>
      <c r="G590" s="11" t="inlineStr"/>
      <c r="H590" s="11" t="inlineStr"/>
      <c r="I590" s="11" t="inlineStr"/>
      <c r="J590" s="11" t="inlineStr"/>
      <c r="K590" s="11" t="inlineStr"/>
      <c r="L590" s="11" t="inlineStr"/>
      <c r="M590" s="11" t="inlineStr"/>
      <c r="N590" s="11" t="inlineStr"/>
      <c r="O590" s="23" t="inlineStr">
        <is>
          <t>М2 (2c) · новое</t>
        </is>
      </c>
      <c r="P590" s="20" t="inlineStr">
        <is>
          <t>—</t>
        </is>
      </c>
      <c r="Q590" s="21" t="inlineStr"/>
      <c r="R590" s="17" t="inlineStr">
        <is>
          <t>нет</t>
        </is>
      </c>
      <c r="S590" s="11" t="inlineStr"/>
      <c r="T590" s="11" t="inlineStr"/>
    </row>
    <row r="591">
      <c r="A591" s="4" t="n">
        <v>590</v>
      </c>
      <c r="B591" s="4" t="inlineStr">
        <is>
          <t>Грамматика</t>
        </is>
      </c>
      <c r="C591" s="4" t="inlineStr">
        <is>
          <t>Предложение и вопросы</t>
        </is>
      </c>
      <c r="D591" s="5" t="inlineStr">
        <is>
          <t>Prepositions in relative clauses</t>
        </is>
      </c>
      <c r="E591" s="24" t="inlineStr">
        <is>
          <t>Prepositions in relative clauses: предлог + whom/which (that невозможен)</t>
        </is>
      </c>
      <c r="F591" s="4" t="inlineStr">
        <is>
          <t>10+</t>
        </is>
      </c>
      <c r="G591" s="4" t="inlineStr"/>
      <c r="H591" s="4" t="inlineStr"/>
      <c r="I591" s="4" t="inlineStr"/>
      <c r="J591" s="4" t="inlineStr"/>
      <c r="K591" s="4" t="inlineStr"/>
      <c r="L591" s="4" t="inlineStr"/>
      <c r="M591" s="4" t="inlineStr"/>
      <c r="N591" s="4" t="inlineStr"/>
      <c r="O591" s="9" t="inlineStr">
        <is>
          <t>М2 (2c) · повт.</t>
        </is>
      </c>
      <c r="P591" s="28" t="inlineStr">
        <is>
          <t>—</t>
        </is>
      </c>
      <c r="Q591" s="29" t="inlineStr"/>
      <c r="R591" s="10" t="inlineStr">
        <is>
          <t>нет</t>
        </is>
      </c>
      <c r="S591" s="4" t="inlineStr"/>
      <c r="T591" s="4" t="inlineStr"/>
    </row>
    <row r="592">
      <c r="A592" s="4" t="n">
        <v>591</v>
      </c>
      <c r="B592" s="4" t="inlineStr">
        <is>
          <t>Грамматика</t>
        </is>
      </c>
      <c r="C592" s="4" t="inlineStr">
        <is>
          <t>Предложение и вопросы</t>
        </is>
      </c>
      <c r="D592" s="5" t="inlineStr">
        <is>
          <t>Relative adverbs</t>
        </is>
      </c>
      <c r="E592" s="24" t="inlineStr">
        <is>
          <t>Relative adverbs: when/that — время</t>
        </is>
      </c>
      <c r="F592" s="4" t="inlineStr">
        <is>
          <t>10+</t>
        </is>
      </c>
      <c r="G592" s="4" t="inlineStr"/>
      <c r="H592" s="4" t="inlineStr"/>
      <c r="I592" s="4" t="inlineStr"/>
      <c r="J592" s="4" t="inlineStr"/>
      <c r="K592" s="4" t="inlineStr"/>
      <c r="L592" s="4" t="inlineStr"/>
      <c r="M592" s="4" t="inlineStr"/>
      <c r="N592" s="4" t="inlineStr"/>
      <c r="O592" s="9" t="inlineStr">
        <is>
          <t>М2 (2c) · повт.</t>
        </is>
      </c>
      <c r="P592" s="28" t="inlineStr">
        <is>
          <t>—</t>
        </is>
      </c>
      <c r="Q592" s="29" t="inlineStr"/>
      <c r="R592" s="10" t="inlineStr">
        <is>
          <t>нет</t>
        </is>
      </c>
      <c r="S592" s="4" t="inlineStr"/>
      <c r="T592" s="4" t="inlineStr"/>
    </row>
    <row r="593">
      <c r="A593" s="11" t="n">
        <v>592</v>
      </c>
      <c r="B593" s="11" t="inlineStr">
        <is>
          <t>Грамматика</t>
        </is>
      </c>
      <c r="C593" s="11" t="inlineStr">
        <is>
          <t>Предложение и вопросы</t>
        </is>
      </c>
      <c r="D593" s="12" t="inlineStr">
        <is>
          <t>Relative adverbs</t>
        </is>
      </c>
      <c r="E593" s="18" t="inlineStr">
        <is>
          <t>Relative adverbs: where — место</t>
        </is>
      </c>
      <c r="F593" s="11" t="inlineStr">
        <is>
          <t>10+</t>
        </is>
      </c>
      <c r="G593" s="11" t="inlineStr"/>
      <c r="H593" s="11" t="inlineStr"/>
      <c r="I593" s="11" t="inlineStr"/>
      <c r="J593" s="11" t="inlineStr"/>
      <c r="K593" s="11" t="inlineStr"/>
      <c r="L593" s="11" t="inlineStr"/>
      <c r="M593" s="11" t="inlineStr"/>
      <c r="N593" s="11" t="inlineStr"/>
      <c r="O593" s="16" t="inlineStr">
        <is>
          <t>М2 (2c) · повт.</t>
        </is>
      </c>
      <c r="P593" s="20" t="inlineStr">
        <is>
          <t>—</t>
        </is>
      </c>
      <c r="Q593" s="21" t="inlineStr"/>
      <c r="R593" s="17" t="inlineStr">
        <is>
          <t>вебинар</t>
        </is>
      </c>
      <c r="S593" s="11" t="inlineStr">
        <is>
          <t>вебинар 16.10 (по расписанию): Relative pronouns and adverbs
материалы: Relative pronouns and adverbs</t>
        </is>
      </c>
      <c r="T593" s="11" t="inlineStr"/>
    </row>
    <row r="594">
      <c r="A594" s="11" t="n">
        <v>593</v>
      </c>
      <c r="B594" s="11" t="inlineStr">
        <is>
          <t>Грамматика</t>
        </is>
      </c>
      <c r="C594" s="11" t="inlineStr">
        <is>
          <t>Предложение и вопросы</t>
        </is>
      </c>
      <c r="D594" s="12" t="inlineStr">
        <is>
          <t>Relative adverbs</t>
        </is>
      </c>
      <c r="E594" s="18" t="inlineStr">
        <is>
          <t>Relative adverbs: why — причина (the reason why)</t>
        </is>
      </c>
      <c r="F594" s="11" t="inlineStr">
        <is>
          <t>10+</t>
        </is>
      </c>
      <c r="G594" s="11" t="inlineStr"/>
      <c r="H594" s="11" t="inlineStr"/>
      <c r="I594" s="11" t="inlineStr"/>
      <c r="J594" s="11" t="inlineStr"/>
      <c r="K594" s="11" t="inlineStr"/>
      <c r="L594" s="11" t="inlineStr"/>
      <c r="M594" s="11" t="inlineStr"/>
      <c r="N594" s="11" t="inlineStr"/>
      <c r="O594" s="16" t="inlineStr">
        <is>
          <t>М2 (2c) · повт.</t>
        </is>
      </c>
      <c r="P594" s="20" t="inlineStr">
        <is>
          <t>—</t>
        </is>
      </c>
      <c r="Q594" s="21" t="inlineStr"/>
      <c r="R594" s="17" t="inlineStr">
        <is>
          <t>вебинар</t>
        </is>
      </c>
      <c r="S594" s="11" t="inlineStr">
        <is>
          <t>вебинар 16.10 (по расписанию): Relative pronouns and adverbs
материалы: Relative pronouns and adverbs</t>
        </is>
      </c>
      <c r="T594" s="11" t="inlineStr"/>
    </row>
    <row r="595">
      <c r="A595" s="4" t="n">
        <v>594</v>
      </c>
      <c r="B595" s="4" t="inlineStr">
        <is>
          <t>Грамматика</t>
        </is>
      </c>
      <c r="C595" s="4" t="inlineStr">
        <is>
          <t>Предложение и вопросы</t>
        </is>
      </c>
      <c r="D595" s="5" t="inlineStr">
        <is>
          <t>So / Neither / Nor (agreement)</t>
        </is>
      </c>
      <c r="E595" s="24" t="inlineStr">
        <is>
          <t>So / Neither / Nor: So + aux + подлежащее — к утверждению</t>
        </is>
      </c>
      <c r="F595" s="4" t="inlineStr">
        <is>
          <t>10+</t>
        </is>
      </c>
      <c r="G595" s="4" t="inlineStr"/>
      <c r="H595" s="4" t="inlineStr"/>
      <c r="I595" s="4" t="inlineStr"/>
      <c r="J595" s="4" t="inlineStr"/>
      <c r="K595" s="4" t="inlineStr"/>
      <c r="L595" s="4" t="inlineStr"/>
      <c r="M595" s="4" t="inlineStr"/>
      <c r="N595" s="4" t="inlineStr"/>
      <c r="O595" s="27" t="inlineStr">
        <is>
          <t>М8 (8c) · новое</t>
        </is>
      </c>
      <c r="P595" s="28" t="inlineStr">
        <is>
          <t>—</t>
        </is>
      </c>
      <c r="Q595" s="29" t="inlineStr"/>
      <c r="R595" s="10" t="inlineStr">
        <is>
          <t>нет</t>
        </is>
      </c>
      <c r="S595" s="4" t="inlineStr"/>
      <c r="T595" s="4" t="inlineStr"/>
    </row>
    <row r="596">
      <c r="A596" s="11" t="n">
        <v>595</v>
      </c>
      <c r="B596" s="11" t="inlineStr">
        <is>
          <t>Грамматика</t>
        </is>
      </c>
      <c r="C596" s="11" t="inlineStr">
        <is>
          <t>Предложение и вопросы</t>
        </is>
      </c>
      <c r="D596" s="12" t="inlineStr">
        <is>
          <t>So / Neither / Nor (agreement)</t>
        </is>
      </c>
      <c r="E596" s="13" t="inlineStr">
        <is>
          <t>So / Neither / Nor: Neither/Nor + aux + подлежащее — к отрицанию</t>
        </is>
      </c>
      <c r="F596" s="11" t="inlineStr">
        <is>
          <t>10+</t>
        </is>
      </c>
      <c r="G596" s="11" t="inlineStr"/>
      <c r="H596" s="11" t="inlineStr"/>
      <c r="I596" s="11" t="inlineStr"/>
      <c r="J596" s="11" t="inlineStr"/>
      <c r="K596" s="11" t="inlineStr"/>
      <c r="L596" s="11" t="inlineStr"/>
      <c r="M596" s="11" t="inlineStr"/>
      <c r="N596" s="11" t="inlineStr"/>
      <c r="O596" s="23" t="inlineStr">
        <is>
          <t>М8 (8c) · новое</t>
        </is>
      </c>
      <c r="P596" s="20" t="inlineStr">
        <is>
          <t>—</t>
        </is>
      </c>
      <c r="Q596" s="21" t="inlineStr"/>
      <c r="R596" s="17" t="inlineStr">
        <is>
          <t>нет</t>
        </is>
      </c>
      <c r="S596" s="11" t="inlineStr"/>
      <c r="T596" s="11" t="inlineStr"/>
    </row>
    <row r="597">
      <c r="A597" s="4" t="n">
        <v>596</v>
      </c>
      <c r="B597" s="4" t="inlineStr">
        <is>
          <t>Use of English</t>
        </is>
      </c>
      <c r="C597" s="4" t="inlineStr">
        <is>
          <t>Фразовые глаголы</t>
        </is>
      </c>
      <c r="D597" s="5" t="inlineStr">
        <is>
          <t>Phrasal verbs</t>
        </is>
      </c>
      <c r="E597" s="24" t="inlineStr">
        <is>
          <t>Phrasal verbs: bring</t>
        </is>
      </c>
      <c r="F597" s="4" t="inlineStr">
        <is>
          <t>10+</t>
        </is>
      </c>
      <c r="G597" s="4" t="inlineStr"/>
      <c r="H597" s="4" t="inlineStr"/>
      <c r="I597" s="4" t="inlineStr"/>
      <c r="J597" s="4" t="inlineStr"/>
      <c r="K597" s="4" t="inlineStr"/>
      <c r="L597" s="27" t="inlineStr">
        <is>
          <t>М3 (3f) · новое</t>
        </is>
      </c>
      <c r="M597" s="4" t="inlineStr"/>
      <c r="N597" s="9" t="inlineStr">
        <is>
          <t>М8 (8c) · повт.</t>
        </is>
      </c>
      <c r="O597" s="4" t="inlineStr"/>
      <c r="P597" s="28" t="inlineStr">
        <is>
          <t>—</t>
        </is>
      </c>
      <c r="Q597" s="29" t="inlineStr"/>
      <c r="R597" s="10" t="inlineStr">
        <is>
          <t>нет</t>
        </is>
      </c>
      <c r="S597" s="4" t="inlineStr"/>
      <c r="T597" s="4" t="inlineStr"/>
    </row>
    <row r="598">
      <c r="A598" s="11" t="n">
        <v>597</v>
      </c>
      <c r="B598" s="11" t="inlineStr">
        <is>
          <t>Use of English</t>
        </is>
      </c>
      <c r="C598" s="11" t="inlineStr">
        <is>
          <t>Фразовые глаголы</t>
        </is>
      </c>
      <c r="D598" s="12" t="inlineStr">
        <is>
          <t>Phrasal verbs</t>
        </is>
      </c>
      <c r="E598" s="13" t="inlineStr">
        <is>
          <t>Phrasal verbs: call</t>
        </is>
      </c>
      <c r="F598" s="11" t="inlineStr">
        <is>
          <t>10+</t>
        </is>
      </c>
      <c r="G598" s="11" t="inlineStr"/>
      <c r="H598" s="11" t="inlineStr"/>
      <c r="I598" s="11" t="inlineStr"/>
      <c r="J598" s="11" t="inlineStr"/>
      <c r="K598" s="11" t="inlineStr"/>
      <c r="L598" s="23" t="inlineStr">
        <is>
          <t>М5 (5f) · новое</t>
        </is>
      </c>
      <c r="M598" s="11" t="inlineStr"/>
      <c r="N598" s="11" t="inlineStr"/>
      <c r="O598" s="11" t="inlineStr"/>
      <c r="P598" s="20" t="inlineStr">
        <is>
          <t>—</t>
        </is>
      </c>
      <c r="Q598" s="21" t="inlineStr"/>
      <c r="R598" s="17" t="inlineStr">
        <is>
          <t>нет</t>
        </is>
      </c>
      <c r="S598" s="11" t="inlineStr"/>
      <c r="T598" s="11" t="inlineStr"/>
    </row>
    <row r="599">
      <c r="A599" s="11" t="n">
        <v>598</v>
      </c>
      <c r="B599" s="11" t="inlineStr">
        <is>
          <t>Use of English</t>
        </is>
      </c>
      <c r="C599" s="11" t="inlineStr">
        <is>
          <t>Фразовые глаголы</t>
        </is>
      </c>
      <c r="D599" s="12" t="inlineStr">
        <is>
          <t>Phrasal verbs</t>
        </is>
      </c>
      <c r="E599" s="22" t="inlineStr">
        <is>
          <t>Phrasal verbs: get</t>
        </is>
      </c>
      <c r="F599" s="11" t="inlineStr">
        <is>
          <t>10+</t>
        </is>
      </c>
      <c r="G599" s="11" t="inlineStr"/>
      <c r="H599" s="11" t="inlineStr"/>
      <c r="I599" s="11" t="inlineStr"/>
      <c r="J599" s="11" t="inlineStr"/>
      <c r="K599" s="11" t="inlineStr"/>
      <c r="L599" s="23" t="inlineStr">
        <is>
          <t>М1 (1f) · новое</t>
        </is>
      </c>
      <c r="M599" s="11" t="inlineStr"/>
      <c r="N599" s="16" t="inlineStr">
        <is>
          <t>М5 (5c) · повт.</t>
        </is>
      </c>
      <c r="O599" s="11" t="inlineStr"/>
      <c r="P599" s="20" t="inlineStr">
        <is>
          <t>—</t>
        </is>
      </c>
      <c r="Q599" s="21" t="inlineStr"/>
      <c r="R599" s="17" t="inlineStr">
        <is>
          <t>видео</t>
        </is>
      </c>
      <c r="S599" s="11" t="inlineStr">
        <is>
          <t>Phrasal Verbs Movement and Travel
Travelling Phrasal Verbs</t>
        </is>
      </c>
      <c r="T599" s="11" t="inlineStr"/>
    </row>
    <row r="600">
      <c r="A600" s="11" t="n">
        <v>599</v>
      </c>
      <c r="B600" s="11" t="inlineStr">
        <is>
          <t>Use of English</t>
        </is>
      </c>
      <c r="C600" s="11" t="inlineStr">
        <is>
          <t>Фразовые глаголы</t>
        </is>
      </c>
      <c r="D600" s="12" t="inlineStr">
        <is>
          <t>Phrasal verbs</t>
        </is>
      </c>
      <c r="E600" s="13" t="inlineStr">
        <is>
          <t>Phrasal verbs: give</t>
        </is>
      </c>
      <c r="F600" s="11" t="inlineStr">
        <is>
          <t>10+</t>
        </is>
      </c>
      <c r="G600" s="11" t="inlineStr"/>
      <c r="H600" s="11" t="inlineStr"/>
      <c r="I600" s="11" t="inlineStr"/>
      <c r="J600" s="11" t="inlineStr"/>
      <c r="K600" s="11" t="inlineStr"/>
      <c r="L600" s="23" t="inlineStr">
        <is>
          <t>М7 (7f) · новое</t>
        </is>
      </c>
      <c r="M600" s="11" t="inlineStr"/>
      <c r="N600" s="16" t="inlineStr">
        <is>
          <t>М6 (6c) · повт.</t>
        </is>
      </c>
      <c r="O600" s="11" t="inlineStr"/>
      <c r="P600" s="20" t="inlineStr">
        <is>
          <t>—</t>
        </is>
      </c>
      <c r="Q600" s="21" t="inlineStr"/>
      <c r="R600" s="17" t="inlineStr">
        <is>
          <t>нет</t>
        </is>
      </c>
      <c r="S600" s="11" t="inlineStr"/>
      <c r="T600" s="11" t="inlineStr"/>
    </row>
    <row r="601">
      <c r="A601" s="11" t="n">
        <v>600</v>
      </c>
      <c r="B601" s="11" t="inlineStr">
        <is>
          <t>Use of English</t>
        </is>
      </c>
      <c r="C601" s="11" t="inlineStr">
        <is>
          <t>Фразовые глаголы</t>
        </is>
      </c>
      <c r="D601" s="12" t="inlineStr">
        <is>
          <t>Phrasal verbs</t>
        </is>
      </c>
      <c r="E601" s="13" t="inlineStr">
        <is>
          <t>Phrasal verbs: go</t>
        </is>
      </c>
      <c r="F601" s="11" t="inlineStr">
        <is>
          <t>10+</t>
        </is>
      </c>
      <c r="G601" s="11" t="inlineStr"/>
      <c r="H601" s="11" t="inlineStr"/>
      <c r="I601" s="11" t="inlineStr"/>
      <c r="J601" s="11" t="inlineStr"/>
      <c r="K601" s="11" t="inlineStr"/>
      <c r="L601" s="23" t="inlineStr">
        <is>
          <t>М2 (2f) · новое</t>
        </is>
      </c>
      <c r="M601" s="11" t="inlineStr"/>
      <c r="N601" s="11" t="inlineStr"/>
      <c r="O601" s="16" t="inlineStr">
        <is>
          <t>М4 (4c) · повт.</t>
        </is>
      </c>
      <c r="P601" s="20" t="inlineStr">
        <is>
          <t>—</t>
        </is>
      </c>
      <c r="Q601" s="21" t="inlineStr"/>
      <c r="R601" s="17" t="inlineStr">
        <is>
          <t>нет</t>
        </is>
      </c>
      <c r="S601" s="11" t="inlineStr"/>
      <c r="T601" s="11" t="inlineStr"/>
    </row>
    <row r="602">
      <c r="A602" s="11" t="n">
        <v>601</v>
      </c>
      <c r="B602" s="11" t="inlineStr">
        <is>
          <t>Use of English</t>
        </is>
      </c>
      <c r="C602" s="11" t="inlineStr">
        <is>
          <t>Фразовые глаголы</t>
        </is>
      </c>
      <c r="D602" s="12" t="inlineStr">
        <is>
          <t>Phrasal verbs</t>
        </is>
      </c>
      <c r="E602" s="13" t="inlineStr">
        <is>
          <t>Phrasal verbs: put</t>
        </is>
      </c>
      <c r="F602" s="11" t="inlineStr">
        <is>
          <t>10+</t>
        </is>
      </c>
      <c r="G602" s="11" t="inlineStr"/>
      <c r="H602" s="11" t="inlineStr"/>
      <c r="I602" s="11" t="inlineStr"/>
      <c r="J602" s="11" t="inlineStr"/>
      <c r="K602" s="11" t="inlineStr"/>
      <c r="L602" s="23" t="inlineStr">
        <is>
          <t>М4 (4f) · новое</t>
        </is>
      </c>
      <c r="M602" s="11" t="inlineStr"/>
      <c r="N602" s="11" t="inlineStr"/>
      <c r="O602" s="16" t="inlineStr">
        <is>
          <t>М2 (2c) · повт.</t>
        </is>
      </c>
      <c r="P602" s="20" t="inlineStr">
        <is>
          <t>—</t>
        </is>
      </c>
      <c r="Q602" s="21" t="inlineStr"/>
      <c r="R602" s="17" t="inlineStr">
        <is>
          <t>нет</t>
        </is>
      </c>
      <c r="S602" s="11" t="inlineStr"/>
      <c r="T602" s="11" t="inlineStr"/>
    </row>
    <row r="603">
      <c r="A603" s="11" t="n">
        <v>602</v>
      </c>
      <c r="B603" s="11" t="inlineStr">
        <is>
          <t>Use of English</t>
        </is>
      </c>
      <c r="C603" s="11" t="inlineStr">
        <is>
          <t>Фразовые глаголы</t>
        </is>
      </c>
      <c r="D603" s="12" t="inlineStr">
        <is>
          <t>Phrasal verbs</t>
        </is>
      </c>
      <c r="E603" s="22" t="inlineStr">
        <is>
          <t>Phrasal verbs: set</t>
        </is>
      </c>
      <c r="F603" s="11" t="inlineStr">
        <is>
          <t>10+</t>
        </is>
      </c>
      <c r="G603" s="11" t="inlineStr"/>
      <c r="H603" s="11" t="inlineStr"/>
      <c r="I603" s="11" t="inlineStr"/>
      <c r="J603" s="11" t="inlineStr"/>
      <c r="K603" s="11" t="inlineStr"/>
      <c r="L603" s="23" t="inlineStr">
        <is>
          <t>М6 (6f) · новое</t>
        </is>
      </c>
      <c r="M603" s="11" t="inlineStr"/>
      <c r="N603" s="11" t="inlineStr"/>
      <c r="O603" s="11" t="inlineStr"/>
      <c r="P603" s="20" t="inlineStr">
        <is>
          <t>—</t>
        </is>
      </c>
      <c r="Q603" s="21" t="inlineStr"/>
      <c r="R603" s="17" t="inlineStr">
        <is>
          <t>видео</t>
        </is>
      </c>
      <c r="S603" s="11" t="inlineStr">
        <is>
          <t>Phrasal Verbs Movement and Travel
Travelling Phrasal Verbs</t>
        </is>
      </c>
      <c r="T603" s="11" t="inlineStr"/>
    </row>
    <row r="604">
      <c r="A604" s="11" t="n">
        <v>603</v>
      </c>
      <c r="B604" s="11" t="inlineStr">
        <is>
          <t>Use of English</t>
        </is>
      </c>
      <c r="C604" s="11" t="inlineStr">
        <is>
          <t>Фразовые глаголы</t>
        </is>
      </c>
      <c r="D604" s="12" t="inlineStr">
        <is>
          <t>Phrasal verbs</t>
        </is>
      </c>
      <c r="E604" s="22" t="inlineStr">
        <is>
          <t>Phrasal verbs: take</t>
        </is>
      </c>
      <c r="F604" s="11" t="inlineStr">
        <is>
          <t>10+</t>
        </is>
      </c>
      <c r="G604" s="11" t="inlineStr"/>
      <c r="H604" s="11" t="inlineStr"/>
      <c r="I604" s="11" t="inlineStr"/>
      <c r="J604" s="11" t="inlineStr"/>
      <c r="K604" s="11" t="inlineStr"/>
      <c r="L604" s="23" t="inlineStr">
        <is>
          <t>М8 (8f) · новое</t>
        </is>
      </c>
      <c r="M604" s="11" t="inlineStr"/>
      <c r="N604" s="16" t="inlineStr">
        <is>
          <t>М2 (2c) · повт.</t>
        </is>
      </c>
      <c r="O604" s="11" t="inlineStr"/>
      <c r="P604" s="20" t="inlineStr">
        <is>
          <t>—</t>
        </is>
      </c>
      <c r="Q604" s="21" t="inlineStr"/>
      <c r="R604" s="17" t="inlineStr">
        <is>
          <t>видео</t>
        </is>
      </c>
      <c r="S604" s="11" t="inlineStr">
        <is>
          <t>Phrasal Verbs Movement and Travel
Travelling Phrasal Verbs</t>
        </is>
      </c>
      <c r="T604" s="11" t="inlineStr"/>
    </row>
    <row r="605">
      <c r="A605" s="11" t="n">
        <v>604</v>
      </c>
      <c r="B605" s="11" t="inlineStr">
        <is>
          <t>Use of English</t>
        </is>
      </c>
      <c r="C605" s="11" t="inlineStr">
        <is>
          <t>Фразовые глаголы</t>
        </is>
      </c>
      <c r="D605" s="12" t="inlineStr">
        <is>
          <t>Phrasal verbs</t>
        </is>
      </c>
      <c r="E605" s="13" t="inlineStr">
        <is>
          <t>Phrasal verbs: break</t>
        </is>
      </c>
      <c r="F605" s="11" t="inlineStr">
        <is>
          <t>10+</t>
        </is>
      </c>
      <c r="G605" s="11" t="inlineStr"/>
      <c r="H605" s="11" t="inlineStr"/>
      <c r="I605" s="11" t="inlineStr"/>
      <c r="J605" s="11" t="inlineStr"/>
      <c r="K605" s="11" t="inlineStr"/>
      <c r="L605" s="11" t="inlineStr"/>
      <c r="M605" s="23" t="inlineStr">
        <is>
          <t>М4 (4f) · новое</t>
        </is>
      </c>
      <c r="N605" s="11" t="inlineStr"/>
      <c r="O605" s="11" t="inlineStr"/>
      <c r="P605" s="20" t="inlineStr">
        <is>
          <t>—</t>
        </is>
      </c>
      <c r="Q605" s="21" t="inlineStr"/>
      <c r="R605" s="17" t="inlineStr">
        <is>
          <t>нет</t>
        </is>
      </c>
      <c r="S605" s="11" t="inlineStr"/>
      <c r="T605" s="11" t="inlineStr"/>
    </row>
    <row r="606">
      <c r="A606" s="11" t="n">
        <v>605</v>
      </c>
      <c r="B606" s="11" t="inlineStr">
        <is>
          <t>Use of English</t>
        </is>
      </c>
      <c r="C606" s="11" t="inlineStr">
        <is>
          <t>Фразовые глаголы</t>
        </is>
      </c>
      <c r="D606" s="12" t="inlineStr">
        <is>
          <t>Phrasal verbs</t>
        </is>
      </c>
      <c r="E606" s="13" t="inlineStr">
        <is>
          <t>Phrasal verbs: carry</t>
        </is>
      </c>
      <c r="F606" s="11" t="inlineStr">
        <is>
          <t>10+</t>
        </is>
      </c>
      <c r="G606" s="11" t="inlineStr"/>
      <c r="H606" s="11" t="inlineStr"/>
      <c r="I606" s="11" t="inlineStr"/>
      <c r="J606" s="11" t="inlineStr"/>
      <c r="K606" s="11" t="inlineStr"/>
      <c r="L606" s="11" t="inlineStr"/>
      <c r="M606" s="23" t="inlineStr">
        <is>
          <t>М8 (8f) · новое</t>
        </is>
      </c>
      <c r="N606" s="11" t="inlineStr"/>
      <c r="O606" s="16" t="inlineStr">
        <is>
          <t>М7 (7c) · повт.</t>
        </is>
      </c>
      <c r="P606" s="20" t="inlineStr">
        <is>
          <t>—</t>
        </is>
      </c>
      <c r="Q606" s="21" t="inlineStr"/>
      <c r="R606" s="17" t="inlineStr">
        <is>
          <t>нет</t>
        </is>
      </c>
      <c r="S606" s="11" t="inlineStr"/>
      <c r="T606" s="11" t="inlineStr"/>
    </row>
    <row r="607">
      <c r="A607" s="11" t="n">
        <v>606</v>
      </c>
      <c r="B607" s="11" t="inlineStr">
        <is>
          <t>Use of English</t>
        </is>
      </c>
      <c r="C607" s="11" t="inlineStr">
        <is>
          <t>Фразовые глаголы</t>
        </is>
      </c>
      <c r="D607" s="12" t="inlineStr">
        <is>
          <t>Phrasal verbs</t>
        </is>
      </c>
      <c r="E607" s="22" t="inlineStr">
        <is>
          <t>Phrasal verbs: check</t>
        </is>
      </c>
      <c r="F607" s="11" t="inlineStr">
        <is>
          <t>10+</t>
        </is>
      </c>
      <c r="G607" s="11" t="inlineStr"/>
      <c r="H607" s="11" t="inlineStr"/>
      <c r="I607" s="11" t="inlineStr"/>
      <c r="J607" s="11" t="inlineStr"/>
      <c r="K607" s="11" t="inlineStr"/>
      <c r="L607" s="11" t="inlineStr"/>
      <c r="M607" s="23" t="inlineStr">
        <is>
          <t>М6 (6f) · новое</t>
        </is>
      </c>
      <c r="N607" s="11" t="inlineStr"/>
      <c r="O607" s="16" t="inlineStr">
        <is>
          <t>М8 (8c) · повт.</t>
        </is>
      </c>
      <c r="P607" s="20" t="inlineStr">
        <is>
          <t>—</t>
        </is>
      </c>
      <c r="Q607" s="21" t="inlineStr"/>
      <c r="R607" s="17" t="inlineStr">
        <is>
          <t>видео</t>
        </is>
      </c>
      <c r="S607" s="11" t="inlineStr">
        <is>
          <t>Phrasal Verbs Movement and Travel
Travelling Phrasal Verbs</t>
        </is>
      </c>
      <c r="T607" s="11" t="inlineStr"/>
    </row>
    <row r="608">
      <c r="A608" s="11" t="n">
        <v>607</v>
      </c>
      <c r="B608" s="11" t="inlineStr">
        <is>
          <t>Use of English</t>
        </is>
      </c>
      <c r="C608" s="11" t="inlineStr">
        <is>
          <t>Фразовые глаголы</t>
        </is>
      </c>
      <c r="D608" s="12" t="inlineStr">
        <is>
          <t>Phrasal verbs</t>
        </is>
      </c>
      <c r="E608" s="13" t="inlineStr">
        <is>
          <t>Phrasal verbs: come</t>
        </is>
      </c>
      <c r="F608" s="11" t="inlineStr">
        <is>
          <t>10+</t>
        </is>
      </c>
      <c r="G608" s="11" t="inlineStr"/>
      <c r="H608" s="11" t="inlineStr"/>
      <c r="I608" s="11" t="inlineStr"/>
      <c r="J608" s="11" t="inlineStr"/>
      <c r="K608" s="11" t="inlineStr"/>
      <c r="L608" s="11" t="inlineStr"/>
      <c r="M608" s="23" t="inlineStr">
        <is>
          <t>М3 (3f) · новое</t>
        </is>
      </c>
      <c r="N608" s="11" t="inlineStr"/>
      <c r="O608" s="16" t="inlineStr">
        <is>
          <t>М1 (1c) · повт.</t>
        </is>
      </c>
      <c r="P608" s="20" t="inlineStr">
        <is>
          <t>—</t>
        </is>
      </c>
      <c r="Q608" s="21" t="inlineStr"/>
      <c r="R608" s="17" t="inlineStr">
        <is>
          <t>нет</t>
        </is>
      </c>
      <c r="S608" s="11" t="inlineStr"/>
      <c r="T608" s="11" t="inlineStr"/>
    </row>
    <row r="609">
      <c r="A609" s="11" t="n">
        <v>608</v>
      </c>
      <c r="B609" s="11" t="inlineStr">
        <is>
          <t>Use of English</t>
        </is>
      </c>
      <c r="C609" s="11" t="inlineStr">
        <is>
          <t>Фразовые глаголы</t>
        </is>
      </c>
      <c r="D609" s="12" t="inlineStr">
        <is>
          <t>Phrasal verbs</t>
        </is>
      </c>
      <c r="E609" s="13" t="inlineStr">
        <is>
          <t>Phrasal verbs: keep</t>
        </is>
      </c>
      <c r="F609" s="11" t="inlineStr">
        <is>
          <t>10+</t>
        </is>
      </c>
      <c r="G609" s="11" t="inlineStr"/>
      <c r="H609" s="11" t="inlineStr"/>
      <c r="I609" s="11" t="inlineStr"/>
      <c r="J609" s="11" t="inlineStr"/>
      <c r="K609" s="11" t="inlineStr"/>
      <c r="L609" s="11" t="inlineStr"/>
      <c r="M609" s="23" t="inlineStr">
        <is>
          <t>М7 (7f) · новое</t>
        </is>
      </c>
      <c r="N609" s="11" t="inlineStr"/>
      <c r="O609" s="16" t="inlineStr">
        <is>
          <t>М3 (3c) · повт.</t>
        </is>
      </c>
      <c r="P609" s="20" t="inlineStr">
        <is>
          <t>—</t>
        </is>
      </c>
      <c r="Q609" s="21" t="inlineStr"/>
      <c r="R609" s="17" t="inlineStr">
        <is>
          <t>нет</t>
        </is>
      </c>
      <c r="S609" s="11" t="inlineStr"/>
      <c r="T609" s="11" t="inlineStr"/>
    </row>
    <row r="610">
      <c r="A610" s="11" t="n">
        <v>609</v>
      </c>
      <c r="B610" s="11" t="inlineStr">
        <is>
          <t>Use of English</t>
        </is>
      </c>
      <c r="C610" s="11" t="inlineStr">
        <is>
          <t>Фразовые глаголы</t>
        </is>
      </c>
      <c r="D610" s="12" t="inlineStr">
        <is>
          <t>Phrasal verbs</t>
        </is>
      </c>
      <c r="E610" s="13" t="inlineStr">
        <is>
          <t>Phrasal verbs: make</t>
        </is>
      </c>
      <c r="F610" s="11" t="inlineStr">
        <is>
          <t>10+</t>
        </is>
      </c>
      <c r="G610" s="11" t="inlineStr"/>
      <c r="H610" s="11" t="inlineStr"/>
      <c r="I610" s="11" t="inlineStr"/>
      <c r="J610" s="11" t="inlineStr"/>
      <c r="K610" s="11" t="inlineStr"/>
      <c r="L610" s="11" t="inlineStr"/>
      <c r="M610" s="23" t="inlineStr">
        <is>
          <t>М2 (2f) · новое</t>
        </is>
      </c>
      <c r="N610" s="11" t="inlineStr"/>
      <c r="O610" s="11" t="inlineStr"/>
      <c r="P610" s="20" t="inlineStr">
        <is>
          <t>—</t>
        </is>
      </c>
      <c r="Q610" s="21" t="inlineStr"/>
      <c r="R610" s="17" t="inlineStr">
        <is>
          <t>нет</t>
        </is>
      </c>
      <c r="S610" s="11" t="inlineStr"/>
      <c r="T610" s="11" t="inlineStr"/>
    </row>
    <row r="611">
      <c r="A611" s="11" t="n">
        <v>610</v>
      </c>
      <c r="B611" s="11" t="inlineStr">
        <is>
          <t>Use of English</t>
        </is>
      </c>
      <c r="C611" s="11" t="inlineStr">
        <is>
          <t>Фразовые глаголы</t>
        </is>
      </c>
      <c r="D611" s="12" t="inlineStr">
        <is>
          <t>Phrasal verbs</t>
        </is>
      </c>
      <c r="E611" s="13" t="inlineStr">
        <is>
          <t>Phrasal verbs: run</t>
        </is>
      </c>
      <c r="F611" s="11" t="inlineStr">
        <is>
          <t>10+</t>
        </is>
      </c>
      <c r="G611" s="11" t="inlineStr"/>
      <c r="H611" s="11" t="inlineStr"/>
      <c r="I611" s="11" t="inlineStr"/>
      <c r="J611" s="11" t="inlineStr"/>
      <c r="K611" s="11" t="inlineStr"/>
      <c r="L611" s="11" t="inlineStr"/>
      <c r="M611" s="23" t="inlineStr">
        <is>
          <t>М5 (5f) · новое</t>
        </is>
      </c>
      <c r="N611" s="16" t="inlineStr">
        <is>
          <t>М4 (4c) · повт.</t>
        </is>
      </c>
      <c r="O611" s="11" t="inlineStr"/>
      <c r="P611" s="20" t="inlineStr">
        <is>
          <t>—</t>
        </is>
      </c>
      <c r="Q611" s="21" t="inlineStr"/>
      <c r="R611" s="17" t="inlineStr">
        <is>
          <t>нет</t>
        </is>
      </c>
      <c r="S611" s="11" t="inlineStr"/>
      <c r="T611" s="11" t="inlineStr"/>
    </row>
    <row r="612">
      <c r="A612" s="11" t="n">
        <v>611</v>
      </c>
      <c r="B612" s="11" t="inlineStr">
        <is>
          <t>Use of English</t>
        </is>
      </c>
      <c r="C612" s="11" t="inlineStr">
        <is>
          <t>Фразовые глаголы</t>
        </is>
      </c>
      <c r="D612" s="12" t="inlineStr">
        <is>
          <t>Phrasal verbs</t>
        </is>
      </c>
      <c r="E612" s="13" t="inlineStr">
        <is>
          <t>Phrasal verbs: turn</t>
        </is>
      </c>
      <c r="F612" s="11" t="inlineStr">
        <is>
          <t>10+</t>
        </is>
      </c>
      <c r="G612" s="11" t="inlineStr"/>
      <c r="H612" s="11" t="inlineStr"/>
      <c r="I612" s="11" t="inlineStr"/>
      <c r="J612" s="11" t="inlineStr"/>
      <c r="K612" s="11" t="inlineStr"/>
      <c r="L612" s="11" t="inlineStr"/>
      <c r="M612" s="23" t="inlineStr">
        <is>
          <t>М1 (1f) · новое</t>
        </is>
      </c>
      <c r="N612" s="16" t="inlineStr">
        <is>
          <t>М7 (7c) · повт.</t>
        </is>
      </c>
      <c r="O612" s="11" t="inlineStr"/>
      <c r="P612" s="20" t="inlineStr">
        <is>
          <t>—</t>
        </is>
      </c>
      <c r="Q612" s="21" t="inlineStr"/>
      <c r="R612" s="17" t="inlineStr">
        <is>
          <t>нет</t>
        </is>
      </c>
      <c r="S612" s="11" t="inlineStr"/>
      <c r="T612" s="11" t="inlineStr"/>
    </row>
    <row r="613">
      <c r="A613" s="11" t="n">
        <v>612</v>
      </c>
      <c r="B613" s="11" t="inlineStr">
        <is>
          <t>Use of English</t>
        </is>
      </c>
      <c r="C613" s="11" t="inlineStr">
        <is>
          <t>Фразовые глаголы</t>
        </is>
      </c>
      <c r="D613" s="12" t="inlineStr">
        <is>
          <t>Phrasal verbs</t>
        </is>
      </c>
      <c r="E613" s="13" t="inlineStr">
        <is>
          <t>Phrasal verbs: look</t>
        </is>
      </c>
      <c r="F613" s="11" t="inlineStr">
        <is>
          <t>10+</t>
        </is>
      </c>
      <c r="G613" s="11" t="inlineStr"/>
      <c r="H613" s="11" t="inlineStr"/>
      <c r="I613" s="11" t="inlineStr"/>
      <c r="J613" s="11" t="inlineStr"/>
      <c r="K613" s="11" t="inlineStr"/>
      <c r="L613" s="11" t="inlineStr"/>
      <c r="M613" s="11" t="inlineStr"/>
      <c r="N613" s="23" t="inlineStr">
        <is>
          <t>М1 (1c) · новое</t>
        </is>
      </c>
      <c r="O613" s="11" t="inlineStr"/>
      <c r="P613" s="20" t="inlineStr">
        <is>
          <t>—</t>
        </is>
      </c>
      <c r="Q613" s="21" t="inlineStr"/>
      <c r="R613" s="17" t="inlineStr">
        <is>
          <t>нет</t>
        </is>
      </c>
      <c r="S613" s="11" t="inlineStr"/>
      <c r="T613" s="11" t="inlineStr"/>
    </row>
    <row r="614">
      <c r="A614" s="11" t="n">
        <v>613</v>
      </c>
      <c r="B614" s="11" t="inlineStr">
        <is>
          <t>Use of English</t>
        </is>
      </c>
      <c r="C614" s="11" t="inlineStr">
        <is>
          <t>Фразовые глаголы</t>
        </is>
      </c>
      <c r="D614" s="12" t="inlineStr">
        <is>
          <t>Phrasal verbs</t>
        </is>
      </c>
      <c r="E614" s="13" t="inlineStr">
        <is>
          <t>Phrasal verbs: pick</t>
        </is>
      </c>
      <c r="F614" s="11" t="inlineStr">
        <is>
          <t>10+</t>
        </is>
      </c>
      <c r="G614" s="11" t="inlineStr"/>
      <c r="H614" s="11" t="inlineStr"/>
      <c r="I614" s="11" t="inlineStr"/>
      <c r="J614" s="11" t="inlineStr"/>
      <c r="K614" s="11" t="inlineStr"/>
      <c r="L614" s="11" t="inlineStr"/>
      <c r="M614" s="11" t="inlineStr"/>
      <c r="N614" s="23" t="inlineStr">
        <is>
          <t>М3 (3c) · новое</t>
        </is>
      </c>
      <c r="O614" s="11" t="inlineStr"/>
      <c r="P614" s="20" t="inlineStr">
        <is>
          <t>—</t>
        </is>
      </c>
      <c r="Q614" s="21" t="inlineStr"/>
      <c r="R614" s="17" t="inlineStr">
        <is>
          <t>нет</t>
        </is>
      </c>
      <c r="S614" s="11" t="inlineStr"/>
      <c r="T614" s="11" t="inlineStr"/>
    </row>
    <row r="615">
      <c r="A615" s="11" t="n">
        <v>614</v>
      </c>
      <c r="B615" s="11" t="inlineStr">
        <is>
          <t>Use of English</t>
        </is>
      </c>
      <c r="C615" s="11" t="inlineStr">
        <is>
          <t>Фразовые глаголы</t>
        </is>
      </c>
      <c r="D615" s="12" t="inlineStr">
        <is>
          <t>Phrasal verbs</t>
        </is>
      </c>
      <c r="E615" s="13" t="inlineStr">
        <is>
          <t>Phrasal verbs: do</t>
        </is>
      </c>
      <c r="F615" s="11" t="inlineStr">
        <is>
          <t>10+</t>
        </is>
      </c>
      <c r="G615" s="11" t="inlineStr"/>
      <c r="H615" s="11" t="inlineStr"/>
      <c r="I615" s="11" t="inlineStr"/>
      <c r="J615" s="11" t="inlineStr"/>
      <c r="K615" s="11" t="inlineStr"/>
      <c r="L615" s="11" t="inlineStr"/>
      <c r="M615" s="11" t="inlineStr"/>
      <c r="N615" s="11" t="inlineStr"/>
      <c r="O615" s="23" t="inlineStr">
        <is>
          <t>М5 (5c) · новое</t>
        </is>
      </c>
      <c r="P615" s="20" t="inlineStr">
        <is>
          <t>—</t>
        </is>
      </c>
      <c r="Q615" s="21" t="inlineStr"/>
      <c r="R615" s="17" t="inlineStr">
        <is>
          <t>нет</t>
        </is>
      </c>
      <c r="S615" s="11" t="inlineStr"/>
      <c r="T615" s="11" t="inlineStr"/>
    </row>
    <row r="616">
      <c r="A616" s="11" t="n">
        <v>615</v>
      </c>
      <c r="B616" s="11" t="inlineStr">
        <is>
          <t>Use of English</t>
        </is>
      </c>
      <c r="C616" s="11" t="inlineStr">
        <is>
          <t>Фразовые глаголы</t>
        </is>
      </c>
      <c r="D616" s="12" t="inlineStr">
        <is>
          <t>Phrasal verbs</t>
        </is>
      </c>
      <c r="E616" s="13" t="inlineStr">
        <is>
          <t>Phrasal verbs: talk</t>
        </is>
      </c>
      <c r="F616" s="11" t="inlineStr">
        <is>
          <t>10+</t>
        </is>
      </c>
      <c r="G616" s="11" t="inlineStr"/>
      <c r="H616" s="11" t="inlineStr"/>
      <c r="I616" s="11" t="inlineStr"/>
      <c r="J616" s="11" t="inlineStr"/>
      <c r="K616" s="11" t="inlineStr"/>
      <c r="L616" s="11" t="inlineStr"/>
      <c r="M616" s="11" t="inlineStr"/>
      <c r="N616" s="11" t="inlineStr"/>
      <c r="O616" s="23" t="inlineStr">
        <is>
          <t>М6 (6c) · новое</t>
        </is>
      </c>
      <c r="P616" s="20" t="inlineStr">
        <is>
          <t>—</t>
        </is>
      </c>
      <c r="Q616" s="21" t="inlineStr"/>
      <c r="R616" s="17" t="inlineStr">
        <is>
          <t>нет</t>
        </is>
      </c>
      <c r="S616" s="11" t="inlineStr"/>
      <c r="T616" s="11" t="inlineStr"/>
    </row>
    <row r="617">
      <c r="A617" s="4" t="n">
        <v>616</v>
      </c>
      <c r="B617" s="4" t="inlineStr">
        <is>
          <t>Use of English</t>
        </is>
      </c>
      <c r="C617" s="4" t="inlineStr">
        <is>
          <t>Словообразование</t>
        </is>
      </c>
      <c r="D617" s="5" t="inlineStr">
        <is>
          <t>Word formation</t>
        </is>
      </c>
      <c r="E617" s="24" t="inlineStr">
        <is>
          <t>Word formation: -able, -ous, -ing</t>
        </is>
      </c>
      <c r="F617" s="4" t="inlineStr">
        <is>
          <t>10+</t>
        </is>
      </c>
      <c r="G617" s="4" t="inlineStr"/>
      <c r="H617" s="4" t="inlineStr"/>
      <c r="I617" s="27" t="inlineStr">
        <is>
          <t>М10 (10b) · новое</t>
        </is>
      </c>
      <c r="J617" s="4" t="inlineStr"/>
      <c r="K617" s="4" t="inlineStr"/>
      <c r="L617" s="4" t="inlineStr"/>
      <c r="M617" s="4" t="inlineStr"/>
      <c r="N617" s="4" t="inlineStr"/>
      <c r="O617" s="4" t="inlineStr"/>
      <c r="P617" s="28" t="inlineStr">
        <is>
          <t>—</t>
        </is>
      </c>
      <c r="Q617" s="29" t="inlineStr"/>
      <c r="R617" s="10" t="inlineStr">
        <is>
          <t>нет</t>
        </is>
      </c>
      <c r="S617" s="4" t="inlineStr"/>
      <c r="T617" s="4" t="inlineStr"/>
    </row>
    <row r="618">
      <c r="A618" s="11" t="n">
        <v>617</v>
      </c>
      <c r="B618" s="11" t="inlineStr">
        <is>
          <t>Use of English</t>
        </is>
      </c>
      <c r="C618" s="11" t="inlineStr">
        <is>
          <t>Словообразование</t>
        </is>
      </c>
      <c r="D618" s="12" t="inlineStr">
        <is>
          <t>Word formation</t>
        </is>
      </c>
      <c r="E618" s="13" t="inlineStr">
        <is>
          <t>Word formation: -al</t>
        </is>
      </c>
      <c r="F618" s="11" t="inlineStr">
        <is>
          <t>10+</t>
        </is>
      </c>
      <c r="G618" s="11" t="inlineStr"/>
      <c r="H618" s="11" t="inlineStr"/>
      <c r="I618" s="23" t="inlineStr">
        <is>
          <t>М5 (5a) · новое</t>
        </is>
      </c>
      <c r="J618" s="11" t="inlineStr"/>
      <c r="K618" s="11" t="inlineStr"/>
      <c r="L618" s="11" t="inlineStr"/>
      <c r="M618" s="11" t="inlineStr"/>
      <c r="N618" s="11" t="inlineStr"/>
      <c r="O618" s="11" t="inlineStr"/>
      <c r="P618" s="20" t="inlineStr">
        <is>
          <t>—</t>
        </is>
      </c>
      <c r="Q618" s="21" t="inlineStr"/>
      <c r="R618" s="17" t="inlineStr">
        <is>
          <t>нет</t>
        </is>
      </c>
      <c r="S618" s="11" t="inlineStr"/>
      <c r="T618" s="11" t="inlineStr"/>
    </row>
    <row r="619">
      <c r="A619" s="11" t="n">
        <v>618</v>
      </c>
      <c r="B619" s="11" t="inlineStr">
        <is>
          <t>Use of English</t>
        </is>
      </c>
      <c r="C619" s="11" t="inlineStr">
        <is>
          <t>Словообразование</t>
        </is>
      </c>
      <c r="D619" s="12" t="inlineStr">
        <is>
          <t>Word formation</t>
        </is>
      </c>
      <c r="E619" s="13" t="inlineStr">
        <is>
          <t>Word formation: -er, -or, -man, -ist, -ic</t>
        </is>
      </c>
      <c r="F619" s="11" t="inlineStr">
        <is>
          <t>10+</t>
        </is>
      </c>
      <c r="G619" s="11" t="inlineStr"/>
      <c r="H619" s="11" t="inlineStr"/>
      <c r="I619" s="23" t="inlineStr">
        <is>
          <t>М6 (6b) · новое</t>
        </is>
      </c>
      <c r="J619" s="11" t="inlineStr"/>
      <c r="K619" s="11" t="inlineStr"/>
      <c r="L619" s="11" t="inlineStr"/>
      <c r="M619" s="11" t="inlineStr"/>
      <c r="N619" s="11" t="inlineStr"/>
      <c r="O619" s="11" t="inlineStr"/>
      <c r="P619" s="20" t="inlineStr">
        <is>
          <t>—</t>
        </is>
      </c>
      <c r="Q619" s="21" t="inlineStr"/>
      <c r="R619" s="17" t="inlineStr">
        <is>
          <t>нет</t>
        </is>
      </c>
      <c r="S619" s="11" t="inlineStr"/>
      <c r="T619" s="11" t="inlineStr"/>
    </row>
    <row r="620">
      <c r="A620" s="11" t="n">
        <v>619</v>
      </c>
      <c r="B620" s="11" t="inlineStr">
        <is>
          <t>Use of English</t>
        </is>
      </c>
      <c r="C620" s="11" t="inlineStr">
        <is>
          <t>Словообразование</t>
        </is>
      </c>
      <c r="D620" s="12" t="inlineStr">
        <is>
          <t>Word formation</t>
        </is>
      </c>
      <c r="E620" s="22" t="inlineStr">
        <is>
          <t>Word formation: -ful</t>
        </is>
      </c>
      <c r="F620" s="11" t="inlineStr">
        <is>
          <t>10+</t>
        </is>
      </c>
      <c r="G620" s="11" t="inlineStr"/>
      <c r="H620" s="11" t="inlineStr"/>
      <c r="I620" s="23" t="inlineStr">
        <is>
          <t>М4 · новое</t>
        </is>
      </c>
      <c r="J620" s="11" t="inlineStr"/>
      <c r="K620" s="11" t="inlineStr"/>
      <c r="L620" s="11" t="inlineStr"/>
      <c r="M620" s="11" t="inlineStr"/>
      <c r="N620" s="11" t="inlineStr"/>
      <c r="O620" s="11" t="inlineStr"/>
      <c r="P620" s="20" t="inlineStr">
        <is>
          <t>—</t>
        </is>
      </c>
      <c r="Q620" s="21" t="inlineStr"/>
      <c r="R620" s="17" t="inlineStr">
        <is>
          <t>видео</t>
        </is>
      </c>
      <c r="S620" s="11" t="inlineStr">
        <is>
          <t>Holidays + Word formation</t>
        </is>
      </c>
      <c r="T620" s="11" t="inlineStr"/>
    </row>
    <row r="621">
      <c r="A621" s="11" t="n">
        <v>620</v>
      </c>
      <c r="B621" s="11" t="inlineStr">
        <is>
          <t>Use of English</t>
        </is>
      </c>
      <c r="C621" s="11" t="inlineStr">
        <is>
          <t>Словообразование</t>
        </is>
      </c>
      <c r="D621" s="12" t="inlineStr">
        <is>
          <t>Word formation</t>
        </is>
      </c>
      <c r="E621" s="13" t="inlineStr">
        <is>
          <t>Word formation: -ly</t>
        </is>
      </c>
      <c r="F621" s="11" t="inlineStr">
        <is>
          <t>10+</t>
        </is>
      </c>
      <c r="G621" s="11" t="inlineStr"/>
      <c r="H621" s="11" t="inlineStr"/>
      <c r="I621" s="23" t="inlineStr">
        <is>
          <t>М6 (6a) · новое</t>
        </is>
      </c>
      <c r="J621" s="11" t="inlineStr"/>
      <c r="K621" s="11" t="inlineStr"/>
      <c r="L621" s="11" t="inlineStr"/>
      <c r="M621" s="11" t="inlineStr"/>
      <c r="N621" s="11" t="inlineStr"/>
      <c r="O621" s="11" t="inlineStr"/>
      <c r="P621" s="20" t="inlineStr">
        <is>
          <t>—</t>
        </is>
      </c>
      <c r="Q621" s="21" t="inlineStr"/>
      <c r="R621" s="17" t="inlineStr">
        <is>
          <t>нет</t>
        </is>
      </c>
      <c r="S621" s="11" t="inlineStr"/>
      <c r="T621" s="11" t="inlineStr"/>
    </row>
    <row r="622">
      <c r="A622" s="11" t="n">
        <v>621</v>
      </c>
      <c r="B622" s="11" t="inlineStr">
        <is>
          <t>Use of English</t>
        </is>
      </c>
      <c r="C622" s="11" t="inlineStr">
        <is>
          <t>Словообразование</t>
        </is>
      </c>
      <c r="D622" s="12" t="inlineStr">
        <is>
          <t>Word formation</t>
        </is>
      </c>
      <c r="E622" s="13" t="inlineStr">
        <is>
          <t>Word formation: -tion, -sion</t>
        </is>
      </c>
      <c r="F622" s="11" t="inlineStr">
        <is>
          <t>10+</t>
        </is>
      </c>
      <c r="G622" s="11" t="inlineStr"/>
      <c r="H622" s="11" t="inlineStr"/>
      <c r="I622" s="23" t="inlineStr">
        <is>
          <t>М10 (10c) · новое</t>
        </is>
      </c>
      <c r="J622" s="11" t="inlineStr"/>
      <c r="K622" s="11" t="inlineStr"/>
      <c r="L622" s="11" t="inlineStr"/>
      <c r="M622" s="11" t="inlineStr"/>
      <c r="N622" s="11" t="inlineStr"/>
      <c r="O622" s="11" t="inlineStr"/>
      <c r="P622" s="20" t="inlineStr">
        <is>
          <t>—</t>
        </is>
      </c>
      <c r="Q622" s="21" t="inlineStr"/>
      <c r="R622" s="17" t="inlineStr">
        <is>
          <t>нет</t>
        </is>
      </c>
      <c r="S622" s="11" t="inlineStr"/>
      <c r="T622" s="11" t="inlineStr"/>
    </row>
    <row r="623">
      <c r="A623" s="11" t="n">
        <v>622</v>
      </c>
      <c r="B623" s="11" t="inlineStr">
        <is>
          <t>Use of English</t>
        </is>
      </c>
      <c r="C623" s="11" t="inlineStr">
        <is>
          <t>Словообразование</t>
        </is>
      </c>
      <c r="D623" s="12" t="inlineStr">
        <is>
          <t>Word formation</t>
        </is>
      </c>
      <c r="E623" s="22" t="inlineStr">
        <is>
          <t>Word formation: compound nouns</t>
        </is>
      </c>
      <c r="F623" s="11" t="inlineStr">
        <is>
          <t>10+</t>
        </is>
      </c>
      <c r="G623" s="11" t="inlineStr"/>
      <c r="H623" s="11" t="inlineStr"/>
      <c r="I623" s="23" t="inlineStr">
        <is>
          <t>М3 (3b) · новое</t>
        </is>
      </c>
      <c r="J623" s="16" t="inlineStr">
        <is>
          <t>М6 (6a) · повт.</t>
        </is>
      </c>
      <c r="K623" s="11" t="inlineStr"/>
      <c r="L623" s="16" t="inlineStr">
        <is>
          <t>М7 (7f) · повт.</t>
        </is>
      </c>
      <c r="M623" s="11" t="inlineStr"/>
      <c r="N623" s="16" t="inlineStr">
        <is>
          <t>М5 (5c) · повт.</t>
        </is>
      </c>
      <c r="O623" s="11" t="inlineStr"/>
      <c r="P623" s="20" t="inlineStr">
        <is>
          <t>—</t>
        </is>
      </c>
      <c r="Q623" s="21" t="inlineStr"/>
      <c r="R623" s="17" t="inlineStr">
        <is>
          <t>видео</t>
        </is>
      </c>
      <c r="S623" s="11" t="inlineStr">
        <is>
          <t>Compound Nouns + free time (по названию)</t>
        </is>
      </c>
      <c r="T623" s="11" t="inlineStr"/>
    </row>
    <row r="624">
      <c r="A624" s="11" t="n">
        <v>623</v>
      </c>
      <c r="B624" s="11" t="inlineStr">
        <is>
          <t>Use of English</t>
        </is>
      </c>
      <c r="C624" s="11" t="inlineStr">
        <is>
          <t>Словообразование</t>
        </is>
      </c>
      <c r="D624" s="12" t="inlineStr">
        <is>
          <t>Word formation</t>
        </is>
      </c>
      <c r="E624" s="13" t="inlineStr">
        <is>
          <t>Word formation: conversion (a dress – to dress)</t>
        </is>
      </c>
      <c r="F624" s="11" t="inlineStr">
        <is>
          <t>10+</t>
        </is>
      </c>
      <c r="G624" s="11" t="inlineStr"/>
      <c r="H624" s="11" t="inlineStr"/>
      <c r="I624" s="23" t="inlineStr">
        <is>
          <t>М8 (8a) · новое</t>
        </is>
      </c>
      <c r="J624" s="11" t="inlineStr"/>
      <c r="K624" s="11" t="inlineStr"/>
      <c r="L624" s="11" t="inlineStr"/>
      <c r="M624" s="11" t="inlineStr"/>
      <c r="N624" s="11" t="inlineStr"/>
      <c r="O624" s="11" t="inlineStr"/>
      <c r="P624" s="20" t="inlineStr">
        <is>
          <t>—</t>
        </is>
      </c>
      <c r="Q624" s="21" t="inlineStr"/>
      <c r="R624" s="17" t="inlineStr">
        <is>
          <t>нет</t>
        </is>
      </c>
      <c r="S624" s="11" t="inlineStr"/>
      <c r="T624" s="11" t="inlineStr"/>
    </row>
    <row r="625">
      <c r="A625" s="11" t="n">
        <v>624</v>
      </c>
      <c r="B625" s="11" t="inlineStr">
        <is>
          <t>Use of English</t>
        </is>
      </c>
      <c r="C625" s="11" t="inlineStr">
        <is>
          <t>Словообразование</t>
        </is>
      </c>
      <c r="D625" s="12" t="inlineStr">
        <is>
          <t>Word formation</t>
        </is>
      </c>
      <c r="E625" s="13" t="inlineStr">
        <is>
          <t>Word formation: nationalities -an/-ish/-ian/-ese</t>
        </is>
      </c>
      <c r="F625" s="11" t="inlineStr">
        <is>
          <t>10+</t>
        </is>
      </c>
      <c r="G625" s="11" t="inlineStr"/>
      <c r="H625" s="11" t="inlineStr"/>
      <c r="I625" s="23" t="inlineStr">
        <is>
          <t>М2 (2a) · новое</t>
        </is>
      </c>
      <c r="J625" s="11" t="inlineStr"/>
      <c r="K625" s="11" t="inlineStr"/>
      <c r="L625" s="11" t="inlineStr"/>
      <c r="M625" s="11" t="inlineStr"/>
      <c r="N625" s="11" t="inlineStr"/>
      <c r="O625" s="11" t="inlineStr"/>
      <c r="P625" s="20" t="inlineStr">
        <is>
          <t>—</t>
        </is>
      </c>
      <c r="Q625" s="21" t="inlineStr"/>
      <c r="R625" s="17" t="inlineStr">
        <is>
          <t>нет</t>
        </is>
      </c>
      <c r="S625" s="11" t="inlineStr"/>
      <c r="T625" s="11" t="inlineStr"/>
    </row>
    <row r="626">
      <c r="A626" s="11" t="n">
        <v>625</v>
      </c>
      <c r="B626" s="11" t="inlineStr">
        <is>
          <t>Use of English</t>
        </is>
      </c>
      <c r="C626" s="11" t="inlineStr">
        <is>
          <t>Словообразование</t>
        </is>
      </c>
      <c r="D626" s="12" t="inlineStr">
        <is>
          <t>Word formation</t>
        </is>
      </c>
      <c r="E626" s="13" t="inlineStr">
        <is>
          <t>Word formation: un-</t>
        </is>
      </c>
      <c r="F626" s="11" t="inlineStr">
        <is>
          <t>10+</t>
        </is>
      </c>
      <c r="G626" s="11" t="inlineStr"/>
      <c r="H626" s="11" t="inlineStr"/>
      <c r="I626" s="23" t="inlineStr">
        <is>
          <t>М8 (8c) · новое</t>
        </is>
      </c>
      <c r="J626" s="11" t="inlineStr"/>
      <c r="K626" s="11" t="inlineStr"/>
      <c r="L626" s="11" t="inlineStr"/>
      <c r="M626" s="11" t="inlineStr"/>
      <c r="N626" s="11" t="inlineStr"/>
      <c r="O626" s="11" t="inlineStr"/>
      <c r="P626" s="20" t="inlineStr">
        <is>
          <t>—</t>
        </is>
      </c>
      <c r="Q626" s="21" t="inlineStr"/>
      <c r="R626" s="17" t="inlineStr">
        <is>
          <t>нет</t>
        </is>
      </c>
      <c r="S626" s="11" t="inlineStr"/>
      <c r="T626" s="11" t="inlineStr"/>
    </row>
    <row r="627">
      <c r="A627" s="11" t="n">
        <v>626</v>
      </c>
      <c r="B627" s="11" t="inlineStr">
        <is>
          <t>Use of English</t>
        </is>
      </c>
      <c r="C627" s="11" t="inlineStr">
        <is>
          <t>Словообразование</t>
        </is>
      </c>
      <c r="D627" s="12" t="inlineStr">
        <is>
          <t>Word formation</t>
        </is>
      </c>
      <c r="E627" s="22" t="inlineStr">
        <is>
          <t>Word formation: -ful, -able</t>
        </is>
      </c>
      <c r="F627" s="11" t="inlineStr">
        <is>
          <t>10+</t>
        </is>
      </c>
      <c r="G627" s="11" t="inlineStr"/>
      <c r="H627" s="11" t="inlineStr"/>
      <c r="I627" s="11" t="inlineStr"/>
      <c r="J627" s="11" t="inlineStr"/>
      <c r="K627" s="11" t="inlineStr"/>
      <c r="L627" s="23" t="inlineStr">
        <is>
          <t>М1 (1f) · новое</t>
        </is>
      </c>
      <c r="M627" s="11" t="inlineStr"/>
      <c r="N627" s="11" t="inlineStr"/>
      <c r="O627" s="11" t="inlineStr"/>
      <c r="P627" s="20" t="inlineStr">
        <is>
          <t>—</t>
        </is>
      </c>
      <c r="Q627" s="21" t="inlineStr"/>
      <c r="R627" s="17" t="inlineStr">
        <is>
          <t>видео</t>
        </is>
      </c>
      <c r="S627" s="11" t="inlineStr">
        <is>
          <t>Holidays + Word formation</t>
        </is>
      </c>
      <c r="T627" s="11" t="inlineStr"/>
    </row>
    <row r="628">
      <c r="A628" s="11" t="n">
        <v>627</v>
      </c>
      <c r="B628" s="11" t="inlineStr">
        <is>
          <t>Use of English</t>
        </is>
      </c>
      <c r="C628" s="11" t="inlineStr">
        <is>
          <t>Словообразование</t>
        </is>
      </c>
      <c r="D628" s="12" t="inlineStr">
        <is>
          <t>Word formation</t>
        </is>
      </c>
      <c r="E628" s="13" t="inlineStr">
        <is>
          <t>Word formation: -ion, -tion, -ance</t>
        </is>
      </c>
      <c r="F628" s="11" t="inlineStr">
        <is>
          <t>10+</t>
        </is>
      </c>
      <c r="G628" s="11" t="inlineStr"/>
      <c r="H628" s="11" t="inlineStr"/>
      <c r="I628" s="11" t="inlineStr"/>
      <c r="J628" s="11" t="inlineStr"/>
      <c r="K628" s="11" t="inlineStr"/>
      <c r="L628" s="23" t="inlineStr">
        <is>
          <t>М5 (5f) · новое</t>
        </is>
      </c>
      <c r="M628" s="11" t="inlineStr"/>
      <c r="N628" s="11" t="inlineStr"/>
      <c r="O628" s="11" t="inlineStr"/>
      <c r="P628" s="20" t="inlineStr">
        <is>
          <t>—</t>
        </is>
      </c>
      <c r="Q628" s="21" t="inlineStr"/>
      <c r="R628" s="17" t="inlineStr">
        <is>
          <t>нет</t>
        </is>
      </c>
      <c r="S628" s="11" t="inlineStr"/>
      <c r="T628" s="11" t="inlineStr"/>
    </row>
    <row r="629">
      <c r="A629" s="11" t="n">
        <v>628</v>
      </c>
      <c r="B629" s="11" t="inlineStr">
        <is>
          <t>Use of English</t>
        </is>
      </c>
      <c r="C629" s="11" t="inlineStr">
        <is>
          <t>Словообразование</t>
        </is>
      </c>
      <c r="D629" s="12" t="inlineStr">
        <is>
          <t>Word formation</t>
        </is>
      </c>
      <c r="E629" s="13" t="inlineStr">
        <is>
          <t>Word formation: -ise, -ize</t>
        </is>
      </c>
      <c r="F629" s="11" t="inlineStr">
        <is>
          <t>10+</t>
        </is>
      </c>
      <c r="G629" s="11" t="inlineStr"/>
      <c r="H629" s="11" t="inlineStr"/>
      <c r="I629" s="11" t="inlineStr"/>
      <c r="J629" s="11" t="inlineStr"/>
      <c r="K629" s="11" t="inlineStr"/>
      <c r="L629" s="23" t="inlineStr">
        <is>
          <t>М3 (3f) · новое</t>
        </is>
      </c>
      <c r="M629" s="11" t="inlineStr"/>
      <c r="N629" s="11" t="inlineStr"/>
      <c r="O629" s="11" t="inlineStr"/>
      <c r="P629" s="20" t="inlineStr">
        <is>
          <t>—</t>
        </is>
      </c>
      <c r="Q629" s="21" t="inlineStr"/>
      <c r="R629" s="17" t="inlineStr">
        <is>
          <t>нет</t>
        </is>
      </c>
      <c r="S629" s="11" t="inlineStr"/>
      <c r="T629" s="11" t="inlineStr"/>
    </row>
    <row r="630">
      <c r="A630" s="11" t="n">
        <v>629</v>
      </c>
      <c r="B630" s="11" t="inlineStr">
        <is>
          <t>Use of English</t>
        </is>
      </c>
      <c r="C630" s="11" t="inlineStr">
        <is>
          <t>Словообразование</t>
        </is>
      </c>
      <c r="D630" s="12" t="inlineStr">
        <is>
          <t>Word formation</t>
        </is>
      </c>
      <c r="E630" s="13" t="inlineStr">
        <is>
          <t>Word formation: -ness, -ment</t>
        </is>
      </c>
      <c r="F630" s="11" t="inlineStr">
        <is>
          <t>10+</t>
        </is>
      </c>
      <c r="G630" s="11" t="inlineStr"/>
      <c r="H630" s="11" t="inlineStr"/>
      <c r="I630" s="11" t="inlineStr"/>
      <c r="J630" s="11" t="inlineStr"/>
      <c r="K630" s="11" t="inlineStr"/>
      <c r="L630" s="23" t="inlineStr">
        <is>
          <t>М6 (6f) · новое</t>
        </is>
      </c>
      <c r="M630" s="11" t="inlineStr"/>
      <c r="N630" s="11" t="inlineStr"/>
      <c r="O630" s="11" t="inlineStr"/>
      <c r="P630" s="20" t="inlineStr">
        <is>
          <t>—</t>
        </is>
      </c>
      <c r="Q630" s="21" t="inlineStr"/>
      <c r="R630" s="17" t="inlineStr">
        <is>
          <t>нет</t>
        </is>
      </c>
      <c r="S630" s="11" t="inlineStr"/>
      <c r="T630" s="11" t="inlineStr"/>
    </row>
    <row r="631">
      <c r="A631" s="11" t="n">
        <v>630</v>
      </c>
      <c r="B631" s="11" t="inlineStr">
        <is>
          <t>Use of English</t>
        </is>
      </c>
      <c r="C631" s="11" t="inlineStr">
        <is>
          <t>Словообразование</t>
        </is>
      </c>
      <c r="D631" s="12" t="inlineStr">
        <is>
          <t>Word formation</t>
        </is>
      </c>
      <c r="E631" s="22" t="inlineStr">
        <is>
          <t>Word formation: compound adjectives</t>
        </is>
      </c>
      <c r="F631" s="11" t="inlineStr">
        <is>
          <t>10+</t>
        </is>
      </c>
      <c r="G631" s="11" t="inlineStr"/>
      <c r="H631" s="11" t="inlineStr"/>
      <c r="I631" s="11" t="inlineStr"/>
      <c r="J631" s="11" t="inlineStr"/>
      <c r="K631" s="11" t="inlineStr"/>
      <c r="L631" s="23" t="inlineStr">
        <is>
          <t>М8 (8f) · новое</t>
        </is>
      </c>
      <c r="M631" s="16" t="inlineStr">
        <is>
          <t>М3 (3f) · повт.</t>
        </is>
      </c>
      <c r="N631" s="16" t="inlineStr">
        <is>
          <t>М7 (7c) · повт.</t>
        </is>
      </c>
      <c r="O631" s="11" t="inlineStr"/>
      <c r="P631" s="20" t="inlineStr">
        <is>
          <t>—</t>
        </is>
      </c>
      <c r="Q631" s="21" t="inlineStr"/>
      <c r="R631" s="17" t="inlineStr">
        <is>
          <t>видео</t>
        </is>
      </c>
      <c r="S631" s="11" t="inlineStr">
        <is>
          <t>Sport+Compound adjectives.</t>
        </is>
      </c>
      <c r="T631" s="11" t="inlineStr"/>
    </row>
    <row r="632">
      <c r="A632" s="11" t="n">
        <v>631</v>
      </c>
      <c r="B632" s="11" t="inlineStr">
        <is>
          <t>Use of English</t>
        </is>
      </c>
      <c r="C632" s="11" t="inlineStr">
        <is>
          <t>Словообразование</t>
        </is>
      </c>
      <c r="D632" s="12" t="inlineStr">
        <is>
          <t>Word formation</t>
        </is>
      </c>
      <c r="E632" s="13" t="inlineStr">
        <is>
          <t>Word formation: il-, im-, in-, ir-</t>
        </is>
      </c>
      <c r="F632" s="11" t="inlineStr">
        <is>
          <t>10+</t>
        </is>
      </c>
      <c r="G632" s="11" t="inlineStr"/>
      <c r="H632" s="11" t="inlineStr"/>
      <c r="I632" s="11" t="inlineStr"/>
      <c r="J632" s="11" t="inlineStr"/>
      <c r="K632" s="11" t="inlineStr"/>
      <c r="L632" s="23" t="inlineStr">
        <is>
          <t>М4 (4f) · новое</t>
        </is>
      </c>
      <c r="M632" s="11" t="inlineStr"/>
      <c r="N632" s="11" t="inlineStr"/>
      <c r="O632" s="11" t="inlineStr"/>
      <c r="P632" s="20" t="inlineStr">
        <is>
          <t>—</t>
        </is>
      </c>
      <c r="Q632" s="21" t="inlineStr"/>
      <c r="R632" s="17" t="inlineStr">
        <is>
          <t>нет</t>
        </is>
      </c>
      <c r="S632" s="11" t="inlineStr"/>
      <c r="T632" s="11" t="inlineStr"/>
    </row>
    <row r="633">
      <c r="A633" s="11" t="n">
        <v>632</v>
      </c>
      <c r="B633" s="11" t="inlineStr">
        <is>
          <t>Use of English</t>
        </is>
      </c>
      <c r="C633" s="11" t="inlineStr">
        <is>
          <t>Словообразование</t>
        </is>
      </c>
      <c r="D633" s="12" t="inlineStr">
        <is>
          <t>Word formation</t>
        </is>
      </c>
      <c r="E633" s="13" t="inlineStr">
        <is>
          <t>Word formation: negative adjectives</t>
        </is>
      </c>
      <c r="F633" s="11" t="inlineStr">
        <is>
          <t>10+</t>
        </is>
      </c>
      <c r="G633" s="11" t="inlineStr"/>
      <c r="H633" s="11" t="inlineStr"/>
      <c r="I633" s="11" t="inlineStr"/>
      <c r="J633" s="11" t="inlineStr"/>
      <c r="K633" s="11" t="inlineStr"/>
      <c r="L633" s="23" t="inlineStr">
        <is>
          <t>М2 (2f) · новое</t>
        </is>
      </c>
      <c r="M633" s="11" t="inlineStr"/>
      <c r="N633" s="16" t="inlineStr">
        <is>
          <t>М4 (4c) · повт.</t>
        </is>
      </c>
      <c r="O633" s="11" t="inlineStr"/>
      <c r="P633" s="20" t="inlineStr">
        <is>
          <t>—</t>
        </is>
      </c>
      <c r="Q633" s="21" t="inlineStr"/>
      <c r="R633" s="17" t="inlineStr">
        <is>
          <t>нет</t>
        </is>
      </c>
      <c r="S633" s="11" t="inlineStr"/>
      <c r="T633" s="11" t="inlineStr"/>
    </row>
    <row r="634">
      <c r="A634" s="11" t="n">
        <v>633</v>
      </c>
      <c r="B634" s="11" t="inlineStr">
        <is>
          <t>Use of English</t>
        </is>
      </c>
      <c r="C634" s="11" t="inlineStr">
        <is>
          <t>Словообразование</t>
        </is>
      </c>
      <c r="D634" s="12" t="inlineStr">
        <is>
          <t>Word formation</t>
        </is>
      </c>
      <c r="E634" s="13" t="inlineStr">
        <is>
          <t>Word formation: abstract nouns</t>
        </is>
      </c>
      <c r="F634" s="11" t="inlineStr">
        <is>
          <t>10+</t>
        </is>
      </c>
      <c r="G634" s="11" t="inlineStr"/>
      <c r="H634" s="11" t="inlineStr"/>
      <c r="I634" s="11" t="inlineStr"/>
      <c r="J634" s="11" t="inlineStr"/>
      <c r="K634" s="11" t="inlineStr"/>
      <c r="L634" s="11" t="inlineStr"/>
      <c r="M634" s="23" t="inlineStr">
        <is>
          <t>М6 (6f) · новое</t>
        </is>
      </c>
      <c r="N634" s="16" t="inlineStr">
        <is>
          <t>М2 (2c) · повт.</t>
        </is>
      </c>
      <c r="O634" s="11" t="inlineStr"/>
      <c r="P634" s="20" t="inlineStr">
        <is>
          <t>—</t>
        </is>
      </c>
      <c r="Q634" s="21" t="inlineStr"/>
      <c r="R634" s="17" t="inlineStr">
        <is>
          <t>нет</t>
        </is>
      </c>
      <c r="S634" s="11" t="inlineStr"/>
      <c r="T634" s="11" t="inlineStr"/>
    </row>
    <row r="635">
      <c r="A635" s="11" t="n">
        <v>634</v>
      </c>
      <c r="B635" s="11" t="inlineStr">
        <is>
          <t>Use of English</t>
        </is>
      </c>
      <c r="C635" s="11" t="inlineStr">
        <is>
          <t>Словообразование</t>
        </is>
      </c>
      <c r="D635" s="12" t="inlineStr">
        <is>
          <t>Word formation</t>
        </is>
      </c>
      <c r="E635" s="13" t="inlineStr">
        <is>
          <t>Word formation: nouns from adjectives</t>
        </is>
      </c>
      <c r="F635" s="11" t="inlineStr">
        <is>
          <t>10+</t>
        </is>
      </c>
      <c r="G635" s="11" t="inlineStr"/>
      <c r="H635" s="11" t="inlineStr"/>
      <c r="I635" s="11" t="inlineStr"/>
      <c r="J635" s="11" t="inlineStr"/>
      <c r="K635" s="11" t="inlineStr"/>
      <c r="L635" s="11" t="inlineStr"/>
      <c r="M635" s="23" t="inlineStr">
        <is>
          <t>М2 (2f) · новое</t>
        </is>
      </c>
      <c r="N635" s="11" t="inlineStr"/>
      <c r="O635" s="11" t="inlineStr"/>
      <c r="P635" s="20" t="inlineStr">
        <is>
          <t>—</t>
        </is>
      </c>
      <c r="Q635" s="21" t="inlineStr"/>
      <c r="R635" s="17" t="inlineStr">
        <is>
          <t>нет</t>
        </is>
      </c>
      <c r="S635" s="11" t="inlineStr"/>
      <c r="T635" s="11" t="inlineStr"/>
    </row>
    <row r="636">
      <c r="A636" s="11" t="n">
        <v>635</v>
      </c>
      <c r="B636" s="11" t="inlineStr">
        <is>
          <t>Use of English</t>
        </is>
      </c>
      <c r="C636" s="11" t="inlineStr">
        <is>
          <t>Словообразование</t>
        </is>
      </c>
      <c r="D636" s="12" t="inlineStr">
        <is>
          <t>Word formation</t>
        </is>
      </c>
      <c r="E636" s="22" t="inlineStr">
        <is>
          <t>Word formation: nouns from verbs</t>
        </is>
      </c>
      <c r="F636" s="11" t="inlineStr">
        <is>
          <t>10+</t>
        </is>
      </c>
      <c r="G636" s="11" t="inlineStr"/>
      <c r="H636" s="11" t="inlineStr"/>
      <c r="I636" s="11" t="inlineStr"/>
      <c r="J636" s="11" t="inlineStr"/>
      <c r="K636" s="11" t="inlineStr"/>
      <c r="L636" s="11" t="inlineStr"/>
      <c r="M636" s="23" t="inlineStr">
        <is>
          <t>М4 (4f) · новое</t>
        </is>
      </c>
      <c r="N636" s="11" t="inlineStr"/>
      <c r="O636" s="11" t="inlineStr"/>
      <c r="P636" s="20" t="inlineStr">
        <is>
          <t>—</t>
        </is>
      </c>
      <c r="Q636" s="21" t="inlineStr"/>
      <c r="R636" s="17" t="inlineStr">
        <is>
          <t>видео</t>
        </is>
      </c>
      <c r="S636" s="11" t="inlineStr">
        <is>
          <t>Socializing+forming nouns from verbs (по названию)</t>
        </is>
      </c>
      <c r="T636" s="11" t="inlineStr"/>
    </row>
    <row r="637">
      <c r="A637" s="11" t="n">
        <v>636</v>
      </c>
      <c r="B637" s="11" t="inlineStr">
        <is>
          <t>Use of English</t>
        </is>
      </c>
      <c r="C637" s="11" t="inlineStr">
        <is>
          <t>Словообразование</t>
        </is>
      </c>
      <c r="D637" s="12" t="inlineStr">
        <is>
          <t>Word formation</t>
        </is>
      </c>
      <c r="E637" s="13" t="inlineStr">
        <is>
          <t>Word formation: participle adjectives -ed/-ing</t>
        </is>
      </c>
      <c r="F637" s="11" t="inlineStr">
        <is>
          <t>10+</t>
        </is>
      </c>
      <c r="G637" s="11" t="inlineStr"/>
      <c r="H637" s="11" t="inlineStr"/>
      <c r="I637" s="11" t="inlineStr"/>
      <c r="J637" s="11" t="inlineStr"/>
      <c r="K637" s="11" t="inlineStr"/>
      <c r="L637" s="11" t="inlineStr"/>
      <c r="M637" s="23" t="inlineStr">
        <is>
          <t>М1 (1f) · новое</t>
        </is>
      </c>
      <c r="N637" s="11" t="inlineStr"/>
      <c r="O637" s="11" t="inlineStr"/>
      <c r="P637" s="20" t="inlineStr">
        <is>
          <t>—</t>
        </is>
      </c>
      <c r="Q637" s="21" t="inlineStr"/>
      <c r="R637" s="17" t="inlineStr">
        <is>
          <t>нет</t>
        </is>
      </c>
      <c r="S637" s="11" t="inlineStr"/>
      <c r="T637" s="11" t="inlineStr"/>
    </row>
    <row r="638">
      <c r="A638" s="11" t="n">
        <v>637</v>
      </c>
      <c r="B638" s="11" t="inlineStr">
        <is>
          <t>Use of English</t>
        </is>
      </c>
      <c r="C638" s="11" t="inlineStr">
        <is>
          <t>Словообразование</t>
        </is>
      </c>
      <c r="D638" s="12" t="inlineStr">
        <is>
          <t>Word formation</t>
        </is>
      </c>
      <c r="E638" s="13" t="inlineStr">
        <is>
          <t>Word formation: revision</t>
        </is>
      </c>
      <c r="F638" s="11" t="inlineStr">
        <is>
          <t>10+</t>
        </is>
      </c>
      <c r="G638" s="11" t="inlineStr"/>
      <c r="H638" s="11" t="inlineStr"/>
      <c r="I638" s="11" t="inlineStr"/>
      <c r="J638" s="11" t="inlineStr"/>
      <c r="K638" s="11" t="inlineStr"/>
      <c r="L638" s="11" t="inlineStr"/>
      <c r="M638" s="23" t="inlineStr">
        <is>
          <t>М8 (8f) · новое</t>
        </is>
      </c>
      <c r="N638" s="11" t="inlineStr"/>
      <c r="O638" s="11" t="inlineStr"/>
      <c r="P638" s="20" t="inlineStr">
        <is>
          <t>—</t>
        </is>
      </c>
      <c r="Q638" s="21" t="inlineStr"/>
      <c r="R638" s="17" t="inlineStr">
        <is>
          <t>нет</t>
        </is>
      </c>
      <c r="S638" s="11" t="inlineStr"/>
      <c r="T638" s="11" t="inlineStr"/>
    </row>
    <row r="639">
      <c r="A639" s="11" t="n">
        <v>638</v>
      </c>
      <c r="B639" s="11" t="inlineStr">
        <is>
          <t>Use of English</t>
        </is>
      </c>
      <c r="C639" s="11" t="inlineStr">
        <is>
          <t>Словообразование</t>
        </is>
      </c>
      <c r="D639" s="12" t="inlineStr">
        <is>
          <t>Word formation</t>
        </is>
      </c>
      <c r="E639" s="13" t="inlineStr">
        <is>
          <t>Word formation: verbs from nouns/adjectives</t>
        </is>
      </c>
      <c r="F639" s="11" t="inlineStr">
        <is>
          <t>10+</t>
        </is>
      </c>
      <c r="G639" s="11" t="inlineStr"/>
      <c r="H639" s="11" t="inlineStr"/>
      <c r="I639" s="11" t="inlineStr"/>
      <c r="J639" s="11" t="inlineStr"/>
      <c r="K639" s="11" t="inlineStr"/>
      <c r="L639" s="11" t="inlineStr"/>
      <c r="M639" s="23" t="inlineStr">
        <is>
          <t>М7 (7f) · новое</t>
        </is>
      </c>
      <c r="N639" s="11" t="inlineStr"/>
      <c r="O639" s="11" t="inlineStr"/>
      <c r="P639" s="20" t="inlineStr">
        <is>
          <t>—</t>
        </is>
      </c>
      <c r="Q639" s="21" t="inlineStr"/>
      <c r="R639" s="17" t="inlineStr">
        <is>
          <t>нет</t>
        </is>
      </c>
      <c r="S639" s="11" t="inlineStr"/>
      <c r="T639" s="11" t="inlineStr"/>
    </row>
    <row r="640">
      <c r="A640" s="11" t="n">
        <v>639</v>
      </c>
      <c r="B640" s="11" t="inlineStr">
        <is>
          <t>Use of English</t>
        </is>
      </c>
      <c r="C640" s="11" t="inlineStr">
        <is>
          <t>Словообразование</t>
        </is>
      </c>
      <c r="D640" s="12" t="inlineStr">
        <is>
          <t>Word formation</t>
        </is>
      </c>
      <c r="E640" s="13" t="inlineStr">
        <is>
          <t>Word formation: verbs with prefixes</t>
        </is>
      </c>
      <c r="F640" s="11" t="inlineStr">
        <is>
          <t>10+</t>
        </is>
      </c>
      <c r="G640" s="11" t="inlineStr"/>
      <c r="H640" s="11" t="inlineStr"/>
      <c r="I640" s="11" t="inlineStr"/>
      <c r="J640" s="11" t="inlineStr"/>
      <c r="K640" s="11" t="inlineStr"/>
      <c r="L640" s="11" t="inlineStr"/>
      <c r="M640" s="23" t="inlineStr">
        <is>
          <t>М5 (5f) · новое</t>
        </is>
      </c>
      <c r="N640" s="11" t="inlineStr"/>
      <c r="O640" s="11" t="inlineStr"/>
      <c r="P640" s="20" t="inlineStr">
        <is>
          <t>—</t>
        </is>
      </c>
      <c r="Q640" s="21" t="inlineStr"/>
      <c r="R640" s="17" t="inlineStr">
        <is>
          <t>нет</t>
        </is>
      </c>
      <c r="S640" s="11" t="inlineStr"/>
      <c r="T640" s="11" t="inlineStr"/>
    </row>
    <row r="641">
      <c r="A641" s="11" t="n">
        <v>640</v>
      </c>
      <c r="B641" s="11" t="inlineStr">
        <is>
          <t>Use of English</t>
        </is>
      </c>
      <c r="C641" s="11" t="inlineStr">
        <is>
          <t>Словообразование</t>
        </is>
      </c>
      <c r="D641" s="12" t="inlineStr">
        <is>
          <t>Word formation</t>
        </is>
      </c>
      <c r="E641" s="22" t="inlineStr">
        <is>
          <t>Word formation: forming adjectives</t>
        </is>
      </c>
      <c r="F641" s="11" t="inlineStr">
        <is>
          <t>10+</t>
        </is>
      </c>
      <c r="G641" s="11" t="inlineStr"/>
      <c r="H641" s="11" t="inlineStr"/>
      <c r="I641" s="11" t="inlineStr"/>
      <c r="J641" s="11" t="inlineStr"/>
      <c r="K641" s="11" t="inlineStr"/>
      <c r="L641" s="11" t="inlineStr"/>
      <c r="M641" s="11" t="inlineStr"/>
      <c r="N641" s="23" t="inlineStr">
        <is>
          <t>М1 (1c) · новое</t>
        </is>
      </c>
      <c r="O641" s="11" t="inlineStr"/>
      <c r="P641" s="20" t="inlineStr">
        <is>
          <t>—</t>
        </is>
      </c>
      <c r="Q641" s="21" t="inlineStr"/>
      <c r="R641" s="17" t="inlineStr">
        <is>
          <t>видео</t>
        </is>
      </c>
      <c r="S641" s="11" t="inlineStr">
        <is>
          <t>Science, word formation (adjectives) (по названию)</t>
        </is>
      </c>
      <c r="T641" s="11" t="inlineStr"/>
    </row>
    <row r="642">
      <c r="A642" s="11" t="n">
        <v>641</v>
      </c>
      <c r="B642" s="11" t="inlineStr">
        <is>
          <t>Use of English</t>
        </is>
      </c>
      <c r="C642" s="11" t="inlineStr">
        <is>
          <t>Словообразование</t>
        </is>
      </c>
      <c r="D642" s="12" t="inlineStr">
        <is>
          <t>Word formation</t>
        </is>
      </c>
      <c r="E642" s="13" t="inlineStr">
        <is>
          <t>Word formation: forming verbs</t>
        </is>
      </c>
      <c r="F642" s="11" t="inlineStr">
        <is>
          <t>10+</t>
        </is>
      </c>
      <c r="G642" s="11" t="inlineStr"/>
      <c r="H642" s="11" t="inlineStr"/>
      <c r="I642" s="11" t="inlineStr"/>
      <c r="J642" s="11" t="inlineStr"/>
      <c r="K642" s="11" t="inlineStr"/>
      <c r="L642" s="11" t="inlineStr"/>
      <c r="M642" s="11" t="inlineStr"/>
      <c r="N642" s="23" t="inlineStr">
        <is>
          <t>М8 (8c) · новое</t>
        </is>
      </c>
      <c r="O642" s="11" t="inlineStr"/>
      <c r="P642" s="20" t="inlineStr">
        <is>
          <t>—</t>
        </is>
      </c>
      <c r="Q642" s="21" t="inlineStr"/>
      <c r="R642" s="17" t="inlineStr">
        <is>
          <t>нет</t>
        </is>
      </c>
      <c r="S642" s="11" t="inlineStr"/>
      <c r="T642" s="11" t="inlineStr"/>
    </row>
    <row r="643">
      <c r="A643" s="11" t="n">
        <v>642</v>
      </c>
      <c r="B643" s="11" t="inlineStr">
        <is>
          <t>Use of English</t>
        </is>
      </c>
      <c r="C643" s="11" t="inlineStr">
        <is>
          <t>Словообразование</t>
        </is>
      </c>
      <c r="D643" s="12" t="inlineStr">
        <is>
          <t>Word formation</t>
        </is>
      </c>
      <c r="E643" s="13" t="inlineStr">
        <is>
          <t>Word formation: personal nouns</t>
        </is>
      </c>
      <c r="F643" s="11" t="inlineStr">
        <is>
          <t>10+</t>
        </is>
      </c>
      <c r="G643" s="11" t="inlineStr"/>
      <c r="H643" s="11" t="inlineStr"/>
      <c r="I643" s="11" t="inlineStr"/>
      <c r="J643" s="11" t="inlineStr"/>
      <c r="K643" s="11" t="inlineStr"/>
      <c r="L643" s="11" t="inlineStr"/>
      <c r="M643" s="11" t="inlineStr"/>
      <c r="N643" s="23" t="inlineStr">
        <is>
          <t>М3 (3c) · новое</t>
        </is>
      </c>
      <c r="O643" s="11" t="inlineStr"/>
      <c r="P643" s="20" t="inlineStr">
        <is>
          <t>—</t>
        </is>
      </c>
      <c r="Q643" s="21" t="inlineStr"/>
      <c r="R643" s="17" t="inlineStr">
        <is>
          <t>нет</t>
        </is>
      </c>
      <c r="S643" s="11" t="inlineStr"/>
      <c r="T643" s="11" t="inlineStr"/>
    </row>
    <row r="644">
      <c r="A644" s="11" t="n">
        <v>643</v>
      </c>
      <c r="B644" s="11" t="inlineStr">
        <is>
          <t>Use of English</t>
        </is>
      </c>
      <c r="C644" s="11" t="inlineStr">
        <is>
          <t>Словообразование</t>
        </is>
      </c>
      <c r="D644" s="12" t="inlineStr">
        <is>
          <t>Word formation</t>
        </is>
      </c>
      <c r="E644" s="13" t="inlineStr">
        <is>
          <t>Word formation: prefixes</t>
        </is>
      </c>
      <c r="F644" s="11" t="inlineStr">
        <is>
          <t>10+</t>
        </is>
      </c>
      <c r="G644" s="11" t="inlineStr"/>
      <c r="H644" s="11" t="inlineStr"/>
      <c r="I644" s="11" t="inlineStr"/>
      <c r="J644" s="11" t="inlineStr"/>
      <c r="K644" s="11" t="inlineStr"/>
      <c r="L644" s="11" t="inlineStr"/>
      <c r="M644" s="11" t="inlineStr"/>
      <c r="N644" s="23" t="inlineStr">
        <is>
          <t>М6 (6c) · новое</t>
        </is>
      </c>
      <c r="O644" s="11" t="inlineStr"/>
      <c r="P644" s="20" t="inlineStr">
        <is>
          <t>—</t>
        </is>
      </c>
      <c r="Q644" s="21" t="inlineStr"/>
      <c r="R644" s="17" t="inlineStr">
        <is>
          <t>нет</t>
        </is>
      </c>
      <c r="S644" s="11" t="inlineStr"/>
      <c r="T644" s="11" t="inlineStr"/>
    </row>
    <row r="645">
      <c r="A645" s="4" t="n">
        <v>644</v>
      </c>
      <c r="B645" s="4" t="inlineStr">
        <is>
          <t>Use of English</t>
        </is>
      </c>
      <c r="C645" s="4" t="inlineStr">
        <is>
          <t>Предлоги и сочетания</t>
        </is>
      </c>
      <c r="D645" s="5" t="inlineStr">
        <is>
          <t>Dependent prepositions</t>
        </is>
      </c>
      <c r="E645" s="24" t="inlineStr">
        <is>
          <t>Dependent prepositions</t>
        </is>
      </c>
      <c r="F645" s="4" t="inlineStr">
        <is>
          <t>10+</t>
        </is>
      </c>
      <c r="G645" s="4" t="inlineStr"/>
      <c r="H645" s="4" t="inlineStr"/>
      <c r="I645" s="4" t="inlineStr"/>
      <c r="J645" s="4" t="inlineStr"/>
      <c r="K645" s="4" t="inlineStr"/>
      <c r="L645" s="27" t="inlineStr">
        <is>
          <t>М1 (1f) · новое
М2 (2f) · повт.
Appendix 2 · повт.
М3 (3f) · повт.
М4 (4f) · повт.
М6 (6f) · повт.
М8 (8f) · повт.</t>
        </is>
      </c>
      <c r="M645" s="9" t="inlineStr">
        <is>
          <t>М1 (1f) · повт.
М2 (2f) · повт.
Appendix 2 · повт.
М3 (3f) · повт.
М4 (4f) · повт.
М5 (5f) · повт.
М6 (6f) · повт.
М7 (7f) · повт.</t>
        </is>
      </c>
      <c r="N645" s="9" t="inlineStr">
        <is>
          <t>М1 (1c) · повт.
Appendix 1 · повт.</t>
        </is>
      </c>
      <c r="O645" s="9" t="inlineStr">
        <is>
          <t>М1 (1c) · повт.
М2 (2c) · повт.
М3 (3c) · повт.
М4 (4c) · повт.
М5 (5c) · повт.
М6 (6c) · повт.
М7 (7c) · повт.
М8 (8c) · повт.</t>
        </is>
      </c>
      <c r="P645" s="28" t="inlineStr">
        <is>
          <t>—</t>
        </is>
      </c>
      <c r="Q645" s="29" t="inlineStr"/>
      <c r="R645" s="10" t="inlineStr">
        <is>
          <t>нет</t>
        </is>
      </c>
      <c r="S645" s="4" t="inlineStr"/>
      <c r="T645" s="4" t="inlineStr"/>
    </row>
    <row r="646">
      <c r="A646" s="4" t="n">
        <v>645</v>
      </c>
      <c r="B646" s="4" t="inlineStr">
        <is>
          <t>Use of English</t>
        </is>
      </c>
      <c r="C646" s="4" t="inlineStr">
        <is>
          <t>Предлоги и сочетания</t>
        </is>
      </c>
      <c r="D646" s="5" t="inlineStr">
        <is>
          <t>Idioms &amp; collocations</t>
        </is>
      </c>
      <c r="E646" s="6" t="inlineStr">
        <is>
          <t>Idioms &amp; collocations</t>
        </is>
      </c>
      <c r="F646" s="4" t="inlineStr">
        <is>
          <t>10+</t>
        </is>
      </c>
      <c r="G646" s="4" t="inlineStr"/>
      <c r="H646" s="4" t="inlineStr"/>
      <c r="I646" s="4" t="inlineStr"/>
      <c r="J646" s="4" t="inlineStr"/>
      <c r="K646" s="4" t="inlineStr"/>
      <c r="L646" s="27" t="inlineStr">
        <is>
          <t>Appendix 3 · новое</t>
        </is>
      </c>
      <c r="M646" s="4" t="inlineStr"/>
      <c r="N646" s="9" t="inlineStr">
        <is>
          <t>М5 (5c) · повт.</t>
        </is>
      </c>
      <c r="O646" s="9" t="inlineStr">
        <is>
          <t>М1 (1b) · повт.
М2 (2b) · повт.
М4 (4b) · повт.
М5 (5b) · повт.
М6 (6b) · повт.
М7 (7a) · повт.
М8 (8b) · повт.</t>
        </is>
      </c>
      <c r="P646" s="28" t="inlineStr">
        <is>
          <t>—</t>
        </is>
      </c>
      <c r="Q646" s="29" t="inlineStr"/>
      <c r="R646" s="10" t="inlineStr">
        <is>
          <t>видео</t>
        </is>
      </c>
      <c r="S646" s="4" t="inlineStr">
        <is>
          <t>Hobbies. free time, idioms about free time (по названию)</t>
        </is>
      </c>
      <c r="T646" s="4" t="inlineStr"/>
    </row>
    <row r="647">
      <c r="A647" s="4" t="n">
        <v>646</v>
      </c>
      <c r="B647" s="4" t="inlineStr">
        <is>
          <t>Use of English</t>
        </is>
      </c>
      <c r="C647" s="4" t="inlineStr">
        <is>
          <t>Предлоги и сочетания</t>
        </is>
      </c>
      <c r="D647" s="5" t="inlineStr">
        <is>
          <t>Words often confused</t>
        </is>
      </c>
      <c r="E647" s="24" t="inlineStr">
        <is>
          <t>Words often confused</t>
        </is>
      </c>
      <c r="F647" s="4" t="inlineStr">
        <is>
          <t>10+</t>
        </is>
      </c>
      <c r="G647" s="4" t="inlineStr"/>
      <c r="H647" s="4" t="inlineStr"/>
      <c r="I647" s="4" t="inlineStr"/>
      <c r="J647" s="4" t="inlineStr"/>
      <c r="K647" s="4" t="inlineStr"/>
      <c r="L647" s="27" t="inlineStr">
        <is>
          <t>М3 (3f) · новое
М4 (4f) · повт.
М5 (5f) · повт.
М6 (6f) · повт.
М7 (7f) · повт.</t>
        </is>
      </c>
      <c r="M647" s="9" t="inlineStr">
        <is>
          <t>М8 (8f) · повт.</t>
        </is>
      </c>
      <c r="N647" s="4" t="inlineStr"/>
      <c r="O647" s="9" t="inlineStr">
        <is>
          <t>М3 (3a) · повт.</t>
        </is>
      </c>
      <c r="P647" s="28" t="inlineStr">
        <is>
          <t>—</t>
        </is>
      </c>
      <c r="Q647" s="29" t="inlineStr"/>
      <c r="R647" s="10" t="inlineStr">
        <is>
          <t>нет</t>
        </is>
      </c>
      <c r="S647" s="4" t="inlineStr"/>
      <c r="T647" s="4" t="inlineStr"/>
    </row>
  </sheetData>
  <autoFilter ref="A1:T647"/>
  <conditionalFormatting sqref="P2:P647">
    <cfRule type="cellIs" priority="1" operator="equal" dxfId="0">
      <formula>"видео"</formula>
    </cfRule>
    <cfRule type="cellIs" priority="2" operator="equal" dxfId="1">
      <formula>"нет"</formula>
    </cfRule>
    <cfRule type="cellIs" priority="3" operator="equal" dxfId="2">
      <formula>"материалы"</formula>
    </cfRule>
    <cfRule type="cellIs" priority="4" operator="equal" dxfId="3">
      <formula>"вебинар"</formula>
    </cfRule>
  </conditionalFormatting>
  <conditionalFormatting sqref="R2:R647">
    <cfRule type="cellIs" priority="5" operator="equal" dxfId="0">
      <formula>"видео"</formula>
    </cfRule>
    <cfRule type="cellIs" priority="6" operator="equal" dxfId="1">
      <formula>"нет"</formula>
    </cfRule>
    <cfRule type="cellIs" priority="7" operator="equal" dxfId="2">
      <formula>"материалы"</formula>
    </cfRule>
    <cfRule type="cellIs" priority="8" operator="equal" dxfId="3">
      <formula>"вебинар"</formula>
    </cfRule>
  </conditionalFormatting>
  <dataValidations count="1">
    <dataValidation sqref="P2 P3 P4 P5 P6 P7 P8 P9 P10 P12 P17 P18 P19 P20 P22 P28 P29 P30 P31 P32 P33 P34 P42 P43 P44 P45 P46 P47 P54 P58 P59 P60 P61 P125 P126 P127 P128 P129 P130 P131 P132 P134 P135 P136 P137 P138 P139 P140 P141 P142 P143 P144 P148 P153 P154 P330 P343 P344 P346 P347 P348 P349 P352 P353 P359 P360 P361 P362 P363 P364 P367 P368 P369 P370 P371 P402 P403 P404 P405 P406 P445 P446 P450 P451 P452 P453 P454 P455 P456 P489 P490 P491 P492 P493 P494 P500 P501 P503 P509 P510 P511 P512 P513 P514 P515 R2 R3 R4 R5 R6 R8 R9 R10 R11 R12 R13 R14 R15 R16 R17 R18 R19 R20 R21 R22 R23 R24 R25 R26 R27 R28 R29 R30 R31 R32 R34 R35 R36 R37 R38 R39 R40 R41 R42 R43 R44 R45 R46 R47 R48 R49 R50 R51 R52 R53 R54 R55 R56 R57 R58 R59 R60 R61 R62 R63 R64 R65 R66 R67 R68 R69 R70 R71 R72 R73 R74 R75 R76 R77 R78 R79 R80 R81 R82 R83 R84 R85 R86 R87 R88 R89 R90 R91 R92 R93 R94 R95 R96 R97 R98 R99 R100 R101 R102 R103 R104 R105 R106 R107 R108 R109 R110 R111 R112 R113 R114 R115 R116 R117 R118 R119 R120 R121 R122 R123 R124 R125 R126 R127 R128 R129 R130 R131 R132 R133 R135 R136 R137 R139 R140 R141 R142 R143 R145 R146 R147 R149 R150 R151 R152 R153 R154 R155 R156 R157 R158 R159 R160 R161 R162 R163 R164 R165 R166 R167 R168 R169 R170 R171 R172 R173 R174 R175 R176 R177 R178 R179 R180 R181 R182 R183 R184 R185 R186 R187 R188 R189 R190 R191 R192 R193 R194 R195 R196 R197 R198 R199 R200 R201 R202 R203 R204 R205 R206 R207 R208 R209 R210 R211 R212 R213 R214 R215 R216 R217 R218 R219 R220 R221 R222 R223 R224 R225 R226 R227 R228 R229 R230 R231 R232 R233 R234 R235 R236 R237 R238 R239 R240 R241 R242 R243 R244 R245 R246 R247 R248 R249 R250 R251 R252 R253 R254 R255 R256 R257 R258 R259 R260 R261 R262 R263 R264 R265 R266 R267 R268 R269 R270 R271 R272 R273 R274 R275 R276 R277 R278 R279 R280 R281 R282 R283 R284 R285 R286 R287 R288 R289 R290 R291 R292 R293 R294 R295 R296 R297 R298 R299 R300 R301 R302 R303 R304 R305 R306 R307 R308 R309 R310 R311 R312 R313 R314 R315 R316 R317 R318 R319 R320 R321 R322 R323 R324 R325 R326 R327 R328 R329 R330 R331 R332 R333 R334 R335 R336 R337 R338 R339 R340 R341 R342 R343 R345 R346 R347 R348 R349 R350 R351 R352 R353 R354 R355 R356 R357 R358 R359 R360 R361 R362 R363 R364 R365 R366 R367 R368 R369 R370 R371 R372 R373 R374 R375 R376 R377 R378 R379 R380 R381 R382 R383 R384 R385 R386 R387 R388 R389 R390 R391 R392 R393 R394 R395 R396 R397 R398 R399 R400 R401 R402 R403 R405 R406 R407 R408 R409 R410 R411 R412 R413 R414 R415 R416 R417 R418 R419 R420 R421 R422 R423 R424 R425 R426 R427 R428 R429 R430 R431 R432 R433 R434 R435 R436 R437 R438 R439 R440 R441 R442 R443 R444 R445 R446 R447 R448 R449 R450 R451 R452 R453 R454 R455 R456 R457 R458 R459 R460 R461 R462 R463 R464 R465 R466 R467 R468 R469 R470 R471 R472 R473 R474 R475 R476 R477 R478 R479 R480 R481 R482 R483 R484 R485 R486 R487 R488 R489 R490 R491 R492 R493 R494 R495 R496 R497 R498 R499 R500 R501 R502 R503 R504 R505 R506 R507 R508 R512 R513 R514 R515 R516 R517 R518 R519 R520 R521 R522 R523 R524 R525 R526 R527 R528 R529 R530 R531 R532 R533 R534 R535 R536 R537 R538 R539 R540 R541 R542 R543 R544 R545 R546 R547 R548 R549 R550 R551 R552 R553 R554 R555 R556 R557 R558 R559 R560 R561 R562 R563 R564 R565 R566 R567 R568 R569 R570 R571 R572 R573 R574 R575 R576 R577 R578 R579 R580 R581 R582 R583 R584 R585 R586 R587 R588 R589 R590 R591 R592 R593 R594 R595 R596 R597 R598 R599 R600 R601 R602 R603 R604 R605 R606 R607 R608 R609 R610 R611 R612 R613 R614 R615 R616 R617 R618 R619 R620 R621 R622 R623 R624 R625 R626 R627 R628 R629 R630 R631 R632 R633 R634 R635 R636 R637 R638 R639 R640 R641 R642 R643 R644 R645 R646 R647" showDropDown="0" showInputMessage="0" showErrorMessage="0" allowBlank="1" type="list">
      <formula1>"видео,вебинар,материалы,нет"</formula1>
    </dataValidation>
  </dataValidations>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K741"/>
  <sheetViews>
    <sheetView workbookViewId="0">
      <pane xSplit="5" ySplit="1" topLeftCell="F2" activePane="bottomRight" state="frozen"/>
      <selection pane="topRight"/>
      <selection pane="bottomLeft"/>
      <selection pane="bottomRight"/>
      <selection pane="bottomLeft"/>
      <selection pane="bottomRight" activeCell="A1" sqref="A1"/>
    </sheetView>
  </sheetViews>
  <sheetFormatPr baseColWidth="8" defaultRowHeight="15"/>
  <cols>
    <col width="9" customWidth="1" min="1" max="1"/>
    <col width="8" customWidth="1" min="2" max="2"/>
    <col width="12" customWidth="1" min="3" max="3"/>
    <col width="22" customWidth="1" min="4" max="4"/>
    <col width="44" customWidth="1" min="5" max="5"/>
    <col width="46" customWidth="1" min="6" max="6"/>
    <col width="7" customWidth="1" min="7" max="7"/>
    <col width="9" customWidth="1" min="8" max="8"/>
    <col width="26" customWidth="1" min="9" max="9"/>
    <col width="18" customWidth="1" min="10" max="10"/>
    <col width="26" customWidth="1" min="11" max="11"/>
  </cols>
  <sheetData>
    <row r="1">
      <c r="A1" s="3" t="inlineStr">
        <is>
          <t>№ урока</t>
        </is>
      </c>
      <c r="B1" s="3" t="inlineStr">
        <is>
          <t>Группа</t>
        </is>
      </c>
      <c r="C1" s="3" t="inlineStr">
        <is>
          <t>Блок</t>
        </is>
      </c>
      <c r="D1" s="3" t="inlineStr">
        <is>
          <t>Тема</t>
        </is>
      </c>
      <c r="E1" s="3" t="inlineStr">
        <is>
          <t>Подтема (урок)</t>
        </is>
      </c>
      <c r="F1" s="3" t="inlineStr">
        <is>
          <t>Где используется (класс · модуль · статус)</t>
        </is>
      </c>
      <c r="G1" s="3" t="inlineStr">
        <is>
          <t>Папок</t>
        </is>
      </c>
      <c r="H1" s="3" t="inlineStr">
        <is>
          <t>Видео</t>
        </is>
      </c>
      <c r="I1" s="3" t="inlineStr">
        <is>
          <t>Вебинар</t>
        </is>
      </c>
      <c r="J1" s="3" t="inlineStr">
        <is>
          <t>Готовность</t>
        </is>
      </c>
      <c r="K1" s="3" t="inlineStr">
        <is>
          <t>Комментарий</t>
        </is>
      </c>
    </row>
    <row r="2">
      <c r="A2" s="31" t="inlineStr">
        <is>
          <t>Мл-001</t>
        </is>
      </c>
      <c r="B2" s="32" t="inlineStr">
        <is>
          <t>7–9</t>
        </is>
      </c>
      <c r="C2" s="11" t="inlineStr">
        <is>
          <t>Грамматика</t>
        </is>
      </c>
      <c r="D2" s="11" t="inlineStr">
        <is>
          <t>Past Simple</t>
        </is>
      </c>
      <c r="E2" s="33" t="inlineStr">
        <is>
          <t>Past Simple: правильные глаголы — утверждение (-ed)</t>
        </is>
      </c>
      <c r="F2" s="11" t="inlineStr">
        <is>
          <t>3 кл. · М4 · новое
4 кл. · М6 · повт.</t>
        </is>
      </c>
      <c r="G2" s="11" t="n">
        <v>2</v>
      </c>
      <c r="H2" s="11">
        <f>'Темы × классы'!P2</f>
        <v/>
      </c>
      <c r="I2" s="11">
        <f>'Темы × классы'!Q2&amp;""</f>
        <v/>
      </c>
      <c r="J2" s="11" t="inlineStr">
        <is>
          <t>не начат</t>
        </is>
      </c>
      <c r="K2" s="11" t="inlineStr"/>
    </row>
    <row r="3">
      <c r="A3" s="31" t="inlineStr">
        <is>
          <t>Мл-002</t>
        </is>
      </c>
      <c r="B3" s="32" t="inlineStr">
        <is>
          <t>7–9</t>
        </is>
      </c>
      <c r="C3" s="11" t="inlineStr">
        <is>
          <t>Грамматика</t>
        </is>
      </c>
      <c r="D3" s="11" t="inlineStr">
        <is>
          <t>Past Simple</t>
        </is>
      </c>
      <c r="E3" s="33" t="inlineStr">
        <is>
          <t>Past Simple: правильные глаголы — отрицание (didn't + V)</t>
        </is>
      </c>
      <c r="F3" s="11" t="inlineStr">
        <is>
          <t>3 кл. · М4 · новое
4 кл. · М6 · повт.</t>
        </is>
      </c>
      <c r="G3" s="11" t="n">
        <v>2</v>
      </c>
      <c r="H3" s="11">
        <f>'Темы × классы'!P3</f>
        <v/>
      </c>
      <c r="I3" s="11">
        <f>'Темы × классы'!Q3&amp;""</f>
        <v/>
      </c>
      <c r="J3" s="11" t="inlineStr">
        <is>
          <t>не начат</t>
        </is>
      </c>
      <c r="K3" s="11" t="inlineStr"/>
    </row>
    <row r="4">
      <c r="A4" s="31" t="inlineStr">
        <is>
          <t>Мл-003</t>
        </is>
      </c>
      <c r="B4" s="32" t="inlineStr">
        <is>
          <t>7–9</t>
        </is>
      </c>
      <c r="C4" s="11" t="inlineStr">
        <is>
          <t>Грамматика</t>
        </is>
      </c>
      <c r="D4" s="11" t="inlineStr">
        <is>
          <t>Past Simple</t>
        </is>
      </c>
      <c r="E4" s="33" t="inlineStr">
        <is>
          <t>Past Simple: правильные глаголы — вопросы (Did …?)</t>
        </is>
      </c>
      <c r="F4" s="11" t="inlineStr">
        <is>
          <t>3 кл. · М4 · новое
4 кл. · М6 · повт.</t>
        </is>
      </c>
      <c r="G4" s="11" t="n">
        <v>2</v>
      </c>
      <c r="H4" s="11">
        <f>'Темы × классы'!P4</f>
        <v/>
      </c>
      <c r="I4" s="11">
        <f>'Темы × классы'!Q4&amp;""</f>
        <v/>
      </c>
      <c r="J4" s="11" t="inlineStr">
        <is>
          <t>не начат</t>
        </is>
      </c>
      <c r="K4" s="11" t="inlineStr"/>
    </row>
    <row r="5">
      <c r="A5" s="31" t="inlineStr">
        <is>
          <t>Мл-004</t>
        </is>
      </c>
      <c r="B5" s="32" t="inlineStr">
        <is>
          <t>7–9</t>
        </is>
      </c>
      <c r="C5" s="11" t="inlineStr">
        <is>
          <t>Грамматика</t>
        </is>
      </c>
      <c r="D5" s="11" t="inlineStr">
        <is>
          <t>Past Simple</t>
        </is>
      </c>
      <c r="E5" s="33" t="inlineStr">
        <is>
          <t>Past Simple: краткие ответы (Yes, I did / No, I didn't)</t>
        </is>
      </c>
      <c r="F5" s="11" t="inlineStr">
        <is>
          <t>3 кл. · М4 · новое
4 кл. · М6 · повт.</t>
        </is>
      </c>
      <c r="G5" s="11" t="n">
        <v>2</v>
      </c>
      <c r="H5" s="11">
        <f>'Темы × классы'!P5</f>
        <v/>
      </c>
      <c r="I5" s="11">
        <f>'Темы × классы'!Q5&amp;""</f>
        <v/>
      </c>
      <c r="J5" s="11" t="inlineStr">
        <is>
          <t>не начат</t>
        </is>
      </c>
      <c r="K5" s="11" t="inlineStr"/>
    </row>
    <row r="6">
      <c r="A6" s="31" t="inlineStr">
        <is>
          <t>Мл-005</t>
        </is>
      </c>
      <c r="B6" s="32" t="inlineStr">
        <is>
          <t>7–9</t>
        </is>
      </c>
      <c r="C6" s="11" t="inlineStr">
        <is>
          <t>Грамматика</t>
        </is>
      </c>
      <c r="D6" s="11" t="inlineStr">
        <is>
          <t>Past Simple</t>
        </is>
      </c>
      <c r="E6" s="34" t="inlineStr">
        <is>
          <t>Past Simple: орфография -ed</t>
        </is>
      </c>
      <c r="F6" s="11" t="inlineStr">
        <is>
          <t>3 кл. · М4 · новое
4 кл. · М6 · повт.</t>
        </is>
      </c>
      <c r="G6" s="11" t="n">
        <v>2</v>
      </c>
      <c r="H6" s="11">
        <f>'Темы × классы'!P6</f>
        <v/>
      </c>
      <c r="I6" s="11">
        <f>'Темы × классы'!Q6&amp;""</f>
        <v/>
      </c>
      <c r="J6" s="11" t="inlineStr">
        <is>
          <t>не начат</t>
        </is>
      </c>
      <c r="K6" s="11" t="inlineStr"/>
    </row>
    <row r="7">
      <c r="A7" s="31" t="inlineStr">
        <is>
          <t>Мл-006</t>
        </is>
      </c>
      <c r="B7" s="32" t="inlineStr">
        <is>
          <t>7–9</t>
        </is>
      </c>
      <c r="C7" s="11" t="inlineStr">
        <is>
          <t>Грамматика</t>
        </is>
      </c>
      <c r="D7" s="11" t="inlineStr">
        <is>
          <t>Past Simple</t>
        </is>
      </c>
      <c r="E7" s="34" t="inlineStr">
        <is>
          <t>Past Simple: произношение -ed (/t/, /d/, /ɪd/)</t>
        </is>
      </c>
      <c r="F7" s="11" t="inlineStr">
        <is>
          <t>3 кл. · М4 · новое
4 кл. · М6 · повт.</t>
        </is>
      </c>
      <c r="G7" s="11" t="n">
        <v>2</v>
      </c>
      <c r="H7" s="11">
        <f>'Темы × классы'!P7</f>
        <v/>
      </c>
      <c r="I7" s="11">
        <f>'Темы × классы'!Q7&amp;""</f>
        <v/>
      </c>
      <c r="J7" s="11" t="inlineStr">
        <is>
          <t>не начат</t>
        </is>
      </c>
      <c r="K7" s="11" t="inlineStr"/>
    </row>
    <row r="8">
      <c r="A8" s="31" t="inlineStr">
        <is>
          <t>Мл-007</t>
        </is>
      </c>
      <c r="B8" s="32" t="inlineStr">
        <is>
          <t>7–9</t>
        </is>
      </c>
      <c r="C8" s="11" t="inlineStr">
        <is>
          <t>Грамматика</t>
        </is>
      </c>
      <c r="D8" s="11" t="inlineStr">
        <is>
          <t>Past Simple</t>
        </is>
      </c>
      <c r="E8" s="33" t="inlineStr">
        <is>
          <t>Past Simple: неправильные глаголы — утверждение</t>
        </is>
      </c>
      <c r="F8" s="11" t="inlineStr">
        <is>
          <t>3 кл. · М5 · новое
4 кл. · М7 · повт.</t>
        </is>
      </c>
      <c r="G8" s="11" t="n">
        <v>2</v>
      </c>
      <c r="H8" s="11">
        <f>'Темы × классы'!P8</f>
        <v/>
      </c>
      <c r="I8" s="11">
        <f>'Темы × классы'!Q8&amp;""</f>
        <v/>
      </c>
      <c r="J8" s="11" t="inlineStr">
        <is>
          <t>не начат</t>
        </is>
      </c>
      <c r="K8" s="11" t="inlineStr"/>
    </row>
    <row r="9">
      <c r="A9" s="31" t="inlineStr">
        <is>
          <t>Мл-008</t>
        </is>
      </c>
      <c r="B9" s="32" t="inlineStr">
        <is>
          <t>7–9</t>
        </is>
      </c>
      <c r="C9" s="11" t="inlineStr">
        <is>
          <t>Грамматика</t>
        </is>
      </c>
      <c r="D9" s="11" t="inlineStr">
        <is>
          <t>Past Simple</t>
        </is>
      </c>
      <c r="E9" s="34" t="inlineStr">
        <is>
          <t>Past Simple: неправильные глаголы — отрицание (didn't go)</t>
        </is>
      </c>
      <c r="F9" s="11" t="inlineStr">
        <is>
          <t>3 кл. · М5 · новое
4 кл. · М7 · повт.</t>
        </is>
      </c>
      <c r="G9" s="11" t="n">
        <v>2</v>
      </c>
      <c r="H9" s="11">
        <f>'Темы × классы'!P9</f>
        <v/>
      </c>
      <c r="I9" s="11">
        <f>'Темы × классы'!Q9&amp;""</f>
        <v/>
      </c>
      <c r="J9" s="11" t="inlineStr">
        <is>
          <t>не начат</t>
        </is>
      </c>
      <c r="K9" s="11" t="inlineStr"/>
    </row>
    <row r="10">
      <c r="A10" s="31" t="inlineStr">
        <is>
          <t>Мл-009</t>
        </is>
      </c>
      <c r="B10" s="32" t="inlineStr">
        <is>
          <t>7–9</t>
        </is>
      </c>
      <c r="C10" s="11" t="inlineStr">
        <is>
          <t>Грамматика</t>
        </is>
      </c>
      <c r="D10" s="11" t="inlineStr">
        <is>
          <t>Past Simple</t>
        </is>
      </c>
      <c r="E10" s="34" t="inlineStr">
        <is>
          <t>Past Simple: неправильные глаголы — вопросы (Did … go?)</t>
        </is>
      </c>
      <c r="F10" s="11" t="inlineStr">
        <is>
          <t>3 кл. · М5 · новое
4 кл. · М7 · повт.</t>
        </is>
      </c>
      <c r="G10" s="11" t="n">
        <v>2</v>
      </c>
      <c r="H10" s="11">
        <f>'Темы × классы'!P10</f>
        <v/>
      </c>
      <c r="I10" s="11">
        <f>'Темы × классы'!Q10&amp;""</f>
        <v/>
      </c>
      <c r="J10" s="11" t="inlineStr">
        <is>
          <t>не начат</t>
        </is>
      </c>
      <c r="K10" s="11" t="inlineStr"/>
    </row>
    <row r="11">
      <c r="A11" s="31" t="inlineStr">
        <is>
          <t>Мл-010</t>
        </is>
      </c>
      <c r="B11" s="32" t="inlineStr">
        <is>
          <t>7–9</t>
        </is>
      </c>
      <c r="C11" s="11" t="inlineStr">
        <is>
          <t>Грамматика</t>
        </is>
      </c>
      <c r="D11" s="11" t="inlineStr">
        <is>
          <t>Past Simple</t>
        </is>
      </c>
      <c r="E11" s="33" t="inlineStr">
        <is>
          <t>Past Simple: значение — действие в прошлом (yesterday, ago)</t>
        </is>
      </c>
      <c r="F11" s="11" t="inlineStr">
        <is>
          <t>3 кл. · М4 · новое
3 кл. · М5 · повт.
4 кл. · М6 · повт.</t>
        </is>
      </c>
      <c r="G11" s="11" t="n">
        <v>3</v>
      </c>
      <c r="H11" s="11">
        <f>'Темы × классы'!P12</f>
        <v/>
      </c>
      <c r="I11" s="11">
        <f>'Темы × классы'!Q12&amp;""</f>
        <v/>
      </c>
      <c r="J11" s="11" t="inlineStr">
        <is>
          <t>не начат</t>
        </is>
      </c>
      <c r="K11" s="11" t="inlineStr"/>
    </row>
    <row r="12">
      <c r="A12" s="31" t="inlineStr">
        <is>
          <t>Мл-011</t>
        </is>
      </c>
      <c r="B12" s="32" t="inlineStr">
        <is>
          <t>7–9</t>
        </is>
      </c>
      <c r="C12" s="11" t="inlineStr">
        <is>
          <t>Грамматика</t>
        </is>
      </c>
      <c r="D12" s="11" t="inlineStr">
        <is>
          <t>Present Continuous</t>
        </is>
      </c>
      <c r="E12" s="33" t="inlineStr">
        <is>
          <t>Present Continuous: утверждение (am/is/are + V-ing)</t>
        </is>
      </c>
      <c r="F12" s="11" t="inlineStr">
        <is>
          <t>3 кл. · М7 · новое
4 кл. · М1 · повт.</t>
        </is>
      </c>
      <c r="G12" s="11" t="n">
        <v>2</v>
      </c>
      <c r="H12" s="11">
        <f>'Темы × классы'!P17</f>
        <v/>
      </c>
      <c r="I12" s="11">
        <f>'Темы × классы'!Q17&amp;""</f>
        <v/>
      </c>
      <c r="J12" s="11" t="inlineStr">
        <is>
          <t>не начат</t>
        </is>
      </c>
      <c r="K12" s="11" t="inlineStr"/>
    </row>
    <row r="13">
      <c r="A13" s="31" t="inlineStr">
        <is>
          <t>Мл-012</t>
        </is>
      </c>
      <c r="B13" s="32" t="inlineStr">
        <is>
          <t>7–9</t>
        </is>
      </c>
      <c r="C13" s="11" t="inlineStr">
        <is>
          <t>Грамматика</t>
        </is>
      </c>
      <c r="D13" s="11" t="inlineStr">
        <is>
          <t>Present Continuous</t>
        </is>
      </c>
      <c r="E13" s="34" t="inlineStr">
        <is>
          <t>Present Continuous: отрицание (I'm not / isn't / aren't)</t>
        </is>
      </c>
      <c r="F13" s="11" t="inlineStr">
        <is>
          <t>3 кл. · М7 · новое
4 кл. · М1 · повт.</t>
        </is>
      </c>
      <c r="G13" s="11" t="n">
        <v>2</v>
      </c>
      <c r="H13" s="11">
        <f>'Темы × классы'!P18</f>
        <v/>
      </c>
      <c r="I13" s="11">
        <f>'Темы × классы'!Q18&amp;""</f>
        <v/>
      </c>
      <c r="J13" s="11" t="inlineStr">
        <is>
          <t>не начат</t>
        </is>
      </c>
      <c r="K13" s="11" t="inlineStr"/>
    </row>
    <row r="14">
      <c r="A14" s="31" t="inlineStr">
        <is>
          <t>Мл-013</t>
        </is>
      </c>
      <c r="B14" s="32" t="inlineStr">
        <is>
          <t>7–9</t>
        </is>
      </c>
      <c r="C14" s="11" t="inlineStr">
        <is>
          <t>Грамматика</t>
        </is>
      </c>
      <c r="D14" s="11" t="inlineStr">
        <is>
          <t>Present Continuous</t>
        </is>
      </c>
      <c r="E14" s="34" t="inlineStr">
        <is>
          <t>Present Continuous: общие вопросы (Am/Is/Are …?)</t>
        </is>
      </c>
      <c r="F14" s="11" t="inlineStr">
        <is>
          <t>3 кл. · М7 · новое
4 кл. · М1 · повт.</t>
        </is>
      </c>
      <c r="G14" s="11" t="n">
        <v>2</v>
      </c>
      <c r="H14" s="11">
        <f>'Темы × классы'!P19</f>
        <v/>
      </c>
      <c r="I14" s="11">
        <f>'Темы × классы'!Q19&amp;""</f>
        <v/>
      </c>
      <c r="J14" s="11" t="inlineStr">
        <is>
          <t>не начат</t>
        </is>
      </c>
      <c r="K14" s="11" t="inlineStr"/>
    </row>
    <row r="15">
      <c r="A15" s="31" t="inlineStr">
        <is>
          <t>Мл-014</t>
        </is>
      </c>
      <c r="B15" s="32" t="inlineStr">
        <is>
          <t>7–9</t>
        </is>
      </c>
      <c r="C15" s="11" t="inlineStr">
        <is>
          <t>Грамматика</t>
        </is>
      </c>
      <c r="D15" s="11" t="inlineStr">
        <is>
          <t>Present Continuous</t>
        </is>
      </c>
      <c r="E15" s="34" t="inlineStr">
        <is>
          <t>Present Continuous: краткие ответы (Yes, I am / No, he isn't)</t>
        </is>
      </c>
      <c r="F15" s="11" t="inlineStr">
        <is>
          <t>3 кл. · М7 · новое
4 кл. · М1 · повт.</t>
        </is>
      </c>
      <c r="G15" s="11" t="n">
        <v>2</v>
      </c>
      <c r="H15" s="11">
        <f>'Темы × классы'!P20</f>
        <v/>
      </c>
      <c r="I15" s="11">
        <f>'Темы × классы'!Q20&amp;""</f>
        <v/>
      </c>
      <c r="J15" s="11" t="inlineStr">
        <is>
          <t>не начат</t>
        </is>
      </c>
      <c r="K15" s="11" t="inlineStr"/>
    </row>
    <row r="16">
      <c r="A16" s="31" t="inlineStr">
        <is>
          <t>Мл-015</t>
        </is>
      </c>
      <c r="B16" s="32" t="inlineStr">
        <is>
          <t>7–9</t>
        </is>
      </c>
      <c r="C16" s="11" t="inlineStr">
        <is>
          <t>Грамматика</t>
        </is>
      </c>
      <c r="D16" s="11" t="inlineStr">
        <is>
          <t>Present Continuous</t>
        </is>
      </c>
      <c r="E16" s="33" t="inlineStr">
        <is>
          <t>Present Continuous: значение — действие сейчас (now)</t>
        </is>
      </c>
      <c r="F16" s="11" t="inlineStr">
        <is>
          <t>3 кл. · М7 · новое
4 кл. · М1 · повт.</t>
        </is>
      </c>
      <c r="G16" s="11" t="n">
        <v>2</v>
      </c>
      <c r="H16" s="11">
        <f>'Темы × классы'!P22</f>
        <v/>
      </c>
      <c r="I16" s="11">
        <f>'Темы × классы'!Q22&amp;""</f>
        <v/>
      </c>
      <c r="J16" s="11" t="inlineStr">
        <is>
          <t>не начат</t>
        </is>
      </c>
      <c r="K16" s="11" t="inlineStr"/>
    </row>
    <row r="17">
      <c r="A17" s="31" t="inlineStr">
        <is>
          <t>Мл-016</t>
        </is>
      </c>
      <c r="B17" s="32" t="inlineStr">
        <is>
          <t>7–9</t>
        </is>
      </c>
      <c r="C17" s="11" t="inlineStr">
        <is>
          <t>Грамматика</t>
        </is>
      </c>
      <c r="D17" s="11" t="inlineStr">
        <is>
          <t>Present Simple</t>
        </is>
      </c>
      <c r="E17" s="33" t="inlineStr">
        <is>
          <t>Present Simple: утверждение (I/you/we/they V, he/she/it V-s)</t>
        </is>
      </c>
      <c r="F17" s="11" t="inlineStr">
        <is>
          <t>3 кл. · М3 · новое
4 кл. · М2 · повт.</t>
        </is>
      </c>
      <c r="G17" s="11" t="n">
        <v>2</v>
      </c>
      <c r="H17" s="11">
        <f>'Темы × классы'!P28</f>
        <v/>
      </c>
      <c r="I17" s="11">
        <f>'Темы × классы'!Q28&amp;""</f>
        <v/>
      </c>
      <c r="J17" s="11" t="inlineStr">
        <is>
          <t>не начат</t>
        </is>
      </c>
      <c r="K17" s="11" t="inlineStr"/>
    </row>
    <row r="18">
      <c r="A18" s="31" t="inlineStr">
        <is>
          <t>Мл-017</t>
        </is>
      </c>
      <c r="B18" s="32" t="inlineStr">
        <is>
          <t>7–9</t>
        </is>
      </c>
      <c r="C18" s="11" t="inlineStr">
        <is>
          <t>Грамматика</t>
        </is>
      </c>
      <c r="D18" s="11" t="inlineStr">
        <is>
          <t>Present Simple</t>
        </is>
      </c>
      <c r="E18" s="33" t="inlineStr">
        <is>
          <t>Present Simple: отрицание (don't/doesn't)</t>
        </is>
      </c>
      <c r="F18" s="11" t="inlineStr">
        <is>
          <t>3 кл. · М3 · новое
4 кл. · М2 · повт.</t>
        </is>
      </c>
      <c r="G18" s="11" t="n">
        <v>2</v>
      </c>
      <c r="H18" s="11">
        <f>'Темы × классы'!P29</f>
        <v/>
      </c>
      <c r="I18" s="11">
        <f>'Темы × классы'!Q29&amp;""</f>
        <v/>
      </c>
      <c r="J18" s="11" t="inlineStr">
        <is>
          <t>не начат</t>
        </is>
      </c>
      <c r="K18" s="11" t="inlineStr"/>
    </row>
    <row r="19">
      <c r="A19" s="31" t="inlineStr">
        <is>
          <t>Мл-018</t>
        </is>
      </c>
      <c r="B19" s="32" t="inlineStr">
        <is>
          <t>7–9</t>
        </is>
      </c>
      <c r="C19" s="11" t="inlineStr">
        <is>
          <t>Грамматика</t>
        </is>
      </c>
      <c r="D19" s="11" t="inlineStr">
        <is>
          <t>Present Simple</t>
        </is>
      </c>
      <c r="E19" s="34" t="inlineStr">
        <is>
          <t>Present Simple: общие вопросы (Do/Does …?)</t>
        </is>
      </c>
      <c r="F19" s="11" t="inlineStr">
        <is>
          <t>3 кл. · М3 · новое
4 кл. · М2 · повт.</t>
        </is>
      </c>
      <c r="G19" s="11" t="n">
        <v>2</v>
      </c>
      <c r="H19" s="11">
        <f>'Темы × классы'!P30</f>
        <v/>
      </c>
      <c r="I19" s="11">
        <f>'Темы × классы'!Q30&amp;""</f>
        <v/>
      </c>
      <c r="J19" s="11" t="inlineStr">
        <is>
          <t>не начат</t>
        </is>
      </c>
      <c r="K19" s="11" t="inlineStr"/>
    </row>
    <row r="20">
      <c r="A20" s="31" t="inlineStr">
        <is>
          <t>Мл-019</t>
        </is>
      </c>
      <c r="B20" s="32" t="inlineStr">
        <is>
          <t>7–9</t>
        </is>
      </c>
      <c r="C20" s="11" t="inlineStr">
        <is>
          <t>Грамматика</t>
        </is>
      </c>
      <c r="D20" s="11" t="inlineStr">
        <is>
          <t>Present Simple</t>
        </is>
      </c>
      <c r="E20" s="34" t="inlineStr">
        <is>
          <t>Present Simple: краткие ответы (Yes, I do / No, he doesn't)</t>
        </is>
      </c>
      <c r="F20" s="11" t="inlineStr">
        <is>
          <t>3 кл. · М3 · новое
4 кл. · М2 · повт.</t>
        </is>
      </c>
      <c r="G20" s="11" t="n">
        <v>2</v>
      </c>
      <c r="H20" s="11">
        <f>'Темы × классы'!P31</f>
        <v/>
      </c>
      <c r="I20" s="11">
        <f>'Темы × классы'!Q31&amp;""</f>
        <v/>
      </c>
      <c r="J20" s="11" t="inlineStr">
        <is>
          <t>не начат</t>
        </is>
      </c>
      <c r="K20" s="11" t="inlineStr"/>
    </row>
    <row r="21">
      <c r="A21" s="31" t="inlineStr">
        <is>
          <t>Мл-020</t>
        </is>
      </c>
      <c r="B21" s="32" t="inlineStr">
        <is>
          <t>7–9</t>
        </is>
      </c>
      <c r="C21" s="11" t="inlineStr">
        <is>
          <t>Грамматика</t>
        </is>
      </c>
      <c r="D21" s="11" t="inlineStr">
        <is>
          <t>Present Simple</t>
        </is>
      </c>
      <c r="E21" s="34" t="inlineStr">
        <is>
          <t>Present Simple: орфография окончания -s/-es (3 л. ед. ч.)</t>
        </is>
      </c>
      <c r="F21" s="11" t="inlineStr">
        <is>
          <t>3 кл. · М8 · новое
4 кл. · М2 · повт.</t>
        </is>
      </c>
      <c r="G21" s="11" t="n">
        <v>2</v>
      </c>
      <c r="H21" s="11">
        <f>'Темы × классы'!P32</f>
        <v/>
      </c>
      <c r="I21" s="11">
        <f>'Темы × классы'!Q32&amp;""</f>
        <v/>
      </c>
      <c r="J21" s="11" t="inlineStr">
        <is>
          <t>не начат</t>
        </is>
      </c>
      <c r="K21" s="11" t="inlineStr"/>
    </row>
    <row r="22">
      <c r="A22" s="31" t="inlineStr">
        <is>
          <t>Мл-021</t>
        </is>
      </c>
      <c r="B22" s="32" t="inlineStr">
        <is>
          <t>7–9</t>
        </is>
      </c>
      <c r="C22" s="11" t="inlineStr">
        <is>
          <t>Грамматика</t>
        </is>
      </c>
      <c r="D22" s="11" t="inlineStr">
        <is>
          <t>Present Simple</t>
        </is>
      </c>
      <c r="E22" s="35" t="inlineStr">
        <is>
          <t>Present Simple: произношение окончания -s/-es (/s/, /z/, /ɪz/)</t>
        </is>
      </c>
      <c r="F22" s="11" t="inlineStr">
        <is>
          <t>3 кл. · М8 · новое
4 кл. · М2 · повт.</t>
        </is>
      </c>
      <c r="G22" s="11" t="n">
        <v>2</v>
      </c>
      <c r="H22" s="11">
        <f>'Темы × классы'!P33</f>
        <v/>
      </c>
      <c r="I22" s="11">
        <f>'Темы × классы'!Q33&amp;""</f>
        <v/>
      </c>
      <c r="J22" s="11" t="inlineStr">
        <is>
          <t>не начат</t>
        </is>
      </c>
      <c r="K22" s="11" t="inlineStr"/>
    </row>
    <row r="23">
      <c r="A23" s="31" t="inlineStr">
        <is>
          <t>Мл-022</t>
        </is>
      </c>
      <c r="B23" s="32" t="inlineStr">
        <is>
          <t>7–9</t>
        </is>
      </c>
      <c r="C23" s="11" t="inlineStr">
        <is>
          <t>Грамматика</t>
        </is>
      </c>
      <c r="D23" s="11" t="inlineStr">
        <is>
          <t>Present Simple</t>
        </is>
      </c>
      <c r="E23" s="33" t="inlineStr">
        <is>
          <t>Present Simple: значение — регулярные действия, распорядок дня, привычки</t>
        </is>
      </c>
      <c r="F23" s="11" t="inlineStr">
        <is>
          <t>3 кл. · М3 · новое
3 кл. · М8 · повт.
4 кл. · М2 · расш.</t>
        </is>
      </c>
      <c r="G23" s="11" t="n">
        <v>3</v>
      </c>
      <c r="H23" s="11">
        <f>'Темы × классы'!P34</f>
        <v/>
      </c>
      <c r="I23" s="11">
        <f>'Темы × классы'!Q34&amp;""</f>
        <v/>
      </c>
      <c r="J23" s="11" t="inlineStr">
        <is>
          <t>не начат</t>
        </is>
      </c>
      <c r="K23" s="11" t="inlineStr"/>
    </row>
    <row r="24">
      <c r="A24" s="31" t="inlineStr">
        <is>
          <t>Мл-023</t>
        </is>
      </c>
      <c r="B24" s="32" t="inlineStr">
        <is>
          <t>7–9</t>
        </is>
      </c>
      <c r="C24" s="11" t="inlineStr">
        <is>
          <t>Грамматика</t>
        </is>
      </c>
      <c r="D24" s="11" t="inlineStr">
        <is>
          <t>Future Simple (will)</t>
        </is>
      </c>
      <c r="E24" s="33" t="inlineStr">
        <is>
          <t>Future Simple (will): утверждение (will/'ll + V)</t>
        </is>
      </c>
      <c r="F24" s="11" t="inlineStr">
        <is>
          <t>4 кл. · М8 · новое</t>
        </is>
      </c>
      <c r="G24" s="11" t="n">
        <v>1</v>
      </c>
      <c r="H24" s="11">
        <f>'Темы × классы'!P42</f>
        <v/>
      </c>
      <c r="I24" s="11">
        <f>'Темы × классы'!Q42&amp;""</f>
        <v/>
      </c>
      <c r="J24" s="11" t="inlineStr">
        <is>
          <t>не начат</t>
        </is>
      </c>
      <c r="K24" s="11" t="inlineStr"/>
    </row>
    <row r="25">
      <c r="A25" s="31" t="inlineStr">
        <is>
          <t>Мл-024</t>
        </is>
      </c>
      <c r="B25" s="32" t="inlineStr">
        <is>
          <t>7–9</t>
        </is>
      </c>
      <c r="C25" s="11" t="inlineStr">
        <is>
          <t>Грамматика</t>
        </is>
      </c>
      <c r="D25" s="11" t="inlineStr">
        <is>
          <t>Future Simple (will)</t>
        </is>
      </c>
      <c r="E25" s="34" t="inlineStr">
        <is>
          <t>Future Simple (will): отрицание (will not/won't)</t>
        </is>
      </c>
      <c r="F25" s="11" t="inlineStr">
        <is>
          <t>4 кл. · М8 · новое</t>
        </is>
      </c>
      <c r="G25" s="11" t="n">
        <v>1</v>
      </c>
      <c r="H25" s="11">
        <f>'Темы × классы'!P43</f>
        <v/>
      </c>
      <c r="I25" s="11">
        <f>'Темы × классы'!Q43&amp;""</f>
        <v/>
      </c>
      <c r="J25" s="11" t="inlineStr">
        <is>
          <t>не начат</t>
        </is>
      </c>
      <c r="K25" s="11" t="inlineStr"/>
    </row>
    <row r="26">
      <c r="A26" s="31" t="inlineStr">
        <is>
          <t>Мл-025</t>
        </is>
      </c>
      <c r="B26" s="32" t="inlineStr">
        <is>
          <t>7–9</t>
        </is>
      </c>
      <c r="C26" s="11" t="inlineStr">
        <is>
          <t>Грамматика</t>
        </is>
      </c>
      <c r="D26" s="11" t="inlineStr">
        <is>
          <t>Future Simple (will)</t>
        </is>
      </c>
      <c r="E26" s="34" t="inlineStr">
        <is>
          <t>Future Simple (will): вопросы и краткие ответы</t>
        </is>
      </c>
      <c r="F26" s="11" t="inlineStr">
        <is>
          <t>4 кл. · М8 · новое</t>
        </is>
      </c>
      <c r="G26" s="11" t="n">
        <v>1</v>
      </c>
      <c r="H26" s="11">
        <f>'Темы × классы'!P44</f>
        <v/>
      </c>
      <c r="I26" s="11">
        <f>'Темы × классы'!Q44&amp;""</f>
        <v/>
      </c>
      <c r="J26" s="11" t="inlineStr">
        <is>
          <t>не начат</t>
        </is>
      </c>
      <c r="K26" s="11" t="inlineStr"/>
    </row>
    <row r="27">
      <c r="A27" s="31" t="inlineStr">
        <is>
          <t>Мл-026</t>
        </is>
      </c>
      <c r="B27" s="32" t="inlineStr">
        <is>
          <t>7–9</t>
        </is>
      </c>
      <c r="C27" s="11" t="inlineStr">
        <is>
          <t>Грамматика</t>
        </is>
      </c>
      <c r="D27" s="11" t="inlineStr">
        <is>
          <t>Future Simple (will)</t>
        </is>
      </c>
      <c r="E27" s="33" t="inlineStr">
        <is>
          <t>Future Simple (will): значение — предсказание/предположение</t>
        </is>
      </c>
      <c r="F27" s="11" t="inlineStr">
        <is>
          <t>4 кл. · М8 · новое</t>
        </is>
      </c>
      <c r="G27" s="11" t="n">
        <v>1</v>
      </c>
      <c r="H27" s="11">
        <f>'Темы × классы'!P45</f>
        <v/>
      </c>
      <c r="I27" s="11">
        <f>'Темы × классы'!Q45&amp;""</f>
        <v/>
      </c>
      <c r="J27" s="11" t="inlineStr">
        <is>
          <t>не начат</t>
        </is>
      </c>
      <c r="K27" s="11" t="inlineStr"/>
    </row>
    <row r="28">
      <c r="A28" s="31" t="inlineStr">
        <is>
          <t>Мл-027</t>
        </is>
      </c>
      <c r="B28" s="32" t="inlineStr">
        <is>
          <t>7–9</t>
        </is>
      </c>
      <c r="C28" s="11" t="inlineStr">
        <is>
          <t>Грамматика</t>
        </is>
      </c>
      <c r="D28" s="11" t="inlineStr">
        <is>
          <t>Future Simple (will)</t>
        </is>
      </c>
      <c r="E28" s="34" t="inlineStr">
        <is>
          <t>Future Simple (will): значение — решение в момент речи</t>
        </is>
      </c>
      <c r="F28" s="11" t="inlineStr">
        <is>
          <t>4 кл. · М8 · новое</t>
        </is>
      </c>
      <c r="G28" s="11" t="n">
        <v>1</v>
      </c>
      <c r="H28" s="11">
        <f>'Темы × классы'!P46</f>
        <v/>
      </c>
      <c r="I28" s="11">
        <f>'Темы × классы'!Q46&amp;""</f>
        <v/>
      </c>
      <c r="J28" s="11" t="inlineStr">
        <is>
          <t>не начат</t>
        </is>
      </c>
      <c r="K28" s="11" t="inlineStr"/>
    </row>
    <row r="29">
      <c r="A29" s="31" t="inlineStr">
        <is>
          <t>Мл-028</t>
        </is>
      </c>
      <c r="B29" s="32" t="inlineStr">
        <is>
          <t>7–9</t>
        </is>
      </c>
      <c r="C29" s="11" t="inlineStr">
        <is>
          <t>Грамматика</t>
        </is>
      </c>
      <c r="D29" s="11" t="inlineStr">
        <is>
          <t>Future Simple (will)</t>
        </is>
      </c>
      <c r="E29" s="34" t="inlineStr">
        <is>
          <t>Future Simple (will): значение — обещания</t>
        </is>
      </c>
      <c r="F29" s="11" t="inlineStr">
        <is>
          <t>4 кл. · М8 · новое</t>
        </is>
      </c>
      <c r="G29" s="11" t="n">
        <v>1</v>
      </c>
      <c r="H29" s="11">
        <f>'Темы × классы'!P47</f>
        <v/>
      </c>
      <c r="I29" s="11">
        <f>'Темы × классы'!Q47&amp;""</f>
        <v/>
      </c>
      <c r="J29" s="11" t="inlineStr">
        <is>
          <t>не начат</t>
        </is>
      </c>
      <c r="K29" s="11" t="inlineStr"/>
    </row>
    <row r="30">
      <c r="A30" s="31" t="inlineStr">
        <is>
          <t>Мл-029</t>
        </is>
      </c>
      <c r="B30" s="32" t="inlineStr">
        <is>
          <t>7–9</t>
        </is>
      </c>
      <c r="C30" s="11" t="inlineStr">
        <is>
          <t>Грамматика</t>
        </is>
      </c>
      <c r="D30" s="11" t="inlineStr">
        <is>
          <t>Present Simple vs Present Continuous</t>
        </is>
      </c>
      <c r="E30" s="33" t="inlineStr">
        <is>
          <t>Present Simple vs Present Continuous: привычка vs сейчас</t>
        </is>
      </c>
      <c r="F30" s="11" t="inlineStr">
        <is>
          <t>4 кл. · М4 · новое</t>
        </is>
      </c>
      <c r="G30" s="11" t="n">
        <v>1</v>
      </c>
      <c r="H30" s="11">
        <f>'Темы × классы'!P54</f>
        <v/>
      </c>
      <c r="I30" s="11">
        <f>'Темы × классы'!Q54&amp;""</f>
        <v/>
      </c>
      <c r="J30" s="11" t="inlineStr">
        <is>
          <t>не начат</t>
        </is>
      </c>
      <c r="K30" s="11" t="inlineStr"/>
    </row>
    <row r="31">
      <c r="A31" s="31" t="inlineStr">
        <is>
          <t>Мл-030</t>
        </is>
      </c>
      <c r="B31" s="32" t="inlineStr">
        <is>
          <t>7–9</t>
        </is>
      </c>
      <c r="C31" s="11" t="inlineStr">
        <is>
          <t>Грамматика</t>
        </is>
      </c>
      <c r="D31" s="11" t="inlineStr">
        <is>
          <t>be going to</t>
        </is>
      </c>
      <c r="E31" s="33" t="inlineStr">
        <is>
          <t>be going to: утверждение (am/is/are going to + V)</t>
        </is>
      </c>
      <c r="F31" s="11" t="inlineStr">
        <is>
          <t>4 кл. · М8 · новое</t>
        </is>
      </c>
      <c r="G31" s="11" t="n">
        <v>1</v>
      </c>
      <c r="H31" s="11">
        <f>'Темы × классы'!P58</f>
        <v/>
      </c>
      <c r="I31" s="11">
        <f>'Темы × классы'!Q58&amp;""</f>
        <v/>
      </c>
      <c r="J31" s="11" t="inlineStr">
        <is>
          <t>не начат</t>
        </is>
      </c>
      <c r="K31" s="11" t="inlineStr"/>
    </row>
    <row r="32">
      <c r="A32" s="31" t="inlineStr">
        <is>
          <t>Мл-031</t>
        </is>
      </c>
      <c r="B32" s="32" t="inlineStr">
        <is>
          <t>7–9</t>
        </is>
      </c>
      <c r="C32" s="11" t="inlineStr">
        <is>
          <t>Грамматика</t>
        </is>
      </c>
      <c r="D32" s="11" t="inlineStr">
        <is>
          <t>be going to</t>
        </is>
      </c>
      <c r="E32" s="34" t="inlineStr">
        <is>
          <t>be going to: отрицание</t>
        </is>
      </c>
      <c r="F32" s="11" t="inlineStr">
        <is>
          <t>4 кл. · М8 · новое</t>
        </is>
      </c>
      <c r="G32" s="11" t="n">
        <v>1</v>
      </c>
      <c r="H32" s="11">
        <f>'Темы × классы'!P59</f>
        <v/>
      </c>
      <c r="I32" s="11">
        <f>'Темы × классы'!Q59&amp;""</f>
        <v/>
      </c>
      <c r="J32" s="11" t="inlineStr">
        <is>
          <t>не начат</t>
        </is>
      </c>
      <c r="K32" s="11" t="inlineStr"/>
    </row>
    <row r="33">
      <c r="A33" s="31" t="inlineStr">
        <is>
          <t>Мл-032</t>
        </is>
      </c>
      <c r="B33" s="32" t="inlineStr">
        <is>
          <t>7–9</t>
        </is>
      </c>
      <c r="C33" s="11" t="inlineStr">
        <is>
          <t>Грамматика</t>
        </is>
      </c>
      <c r="D33" s="11" t="inlineStr">
        <is>
          <t>be going to</t>
        </is>
      </c>
      <c r="E33" s="34" t="inlineStr">
        <is>
          <t>be going to: вопросы и краткие ответы</t>
        </is>
      </c>
      <c r="F33" s="11" t="inlineStr">
        <is>
          <t>4 кл. · М8 · новое</t>
        </is>
      </c>
      <c r="G33" s="11" t="n">
        <v>1</v>
      </c>
      <c r="H33" s="11">
        <f>'Темы × классы'!P60</f>
        <v/>
      </c>
      <c r="I33" s="11">
        <f>'Темы × классы'!Q60&amp;""</f>
        <v/>
      </c>
      <c r="J33" s="11" t="inlineStr">
        <is>
          <t>не начат</t>
        </is>
      </c>
      <c r="K33" s="11" t="inlineStr"/>
    </row>
    <row r="34">
      <c r="A34" s="31" t="inlineStr">
        <is>
          <t>Мл-033</t>
        </is>
      </c>
      <c r="B34" s="32" t="inlineStr">
        <is>
          <t>7–9</t>
        </is>
      </c>
      <c r="C34" s="11" t="inlineStr">
        <is>
          <t>Грамматика</t>
        </is>
      </c>
      <c r="D34" s="11" t="inlineStr">
        <is>
          <t>be going to</t>
        </is>
      </c>
      <c r="E34" s="33" t="inlineStr">
        <is>
          <t>be going to: значение — планы и намерения</t>
        </is>
      </c>
      <c r="F34" s="11" t="inlineStr">
        <is>
          <t>4 кл. · М8 · новое</t>
        </is>
      </c>
      <c r="G34" s="11" t="n">
        <v>1</v>
      </c>
      <c r="H34" s="11">
        <f>'Темы × классы'!P61</f>
        <v/>
      </c>
      <c r="I34" s="11">
        <f>'Темы × классы'!Q61&amp;""</f>
        <v/>
      </c>
      <c r="J34" s="11" t="inlineStr">
        <is>
          <t>не начат</t>
        </is>
      </c>
      <c r="K34" s="11" t="inlineStr"/>
    </row>
    <row r="35">
      <c r="A35" s="31" t="inlineStr">
        <is>
          <t>Мл-034</t>
        </is>
      </c>
      <c r="B35" s="32" t="inlineStr">
        <is>
          <t>7–9</t>
        </is>
      </c>
      <c r="C35" s="11" t="inlineStr">
        <is>
          <t>Грамматика</t>
        </is>
      </c>
      <c r="D35" s="11" t="inlineStr">
        <is>
          <t>can (ability)</t>
        </is>
      </c>
      <c r="E35" s="34" t="inlineStr">
        <is>
          <t>can (ability): значение — умение; утверждение can + глагол без to</t>
        </is>
      </c>
      <c r="F35" s="11" t="inlineStr">
        <is>
          <t>3 кл. · М5 · новое</t>
        </is>
      </c>
      <c r="G35" s="11" t="n">
        <v>1</v>
      </c>
      <c r="H35" s="11">
        <f>'Темы × классы'!P125</f>
        <v/>
      </c>
      <c r="I35" s="11">
        <f>'Темы × классы'!Q125&amp;""</f>
        <v/>
      </c>
      <c r="J35" s="11" t="inlineStr">
        <is>
          <t>не начат</t>
        </is>
      </c>
      <c r="K35" s="11" t="inlineStr"/>
    </row>
    <row r="36">
      <c r="A36" s="31" t="inlineStr">
        <is>
          <t>Мл-035</t>
        </is>
      </c>
      <c r="B36" s="32" t="inlineStr">
        <is>
          <t>7–9</t>
        </is>
      </c>
      <c r="C36" s="11" t="inlineStr">
        <is>
          <t>Грамматика</t>
        </is>
      </c>
      <c r="D36" s="11" t="inlineStr">
        <is>
          <t>can (ability)</t>
        </is>
      </c>
      <c r="E36" s="34" t="inlineStr">
        <is>
          <t>can (ability): отрицание — cannot / can't</t>
        </is>
      </c>
      <c r="F36" s="11" t="inlineStr">
        <is>
          <t>3 кл. · М5 · новое</t>
        </is>
      </c>
      <c r="G36" s="11" t="n">
        <v>1</v>
      </c>
      <c r="H36" s="11">
        <f>'Темы × классы'!P126</f>
        <v/>
      </c>
      <c r="I36" s="11">
        <f>'Темы × классы'!Q126&amp;""</f>
        <v/>
      </c>
      <c r="J36" s="11" t="inlineStr">
        <is>
          <t>не начат</t>
        </is>
      </c>
      <c r="K36" s="11" t="inlineStr"/>
    </row>
    <row r="37">
      <c r="A37" s="31" t="inlineStr">
        <is>
          <t>Мл-036</t>
        </is>
      </c>
      <c r="B37" s="32" t="inlineStr">
        <is>
          <t>7–9</t>
        </is>
      </c>
      <c r="C37" s="11" t="inlineStr">
        <is>
          <t>Грамматика</t>
        </is>
      </c>
      <c r="D37" s="11" t="inlineStr">
        <is>
          <t>can (ability)</t>
        </is>
      </c>
      <c r="E37" s="33" t="inlineStr">
        <is>
          <t>can (ability): вопросы и краткие ответы</t>
        </is>
      </c>
      <c r="F37" s="11" t="inlineStr">
        <is>
          <t>3 кл. · М5 · новое</t>
        </is>
      </c>
      <c r="G37" s="11" t="n">
        <v>1</v>
      </c>
      <c r="H37" s="11">
        <f>'Темы × классы'!P127</f>
        <v/>
      </c>
      <c r="I37" s="11">
        <f>'Темы × классы'!Q127&amp;""</f>
        <v/>
      </c>
      <c r="J37" s="11" t="inlineStr">
        <is>
          <t>не начат</t>
        </is>
      </c>
      <c r="K37" s="11" t="inlineStr"/>
    </row>
    <row r="38">
      <c r="A38" s="31" t="inlineStr">
        <is>
          <t>Мл-037</t>
        </is>
      </c>
      <c r="B38" s="32" t="inlineStr">
        <is>
          <t>7–9</t>
        </is>
      </c>
      <c r="C38" s="11" t="inlineStr">
        <is>
          <t>Грамматика</t>
        </is>
      </c>
      <c r="D38" s="11" t="inlineStr">
        <is>
          <t>have got</t>
        </is>
      </c>
      <c r="E38" s="33" t="inlineStr">
        <is>
          <t>have got: утверждение — have got / has got (полные и краткие формы)</t>
        </is>
      </c>
      <c r="F38" s="11" t="inlineStr">
        <is>
          <t>3 кл. · М5 · новое</t>
        </is>
      </c>
      <c r="G38" s="11" t="n">
        <v>1</v>
      </c>
      <c r="H38" s="11">
        <f>'Темы × классы'!P128</f>
        <v/>
      </c>
      <c r="I38" s="11">
        <f>'Темы × классы'!Q128&amp;""</f>
        <v/>
      </c>
      <c r="J38" s="11" t="inlineStr">
        <is>
          <t>не начат</t>
        </is>
      </c>
      <c r="K38" s="11" t="inlineStr"/>
    </row>
    <row r="39">
      <c r="A39" s="31" t="inlineStr">
        <is>
          <t>Мл-038</t>
        </is>
      </c>
      <c r="B39" s="32" t="inlineStr">
        <is>
          <t>7–9</t>
        </is>
      </c>
      <c r="C39" s="11" t="inlineStr">
        <is>
          <t>Грамматика</t>
        </is>
      </c>
      <c r="D39" s="11" t="inlineStr">
        <is>
          <t>have got</t>
        </is>
      </c>
      <c r="E39" s="33" t="inlineStr">
        <is>
          <t>have got: отрицание — haven't got / hasn't got</t>
        </is>
      </c>
      <c r="F39" s="11" t="inlineStr">
        <is>
          <t>3 кл. · М5 · новое</t>
        </is>
      </c>
      <c r="G39" s="11" t="n">
        <v>1</v>
      </c>
      <c r="H39" s="11">
        <f>'Темы × классы'!P129</f>
        <v/>
      </c>
      <c r="I39" s="11">
        <f>'Темы × классы'!Q129&amp;""</f>
        <v/>
      </c>
      <c r="J39" s="11" t="inlineStr">
        <is>
          <t>не начат</t>
        </is>
      </c>
      <c r="K39" s="11" t="inlineStr"/>
    </row>
    <row r="40">
      <c r="A40" s="31" t="inlineStr">
        <is>
          <t>Мл-039</t>
        </is>
      </c>
      <c r="B40" s="32" t="inlineStr">
        <is>
          <t>7–9</t>
        </is>
      </c>
      <c r="C40" s="11" t="inlineStr">
        <is>
          <t>Грамматика</t>
        </is>
      </c>
      <c r="D40" s="11" t="inlineStr">
        <is>
          <t>have got</t>
        </is>
      </c>
      <c r="E40" s="33" t="inlineStr">
        <is>
          <t>have got: вопросы и краткие ответы</t>
        </is>
      </c>
      <c r="F40" s="11" t="inlineStr">
        <is>
          <t>3 кл. · М5 · новое</t>
        </is>
      </c>
      <c r="G40" s="11" t="n">
        <v>1</v>
      </c>
      <c r="H40" s="11">
        <f>'Темы × классы'!P130</f>
        <v/>
      </c>
      <c r="I40" s="11">
        <f>'Темы × классы'!Q130&amp;""</f>
        <v/>
      </c>
      <c r="J40" s="11" t="inlineStr">
        <is>
          <t>не начат</t>
        </is>
      </c>
      <c r="K40" s="11" t="inlineStr"/>
    </row>
    <row r="41">
      <c r="A41" s="31" t="inlineStr">
        <is>
          <t>Мл-040</t>
        </is>
      </c>
      <c r="B41" s="32" t="inlineStr">
        <is>
          <t>7–9</t>
        </is>
      </c>
      <c r="C41" s="11" t="inlineStr">
        <is>
          <t>Грамматика</t>
        </is>
      </c>
      <c r="D41" s="11" t="inlineStr">
        <is>
          <t>have got</t>
        </is>
      </c>
      <c r="E41" s="33" t="inlineStr">
        <is>
          <t>have got: значение — принадлежность (иметь)</t>
        </is>
      </c>
      <c r="F41" s="11" t="inlineStr">
        <is>
          <t>3 кл. · М5 · новое</t>
        </is>
      </c>
      <c r="G41" s="11" t="n">
        <v>1</v>
      </c>
      <c r="H41" s="11">
        <f>'Темы × классы'!P131</f>
        <v/>
      </c>
      <c r="I41" s="11">
        <f>'Темы × классы'!Q131&amp;""</f>
        <v/>
      </c>
      <c r="J41" s="11" t="inlineStr">
        <is>
          <t>не начат</t>
        </is>
      </c>
      <c r="K41" s="11" t="inlineStr"/>
    </row>
    <row r="42">
      <c r="A42" s="31" t="inlineStr">
        <is>
          <t>Мл-041</t>
        </is>
      </c>
      <c r="B42" s="32" t="inlineStr">
        <is>
          <t>7–9</t>
        </is>
      </c>
      <c r="C42" s="11" t="inlineStr">
        <is>
          <t>Грамматика</t>
        </is>
      </c>
      <c r="D42" s="11" t="inlineStr">
        <is>
          <t>have got</t>
        </is>
      </c>
      <c r="E42" s="33" t="inlineStr">
        <is>
          <t>have got: значение — описание внешности людей, животных, предметов</t>
        </is>
      </c>
      <c r="F42" s="11" t="inlineStr">
        <is>
          <t>3 кл. · М5 · новое</t>
        </is>
      </c>
      <c r="G42" s="11" t="n">
        <v>1</v>
      </c>
      <c r="H42" s="11">
        <f>'Темы × классы'!P132</f>
        <v/>
      </c>
      <c r="I42" s="11">
        <f>'Темы × классы'!Q132&amp;""</f>
        <v/>
      </c>
      <c r="J42" s="11" t="inlineStr">
        <is>
          <t>не начат</t>
        </is>
      </c>
      <c r="K42" s="11" t="inlineStr"/>
    </row>
    <row r="43">
      <c r="A43" s="31" t="inlineStr">
        <is>
          <t>Мл-042</t>
        </is>
      </c>
      <c r="B43" s="32" t="inlineStr">
        <is>
          <t>7–9</t>
        </is>
      </c>
      <c r="C43" s="11" t="inlineStr">
        <is>
          <t>Грамматика</t>
        </is>
      </c>
      <c r="D43" s="11" t="inlineStr">
        <is>
          <t>have got</t>
        </is>
      </c>
      <c r="E43" s="33" t="inlineStr">
        <is>
          <t>have got: It's got (= It has got) vs It's (= It is)</t>
        </is>
      </c>
      <c r="F43" s="11" t="inlineStr">
        <is>
          <t>3 кл. · М5 · новое</t>
        </is>
      </c>
      <c r="G43" s="11" t="n">
        <v>1</v>
      </c>
      <c r="H43" s="11">
        <f>'Темы × классы'!P134</f>
        <v/>
      </c>
      <c r="I43" s="11">
        <f>'Темы × классы'!Q134&amp;""</f>
        <v/>
      </c>
      <c r="J43" s="11" t="inlineStr">
        <is>
          <t>не начат</t>
        </is>
      </c>
      <c r="K43" s="11" t="inlineStr"/>
    </row>
    <row r="44">
      <c r="A44" s="31" t="inlineStr">
        <is>
          <t>Мл-043</t>
        </is>
      </c>
      <c r="B44" s="32" t="inlineStr">
        <is>
          <t>7–9</t>
        </is>
      </c>
      <c r="C44" s="11" t="inlineStr">
        <is>
          <t>Грамматика</t>
        </is>
      </c>
      <c r="D44" s="11" t="inlineStr">
        <is>
          <t>to be (Past: was/were)</t>
        </is>
      </c>
      <c r="E44" s="33" t="inlineStr">
        <is>
          <t>to be (Past): утверждение — was / were</t>
        </is>
      </c>
      <c r="F44" s="11" t="inlineStr">
        <is>
          <t>3 кл. · М2 · новое
4 кл. · М5 · повт.</t>
        </is>
      </c>
      <c r="G44" s="11" t="n">
        <v>2</v>
      </c>
      <c r="H44" s="11">
        <f>'Темы × классы'!P135</f>
        <v/>
      </c>
      <c r="I44" s="11">
        <f>'Темы × классы'!Q135&amp;""</f>
        <v/>
      </c>
      <c r="J44" s="11" t="inlineStr">
        <is>
          <t>не начат</t>
        </is>
      </c>
      <c r="K44" s="11" t="inlineStr"/>
    </row>
    <row r="45">
      <c r="A45" s="31" t="inlineStr">
        <is>
          <t>Мл-044</t>
        </is>
      </c>
      <c r="B45" s="32" t="inlineStr">
        <is>
          <t>7–9</t>
        </is>
      </c>
      <c r="C45" s="11" t="inlineStr">
        <is>
          <t>Грамматика</t>
        </is>
      </c>
      <c r="D45" s="11" t="inlineStr">
        <is>
          <t>to be (Past: was/were)</t>
        </is>
      </c>
      <c r="E45" s="34" t="inlineStr">
        <is>
          <t>to be (Past): отрицание — wasn't / weren't</t>
        </is>
      </c>
      <c r="F45" s="11" t="inlineStr">
        <is>
          <t>3 кл. · М2 · новое
4 кл. · М5 · повт.</t>
        </is>
      </c>
      <c r="G45" s="11" t="n">
        <v>2</v>
      </c>
      <c r="H45" s="11">
        <f>'Темы × классы'!P136</f>
        <v/>
      </c>
      <c r="I45" s="11">
        <f>'Темы × классы'!Q136&amp;""</f>
        <v/>
      </c>
      <c r="J45" s="11" t="inlineStr">
        <is>
          <t>не начат</t>
        </is>
      </c>
      <c r="K45" s="11" t="inlineStr"/>
    </row>
    <row r="46">
      <c r="A46" s="31" t="inlineStr">
        <is>
          <t>Мл-045</t>
        </is>
      </c>
      <c r="B46" s="32" t="inlineStr">
        <is>
          <t>7–9</t>
        </is>
      </c>
      <c r="C46" s="11" t="inlineStr">
        <is>
          <t>Грамматика</t>
        </is>
      </c>
      <c r="D46" s="11" t="inlineStr">
        <is>
          <t>to be (Past: was/were)</t>
        </is>
      </c>
      <c r="E46" s="34" t="inlineStr">
        <is>
          <t>to be (Past): вопросы и краткие ответы</t>
        </is>
      </c>
      <c r="F46" s="11" t="inlineStr">
        <is>
          <t>3 кл. · М2 · новое
4 кл. · М5 · повт.</t>
        </is>
      </c>
      <c r="G46" s="11" t="n">
        <v>2</v>
      </c>
      <c r="H46" s="11">
        <f>'Темы × классы'!P137</f>
        <v/>
      </c>
      <c r="I46" s="11">
        <f>'Темы × классы'!Q137&amp;""</f>
        <v/>
      </c>
      <c r="J46" s="11" t="inlineStr">
        <is>
          <t>не начат</t>
        </is>
      </c>
      <c r="K46" s="11" t="inlineStr"/>
    </row>
    <row r="47">
      <c r="A47" s="31" t="inlineStr">
        <is>
          <t>Мл-046</t>
        </is>
      </c>
      <c r="B47" s="32" t="inlineStr">
        <is>
          <t>7–9</t>
        </is>
      </c>
      <c r="C47" s="11" t="inlineStr">
        <is>
          <t>Грамматика</t>
        </is>
      </c>
      <c r="D47" s="11" t="inlineStr">
        <is>
          <t>to be (Past: was/were)</t>
        </is>
      </c>
      <c r="E47" s="33" t="inlineStr">
        <is>
          <t>to be (Past): слова-указатели прошедшего времени</t>
        </is>
      </c>
      <c r="F47" s="11" t="inlineStr">
        <is>
          <t>3 кл. · М2 · новое
4 кл. · М5 · повт.</t>
        </is>
      </c>
      <c r="G47" s="11" t="n">
        <v>2</v>
      </c>
      <c r="H47" s="11">
        <f>'Темы × классы'!P138</f>
        <v/>
      </c>
      <c r="I47" s="11">
        <f>'Темы × классы'!Q138&amp;""</f>
        <v/>
      </c>
      <c r="J47" s="11" t="inlineStr">
        <is>
          <t>не начат</t>
        </is>
      </c>
      <c r="K47" s="11" t="inlineStr"/>
    </row>
    <row r="48">
      <c r="A48" s="31" t="inlineStr">
        <is>
          <t>Мл-047</t>
        </is>
      </c>
      <c r="B48" s="32" t="inlineStr">
        <is>
          <t>7–9</t>
        </is>
      </c>
      <c r="C48" s="11" t="inlineStr">
        <is>
          <t>Грамматика</t>
        </is>
      </c>
      <c r="D48" s="11" t="inlineStr">
        <is>
          <t>to be (Present)</t>
        </is>
      </c>
      <c r="E48" s="33" t="inlineStr">
        <is>
          <t>to be (Present): утверждение — am/is/are, полные и краткие формы</t>
        </is>
      </c>
      <c r="F48" s="11" t="inlineStr">
        <is>
          <t>3 кл. · М1 · новое</t>
        </is>
      </c>
      <c r="G48" s="11" t="n">
        <v>1</v>
      </c>
      <c r="H48" s="11">
        <f>'Темы × классы'!P139</f>
        <v/>
      </c>
      <c r="I48" s="11">
        <f>'Темы × классы'!Q139&amp;""</f>
        <v/>
      </c>
      <c r="J48" s="11" t="inlineStr">
        <is>
          <t>не начат</t>
        </is>
      </c>
      <c r="K48" s="11" t="inlineStr"/>
    </row>
    <row r="49">
      <c r="A49" s="31" t="inlineStr">
        <is>
          <t>Мл-048</t>
        </is>
      </c>
      <c r="B49" s="32" t="inlineStr">
        <is>
          <t>7–9</t>
        </is>
      </c>
      <c r="C49" s="11" t="inlineStr">
        <is>
          <t>Грамматика</t>
        </is>
      </c>
      <c r="D49" s="11" t="inlineStr">
        <is>
          <t>to be (Present)</t>
        </is>
      </c>
      <c r="E49" s="34" t="inlineStr">
        <is>
          <t>to be (Present): отрицание — am not / isn't / aren't</t>
        </is>
      </c>
      <c r="F49" s="11" t="inlineStr">
        <is>
          <t>3 кл. · М1 · новое</t>
        </is>
      </c>
      <c r="G49" s="11" t="n">
        <v>1</v>
      </c>
      <c r="H49" s="11">
        <f>'Темы × классы'!P140</f>
        <v/>
      </c>
      <c r="I49" s="11">
        <f>'Темы × классы'!Q140&amp;""</f>
        <v/>
      </c>
      <c r="J49" s="11" t="inlineStr">
        <is>
          <t>не начат</t>
        </is>
      </c>
      <c r="K49" s="11" t="inlineStr"/>
    </row>
    <row r="50">
      <c r="A50" s="31" t="inlineStr">
        <is>
          <t>Мл-049</t>
        </is>
      </c>
      <c r="B50" s="32" t="inlineStr">
        <is>
          <t>7–9</t>
        </is>
      </c>
      <c r="C50" s="11" t="inlineStr">
        <is>
          <t>Грамматика</t>
        </is>
      </c>
      <c r="D50" s="11" t="inlineStr">
        <is>
          <t>to be (Present)</t>
        </is>
      </c>
      <c r="E50" s="34" t="inlineStr">
        <is>
          <t>to be (Present): вопросы и краткие ответы</t>
        </is>
      </c>
      <c r="F50" s="11" t="inlineStr">
        <is>
          <t>3 кл. · М1 · новое</t>
        </is>
      </c>
      <c r="G50" s="11" t="n">
        <v>1</v>
      </c>
      <c r="H50" s="11">
        <f>'Темы × классы'!P141</f>
        <v/>
      </c>
      <c r="I50" s="11">
        <f>'Темы × классы'!Q141&amp;""</f>
        <v/>
      </c>
      <c r="J50" s="11" t="inlineStr">
        <is>
          <t>не начат</t>
        </is>
      </c>
      <c r="K50" s="11" t="inlineStr"/>
    </row>
    <row r="51">
      <c r="A51" s="31" t="inlineStr">
        <is>
          <t>Мл-050</t>
        </is>
      </c>
      <c r="B51" s="32" t="inlineStr">
        <is>
          <t>7–9</t>
        </is>
      </c>
      <c r="C51" s="11" t="inlineStr">
        <is>
          <t>Грамматика</t>
        </is>
      </c>
      <c r="D51" s="11" t="inlineStr">
        <is>
          <t>have to</t>
        </is>
      </c>
      <c r="E51" s="33" t="inlineStr">
        <is>
          <t>have to: значение — необходимость из-за обстоятельств (утверждение)</t>
        </is>
      </c>
      <c r="F51" s="11" t="inlineStr">
        <is>
          <t>4 кл. · М2 · новое</t>
        </is>
      </c>
      <c r="G51" s="11" t="n">
        <v>1</v>
      </c>
      <c r="H51" s="11">
        <f>'Темы × классы'!P142</f>
        <v/>
      </c>
      <c r="I51" s="11">
        <f>'Темы × классы'!Q142&amp;""</f>
        <v/>
      </c>
      <c r="J51" s="11" t="inlineStr">
        <is>
          <t>не начат</t>
        </is>
      </c>
      <c r="K51" s="11" t="inlineStr"/>
    </row>
    <row r="52">
      <c r="A52" s="31" t="inlineStr">
        <is>
          <t>Мл-051</t>
        </is>
      </c>
      <c r="B52" s="32" t="inlineStr">
        <is>
          <t>7–9</t>
        </is>
      </c>
      <c r="C52" s="11" t="inlineStr">
        <is>
          <t>Грамматика</t>
        </is>
      </c>
      <c r="D52" s="11" t="inlineStr">
        <is>
          <t>have to</t>
        </is>
      </c>
      <c r="E52" s="33" t="inlineStr">
        <is>
          <t>have to: don't / doesn't have to — отсутствие необходимости</t>
        </is>
      </c>
      <c r="F52" s="11" t="inlineStr">
        <is>
          <t>4 кл. · М2 · новое</t>
        </is>
      </c>
      <c r="G52" s="11" t="n">
        <v>1</v>
      </c>
      <c r="H52" s="11">
        <f>'Темы × классы'!P143</f>
        <v/>
      </c>
      <c r="I52" s="11">
        <f>'Темы × классы'!Q143&amp;""</f>
        <v/>
      </c>
      <c r="J52" s="11" t="inlineStr">
        <is>
          <t>не начат</t>
        </is>
      </c>
      <c r="K52" s="11" t="inlineStr"/>
    </row>
    <row r="53">
      <c r="A53" s="31" t="inlineStr">
        <is>
          <t>Мл-052</t>
        </is>
      </c>
      <c r="B53" s="32" t="inlineStr">
        <is>
          <t>7–9</t>
        </is>
      </c>
      <c r="C53" s="11" t="inlineStr">
        <is>
          <t>Грамматика</t>
        </is>
      </c>
      <c r="D53" s="11" t="inlineStr">
        <is>
          <t>have to</t>
        </is>
      </c>
      <c r="E53" s="35" t="inlineStr">
        <is>
          <t>have to: вопросы и краткие ответы — Do you have to…?</t>
        </is>
      </c>
      <c r="F53" s="11" t="inlineStr">
        <is>
          <t>4 кл. · М2 · новое</t>
        </is>
      </c>
      <c r="G53" s="11" t="n">
        <v>1</v>
      </c>
      <c r="H53" s="11">
        <f>'Темы × классы'!P144</f>
        <v/>
      </c>
      <c r="I53" s="11">
        <f>'Темы × классы'!Q144&amp;""</f>
        <v/>
      </c>
      <c r="J53" s="11" t="inlineStr">
        <is>
          <t>не начат</t>
        </is>
      </c>
      <c r="K53" s="11" t="inlineStr"/>
    </row>
    <row r="54">
      <c r="A54" s="31" t="inlineStr">
        <is>
          <t>Мл-053</t>
        </is>
      </c>
      <c r="B54" s="32" t="inlineStr">
        <is>
          <t>7–9</t>
        </is>
      </c>
      <c r="C54" s="11" t="inlineStr">
        <is>
          <t>Грамматика</t>
        </is>
      </c>
      <c r="D54" s="11" t="inlineStr">
        <is>
          <t>may/might</t>
        </is>
      </c>
      <c r="E54" s="33" t="inlineStr">
        <is>
          <t>may/might: may — спросить разрешения (May I…?) и ответы</t>
        </is>
      </c>
      <c r="F54" s="11" t="inlineStr">
        <is>
          <t>4 кл. · М3 · новое</t>
        </is>
      </c>
      <c r="G54" s="11" t="n">
        <v>1</v>
      </c>
      <c r="H54" s="11">
        <f>'Темы × классы'!P148</f>
        <v/>
      </c>
      <c r="I54" s="11">
        <f>'Темы × классы'!Q148&amp;""</f>
        <v/>
      </c>
      <c r="J54" s="11" t="inlineStr">
        <is>
          <t>не начат</t>
        </is>
      </c>
      <c r="K54" s="11" t="inlineStr"/>
    </row>
    <row r="55">
      <c r="A55" s="31" t="inlineStr">
        <is>
          <t>Мл-054</t>
        </is>
      </c>
      <c r="B55" s="32" t="inlineStr">
        <is>
          <t>7–9</t>
        </is>
      </c>
      <c r="C55" s="11" t="inlineStr">
        <is>
          <t>Грамматика</t>
        </is>
      </c>
      <c r="D55" s="11" t="inlineStr">
        <is>
          <t>must/mustn't</t>
        </is>
      </c>
      <c r="E55" s="34" t="inlineStr">
        <is>
          <t>must/mustn't: must — обязанность, необходимость</t>
        </is>
      </c>
      <c r="F55" s="11" t="inlineStr">
        <is>
          <t>4 кл. · М4 · новое</t>
        </is>
      </c>
      <c r="G55" s="11" t="n">
        <v>1</v>
      </c>
      <c r="H55" s="11">
        <f>'Темы × классы'!P153</f>
        <v/>
      </c>
      <c r="I55" s="11">
        <f>'Темы × классы'!Q153&amp;""</f>
        <v/>
      </c>
      <c r="J55" s="11" t="inlineStr">
        <is>
          <t>не начат</t>
        </is>
      </c>
      <c r="K55" s="11" t="inlineStr"/>
    </row>
    <row r="56">
      <c r="A56" s="31" t="inlineStr">
        <is>
          <t>Мл-055</t>
        </is>
      </c>
      <c r="B56" s="32" t="inlineStr">
        <is>
          <t>7–9</t>
        </is>
      </c>
      <c r="C56" s="11" t="inlineStr">
        <is>
          <t>Грамматика</t>
        </is>
      </c>
      <c r="D56" s="11" t="inlineStr">
        <is>
          <t>must/mustn't</t>
        </is>
      </c>
      <c r="E56" s="34" t="inlineStr">
        <is>
          <t>must/mustn't: mustn't — запрет</t>
        </is>
      </c>
      <c r="F56" s="11" t="inlineStr">
        <is>
          <t>4 кл. · М4 · новое</t>
        </is>
      </c>
      <c r="G56" s="11" t="n">
        <v>1</v>
      </c>
      <c r="H56" s="11">
        <f>'Темы × классы'!P154</f>
        <v/>
      </c>
      <c r="I56" s="11">
        <f>'Темы × классы'!Q154&amp;""</f>
        <v/>
      </c>
      <c r="J56" s="11" t="inlineStr">
        <is>
          <t>не начат</t>
        </is>
      </c>
      <c r="K56" s="11" t="inlineStr"/>
    </row>
    <row r="57">
      <c r="A57" s="31" t="inlineStr">
        <is>
          <t>Мл-056</t>
        </is>
      </c>
      <c r="B57" s="32" t="inlineStr">
        <is>
          <t>7–9</t>
        </is>
      </c>
      <c r="C57" s="11" t="inlineStr">
        <is>
          <t>Грамматика</t>
        </is>
      </c>
      <c r="D57" s="11" t="inlineStr">
        <is>
          <t>Countable / Uncountable nouns</t>
        </is>
      </c>
      <c r="E57" s="33" t="inlineStr">
        <is>
          <t>Countable / Uncountable: различие исчисляемых и неисчисляемых</t>
        </is>
      </c>
      <c r="F57" s="11" t="inlineStr">
        <is>
          <t>3 кл. · М3 · новое
4 кл. · М3 · повт.</t>
        </is>
      </c>
      <c r="G57" s="11" t="n">
        <v>2</v>
      </c>
      <c r="H57" s="11">
        <f>'Темы × классы'!P330</f>
        <v/>
      </c>
      <c r="I57" s="11">
        <f>'Темы × классы'!Q330&amp;""</f>
        <v/>
      </c>
      <c r="J57" s="11" t="inlineStr">
        <is>
          <t>не начат</t>
        </is>
      </c>
      <c r="K57" s="11" t="inlineStr"/>
    </row>
    <row r="58">
      <c r="A58" s="31" t="inlineStr">
        <is>
          <t>Мл-057</t>
        </is>
      </c>
      <c r="B58" s="32" t="inlineStr">
        <is>
          <t>7–9</t>
        </is>
      </c>
      <c r="C58" s="11" t="inlineStr">
        <is>
          <t>Грамматика</t>
        </is>
      </c>
      <c r="D58" s="11" t="inlineStr">
        <is>
          <t>Plurals (irregular)</t>
        </is>
      </c>
      <c r="E58" s="33" t="inlineStr">
        <is>
          <t>Plurals (irregular): man — men, child — children, tooth — teeth, foot — feet, mouse — mice</t>
        </is>
      </c>
      <c r="F58" s="11" t="inlineStr">
        <is>
          <t>3 кл. · М5 · новое</t>
        </is>
      </c>
      <c r="G58" s="11" t="n">
        <v>1</v>
      </c>
      <c r="H58" s="11">
        <f>'Темы × классы'!P343</f>
        <v/>
      </c>
      <c r="I58" s="11">
        <f>'Темы × классы'!Q343&amp;""</f>
        <v/>
      </c>
      <c r="J58" s="11" t="inlineStr">
        <is>
          <t>не начат</t>
        </is>
      </c>
      <c r="K58" s="11" t="inlineStr"/>
    </row>
    <row r="59">
      <c r="A59" s="31" t="inlineStr">
        <is>
          <t>Мл-058</t>
        </is>
      </c>
      <c r="B59" s="32" t="inlineStr">
        <is>
          <t>7–9</t>
        </is>
      </c>
      <c r="C59" s="11" t="inlineStr">
        <is>
          <t>Грамматика</t>
        </is>
      </c>
      <c r="D59" s="11" t="inlineStr">
        <is>
          <t>Plurals (irregular)</t>
        </is>
      </c>
      <c r="E59" s="33" t="inlineStr">
        <is>
          <t>Plurals (irregular): одинаковая форма ед. и мн. ч. (fish, sheep)</t>
        </is>
      </c>
      <c r="F59" s="11" t="inlineStr">
        <is>
          <t>3 кл. · М5 · новое</t>
        </is>
      </c>
      <c r="G59" s="11" t="n">
        <v>1</v>
      </c>
      <c r="H59" s="11">
        <f>'Темы × классы'!P344</f>
        <v/>
      </c>
      <c r="I59" s="11">
        <f>'Темы × классы'!Q344&amp;""</f>
        <v/>
      </c>
      <c r="J59" s="11" t="inlineStr">
        <is>
          <t>не начат</t>
        </is>
      </c>
      <c r="K59" s="11" t="inlineStr"/>
    </row>
    <row r="60">
      <c r="A60" s="31" t="inlineStr">
        <is>
          <t>Мл-059</t>
        </is>
      </c>
      <c r="B60" s="32" t="inlineStr">
        <is>
          <t>7–9</t>
        </is>
      </c>
      <c r="C60" s="11" t="inlineStr">
        <is>
          <t>Грамматика</t>
        </is>
      </c>
      <c r="D60" s="11" t="inlineStr">
        <is>
          <t>Plurals (regular)</t>
        </is>
      </c>
      <c r="E60" s="33" t="inlineStr">
        <is>
          <t>Plurals (regular): основное правило — + -s</t>
        </is>
      </c>
      <c r="F60" s="11" t="inlineStr">
        <is>
          <t>3 кл. · М2 · новое
3 кл. · М6 · повт.</t>
        </is>
      </c>
      <c r="G60" s="11" t="n">
        <v>2</v>
      </c>
      <c r="H60" s="11">
        <f>'Темы × классы'!P346</f>
        <v/>
      </c>
      <c r="I60" s="11">
        <f>'Темы × классы'!Q346&amp;""</f>
        <v/>
      </c>
      <c r="J60" s="11" t="inlineStr">
        <is>
          <t>не начат</t>
        </is>
      </c>
      <c r="K60" s="11" t="inlineStr"/>
    </row>
    <row r="61">
      <c r="A61" s="31" t="inlineStr">
        <is>
          <t>Мл-060</t>
        </is>
      </c>
      <c r="B61" s="32" t="inlineStr">
        <is>
          <t>7–9</t>
        </is>
      </c>
      <c r="C61" s="11" t="inlineStr">
        <is>
          <t>Грамматика</t>
        </is>
      </c>
      <c r="D61" s="11" t="inlineStr">
        <is>
          <t>Plurals (regular)</t>
        </is>
      </c>
      <c r="E61" s="33" t="inlineStr">
        <is>
          <t>Plurals (regular): орфография — + -es после -s, -ss, -sh, -ch, -x, -o</t>
        </is>
      </c>
      <c r="F61" s="11" t="inlineStr">
        <is>
          <t>3 кл. · М6 · новое</t>
        </is>
      </c>
      <c r="G61" s="11" t="n">
        <v>1</v>
      </c>
      <c r="H61" s="11">
        <f>'Темы × классы'!P347</f>
        <v/>
      </c>
      <c r="I61" s="11">
        <f>'Темы × классы'!Q347&amp;""</f>
        <v/>
      </c>
      <c r="J61" s="11" t="inlineStr">
        <is>
          <t>не начат</t>
        </is>
      </c>
      <c r="K61" s="11" t="inlineStr"/>
    </row>
    <row r="62">
      <c r="A62" s="31" t="inlineStr">
        <is>
          <t>Мл-061</t>
        </is>
      </c>
      <c r="B62" s="32" t="inlineStr">
        <is>
          <t>7–9</t>
        </is>
      </c>
      <c r="C62" s="11" t="inlineStr">
        <is>
          <t>Грамматика</t>
        </is>
      </c>
      <c r="D62" s="11" t="inlineStr">
        <is>
          <t>Plurals (regular)</t>
        </is>
      </c>
      <c r="E62" s="33" t="inlineStr">
        <is>
          <t>Plurals (regular): орфография — -y → -ies (но гласная + y → -s)</t>
        </is>
      </c>
      <c r="F62" s="11" t="inlineStr">
        <is>
          <t>3 кл. · М6 · новое</t>
        </is>
      </c>
      <c r="G62" s="11" t="n">
        <v>1</v>
      </c>
      <c r="H62" s="11">
        <f>'Темы × классы'!P348</f>
        <v/>
      </c>
      <c r="I62" s="11">
        <f>'Темы × классы'!Q348&amp;""</f>
        <v/>
      </c>
      <c r="J62" s="11" t="inlineStr">
        <is>
          <t>не начат</t>
        </is>
      </c>
      <c r="K62" s="11" t="inlineStr"/>
    </row>
    <row r="63">
      <c r="A63" s="31" t="inlineStr">
        <is>
          <t>Мл-062</t>
        </is>
      </c>
      <c r="B63" s="32" t="inlineStr">
        <is>
          <t>7–9</t>
        </is>
      </c>
      <c r="C63" s="11" t="inlineStr">
        <is>
          <t>Грамматика</t>
        </is>
      </c>
      <c r="D63" s="11" t="inlineStr">
        <is>
          <t>Plurals (regular)</t>
        </is>
      </c>
      <c r="E63" s="33" t="inlineStr">
        <is>
          <t>Plurals (regular): орфография — -f/-fe → -ves</t>
        </is>
      </c>
      <c r="F63" s="11" t="inlineStr">
        <is>
          <t>3 кл. · М6 · новое</t>
        </is>
      </c>
      <c r="G63" s="11" t="n">
        <v>1</v>
      </c>
      <c r="H63" s="11">
        <f>'Темы × классы'!P349</f>
        <v/>
      </c>
      <c r="I63" s="11">
        <f>'Темы × классы'!Q349&amp;""</f>
        <v/>
      </c>
      <c r="J63" s="11" t="inlineStr">
        <is>
          <t>не начат</t>
        </is>
      </c>
      <c r="K63" s="11" t="inlineStr"/>
    </row>
    <row r="64">
      <c r="A64" s="31" t="inlineStr">
        <is>
          <t>Мл-063</t>
        </is>
      </c>
      <c r="B64" s="32" t="inlineStr">
        <is>
          <t>7–9</t>
        </is>
      </c>
      <c r="C64" s="11" t="inlineStr">
        <is>
          <t>Грамматика</t>
        </is>
      </c>
      <c r="D64" s="11" t="inlineStr">
        <is>
          <t>Possessive case ('s)</t>
        </is>
      </c>
      <c r="E64" s="33" t="inlineStr">
        <is>
          <t>Possessive case ('s): 's в ед. ч. — принадлежность</t>
        </is>
      </c>
      <c r="F64" s="11" t="inlineStr">
        <is>
          <t>3 кл. · М4 · новое</t>
        </is>
      </c>
      <c r="G64" s="11" t="n">
        <v>1</v>
      </c>
      <c r="H64" s="11">
        <f>'Темы × классы'!P352</f>
        <v/>
      </c>
      <c r="I64" s="11">
        <f>'Темы × классы'!Q352&amp;""</f>
        <v/>
      </c>
      <c r="J64" s="11" t="inlineStr">
        <is>
          <t>не начат</t>
        </is>
      </c>
      <c r="K64" s="11" t="inlineStr"/>
    </row>
    <row r="65">
      <c r="A65" s="31" t="inlineStr">
        <is>
          <t>Мл-064</t>
        </is>
      </c>
      <c r="B65" s="32" t="inlineStr">
        <is>
          <t>7–9</t>
        </is>
      </c>
      <c r="C65" s="11" t="inlineStr">
        <is>
          <t>Грамматика</t>
        </is>
      </c>
      <c r="D65" s="11" t="inlineStr">
        <is>
          <t>Possessive case ('s)</t>
        </is>
      </c>
      <c r="E65" s="33" t="inlineStr">
        <is>
          <t>Possessive case ('s): вопрос Whose?</t>
        </is>
      </c>
      <c r="F65" s="11" t="inlineStr">
        <is>
          <t>3 кл. · М4 · новое</t>
        </is>
      </c>
      <c r="G65" s="11" t="n">
        <v>1</v>
      </c>
      <c r="H65" s="11">
        <f>'Темы × классы'!P353</f>
        <v/>
      </c>
      <c r="I65" s="11">
        <f>'Темы × классы'!Q353&amp;""</f>
        <v/>
      </c>
      <c r="J65" s="11" t="inlineStr">
        <is>
          <t>не начат</t>
        </is>
      </c>
      <c r="K65" s="11" t="inlineStr"/>
    </row>
    <row r="66">
      <c r="A66" s="31" t="inlineStr">
        <is>
          <t>Мл-065</t>
        </is>
      </c>
      <c r="B66" s="32" t="inlineStr">
        <is>
          <t>7–9</t>
        </is>
      </c>
      <c r="C66" s="11" t="inlineStr">
        <is>
          <t>Грамматика</t>
        </is>
      </c>
      <c r="D66" s="11" t="inlineStr">
        <is>
          <t>a/an</t>
        </is>
      </c>
      <c r="E66" s="35" t="inlineStr">
        <is>
          <t>a/an: неопределённый артикль — только с исчисляемыми в ед. ч.</t>
        </is>
      </c>
      <c r="F66" s="11" t="inlineStr">
        <is>
          <t>3 кл. · М4 · новое</t>
        </is>
      </c>
      <c r="G66" s="11" t="n">
        <v>1</v>
      </c>
      <c r="H66" s="11">
        <f>'Темы × классы'!P359</f>
        <v/>
      </c>
      <c r="I66" s="11">
        <f>'Темы × классы'!Q359&amp;""</f>
        <v/>
      </c>
      <c r="J66" s="11" t="inlineStr">
        <is>
          <t>не начат</t>
        </is>
      </c>
      <c r="K66" s="11" t="inlineStr"/>
    </row>
    <row r="67">
      <c r="A67" s="31" t="inlineStr">
        <is>
          <t>Мл-066</t>
        </is>
      </c>
      <c r="B67" s="32" t="inlineStr">
        <is>
          <t>7–9</t>
        </is>
      </c>
      <c r="C67" s="11" t="inlineStr">
        <is>
          <t>Грамматика</t>
        </is>
      </c>
      <c r="D67" s="11" t="inlineStr">
        <is>
          <t>a/an</t>
        </is>
      </c>
      <c r="E67" s="33" t="inlineStr">
        <is>
          <t>a/an: a перед согласной, an перед гласной</t>
        </is>
      </c>
      <c r="F67" s="11" t="inlineStr">
        <is>
          <t>3 кл. · М4 · новое</t>
        </is>
      </c>
      <c r="G67" s="11" t="n">
        <v>1</v>
      </c>
      <c r="H67" s="11">
        <f>'Темы × классы'!P360</f>
        <v/>
      </c>
      <c r="I67" s="11">
        <f>'Темы × классы'!Q360&amp;""</f>
        <v/>
      </c>
      <c r="J67" s="11" t="inlineStr">
        <is>
          <t>не начат</t>
        </is>
      </c>
      <c r="K67" s="11" t="inlineStr"/>
    </row>
    <row r="68">
      <c r="A68" s="31" t="inlineStr">
        <is>
          <t>Мл-067</t>
        </is>
      </c>
      <c r="B68" s="32" t="inlineStr">
        <is>
          <t>7–9</t>
        </is>
      </c>
      <c r="C68" s="11" t="inlineStr">
        <is>
          <t>Грамматика</t>
        </is>
      </c>
      <c r="D68" s="11" t="inlineStr">
        <is>
          <t>a/an/some/any</t>
        </is>
      </c>
      <c r="E68" s="34" t="inlineStr">
        <is>
          <t>a/an/some/any: some — в утверждениях (неисчисляемые и мн. ч.)</t>
        </is>
      </c>
      <c r="F68" s="11" t="inlineStr">
        <is>
          <t>3 кл. · М3 · новое</t>
        </is>
      </c>
      <c r="G68" s="11" t="n">
        <v>1</v>
      </c>
      <c r="H68" s="11">
        <f>'Темы × классы'!P361</f>
        <v/>
      </c>
      <c r="I68" s="11">
        <f>'Темы × классы'!Q361&amp;""</f>
        <v/>
      </c>
      <c r="J68" s="11" t="inlineStr">
        <is>
          <t>не начат</t>
        </is>
      </c>
      <c r="K68" s="11" t="inlineStr"/>
    </row>
    <row r="69">
      <c r="A69" s="31" t="inlineStr">
        <is>
          <t>Мл-068</t>
        </is>
      </c>
      <c r="B69" s="32" t="inlineStr">
        <is>
          <t>7–9</t>
        </is>
      </c>
      <c r="C69" s="11" t="inlineStr">
        <is>
          <t>Грамматика</t>
        </is>
      </c>
      <c r="D69" s="11" t="inlineStr">
        <is>
          <t>a/an/some/any</t>
        </is>
      </c>
      <c r="E69" s="34" t="inlineStr">
        <is>
          <t>a/an/some/any: any — в отрицаниях</t>
        </is>
      </c>
      <c r="F69" s="11" t="inlineStr">
        <is>
          <t>3 кл. · М3 · новое</t>
        </is>
      </c>
      <c r="G69" s="11" t="n">
        <v>1</v>
      </c>
      <c r="H69" s="11">
        <f>'Темы × классы'!P362</f>
        <v/>
      </c>
      <c r="I69" s="11">
        <f>'Темы × классы'!Q362&amp;""</f>
        <v/>
      </c>
      <c r="J69" s="11" t="inlineStr">
        <is>
          <t>не начат</t>
        </is>
      </c>
      <c r="K69" s="11" t="inlineStr"/>
    </row>
    <row r="70">
      <c r="A70" s="31" t="inlineStr">
        <is>
          <t>Мл-069</t>
        </is>
      </c>
      <c r="B70" s="32" t="inlineStr">
        <is>
          <t>7–9</t>
        </is>
      </c>
      <c r="C70" s="11" t="inlineStr">
        <is>
          <t>Грамматика</t>
        </is>
      </c>
      <c r="D70" s="11" t="inlineStr">
        <is>
          <t>a/an/some/any</t>
        </is>
      </c>
      <c r="E70" s="34" t="inlineStr">
        <is>
          <t>a/an/some/any: any — в вопросах</t>
        </is>
      </c>
      <c r="F70" s="11" t="inlineStr">
        <is>
          <t>3 кл. · М3 · новое</t>
        </is>
      </c>
      <c r="G70" s="11" t="n">
        <v>1</v>
      </c>
      <c r="H70" s="11">
        <f>'Темы × классы'!P363</f>
        <v/>
      </c>
      <c r="I70" s="11">
        <f>'Темы × классы'!Q363&amp;""</f>
        <v/>
      </c>
      <c r="J70" s="11" t="inlineStr">
        <is>
          <t>не начат</t>
        </is>
      </c>
      <c r="K70" s="11" t="inlineStr"/>
    </row>
    <row r="71">
      <c r="A71" s="31" t="inlineStr">
        <is>
          <t>Мл-070</t>
        </is>
      </c>
      <c r="B71" s="32" t="inlineStr">
        <is>
          <t>7–9</t>
        </is>
      </c>
      <c r="C71" s="11" t="inlineStr">
        <is>
          <t>Грамматика</t>
        </is>
      </c>
      <c r="D71" s="11" t="inlineStr">
        <is>
          <t>a/an/some/any</t>
        </is>
      </c>
      <c r="E71" s="34" t="inlineStr">
        <is>
          <t>a/an/some/any: some в вопросах — просьба и предложение</t>
        </is>
      </c>
      <c r="F71" s="11" t="inlineStr">
        <is>
          <t>3 кл. · М3 · новое</t>
        </is>
      </c>
      <c r="G71" s="11" t="n">
        <v>1</v>
      </c>
      <c r="H71" s="11">
        <f>'Темы × классы'!P364</f>
        <v/>
      </c>
      <c r="I71" s="11">
        <f>'Темы × классы'!Q364&amp;""</f>
        <v/>
      </c>
      <c r="J71" s="11" t="inlineStr">
        <is>
          <t>не начат</t>
        </is>
      </c>
      <c r="K71" s="11" t="inlineStr"/>
    </row>
    <row r="72">
      <c r="A72" s="31" t="inlineStr">
        <is>
          <t>Мл-071</t>
        </is>
      </c>
      <c r="B72" s="32" t="inlineStr">
        <is>
          <t>7–9</t>
        </is>
      </c>
      <c r="C72" s="11" t="inlineStr">
        <is>
          <t>Грамматика</t>
        </is>
      </c>
      <c r="D72" s="11" t="inlineStr">
        <is>
          <t>much/many/a lot of</t>
        </is>
      </c>
      <c r="E72" s="33" t="inlineStr">
        <is>
          <t>much/many/a lot of: a lot of / lots of — в утверждениях (исчисляемые и неисчисляемые)</t>
        </is>
      </c>
      <c r="F72" s="11" t="inlineStr">
        <is>
          <t>4 кл. · М3 · новое</t>
        </is>
      </c>
      <c r="G72" s="11" t="n">
        <v>1</v>
      </c>
      <c r="H72" s="11">
        <f>'Темы × классы'!P367</f>
        <v/>
      </c>
      <c r="I72" s="11">
        <f>'Темы × классы'!Q367&amp;""</f>
        <v/>
      </c>
      <c r="J72" s="11" t="inlineStr">
        <is>
          <t>не начат</t>
        </is>
      </c>
      <c r="K72" s="11" t="inlineStr"/>
    </row>
    <row r="73">
      <c r="A73" s="31" t="inlineStr">
        <is>
          <t>Мл-072</t>
        </is>
      </c>
      <c r="B73" s="32" t="inlineStr">
        <is>
          <t>7–9</t>
        </is>
      </c>
      <c r="C73" s="11" t="inlineStr">
        <is>
          <t>Грамматика</t>
        </is>
      </c>
      <c r="D73" s="11" t="inlineStr">
        <is>
          <t>much/many/a lot of</t>
        </is>
      </c>
      <c r="E73" s="33" t="inlineStr">
        <is>
          <t>much/many/a lot of: much/many — отрицание</t>
        </is>
      </c>
      <c r="F73" s="11" t="inlineStr">
        <is>
          <t>4 кл. · М3 · новое</t>
        </is>
      </c>
      <c r="G73" s="11" t="n">
        <v>1</v>
      </c>
      <c r="H73" s="11">
        <f>'Темы × классы'!P368</f>
        <v/>
      </c>
      <c r="I73" s="11">
        <f>'Темы × классы'!Q368&amp;""</f>
        <v/>
      </c>
      <c r="J73" s="11" t="inlineStr">
        <is>
          <t>не начат</t>
        </is>
      </c>
      <c r="K73" s="11" t="inlineStr"/>
    </row>
    <row r="74">
      <c r="A74" s="31" t="inlineStr">
        <is>
          <t>Мл-073</t>
        </is>
      </c>
      <c r="B74" s="32" t="inlineStr">
        <is>
          <t>7–9</t>
        </is>
      </c>
      <c r="C74" s="11" t="inlineStr">
        <is>
          <t>Грамматика</t>
        </is>
      </c>
      <c r="D74" s="11" t="inlineStr">
        <is>
          <t>much/many/a lot of</t>
        </is>
      </c>
      <c r="E74" s="33" t="inlineStr">
        <is>
          <t>much/many/a lot of: much/many — вопросы</t>
        </is>
      </c>
      <c r="F74" s="11" t="inlineStr">
        <is>
          <t>4 кл. · М3 · новое</t>
        </is>
      </c>
      <c r="G74" s="11" t="n">
        <v>1</v>
      </c>
      <c r="H74" s="11">
        <f>'Темы × классы'!P369</f>
        <v/>
      </c>
      <c r="I74" s="11">
        <f>'Темы × классы'!Q369&amp;""</f>
        <v/>
      </c>
      <c r="J74" s="11" t="inlineStr">
        <is>
          <t>не начат</t>
        </is>
      </c>
      <c r="K74" s="11" t="inlineStr"/>
    </row>
    <row r="75">
      <c r="A75" s="31" t="inlineStr">
        <is>
          <t>Мл-074</t>
        </is>
      </c>
      <c r="B75" s="32" t="inlineStr">
        <is>
          <t>7–9</t>
        </is>
      </c>
      <c r="C75" s="11" t="inlineStr">
        <is>
          <t>Грамматика</t>
        </is>
      </c>
      <c r="D75" s="11" t="inlineStr">
        <is>
          <t>much/many/a lot of</t>
        </is>
      </c>
      <c r="E75" s="33" t="inlineStr">
        <is>
          <t>much/many/a lot of: How much? / How many?</t>
        </is>
      </c>
      <c r="F75" s="11" t="inlineStr">
        <is>
          <t>4 кл. · М3 · новое</t>
        </is>
      </c>
      <c r="G75" s="11" t="n">
        <v>1</v>
      </c>
      <c r="H75" s="11">
        <f>'Темы × классы'!P370</f>
        <v/>
      </c>
      <c r="I75" s="11">
        <f>'Темы × классы'!Q370&amp;""</f>
        <v/>
      </c>
      <c r="J75" s="11" t="inlineStr">
        <is>
          <t>не начат</t>
        </is>
      </c>
      <c r="K75" s="11" t="inlineStr"/>
    </row>
    <row r="76">
      <c r="A76" s="31" t="inlineStr">
        <is>
          <t>Мл-075</t>
        </is>
      </c>
      <c r="B76" s="32" t="inlineStr">
        <is>
          <t>7–9</t>
        </is>
      </c>
      <c r="C76" s="11" t="inlineStr">
        <is>
          <t>Грамматика</t>
        </is>
      </c>
      <c r="D76" s="11" t="inlineStr">
        <is>
          <t>much/many/a lot of</t>
        </is>
      </c>
      <c r="E76" s="33" t="inlineStr">
        <is>
          <t>much/many/a lot of: краткие ответы и a lot / lots без существительного</t>
        </is>
      </c>
      <c r="F76" s="11" t="inlineStr">
        <is>
          <t>4 кл. · М3 · новое</t>
        </is>
      </c>
      <c r="G76" s="11" t="n">
        <v>1</v>
      </c>
      <c r="H76" s="11">
        <f>'Темы × классы'!P371</f>
        <v/>
      </c>
      <c r="I76" s="11">
        <f>'Темы × классы'!Q371&amp;""</f>
        <v/>
      </c>
      <c r="J76" s="11" t="inlineStr">
        <is>
          <t>не начат</t>
        </is>
      </c>
      <c r="K76" s="11" t="inlineStr"/>
    </row>
    <row r="77">
      <c r="A77" s="31" t="inlineStr">
        <is>
          <t>Мл-076</t>
        </is>
      </c>
      <c r="B77" s="32" t="inlineStr">
        <is>
          <t>7–9</t>
        </is>
      </c>
      <c r="C77" s="11" t="inlineStr">
        <is>
          <t>Грамматика</t>
        </is>
      </c>
      <c r="D77" s="11" t="inlineStr">
        <is>
          <t>Demonstratives (this/that/these/those)</t>
        </is>
      </c>
      <c r="E77" s="33" t="inlineStr">
        <is>
          <t>Demonstratives: this — these (ед. и мн. ч.)</t>
        </is>
      </c>
      <c r="F77" s="11" t="inlineStr">
        <is>
          <t>3 кл. · М4 · новое</t>
        </is>
      </c>
      <c r="G77" s="11" t="n">
        <v>1</v>
      </c>
      <c r="H77" s="11">
        <f>'Темы × классы'!P402</f>
        <v/>
      </c>
      <c r="I77" s="11">
        <f>'Темы × классы'!Q402&amp;""</f>
        <v/>
      </c>
      <c r="J77" s="11" t="inlineStr">
        <is>
          <t>не начат</t>
        </is>
      </c>
      <c r="K77" s="11" t="inlineStr"/>
    </row>
    <row r="78">
      <c r="A78" s="31" t="inlineStr">
        <is>
          <t>Мл-077</t>
        </is>
      </c>
      <c r="B78" s="32" t="inlineStr">
        <is>
          <t>7–9</t>
        </is>
      </c>
      <c r="C78" s="11" t="inlineStr">
        <is>
          <t>Грамматика</t>
        </is>
      </c>
      <c r="D78" s="11" t="inlineStr">
        <is>
          <t>Demonstratives (this/that/these/those)</t>
        </is>
      </c>
      <c r="E78" s="33" t="inlineStr">
        <is>
          <t>Demonstratives: that — those (ед. и мн. ч.)</t>
        </is>
      </c>
      <c r="F78" s="11" t="inlineStr">
        <is>
          <t>3 кл. · М4 · новое</t>
        </is>
      </c>
      <c r="G78" s="11" t="n">
        <v>1</v>
      </c>
      <c r="H78" s="11">
        <f>'Темы × классы'!P403</f>
        <v/>
      </c>
      <c r="I78" s="11">
        <f>'Темы × классы'!Q403&amp;""</f>
        <v/>
      </c>
      <c r="J78" s="11" t="inlineStr">
        <is>
          <t>не начат</t>
        </is>
      </c>
      <c r="K78" s="11" t="inlineStr"/>
    </row>
    <row r="79">
      <c r="A79" s="31" t="inlineStr">
        <is>
          <t>Мл-078</t>
        </is>
      </c>
      <c r="B79" s="32" t="inlineStr">
        <is>
          <t>7–9</t>
        </is>
      </c>
      <c r="C79" s="11" t="inlineStr">
        <is>
          <t>Грамматика</t>
        </is>
      </c>
      <c r="D79" s="11" t="inlineStr">
        <is>
          <t>Demonstratives (this/that/these/those)</t>
        </is>
      </c>
      <c r="E79" s="33" t="inlineStr">
        <is>
          <t>Demonstratives: this/these vs that/those — близко vs далеко</t>
        </is>
      </c>
      <c r="F79" s="11" t="inlineStr">
        <is>
          <t>3 кл. · М4 · новое</t>
        </is>
      </c>
      <c r="G79" s="11" t="n">
        <v>1</v>
      </c>
      <c r="H79" s="11">
        <f>'Темы × классы'!P404</f>
        <v/>
      </c>
      <c r="I79" s="11">
        <f>'Темы × классы'!Q404&amp;""</f>
        <v/>
      </c>
      <c r="J79" s="11" t="inlineStr">
        <is>
          <t>не начат</t>
        </is>
      </c>
      <c r="K79" s="11" t="inlineStr"/>
    </row>
    <row r="80">
      <c r="A80" s="31" t="inlineStr">
        <is>
          <t>Мл-079</t>
        </is>
      </c>
      <c r="B80" s="32" t="inlineStr">
        <is>
          <t>7–9</t>
        </is>
      </c>
      <c r="C80" s="11" t="inlineStr">
        <is>
          <t>Грамматика</t>
        </is>
      </c>
      <c r="D80" s="11" t="inlineStr">
        <is>
          <t>Possessive adjectives</t>
        </is>
      </c>
      <c r="E80" s="33" t="inlineStr">
        <is>
          <t>Possessive adjectives: формы my, your, his, her, its, our, their</t>
        </is>
      </c>
      <c r="F80" s="11" t="inlineStr">
        <is>
          <t>3 кл. · М2 · новое</t>
        </is>
      </c>
      <c r="G80" s="11" t="n">
        <v>1</v>
      </c>
      <c r="H80" s="11">
        <f>'Темы × классы'!P405</f>
        <v/>
      </c>
      <c r="I80" s="11">
        <f>'Темы × классы'!Q405&amp;""</f>
        <v/>
      </c>
      <c r="J80" s="11" t="inlineStr">
        <is>
          <t>не начат</t>
        </is>
      </c>
      <c r="K80" s="11" t="inlineStr"/>
    </row>
    <row r="81">
      <c r="A81" s="31" t="inlineStr">
        <is>
          <t>Мл-080</t>
        </is>
      </c>
      <c r="B81" s="32" t="inlineStr">
        <is>
          <t>7–9</t>
        </is>
      </c>
      <c r="C81" s="11" t="inlineStr">
        <is>
          <t>Грамматика</t>
        </is>
      </c>
      <c r="D81" s="11" t="inlineStr">
        <is>
          <t>Possessive adjectives</t>
        </is>
      </c>
      <c r="E81" s="33" t="inlineStr">
        <is>
          <t>Possessive adjectives: значение — принадлежность и отношения между людьми</t>
        </is>
      </c>
      <c r="F81" s="11" t="inlineStr">
        <is>
          <t>3 кл. · М2 · новое</t>
        </is>
      </c>
      <c r="G81" s="11" t="n">
        <v>1</v>
      </c>
      <c r="H81" s="11">
        <f>'Темы × классы'!P406</f>
        <v/>
      </c>
      <c r="I81" s="11">
        <f>'Темы × классы'!Q406&amp;""</f>
        <v/>
      </c>
      <c r="J81" s="11" t="inlineStr">
        <is>
          <t>не начат</t>
        </is>
      </c>
      <c r="K81" s="11" t="inlineStr"/>
    </row>
    <row r="82">
      <c r="A82" s="31" t="inlineStr">
        <is>
          <t>Мл-081</t>
        </is>
      </c>
      <c r="B82" s="32" t="inlineStr">
        <is>
          <t>7–9</t>
        </is>
      </c>
      <c r="C82" s="11" t="inlineStr">
        <is>
          <t>Грамматика</t>
        </is>
      </c>
      <c r="D82" s="11" t="inlineStr">
        <is>
          <t>Adverbs of frequency</t>
        </is>
      </c>
      <c r="E82" s="33" t="inlineStr">
        <is>
          <t>Adverbs of frequency: значение — never, sometimes, usually, often, always</t>
        </is>
      </c>
      <c r="F82" s="11" t="inlineStr">
        <is>
          <t>4 кл. · М2 · новое</t>
        </is>
      </c>
      <c r="G82" s="11" t="n">
        <v>1</v>
      </c>
      <c r="H82" s="11">
        <f>'Темы × классы'!P445</f>
        <v/>
      </c>
      <c r="I82" s="11">
        <f>'Темы × классы'!Q445&amp;""</f>
        <v/>
      </c>
      <c r="J82" s="11" t="inlineStr">
        <is>
          <t>не начат</t>
        </is>
      </c>
      <c r="K82" s="11" t="inlineStr"/>
    </row>
    <row r="83">
      <c r="A83" s="31" t="inlineStr">
        <is>
          <t>Мл-082</t>
        </is>
      </c>
      <c r="B83" s="32" t="inlineStr">
        <is>
          <t>7–9</t>
        </is>
      </c>
      <c r="C83" s="11" t="inlineStr">
        <is>
          <t>Грамматика</t>
        </is>
      </c>
      <c r="D83" s="11" t="inlineStr">
        <is>
          <t>Adverbs of frequency</t>
        </is>
      </c>
      <c r="E83" s="33" t="inlineStr">
        <is>
          <t>Adverbs of frequency: место — перед смысловым глаголом, после be</t>
        </is>
      </c>
      <c r="F83" s="11" t="inlineStr">
        <is>
          <t>4 кл. · М2 · новое</t>
        </is>
      </c>
      <c r="G83" s="11" t="n">
        <v>1</v>
      </c>
      <c r="H83" s="11">
        <f>'Темы × классы'!P446</f>
        <v/>
      </c>
      <c r="I83" s="11">
        <f>'Темы × классы'!Q446&amp;""</f>
        <v/>
      </c>
      <c r="J83" s="11" t="inlineStr">
        <is>
          <t>не начат</t>
        </is>
      </c>
      <c r="K83" s="11" t="inlineStr"/>
    </row>
    <row r="84">
      <c r="A84" s="31" t="inlineStr">
        <is>
          <t>Мл-083</t>
        </is>
      </c>
      <c r="B84" s="32" t="inlineStr">
        <is>
          <t>7–9</t>
        </is>
      </c>
      <c r="C84" s="11" t="inlineStr">
        <is>
          <t>Грамматика</t>
        </is>
      </c>
      <c r="D84" s="11" t="inlineStr">
        <is>
          <t>Comparatives &amp; Superlatives</t>
        </is>
      </c>
      <c r="E84" s="33" t="inlineStr">
        <is>
          <t>Comparatives &amp; Superlatives: сравнительная степень — -er + than</t>
        </is>
      </c>
      <c r="F84" s="11" t="inlineStr">
        <is>
          <t>4 кл. · М4 · новое</t>
        </is>
      </c>
      <c r="G84" s="11" t="n">
        <v>1</v>
      </c>
      <c r="H84" s="11">
        <f>'Темы × классы'!P450</f>
        <v/>
      </c>
      <c r="I84" s="11">
        <f>'Темы × классы'!Q450&amp;""</f>
        <v/>
      </c>
      <c r="J84" s="11" t="inlineStr">
        <is>
          <t>не начат</t>
        </is>
      </c>
      <c r="K84" s="11" t="inlineStr"/>
    </row>
    <row r="85">
      <c r="A85" s="31" t="inlineStr">
        <is>
          <t>Мл-084</t>
        </is>
      </c>
      <c r="B85" s="32" t="inlineStr">
        <is>
          <t>7–9</t>
        </is>
      </c>
      <c r="C85" s="11" t="inlineStr">
        <is>
          <t>Грамматика</t>
        </is>
      </c>
      <c r="D85" s="11" t="inlineStr">
        <is>
          <t>Comparatives &amp; Superlatives</t>
        </is>
      </c>
      <c r="E85" s="33" t="inlineStr">
        <is>
          <t>Comparatives &amp; Superlatives: сравнительная степень — more (многосложные)</t>
        </is>
      </c>
      <c r="F85" s="11" t="inlineStr">
        <is>
          <t>4 кл. · М4 · новое</t>
        </is>
      </c>
      <c r="G85" s="11" t="n">
        <v>1</v>
      </c>
      <c r="H85" s="11">
        <f>'Темы × классы'!P451</f>
        <v/>
      </c>
      <c r="I85" s="11">
        <f>'Темы × классы'!Q451&amp;""</f>
        <v/>
      </c>
      <c r="J85" s="11" t="inlineStr">
        <is>
          <t>не начат</t>
        </is>
      </c>
      <c r="K85" s="11" t="inlineStr"/>
    </row>
    <row r="86">
      <c r="A86" s="31" t="inlineStr">
        <is>
          <t>Мл-085</t>
        </is>
      </c>
      <c r="B86" s="32" t="inlineStr">
        <is>
          <t>7–9</t>
        </is>
      </c>
      <c r="C86" s="11" t="inlineStr">
        <is>
          <t>Грамматика</t>
        </is>
      </c>
      <c r="D86" s="11" t="inlineStr">
        <is>
          <t>Comparatives &amp; Superlatives</t>
        </is>
      </c>
      <c r="E86" s="33" t="inlineStr">
        <is>
          <t>Comparatives &amp; Superlatives: орфография -er/-est (удвоение, -e, y → i)</t>
        </is>
      </c>
      <c r="F86" s="11" t="inlineStr">
        <is>
          <t>4 кл. · М4 · новое
4 кл. · М7 · расш.</t>
        </is>
      </c>
      <c r="G86" s="11" t="n">
        <v>2</v>
      </c>
      <c r="H86" s="11">
        <f>'Темы × классы'!P452</f>
        <v/>
      </c>
      <c r="I86" s="11">
        <f>'Темы × классы'!Q452&amp;""</f>
        <v/>
      </c>
      <c r="J86" s="11" t="inlineStr">
        <is>
          <t>не начат</t>
        </is>
      </c>
      <c r="K86" s="11" t="inlineStr"/>
    </row>
    <row r="87">
      <c r="A87" s="31" t="inlineStr">
        <is>
          <t>Мл-086</t>
        </is>
      </c>
      <c r="B87" s="32" t="inlineStr">
        <is>
          <t>7–9</t>
        </is>
      </c>
      <c r="C87" s="11" t="inlineStr">
        <is>
          <t>Грамматика</t>
        </is>
      </c>
      <c r="D87" s="11" t="inlineStr">
        <is>
          <t>Comparatives &amp; Superlatives</t>
        </is>
      </c>
      <c r="E87" s="34" t="inlineStr">
        <is>
          <t>Comparatives &amp; Superlatives: превосходная степень — the -est + of/in</t>
        </is>
      </c>
      <c r="F87" s="11" t="inlineStr">
        <is>
          <t>4 кл. · М7 · новое</t>
        </is>
      </c>
      <c r="G87" s="11" t="n">
        <v>1</v>
      </c>
      <c r="H87" s="11">
        <f>'Темы × классы'!P453</f>
        <v/>
      </c>
      <c r="I87" s="11">
        <f>'Темы × классы'!Q453&amp;""</f>
        <v/>
      </c>
      <c r="J87" s="11" t="inlineStr">
        <is>
          <t>не начат</t>
        </is>
      </c>
      <c r="K87" s="11" t="inlineStr"/>
    </row>
    <row r="88">
      <c r="A88" s="31" t="inlineStr">
        <is>
          <t>Мл-087</t>
        </is>
      </c>
      <c r="B88" s="32" t="inlineStr">
        <is>
          <t>7–9</t>
        </is>
      </c>
      <c r="C88" s="11" t="inlineStr">
        <is>
          <t>Грамматика</t>
        </is>
      </c>
      <c r="D88" s="11" t="inlineStr">
        <is>
          <t>Comparatives &amp; Superlatives</t>
        </is>
      </c>
      <c r="E88" s="35" t="inlineStr">
        <is>
          <t>Comparatives &amp; Superlatives: превосходная степень — the most</t>
        </is>
      </c>
      <c r="F88" s="11" t="inlineStr">
        <is>
          <t>4 кл. · М7 · новое</t>
        </is>
      </c>
      <c r="G88" s="11" t="n">
        <v>1</v>
      </c>
      <c r="H88" s="11">
        <f>'Темы × классы'!P454</f>
        <v/>
      </c>
      <c r="I88" s="11">
        <f>'Темы × классы'!Q454&amp;""</f>
        <v/>
      </c>
      <c r="J88" s="11" t="inlineStr">
        <is>
          <t>не начат</t>
        </is>
      </c>
      <c r="K88" s="11" t="inlineStr"/>
    </row>
    <row r="89">
      <c r="A89" s="31" t="inlineStr">
        <is>
          <t>Мл-088</t>
        </is>
      </c>
      <c r="B89" s="32" t="inlineStr">
        <is>
          <t>7–9</t>
        </is>
      </c>
      <c r="C89" s="11" t="inlineStr">
        <is>
          <t>Грамматика</t>
        </is>
      </c>
      <c r="D89" s="11" t="inlineStr">
        <is>
          <t>Comparatives &amp; Superlatives</t>
        </is>
      </c>
      <c r="E89" s="33" t="inlineStr">
        <is>
          <t>Comparatives &amp; Superlatives: неправильные прилагательные (good, bad, many/much, little)</t>
        </is>
      </c>
      <c r="F89" s="11" t="inlineStr">
        <is>
          <t>4 кл. · М7 · новое</t>
        </is>
      </c>
      <c r="G89" s="11" t="n">
        <v>1</v>
      </c>
      <c r="H89" s="11">
        <f>'Темы × классы'!P455</f>
        <v/>
      </c>
      <c r="I89" s="11">
        <f>'Темы × классы'!Q455&amp;""</f>
        <v/>
      </c>
      <c r="J89" s="11" t="inlineStr">
        <is>
          <t>не начат</t>
        </is>
      </c>
      <c r="K89" s="11" t="inlineStr"/>
    </row>
    <row r="90">
      <c r="A90" s="31" t="inlineStr">
        <is>
          <t>Мл-089</t>
        </is>
      </c>
      <c r="B90" s="32" t="inlineStr">
        <is>
          <t>7–9</t>
        </is>
      </c>
      <c r="C90" s="11" t="inlineStr">
        <is>
          <t>Грамматика</t>
        </is>
      </c>
      <c r="D90" s="11" t="inlineStr">
        <is>
          <t>Comparatives &amp; Superlatives</t>
        </is>
      </c>
      <c r="E90" s="35" t="inlineStr">
        <is>
          <t>Comparatives &amp; Superlatives: двусложные на -y/-er/-ow — -er/-est</t>
        </is>
      </c>
      <c r="F90" s="11" t="inlineStr">
        <is>
          <t>4 кл. · М4 · новое
4 кл. · М7 · повт.</t>
        </is>
      </c>
      <c r="G90" s="11" t="n">
        <v>2</v>
      </c>
      <c r="H90" s="11">
        <f>'Темы × классы'!P456</f>
        <v/>
      </c>
      <c r="I90" s="11">
        <f>'Темы × классы'!Q456&amp;""</f>
        <v/>
      </c>
      <c r="J90" s="11" t="inlineStr">
        <is>
          <t>не начат</t>
        </is>
      </c>
      <c r="K90" s="11" t="inlineStr"/>
    </row>
    <row r="91">
      <c r="A91" s="31" t="inlineStr">
        <is>
          <t>Мл-090</t>
        </is>
      </c>
      <c r="B91" s="32" t="inlineStr">
        <is>
          <t>7–9</t>
        </is>
      </c>
      <c r="C91" s="11" t="inlineStr">
        <is>
          <t>Грамматика</t>
        </is>
      </c>
      <c r="D91" s="11" t="inlineStr">
        <is>
          <t>Ordinal numbers</t>
        </is>
      </c>
      <c r="E91" s="33" t="inlineStr">
        <is>
          <t>Ordinal numbers: first, second, third и составные (21st, 22nd)</t>
        </is>
      </c>
      <c r="F91" s="11" t="inlineStr">
        <is>
          <t>4 кл. · М5 · новое</t>
        </is>
      </c>
      <c r="G91" s="11" t="n">
        <v>1</v>
      </c>
      <c r="H91" s="11">
        <f>'Темы × классы'!P489</f>
        <v/>
      </c>
      <c r="I91" s="11">
        <f>'Темы × классы'!Q489&amp;""</f>
        <v/>
      </c>
      <c r="J91" s="11" t="inlineStr">
        <is>
          <t>не начат</t>
        </is>
      </c>
      <c r="K91" s="11" t="inlineStr"/>
    </row>
    <row r="92">
      <c r="A92" s="31" t="inlineStr">
        <is>
          <t>Мл-091</t>
        </is>
      </c>
      <c r="B92" s="32" t="inlineStr">
        <is>
          <t>7–9</t>
        </is>
      </c>
      <c r="C92" s="11" t="inlineStr">
        <is>
          <t>Грамматика</t>
        </is>
      </c>
      <c r="D92" s="11" t="inlineStr">
        <is>
          <t>Ordinal numbers</t>
        </is>
      </c>
      <c r="E92" s="33" t="inlineStr">
        <is>
          <t>Ordinal numbers: образование с -th и орфография (fifth, ninth, twelfth, twentieth)</t>
        </is>
      </c>
      <c r="F92" s="11" t="inlineStr">
        <is>
          <t>4 кл. · М5 · новое</t>
        </is>
      </c>
      <c r="G92" s="11" t="n">
        <v>1</v>
      </c>
      <c r="H92" s="11">
        <f>'Темы × классы'!P490</f>
        <v/>
      </c>
      <c r="I92" s="11">
        <f>'Темы × классы'!Q490&amp;""</f>
        <v/>
      </c>
      <c r="J92" s="11" t="inlineStr">
        <is>
          <t>не начат</t>
        </is>
      </c>
      <c r="K92" s="11" t="inlineStr"/>
    </row>
    <row r="93">
      <c r="A93" s="31" t="inlineStr">
        <is>
          <t>Мл-092</t>
        </is>
      </c>
      <c r="B93" s="32" t="inlineStr">
        <is>
          <t>7–9</t>
        </is>
      </c>
      <c r="C93" s="11" t="inlineStr">
        <is>
          <t>Грамматика</t>
        </is>
      </c>
      <c r="D93" s="11" t="inlineStr">
        <is>
          <t>Ordinal numbers</t>
        </is>
      </c>
      <c r="E93" s="35" t="inlineStr">
        <is>
          <t>Ordinal numbers: с артиклем the и даты</t>
        </is>
      </c>
      <c r="F93" s="11" t="inlineStr">
        <is>
          <t>4 кл. · М5 · новое</t>
        </is>
      </c>
      <c r="G93" s="11" t="n">
        <v>1</v>
      </c>
      <c r="H93" s="11">
        <f>'Темы × классы'!P491</f>
        <v/>
      </c>
      <c r="I93" s="11">
        <f>'Темы × классы'!Q491&amp;""</f>
        <v/>
      </c>
      <c r="J93" s="11" t="inlineStr">
        <is>
          <t>не начат</t>
        </is>
      </c>
      <c r="K93" s="11" t="inlineStr"/>
    </row>
    <row r="94">
      <c r="A94" s="31" t="inlineStr">
        <is>
          <t>Мл-093</t>
        </is>
      </c>
      <c r="B94" s="32" t="inlineStr">
        <is>
          <t>7–9</t>
        </is>
      </c>
      <c r="C94" s="11" t="inlineStr">
        <is>
          <t>Грамматика</t>
        </is>
      </c>
      <c r="D94" s="11" t="inlineStr">
        <is>
          <t>Prepositions of place</t>
        </is>
      </c>
      <c r="E94" s="33" t="inlineStr">
        <is>
          <t>Prepositions of place: in, on, under</t>
        </is>
      </c>
      <c r="F94" s="11" t="inlineStr">
        <is>
          <t>3 кл. · М6 · новое
4 кл. · М1 · повт.</t>
        </is>
      </c>
      <c r="G94" s="11" t="n">
        <v>2</v>
      </c>
      <c r="H94" s="11">
        <f>'Темы × классы'!P492</f>
        <v/>
      </c>
      <c r="I94" s="11">
        <f>'Темы × классы'!Q492&amp;""</f>
        <v/>
      </c>
      <c r="J94" s="11" t="inlineStr">
        <is>
          <t>не начат</t>
        </is>
      </c>
      <c r="K94" s="11" t="inlineStr"/>
    </row>
    <row r="95">
      <c r="A95" s="31" t="inlineStr">
        <is>
          <t>Мл-094</t>
        </is>
      </c>
      <c r="B95" s="32" t="inlineStr">
        <is>
          <t>7–9</t>
        </is>
      </c>
      <c r="C95" s="11" t="inlineStr">
        <is>
          <t>Грамматика</t>
        </is>
      </c>
      <c r="D95" s="11" t="inlineStr">
        <is>
          <t>Prepositions of place</t>
        </is>
      </c>
      <c r="E95" s="33" t="inlineStr">
        <is>
          <t>Prepositions of place: next to, in front of, behind</t>
        </is>
      </c>
      <c r="F95" s="11" t="inlineStr">
        <is>
          <t>3 кл. · М6 · новое
4 кл. · М1 · повт.</t>
        </is>
      </c>
      <c r="G95" s="11" t="n">
        <v>2</v>
      </c>
      <c r="H95" s="11">
        <f>'Темы × классы'!P493</f>
        <v/>
      </c>
      <c r="I95" s="11">
        <f>'Темы × классы'!Q493&amp;""</f>
        <v/>
      </c>
      <c r="J95" s="11" t="inlineStr">
        <is>
          <t>не начат</t>
        </is>
      </c>
      <c r="K95" s="11" t="inlineStr"/>
    </row>
    <row r="96">
      <c r="A96" s="31" t="inlineStr">
        <is>
          <t>Мл-095</t>
        </is>
      </c>
      <c r="B96" s="32" t="inlineStr">
        <is>
          <t>7–9</t>
        </is>
      </c>
      <c r="C96" s="11" t="inlineStr">
        <is>
          <t>Грамматика</t>
        </is>
      </c>
      <c r="D96" s="11" t="inlineStr">
        <is>
          <t>Prepositions of place</t>
        </is>
      </c>
      <c r="E96" s="35" t="inlineStr">
        <is>
          <t>Prepositions of place: opposite, between</t>
        </is>
      </c>
      <c r="F96" s="11" t="inlineStr">
        <is>
          <t>4 кл. · М1 · новое</t>
        </is>
      </c>
      <c r="G96" s="11" t="n">
        <v>1</v>
      </c>
      <c r="H96" s="11">
        <f>'Темы × классы'!P494</f>
        <v/>
      </c>
      <c r="I96" s="11">
        <f>'Темы × классы'!Q494&amp;""</f>
        <v/>
      </c>
      <c r="J96" s="11" t="inlineStr">
        <is>
          <t>не начат</t>
        </is>
      </c>
      <c r="K96" s="11" t="inlineStr"/>
    </row>
    <row r="97">
      <c r="A97" s="31" t="inlineStr">
        <is>
          <t>Мл-096</t>
        </is>
      </c>
      <c r="B97" s="32" t="inlineStr">
        <is>
          <t>7–9</t>
        </is>
      </c>
      <c r="C97" s="11" t="inlineStr">
        <is>
          <t>Грамматика</t>
        </is>
      </c>
      <c r="D97" s="11" t="inlineStr">
        <is>
          <t>Prepositions of time</t>
        </is>
      </c>
      <c r="E97" s="33" t="inlineStr">
        <is>
          <t>Prepositions of time: at — время, праздники, at night/at noon/at the weekend</t>
        </is>
      </c>
      <c r="F97" s="11" t="inlineStr">
        <is>
          <t>3 кл. · М8 · новое</t>
        </is>
      </c>
      <c r="G97" s="11" t="n">
        <v>1</v>
      </c>
      <c r="H97" s="11">
        <f>'Темы × классы'!P500</f>
        <v/>
      </c>
      <c r="I97" s="11">
        <f>'Темы × классы'!Q500&amp;""</f>
        <v/>
      </c>
      <c r="J97" s="11" t="inlineStr">
        <is>
          <t>не начат</t>
        </is>
      </c>
      <c r="K97" s="11" t="inlineStr"/>
    </row>
    <row r="98">
      <c r="A98" s="31" t="inlineStr">
        <is>
          <t>Мл-097</t>
        </is>
      </c>
      <c r="B98" s="32" t="inlineStr">
        <is>
          <t>7–9</t>
        </is>
      </c>
      <c r="C98" s="11" t="inlineStr">
        <is>
          <t>Грамматика</t>
        </is>
      </c>
      <c r="D98" s="11" t="inlineStr">
        <is>
          <t>Prepositions of time</t>
        </is>
      </c>
      <c r="E98" s="33" t="inlineStr">
        <is>
          <t>Prepositions of time: on — дни недели и праздничные дни</t>
        </is>
      </c>
      <c r="F98" s="11" t="inlineStr">
        <is>
          <t>3 кл. · М8 · новое</t>
        </is>
      </c>
      <c r="G98" s="11" t="n">
        <v>1</v>
      </c>
      <c r="H98" s="11">
        <f>'Темы × классы'!P501</f>
        <v/>
      </c>
      <c r="I98" s="11">
        <f>'Темы × классы'!Q501&amp;""</f>
        <v/>
      </c>
      <c r="J98" s="11" t="inlineStr">
        <is>
          <t>не начат</t>
        </is>
      </c>
      <c r="K98" s="11" t="inlineStr"/>
    </row>
    <row r="99">
      <c r="A99" s="31" t="inlineStr">
        <is>
          <t>Мл-098</t>
        </is>
      </c>
      <c r="B99" s="32" t="inlineStr">
        <is>
          <t>7–9</t>
        </is>
      </c>
      <c r="C99" s="11" t="inlineStr">
        <is>
          <t>Грамматика</t>
        </is>
      </c>
      <c r="D99" s="11" t="inlineStr">
        <is>
          <t>Prepositions of time</t>
        </is>
      </c>
      <c r="E99" s="33" t="inlineStr">
        <is>
          <t>Prepositions of time: in — части суток (in the morning/afternoon/evening)</t>
        </is>
      </c>
      <c r="F99" s="11" t="inlineStr">
        <is>
          <t>3 кл. · М8 · новое</t>
        </is>
      </c>
      <c r="G99" s="11" t="n">
        <v>1</v>
      </c>
      <c r="H99" s="11">
        <f>'Темы × классы'!P503</f>
        <v/>
      </c>
      <c r="I99" s="11">
        <f>'Темы × классы'!Q503&amp;""</f>
        <v/>
      </c>
      <c r="J99" s="11" t="inlineStr">
        <is>
          <t>не начат</t>
        </is>
      </c>
      <c r="K99" s="11" t="inlineStr"/>
    </row>
    <row r="100">
      <c r="A100" s="31" t="inlineStr">
        <is>
          <t>Мл-099</t>
        </is>
      </c>
      <c r="B100" s="32" t="inlineStr">
        <is>
          <t>7–9</t>
        </is>
      </c>
      <c r="C100" s="11" t="inlineStr">
        <is>
          <t>Грамматика</t>
        </is>
      </c>
      <c r="D100" s="11" t="inlineStr">
        <is>
          <t>Question words</t>
        </is>
      </c>
      <c r="E100" s="33" t="inlineStr">
        <is>
          <t>Question words: Whose? — чья вещь</t>
        </is>
      </c>
      <c r="F100" s="11" t="inlineStr">
        <is>
          <t>3 кл. · М4 · новое</t>
        </is>
      </c>
      <c r="G100" s="11" t="n">
        <v>1</v>
      </c>
      <c r="H100" s="11">
        <f>'Темы × классы'!P509</f>
        <v/>
      </c>
      <c r="I100" s="11">
        <f>'Темы × классы'!Q509&amp;""</f>
        <v/>
      </c>
      <c r="J100" s="11" t="inlineStr">
        <is>
          <t>не начат</t>
        </is>
      </c>
      <c r="K100" s="11" t="inlineStr"/>
    </row>
    <row r="101">
      <c r="A101" s="31" t="inlineStr">
        <is>
          <t>Мл-100</t>
        </is>
      </c>
      <c r="B101" s="32" t="inlineStr">
        <is>
          <t>7–9</t>
        </is>
      </c>
      <c r="C101" s="11" t="inlineStr">
        <is>
          <t>Грамматика</t>
        </is>
      </c>
      <c r="D101" s="11" t="inlineStr">
        <is>
          <t>Question words</t>
        </is>
      </c>
      <c r="E101" s="33" t="inlineStr">
        <is>
          <t>Question words: How much? / How many?</t>
        </is>
      </c>
      <c r="F101" s="11" t="inlineStr">
        <is>
          <t>4 кл. · М3 · новое</t>
        </is>
      </c>
      <c r="G101" s="11" t="n">
        <v>1</v>
      </c>
      <c r="H101" s="11">
        <f>'Темы × классы'!P510</f>
        <v/>
      </c>
      <c r="I101" s="11">
        <f>'Темы × классы'!Q510&amp;""</f>
        <v/>
      </c>
      <c r="J101" s="11" t="inlineStr">
        <is>
          <t>не начат</t>
        </is>
      </c>
      <c r="K101" s="11" t="inlineStr"/>
    </row>
    <row r="102">
      <c r="A102" s="31" t="inlineStr">
        <is>
          <t>Мл-101</t>
        </is>
      </c>
      <c r="B102" s="32" t="inlineStr">
        <is>
          <t>7–9</t>
        </is>
      </c>
      <c r="C102" s="11" t="inlineStr">
        <is>
          <t>Грамматика</t>
        </is>
      </c>
      <c r="D102" s="11" t="inlineStr">
        <is>
          <t>Question words</t>
        </is>
      </c>
      <c r="E102" s="33" t="inlineStr">
        <is>
          <t>Question words: who / what / where / when / why / how</t>
        </is>
      </c>
      <c r="F102" s="11" t="inlineStr">
        <is>
          <t>4 кл. · М8 · новое</t>
        </is>
      </c>
      <c r="G102" s="11" t="n">
        <v>1</v>
      </c>
      <c r="H102" s="11">
        <f>'Темы × классы'!P511</f>
        <v/>
      </c>
      <c r="I102" s="11">
        <f>'Темы × классы'!Q511&amp;""</f>
        <v/>
      </c>
      <c r="J102" s="11" t="inlineStr">
        <is>
          <t>не начат</t>
        </is>
      </c>
      <c r="K102" s="11" t="inlineStr"/>
    </row>
    <row r="103">
      <c r="A103" s="31" t="inlineStr">
        <is>
          <t>Мл-102</t>
        </is>
      </c>
      <c r="B103" s="32" t="inlineStr">
        <is>
          <t>7–9</t>
        </is>
      </c>
      <c r="C103" s="11" t="inlineStr">
        <is>
          <t>Грамматика</t>
        </is>
      </c>
      <c r="D103" s="11" t="inlineStr">
        <is>
          <t>There is / There are</t>
        </is>
      </c>
      <c r="E103" s="33" t="inlineStr">
        <is>
          <t>There is / There are: there is — утверждение (ед. ч.)</t>
        </is>
      </c>
      <c r="F103" s="11" t="inlineStr">
        <is>
          <t>3 кл. · М6 · новое</t>
        </is>
      </c>
      <c r="G103" s="11" t="n">
        <v>1</v>
      </c>
      <c r="H103" s="11">
        <f>'Темы × классы'!P512</f>
        <v/>
      </c>
      <c r="I103" s="11">
        <f>'Темы × классы'!Q512&amp;""</f>
        <v/>
      </c>
      <c r="J103" s="11" t="inlineStr">
        <is>
          <t>не начат</t>
        </is>
      </c>
      <c r="K103" s="11" t="inlineStr"/>
    </row>
    <row r="104">
      <c r="A104" s="31" t="inlineStr">
        <is>
          <t>Мл-103</t>
        </is>
      </c>
      <c r="B104" s="32" t="inlineStr">
        <is>
          <t>7–9</t>
        </is>
      </c>
      <c r="C104" s="11" t="inlineStr">
        <is>
          <t>Грамматика</t>
        </is>
      </c>
      <c r="D104" s="11" t="inlineStr">
        <is>
          <t>There is / There are</t>
        </is>
      </c>
      <c r="E104" s="33" t="inlineStr">
        <is>
          <t>There is / There are: there are — утверждение (мн. ч.)</t>
        </is>
      </c>
      <c r="F104" s="11" t="inlineStr">
        <is>
          <t>3 кл. · М6 · новое</t>
        </is>
      </c>
      <c r="G104" s="11" t="n">
        <v>1</v>
      </c>
      <c r="H104" s="11">
        <f>'Темы × классы'!P513</f>
        <v/>
      </c>
      <c r="I104" s="11">
        <f>'Темы × классы'!Q513&amp;""</f>
        <v/>
      </c>
      <c r="J104" s="11" t="inlineStr">
        <is>
          <t>не начат</t>
        </is>
      </c>
      <c r="K104" s="11" t="inlineStr"/>
    </row>
    <row r="105">
      <c r="A105" s="31" t="inlineStr">
        <is>
          <t>Мл-104</t>
        </is>
      </c>
      <c r="B105" s="32" t="inlineStr">
        <is>
          <t>7–9</t>
        </is>
      </c>
      <c r="C105" s="11" t="inlineStr">
        <is>
          <t>Грамматика</t>
        </is>
      </c>
      <c r="D105" s="11" t="inlineStr">
        <is>
          <t>There is / There are</t>
        </is>
      </c>
      <c r="E105" s="33" t="inlineStr">
        <is>
          <t>There is / There are: отрицание — there isn't / there aren't</t>
        </is>
      </c>
      <c r="F105" s="11" t="inlineStr">
        <is>
          <t>3 кл. · М6 · новое</t>
        </is>
      </c>
      <c r="G105" s="11" t="n">
        <v>1</v>
      </c>
      <c r="H105" s="11">
        <f>'Темы × классы'!P514</f>
        <v/>
      </c>
      <c r="I105" s="11">
        <f>'Темы × классы'!Q514&amp;""</f>
        <v/>
      </c>
      <c r="J105" s="11" t="inlineStr">
        <is>
          <t>не начат</t>
        </is>
      </c>
      <c r="K105" s="11" t="inlineStr"/>
    </row>
    <row r="106">
      <c r="A106" s="31" t="inlineStr">
        <is>
          <t>Мл-105</t>
        </is>
      </c>
      <c r="B106" s="32" t="inlineStr">
        <is>
          <t>7–9</t>
        </is>
      </c>
      <c r="C106" s="11" t="inlineStr">
        <is>
          <t>Грамматика</t>
        </is>
      </c>
      <c r="D106" s="11" t="inlineStr">
        <is>
          <t>There is / There are</t>
        </is>
      </c>
      <c r="E106" s="35" t="inlineStr">
        <is>
          <t>There is / There are: вопросы — Is there…? / Are there…?</t>
        </is>
      </c>
      <c r="F106" s="11" t="inlineStr">
        <is>
          <t>3 кл. · М6 · новое</t>
        </is>
      </c>
      <c r="G106" s="11" t="n">
        <v>1</v>
      </c>
      <c r="H106" s="11">
        <f>'Темы × классы'!P515</f>
        <v/>
      </c>
      <c r="I106" s="11">
        <f>'Темы × классы'!Q515&amp;""</f>
        <v/>
      </c>
      <c r="J106" s="11" t="inlineStr">
        <is>
          <t>не начат</t>
        </is>
      </c>
      <c r="K106" s="11" t="inlineStr"/>
    </row>
    <row r="107">
      <c r="A107" s="36" t="inlineStr">
        <is>
          <t>Ст-001</t>
        </is>
      </c>
      <c r="B107" s="37" t="inlineStr">
        <is>
          <t>10+</t>
        </is>
      </c>
      <c r="C107" s="11" t="inlineStr">
        <is>
          <t>Грамматика</t>
        </is>
      </c>
      <c r="D107" s="11" t="inlineStr">
        <is>
          <t>Past Simple</t>
        </is>
      </c>
      <c r="E107" s="33" t="inlineStr">
        <is>
          <t>Past Simple: правильные глаголы — утверждение (-ed)</t>
        </is>
      </c>
      <c r="F107" s="11" t="inlineStr">
        <is>
          <t>5 кл. · М9 (9b) · повт.
6 кл. · М7 (7a) · повт.
7 кл. · М2 · повт.
8 кл. · М1 (1c) · повт.
9 кл. · М3 (3c) · повт.
10 кл. · М5 (5c) · повт.
11 кл. · М1 (1c) · повт.</t>
        </is>
      </c>
      <c r="G107" s="11" t="n">
        <v>7</v>
      </c>
      <c r="H107" s="11">
        <f>'Темы × классы'!R2</f>
        <v/>
      </c>
      <c r="I107" s="11">
        <f>'Темы × классы'!S2&amp;""</f>
        <v/>
      </c>
      <c r="J107" s="11" t="inlineStr">
        <is>
          <t>не начат</t>
        </is>
      </c>
      <c r="K107" s="11" t="inlineStr"/>
    </row>
    <row r="108">
      <c r="A108" s="36" t="inlineStr">
        <is>
          <t>Ст-002</t>
        </is>
      </c>
      <c r="B108" s="37" t="inlineStr">
        <is>
          <t>10+</t>
        </is>
      </c>
      <c r="C108" s="11" t="inlineStr">
        <is>
          <t>Грамматика</t>
        </is>
      </c>
      <c r="D108" s="11" t="inlineStr">
        <is>
          <t>Past Simple</t>
        </is>
      </c>
      <c r="E108" s="35" t="inlineStr">
        <is>
          <t>Past Simple: правильные глаголы — отрицание (didn't + V)</t>
        </is>
      </c>
      <c r="F108" s="11" t="inlineStr">
        <is>
          <t>5 кл. · М9 (9b) · повт.
6 кл. · М7 (7a) · повт.
7 кл. · М2 · повт.
8 кл. · М1 (1c) · повт.</t>
        </is>
      </c>
      <c r="G108" s="11" t="n">
        <v>4</v>
      </c>
      <c r="H108" s="11">
        <f>'Темы × классы'!R3</f>
        <v/>
      </c>
      <c r="I108" s="11">
        <f>'Темы × классы'!S3&amp;""</f>
        <v/>
      </c>
      <c r="J108" s="11" t="inlineStr">
        <is>
          <t>не начат</t>
        </is>
      </c>
      <c r="K108" s="11" t="inlineStr"/>
    </row>
    <row r="109">
      <c r="A109" s="36" t="inlineStr">
        <is>
          <t>Ст-003</t>
        </is>
      </c>
      <c r="B109" s="37" t="inlineStr">
        <is>
          <t>10+</t>
        </is>
      </c>
      <c r="C109" s="11" t="inlineStr">
        <is>
          <t>Грамматика</t>
        </is>
      </c>
      <c r="D109" s="11" t="inlineStr">
        <is>
          <t>Past Simple</t>
        </is>
      </c>
      <c r="E109" s="35" t="inlineStr">
        <is>
          <t>Past Simple: правильные глаголы — вопросы (Did …?)</t>
        </is>
      </c>
      <c r="F109" s="11" t="inlineStr">
        <is>
          <t>5 кл. · М9 (9b) · повт.
6 кл. · М7 (7a) · повт.
7 кл. · М2 · повт.
8 кл. · М1 (1c) · повт.</t>
        </is>
      </c>
      <c r="G109" s="11" t="n">
        <v>4</v>
      </c>
      <c r="H109" s="11">
        <f>'Темы × классы'!R4</f>
        <v/>
      </c>
      <c r="I109" s="11">
        <f>'Темы × классы'!S4&amp;""</f>
        <v/>
      </c>
      <c r="J109" s="11" t="inlineStr">
        <is>
          <t>не начат</t>
        </is>
      </c>
      <c r="K109" s="11" t="inlineStr"/>
    </row>
    <row r="110">
      <c r="A110" s="36" t="inlineStr">
        <is>
          <t>Ст-004</t>
        </is>
      </c>
      <c r="B110" s="37" t="inlineStr">
        <is>
          <t>10+</t>
        </is>
      </c>
      <c r="C110" s="11" t="inlineStr">
        <is>
          <t>Грамматика</t>
        </is>
      </c>
      <c r="D110" s="11" t="inlineStr">
        <is>
          <t>Past Simple</t>
        </is>
      </c>
      <c r="E110" s="35" t="inlineStr">
        <is>
          <t>Past Simple: краткие ответы (Yes, I did / No, I didn't)</t>
        </is>
      </c>
      <c r="F110" s="11" t="inlineStr">
        <is>
          <t>5 кл. · М9 (9b, 9c) · повт.
6 кл. · М7 (7a, 7b) · повт.
7 кл. · М2 · повт.
8 кл. · М1 (1c) · повт.</t>
        </is>
      </c>
      <c r="G110" s="11" t="n">
        <v>4</v>
      </c>
      <c r="H110" s="11">
        <f>'Темы × классы'!R5</f>
        <v/>
      </c>
      <c r="I110" s="11">
        <f>'Темы × классы'!S5&amp;""</f>
        <v/>
      </c>
      <c r="J110" s="11" t="inlineStr">
        <is>
          <t>не начат</t>
        </is>
      </c>
      <c r="K110" s="11" t="inlineStr"/>
    </row>
    <row r="111">
      <c r="A111" s="36" t="inlineStr">
        <is>
          <t>Ст-005</t>
        </is>
      </c>
      <c r="B111" s="37" t="inlineStr">
        <is>
          <t>10+</t>
        </is>
      </c>
      <c r="C111" s="11" t="inlineStr">
        <is>
          <t>Грамматика</t>
        </is>
      </c>
      <c r="D111" s="11" t="inlineStr">
        <is>
          <t>Past Simple</t>
        </is>
      </c>
      <c r="E111" s="33" t="inlineStr">
        <is>
          <t>Past Simple: орфография -ed</t>
        </is>
      </c>
      <c r="F111" s="11" t="inlineStr">
        <is>
          <t>5 кл. · М9 (9b) · повт.
6 кл. · М7 (7a) · повт.
7 кл. · М2 · повт.
8 кл. · М1 (1c) · расш.
9 кл. · М3 (3c) · повт.
10 кл. · М5 (5c) · повт.
11 кл. · М1 (1c) · повт.</t>
        </is>
      </c>
      <c r="G111" s="11" t="n">
        <v>7</v>
      </c>
      <c r="H111" s="11">
        <f>'Темы × классы'!R6</f>
        <v/>
      </c>
      <c r="I111" s="11">
        <f>'Темы × классы'!S6&amp;""</f>
        <v/>
      </c>
      <c r="J111" s="11" t="inlineStr">
        <is>
          <t>не начат</t>
        </is>
      </c>
      <c r="K111" s="11" t="inlineStr"/>
    </row>
    <row r="112">
      <c r="A112" s="36" t="inlineStr">
        <is>
          <t>Ст-006</t>
        </is>
      </c>
      <c r="B112" s="37" t="inlineStr">
        <is>
          <t>10+</t>
        </is>
      </c>
      <c r="C112" s="11" t="inlineStr">
        <is>
          <t>Грамматика</t>
        </is>
      </c>
      <c r="D112" s="11" t="inlineStr">
        <is>
          <t>Past Simple</t>
        </is>
      </c>
      <c r="E112" s="33" t="inlineStr">
        <is>
          <t>Past Simple: неправильные глаголы — утверждение</t>
        </is>
      </c>
      <c r="F112" s="11" t="inlineStr">
        <is>
          <t>5 кл. · М9 (9c) · расш.
6 кл. · М7 (7b) · расш.
7 кл. · М2 · повт.
8 кл. · М1 (1c) · повт.
9 кл. · М3 (3c) · повт.
10 кл. · М5 (5c) · повт.
11 кл. · М1 (1c) · повт.</t>
        </is>
      </c>
      <c r="G112" s="11" t="n">
        <v>7</v>
      </c>
      <c r="H112" s="11">
        <f>'Темы × классы'!R8</f>
        <v/>
      </c>
      <c r="I112" s="11">
        <f>'Темы × классы'!S8&amp;""</f>
        <v/>
      </c>
      <c r="J112" s="11" t="inlineStr">
        <is>
          <t>не начат</t>
        </is>
      </c>
      <c r="K112" s="11" t="inlineStr"/>
    </row>
    <row r="113">
      <c r="A113" s="36" t="inlineStr">
        <is>
          <t>Ст-007</t>
        </is>
      </c>
      <c r="B113" s="37" t="inlineStr">
        <is>
          <t>10+</t>
        </is>
      </c>
      <c r="C113" s="11" t="inlineStr">
        <is>
          <t>Грамматика</t>
        </is>
      </c>
      <c r="D113" s="11" t="inlineStr">
        <is>
          <t>Past Simple</t>
        </is>
      </c>
      <c r="E113" s="35" t="inlineStr">
        <is>
          <t>Past Simple: неправильные глаголы — отрицание (didn't go)</t>
        </is>
      </c>
      <c r="F113" s="11" t="inlineStr">
        <is>
          <t>5 кл. · М9 (9c) · повт.
6 кл. · М7 (7b) · повт.
7 кл. · М2 · повт.</t>
        </is>
      </c>
      <c r="G113" s="11" t="n">
        <v>3</v>
      </c>
      <c r="H113" s="11">
        <f>'Темы × классы'!R9</f>
        <v/>
      </c>
      <c r="I113" s="11">
        <f>'Темы × классы'!S9&amp;""</f>
        <v/>
      </c>
      <c r="J113" s="11" t="inlineStr">
        <is>
          <t>не начат</t>
        </is>
      </c>
      <c r="K113" s="11" t="inlineStr"/>
    </row>
    <row r="114">
      <c r="A114" s="36" t="inlineStr">
        <is>
          <t>Ст-008</t>
        </is>
      </c>
      <c r="B114" s="37" t="inlineStr">
        <is>
          <t>10+</t>
        </is>
      </c>
      <c r="C114" s="11" t="inlineStr">
        <is>
          <t>Грамматика</t>
        </is>
      </c>
      <c r="D114" s="11" t="inlineStr">
        <is>
          <t>Past Simple</t>
        </is>
      </c>
      <c r="E114" s="35" t="inlineStr">
        <is>
          <t>Past Simple: неправильные глаголы — вопросы (Did … go?)</t>
        </is>
      </c>
      <c r="F114" s="11" t="inlineStr">
        <is>
          <t>5 кл. · М9 (9c) · повт.
6 кл. · М7 (7b) · повт.
7 кл. · М2 · повт.</t>
        </is>
      </c>
      <c r="G114" s="11" t="n">
        <v>3</v>
      </c>
      <c r="H114" s="11">
        <f>'Темы × классы'!R10</f>
        <v/>
      </c>
      <c r="I114" s="11">
        <f>'Темы × классы'!S10&amp;""</f>
        <v/>
      </c>
      <c r="J114" s="11" t="inlineStr">
        <is>
          <t>не начат</t>
        </is>
      </c>
      <c r="K114" s="11" t="inlineStr"/>
    </row>
    <row r="115">
      <c r="A115" s="36" t="inlineStr">
        <is>
          <t>Ст-009</t>
        </is>
      </c>
      <c r="B115" s="37" t="inlineStr">
        <is>
          <t>10+</t>
        </is>
      </c>
      <c r="C115" s="11" t="inlineStr">
        <is>
          <t>Грамматика</t>
        </is>
      </c>
      <c r="D115" s="11" t="inlineStr">
        <is>
          <t>Past Simple</t>
        </is>
      </c>
      <c r="E115" s="33" t="inlineStr">
        <is>
          <t>Past Simple: одна форма для всех лиц, исключение was/were</t>
        </is>
      </c>
      <c r="F115" s="11" t="inlineStr">
        <is>
          <t>8 кл. · М1 (1c) · новое
9 кл. · М3 (3c) · повт.
10 кл. · М5 (5c) · повт.
11 кл. · М1 (1c) · повт.</t>
        </is>
      </c>
      <c r="G115" s="11" t="n">
        <v>4</v>
      </c>
      <c r="H115" s="11">
        <f>'Темы × классы'!R11</f>
        <v/>
      </c>
      <c r="I115" s="11">
        <f>'Темы × классы'!S11&amp;""</f>
        <v/>
      </c>
      <c r="J115" s="11" t="inlineStr">
        <is>
          <t>не начат</t>
        </is>
      </c>
      <c r="K115" s="11" t="inlineStr"/>
    </row>
    <row r="116">
      <c r="A116" s="36" t="inlineStr">
        <is>
          <t>Ст-010</t>
        </is>
      </c>
      <c r="B116" s="37" t="inlineStr">
        <is>
          <t>10+</t>
        </is>
      </c>
      <c r="C116" s="11" t="inlineStr">
        <is>
          <t>Грамматика</t>
        </is>
      </c>
      <c r="D116" s="11" t="inlineStr">
        <is>
          <t>Past Simple</t>
        </is>
      </c>
      <c r="E116" s="33" t="inlineStr">
        <is>
          <t>Past Simple: значение — действие в прошлом (yesterday, ago)</t>
        </is>
      </c>
      <c r="F116" s="11" t="inlineStr">
        <is>
          <t>5 кл. · М9 (9b) · повт.
6 кл. · М7 (7a) · повт.
7 кл. · М2 · расш.
8 кл. · М1 (1c) · повт.
9 кл. · М3 (3c) · повт.
10 кл. · М5 (5c) · повт.
11 кл. · М1 (1c) · повт.</t>
        </is>
      </c>
      <c r="G116" s="11" t="n">
        <v>7</v>
      </c>
      <c r="H116" s="11">
        <f>'Темы × классы'!R12</f>
        <v/>
      </c>
      <c r="I116" s="11">
        <f>'Темы × классы'!S12&amp;""</f>
        <v/>
      </c>
      <c r="J116" s="11" t="inlineStr">
        <is>
          <t>не начат</t>
        </is>
      </c>
      <c r="K116" s="11" t="inlineStr"/>
    </row>
    <row r="117">
      <c r="A117" s="36" t="inlineStr">
        <is>
          <t>Ст-011</t>
        </is>
      </c>
      <c r="B117" s="37" t="inlineStr">
        <is>
          <t>10+</t>
        </is>
      </c>
      <c r="C117" s="11" t="inlineStr">
        <is>
          <t>Грамматика</t>
        </is>
      </c>
      <c r="D117" s="11" t="inlineStr">
        <is>
          <t>Past Simple</t>
        </is>
      </c>
      <c r="E117" s="33" t="inlineStr">
        <is>
          <t>Past Simple: значение — действие в указанное время в прошлом</t>
        </is>
      </c>
      <c r="F117" s="11" t="inlineStr">
        <is>
          <t>8 кл. · М1 (1c) · новое
9 кл. · М3 (3c) · повт.
10 кл. · М5 (5c) · повт.
11 кл. · М1 (1c) · повт.</t>
        </is>
      </c>
      <c r="G117" s="11" t="n">
        <v>4</v>
      </c>
      <c r="H117" s="11">
        <f>'Темы × классы'!R13</f>
        <v/>
      </c>
      <c r="I117" s="11">
        <f>'Темы × классы'!S13&amp;""</f>
        <v/>
      </c>
      <c r="J117" s="11" t="inlineStr">
        <is>
          <t>не начат</t>
        </is>
      </c>
      <c r="K117" s="11" t="inlineStr"/>
    </row>
    <row r="118">
      <c r="A118" s="36" t="inlineStr">
        <is>
          <t>Ст-012</t>
        </is>
      </c>
      <c r="B118" s="37" t="inlineStr">
        <is>
          <t>10+</t>
        </is>
      </c>
      <c r="C118" s="11" t="inlineStr">
        <is>
          <t>Грамматика</t>
        </is>
      </c>
      <c r="D118" s="11" t="inlineStr">
        <is>
          <t>Past Simple</t>
        </is>
      </c>
      <c r="E118" s="35" t="inlineStr">
        <is>
          <t>Past Simple: значение — повторяющиеся действия и привычки в прошлом</t>
        </is>
      </c>
      <c r="F118" s="11" t="inlineStr">
        <is>
          <t>8 кл. · М1 (1c) · новое
9 кл. · М3 (3c) · повт.
10 кл. · М5 (5c) · повт.
11 кл. · М1 (1c) · повт.</t>
        </is>
      </c>
      <c r="G118" s="11" t="n">
        <v>4</v>
      </c>
      <c r="H118" s="11">
        <f>'Темы × классы'!R14</f>
        <v/>
      </c>
      <c r="I118" s="11">
        <f>'Темы × классы'!S14&amp;""</f>
        <v/>
      </c>
      <c r="J118" s="11" t="inlineStr">
        <is>
          <t>не начат</t>
        </is>
      </c>
      <c r="K118" s="11" t="inlineStr"/>
    </row>
    <row r="119">
      <c r="A119" s="36" t="inlineStr">
        <is>
          <t>Ст-013</t>
        </is>
      </c>
      <c r="B119" s="37" t="inlineStr">
        <is>
          <t>10+</t>
        </is>
      </c>
      <c r="C119" s="11" t="inlineStr">
        <is>
          <t>Грамматика</t>
        </is>
      </c>
      <c r="D119" s="11" t="inlineStr">
        <is>
          <t>Past Simple</t>
        </is>
      </c>
      <c r="E119" s="34" t="inlineStr">
        <is>
          <t>Past Simple: значение — последовательные действия</t>
        </is>
      </c>
      <c r="F119" s="11" t="inlineStr">
        <is>
          <t>8 кл. · М1 (1c) · новое
9 кл. · М3 (3c) · повт.
10 кл. · М5 (5c) · повт.
11 кл. · М1 (1c) · повт.</t>
        </is>
      </c>
      <c r="G119" s="11" t="n">
        <v>4</v>
      </c>
      <c r="H119" s="11">
        <f>'Темы × классы'!R15</f>
        <v/>
      </c>
      <c r="I119" s="11">
        <f>'Темы × классы'!S15&amp;""</f>
        <v/>
      </c>
      <c r="J119" s="11" t="inlineStr">
        <is>
          <t>не начат</t>
        </is>
      </c>
      <c r="K119" s="11" t="inlineStr"/>
    </row>
    <row r="120">
      <c r="A120" s="36" t="inlineStr">
        <is>
          <t>Ст-014</t>
        </is>
      </c>
      <c r="B120" s="37" t="inlineStr">
        <is>
          <t>10+</t>
        </is>
      </c>
      <c r="C120" s="11" t="inlineStr">
        <is>
          <t>Грамматика</t>
        </is>
      </c>
      <c r="D120" s="11" t="inlineStr">
        <is>
          <t>Past Simple</t>
        </is>
      </c>
      <c r="E120" s="35" t="inlineStr">
        <is>
          <t>Past Simple: значение — завершённые действия без связи с настоящим</t>
        </is>
      </c>
      <c r="F120" s="11" t="inlineStr">
        <is>
          <t>9 кл. · М3 (3c) · новое
10 кл. · М5 (5c) · повт.
11 кл. · М1 (1c) · повт.</t>
        </is>
      </c>
      <c r="G120" s="11" t="n">
        <v>3</v>
      </c>
      <c r="H120" s="11">
        <f>'Темы × классы'!R16</f>
        <v/>
      </c>
      <c r="I120" s="11">
        <f>'Темы × классы'!S16&amp;""</f>
        <v/>
      </c>
      <c r="J120" s="11" t="inlineStr">
        <is>
          <t>не начат</t>
        </is>
      </c>
      <c r="K120" s="11" t="inlineStr"/>
    </row>
    <row r="121">
      <c r="A121" s="36" t="inlineStr">
        <is>
          <t>Ст-015</t>
        </is>
      </c>
      <c r="B121" s="37" t="inlineStr">
        <is>
          <t>10+</t>
        </is>
      </c>
      <c r="C121" s="11" t="inlineStr">
        <is>
          <t>Грамматика</t>
        </is>
      </c>
      <c r="D121" s="11" t="inlineStr">
        <is>
          <t>Present Continuous</t>
        </is>
      </c>
      <c r="E121" s="35" t="inlineStr">
        <is>
          <t>Present Continuous: утверждение (am/is/are + V-ing)</t>
        </is>
      </c>
      <c r="F121" s="11" t="inlineStr">
        <is>
          <t>5 кл. · М6 (6b) · повт.
6 кл. · М5 (5a) · повт.
8 кл. · М1 (1c) · повт.
9 кл. · М1 (1c) · повт.
10 кл. · М1 (1c) · повт.
11 кл. · М1 (1c) · повт.</t>
        </is>
      </c>
      <c r="G121" s="11" t="n">
        <v>6</v>
      </c>
      <c r="H121" s="11">
        <f>'Темы × классы'!R17</f>
        <v/>
      </c>
      <c r="I121" s="11">
        <f>'Темы × классы'!S17&amp;""</f>
        <v/>
      </c>
      <c r="J121" s="11" t="inlineStr">
        <is>
          <t>не начат</t>
        </is>
      </c>
      <c r="K121" s="11" t="inlineStr"/>
    </row>
    <row r="122">
      <c r="A122" s="36" t="inlineStr">
        <is>
          <t>Ст-016</t>
        </is>
      </c>
      <c r="B122" s="37" t="inlineStr">
        <is>
          <t>10+</t>
        </is>
      </c>
      <c r="C122" s="11" t="inlineStr">
        <is>
          <t>Грамматика</t>
        </is>
      </c>
      <c r="D122" s="11" t="inlineStr">
        <is>
          <t>Present Continuous</t>
        </is>
      </c>
      <c r="E122" s="35" t="inlineStr">
        <is>
          <t>Present Continuous: отрицание (I'm not / isn't / aren't)</t>
        </is>
      </c>
      <c r="F122" s="11" t="inlineStr">
        <is>
          <t>5 кл. · М6 (6b) · повт.
6 кл. · М5 (5b) · повт.
8 кл. · М1 (1c) · повт.</t>
        </is>
      </c>
      <c r="G122" s="11" t="n">
        <v>3</v>
      </c>
      <c r="H122" s="11">
        <f>'Темы × классы'!R18</f>
        <v/>
      </c>
      <c r="I122" s="11">
        <f>'Темы × классы'!S18&amp;""</f>
        <v/>
      </c>
      <c r="J122" s="11" t="inlineStr">
        <is>
          <t>не начат</t>
        </is>
      </c>
      <c r="K122" s="11" t="inlineStr"/>
    </row>
    <row r="123">
      <c r="A123" s="36" t="inlineStr">
        <is>
          <t>Ст-017</t>
        </is>
      </c>
      <c r="B123" s="37" t="inlineStr">
        <is>
          <t>10+</t>
        </is>
      </c>
      <c r="C123" s="11" t="inlineStr">
        <is>
          <t>Грамматика</t>
        </is>
      </c>
      <c r="D123" s="11" t="inlineStr">
        <is>
          <t>Present Continuous</t>
        </is>
      </c>
      <c r="E123" s="35" t="inlineStr">
        <is>
          <t>Present Continuous: общие вопросы (Am/Is/Are …?)</t>
        </is>
      </c>
      <c r="F123" s="11" t="inlineStr">
        <is>
          <t>5 кл. · М6 (6b) · повт.
6 кл. · М5 (5b) · повт.
8 кл. · М1 (1c) · повт.</t>
        </is>
      </c>
      <c r="G123" s="11" t="n">
        <v>3</v>
      </c>
      <c r="H123" s="11">
        <f>'Темы × классы'!R19</f>
        <v/>
      </c>
      <c r="I123" s="11">
        <f>'Темы × классы'!S19&amp;""</f>
        <v/>
      </c>
      <c r="J123" s="11" t="inlineStr">
        <is>
          <t>не начат</t>
        </is>
      </c>
      <c r="K123" s="11" t="inlineStr"/>
    </row>
    <row r="124">
      <c r="A124" s="36" t="inlineStr">
        <is>
          <t>Ст-018</t>
        </is>
      </c>
      <c r="B124" s="37" t="inlineStr">
        <is>
          <t>10+</t>
        </is>
      </c>
      <c r="C124" s="11" t="inlineStr">
        <is>
          <t>Грамматика</t>
        </is>
      </c>
      <c r="D124" s="11" t="inlineStr">
        <is>
          <t>Present Continuous</t>
        </is>
      </c>
      <c r="E124" s="35" t="inlineStr">
        <is>
          <t>Present Continuous: краткие ответы (Yes, I am / No, he isn't)</t>
        </is>
      </c>
      <c r="F124" s="11" t="inlineStr">
        <is>
          <t>5 кл. · М6 (6b) · повт.
6 кл. · М5 (5b) · повт.
8 кл. · М1 (1c) · повт.</t>
        </is>
      </c>
      <c r="G124" s="11" t="n">
        <v>3</v>
      </c>
      <c r="H124" s="11">
        <f>'Темы × классы'!R20</f>
        <v/>
      </c>
      <c r="I124" s="11">
        <f>'Темы × классы'!S20&amp;""</f>
        <v/>
      </c>
      <c r="J124" s="11" t="inlineStr">
        <is>
          <t>не начат</t>
        </is>
      </c>
      <c r="K124" s="11" t="inlineStr"/>
    </row>
    <row r="125">
      <c r="A125" s="36" t="inlineStr">
        <is>
          <t>Ст-019</t>
        </is>
      </c>
      <c r="B125" s="37" t="inlineStr">
        <is>
          <t>10+</t>
        </is>
      </c>
      <c r="C125" s="11" t="inlineStr">
        <is>
          <t>Грамматика</t>
        </is>
      </c>
      <c r="D125" s="11" t="inlineStr">
        <is>
          <t>Present Continuous</t>
        </is>
      </c>
      <c r="E125" s="35" t="inlineStr">
        <is>
          <t>Present Continuous: орфография -ing</t>
        </is>
      </c>
      <c r="F125" s="11" t="inlineStr">
        <is>
          <t>5 кл. · М6 (6b) · новое
6 кл. · М5 (5b) · повт.
8 кл. · М1 (1c) · расш.
9 кл. · М1 (1c) · повт.
10 кл. · М1 (1c) · повт.
11 кл. · М1 (1c) · повт.</t>
        </is>
      </c>
      <c r="G125" s="11" t="n">
        <v>6</v>
      </c>
      <c r="H125" s="11">
        <f>'Темы × классы'!R21</f>
        <v/>
      </c>
      <c r="I125" s="11">
        <f>'Темы × классы'!S21&amp;""</f>
        <v/>
      </c>
      <c r="J125" s="11" t="inlineStr">
        <is>
          <t>не начат</t>
        </is>
      </c>
      <c r="K125" s="11" t="inlineStr"/>
    </row>
    <row r="126">
      <c r="A126" s="36" t="inlineStr">
        <is>
          <t>Ст-020</t>
        </is>
      </c>
      <c r="B126" s="37" t="inlineStr">
        <is>
          <t>10+</t>
        </is>
      </c>
      <c r="C126" s="11" t="inlineStr">
        <is>
          <t>Грамматика</t>
        </is>
      </c>
      <c r="D126" s="11" t="inlineStr">
        <is>
          <t>Present Continuous</t>
        </is>
      </c>
      <c r="E126" s="33" t="inlineStr">
        <is>
          <t>Present Continuous: значение — действие сейчас (now)</t>
        </is>
      </c>
      <c r="F126" s="11" t="inlineStr">
        <is>
          <t>5 кл. · М6 (6b) · повт.
6 кл. · М5 (5b) · повт.
7 кл. · М1 · повт.
8 кл. · М1 (1c) · повт.
9 кл. · М1 (1c) · повт.
10 кл. · М1 (1c) · повт.
11 кл. · М1 (1c) · повт.</t>
        </is>
      </c>
      <c r="G126" s="11" t="n">
        <v>7</v>
      </c>
      <c r="H126" s="11">
        <f>'Темы × классы'!R22</f>
        <v/>
      </c>
      <c r="I126" s="11">
        <f>'Темы × классы'!S22&amp;""</f>
        <v/>
      </c>
      <c r="J126" s="11" t="inlineStr">
        <is>
          <t>не начат</t>
        </is>
      </c>
      <c r="K126" s="11" t="inlineStr"/>
    </row>
    <row r="127">
      <c r="A127" s="36" t="inlineStr">
        <is>
          <t>Ст-021</t>
        </is>
      </c>
      <c r="B127" s="37" t="inlineStr">
        <is>
          <t>10+</t>
        </is>
      </c>
      <c r="C127" s="11" t="inlineStr">
        <is>
          <t>Грамматика</t>
        </is>
      </c>
      <c r="D127" s="11" t="inlineStr">
        <is>
          <t>Present Continuous</t>
        </is>
      </c>
      <c r="E127" s="33" t="inlineStr">
        <is>
          <t>Present Continuous: значение — действие в настоящий период (these days)</t>
        </is>
      </c>
      <c r="F127" s="11" t="inlineStr">
        <is>
          <t>5 кл. · М6 (6b) · новое
6 кл. · М5 (5b) · расш.
7 кл. · М1 · повт.
9 кл. · М1 (1c) · повт.
10 кл. · М1 (1c) · повт.
11 кл. · М1 (1c) · повт.</t>
        </is>
      </c>
      <c r="G127" s="11" t="n">
        <v>6</v>
      </c>
      <c r="H127" s="11">
        <f>'Темы × классы'!R23</f>
        <v/>
      </c>
      <c r="I127" s="11">
        <f>'Темы × классы'!S23&amp;""</f>
        <v/>
      </c>
      <c r="J127" s="11" t="inlineStr">
        <is>
          <t>не начат</t>
        </is>
      </c>
      <c r="K127" s="11" t="inlineStr"/>
    </row>
    <row r="128">
      <c r="A128" s="36" t="inlineStr">
        <is>
          <t>Ст-022</t>
        </is>
      </c>
      <c r="B128" s="37" t="inlineStr">
        <is>
          <t>10+</t>
        </is>
      </c>
      <c r="C128" s="11" t="inlineStr">
        <is>
          <t>Грамматика</t>
        </is>
      </c>
      <c r="D128" s="11" t="inlineStr">
        <is>
          <t>Present Continuous</t>
        </is>
      </c>
      <c r="E128" s="33" t="inlineStr">
        <is>
          <t>Present Continuous: значение — запланированное будущее</t>
        </is>
      </c>
      <c r="F128" s="11" t="inlineStr">
        <is>
          <t>6 кл. · М5 (5b) · новое
6 кл. · М10 (10b) · повт.
7 кл. · М1 · повт.
8 кл. · М1 (1c) · расш.
9 кл. · М1 (1c) · повт.
10 кл. · М1 (1c) · повт.
11 кл. · М1 (1c) · повт.</t>
        </is>
      </c>
      <c r="G128" s="11" t="n">
        <v>7</v>
      </c>
      <c r="H128" s="11">
        <f>'Темы × классы'!R24</f>
        <v/>
      </c>
      <c r="I128" s="11">
        <f>'Темы × классы'!S24&amp;""</f>
        <v/>
      </c>
      <c r="J128" s="11" t="inlineStr">
        <is>
          <t>не начат</t>
        </is>
      </c>
      <c r="K128" s="11" t="inlineStr"/>
    </row>
    <row r="129">
      <c r="A129" s="36" t="inlineStr">
        <is>
          <t>Ст-023</t>
        </is>
      </c>
      <c r="B129" s="37" t="inlineStr">
        <is>
          <t>10+</t>
        </is>
      </c>
      <c r="C129" s="11" t="inlineStr">
        <is>
          <t>Грамматика</t>
        </is>
      </c>
      <c r="D129" s="11" t="inlineStr">
        <is>
          <t>Present Continuous</t>
        </is>
      </c>
      <c r="E129" s="33" t="inlineStr">
        <is>
          <t>Present Continuous: значение — временные ситуации</t>
        </is>
      </c>
      <c r="F129" s="11" t="inlineStr">
        <is>
          <t>8 кл. · М1 (1c) · новое
9 кл. · М1 (1c) · повт.
10 кл. · М1 (1c) · повт.
11 кл. · М1 (1c) · повт.</t>
        </is>
      </c>
      <c r="G129" s="11" t="n">
        <v>4</v>
      </c>
      <c r="H129" s="11">
        <f>'Темы × классы'!R25</f>
        <v/>
      </c>
      <c r="I129" s="11">
        <f>'Темы × классы'!S25&amp;""</f>
        <v/>
      </c>
      <c r="J129" s="11" t="inlineStr">
        <is>
          <t>не начат</t>
        </is>
      </c>
      <c r="K129" s="11" t="inlineStr"/>
    </row>
    <row r="130">
      <c r="A130" s="36" t="inlineStr">
        <is>
          <t>Ст-024</t>
        </is>
      </c>
      <c r="B130" s="37" t="inlineStr">
        <is>
          <t>10+</t>
        </is>
      </c>
      <c r="C130" s="11" t="inlineStr">
        <is>
          <t>Грамматика</t>
        </is>
      </c>
      <c r="D130" s="11" t="inlineStr">
        <is>
          <t>Present Continuous</t>
        </is>
      </c>
      <c r="E130" s="35" t="inlineStr">
        <is>
          <t>Present Continuous: значение — меняющиеся и развивающиеся ситуации</t>
        </is>
      </c>
      <c r="F130" s="11" t="inlineStr">
        <is>
          <t>7 кл. · М1 · новое
8 кл. · М1 (1c) · повт.
9 кл. · М1 (1c) · повт.
10 кл. · М1 (1c) · повт.
11 кл. · М1 (1c) · повт.</t>
        </is>
      </c>
      <c r="G130" s="11" t="n">
        <v>5</v>
      </c>
      <c r="H130" s="11">
        <f>'Темы × классы'!R26</f>
        <v/>
      </c>
      <c r="I130" s="11">
        <f>'Темы × классы'!S26&amp;""</f>
        <v/>
      </c>
      <c r="J130" s="11" t="inlineStr">
        <is>
          <t>не начат</t>
        </is>
      </c>
      <c r="K130" s="11" t="inlineStr"/>
    </row>
    <row r="131">
      <c r="A131" s="36" t="inlineStr">
        <is>
          <t>Ст-025</t>
        </is>
      </c>
      <c r="B131" s="37" t="inlineStr">
        <is>
          <t>10+</t>
        </is>
      </c>
      <c r="C131" s="11" t="inlineStr">
        <is>
          <t>Грамматика</t>
        </is>
      </c>
      <c r="D131" s="11" t="inlineStr">
        <is>
          <t>Present Continuous</t>
        </is>
      </c>
      <c r="E131" s="35" t="inlineStr">
        <is>
          <t>Present Continuous: значение — always + раздражение</t>
        </is>
      </c>
      <c r="F131" s="11" t="inlineStr">
        <is>
          <t>7 кл. · М1 · новое
8 кл. · М1 (1c) · расш.
9 кл. · М1 (1c) · повт.
10 кл. · М1 (1c) · повт.
11 кл. · М1 (1c) · повт.</t>
        </is>
      </c>
      <c r="G131" s="11" t="n">
        <v>5</v>
      </c>
      <c r="H131" s="11">
        <f>'Темы × классы'!R27</f>
        <v/>
      </c>
      <c r="I131" s="11">
        <f>'Темы × классы'!S27&amp;""</f>
        <v/>
      </c>
      <c r="J131" s="11" t="inlineStr">
        <is>
          <t>не начат</t>
        </is>
      </c>
      <c r="K131" s="11" t="inlineStr"/>
    </row>
    <row r="132">
      <c r="A132" s="36" t="inlineStr">
        <is>
          <t>Ст-026</t>
        </is>
      </c>
      <c r="B132" s="37" t="inlineStr">
        <is>
          <t>10+</t>
        </is>
      </c>
      <c r="C132" s="11" t="inlineStr">
        <is>
          <t>Грамматика</t>
        </is>
      </c>
      <c r="D132" s="11" t="inlineStr">
        <is>
          <t>Present Simple</t>
        </is>
      </c>
      <c r="E132" s="35" t="inlineStr">
        <is>
          <t>Present Simple: утверждение (I/you/we/they V, he/she/it V-s)</t>
        </is>
      </c>
      <c r="F132" s="11" t="inlineStr">
        <is>
          <t>5 кл. · М5 (5a) · повт.
6 кл. · М4 (4a) · повт.
8 кл. · М1 (1c) · повт.
9 кл. · М1 (1c) · повт.
10 кл. · М1 (1c) · повт.
11 кл. · М1 (1c) · повт.</t>
        </is>
      </c>
      <c r="G132" s="11" t="n">
        <v>6</v>
      </c>
      <c r="H132" s="11">
        <f>'Темы × классы'!R28</f>
        <v/>
      </c>
      <c r="I132" s="11">
        <f>'Темы × классы'!S28&amp;""</f>
        <v/>
      </c>
      <c r="J132" s="11" t="inlineStr">
        <is>
          <t>не начат</t>
        </is>
      </c>
      <c r="K132" s="11" t="inlineStr"/>
    </row>
    <row r="133">
      <c r="A133" s="36" t="inlineStr">
        <is>
          <t>Ст-027</t>
        </is>
      </c>
      <c r="B133" s="37" t="inlineStr">
        <is>
          <t>10+</t>
        </is>
      </c>
      <c r="C133" s="11" t="inlineStr">
        <is>
          <t>Грамматика</t>
        </is>
      </c>
      <c r="D133" s="11" t="inlineStr">
        <is>
          <t>Present Simple</t>
        </is>
      </c>
      <c r="E133" s="35" t="inlineStr">
        <is>
          <t>Present Simple: отрицание (don't/doesn't)</t>
        </is>
      </c>
      <c r="F133" s="11" t="inlineStr">
        <is>
          <t>5 кл. · М5 (5b) · повт.
6 кл. · М4 (4a) · повт.
8 кл. · М1 (1c) · повт.</t>
        </is>
      </c>
      <c r="G133" s="11" t="n">
        <v>3</v>
      </c>
      <c r="H133" s="11">
        <f>'Темы × классы'!R29</f>
        <v/>
      </c>
      <c r="I133" s="11">
        <f>'Темы × классы'!S29&amp;""</f>
        <v/>
      </c>
      <c r="J133" s="11" t="inlineStr">
        <is>
          <t>не начат</t>
        </is>
      </c>
      <c r="K133" s="11" t="inlineStr"/>
    </row>
    <row r="134">
      <c r="A134" s="36" t="inlineStr">
        <is>
          <t>Ст-028</t>
        </is>
      </c>
      <c r="B134" s="37" t="inlineStr">
        <is>
          <t>10+</t>
        </is>
      </c>
      <c r="C134" s="11" t="inlineStr">
        <is>
          <t>Грамматика</t>
        </is>
      </c>
      <c r="D134" s="11" t="inlineStr">
        <is>
          <t>Present Simple</t>
        </is>
      </c>
      <c r="E134" s="35" t="inlineStr">
        <is>
          <t>Present Simple: общие вопросы (Do/Does …?)</t>
        </is>
      </c>
      <c r="F134" s="11" t="inlineStr">
        <is>
          <t>5 кл. · М5 (5b) · повт.
6 кл. · М4 (4a) · повт.
8 кл. · М1 (1c) · повт.</t>
        </is>
      </c>
      <c r="G134" s="11" t="n">
        <v>3</v>
      </c>
      <c r="H134" s="11">
        <f>'Темы × классы'!R30</f>
        <v/>
      </c>
      <c r="I134" s="11">
        <f>'Темы × классы'!S30&amp;""</f>
        <v/>
      </c>
      <c r="J134" s="11" t="inlineStr">
        <is>
          <t>не начат</t>
        </is>
      </c>
      <c r="K134" s="11" t="inlineStr"/>
    </row>
    <row r="135">
      <c r="A135" s="36" t="inlineStr">
        <is>
          <t>Ст-029</t>
        </is>
      </c>
      <c r="B135" s="37" t="inlineStr">
        <is>
          <t>10+</t>
        </is>
      </c>
      <c r="C135" s="11" t="inlineStr">
        <is>
          <t>Грамматика</t>
        </is>
      </c>
      <c r="D135" s="11" t="inlineStr">
        <is>
          <t>Present Simple</t>
        </is>
      </c>
      <c r="E135" s="35" t="inlineStr">
        <is>
          <t>Present Simple: краткие ответы (Yes, I do / No, he doesn't)</t>
        </is>
      </c>
      <c r="F135" s="11" t="inlineStr">
        <is>
          <t>5 кл. · М5 (5b) · повт.
6 кл. · М4 (4b) · повт.
8 кл. · М1 (1c) · повт.</t>
        </is>
      </c>
      <c r="G135" s="11" t="n">
        <v>3</v>
      </c>
      <c r="H135" s="11">
        <f>'Темы × классы'!R31</f>
        <v/>
      </c>
      <c r="I135" s="11">
        <f>'Темы × классы'!S31&amp;""</f>
        <v/>
      </c>
      <c r="J135" s="11" t="inlineStr">
        <is>
          <t>не начат</t>
        </is>
      </c>
      <c r="K135" s="11" t="inlineStr"/>
    </row>
    <row r="136">
      <c r="A136" s="36" t="inlineStr">
        <is>
          <t>Ст-030</t>
        </is>
      </c>
      <c r="B136" s="37" t="inlineStr">
        <is>
          <t>10+</t>
        </is>
      </c>
      <c r="C136" s="11" t="inlineStr">
        <is>
          <t>Грамматика</t>
        </is>
      </c>
      <c r="D136" s="11" t="inlineStr">
        <is>
          <t>Present Simple</t>
        </is>
      </c>
      <c r="E136" s="35" t="inlineStr">
        <is>
          <t>Present Simple: орфография окончания -s/-es (3 л. ед. ч.)</t>
        </is>
      </c>
      <c r="F136" s="11" t="inlineStr">
        <is>
          <t>5 кл. · М5 (5a) · повт.
6 кл. · М4 (4a) · повт.
8 кл. · М1 (1c) · повт.
9 кл. · М1 (1c) · повт.
10 кл. · М1 (1c) · повт.
11 кл. · М1 (1c) · повт.</t>
        </is>
      </c>
      <c r="G136" s="11" t="n">
        <v>6</v>
      </c>
      <c r="H136" s="11">
        <f>'Темы × классы'!R32</f>
        <v/>
      </c>
      <c r="I136" s="11">
        <f>'Темы × классы'!S32&amp;""</f>
        <v/>
      </c>
      <c r="J136" s="11" t="inlineStr">
        <is>
          <t>не начат</t>
        </is>
      </c>
      <c r="K136" s="11" t="inlineStr"/>
    </row>
    <row r="137">
      <c r="A137" s="36" t="inlineStr">
        <is>
          <t>Ст-031</t>
        </is>
      </c>
      <c r="B137" s="37" t="inlineStr">
        <is>
          <t>10+</t>
        </is>
      </c>
      <c r="C137" s="11" t="inlineStr">
        <is>
          <t>Грамматика</t>
        </is>
      </c>
      <c r="D137" s="11" t="inlineStr">
        <is>
          <t>Present Simple</t>
        </is>
      </c>
      <c r="E137" s="33" t="inlineStr">
        <is>
          <t>Present Simple: значение — регулярные действия, распорядок дня, привычки</t>
        </is>
      </c>
      <c r="F137" s="11" t="inlineStr">
        <is>
          <t>5 кл. · М5 (5a) · расш.
6 кл. · М4 (4a) · расш.
7 кл. · М1 · повт.
8 кл. · М1 (1c) · повт.
9 кл. · М1 (1c) · повт.
10 кл. · М1 (1c) · повт.
11 кл. · М1 (1c) · повт.</t>
        </is>
      </c>
      <c r="G137" s="11" t="n">
        <v>7</v>
      </c>
      <c r="H137" s="11">
        <f>'Темы × классы'!R34</f>
        <v/>
      </c>
      <c r="I137" s="11">
        <f>'Темы × классы'!S34&amp;""</f>
        <v/>
      </c>
      <c r="J137" s="11" t="inlineStr">
        <is>
          <t>не начат</t>
        </is>
      </c>
      <c r="K137" s="11" t="inlineStr"/>
    </row>
    <row r="138">
      <c r="A138" s="36" t="inlineStr">
        <is>
          <t>Ст-032</t>
        </is>
      </c>
      <c r="B138" s="37" t="inlineStr">
        <is>
          <t>10+</t>
        </is>
      </c>
      <c r="C138" s="11" t="inlineStr">
        <is>
          <t>Грамматика</t>
        </is>
      </c>
      <c r="D138" s="11" t="inlineStr">
        <is>
          <t>Present Simple</t>
        </is>
      </c>
      <c r="E138" s="33" t="inlineStr">
        <is>
          <t>Present Simple: значение — постоянные состояния и действия</t>
        </is>
      </c>
      <c r="F138" s="11" t="inlineStr">
        <is>
          <t>5 кл. · М5 (5a) · новое
6 кл. · М4 (4a) · повт.
7 кл. · М1 · повт.
8 кл. · М1 (1c) · повт.
9 кл. · М1 (1c) · повт.
10 кл. · М1 (1c) · повт.
11 кл. · М1 (1c) · повт.</t>
        </is>
      </c>
      <c r="G138" s="11" t="n">
        <v>7</v>
      </c>
      <c r="H138" s="11">
        <f>'Темы × классы'!R35</f>
        <v/>
      </c>
      <c r="I138" s="11">
        <f>'Темы × классы'!S35&amp;""</f>
        <v/>
      </c>
      <c r="J138" s="11" t="inlineStr">
        <is>
          <t>не начат</t>
        </is>
      </c>
      <c r="K138" s="11" t="inlineStr"/>
    </row>
    <row r="139">
      <c r="A139" s="36" t="inlineStr">
        <is>
          <t>Ст-033</t>
        </is>
      </c>
      <c r="B139" s="37" t="inlineStr">
        <is>
          <t>10+</t>
        </is>
      </c>
      <c r="C139" s="11" t="inlineStr">
        <is>
          <t>Грамматика</t>
        </is>
      </c>
      <c r="D139" s="11" t="inlineStr">
        <is>
          <t>Present Simple</t>
        </is>
      </c>
      <c r="E139" s="35" t="inlineStr">
        <is>
          <t>Present Simple: значение — непреложные истины и законы природы</t>
        </is>
      </c>
      <c r="F139" s="11" t="inlineStr">
        <is>
          <t>5 кл. · М5 (5a) · новое
6 кл. · М4 (4a) · повт.
7 кл. · М1 · повт.</t>
        </is>
      </c>
      <c r="G139" s="11" t="n">
        <v>3</v>
      </c>
      <c r="H139" s="11">
        <f>'Темы × классы'!R36</f>
        <v/>
      </c>
      <c r="I139" s="11">
        <f>'Темы × классы'!S36&amp;""</f>
        <v/>
      </c>
      <c r="J139" s="11" t="inlineStr">
        <is>
          <t>не начат</t>
        </is>
      </c>
      <c r="K139" s="11" t="inlineStr"/>
    </row>
    <row r="140">
      <c r="A140" s="36" t="inlineStr">
        <is>
          <t>Ст-034</t>
        </is>
      </c>
      <c r="B140" s="37" t="inlineStr">
        <is>
          <t>10+</t>
        </is>
      </c>
      <c r="C140" s="11" t="inlineStr">
        <is>
          <t>Грамматика</t>
        </is>
      </c>
      <c r="D140" s="11" t="inlineStr">
        <is>
          <t>Present Simple</t>
        </is>
      </c>
      <c r="E140" s="33" t="inlineStr">
        <is>
          <t>Present Simple: значение — расписания и программы (будущее по расписанию)</t>
        </is>
      </c>
      <c r="F140" s="11" t="inlineStr">
        <is>
          <t>7 кл. · М1 · новое
8 кл. · М1 (1c) · расш.
9 кл. · М1 (1c) · повт.
10 кл. · М1 (1c) · повт.
11 кл. · М1 (1c) · повт.</t>
        </is>
      </c>
      <c r="G140" s="11" t="n">
        <v>5</v>
      </c>
      <c r="H140" s="11">
        <f>'Темы × классы'!R37</f>
        <v/>
      </c>
      <c r="I140" s="11">
        <f>'Темы × классы'!S37&amp;""</f>
        <v/>
      </c>
      <c r="J140" s="11" t="inlineStr">
        <is>
          <t>не начат</t>
        </is>
      </c>
      <c r="K140" s="11" t="inlineStr"/>
    </row>
    <row r="141">
      <c r="A141" s="36" t="inlineStr">
        <is>
          <t>Ст-035</t>
        </is>
      </c>
      <c r="B141" s="37" t="inlineStr">
        <is>
          <t>10+</t>
        </is>
      </c>
      <c r="C141" s="11" t="inlineStr">
        <is>
          <t>Грамматика</t>
        </is>
      </c>
      <c r="D141" s="11" t="inlineStr">
        <is>
          <t>Present Simple</t>
        </is>
      </c>
      <c r="E141" s="35" t="inlineStr">
        <is>
          <t>Present Simple: значение — чувства и эмоции</t>
        </is>
      </c>
      <c r="F141" s="11" t="inlineStr">
        <is>
          <t>7 кл. · М1 · новое</t>
        </is>
      </c>
      <c r="G141" s="11" t="n">
        <v>1</v>
      </c>
      <c r="H141" s="11">
        <f>'Темы × классы'!R38</f>
        <v/>
      </c>
      <c r="I141" s="11">
        <f>'Темы × классы'!S38&amp;""</f>
        <v/>
      </c>
      <c r="J141" s="11" t="inlineStr">
        <is>
          <t>не начат</t>
        </is>
      </c>
      <c r="K141" s="11" t="inlineStr"/>
    </row>
    <row r="142">
      <c r="A142" s="36" t="inlineStr">
        <is>
          <t>Ст-036</t>
        </is>
      </c>
      <c r="B142" s="37" t="inlineStr">
        <is>
          <t>10+</t>
        </is>
      </c>
      <c r="C142" s="11" t="inlineStr">
        <is>
          <t>Грамматика</t>
        </is>
      </c>
      <c r="D142" s="11" t="inlineStr">
        <is>
          <t>Present Simple</t>
        </is>
      </c>
      <c r="E142" s="35" t="inlineStr">
        <is>
          <t>Present Simple: значение — обзоры, спортивные комментарии, повествование</t>
        </is>
      </c>
      <c r="F142" s="11" t="inlineStr">
        <is>
          <t>7 кл. · М1 · новое
9 кл. · М1 (1c) · повт.
10 кл. · М1 (1c) · повт.
11 кл. · М1 (1c) · повт.</t>
        </is>
      </c>
      <c r="G142" s="11" t="n">
        <v>4</v>
      </c>
      <c r="H142" s="11">
        <f>'Темы × классы'!R39</f>
        <v/>
      </c>
      <c r="I142" s="11">
        <f>'Темы × классы'!S39&amp;""</f>
        <v/>
      </c>
      <c r="J142" s="11" t="inlineStr">
        <is>
          <t>не начат</t>
        </is>
      </c>
      <c r="K142" s="11" t="inlineStr"/>
    </row>
    <row r="143">
      <c r="A143" s="36" t="inlineStr">
        <is>
          <t>Ст-037</t>
        </is>
      </c>
      <c r="B143" s="37" t="inlineStr">
        <is>
          <t>10+</t>
        </is>
      </c>
      <c r="C143" s="11" t="inlineStr">
        <is>
          <t>Грамматика</t>
        </is>
      </c>
      <c r="D143" s="11" t="inlineStr">
        <is>
          <t>Present Simple</t>
        </is>
      </c>
      <c r="E143" s="35" t="inlineStr">
        <is>
          <t>Present Simple: значение — восклицания (Here comes …!)</t>
        </is>
      </c>
      <c r="F143" s="11" t="inlineStr">
        <is>
          <t>9 кл. · М1 (1c) · новое
10 кл. · М1 (1c) · повт.
11 кл. · М1 (1c) · повт.</t>
        </is>
      </c>
      <c r="G143" s="11" t="n">
        <v>3</v>
      </c>
      <c r="H143" s="11">
        <f>'Темы × классы'!R40</f>
        <v/>
      </c>
      <c r="I143" s="11">
        <f>'Темы × классы'!S40&amp;""</f>
        <v/>
      </c>
      <c r="J143" s="11" t="inlineStr">
        <is>
          <t>не начат</t>
        </is>
      </c>
      <c r="K143" s="11" t="inlineStr"/>
    </row>
    <row r="144">
      <c r="A144" s="36" t="inlineStr">
        <is>
          <t>Ст-038</t>
        </is>
      </c>
      <c r="B144" s="37" t="inlineStr">
        <is>
          <t>10+</t>
        </is>
      </c>
      <c r="C144" s="11" t="inlineStr">
        <is>
          <t>Грамматика</t>
        </is>
      </c>
      <c r="D144" s="11" t="inlineStr">
        <is>
          <t>Present Simple</t>
        </is>
      </c>
      <c r="E144" s="35" t="inlineStr">
        <is>
          <t>Present Simple: значение — последовательные действия в настоящем</t>
        </is>
      </c>
      <c r="F144" s="11" t="inlineStr">
        <is>
          <t>8 кл. · М1 (1c) · новое</t>
        </is>
      </c>
      <c r="G144" s="11" t="n">
        <v>1</v>
      </c>
      <c r="H144" s="11">
        <f>'Темы × классы'!R41</f>
        <v/>
      </c>
      <c r="I144" s="11">
        <f>'Темы × классы'!S41&amp;""</f>
        <v/>
      </c>
      <c r="J144" s="11" t="inlineStr">
        <is>
          <t>не начат</t>
        </is>
      </c>
      <c r="K144" s="11" t="inlineStr"/>
    </row>
    <row r="145">
      <c r="A145" s="36" t="inlineStr">
        <is>
          <t>Ст-039</t>
        </is>
      </c>
      <c r="B145" s="37" t="inlineStr">
        <is>
          <t>10+</t>
        </is>
      </c>
      <c r="C145" s="11" t="inlineStr">
        <is>
          <t>Грамматика</t>
        </is>
      </c>
      <c r="D145" s="11" t="inlineStr">
        <is>
          <t>Future Simple (will)</t>
        </is>
      </c>
      <c r="E145" s="34" t="inlineStr">
        <is>
          <t>Future Simple (will): утверждение (will/'ll + V)</t>
        </is>
      </c>
      <c r="F145" s="11" t="inlineStr">
        <is>
          <t>5 кл. · М10 (10b) · повт.
7 кл. · М5 · повт.
8 кл. · М1 (1c) · повт.
9 кл. · М4 (4c) · повт.
10 кл. · М3 (3c) · повт.
11 кл. · М1 (1c) · повт.</t>
        </is>
      </c>
      <c r="G145" s="11" t="n">
        <v>6</v>
      </c>
      <c r="H145" s="11">
        <f>'Темы × классы'!R42</f>
        <v/>
      </c>
      <c r="I145" s="11">
        <f>'Темы × классы'!S42&amp;""</f>
        <v/>
      </c>
      <c r="J145" s="11" t="inlineStr">
        <is>
          <t>не начат</t>
        </is>
      </c>
      <c r="K145" s="11" t="inlineStr"/>
    </row>
    <row r="146">
      <c r="A146" s="36" t="inlineStr">
        <is>
          <t>Ст-040</t>
        </is>
      </c>
      <c r="B146" s="37" t="inlineStr">
        <is>
          <t>10+</t>
        </is>
      </c>
      <c r="C146" s="11" t="inlineStr">
        <is>
          <t>Грамматика</t>
        </is>
      </c>
      <c r="D146" s="11" t="inlineStr">
        <is>
          <t>Future Simple (will)</t>
        </is>
      </c>
      <c r="E146" s="34" t="inlineStr">
        <is>
          <t>Future Simple (will): отрицание (will not/won't)</t>
        </is>
      </c>
      <c r="F146" s="11" t="inlineStr">
        <is>
          <t>5 кл. · М10 (10b) · повт.</t>
        </is>
      </c>
      <c r="G146" s="11" t="n">
        <v>1</v>
      </c>
      <c r="H146" s="11">
        <f>'Темы × классы'!R43</f>
        <v/>
      </c>
      <c r="I146" s="11">
        <f>'Темы × классы'!S43&amp;""</f>
        <v/>
      </c>
      <c r="J146" s="11" t="inlineStr">
        <is>
          <t>не начат</t>
        </is>
      </c>
      <c r="K146" s="11" t="inlineStr"/>
    </row>
    <row r="147">
      <c r="A147" s="36" t="inlineStr">
        <is>
          <t>Ст-041</t>
        </is>
      </c>
      <c r="B147" s="37" t="inlineStr">
        <is>
          <t>10+</t>
        </is>
      </c>
      <c r="C147" s="11" t="inlineStr">
        <is>
          <t>Грамматика</t>
        </is>
      </c>
      <c r="D147" s="11" t="inlineStr">
        <is>
          <t>Future Simple (will)</t>
        </is>
      </c>
      <c r="E147" s="34" t="inlineStr">
        <is>
          <t>Future Simple (will): вопросы и краткие ответы</t>
        </is>
      </c>
      <c r="F147" s="11" t="inlineStr">
        <is>
          <t>5 кл. · М10 (10b) · повт.</t>
        </is>
      </c>
      <c r="G147" s="11" t="n">
        <v>1</v>
      </c>
      <c r="H147" s="11">
        <f>'Темы × классы'!R44</f>
        <v/>
      </c>
      <c r="I147" s="11">
        <f>'Темы × классы'!S44&amp;""</f>
        <v/>
      </c>
      <c r="J147" s="11" t="inlineStr">
        <is>
          <t>не начат</t>
        </is>
      </c>
      <c r="K147" s="11" t="inlineStr"/>
    </row>
    <row r="148">
      <c r="A148" s="36" t="inlineStr">
        <is>
          <t>Ст-042</t>
        </is>
      </c>
      <c r="B148" s="37" t="inlineStr">
        <is>
          <t>10+</t>
        </is>
      </c>
      <c r="C148" s="11" t="inlineStr">
        <is>
          <t>Грамматика</t>
        </is>
      </c>
      <c r="D148" s="11" t="inlineStr">
        <is>
          <t>Future Simple (will)</t>
        </is>
      </c>
      <c r="E148" s="33" t="inlineStr">
        <is>
          <t>Future Simple (will): значение — предсказание/предположение</t>
        </is>
      </c>
      <c r="F148" s="11" t="inlineStr">
        <is>
          <t>5 кл. · М10 (10b) · расш.
7 кл. · М5 · расш.
8 кл. · М1 (1c) · расш.
9 кл. · М4 (4c) · повт.
10 кл. · М3 (3c) · повт.
11 кл. · М1 (1c) · повт.</t>
        </is>
      </c>
      <c r="G148" s="11" t="n">
        <v>6</v>
      </c>
      <c r="H148" s="11">
        <f>'Темы × классы'!R45</f>
        <v/>
      </c>
      <c r="I148" s="11">
        <f>'Темы × классы'!S45&amp;""</f>
        <v/>
      </c>
      <c r="J148" s="11" t="inlineStr">
        <is>
          <t>не начат</t>
        </is>
      </c>
      <c r="K148" s="11" t="inlineStr"/>
    </row>
    <row r="149">
      <c r="A149" s="36" t="inlineStr">
        <is>
          <t>Ст-043</t>
        </is>
      </c>
      <c r="B149" s="37" t="inlineStr">
        <is>
          <t>10+</t>
        </is>
      </c>
      <c r="C149" s="11" t="inlineStr">
        <is>
          <t>Грамматика</t>
        </is>
      </c>
      <c r="D149" s="11" t="inlineStr">
        <is>
          <t>Future Simple (will)</t>
        </is>
      </c>
      <c r="E149" s="33" t="inlineStr">
        <is>
          <t>Future Simple (will): значение — решение в момент речи</t>
        </is>
      </c>
      <c r="F149" s="11" t="inlineStr">
        <is>
          <t>5 кл. · М10 (10b) · повт.
7 кл. · М5 · повт.
8 кл. · М1 (1c) · повт.
9 кл. · М4 (4c) · повт.
10 кл. · М3 (3c) · повт.
11 кл. · М1 (1c) · повт.</t>
        </is>
      </c>
      <c r="G149" s="11" t="n">
        <v>6</v>
      </c>
      <c r="H149" s="11">
        <f>'Темы × классы'!R46</f>
        <v/>
      </c>
      <c r="I149" s="11">
        <f>'Темы × классы'!S46&amp;""</f>
        <v/>
      </c>
      <c r="J149" s="11" t="inlineStr">
        <is>
          <t>не начат</t>
        </is>
      </c>
      <c r="K149" s="11" t="inlineStr"/>
    </row>
    <row r="150">
      <c r="A150" s="36" t="inlineStr">
        <is>
          <t>Ст-044</t>
        </is>
      </c>
      <c r="B150" s="37" t="inlineStr">
        <is>
          <t>10+</t>
        </is>
      </c>
      <c r="C150" s="11" t="inlineStr">
        <is>
          <t>Грамматика</t>
        </is>
      </c>
      <c r="D150" s="11" t="inlineStr">
        <is>
          <t>Future Simple (will)</t>
        </is>
      </c>
      <c r="E150" s="34" t="inlineStr">
        <is>
          <t>Future Simple (will): значение — обещания</t>
        </is>
      </c>
      <c r="F150" s="11" t="inlineStr">
        <is>
          <t>7 кл. · М5 · повт.
8 кл. · М1 (1c) · повт.
9 кл. · М4 (4c) · повт.
10 кл. · М3 (3c) · повт.
11 кл. · М1 (1c) · повт.</t>
        </is>
      </c>
      <c r="G150" s="11" t="n">
        <v>5</v>
      </c>
      <c r="H150" s="11">
        <f>'Темы × классы'!R47</f>
        <v/>
      </c>
      <c r="I150" s="11">
        <f>'Темы × классы'!S47&amp;""</f>
        <v/>
      </c>
      <c r="J150" s="11" t="inlineStr">
        <is>
          <t>не начат</t>
        </is>
      </c>
      <c r="K150" s="11" t="inlineStr"/>
    </row>
    <row r="151">
      <c r="A151" s="36" t="inlineStr">
        <is>
          <t>Ст-045</t>
        </is>
      </c>
      <c r="B151" s="37" t="inlineStr">
        <is>
          <t>10+</t>
        </is>
      </c>
      <c r="C151" s="11" t="inlineStr">
        <is>
          <t>Грамматика</t>
        </is>
      </c>
      <c r="D151" s="11" t="inlineStr">
        <is>
          <t>Future Simple (will)</t>
        </is>
      </c>
      <c r="E151" s="34" t="inlineStr">
        <is>
          <t>Future Simple (will): значение — просьбы (Will you…?)</t>
        </is>
      </c>
      <c r="F151" s="11" t="inlineStr">
        <is>
          <t>5 кл. · М10 (10b) · новое
7 кл. · М5 · повт.
10 кл. · М3 (3c) · повт.
11 кл. · М1 (1c) · повт.</t>
        </is>
      </c>
      <c r="G151" s="11" t="n">
        <v>4</v>
      </c>
      <c r="H151" s="11">
        <f>'Темы × классы'!R48</f>
        <v/>
      </c>
      <c r="I151" s="11">
        <f>'Темы × классы'!S48&amp;""</f>
        <v/>
      </c>
      <c r="J151" s="11" t="inlineStr">
        <is>
          <t>не начат</t>
        </is>
      </c>
      <c r="K151" s="11" t="inlineStr"/>
    </row>
    <row r="152">
      <c r="A152" s="36" t="inlineStr">
        <is>
          <t>Ст-046</t>
        </is>
      </c>
      <c r="B152" s="37" t="inlineStr">
        <is>
          <t>10+</t>
        </is>
      </c>
      <c r="C152" s="11" t="inlineStr">
        <is>
          <t>Грамматика</t>
        </is>
      </c>
      <c r="D152" s="11" t="inlineStr">
        <is>
          <t>Future Simple (will)</t>
        </is>
      </c>
      <c r="E152" s="34" t="inlineStr">
        <is>
          <t>Future Simple (will): значение — угрозы и предупреждения</t>
        </is>
      </c>
      <c r="F152" s="11" t="inlineStr">
        <is>
          <t>7 кл. · М5 · новое
10 кл. · М3 (3c) · повт.
11 кл. · М1 (1c) · повт.</t>
        </is>
      </c>
      <c r="G152" s="11" t="n">
        <v>3</v>
      </c>
      <c r="H152" s="11">
        <f>'Темы × классы'!R49</f>
        <v/>
      </c>
      <c r="I152" s="11">
        <f>'Темы × классы'!S49&amp;""</f>
        <v/>
      </c>
      <c r="J152" s="11" t="inlineStr">
        <is>
          <t>не начат</t>
        </is>
      </c>
      <c r="K152" s="11" t="inlineStr"/>
    </row>
    <row r="153">
      <c r="A153" s="36" t="inlineStr">
        <is>
          <t>Ст-047</t>
        </is>
      </c>
      <c r="B153" s="37" t="inlineStr">
        <is>
          <t>10+</t>
        </is>
      </c>
      <c r="C153" s="11" t="inlineStr">
        <is>
          <t>Грамматика</t>
        </is>
      </c>
      <c r="D153" s="11" t="inlineStr">
        <is>
          <t>Future Simple (will)</t>
        </is>
      </c>
      <c r="E153" s="35" t="inlineStr">
        <is>
          <t>Future Simple (will): значение — надежды, страхи, предложения, комментарии</t>
        </is>
      </c>
      <c r="F153" s="11" t="inlineStr">
        <is>
          <t>7 кл. · М5 · новое
10 кл. · М3 (3c) · расш.
11 кл. · М1 (1c) · повт.</t>
        </is>
      </c>
      <c r="G153" s="11" t="n">
        <v>3</v>
      </c>
      <c r="H153" s="11">
        <f>'Темы × классы'!R50</f>
        <v/>
      </c>
      <c r="I153" s="11">
        <f>'Темы × классы'!S50&amp;""</f>
        <v/>
      </c>
      <c r="J153" s="11" t="inlineStr">
        <is>
          <t>не начат</t>
        </is>
      </c>
      <c r="K153" s="11" t="inlineStr"/>
    </row>
    <row r="154">
      <c r="A154" s="36" t="inlineStr">
        <is>
          <t>Ст-048</t>
        </is>
      </c>
      <c r="B154" s="37" t="inlineStr">
        <is>
          <t>10+</t>
        </is>
      </c>
      <c r="C154" s="11" t="inlineStr">
        <is>
          <t>Грамматика</t>
        </is>
      </c>
      <c r="D154" s="11" t="inlineStr">
        <is>
          <t>Future Simple (will)</t>
        </is>
      </c>
      <c r="E154" s="35" t="inlineStr">
        <is>
          <t>Future Simple (will): значение — неизбежные события (не зависят от нас)</t>
        </is>
      </c>
      <c r="F154" s="11" t="inlineStr">
        <is>
          <t>7 кл. · М5 · новое</t>
        </is>
      </c>
      <c r="G154" s="11" t="n">
        <v>1</v>
      </c>
      <c r="H154" s="11">
        <f>'Темы × классы'!R51</f>
        <v/>
      </c>
      <c r="I154" s="11">
        <f>'Темы × классы'!S51&amp;""</f>
        <v/>
      </c>
      <c r="J154" s="11" t="inlineStr">
        <is>
          <t>не начат</t>
        </is>
      </c>
      <c r="K154" s="11" t="inlineStr"/>
    </row>
    <row r="155">
      <c r="A155" s="36" t="inlineStr">
        <is>
          <t>Ст-049</t>
        </is>
      </c>
      <c r="B155" s="37" t="inlineStr">
        <is>
          <t>10+</t>
        </is>
      </c>
      <c r="C155" s="11" t="inlineStr">
        <is>
          <t>Грамматика</t>
        </is>
      </c>
      <c r="D155" s="11" t="inlineStr">
        <is>
          <t>Future Simple (will)</t>
        </is>
      </c>
      <c r="E155" s="34" t="inlineStr">
        <is>
          <t>Future Simple (will): значение — ещё не решили/не уверены (Maybe I'll…)</t>
        </is>
      </c>
      <c r="F155" s="11" t="inlineStr">
        <is>
          <t>10 кл. · М3 (3c) · новое
11 кл. · М1 (1c) · повт.</t>
        </is>
      </c>
      <c r="G155" s="11" t="n">
        <v>2</v>
      </c>
      <c r="H155" s="11">
        <f>'Темы × классы'!R52</f>
        <v/>
      </c>
      <c r="I155" s="11">
        <f>'Темы × классы'!S52&amp;""</f>
        <v/>
      </c>
      <c r="J155" s="11" t="inlineStr">
        <is>
          <t>не начат</t>
        </is>
      </c>
      <c r="K155" s="11" t="inlineStr"/>
    </row>
    <row r="156">
      <c r="A156" s="36" t="inlineStr">
        <is>
          <t>Ст-050</t>
        </is>
      </c>
      <c r="B156" s="37" t="inlineStr">
        <is>
          <t>10+</t>
        </is>
      </c>
      <c r="C156" s="11" t="inlineStr">
        <is>
          <t>Грамматика</t>
        </is>
      </c>
      <c r="D156" s="11" t="inlineStr">
        <is>
          <t>Future Simple (will)</t>
        </is>
      </c>
      <c r="E156" s="34" t="inlineStr">
        <is>
          <t>Future Simple (will): Shall I/we? — предложение, просьба о совете</t>
        </is>
      </c>
      <c r="F156" s="11" t="inlineStr">
        <is>
          <t>8 кл. · М1 (1c) · новое
9 кл. · М4 (4c) · повт.
10 кл. · М3 (3c) · повт.
11 кл. · М1 (1c) · повт.</t>
        </is>
      </c>
      <c r="G156" s="11" t="n">
        <v>4</v>
      </c>
      <c r="H156" s="11">
        <f>'Темы × классы'!R53</f>
        <v/>
      </c>
      <c r="I156" s="11">
        <f>'Темы × классы'!S53&amp;""</f>
        <v/>
      </c>
      <c r="J156" s="11" t="inlineStr">
        <is>
          <t>не начат</t>
        </is>
      </c>
      <c r="K156" s="11" t="inlineStr"/>
    </row>
    <row r="157">
      <c r="A157" s="36" t="inlineStr">
        <is>
          <t>Ст-051</t>
        </is>
      </c>
      <c r="B157" s="37" t="inlineStr">
        <is>
          <t>10+</t>
        </is>
      </c>
      <c r="C157" s="11" t="inlineStr">
        <is>
          <t>Грамматика</t>
        </is>
      </c>
      <c r="D157" s="11" t="inlineStr">
        <is>
          <t>Present Simple vs Present Continuous</t>
        </is>
      </c>
      <c r="E157" s="33" t="inlineStr">
        <is>
          <t>Present Simple vs Present Continuous: привычка vs сейчас</t>
        </is>
      </c>
      <c r="F157" s="11" t="inlineStr">
        <is>
          <t>5 кл. · М7 (7b) · повт.
6 кл. · М6 (6b) · повт.
6 кл. · М9 (9b) · повт.
7 кл. · М1 · повт.</t>
        </is>
      </c>
      <c r="G157" s="11" t="n">
        <v>4</v>
      </c>
      <c r="H157" s="11">
        <f>'Темы × классы'!R54</f>
        <v/>
      </c>
      <c r="I157" s="11">
        <f>'Темы × классы'!S54&amp;""</f>
        <v/>
      </c>
      <c r="J157" s="11" t="inlineStr">
        <is>
          <t>не начат</t>
        </is>
      </c>
      <c r="K157" s="11" t="inlineStr"/>
    </row>
    <row r="158">
      <c r="A158" s="36" t="inlineStr">
        <is>
          <t>Ст-052</t>
        </is>
      </c>
      <c r="B158" s="37" t="inlineStr">
        <is>
          <t>10+</t>
        </is>
      </c>
      <c r="C158" s="11" t="inlineStr">
        <is>
          <t>Грамматика</t>
        </is>
      </c>
      <c r="D158" s="11" t="inlineStr">
        <is>
          <t>Present Simple vs Present Continuous</t>
        </is>
      </c>
      <c r="E158" s="35" t="inlineStr">
        <is>
          <t>Present Simple vs Present Continuous: постоянное состояние vs временная ситуация</t>
        </is>
      </c>
      <c r="F158" s="11" t="inlineStr">
        <is>
          <t>5 кл. · М7 (7b) · новое
6 кл. · М6 (6b) · повт.
6 кл. · М9 (9b) · повт.
8 кл. · М1 (1c) · повт.
9 кл. · М1 (1c) · повт.
10 кл. · М1 (1c) · повт.
11 кл. · М1 (1c) · повт.</t>
        </is>
      </c>
      <c r="G158" s="11" t="n">
        <v>7</v>
      </c>
      <c r="H158" s="11">
        <f>'Темы × классы'!R55</f>
        <v/>
      </c>
      <c r="I158" s="11">
        <f>'Темы × классы'!S55&amp;""</f>
        <v/>
      </c>
      <c r="J158" s="11" t="inlineStr">
        <is>
          <t>не начат</t>
        </is>
      </c>
      <c r="K158" s="11" t="inlineStr"/>
    </row>
    <row r="159">
      <c r="A159" s="36" t="inlineStr">
        <is>
          <t>Ст-053</t>
        </is>
      </c>
      <c r="B159" s="37" t="inlineStr">
        <is>
          <t>10+</t>
        </is>
      </c>
      <c r="C159" s="11" t="inlineStr">
        <is>
          <t>Грамматика</t>
        </is>
      </c>
      <c r="D159" s="11" t="inlineStr">
        <is>
          <t>Present Simple vs Present Continuous</t>
        </is>
      </c>
      <c r="E159" s="35" t="inlineStr">
        <is>
          <t>Present Simple vs Present Continuous: повторяющиеся действия vs настоящий период (these days)</t>
        </is>
      </c>
      <c r="F159" s="11" t="inlineStr">
        <is>
          <t>7 кл. · М1 · новое
8 кл. · М1 (1c) · повт.
9 кл. · М1 (1c) · повт.
10 кл. · М1 (1c) · повт.
11 кл. · М1 (1c) · повт.</t>
        </is>
      </c>
      <c r="G159" s="11" t="n">
        <v>5</v>
      </c>
      <c r="H159" s="11">
        <f>'Темы × классы'!R56</f>
        <v/>
      </c>
      <c r="I159" s="11">
        <f>'Темы × классы'!S56&amp;""</f>
        <v/>
      </c>
      <c r="J159" s="11" t="inlineStr">
        <is>
          <t>не начат</t>
        </is>
      </c>
      <c r="K159" s="11" t="inlineStr"/>
    </row>
    <row r="160">
      <c r="A160" s="36" t="inlineStr">
        <is>
          <t>Ст-054</t>
        </is>
      </c>
      <c r="B160" s="37" t="inlineStr">
        <is>
          <t>10+</t>
        </is>
      </c>
      <c r="C160" s="11" t="inlineStr">
        <is>
          <t>Грамматика</t>
        </is>
      </c>
      <c r="D160" s="11" t="inlineStr">
        <is>
          <t>Present Simple vs Present Continuous</t>
        </is>
      </c>
      <c r="E160" s="35" t="inlineStr">
        <is>
          <t>Present Simple vs Present Continuous: будущее — расписание vs договорённость</t>
        </is>
      </c>
      <c r="F160" s="11" t="inlineStr">
        <is>
          <t>8 кл. · М1 (1c) · новое
9 кл. · М1 (1c) · повт.</t>
        </is>
      </c>
      <c r="G160" s="11" t="n">
        <v>2</v>
      </c>
      <c r="H160" s="11">
        <f>'Темы × классы'!R57</f>
        <v/>
      </c>
      <c r="I160" s="11">
        <f>'Темы × классы'!S57&amp;""</f>
        <v/>
      </c>
      <c r="J160" s="11" t="inlineStr">
        <is>
          <t>не начат</t>
        </is>
      </c>
      <c r="K160" s="11" t="inlineStr"/>
    </row>
    <row r="161">
      <c r="A161" s="36" t="inlineStr">
        <is>
          <t>Ст-055</t>
        </is>
      </c>
      <c r="B161" s="37" t="inlineStr">
        <is>
          <t>10+</t>
        </is>
      </c>
      <c r="C161" s="11" t="inlineStr">
        <is>
          <t>Грамматика</t>
        </is>
      </c>
      <c r="D161" s="11" t="inlineStr">
        <is>
          <t>be going to</t>
        </is>
      </c>
      <c r="E161" s="33" t="inlineStr">
        <is>
          <t>be going to: утверждение (am/is/are going to + V)</t>
        </is>
      </c>
      <c r="F161" s="11" t="inlineStr">
        <is>
          <t>6 кл. · М10 (10a) · повт.
8 кл. · М1 (1c) · повт.
9 кл. · М4 (4c) · повт.
10 кл. · М3 (3c) · повт.
11 кл. · М1 (1c) · повт.</t>
        </is>
      </c>
      <c r="G161" s="11" t="n">
        <v>5</v>
      </c>
      <c r="H161" s="11">
        <f>'Темы × классы'!R58</f>
        <v/>
      </c>
      <c r="I161" s="11">
        <f>'Темы × классы'!S58&amp;""</f>
        <v/>
      </c>
      <c r="J161" s="11" t="inlineStr">
        <is>
          <t>не начат</t>
        </is>
      </c>
      <c r="K161" s="11" t="inlineStr"/>
    </row>
    <row r="162">
      <c r="A162" s="36" t="inlineStr">
        <is>
          <t>Ст-056</t>
        </is>
      </c>
      <c r="B162" s="37" t="inlineStr">
        <is>
          <t>10+</t>
        </is>
      </c>
      <c r="C162" s="11" t="inlineStr">
        <is>
          <t>Грамматика</t>
        </is>
      </c>
      <c r="D162" s="11" t="inlineStr">
        <is>
          <t>be going to</t>
        </is>
      </c>
      <c r="E162" s="34" t="inlineStr">
        <is>
          <t>be going to: отрицание</t>
        </is>
      </c>
      <c r="F162" s="11" t="inlineStr">
        <is>
          <t>6 кл. · М10 (10a) · повт.</t>
        </is>
      </c>
      <c r="G162" s="11" t="n">
        <v>1</v>
      </c>
      <c r="H162" s="11">
        <f>'Темы × классы'!R59</f>
        <v/>
      </c>
      <c r="I162" s="11">
        <f>'Темы × классы'!S59&amp;""</f>
        <v/>
      </c>
      <c r="J162" s="11" t="inlineStr">
        <is>
          <t>не начат</t>
        </is>
      </c>
      <c r="K162" s="11" t="inlineStr"/>
    </row>
    <row r="163">
      <c r="A163" s="36" t="inlineStr">
        <is>
          <t>Ст-057</t>
        </is>
      </c>
      <c r="B163" s="37" t="inlineStr">
        <is>
          <t>10+</t>
        </is>
      </c>
      <c r="C163" s="11" t="inlineStr">
        <is>
          <t>Грамматика</t>
        </is>
      </c>
      <c r="D163" s="11" t="inlineStr">
        <is>
          <t>be going to</t>
        </is>
      </c>
      <c r="E163" s="34" t="inlineStr">
        <is>
          <t>be going to: вопросы и краткие ответы</t>
        </is>
      </c>
      <c r="F163" s="11" t="inlineStr">
        <is>
          <t>6 кл. · М10 (10a) · расш.</t>
        </is>
      </c>
      <c r="G163" s="11" t="n">
        <v>1</v>
      </c>
      <c r="H163" s="11">
        <f>'Темы × классы'!R60</f>
        <v/>
      </c>
      <c r="I163" s="11">
        <f>'Темы × классы'!S60&amp;""</f>
        <v/>
      </c>
      <c r="J163" s="11" t="inlineStr">
        <is>
          <t>не начат</t>
        </is>
      </c>
      <c r="K163" s="11" t="inlineStr"/>
    </row>
    <row r="164">
      <c r="A164" s="36" t="inlineStr">
        <is>
          <t>Ст-058</t>
        </is>
      </c>
      <c r="B164" s="37" t="inlineStr">
        <is>
          <t>10+</t>
        </is>
      </c>
      <c r="C164" s="11" t="inlineStr">
        <is>
          <t>Грамматика</t>
        </is>
      </c>
      <c r="D164" s="11" t="inlineStr">
        <is>
          <t>be going to</t>
        </is>
      </c>
      <c r="E164" s="33" t="inlineStr">
        <is>
          <t>be going to: значение — планы и намерения</t>
        </is>
      </c>
      <c r="F164" s="11" t="inlineStr">
        <is>
          <t>5 кл. · М10 (10b) · повт.
6 кл. · М10 (10a) · повт.
7 кл. · М5 · повт.
8 кл. · М1 (1c) · повт.
9 кл. · М4 (4c) · повт.
10 кл. · М3 (3c) · повт.
11 кл. · М1 (1c) · повт.</t>
        </is>
      </c>
      <c r="G164" s="11" t="n">
        <v>7</v>
      </c>
      <c r="H164" s="11">
        <f>'Темы × классы'!R61</f>
        <v/>
      </c>
      <c r="I164" s="11">
        <f>'Темы × классы'!S61&amp;""</f>
        <v/>
      </c>
      <c r="J164" s="11" t="inlineStr">
        <is>
          <t>не начат</t>
        </is>
      </c>
      <c r="K164" s="11" t="inlineStr"/>
    </row>
    <row r="165">
      <c r="A165" s="36" t="inlineStr">
        <is>
          <t>Ст-059</t>
        </is>
      </c>
      <c r="B165" s="37" t="inlineStr">
        <is>
          <t>10+</t>
        </is>
      </c>
      <c r="C165" s="11" t="inlineStr">
        <is>
          <t>Грамматика</t>
        </is>
      </c>
      <c r="D165" s="11" t="inlineStr">
        <is>
          <t>be going to</t>
        </is>
      </c>
      <c r="E165" s="34" t="inlineStr">
        <is>
          <t>be going to: значение — уже принятое решение на ближайшее будущее</t>
        </is>
      </c>
      <c r="F165" s="11" t="inlineStr">
        <is>
          <t>8 кл. · М1 (1c) · новое
10 кл. · М3 (3c) · повт.</t>
        </is>
      </c>
      <c r="G165" s="11" t="n">
        <v>2</v>
      </c>
      <c r="H165" s="11">
        <f>'Темы × классы'!R62</f>
        <v/>
      </c>
      <c r="I165" s="11">
        <f>'Темы × классы'!S62&amp;""</f>
        <v/>
      </c>
      <c r="J165" s="11" t="inlineStr">
        <is>
          <t>не начат</t>
        </is>
      </c>
      <c r="K165" s="11" t="inlineStr"/>
    </row>
    <row r="166">
      <c r="A166" s="36" t="inlineStr">
        <is>
          <t>Ст-060</t>
        </is>
      </c>
      <c r="B166" s="37" t="inlineStr">
        <is>
          <t>10+</t>
        </is>
      </c>
      <c r="C166" s="11" t="inlineStr">
        <is>
          <t>Грамматика</t>
        </is>
      </c>
      <c r="D166" s="11" t="inlineStr">
        <is>
          <t>be going to</t>
        </is>
      </c>
      <c r="E166" s="33" t="inlineStr">
        <is>
          <t>be going to: значение — предсказание по очевидным признакам</t>
        </is>
      </c>
      <c r="F166" s="11" t="inlineStr">
        <is>
          <t>6 кл. · М10 (10a) · новое
7 кл. · М5 · повт.
8 кл. · М1 (1c) · повт.
9 кл. · М4 (4c) · повт.
10 кл. · М3 (3c) · повт.
11 кл. · М1 (1c) · повт.</t>
        </is>
      </c>
      <c r="G166" s="11" t="n">
        <v>6</v>
      </c>
      <c r="H166" s="11">
        <f>'Темы × классы'!R63</f>
        <v/>
      </c>
      <c r="I166" s="11">
        <f>'Темы × классы'!S63&amp;""</f>
        <v/>
      </c>
      <c r="J166" s="11" t="inlineStr">
        <is>
          <t>не начат</t>
        </is>
      </c>
      <c r="K166" s="11" t="inlineStr"/>
    </row>
    <row r="167">
      <c r="A167" s="36" t="inlineStr">
        <is>
          <t>Ст-061</t>
        </is>
      </c>
      <c r="B167" s="37" t="inlineStr">
        <is>
          <t>10+</t>
        </is>
      </c>
      <c r="C167" s="11" t="inlineStr">
        <is>
          <t>Грамматика</t>
        </is>
      </c>
      <c r="D167" s="11" t="inlineStr">
        <is>
          <t>be going to</t>
        </is>
      </c>
      <c r="E167" s="33" t="inlineStr">
        <is>
          <t>be going to vs will: план/признаки vs решение в момент речи/мнение</t>
        </is>
      </c>
      <c r="F167" s="11" t="inlineStr">
        <is>
          <t>8 кл. · М1 (1c) · новое
9 кл. · М4 (4c) · повт.
10 кл. · М3 (3c) · повт.
11 кл. · М1 (1c) · повт.</t>
        </is>
      </c>
      <c r="G167" s="11" t="n">
        <v>4</v>
      </c>
      <c r="H167" s="11">
        <f>'Темы × классы'!R64</f>
        <v/>
      </c>
      <c r="I167" s="11">
        <f>'Темы × классы'!S64&amp;""</f>
        <v/>
      </c>
      <c r="J167" s="11" t="inlineStr">
        <is>
          <t>не начат</t>
        </is>
      </c>
      <c r="K167" s="11" t="inlineStr"/>
    </row>
    <row r="168">
      <c r="A168" s="36" t="inlineStr">
        <is>
          <t>Ст-062</t>
        </is>
      </c>
      <c r="B168" s="37" t="inlineStr">
        <is>
          <t>10+</t>
        </is>
      </c>
      <c r="C168" s="11" t="inlineStr">
        <is>
          <t>Грамматика</t>
        </is>
      </c>
      <c r="D168" s="11" t="inlineStr">
        <is>
          <t>Present Perfect</t>
        </is>
      </c>
      <c r="E168" s="33" t="inlineStr">
        <is>
          <t>Present Perfect: утверждение (have/has + V3)</t>
        </is>
      </c>
      <c r="F168" s="11" t="inlineStr">
        <is>
          <t>5 кл. · М10 (10a) · новое
7 кл. · М6 · повт.
8 кл. · М2 (2c) · повт.
9 кл. · М1 (1c) · повт.
10 кл. · М1 (1c) · повт.
11 кл. · М1 (1c) · повт.</t>
        </is>
      </c>
      <c r="G168" s="11" t="n">
        <v>6</v>
      </c>
      <c r="H168" s="11">
        <f>'Темы × классы'!R65</f>
        <v/>
      </c>
      <c r="I168" s="11">
        <f>'Темы × классы'!S65&amp;""</f>
        <v/>
      </c>
      <c r="J168" s="11" t="inlineStr">
        <is>
          <t>не начат</t>
        </is>
      </c>
      <c r="K168" s="11" t="inlineStr"/>
    </row>
    <row r="169">
      <c r="A169" s="36" t="inlineStr">
        <is>
          <t>Ст-063</t>
        </is>
      </c>
      <c r="B169" s="37" t="inlineStr">
        <is>
          <t>10+</t>
        </is>
      </c>
      <c r="C169" s="11" t="inlineStr">
        <is>
          <t>Грамматика</t>
        </is>
      </c>
      <c r="D169" s="11" t="inlineStr">
        <is>
          <t>Present Perfect</t>
        </is>
      </c>
      <c r="E169" s="33" t="inlineStr">
        <is>
          <t>Present Perfect: отрицание (haven't/hasn't)</t>
        </is>
      </c>
      <c r="F169" s="11" t="inlineStr">
        <is>
          <t>5 кл. · М10 (10a) · новое
7 кл. · М6 · повт.</t>
        </is>
      </c>
      <c r="G169" s="11" t="n">
        <v>2</v>
      </c>
      <c r="H169" s="11">
        <f>'Темы × классы'!R66</f>
        <v/>
      </c>
      <c r="I169" s="11">
        <f>'Темы × классы'!S66&amp;""</f>
        <v/>
      </c>
      <c r="J169" s="11" t="inlineStr">
        <is>
          <t>не начат</t>
        </is>
      </c>
      <c r="K169" s="11" t="inlineStr"/>
    </row>
    <row r="170">
      <c r="A170" s="36" t="inlineStr">
        <is>
          <t>Ст-064</t>
        </is>
      </c>
      <c r="B170" s="37" t="inlineStr">
        <is>
          <t>10+</t>
        </is>
      </c>
      <c r="C170" s="11" t="inlineStr">
        <is>
          <t>Грамматика</t>
        </is>
      </c>
      <c r="D170" s="11" t="inlineStr">
        <is>
          <t>Present Perfect</t>
        </is>
      </c>
      <c r="E170" s="33" t="inlineStr">
        <is>
          <t>Present Perfect: вопросы и краткие ответы</t>
        </is>
      </c>
      <c r="F170" s="11" t="inlineStr">
        <is>
          <t>5 кл. · М10 (10a) · новое
7 кл. · М6 · повт.</t>
        </is>
      </c>
      <c r="G170" s="11" t="n">
        <v>2</v>
      </c>
      <c r="H170" s="11">
        <f>'Темы × классы'!R67</f>
        <v/>
      </c>
      <c r="I170" s="11">
        <f>'Темы × классы'!S67&amp;""</f>
        <v/>
      </c>
      <c r="J170" s="11" t="inlineStr">
        <is>
          <t>не начат</t>
        </is>
      </c>
      <c r="K170" s="11" t="inlineStr"/>
    </row>
    <row r="171">
      <c r="A171" s="36" t="inlineStr">
        <is>
          <t>Ст-065</t>
        </is>
      </c>
      <c r="B171" s="37" t="inlineStr">
        <is>
          <t>10+</t>
        </is>
      </c>
      <c r="C171" s="11" t="inlineStr">
        <is>
          <t>Грамматика</t>
        </is>
      </c>
      <c r="D171" s="11" t="inlineStr">
        <is>
          <t>Present Perfect</t>
        </is>
      </c>
      <c r="E171" s="34" t="inlineStr">
        <is>
          <t>Present Perfect: V3 правильных глаголов (-ed, орфография)</t>
        </is>
      </c>
      <c r="F171" s="11" t="inlineStr">
        <is>
          <t>5 кл. · М10 (10a) · новое
8 кл. · М2 (2c) · повт.
9 кл. · М1 (1c) · повт.
10 кл. · М1 (1c) · повт.
11 кл. · М1 (1c) · повт.</t>
        </is>
      </c>
      <c r="G171" s="11" t="n">
        <v>5</v>
      </c>
      <c r="H171" s="11">
        <f>'Темы × классы'!R68</f>
        <v/>
      </c>
      <c r="I171" s="11">
        <f>'Темы × классы'!S68&amp;""</f>
        <v/>
      </c>
      <c r="J171" s="11" t="inlineStr">
        <is>
          <t>не начат</t>
        </is>
      </c>
      <c r="K171" s="11" t="inlineStr"/>
    </row>
    <row r="172">
      <c r="A172" s="36" t="inlineStr">
        <is>
          <t>Ст-066</t>
        </is>
      </c>
      <c r="B172" s="37" t="inlineStr">
        <is>
          <t>10+</t>
        </is>
      </c>
      <c r="C172" s="11" t="inlineStr">
        <is>
          <t>Грамматика</t>
        </is>
      </c>
      <c r="D172" s="11" t="inlineStr">
        <is>
          <t>Present Perfect</t>
        </is>
      </c>
      <c r="E172" s="34" t="inlineStr">
        <is>
          <t>Present Perfect: V3 неправильных глаголов</t>
        </is>
      </c>
      <c r="F172" s="11" t="inlineStr">
        <is>
          <t>5 кл. · М10 (10a) · новое
9 кл. · М1 (1c) · повт.
10 кл. · М1 (1c) · повт.
11 кл. · М1 (1c) · повт.</t>
        </is>
      </c>
      <c r="G172" s="11" t="n">
        <v>4</v>
      </c>
      <c r="H172" s="11">
        <f>'Темы × классы'!R69</f>
        <v/>
      </c>
      <c r="I172" s="11">
        <f>'Темы × классы'!S69&amp;""</f>
        <v/>
      </c>
      <c r="J172" s="11" t="inlineStr">
        <is>
          <t>не начат</t>
        </is>
      </c>
      <c r="K172" s="11" t="inlineStr"/>
    </row>
    <row r="173">
      <c r="A173" s="36" t="inlineStr">
        <is>
          <t>Ст-067</t>
        </is>
      </c>
      <c r="B173" s="37" t="inlineStr">
        <is>
          <t>10+</t>
        </is>
      </c>
      <c r="C173" s="11" t="inlineStr">
        <is>
          <t>Грамматика</t>
        </is>
      </c>
      <c r="D173" s="11" t="inlineStr">
        <is>
          <t>Present Perfect</t>
        </is>
      </c>
      <c r="E173" s="33" t="inlineStr">
        <is>
          <t>Present Perfect: значение — жизненный опыт, перемены (ever/never)</t>
        </is>
      </c>
      <c r="F173" s="11" t="inlineStr">
        <is>
          <t>5 кл. · М10 (10a) · новое
7 кл. · М6 · повт.
8 кл. · М2 (2c) · расш.
9 кл. · М1 (1c) · повт.
10 кл. · М1 (1c) · повт.
11 кл. · М1 (1c) · повт.</t>
        </is>
      </c>
      <c r="G173" s="11" t="n">
        <v>6</v>
      </c>
      <c r="H173" s="11">
        <f>'Темы × классы'!R70</f>
        <v/>
      </c>
      <c r="I173" s="11">
        <f>'Темы × классы'!S70&amp;""</f>
        <v/>
      </c>
      <c r="J173" s="11" t="inlineStr">
        <is>
          <t>не начат</t>
        </is>
      </c>
      <c r="K173" s="11" t="inlineStr"/>
    </row>
    <row r="174">
      <c r="A174" s="36" t="inlineStr">
        <is>
          <t>Ст-068</t>
        </is>
      </c>
      <c r="B174" s="37" t="inlineStr">
        <is>
          <t>10+</t>
        </is>
      </c>
      <c r="C174" s="11" t="inlineStr">
        <is>
          <t>Грамматика</t>
        </is>
      </c>
      <c r="D174" s="11" t="inlineStr">
        <is>
          <t>Present Perfect</t>
        </is>
      </c>
      <c r="E174" s="33" t="inlineStr">
        <is>
          <t>Present Perfect: значение — результат в настоящем</t>
        </is>
      </c>
      <c r="F174" s="11" t="inlineStr">
        <is>
          <t>5 кл. · М10 (10a) · новое
7 кл. · М6 · повт.
8 кл. · М2 (2c) · повт.
9 кл. · М1 (1c) · повт.
10 кл. · М1 (1c) · повт.
11 кл. · М1 (1c) · повт.</t>
        </is>
      </c>
      <c r="G174" s="11" t="n">
        <v>6</v>
      </c>
      <c r="H174" s="11">
        <f>'Темы × классы'!R71</f>
        <v/>
      </c>
      <c r="I174" s="11">
        <f>'Темы × классы'!S71&amp;""</f>
        <v/>
      </c>
      <c r="J174" s="11" t="inlineStr">
        <is>
          <t>не начат</t>
        </is>
      </c>
      <c r="K174" s="11" t="inlineStr"/>
    </row>
    <row r="175">
      <c r="A175" s="36" t="inlineStr">
        <is>
          <t>Ст-069</t>
        </is>
      </c>
      <c r="B175" s="37" t="inlineStr">
        <is>
          <t>10+</t>
        </is>
      </c>
      <c r="C175" s="11" t="inlineStr">
        <is>
          <t>Грамматика</t>
        </is>
      </c>
      <c r="D175" s="11" t="inlineStr">
        <is>
          <t>Present Perfect</t>
        </is>
      </c>
      <c r="E175" s="33" t="inlineStr">
        <is>
          <t>Present Perfect: значение — недавно завершённое действие (just)</t>
        </is>
      </c>
      <c r="F175" s="11" t="inlineStr">
        <is>
          <t>8 кл. · М2 (2c) · новое
9 кл. · М1 (1c) · повт.
10 кл. · М1 (1c) · повт.
11 кл. · М1 (1c) · повт.</t>
        </is>
      </c>
      <c r="G175" s="11" t="n">
        <v>4</v>
      </c>
      <c r="H175" s="11">
        <f>'Темы × классы'!R72</f>
        <v/>
      </c>
      <c r="I175" s="11">
        <f>'Темы × классы'!S72&amp;""</f>
        <v/>
      </c>
      <c r="J175" s="11" t="inlineStr">
        <is>
          <t>не начат</t>
        </is>
      </c>
      <c r="K175" s="11" t="inlineStr"/>
    </row>
    <row r="176">
      <c r="A176" s="36" t="inlineStr">
        <is>
          <t>Ст-070</t>
        </is>
      </c>
      <c r="B176" s="37" t="inlineStr">
        <is>
          <t>10+</t>
        </is>
      </c>
      <c r="C176" s="11" t="inlineStr">
        <is>
          <t>Грамматика</t>
        </is>
      </c>
      <c r="D176" s="11" t="inlineStr">
        <is>
          <t>Present Perfect</t>
        </is>
      </c>
      <c r="E176" s="35" t="inlineStr">
        <is>
          <t>Present Perfect: значение — неуказанное время в прошлом</t>
        </is>
      </c>
      <c r="F176" s="11" t="inlineStr">
        <is>
          <t>7 кл. · М6 · новое
9 кл. · М1 (1c) · повт.
10 кл. · М1 (1c) · повт.
11 кл. · М1 (1c) · повт.</t>
        </is>
      </c>
      <c r="G176" s="11" t="n">
        <v>4</v>
      </c>
      <c r="H176" s="11">
        <f>'Темы × классы'!R73</f>
        <v/>
      </c>
      <c r="I176" s="11">
        <f>'Темы × классы'!S73&amp;""</f>
        <v/>
      </c>
      <c r="J176" s="11" t="inlineStr">
        <is>
          <t>не начат</t>
        </is>
      </c>
      <c r="K176" s="11" t="inlineStr"/>
    </row>
    <row r="177">
      <c r="A177" s="36" t="inlineStr">
        <is>
          <t>Ст-071</t>
        </is>
      </c>
      <c r="B177" s="37" t="inlineStr">
        <is>
          <t>10+</t>
        </is>
      </c>
      <c r="C177" s="11" t="inlineStr">
        <is>
          <t>Грамматика</t>
        </is>
      </c>
      <c r="D177" s="11" t="inlineStr">
        <is>
          <t>Present Perfect</t>
        </is>
      </c>
      <c r="E177" s="33" t="inlineStr">
        <is>
          <t>Present Perfect: значение — с прошлого до настоящего (stative verbs, for/since)</t>
        </is>
      </c>
      <c r="F177" s="11" t="inlineStr">
        <is>
          <t>7 кл. · М6 · новое
8 кл. · М2 (2c) · повт.
9 кл. · М1 (1c) · повт.
10 кл. · М1 (1c) · повт.
11 кл. · М1 (1c) · повт.</t>
        </is>
      </c>
      <c r="G177" s="11" t="n">
        <v>5</v>
      </c>
      <c r="H177" s="11">
        <f>'Темы × классы'!R74</f>
        <v/>
      </c>
      <c r="I177" s="11">
        <f>'Темы × классы'!S74&amp;""</f>
        <v/>
      </c>
      <c r="J177" s="11" t="inlineStr">
        <is>
          <t>не начат</t>
        </is>
      </c>
      <c r="K177" s="11" t="inlineStr"/>
    </row>
    <row r="178">
      <c r="A178" s="36" t="inlineStr">
        <is>
          <t>Ст-072</t>
        </is>
      </c>
      <c r="B178" s="37" t="inlineStr">
        <is>
          <t>10+</t>
        </is>
      </c>
      <c r="C178" s="11" t="inlineStr">
        <is>
          <t>Грамматика</t>
        </is>
      </c>
      <c r="D178" s="11" t="inlineStr">
        <is>
          <t>Present Perfect</t>
        </is>
      </c>
      <c r="E178" s="34" t="inlineStr">
        <is>
          <t>Present Perfect: значение — незаконченный период (today, this week, so far)</t>
        </is>
      </c>
      <c r="F178" s="11" t="inlineStr">
        <is>
          <t>8 кл. · М2 (2c) · новое
9 кл. · М1 (1c) · повт.
10 кл. · М1 (1c) · повт.
11 кл. · М1 (1c) · повт.</t>
        </is>
      </c>
      <c r="G178" s="11" t="n">
        <v>4</v>
      </c>
      <c r="H178" s="11">
        <f>'Темы × классы'!R75</f>
        <v/>
      </c>
      <c r="I178" s="11">
        <f>'Темы × классы'!S75&amp;""</f>
        <v/>
      </c>
      <c r="J178" s="11" t="inlineStr">
        <is>
          <t>не начат</t>
        </is>
      </c>
      <c r="K178" s="11" t="inlineStr"/>
    </row>
    <row r="179">
      <c r="A179" s="36" t="inlineStr">
        <is>
          <t>Ст-073</t>
        </is>
      </c>
      <c r="B179" s="37" t="inlineStr">
        <is>
          <t>10+</t>
        </is>
      </c>
      <c r="C179" s="11" t="inlineStr">
        <is>
          <t>Грамматика</t>
        </is>
      </c>
      <c r="D179" s="11" t="inlineStr">
        <is>
          <t>Present Perfect</t>
        </is>
      </c>
      <c r="E179" s="35" t="inlineStr">
        <is>
          <t>Present Perfect: значение — акцент на количестве (seven times this week)</t>
        </is>
      </c>
      <c r="F179" s="11" t="inlineStr">
        <is>
          <t>9 кл. · М1 (1c) · новое
10 кл. · М1 (1c) · повт.
11 кл. · М1 (1c) · повт.</t>
        </is>
      </c>
      <c r="G179" s="11" t="n">
        <v>3</v>
      </c>
      <c r="H179" s="11">
        <f>'Темы × классы'!R76</f>
        <v/>
      </c>
      <c r="I179" s="11">
        <f>'Темы × классы'!S76&amp;""</f>
        <v/>
      </c>
      <c r="J179" s="11" t="inlineStr">
        <is>
          <t>не начат</t>
        </is>
      </c>
      <c r="K179" s="11" t="inlineStr"/>
    </row>
    <row r="180">
      <c r="A180" s="36" t="inlineStr">
        <is>
          <t>Ст-074</t>
        </is>
      </c>
      <c r="B180" s="37" t="inlineStr">
        <is>
          <t>10+</t>
        </is>
      </c>
      <c r="C180" s="11" t="inlineStr">
        <is>
          <t>Грамматика</t>
        </is>
      </c>
      <c r="D180" s="11" t="inlineStr">
        <is>
          <t>Present Perfect</t>
        </is>
      </c>
      <c r="E180" s="33" t="inlineStr">
        <is>
          <t>Present Perfect: слова-маркеры already / yet / just / ever / never</t>
        </is>
      </c>
      <c r="F180" s="11" t="inlineStr">
        <is>
          <t>5 кл. · М10 (10a) · новое
7 кл. · М6 · расш.
8 кл. · М2 (2c) · повт.
9 кл. · М1 (1c) · повт.
10 кл. · М1 (1c) · повт.
11 кл. · М1 (1c) · повт.</t>
        </is>
      </c>
      <c r="G180" s="11" t="n">
        <v>6</v>
      </c>
      <c r="H180" s="11">
        <f>'Темы × классы'!R77</f>
        <v/>
      </c>
      <c r="I180" s="11">
        <f>'Темы × классы'!S77&amp;""</f>
        <v/>
      </c>
      <c r="J180" s="11" t="inlineStr">
        <is>
          <t>не начат</t>
        </is>
      </c>
      <c r="K180" s="11" t="inlineStr"/>
    </row>
    <row r="181">
      <c r="A181" s="36" t="inlineStr">
        <is>
          <t>Ст-075</t>
        </is>
      </c>
      <c r="B181" s="37" t="inlineStr">
        <is>
          <t>10+</t>
        </is>
      </c>
      <c r="C181" s="11" t="inlineStr">
        <is>
          <t>Грамматика</t>
        </is>
      </c>
      <c r="D181" s="11" t="inlineStr">
        <is>
          <t>Stative verbs</t>
        </is>
      </c>
      <c r="E181" s="33" t="inlineStr">
        <is>
          <t>Stative verbs: глаголы состояния не употребляются в Continuous</t>
        </is>
      </c>
      <c r="F181" s="11" t="inlineStr">
        <is>
          <t>6 кл. · М6 · новое
7 кл. · М1 · повт.
8 кл. · М1 (1c) · повт.
10 кл. · М1 (1c) · повт.
11 кл. · М1 (1c) · повт.</t>
        </is>
      </c>
      <c r="G181" s="11" t="n">
        <v>5</v>
      </c>
      <c r="H181" s="11">
        <f>'Темы × классы'!R78</f>
        <v/>
      </c>
      <c r="I181" s="11">
        <f>'Темы × классы'!S78&amp;""</f>
        <v/>
      </c>
      <c r="J181" s="11" t="inlineStr">
        <is>
          <t>не начат</t>
        </is>
      </c>
      <c r="K181" s="11" t="inlineStr"/>
    </row>
    <row r="182">
      <c r="A182" s="36" t="inlineStr">
        <is>
          <t>Ст-076</t>
        </is>
      </c>
      <c r="B182" s="37" t="inlineStr">
        <is>
          <t>10+</t>
        </is>
      </c>
      <c r="C182" s="11" t="inlineStr">
        <is>
          <t>Грамматика</t>
        </is>
      </c>
      <c r="D182" s="11" t="inlineStr">
        <is>
          <t>Stative verbs</t>
        </is>
      </c>
      <c r="E182" s="33" t="inlineStr">
        <is>
          <t>Stative verbs: группы глаголов (восприятие, мышление, чувства, прочие)</t>
        </is>
      </c>
      <c r="F182" s="11" t="inlineStr">
        <is>
          <t>7 кл. · М1 · новое
8 кл. · М1 (1c) · расш.
9 кл. · М1 (1c) · повт.
10 кл. · М1 (1c) · повт.
11 кл. · М1 (1c) · повт.</t>
        </is>
      </c>
      <c r="G182" s="11" t="n">
        <v>5</v>
      </c>
      <c r="H182" s="11">
        <f>'Темы × классы'!R79</f>
        <v/>
      </c>
      <c r="I182" s="11">
        <f>'Темы × классы'!S79&amp;""</f>
        <v/>
      </c>
      <c r="J182" s="11" t="inlineStr">
        <is>
          <t>не начат</t>
        </is>
      </c>
      <c r="K182" s="11" t="inlineStr"/>
    </row>
    <row r="183">
      <c r="A183" s="36" t="inlineStr">
        <is>
          <t>Ст-077</t>
        </is>
      </c>
      <c r="B183" s="37" t="inlineStr">
        <is>
          <t>10+</t>
        </is>
      </c>
      <c r="C183" s="11" t="inlineStr">
        <is>
          <t>Грамматика</t>
        </is>
      </c>
      <c r="D183" s="11" t="inlineStr">
        <is>
          <t>Stative verbs</t>
        </is>
      </c>
      <c r="E183" s="33" t="inlineStr">
        <is>
          <t>Stative verbs: разное значение в Simple и Continuous (think, have, see, taste…)</t>
        </is>
      </c>
      <c r="F183" s="11" t="inlineStr">
        <is>
          <t>7 кл. · М1 · новое
8 кл. · М1 (1c) · повт.
9 кл. · М1 (1c) · повт.
10 кл. · М1 (1c) · повт.
11 кл. · М1 (1c) · повт.</t>
        </is>
      </c>
      <c r="G183" s="11" t="n">
        <v>5</v>
      </c>
      <c r="H183" s="11">
        <f>'Темы × классы'!R80</f>
        <v/>
      </c>
      <c r="I183" s="11">
        <f>'Темы × классы'!S80&amp;""</f>
        <v/>
      </c>
      <c r="J183" s="11" t="inlineStr">
        <is>
          <t>не начат</t>
        </is>
      </c>
      <c r="K183" s="11" t="inlineStr"/>
    </row>
    <row r="184">
      <c r="A184" s="36" t="inlineStr">
        <is>
          <t>Ст-078</t>
        </is>
      </c>
      <c r="B184" s="37" t="inlineStr">
        <is>
          <t>10+</t>
        </is>
      </c>
      <c r="C184" s="11" t="inlineStr">
        <is>
          <t>Грамматика</t>
        </is>
      </c>
      <c r="D184" s="11" t="inlineStr">
        <is>
          <t>Stative verbs</t>
        </is>
      </c>
      <c r="E184" s="35" t="inlineStr">
        <is>
          <t>Stative verbs: look, feel, hurt, ache — Simple = Continuous</t>
        </is>
      </c>
      <c r="F184" s="11" t="inlineStr">
        <is>
          <t>7 кл. · М1 · новое
8 кл. · М1 (1c) · расш.
9 кл. · М1 (1c) · повт.
10 кл. · М1 (1c) · повт.
11 кл. · М1 (1c) · повт.</t>
        </is>
      </c>
      <c r="G184" s="11" t="n">
        <v>5</v>
      </c>
      <c r="H184" s="11">
        <f>'Темы × классы'!R81</f>
        <v/>
      </c>
      <c r="I184" s="11">
        <f>'Темы × классы'!S81&amp;""</f>
        <v/>
      </c>
      <c r="J184" s="11" t="inlineStr">
        <is>
          <t>не начат</t>
        </is>
      </c>
      <c r="K184" s="11" t="inlineStr"/>
    </row>
    <row r="185">
      <c r="A185" s="36" t="inlineStr">
        <is>
          <t>Ст-079</t>
        </is>
      </c>
      <c r="B185" s="37" t="inlineStr">
        <is>
          <t>10+</t>
        </is>
      </c>
      <c r="C185" s="11" t="inlineStr">
        <is>
          <t>Грамматика</t>
        </is>
      </c>
      <c r="D185" s="11" t="inlineStr">
        <is>
          <t>Stative verbs</t>
        </is>
      </c>
      <c r="E185" s="35" t="inlineStr">
        <is>
          <t>Stative verbs: enjoy в Continuous — конкретное удовольствие</t>
        </is>
      </c>
      <c r="F185" s="11" t="inlineStr">
        <is>
          <t>8 кл. · М1 (1c) · новое
9 кл. · М1 (1c) · повт.
10 кл. · М1 (1c) · повт.
11 кл. · М1 (1c) · повт.</t>
        </is>
      </c>
      <c r="G185" s="11" t="n">
        <v>4</v>
      </c>
      <c r="H185" s="11">
        <f>'Темы × классы'!R82</f>
        <v/>
      </c>
      <c r="I185" s="11">
        <f>'Темы × классы'!S82&amp;""</f>
        <v/>
      </c>
      <c r="J185" s="11" t="inlineStr">
        <is>
          <t>не начат</t>
        </is>
      </c>
      <c r="K185" s="11" t="inlineStr"/>
    </row>
    <row r="186">
      <c r="A186" s="36" t="inlineStr">
        <is>
          <t>Ст-080</t>
        </is>
      </c>
      <c r="B186" s="37" t="inlineStr">
        <is>
          <t>10+</t>
        </is>
      </c>
      <c r="C186" s="11" t="inlineStr">
        <is>
          <t>Грамматика</t>
        </is>
      </c>
      <c r="D186" s="11" t="inlineStr">
        <is>
          <t>Future forms (comparison)</t>
        </is>
      </c>
      <c r="E186" s="33" t="inlineStr">
        <is>
          <t>Future forms: Present Continuous — договорённости на ближайшее будущее</t>
        </is>
      </c>
      <c r="F186" s="11" t="inlineStr">
        <is>
          <t>7 кл. · М5 · новое
8 кл. · М1 (1c) · повт.
9 кл. · М4 (4c) · повт.
10 кл. · М3 (3c) · повт.
11 кл. · М1 (1c) · повт.</t>
        </is>
      </c>
      <c r="G186" s="11" t="n">
        <v>5</v>
      </c>
      <c r="H186" s="11">
        <f>'Темы × классы'!R83</f>
        <v/>
      </c>
      <c r="I186" s="11">
        <f>'Темы × классы'!S83&amp;""</f>
        <v/>
      </c>
      <c r="J186" s="11" t="inlineStr">
        <is>
          <t>не начат</t>
        </is>
      </c>
      <c r="K186" s="11" t="inlineStr"/>
    </row>
    <row r="187">
      <c r="A187" s="36" t="inlineStr">
        <is>
          <t>Ст-081</t>
        </is>
      </c>
      <c r="B187" s="37" t="inlineStr">
        <is>
          <t>10+</t>
        </is>
      </c>
      <c r="C187" s="11" t="inlineStr">
        <is>
          <t>Грамматика</t>
        </is>
      </c>
      <c r="D187" s="11" t="inlineStr">
        <is>
          <t>Future forms (comparison)</t>
        </is>
      </c>
      <c r="E187" s="33" t="inlineStr">
        <is>
          <t>Future forms: Present Simple — расписания и программы</t>
        </is>
      </c>
      <c r="F187" s="11" t="inlineStr">
        <is>
          <t>7 кл. · М5 · новое
8 кл. · М1 (1c) · повт.
9 кл. · М4 (4c) · повт.
10 кл. · М3 (3c) · повт.
11 кл. · М1 (1c) · повт.</t>
        </is>
      </c>
      <c r="G187" s="11" t="n">
        <v>5</v>
      </c>
      <c r="H187" s="11">
        <f>'Темы × классы'!R84</f>
        <v/>
      </c>
      <c r="I187" s="11">
        <f>'Темы × классы'!S84&amp;""</f>
        <v/>
      </c>
      <c r="J187" s="11" t="inlineStr">
        <is>
          <t>не начат</t>
        </is>
      </c>
      <c r="K187" s="11" t="inlineStr"/>
    </row>
    <row r="188">
      <c r="A188" s="36" t="inlineStr">
        <is>
          <t>Ст-082</t>
        </is>
      </c>
      <c r="B188" s="37" t="inlineStr">
        <is>
          <t>10+</t>
        </is>
      </c>
      <c r="C188" s="11" t="inlineStr">
        <is>
          <t>Грамматика</t>
        </is>
      </c>
      <c r="D188" s="11" t="inlineStr">
        <is>
          <t>Future forms (comparison)</t>
        </is>
      </c>
      <c r="E188" s="33" t="inlineStr">
        <is>
          <t>Future forms: will vs be going to — решение в момент речи vs план</t>
        </is>
      </c>
      <c r="F188" s="11" t="inlineStr">
        <is>
          <t>7 кл. · М5 · новое
8 кл. · М1 (1c) · повт.
9 кл. · М4 (4c) · повт.
10 кл. · М3 (3c) · повт.
11 кл. · М1 (1c) · повт.</t>
        </is>
      </c>
      <c r="G188" s="11" t="n">
        <v>5</v>
      </c>
      <c r="H188" s="11">
        <f>'Темы × классы'!R85</f>
        <v/>
      </c>
      <c r="I188" s="11">
        <f>'Темы × классы'!S85&amp;""</f>
        <v/>
      </c>
      <c r="J188" s="11" t="inlineStr">
        <is>
          <t>не начат</t>
        </is>
      </c>
      <c r="K188" s="11" t="inlineStr"/>
    </row>
    <row r="189">
      <c r="A189" s="36" t="inlineStr">
        <is>
          <t>Ст-083</t>
        </is>
      </c>
      <c r="B189" s="37" t="inlineStr">
        <is>
          <t>10+</t>
        </is>
      </c>
      <c r="C189" s="11" t="inlineStr">
        <is>
          <t>Грамматика</t>
        </is>
      </c>
      <c r="D189" s="11" t="inlineStr">
        <is>
          <t>Future forms (comparison)</t>
        </is>
      </c>
      <c r="E189" s="33" t="inlineStr">
        <is>
          <t>Future forms: will vs be going to — прогноз-мнение vs прогноз по признакам</t>
        </is>
      </c>
      <c r="F189" s="11" t="inlineStr">
        <is>
          <t>7 кл. · М5 · новое
8 кл. · М1 (1c) · повт.
9 кл. · М4 (4c) · повт.
10 кл. · М3 (3c) · повт.
11 кл. · М1 (1c) · повт.</t>
        </is>
      </c>
      <c r="G189" s="11" t="n">
        <v>5</v>
      </c>
      <c r="H189" s="11">
        <f>'Темы × классы'!R86</f>
        <v/>
      </c>
      <c r="I189" s="11">
        <f>'Темы × классы'!S86&amp;""</f>
        <v/>
      </c>
      <c r="J189" s="11" t="inlineStr">
        <is>
          <t>не начат</t>
        </is>
      </c>
      <c r="K189" s="11" t="inlineStr"/>
    </row>
    <row r="190">
      <c r="A190" s="36" t="inlineStr">
        <is>
          <t>Ст-084</t>
        </is>
      </c>
      <c r="B190" s="37" t="inlineStr">
        <is>
          <t>10+</t>
        </is>
      </c>
      <c r="C190" s="11" t="inlineStr">
        <is>
          <t>Грамматика</t>
        </is>
      </c>
      <c r="D190" s="11" t="inlineStr">
        <is>
          <t>Future forms (comparison)</t>
        </is>
      </c>
      <c r="E190" s="33" t="inlineStr">
        <is>
          <t>Future forms: обзор всех способов выражения будущего</t>
        </is>
      </c>
      <c r="F190" s="11" t="inlineStr">
        <is>
          <t>7 кл. · М5 · новое
8 кл. · М1 (1c) · повт.
10 кл. · М3 (3c) · повт.
11 кл. · М1 (1c) · повт.</t>
        </is>
      </c>
      <c r="G190" s="11" t="n">
        <v>4</v>
      </c>
      <c r="H190" s="11">
        <f>'Темы × классы'!R87</f>
        <v/>
      </c>
      <c r="I190" s="11">
        <f>'Темы × классы'!S87&amp;""</f>
        <v/>
      </c>
      <c r="J190" s="11" t="inlineStr">
        <is>
          <t>не начат</t>
        </is>
      </c>
      <c r="K190" s="11" t="inlineStr"/>
    </row>
    <row r="191">
      <c r="A191" s="36" t="inlineStr">
        <is>
          <t>Ст-085</t>
        </is>
      </c>
      <c r="B191" s="37" t="inlineStr">
        <is>
          <t>10+</t>
        </is>
      </c>
      <c r="C191" s="11" t="inlineStr">
        <is>
          <t>Грамматика</t>
        </is>
      </c>
      <c r="D191" s="11" t="inlineStr">
        <is>
          <t>Future forms (comparison)</t>
        </is>
      </c>
      <c r="E191" s="33" t="inlineStr">
        <is>
          <t>Future forms: Future Continuous/Future Perfect в системе будущих форм</t>
        </is>
      </c>
      <c r="F191" s="11" t="inlineStr">
        <is>
          <t>9 кл. · М4 (4c) · новое
11 кл. · М1 (1c) · повт.</t>
        </is>
      </c>
      <c r="G191" s="11" t="n">
        <v>2</v>
      </c>
      <c r="H191" s="11">
        <f>'Темы × классы'!R88</f>
        <v/>
      </c>
      <c r="I191" s="11">
        <f>'Темы × классы'!S88&amp;""</f>
        <v/>
      </c>
      <c r="J191" s="11" t="inlineStr">
        <is>
          <t>не начат</t>
        </is>
      </c>
      <c r="K191" s="11" t="inlineStr"/>
    </row>
    <row r="192">
      <c r="A192" s="36" t="inlineStr">
        <is>
          <t>Ст-086</t>
        </is>
      </c>
      <c r="B192" s="37" t="inlineStr">
        <is>
          <t>10+</t>
        </is>
      </c>
      <c r="C192" s="11" t="inlineStr">
        <is>
          <t>Грамматика</t>
        </is>
      </c>
      <c r="D192" s="11" t="inlineStr">
        <is>
          <t>Past Continuous</t>
        </is>
      </c>
      <c r="E192" s="33" t="inlineStr">
        <is>
          <t>Past Continuous: утверждение (was/were + V-ing)</t>
        </is>
      </c>
      <c r="F192" s="11" t="inlineStr">
        <is>
          <t>8 кл. · М1 (1c) · новое
9 кл. · М3 (3c) · повт.
10 кл. · М5 (5c) · повт.
11 кл. · М1 (1c) · повт.</t>
        </is>
      </c>
      <c r="G192" s="11" t="n">
        <v>4</v>
      </c>
      <c r="H192" s="11">
        <f>'Темы × классы'!R89</f>
        <v/>
      </c>
      <c r="I192" s="11">
        <f>'Темы × классы'!S89&amp;""</f>
        <v/>
      </c>
      <c r="J192" s="11" t="inlineStr">
        <is>
          <t>не начат</t>
        </is>
      </c>
      <c r="K192" s="11" t="inlineStr"/>
    </row>
    <row r="193">
      <c r="A193" s="36" t="inlineStr">
        <is>
          <t>Ст-087</t>
        </is>
      </c>
      <c r="B193" s="37" t="inlineStr">
        <is>
          <t>10+</t>
        </is>
      </c>
      <c r="C193" s="11" t="inlineStr">
        <is>
          <t>Грамматика</t>
        </is>
      </c>
      <c r="D193" s="11" t="inlineStr">
        <is>
          <t>Past Continuous</t>
        </is>
      </c>
      <c r="E193" s="33" t="inlineStr">
        <is>
          <t>Past Continuous: значение — действие в процессе в момент прошлого</t>
        </is>
      </c>
      <c r="F193" s="11" t="inlineStr">
        <is>
          <t>7 кл. · М4 · новое
8 кл. · М1 (1c) · повт.
9 кл. · М3 (3c) · повт.
10 кл. · М5 (5c) · повт.
11 кл. · М1 (1c) · повт.</t>
        </is>
      </c>
      <c r="G193" s="11" t="n">
        <v>5</v>
      </c>
      <c r="H193" s="11">
        <f>'Темы × классы'!R90</f>
        <v/>
      </c>
      <c r="I193" s="11">
        <f>'Темы × классы'!S90&amp;""</f>
        <v/>
      </c>
      <c r="J193" s="11" t="inlineStr">
        <is>
          <t>не начат</t>
        </is>
      </c>
      <c r="K193" s="11" t="inlineStr"/>
    </row>
    <row r="194">
      <c r="A194" s="36" t="inlineStr">
        <is>
          <t>Ст-088</t>
        </is>
      </c>
      <c r="B194" s="37" t="inlineStr">
        <is>
          <t>10+</t>
        </is>
      </c>
      <c r="C194" s="11" t="inlineStr">
        <is>
          <t>Грамматика</t>
        </is>
      </c>
      <c r="D194" s="11" t="inlineStr">
        <is>
          <t>Past Continuous</t>
        </is>
      </c>
      <c r="E194" s="33" t="inlineStr">
        <is>
          <t>Past Continuous: значение — длительное действие, прерванное другим (when)</t>
        </is>
      </c>
      <c r="F194" s="11" t="inlineStr">
        <is>
          <t>7 кл. · М4 · новое
8 кл. · М1 (1c) · повт.
9 кл. · М3 (3c) · повт.
10 кл. · М5 (5c) · повт.
11 кл. · М1 (1c) · повт.</t>
        </is>
      </c>
      <c r="G194" s="11" t="n">
        <v>5</v>
      </c>
      <c r="H194" s="11">
        <f>'Темы × классы'!R91</f>
        <v/>
      </c>
      <c r="I194" s="11">
        <f>'Темы × классы'!S91&amp;""</f>
        <v/>
      </c>
      <c r="J194" s="11" t="inlineStr">
        <is>
          <t>не начат</t>
        </is>
      </c>
      <c r="K194" s="11" t="inlineStr"/>
    </row>
    <row r="195">
      <c r="A195" s="36" t="inlineStr">
        <is>
          <t>Ст-089</t>
        </is>
      </c>
      <c r="B195" s="37" t="inlineStr">
        <is>
          <t>10+</t>
        </is>
      </c>
      <c r="C195" s="11" t="inlineStr">
        <is>
          <t>Грамматика</t>
        </is>
      </c>
      <c r="D195" s="11" t="inlineStr">
        <is>
          <t>Past Continuous</t>
        </is>
      </c>
      <c r="E195" s="33" t="inlineStr">
        <is>
          <t>Past Continuous: значение — одновременные действия (while)</t>
        </is>
      </c>
      <c r="F195" s="11" t="inlineStr">
        <is>
          <t>7 кл. · М4 · новое
8 кл. · М1 (1c) · повт.
9 кл. · М3 (3c) · повт.
10 кл. · М5 (5c) · повт.
11 кл. · М1 (1c) · повт.</t>
        </is>
      </c>
      <c r="G195" s="11" t="n">
        <v>5</v>
      </c>
      <c r="H195" s="11">
        <f>'Темы × классы'!R92</f>
        <v/>
      </c>
      <c r="I195" s="11">
        <f>'Темы × классы'!S92&amp;""</f>
        <v/>
      </c>
      <c r="J195" s="11" t="inlineStr">
        <is>
          <t>не начат</t>
        </is>
      </c>
      <c r="K195" s="11" t="inlineStr"/>
    </row>
    <row r="196">
      <c r="A196" s="36" t="inlineStr">
        <is>
          <t>Ст-090</t>
        </is>
      </c>
      <c r="B196" s="37" t="inlineStr">
        <is>
          <t>10+</t>
        </is>
      </c>
      <c r="C196" s="11" t="inlineStr">
        <is>
          <t>Грамматика</t>
        </is>
      </c>
      <c r="D196" s="11" t="inlineStr">
        <is>
          <t>Past Continuous</t>
        </is>
      </c>
      <c r="E196" s="33" t="inlineStr">
        <is>
          <t>Past Continuous: значение — фон и атмосфера в рассказе</t>
        </is>
      </c>
      <c r="F196" s="11" t="inlineStr">
        <is>
          <t>7 кл. · М4 · новое
9 кл. · М3 (3c) · повт.
10 кл. · М5 (5c) · повт.
11 кл. · М1 (1c) · повт.</t>
        </is>
      </c>
      <c r="G196" s="11" t="n">
        <v>4</v>
      </c>
      <c r="H196" s="11">
        <f>'Темы × классы'!R93</f>
        <v/>
      </c>
      <c r="I196" s="11">
        <f>'Темы × классы'!S93&amp;""</f>
        <v/>
      </c>
      <c r="J196" s="11" t="inlineStr">
        <is>
          <t>не начат</t>
        </is>
      </c>
      <c r="K196" s="11" t="inlineStr"/>
    </row>
    <row r="197">
      <c r="A197" s="36" t="inlineStr">
        <is>
          <t>Ст-091</t>
        </is>
      </c>
      <c r="B197" s="37" t="inlineStr">
        <is>
          <t>10+</t>
        </is>
      </c>
      <c r="C197" s="11" t="inlineStr">
        <is>
          <t>Грамматика</t>
        </is>
      </c>
      <c r="D197" s="11" t="inlineStr">
        <is>
          <t>Past Continuous</t>
        </is>
      </c>
      <c r="E197" s="35" t="inlineStr">
        <is>
          <t>Past Continuous: опущение второго was/were при одном подлежащем</t>
        </is>
      </c>
      <c r="F197" s="11" t="inlineStr">
        <is>
          <t>7 кл. · М4 · новое</t>
        </is>
      </c>
      <c r="G197" s="11" t="n">
        <v>1</v>
      </c>
      <c r="H197" s="11">
        <f>'Темы × классы'!R94</f>
        <v/>
      </c>
      <c r="I197" s="11">
        <f>'Темы × классы'!S94&amp;""</f>
        <v/>
      </c>
      <c r="J197" s="11" t="inlineStr">
        <is>
          <t>не начат</t>
        </is>
      </c>
      <c r="K197" s="11" t="inlineStr"/>
    </row>
    <row r="198">
      <c r="A198" s="36" t="inlineStr">
        <is>
          <t>Ст-092</t>
        </is>
      </c>
      <c r="B198" s="37" t="inlineStr">
        <is>
          <t>10+</t>
        </is>
      </c>
      <c r="C198" s="11" t="inlineStr">
        <is>
          <t>Грамматика</t>
        </is>
      </c>
      <c r="D198" s="11" t="inlineStr">
        <is>
          <t>Past Simple vs Past Continuous</t>
        </is>
      </c>
      <c r="E198" s="35" t="inlineStr">
        <is>
          <t>Past Simple vs Past Continuous: указанное время — завершённое vs в процессе</t>
        </is>
      </c>
      <c r="F198" s="11" t="inlineStr">
        <is>
          <t>7 кл. · М4 · новое
8 кл. · М1 (1c) · повт.
9 кл. · М3 (3c) · повт.
10 кл. · М5 (5c) · повт.
11 кл. · М1 (1c) · повт.</t>
        </is>
      </c>
      <c r="G198" s="11" t="n">
        <v>5</v>
      </c>
      <c r="H198" s="11">
        <f>'Темы × классы'!R95</f>
        <v/>
      </c>
      <c r="I198" s="11">
        <f>'Темы × классы'!S95&amp;""</f>
        <v/>
      </c>
      <c r="J198" s="11" t="inlineStr">
        <is>
          <t>не начат</t>
        </is>
      </c>
      <c r="K198" s="11" t="inlineStr"/>
    </row>
    <row r="199">
      <c r="A199" s="36" t="inlineStr">
        <is>
          <t>Ст-093</t>
        </is>
      </c>
      <c r="B199" s="37" t="inlineStr">
        <is>
          <t>10+</t>
        </is>
      </c>
      <c r="C199" s="11" t="inlineStr">
        <is>
          <t>Грамматика</t>
        </is>
      </c>
      <c r="D199" s="11" t="inlineStr">
        <is>
          <t>Past Simple vs Past Continuous</t>
        </is>
      </c>
      <c r="E199" s="35" t="inlineStr">
        <is>
          <t>Past Simple vs Past Continuous: последовательные vs одновременные действия</t>
        </is>
      </c>
      <c r="F199" s="11" t="inlineStr">
        <is>
          <t>7 кл. · М4 · новое
8 кл. · М1 (1c) · повт.
9 кл. · М3 (3c) · повт.
10 кл. · М5 (5c) · повт.
11 кл. · М1 (1c) · повт.</t>
        </is>
      </c>
      <c r="G199" s="11" t="n">
        <v>5</v>
      </c>
      <c r="H199" s="11">
        <f>'Темы × классы'!R96</f>
        <v/>
      </c>
      <c r="I199" s="11">
        <f>'Темы × классы'!S96&amp;""</f>
        <v/>
      </c>
      <c r="J199" s="11" t="inlineStr">
        <is>
          <t>не начат</t>
        </is>
      </c>
      <c r="K199" s="11" t="inlineStr"/>
    </row>
    <row r="200">
      <c r="A200" s="36" t="inlineStr">
        <is>
          <t>Ст-094</t>
        </is>
      </c>
      <c r="B200" s="37" t="inlineStr">
        <is>
          <t>10+</t>
        </is>
      </c>
      <c r="C200" s="11" t="inlineStr">
        <is>
          <t>Грамматика</t>
        </is>
      </c>
      <c r="D200" s="11" t="inlineStr">
        <is>
          <t>Past Simple vs Past Continuous</t>
        </is>
      </c>
      <c r="E200" s="34" t="inlineStr">
        <is>
          <t>Past Simple vs Past Continuous: прерванное (PC) и прерывающее (PS) действие</t>
        </is>
      </c>
      <c r="F200" s="11" t="inlineStr">
        <is>
          <t>7 кл. · М4 · новое
8 кл. · М1 (1c) · повт.
9 кл. · М3 (3c) · повт.
10 кл. · М5 (5c) · повт.
11 кл. · М1 (1c) · повт.</t>
        </is>
      </c>
      <c r="G200" s="11" t="n">
        <v>5</v>
      </c>
      <c r="H200" s="11">
        <f>'Темы × классы'!R97</f>
        <v/>
      </c>
      <c r="I200" s="11">
        <f>'Темы × классы'!S97&amp;""</f>
        <v/>
      </c>
      <c r="J200" s="11" t="inlineStr">
        <is>
          <t>не начат</t>
        </is>
      </c>
      <c r="K200" s="11" t="inlineStr"/>
    </row>
    <row r="201">
      <c r="A201" s="36" t="inlineStr">
        <is>
          <t>Ст-095</t>
        </is>
      </c>
      <c r="B201" s="37" t="inlineStr">
        <is>
          <t>10+</t>
        </is>
      </c>
      <c r="C201" s="11" t="inlineStr">
        <is>
          <t>Грамматика</t>
        </is>
      </c>
      <c r="D201" s="11" t="inlineStr">
        <is>
          <t>Present Perfect Continuous</t>
        </is>
      </c>
      <c r="E201" s="33" t="inlineStr">
        <is>
          <t>Present Perfect Continuous: образование (have/has been + V-ing)</t>
        </is>
      </c>
      <c r="F201" s="11" t="inlineStr">
        <is>
          <t>8 кл. · М2 (2c) · новое
9 кл. · М1 (1c) · повт.
10 кл. · М1 (1c) · повт.
11 кл. · М1 (1c) · повт.</t>
        </is>
      </c>
      <c r="G201" s="11" t="n">
        <v>4</v>
      </c>
      <c r="H201" s="11">
        <f>'Темы × классы'!R98</f>
        <v/>
      </c>
      <c r="I201" s="11">
        <f>'Темы × классы'!S98&amp;""</f>
        <v/>
      </c>
      <c r="J201" s="11" t="inlineStr">
        <is>
          <t>не начат</t>
        </is>
      </c>
      <c r="K201" s="11" t="inlineStr"/>
    </row>
    <row r="202">
      <c r="A202" s="36" t="inlineStr">
        <is>
          <t>Ст-096</t>
        </is>
      </c>
      <c r="B202" s="37" t="inlineStr">
        <is>
          <t>10+</t>
        </is>
      </c>
      <c r="C202" s="11" t="inlineStr">
        <is>
          <t>Грамматика</t>
        </is>
      </c>
      <c r="D202" s="11" t="inlineStr">
        <is>
          <t>Present Perfect Continuous</t>
        </is>
      </c>
      <c r="E202" s="33" t="inlineStr">
        <is>
          <t>Present Perfect Continuous: значение — длительность до настоящего (since/for/how long)</t>
        </is>
      </c>
      <c r="F202" s="11" t="inlineStr">
        <is>
          <t>7 кл. · М8 · новое
8 кл. · М2 (2c) · повт.
9 кл. · М1 (1c) · повт.
10 кл. · М1 (1c) · повт.
11 кл. · М1 (1c) · повт.</t>
        </is>
      </c>
      <c r="G202" s="11" t="n">
        <v>5</v>
      </c>
      <c r="H202" s="11">
        <f>'Темы × классы'!R99</f>
        <v/>
      </c>
      <c r="I202" s="11">
        <f>'Темы × классы'!S99&amp;""</f>
        <v/>
      </c>
      <c r="J202" s="11" t="inlineStr">
        <is>
          <t>не начат</t>
        </is>
      </c>
      <c r="K202" s="11" t="inlineStr"/>
    </row>
    <row r="203">
      <c r="A203" s="36" t="inlineStr">
        <is>
          <t>Ст-097</t>
        </is>
      </c>
      <c r="B203" s="37" t="inlineStr">
        <is>
          <t>10+</t>
        </is>
      </c>
      <c r="C203" s="11" t="inlineStr">
        <is>
          <t>Грамматика</t>
        </is>
      </c>
      <c r="D203" s="11" t="inlineStr">
        <is>
          <t>Present Perfect Continuous</t>
        </is>
      </c>
      <c r="E203" s="33" t="inlineStr">
        <is>
          <t>Present Perfect Continuous: значение — видимый результат длительного действия</t>
        </is>
      </c>
      <c r="F203" s="11" t="inlineStr">
        <is>
          <t>7 кл. · М8 · новое
8 кл. · М2 (2c) · повт.
9 кл. · М1 (1c) · повт.
10 кл. · М1 (1c) · повт.
11 кл. · М1 (1c) · повт.</t>
        </is>
      </c>
      <c r="G203" s="11" t="n">
        <v>5</v>
      </c>
      <c r="H203" s="11">
        <f>'Темы × классы'!R100</f>
        <v/>
      </c>
      <c r="I203" s="11">
        <f>'Темы × классы'!S100&amp;""</f>
        <v/>
      </c>
      <c r="J203" s="11" t="inlineStr">
        <is>
          <t>не начат</t>
        </is>
      </c>
      <c r="K203" s="11" t="inlineStr"/>
    </row>
    <row r="204">
      <c r="A204" s="36" t="inlineStr">
        <is>
          <t>Ст-098</t>
        </is>
      </c>
      <c r="B204" s="37" t="inlineStr">
        <is>
          <t>10+</t>
        </is>
      </c>
      <c r="C204" s="11" t="inlineStr">
        <is>
          <t>Грамматика</t>
        </is>
      </c>
      <c r="D204" s="11" t="inlineStr">
        <is>
          <t>Present Perfect Continuous</t>
        </is>
      </c>
      <c r="E204" s="35" t="inlineStr">
        <is>
          <t>Present Perfect Continuous: значение — раздражение/критика</t>
        </is>
      </c>
      <c r="F204" s="11" t="inlineStr">
        <is>
          <t>9 кл. · М1 (1c) · новое
10 кл. · М1 (1c) · повт.
11 кл. · М1 (1c) · повт.</t>
        </is>
      </c>
      <c r="G204" s="11" t="n">
        <v>3</v>
      </c>
      <c r="H204" s="11">
        <f>'Темы × классы'!R101</f>
        <v/>
      </c>
      <c r="I204" s="11">
        <f>'Темы × классы'!S101&amp;""</f>
        <v/>
      </c>
      <c r="J204" s="11" t="inlineStr">
        <is>
          <t>не начат</t>
        </is>
      </c>
      <c r="K204" s="11" t="inlineStr"/>
    </row>
    <row r="205">
      <c r="A205" s="36" t="inlineStr">
        <is>
          <t>Ст-099</t>
        </is>
      </c>
      <c r="B205" s="37" t="inlineStr">
        <is>
          <t>10+</t>
        </is>
      </c>
      <c r="C205" s="11" t="inlineStr">
        <is>
          <t>Грамматика</t>
        </is>
      </c>
      <c r="D205" s="11" t="inlineStr">
        <is>
          <t>Present Perfect Continuous</t>
        </is>
      </c>
      <c r="E205" s="35" t="inlineStr">
        <is>
          <t>Present Perfect Continuous: значение — повторяющиеся действия до настоящего</t>
        </is>
      </c>
      <c r="F205" s="11" t="inlineStr">
        <is>
          <t>9 кл. · М1 (1c) · новое
10 кл. · М1 (1c) · повт.
11 кл. · М1 (1c) · повт.</t>
        </is>
      </c>
      <c r="G205" s="11" t="n">
        <v>3</v>
      </c>
      <c r="H205" s="11">
        <f>'Темы × классы'!R102</f>
        <v/>
      </c>
      <c r="I205" s="11">
        <f>'Темы × классы'!S102&amp;""</f>
        <v/>
      </c>
      <c r="J205" s="11" t="inlineStr">
        <is>
          <t>не начат</t>
        </is>
      </c>
      <c r="K205" s="11" t="inlineStr"/>
    </row>
    <row r="206">
      <c r="A206" s="36" t="inlineStr">
        <is>
          <t>Ст-100</t>
        </is>
      </c>
      <c r="B206" s="37" t="inlineStr">
        <is>
          <t>10+</t>
        </is>
      </c>
      <c r="C206" s="11" t="inlineStr">
        <is>
          <t>Грамматика</t>
        </is>
      </c>
      <c r="D206" s="11" t="inlineStr">
        <is>
          <t>Present Perfect Continuous</t>
        </is>
      </c>
      <c r="E206" s="35" t="inlineStr">
        <is>
          <t>Present Perfect Continuous: live/work/teach/feel — без разницы с Present Perfect</t>
        </is>
      </c>
      <c r="F206" s="11" t="inlineStr">
        <is>
          <t>7 кл. · М8 · новое</t>
        </is>
      </c>
      <c r="G206" s="11" t="n">
        <v>1</v>
      </c>
      <c r="H206" s="11">
        <f>'Темы × классы'!R103</f>
        <v/>
      </c>
      <c r="I206" s="11">
        <f>'Темы × классы'!S103&amp;""</f>
        <v/>
      </c>
      <c r="J206" s="11" t="inlineStr">
        <is>
          <t>не начат</t>
        </is>
      </c>
      <c r="K206" s="11" t="inlineStr"/>
    </row>
    <row r="207">
      <c r="A207" s="36" t="inlineStr">
        <is>
          <t>Ст-101</t>
        </is>
      </c>
      <c r="B207" s="37" t="inlineStr">
        <is>
          <t>10+</t>
        </is>
      </c>
      <c r="C207" s="11" t="inlineStr">
        <is>
          <t>Грамматика</t>
        </is>
      </c>
      <c r="D207" s="11" t="inlineStr">
        <is>
          <t>Present Perfect vs Past Simple</t>
        </is>
      </c>
      <c r="E207" s="33" t="inlineStr">
        <is>
          <t>Present Perfect vs Past Simple: указанное время vs неуказанное время</t>
        </is>
      </c>
      <c r="F207" s="11" t="inlineStr">
        <is>
          <t>7 кл. · М7 · новое
8 кл. · М2 (2c) · повт.
9 кл. · М1 (1c) · повт.
10 кл. · М1 (1c) · повт.
11 кл. · М1 (1c) · повт.</t>
        </is>
      </c>
      <c r="G207" s="11" t="n">
        <v>5</v>
      </c>
      <c r="H207" s="11">
        <f>'Темы × классы'!R104</f>
        <v/>
      </c>
      <c r="I207" s="11">
        <f>'Темы × классы'!S104&amp;""</f>
        <v/>
      </c>
      <c r="J207" s="11" t="inlineStr">
        <is>
          <t>не начат</t>
        </is>
      </c>
      <c r="K207" s="11" t="inlineStr"/>
    </row>
    <row r="208">
      <c r="A208" s="36" t="inlineStr">
        <is>
          <t>Ст-102</t>
        </is>
      </c>
      <c r="B208" s="37" t="inlineStr">
        <is>
          <t>10+</t>
        </is>
      </c>
      <c r="C208" s="11" t="inlineStr">
        <is>
          <t>Грамматика</t>
        </is>
      </c>
      <c r="D208" s="11" t="inlineStr">
        <is>
          <t>Present Perfect vs Past Simple</t>
        </is>
      </c>
      <c r="E208" s="35" t="inlineStr">
        <is>
          <t>Present Perfect vs Past Simple: закончилось в прошлом vs длится до сих пор</t>
        </is>
      </c>
      <c r="F208" s="11" t="inlineStr">
        <is>
          <t>7 кл. · М7 · новое
8 кл. · М2 (2c) · повт.
9 кл. · М1 (1c) · повт.
10 кл. · М1 (1c) · повт.
11 кл. · М1 (1c) · повт.</t>
        </is>
      </c>
      <c r="G208" s="11" t="n">
        <v>5</v>
      </c>
      <c r="H208" s="11">
        <f>'Темы × классы'!R105</f>
        <v/>
      </c>
      <c r="I208" s="11">
        <f>'Темы × классы'!S105&amp;""</f>
        <v/>
      </c>
      <c r="J208" s="11" t="inlineStr">
        <is>
          <t>не начат</t>
        </is>
      </c>
      <c r="K208" s="11" t="inlineStr"/>
    </row>
    <row r="209">
      <c r="A209" s="36" t="inlineStr">
        <is>
          <t>Ст-103</t>
        </is>
      </c>
      <c r="B209" s="37" t="inlineStr">
        <is>
          <t>10+</t>
        </is>
      </c>
      <c r="C209" s="11" t="inlineStr">
        <is>
          <t>Грамматика</t>
        </is>
      </c>
      <c r="D209" s="11" t="inlineStr">
        <is>
          <t>Present Perfect vs Present Perfect Continuous</t>
        </is>
      </c>
      <c r="E209" s="33" t="inlineStr">
        <is>
          <t>Present Perfect vs Present Perfect Continuous: результат vs длительность</t>
        </is>
      </c>
      <c r="F209" s="11" t="inlineStr">
        <is>
          <t>7 кл. · М9 · новое</t>
        </is>
      </c>
      <c r="G209" s="11" t="n">
        <v>1</v>
      </c>
      <c r="H209" s="11">
        <f>'Темы × классы'!R106</f>
        <v/>
      </c>
      <c r="I209" s="11">
        <f>'Темы × классы'!S106&amp;""</f>
        <v/>
      </c>
      <c r="J209" s="11" t="inlineStr">
        <is>
          <t>не начат</t>
        </is>
      </c>
      <c r="K209" s="11" t="inlineStr"/>
    </row>
    <row r="210">
      <c r="A210" s="36" t="inlineStr">
        <is>
          <t>Ст-104</t>
        </is>
      </c>
      <c r="B210" s="37" t="inlineStr">
        <is>
          <t>10+</t>
        </is>
      </c>
      <c r="C210" s="11" t="inlineStr">
        <is>
          <t>Грамматика</t>
        </is>
      </c>
      <c r="D210" s="11" t="inlineStr">
        <is>
          <t>Present Perfect vs Present Perfect Continuous</t>
        </is>
      </c>
      <c r="E210" s="33" t="inlineStr">
        <is>
          <t>Present Perfect vs Present Perfect Continuous: stative verbs — только Present Perfect</t>
        </is>
      </c>
      <c r="F210" s="11" t="inlineStr">
        <is>
          <t>7 кл. · М9 · новое</t>
        </is>
      </c>
      <c r="G210" s="11" t="n">
        <v>1</v>
      </c>
      <c r="H210" s="11">
        <f>'Темы × классы'!R107</f>
        <v/>
      </c>
      <c r="I210" s="11">
        <f>'Темы × классы'!S107&amp;""</f>
        <v/>
      </c>
      <c r="J210" s="11" t="inlineStr">
        <is>
          <t>не начат</t>
        </is>
      </c>
      <c r="K210" s="11" t="inlineStr"/>
    </row>
    <row r="211">
      <c r="A211" s="36" t="inlineStr">
        <is>
          <t>Ст-105</t>
        </is>
      </c>
      <c r="B211" s="37" t="inlineStr">
        <is>
          <t>10+</t>
        </is>
      </c>
      <c r="C211" s="11" t="inlineStr">
        <is>
          <t>Грамматика</t>
        </is>
      </c>
      <c r="D211" s="11" t="inlineStr">
        <is>
          <t>Present Perfect vs Present Perfect Continuous</t>
        </is>
      </c>
      <c r="E211" s="33" t="inlineStr">
        <is>
          <t>Present Perfect vs Present Perfect Continuous: результат завершённого действия vs следы процесса</t>
        </is>
      </c>
      <c r="F211" s="11" t="inlineStr">
        <is>
          <t>7 кл. · М9 · новое</t>
        </is>
      </c>
      <c r="G211" s="11" t="n">
        <v>1</v>
      </c>
      <c r="H211" s="11">
        <f>'Темы × классы'!R108</f>
        <v/>
      </c>
      <c r="I211" s="11">
        <f>'Темы × классы'!S108&amp;""</f>
        <v/>
      </c>
      <c r="J211" s="11" t="inlineStr">
        <is>
          <t>не начат</t>
        </is>
      </c>
      <c r="K211" s="11" t="inlineStr"/>
    </row>
    <row r="212">
      <c r="A212" s="36" t="inlineStr">
        <is>
          <t>Ст-106</t>
        </is>
      </c>
      <c r="B212" s="37" t="inlineStr">
        <is>
          <t>10+</t>
        </is>
      </c>
      <c r="C212" s="11" t="inlineStr">
        <is>
          <t>Грамматика</t>
        </is>
      </c>
      <c r="D212" s="11" t="inlineStr">
        <is>
          <t>Present Perfect vs Present Perfect Continuous</t>
        </is>
      </c>
      <c r="E212" s="35" t="inlineStr">
        <is>
          <t>Present Perfect vs Present Perfect Continuous: эмоциональная окраска Continuous (раздражение)</t>
        </is>
      </c>
      <c r="F212" s="11" t="inlineStr">
        <is>
          <t>7 кл. · М9 · новое</t>
        </is>
      </c>
      <c r="G212" s="11" t="n">
        <v>1</v>
      </c>
      <c r="H212" s="11">
        <f>'Темы × классы'!R109</f>
        <v/>
      </c>
      <c r="I212" s="11">
        <f>'Темы × классы'!S109&amp;""</f>
        <v/>
      </c>
      <c r="J212" s="11" t="inlineStr">
        <is>
          <t>не начат</t>
        </is>
      </c>
      <c r="K212" s="11" t="inlineStr"/>
    </row>
    <row r="213">
      <c r="A213" s="36" t="inlineStr">
        <is>
          <t>Ст-107</t>
        </is>
      </c>
      <c r="B213" s="37" t="inlineStr">
        <is>
          <t>10+</t>
        </is>
      </c>
      <c r="C213" s="11" t="inlineStr">
        <is>
          <t>Грамматика</t>
        </is>
      </c>
      <c r="D213" s="11" t="inlineStr">
        <is>
          <t>Past Perfect</t>
        </is>
      </c>
      <c r="E213" s="33" t="inlineStr">
        <is>
          <t>Past Perfect: образование (had + V3)</t>
        </is>
      </c>
      <c r="F213" s="11" t="inlineStr">
        <is>
          <t>8 кл. · М3 (3c) · новое
9 кл. · М3 (3c) · повт.
10 кл. · М5 (5c) · повт.</t>
        </is>
      </c>
      <c r="G213" s="11" t="n">
        <v>3</v>
      </c>
      <c r="H213" s="11">
        <f>'Темы × классы'!R110</f>
        <v/>
      </c>
      <c r="I213" s="11">
        <f>'Темы × классы'!S110&amp;""</f>
        <v/>
      </c>
      <c r="J213" s="11" t="inlineStr">
        <is>
          <t>не начат</t>
        </is>
      </c>
      <c r="K213" s="11" t="inlineStr"/>
    </row>
    <row r="214">
      <c r="A214" s="36" t="inlineStr">
        <is>
          <t>Ст-108</t>
        </is>
      </c>
      <c r="B214" s="37" t="inlineStr">
        <is>
          <t>10+</t>
        </is>
      </c>
      <c r="C214" s="11" t="inlineStr">
        <is>
          <t>Грамматика</t>
        </is>
      </c>
      <c r="D214" s="11" t="inlineStr">
        <is>
          <t>Past Perfect</t>
        </is>
      </c>
      <c r="E214" s="33" t="inlineStr">
        <is>
          <t>Past Perfect: значение — действие до другого действия/момента в прошлом</t>
        </is>
      </c>
      <c r="F214" s="11" t="inlineStr">
        <is>
          <t>8 кл. · М3 (3c) · новое
9 кл. · М3 (3c) · повт.
10 кл. · М5 (5c) · расш.</t>
        </is>
      </c>
      <c r="G214" s="11" t="n">
        <v>3</v>
      </c>
      <c r="H214" s="11">
        <f>'Темы × классы'!R111</f>
        <v/>
      </c>
      <c r="I214" s="11">
        <f>'Темы × классы'!S111&amp;""</f>
        <v/>
      </c>
      <c r="J214" s="11" t="inlineStr">
        <is>
          <t>не начат</t>
        </is>
      </c>
      <c r="K214" s="11" t="inlineStr"/>
    </row>
    <row r="215">
      <c r="A215" s="36" t="inlineStr">
        <is>
          <t>Ст-109</t>
        </is>
      </c>
      <c r="B215" s="37" t="inlineStr">
        <is>
          <t>10+</t>
        </is>
      </c>
      <c r="C215" s="11" t="inlineStr">
        <is>
          <t>Грамматика</t>
        </is>
      </c>
      <c r="D215" s="11" t="inlineStr">
        <is>
          <t>Past Perfect</t>
        </is>
      </c>
      <c r="E215" s="35" t="inlineStr">
        <is>
          <t>Past Perfect: значение — завершённое действие с результатом в прошлом</t>
        </is>
      </c>
      <c r="F215" s="11" t="inlineStr">
        <is>
          <t>8 кл. · М3 (3c) · новое
9 кл. · М3 (3c) · повт.
10 кл. · М5 (5c) · повт.</t>
        </is>
      </c>
      <c r="G215" s="11" t="n">
        <v>3</v>
      </c>
      <c r="H215" s="11">
        <f>'Темы × классы'!R112</f>
        <v/>
      </c>
      <c r="I215" s="11">
        <f>'Темы × классы'!S112&amp;""</f>
        <v/>
      </c>
      <c r="J215" s="11" t="inlineStr">
        <is>
          <t>не начат</t>
        </is>
      </c>
      <c r="K215" s="11" t="inlineStr"/>
    </row>
    <row r="216">
      <c r="A216" s="36" t="inlineStr">
        <is>
          <t>Ст-110</t>
        </is>
      </c>
      <c r="B216" s="37" t="inlineStr">
        <is>
          <t>10+</t>
        </is>
      </c>
      <c r="C216" s="11" t="inlineStr">
        <is>
          <t>Грамматика</t>
        </is>
      </c>
      <c r="D216" s="11" t="inlineStr">
        <is>
          <t>Past Perfect</t>
        </is>
      </c>
      <c r="E216" s="35" t="inlineStr">
        <is>
          <t>Past Perfect vs Past Simple: с before/after без разницы</t>
        </is>
      </c>
      <c r="F216" s="11" t="inlineStr">
        <is>
          <t>10 кл. · М5 (5c) · новое</t>
        </is>
      </c>
      <c r="G216" s="11" t="n">
        <v>1</v>
      </c>
      <c r="H216" s="11">
        <f>'Темы × классы'!R113</f>
        <v/>
      </c>
      <c r="I216" s="11">
        <f>'Темы × классы'!S113&amp;""</f>
        <v/>
      </c>
      <c r="J216" s="11" t="inlineStr">
        <is>
          <t>не начат</t>
        </is>
      </c>
      <c r="K216" s="11" t="inlineStr"/>
    </row>
    <row r="217">
      <c r="A217" s="36" t="inlineStr">
        <is>
          <t>Ст-111</t>
        </is>
      </c>
      <c r="B217" s="37" t="inlineStr">
        <is>
          <t>10+</t>
        </is>
      </c>
      <c r="C217" s="11" t="inlineStr">
        <is>
          <t>Грамматика</t>
        </is>
      </c>
      <c r="D217" s="11" t="inlineStr">
        <is>
          <t>Past Perfect Continuous</t>
        </is>
      </c>
      <c r="E217" s="33" t="inlineStr">
        <is>
          <t>Past Perfect Continuous: образование (had been + V-ing)</t>
        </is>
      </c>
      <c r="F217" s="11" t="inlineStr">
        <is>
          <t>8 кл. · М3 (3c) · новое
9 кл. · М3 (3c) · повт.
10 кл. · М5 (5c) · повт.</t>
        </is>
      </c>
      <c r="G217" s="11" t="n">
        <v>3</v>
      </c>
      <c r="H217" s="11">
        <f>'Темы × классы'!R114</f>
        <v/>
      </c>
      <c r="I217" s="11">
        <f>'Темы × классы'!S114&amp;""</f>
        <v/>
      </c>
      <c r="J217" s="11" t="inlineStr">
        <is>
          <t>не начат</t>
        </is>
      </c>
      <c r="K217" s="11" t="inlineStr"/>
    </row>
    <row r="218">
      <c r="A218" s="36" t="inlineStr">
        <is>
          <t>Ст-112</t>
        </is>
      </c>
      <c r="B218" s="37" t="inlineStr">
        <is>
          <t>10+</t>
        </is>
      </c>
      <c r="C218" s="11" t="inlineStr">
        <is>
          <t>Грамматика</t>
        </is>
      </c>
      <c r="D218" s="11" t="inlineStr">
        <is>
          <t>Past Perfect Continuous</t>
        </is>
      </c>
      <c r="E218" s="33" t="inlineStr">
        <is>
          <t>Past Perfect Continuous: значение — длительность до другого прошлого действия</t>
        </is>
      </c>
      <c r="F218" s="11" t="inlineStr">
        <is>
          <t>8 кл. · М3 (3c) · новое
9 кл. · М3 (3c) · повт.
10 кл. · М5 (5c) · повт.</t>
        </is>
      </c>
      <c r="G218" s="11" t="n">
        <v>3</v>
      </c>
      <c r="H218" s="11">
        <f>'Темы × классы'!R115</f>
        <v/>
      </c>
      <c r="I218" s="11">
        <f>'Темы × классы'!S115&amp;""</f>
        <v/>
      </c>
      <c r="J218" s="11" t="inlineStr">
        <is>
          <t>не начат</t>
        </is>
      </c>
      <c r="K218" s="11" t="inlineStr"/>
    </row>
    <row r="219">
      <c r="A219" s="36" t="inlineStr">
        <is>
          <t>Ст-113</t>
        </is>
      </c>
      <c r="B219" s="37" t="inlineStr">
        <is>
          <t>10+</t>
        </is>
      </c>
      <c r="C219" s="11" t="inlineStr">
        <is>
          <t>Грамматика</t>
        </is>
      </c>
      <c r="D219" s="11" t="inlineStr">
        <is>
          <t>Past Perfect Continuous</t>
        </is>
      </c>
      <c r="E219" s="35" t="inlineStr">
        <is>
          <t>Past Perfect Continuous: значение — длительное действие с видимым результатом в прошлом</t>
        </is>
      </c>
      <c r="F219" s="11" t="inlineStr">
        <is>
          <t>8 кл. · М3 (3c) · новое
9 кл. · М3 (3c) · повт.
10 кл. · М5 (5c) · повт.</t>
        </is>
      </c>
      <c r="G219" s="11" t="n">
        <v>3</v>
      </c>
      <c r="H219" s="11">
        <f>'Темы × классы'!R116</f>
        <v/>
      </c>
      <c r="I219" s="11">
        <f>'Темы × классы'!S116&amp;""</f>
        <v/>
      </c>
      <c r="J219" s="11" t="inlineStr">
        <is>
          <t>не начат</t>
        </is>
      </c>
      <c r="K219" s="11" t="inlineStr"/>
    </row>
    <row r="220">
      <c r="A220" s="36" t="inlineStr">
        <is>
          <t>Ст-114</t>
        </is>
      </c>
      <c r="B220" s="37" t="inlineStr">
        <is>
          <t>10+</t>
        </is>
      </c>
      <c r="C220" s="11" t="inlineStr">
        <is>
          <t>Грамматика</t>
        </is>
      </c>
      <c r="D220" s="11" t="inlineStr">
        <is>
          <t>have gone to / have been to / have been in</t>
        </is>
      </c>
      <c r="E220" s="35" t="inlineStr">
        <is>
          <t>have gone to vs have been to: уехал и не вернулся vs побывал</t>
        </is>
      </c>
      <c r="F220" s="11" t="inlineStr">
        <is>
          <t>8 кл. · М2 (2c) · новое
9 кл. · М1 (1c) · повт.
10 кл. · М1 (1c) · повт.
11 кл. · М1 (1c) · повт.</t>
        </is>
      </c>
      <c r="G220" s="11" t="n">
        <v>4</v>
      </c>
      <c r="H220" s="11">
        <f>'Темы × классы'!R117</f>
        <v/>
      </c>
      <c r="I220" s="11">
        <f>'Темы × классы'!S117&amp;""</f>
        <v/>
      </c>
      <c r="J220" s="11" t="inlineStr">
        <is>
          <t>не начат</t>
        </is>
      </c>
      <c r="K220" s="11" t="inlineStr"/>
    </row>
    <row r="221">
      <c r="A221" s="36" t="inlineStr">
        <is>
          <t>Ст-115</t>
        </is>
      </c>
      <c r="B221" s="37" t="inlineStr">
        <is>
          <t>10+</t>
        </is>
      </c>
      <c r="C221" s="11" t="inlineStr">
        <is>
          <t>Грамматика</t>
        </is>
      </c>
      <c r="D221" s="11" t="inlineStr">
        <is>
          <t>have gone to / have been to / have been in</t>
        </is>
      </c>
      <c r="E221" s="35" t="inlineStr">
        <is>
          <t>have been in: находится там (в течение периода)</t>
        </is>
      </c>
      <c r="F221" s="11" t="inlineStr">
        <is>
          <t>8 кл. · М2 (2c) · новое
9 кл. · М1 (1c) · повт.
10 кл. · М1 (1c) · повт.
11 кл. · М1 (1c) · повт.</t>
        </is>
      </c>
      <c r="G221" s="11" t="n">
        <v>4</v>
      </c>
      <c r="H221" s="11">
        <f>'Темы × классы'!R118</f>
        <v/>
      </c>
      <c r="I221" s="11">
        <f>'Темы × классы'!S118&amp;""</f>
        <v/>
      </c>
      <c r="J221" s="11" t="inlineStr">
        <is>
          <t>не начат</t>
        </is>
      </c>
      <c r="K221" s="11" t="inlineStr"/>
    </row>
    <row r="222">
      <c r="A222" s="36" t="inlineStr">
        <is>
          <t>Ст-116</t>
        </is>
      </c>
      <c r="B222" s="37" t="inlineStr">
        <is>
          <t>10+</t>
        </is>
      </c>
      <c r="C222" s="11" t="inlineStr">
        <is>
          <t>Грамматика</t>
        </is>
      </c>
      <c r="D222" s="11" t="inlineStr">
        <is>
          <t>Future Continuous</t>
        </is>
      </c>
      <c r="E222" s="33" t="inlineStr">
        <is>
          <t>Future Continuous: образование (will be + V-ing)</t>
        </is>
      </c>
      <c r="F222" s="11" t="inlineStr">
        <is>
          <t>9 кл. · М4 (4c) · новое
10 кл. · М3 (3c) · повт.
11 кл. · М1 (1c) · повт.</t>
        </is>
      </c>
      <c r="G222" s="11" t="n">
        <v>3</v>
      </c>
      <c r="H222" s="11">
        <f>'Темы × классы'!R119</f>
        <v/>
      </c>
      <c r="I222" s="11">
        <f>'Темы × классы'!S119&amp;""</f>
        <v/>
      </c>
      <c r="J222" s="11" t="inlineStr">
        <is>
          <t>не начат</t>
        </is>
      </c>
      <c r="K222" s="11" t="inlineStr"/>
    </row>
    <row r="223">
      <c r="A223" s="36" t="inlineStr">
        <is>
          <t>Ст-117</t>
        </is>
      </c>
      <c r="B223" s="37" t="inlineStr">
        <is>
          <t>10+</t>
        </is>
      </c>
      <c r="C223" s="11" t="inlineStr">
        <is>
          <t>Грамматика</t>
        </is>
      </c>
      <c r="D223" s="11" t="inlineStr">
        <is>
          <t>Future Continuous</t>
        </is>
      </c>
      <c r="E223" s="33" t="inlineStr">
        <is>
          <t>Future Continuous: значение — действие в процессе в момент будущего</t>
        </is>
      </c>
      <c r="F223" s="11" t="inlineStr">
        <is>
          <t>9 кл. · М4 (4c) · новое
10 кл. · М3 (3c) · повт.
11 кл. · М1 (1c) · повт.</t>
        </is>
      </c>
      <c r="G223" s="11" t="n">
        <v>3</v>
      </c>
      <c r="H223" s="11">
        <f>'Темы × классы'!R120</f>
        <v/>
      </c>
      <c r="I223" s="11">
        <f>'Темы × классы'!S120&amp;""</f>
        <v/>
      </c>
      <c r="J223" s="11" t="inlineStr">
        <is>
          <t>не начат</t>
        </is>
      </c>
      <c r="K223" s="11" t="inlineStr"/>
    </row>
    <row r="224">
      <c r="A224" s="36" t="inlineStr">
        <is>
          <t>Ст-118</t>
        </is>
      </c>
      <c r="B224" s="37" t="inlineStr">
        <is>
          <t>10+</t>
        </is>
      </c>
      <c r="C224" s="11" t="inlineStr">
        <is>
          <t>Грамматика</t>
        </is>
      </c>
      <c r="D224" s="11" t="inlineStr">
        <is>
          <t>Future Continuous</t>
        </is>
      </c>
      <c r="E224" s="35" t="inlineStr">
        <is>
          <t>Future Continuous: значение — по распорядку/договорённости</t>
        </is>
      </c>
      <c r="F224" s="11" t="inlineStr">
        <is>
          <t>9 кл. · М4 (4c) · новое
10 кл. · М3 (3c) · повт.
11 кл. · М1 (1c) · повт.</t>
        </is>
      </c>
      <c r="G224" s="11" t="n">
        <v>3</v>
      </c>
      <c r="H224" s="11">
        <f>'Темы × классы'!R121</f>
        <v/>
      </c>
      <c r="I224" s="11">
        <f>'Темы × классы'!S121&amp;""</f>
        <v/>
      </c>
      <c r="J224" s="11" t="inlineStr">
        <is>
          <t>не начат</t>
        </is>
      </c>
      <c r="K224" s="11" t="inlineStr"/>
    </row>
    <row r="225">
      <c r="A225" s="36" t="inlineStr">
        <is>
          <t>Ст-119</t>
        </is>
      </c>
      <c r="B225" s="37" t="inlineStr">
        <is>
          <t>10+</t>
        </is>
      </c>
      <c r="C225" s="11" t="inlineStr">
        <is>
          <t>Грамматика</t>
        </is>
      </c>
      <c r="D225" s="11" t="inlineStr">
        <is>
          <t>Future Continuous</t>
        </is>
      </c>
      <c r="E225" s="35" t="inlineStr">
        <is>
          <t>Future Continuous: значение — вежливый вопрос о планах</t>
        </is>
      </c>
      <c r="F225" s="11" t="inlineStr">
        <is>
          <t>9 кл. · М4 (4c) · новое
10 кл. · М3 (3c) · повт.
11 кл. · М1 (1c) · повт.</t>
        </is>
      </c>
      <c r="G225" s="11" t="n">
        <v>3</v>
      </c>
      <c r="H225" s="11">
        <f>'Темы × классы'!R122</f>
        <v/>
      </c>
      <c r="I225" s="11">
        <f>'Темы × классы'!S122&amp;""</f>
        <v/>
      </c>
      <c r="J225" s="11" t="inlineStr">
        <is>
          <t>не начат</t>
        </is>
      </c>
      <c r="K225" s="11" t="inlineStr"/>
    </row>
    <row r="226">
      <c r="A226" s="36" t="inlineStr">
        <is>
          <t>Ст-120</t>
        </is>
      </c>
      <c r="B226" s="37" t="inlineStr">
        <is>
          <t>10+</t>
        </is>
      </c>
      <c r="C226" s="11" t="inlineStr">
        <is>
          <t>Грамматика</t>
        </is>
      </c>
      <c r="D226" s="11" t="inlineStr">
        <is>
          <t>Future Perfect</t>
        </is>
      </c>
      <c r="E226" s="33" t="inlineStr">
        <is>
          <t>Future Perfect: образование (will have + V3)</t>
        </is>
      </c>
      <c r="F226" s="11" t="inlineStr">
        <is>
          <t>9 кл. · М4 (4c) · новое
10 кл. · М3 (3c) · повт.</t>
        </is>
      </c>
      <c r="G226" s="11" t="n">
        <v>2</v>
      </c>
      <c r="H226" s="11">
        <f>'Темы × классы'!R123</f>
        <v/>
      </c>
      <c r="I226" s="11">
        <f>'Темы × классы'!S123&amp;""</f>
        <v/>
      </c>
      <c r="J226" s="11" t="inlineStr">
        <is>
          <t>не начат</t>
        </is>
      </c>
      <c r="K226" s="11" t="inlineStr"/>
    </row>
    <row r="227">
      <c r="A227" s="36" t="inlineStr">
        <is>
          <t>Ст-121</t>
        </is>
      </c>
      <c r="B227" s="37" t="inlineStr">
        <is>
          <t>10+</t>
        </is>
      </c>
      <c r="C227" s="11" t="inlineStr">
        <is>
          <t>Грамматика</t>
        </is>
      </c>
      <c r="D227" s="11" t="inlineStr">
        <is>
          <t>Future Perfect</t>
        </is>
      </c>
      <c r="E227" s="33" t="inlineStr">
        <is>
          <t>Future Perfect: значение — завершится к моменту в будущем</t>
        </is>
      </c>
      <c r="F227" s="11" t="inlineStr">
        <is>
          <t>9 кл. · М4 (4c) · новое
10 кл. · М3 (3c) · повт.</t>
        </is>
      </c>
      <c r="G227" s="11" t="n">
        <v>2</v>
      </c>
      <c r="H227" s="11">
        <f>'Темы × классы'!R124</f>
        <v/>
      </c>
      <c r="I227" s="11">
        <f>'Темы × классы'!S124&amp;""</f>
        <v/>
      </c>
      <c r="J227" s="11" t="inlineStr">
        <is>
          <t>не начат</t>
        </is>
      </c>
      <c r="K227" s="11" t="inlineStr"/>
    </row>
    <row r="228">
      <c r="A228" s="36" t="inlineStr">
        <is>
          <t>Ст-122</t>
        </is>
      </c>
      <c r="B228" s="37" t="inlineStr">
        <is>
          <t>10+</t>
        </is>
      </c>
      <c r="C228" s="11" t="inlineStr">
        <is>
          <t>Грамматика</t>
        </is>
      </c>
      <c r="D228" s="11" t="inlineStr">
        <is>
          <t>can (ability)</t>
        </is>
      </c>
      <c r="E228" s="35" t="inlineStr">
        <is>
          <t>can (ability): значение — умение; утверждение can + глагол без to</t>
        </is>
      </c>
      <c r="F228" s="11" t="inlineStr">
        <is>
          <t>5 кл. · М4 (4a) · расш.
6 кл. · М3 (3b) · повт.</t>
        </is>
      </c>
      <c r="G228" s="11" t="n">
        <v>2</v>
      </c>
      <c r="H228" s="11">
        <f>'Темы × классы'!R125</f>
        <v/>
      </c>
      <c r="I228" s="11">
        <f>'Темы × классы'!S125&amp;""</f>
        <v/>
      </c>
      <c r="J228" s="11" t="inlineStr">
        <is>
          <t>не начат</t>
        </is>
      </c>
      <c r="K228" s="11" t="inlineStr"/>
    </row>
    <row r="229">
      <c r="A229" s="36" t="inlineStr">
        <is>
          <t>Ст-123</t>
        </is>
      </c>
      <c r="B229" s="37" t="inlineStr">
        <is>
          <t>10+</t>
        </is>
      </c>
      <c r="C229" s="11" t="inlineStr">
        <is>
          <t>Грамматика</t>
        </is>
      </c>
      <c r="D229" s="11" t="inlineStr">
        <is>
          <t>can (ability)</t>
        </is>
      </c>
      <c r="E229" s="35" t="inlineStr">
        <is>
          <t>can (ability): отрицание — cannot / can't</t>
        </is>
      </c>
      <c r="F229" s="11" t="inlineStr">
        <is>
          <t>5 кл. · М4 (4a) · повт.
6 кл. · М3 (3b) · повт.</t>
        </is>
      </c>
      <c r="G229" s="11" t="n">
        <v>2</v>
      </c>
      <c r="H229" s="11">
        <f>'Темы × классы'!R126</f>
        <v/>
      </c>
      <c r="I229" s="11">
        <f>'Темы × классы'!S126&amp;""</f>
        <v/>
      </c>
      <c r="J229" s="11" t="inlineStr">
        <is>
          <t>не начат</t>
        </is>
      </c>
      <c r="K229" s="11" t="inlineStr"/>
    </row>
    <row r="230">
      <c r="A230" s="36" t="inlineStr">
        <is>
          <t>Ст-124</t>
        </is>
      </c>
      <c r="B230" s="37" t="inlineStr">
        <is>
          <t>10+</t>
        </is>
      </c>
      <c r="C230" s="11" t="inlineStr">
        <is>
          <t>Грамматика</t>
        </is>
      </c>
      <c r="D230" s="11" t="inlineStr">
        <is>
          <t>can (ability)</t>
        </is>
      </c>
      <c r="E230" s="35" t="inlineStr">
        <is>
          <t>can (ability): вопросы и краткие ответы</t>
        </is>
      </c>
      <c r="F230" s="11" t="inlineStr">
        <is>
          <t>5 кл. · М4 (4a) · повт.
6 кл. · М3 (3b) · повт.</t>
        </is>
      </c>
      <c r="G230" s="11" t="n">
        <v>2</v>
      </c>
      <c r="H230" s="11">
        <f>'Темы × классы'!R127</f>
        <v/>
      </c>
      <c r="I230" s="11">
        <f>'Темы × классы'!S127&amp;""</f>
        <v/>
      </c>
      <c r="J230" s="11" t="inlineStr">
        <is>
          <t>не начат</t>
        </is>
      </c>
      <c r="K230" s="11" t="inlineStr"/>
    </row>
    <row r="231">
      <c r="A231" s="36" t="inlineStr">
        <is>
          <t>Ст-125</t>
        </is>
      </c>
      <c r="B231" s="37" t="inlineStr">
        <is>
          <t>10+</t>
        </is>
      </c>
      <c r="C231" s="11" t="inlineStr">
        <is>
          <t>Грамматика</t>
        </is>
      </c>
      <c r="D231" s="11" t="inlineStr">
        <is>
          <t>have got</t>
        </is>
      </c>
      <c r="E231" s="35" t="inlineStr">
        <is>
          <t>have got: утверждение — have got / has got (полные и краткие формы)</t>
        </is>
      </c>
      <c r="F231" s="11" t="inlineStr">
        <is>
          <t>5 кл. · М2 (2a) · повт.
6 кл. · М1 · повт.</t>
        </is>
      </c>
      <c r="G231" s="11" t="n">
        <v>2</v>
      </c>
      <c r="H231" s="11">
        <f>'Темы × классы'!R128</f>
        <v/>
      </c>
      <c r="I231" s="11">
        <f>'Темы × классы'!S128&amp;""</f>
        <v/>
      </c>
      <c r="J231" s="11" t="inlineStr">
        <is>
          <t>не начат</t>
        </is>
      </c>
      <c r="K231" s="11" t="inlineStr"/>
    </row>
    <row r="232">
      <c r="A232" s="36" t="inlineStr">
        <is>
          <t>Ст-126</t>
        </is>
      </c>
      <c r="B232" s="37" t="inlineStr">
        <is>
          <t>10+</t>
        </is>
      </c>
      <c r="C232" s="11" t="inlineStr">
        <is>
          <t>Грамматика</t>
        </is>
      </c>
      <c r="D232" s="11" t="inlineStr">
        <is>
          <t>have got</t>
        </is>
      </c>
      <c r="E232" s="35" t="inlineStr">
        <is>
          <t>have got: отрицание — haven't got / hasn't got</t>
        </is>
      </c>
      <c r="F232" s="11" t="inlineStr">
        <is>
          <t>5 кл. · М2 (2a) · повт.
6 кл. · М1 · повт.</t>
        </is>
      </c>
      <c r="G232" s="11" t="n">
        <v>2</v>
      </c>
      <c r="H232" s="11">
        <f>'Темы × классы'!R129</f>
        <v/>
      </c>
      <c r="I232" s="11">
        <f>'Темы × классы'!S129&amp;""</f>
        <v/>
      </c>
      <c r="J232" s="11" t="inlineStr">
        <is>
          <t>не начат</t>
        </is>
      </c>
      <c r="K232" s="11" t="inlineStr"/>
    </row>
    <row r="233">
      <c r="A233" s="36" t="inlineStr">
        <is>
          <t>Ст-127</t>
        </is>
      </c>
      <c r="B233" s="37" t="inlineStr">
        <is>
          <t>10+</t>
        </is>
      </c>
      <c r="C233" s="11" t="inlineStr">
        <is>
          <t>Грамматика</t>
        </is>
      </c>
      <c r="D233" s="11" t="inlineStr">
        <is>
          <t>have got</t>
        </is>
      </c>
      <c r="E233" s="35" t="inlineStr">
        <is>
          <t>have got: вопросы и краткие ответы</t>
        </is>
      </c>
      <c r="F233" s="11" t="inlineStr">
        <is>
          <t>5 кл. · М2 (2a) · повт.
6 кл. · М1 · повт.</t>
        </is>
      </c>
      <c r="G233" s="11" t="n">
        <v>2</v>
      </c>
      <c r="H233" s="11">
        <f>'Темы × классы'!R130</f>
        <v/>
      </c>
      <c r="I233" s="11">
        <f>'Темы × классы'!S130&amp;""</f>
        <v/>
      </c>
      <c r="J233" s="11" t="inlineStr">
        <is>
          <t>не начат</t>
        </is>
      </c>
      <c r="K233" s="11" t="inlineStr"/>
    </row>
    <row r="234">
      <c r="A234" s="36" t="inlineStr">
        <is>
          <t>Ст-128</t>
        </is>
      </c>
      <c r="B234" s="37" t="inlineStr">
        <is>
          <t>10+</t>
        </is>
      </c>
      <c r="C234" s="11" t="inlineStr">
        <is>
          <t>Грамматика</t>
        </is>
      </c>
      <c r="D234" s="11" t="inlineStr">
        <is>
          <t>have got</t>
        </is>
      </c>
      <c r="E234" s="35" t="inlineStr">
        <is>
          <t>have got: значение — принадлежность (иметь)</t>
        </is>
      </c>
      <c r="F234" s="11" t="inlineStr">
        <is>
          <t>5 кл. · М2 (2a) · повт.
6 кл. · М1 · повт.</t>
        </is>
      </c>
      <c r="G234" s="11" t="n">
        <v>2</v>
      </c>
      <c r="H234" s="11">
        <f>'Темы × классы'!R131</f>
        <v/>
      </c>
      <c r="I234" s="11">
        <f>'Темы × классы'!S131&amp;""</f>
        <v/>
      </c>
      <c r="J234" s="11" t="inlineStr">
        <is>
          <t>не начат</t>
        </is>
      </c>
      <c r="K234" s="11" t="inlineStr"/>
    </row>
    <row r="235">
      <c r="A235" s="36" t="inlineStr">
        <is>
          <t>Ст-129</t>
        </is>
      </c>
      <c r="B235" s="37" t="inlineStr">
        <is>
          <t>10+</t>
        </is>
      </c>
      <c r="C235" s="11" t="inlineStr">
        <is>
          <t>Грамматика</t>
        </is>
      </c>
      <c r="D235" s="11" t="inlineStr">
        <is>
          <t>have got</t>
        </is>
      </c>
      <c r="E235" s="35" t="inlineStr">
        <is>
          <t>have got: значение — описание внешности людей, животных, предметов</t>
        </is>
      </c>
      <c r="F235" s="11" t="inlineStr">
        <is>
          <t>6 кл. · М1 · повт.</t>
        </is>
      </c>
      <c r="G235" s="11" t="n">
        <v>1</v>
      </c>
      <c r="H235" s="11">
        <f>'Темы × классы'!R132</f>
        <v/>
      </c>
      <c r="I235" s="11">
        <f>'Темы × классы'!S132&amp;""</f>
        <v/>
      </c>
      <c r="J235" s="11" t="inlineStr">
        <is>
          <t>не начат</t>
        </is>
      </c>
      <c r="K235" s="11" t="inlineStr"/>
    </row>
    <row r="236">
      <c r="A236" s="36" t="inlineStr">
        <is>
          <t>Ст-130</t>
        </is>
      </c>
      <c r="B236" s="37" t="inlineStr">
        <is>
          <t>10+</t>
        </is>
      </c>
      <c r="C236" s="11" t="inlineStr">
        <is>
          <t>Грамматика</t>
        </is>
      </c>
      <c r="D236" s="11" t="inlineStr">
        <is>
          <t>have got</t>
        </is>
      </c>
      <c r="E236" s="35" t="inlineStr">
        <is>
          <t>have got: значение — родственные отношения</t>
        </is>
      </c>
      <c r="F236" s="11" t="inlineStr">
        <is>
          <t>6 кл. · М1 · новое</t>
        </is>
      </c>
      <c r="G236" s="11" t="n">
        <v>1</v>
      </c>
      <c r="H236" s="11">
        <f>'Темы × классы'!R133</f>
        <v/>
      </c>
      <c r="I236" s="11">
        <f>'Темы × классы'!S133&amp;""</f>
        <v/>
      </c>
      <c r="J236" s="11" t="inlineStr">
        <is>
          <t>не начат</t>
        </is>
      </c>
      <c r="K236" s="11" t="inlineStr"/>
    </row>
    <row r="237">
      <c r="A237" s="36" t="inlineStr">
        <is>
          <t>Ст-131</t>
        </is>
      </c>
      <c r="B237" s="37" t="inlineStr">
        <is>
          <t>10+</t>
        </is>
      </c>
      <c r="C237" s="11" t="inlineStr">
        <is>
          <t>Грамматика</t>
        </is>
      </c>
      <c r="D237" s="11" t="inlineStr">
        <is>
          <t>to be (Past: was/were)</t>
        </is>
      </c>
      <c r="E237" s="35" t="inlineStr">
        <is>
          <t>to be (Past): утверждение — was / were</t>
        </is>
      </c>
      <c r="F237" s="11" t="inlineStr">
        <is>
          <t>5 кл. · М9 (9a) · повт.
6 кл. · М7 (7a) · повт.</t>
        </is>
      </c>
      <c r="G237" s="11" t="n">
        <v>2</v>
      </c>
      <c r="H237" s="11">
        <f>'Темы × классы'!R135</f>
        <v/>
      </c>
      <c r="I237" s="11">
        <f>'Темы × классы'!S135&amp;""</f>
        <v/>
      </c>
      <c r="J237" s="11" t="inlineStr">
        <is>
          <t>не начат</t>
        </is>
      </c>
      <c r="K237" s="11" t="inlineStr"/>
    </row>
    <row r="238">
      <c r="A238" s="36" t="inlineStr">
        <is>
          <t>Ст-132</t>
        </is>
      </c>
      <c r="B238" s="37" t="inlineStr">
        <is>
          <t>10+</t>
        </is>
      </c>
      <c r="C238" s="11" t="inlineStr">
        <is>
          <t>Грамматика</t>
        </is>
      </c>
      <c r="D238" s="11" t="inlineStr">
        <is>
          <t>to be (Past: was/were)</t>
        </is>
      </c>
      <c r="E238" s="35" t="inlineStr">
        <is>
          <t>to be (Past): отрицание — wasn't / weren't</t>
        </is>
      </c>
      <c r="F238" s="11" t="inlineStr">
        <is>
          <t>5 кл. · М9 (9a) · повт.
6 кл. · М7 (7a) · повт.</t>
        </is>
      </c>
      <c r="G238" s="11" t="n">
        <v>2</v>
      </c>
      <c r="H238" s="11">
        <f>'Темы × классы'!R136</f>
        <v/>
      </c>
      <c r="I238" s="11">
        <f>'Темы × классы'!S136&amp;""</f>
        <v/>
      </c>
      <c r="J238" s="11" t="inlineStr">
        <is>
          <t>не начат</t>
        </is>
      </c>
      <c r="K238" s="11" t="inlineStr"/>
    </row>
    <row r="239">
      <c r="A239" s="36" t="inlineStr">
        <is>
          <t>Ст-133</t>
        </is>
      </c>
      <c r="B239" s="37" t="inlineStr">
        <is>
          <t>10+</t>
        </is>
      </c>
      <c r="C239" s="11" t="inlineStr">
        <is>
          <t>Грамматика</t>
        </is>
      </c>
      <c r="D239" s="11" t="inlineStr">
        <is>
          <t>to be (Past: was/were)</t>
        </is>
      </c>
      <c r="E239" s="35" t="inlineStr">
        <is>
          <t>to be (Past): вопросы и краткие ответы</t>
        </is>
      </c>
      <c r="F239" s="11" t="inlineStr">
        <is>
          <t>5 кл. · М9 (9a) · повт.
6 кл. · М7 (7a) · повт.</t>
        </is>
      </c>
      <c r="G239" s="11" t="n">
        <v>2</v>
      </c>
      <c r="H239" s="11">
        <f>'Темы × классы'!R137</f>
        <v/>
      </c>
      <c r="I239" s="11">
        <f>'Темы × классы'!S137&amp;""</f>
        <v/>
      </c>
      <c r="J239" s="11" t="inlineStr">
        <is>
          <t>не начат</t>
        </is>
      </c>
      <c r="K239" s="11" t="inlineStr"/>
    </row>
    <row r="240">
      <c r="A240" s="36" t="inlineStr">
        <is>
          <t>Ст-134</t>
        </is>
      </c>
      <c r="B240" s="37" t="inlineStr">
        <is>
          <t>10+</t>
        </is>
      </c>
      <c r="C240" s="11" t="inlineStr">
        <is>
          <t>Грамматика</t>
        </is>
      </c>
      <c r="D240" s="11" t="inlineStr">
        <is>
          <t>to be (Present)</t>
        </is>
      </c>
      <c r="E240" s="35" t="inlineStr">
        <is>
          <t>to be (Present): утверждение — am/is/are, полные и краткие формы</t>
        </is>
      </c>
      <c r="F240" s="11" t="inlineStr">
        <is>
          <t>5 кл. · М1 (1b) · повт.
6 кл. · М1 · повт.</t>
        </is>
      </c>
      <c r="G240" s="11" t="n">
        <v>2</v>
      </c>
      <c r="H240" s="11">
        <f>'Темы × классы'!R139</f>
        <v/>
      </c>
      <c r="I240" s="11">
        <f>'Темы × классы'!S139&amp;""</f>
        <v/>
      </c>
      <c r="J240" s="11" t="inlineStr">
        <is>
          <t>не начат</t>
        </is>
      </c>
      <c r="K240" s="11" t="inlineStr"/>
    </row>
    <row r="241">
      <c r="A241" s="36" t="inlineStr">
        <is>
          <t>Ст-135</t>
        </is>
      </c>
      <c r="B241" s="37" t="inlineStr">
        <is>
          <t>10+</t>
        </is>
      </c>
      <c r="C241" s="11" t="inlineStr">
        <is>
          <t>Грамматика</t>
        </is>
      </c>
      <c r="D241" s="11" t="inlineStr">
        <is>
          <t>to be (Present)</t>
        </is>
      </c>
      <c r="E241" s="35" t="inlineStr">
        <is>
          <t>to be (Present): отрицание — am not / isn't / aren't</t>
        </is>
      </c>
      <c r="F241" s="11" t="inlineStr">
        <is>
          <t>5 кл. · М1 (1b) · повт.
6 кл. · М1 · повт.</t>
        </is>
      </c>
      <c r="G241" s="11" t="n">
        <v>2</v>
      </c>
      <c r="H241" s="11">
        <f>'Темы × классы'!R140</f>
        <v/>
      </c>
      <c r="I241" s="11">
        <f>'Темы × классы'!S140&amp;""</f>
        <v/>
      </c>
      <c r="J241" s="11" t="inlineStr">
        <is>
          <t>не начат</t>
        </is>
      </c>
      <c r="K241" s="11" t="inlineStr"/>
    </row>
    <row r="242">
      <c r="A242" s="36" t="inlineStr">
        <is>
          <t>Ст-136</t>
        </is>
      </c>
      <c r="B242" s="37" t="inlineStr">
        <is>
          <t>10+</t>
        </is>
      </c>
      <c r="C242" s="11" t="inlineStr">
        <is>
          <t>Грамматика</t>
        </is>
      </c>
      <c r="D242" s="11" t="inlineStr">
        <is>
          <t>to be (Present)</t>
        </is>
      </c>
      <c r="E242" s="35" t="inlineStr">
        <is>
          <t>to be (Present): вопросы и краткие ответы</t>
        </is>
      </c>
      <c r="F242" s="11" t="inlineStr">
        <is>
          <t>5 кл. · М1 (1b) · повт.
6 кл. · М1 · повт.</t>
        </is>
      </c>
      <c r="G242" s="11" t="n">
        <v>2</v>
      </c>
      <c r="H242" s="11">
        <f>'Темы × классы'!R141</f>
        <v/>
      </c>
      <c r="I242" s="11">
        <f>'Темы × классы'!S141&amp;""</f>
        <v/>
      </c>
      <c r="J242" s="11" t="inlineStr">
        <is>
          <t>не начат</t>
        </is>
      </c>
      <c r="K242" s="11" t="inlineStr"/>
    </row>
    <row r="243">
      <c r="A243" s="36" t="inlineStr">
        <is>
          <t>Ст-137</t>
        </is>
      </c>
      <c r="B243" s="37" t="inlineStr">
        <is>
          <t>10+</t>
        </is>
      </c>
      <c r="C243" s="11" t="inlineStr">
        <is>
          <t>Грамматика</t>
        </is>
      </c>
      <c r="D243" s="11" t="inlineStr">
        <is>
          <t>have to</t>
        </is>
      </c>
      <c r="E243" s="33" t="inlineStr">
        <is>
          <t>have to: значение — необходимость из-за обстоятельств (утверждение)</t>
        </is>
      </c>
      <c r="F243" s="11" t="inlineStr">
        <is>
          <t>6 кл. · М8 (8c) · расш.
7 кл. · М8 · повт.
8 кл. · М7 (7c) · повт.
9 кл. · М7 (7d) · повт.
10 кл. · М4 (4c) · расш.</t>
        </is>
      </c>
      <c r="G243" s="11" t="n">
        <v>5</v>
      </c>
      <c r="H243" s="11">
        <f>'Темы × классы'!R142</f>
        <v/>
      </c>
      <c r="I243" s="11">
        <f>'Темы × классы'!S142&amp;""</f>
        <v/>
      </c>
      <c r="J243" s="11" t="inlineStr">
        <is>
          <t>не начат</t>
        </is>
      </c>
      <c r="K243" s="11" t="inlineStr"/>
    </row>
    <row r="244">
      <c r="A244" s="36" t="inlineStr">
        <is>
          <t>Ст-138</t>
        </is>
      </c>
      <c r="B244" s="37" t="inlineStr">
        <is>
          <t>10+</t>
        </is>
      </c>
      <c r="C244" s="11" t="inlineStr">
        <is>
          <t>Грамматика</t>
        </is>
      </c>
      <c r="D244" s="11" t="inlineStr">
        <is>
          <t>have to</t>
        </is>
      </c>
      <c r="E244" s="33" t="inlineStr">
        <is>
          <t>have to: don't / doesn't have to — отсутствие необходимости</t>
        </is>
      </c>
      <c r="F244" s="11" t="inlineStr">
        <is>
          <t>6 кл. · М8 (8c) · повт.
7 кл. · М8 · повт.
8 кл. · М7 (7c) · повт.
9 кл. · М7 (7d) · повт.
10 кл. · М4 (4c) · повт.</t>
        </is>
      </c>
      <c r="G244" s="11" t="n">
        <v>5</v>
      </c>
      <c r="H244" s="11">
        <f>'Темы × классы'!R143</f>
        <v/>
      </c>
      <c r="I244" s="11">
        <f>'Темы × классы'!S143&amp;""</f>
        <v/>
      </c>
      <c r="J244" s="11" t="inlineStr">
        <is>
          <t>не начат</t>
        </is>
      </c>
      <c r="K244" s="11" t="inlineStr"/>
    </row>
    <row r="245">
      <c r="A245" s="36" t="inlineStr">
        <is>
          <t>Ст-139</t>
        </is>
      </c>
      <c r="B245" s="37" t="inlineStr">
        <is>
          <t>10+</t>
        </is>
      </c>
      <c r="C245" s="11" t="inlineStr">
        <is>
          <t>Грамматика</t>
        </is>
      </c>
      <c r="D245" s="11" t="inlineStr">
        <is>
          <t>have to</t>
        </is>
      </c>
      <c r="E245" s="35" t="inlineStr">
        <is>
          <t>have to: had to — прошедшее время</t>
        </is>
      </c>
      <c r="F245" s="11" t="inlineStr">
        <is>
          <t>7 кл. · М8 · новое
8 кл. · М7 (7c) · повт.
10 кл. · М4 (4c) · повт.</t>
        </is>
      </c>
      <c r="G245" s="11" t="n">
        <v>3</v>
      </c>
      <c r="H245" s="11">
        <f>'Темы × классы'!R145</f>
        <v/>
      </c>
      <c r="I245" s="11">
        <f>'Темы × классы'!S145&amp;""</f>
        <v/>
      </c>
      <c r="J245" s="11" t="inlineStr">
        <is>
          <t>не начат</t>
        </is>
      </c>
      <c r="K245" s="11" t="inlineStr"/>
    </row>
    <row r="246">
      <c r="A246" s="36" t="inlineStr">
        <is>
          <t>Ст-140</t>
        </is>
      </c>
      <c r="B246" s="37" t="inlineStr">
        <is>
          <t>10+</t>
        </is>
      </c>
      <c r="C246" s="11" t="inlineStr">
        <is>
          <t>Грамматика</t>
        </is>
      </c>
      <c r="D246" s="11" t="inlineStr">
        <is>
          <t>have to</t>
        </is>
      </c>
      <c r="E246" s="35" t="inlineStr">
        <is>
          <t>have to: didn't have to — не было необходимости в прошлом</t>
        </is>
      </c>
      <c r="F246" s="11" t="inlineStr">
        <is>
          <t>8 кл. · М7 (7c) · новое
9 кл. · М7 (7d) · повт.
10 кл. · М4 (4c) · повт.</t>
        </is>
      </c>
      <c r="G246" s="11" t="n">
        <v>3</v>
      </c>
      <c r="H246" s="11">
        <f>'Темы × классы'!R146</f>
        <v/>
      </c>
      <c r="I246" s="11">
        <f>'Темы × классы'!S146&amp;""</f>
        <v/>
      </c>
      <c r="J246" s="11" t="inlineStr">
        <is>
          <t>не начат</t>
        </is>
      </c>
      <c r="K246" s="11" t="inlineStr"/>
    </row>
    <row r="247">
      <c r="A247" s="36" t="inlineStr">
        <is>
          <t>Ст-141</t>
        </is>
      </c>
      <c r="B247" s="37" t="inlineStr">
        <is>
          <t>10+</t>
        </is>
      </c>
      <c r="C247" s="11" t="inlineStr">
        <is>
          <t>Грамматика</t>
        </is>
      </c>
      <c r="D247" s="11" t="inlineStr">
        <is>
          <t>have to</t>
        </is>
      </c>
      <c r="E247" s="35" t="inlineStr">
        <is>
          <t>have to: have got to (= have to)</t>
        </is>
      </c>
      <c r="F247" s="11" t="inlineStr">
        <is>
          <t>10 кл. · М4 (4c) · новое</t>
        </is>
      </c>
      <c r="G247" s="11" t="n">
        <v>1</v>
      </c>
      <c r="H247" s="11">
        <f>'Темы × классы'!R147</f>
        <v/>
      </c>
      <c r="I247" s="11">
        <f>'Темы × классы'!S147&amp;""</f>
        <v/>
      </c>
      <c r="J247" s="11" t="inlineStr">
        <is>
          <t>не начат</t>
        </is>
      </c>
      <c r="K247" s="11" t="inlineStr"/>
    </row>
    <row r="248">
      <c r="A248" s="36" t="inlineStr">
        <is>
          <t>Ст-142</t>
        </is>
      </c>
      <c r="B248" s="37" t="inlineStr">
        <is>
          <t>10+</t>
        </is>
      </c>
      <c r="C248" s="11" t="inlineStr">
        <is>
          <t>Грамматика</t>
        </is>
      </c>
      <c r="D248" s="11" t="inlineStr">
        <is>
          <t>may/might</t>
        </is>
      </c>
      <c r="E248" s="35" t="inlineStr">
        <is>
          <t>may/might: can — общая (теоретическая) возможность</t>
        </is>
      </c>
      <c r="F248" s="11" t="inlineStr">
        <is>
          <t>8 кл. · М7 (7c) · новое
9 кл. · М7 (7d) · повт.
10 кл. · М4 (4c) · повт.
11 кл. · М5 (5c) · повт.</t>
        </is>
      </c>
      <c r="G248" s="11" t="n">
        <v>4</v>
      </c>
      <c r="H248" s="11">
        <f>'Темы × классы'!R149</f>
        <v/>
      </c>
      <c r="I248" s="11">
        <f>'Темы × классы'!S149&amp;""</f>
        <v/>
      </c>
      <c r="J248" s="11" t="inlineStr">
        <is>
          <t>не начат</t>
        </is>
      </c>
      <c r="K248" s="11" t="inlineStr"/>
    </row>
    <row r="249">
      <c r="A249" s="36" t="inlineStr">
        <is>
          <t>Ст-143</t>
        </is>
      </c>
      <c r="B249" s="37" t="inlineStr">
        <is>
          <t>10+</t>
        </is>
      </c>
      <c r="C249" s="11" t="inlineStr">
        <is>
          <t>Грамматика</t>
        </is>
      </c>
      <c r="D249" s="11" t="inlineStr">
        <is>
          <t>may/might</t>
        </is>
      </c>
      <c r="E249" s="35" t="inlineStr">
        <is>
          <t>may/might: could/may/might — возможность в конкретной ситуации</t>
        </is>
      </c>
      <c r="F249" s="11" t="inlineStr">
        <is>
          <t>8 кл. · М7 (7c) · новое
9 кл. · М7 (7d) · повт.
10 кл. · М4 (4c) · повт.
11 кл. · М5 (5c) · повт.</t>
        </is>
      </c>
      <c r="G249" s="11" t="n">
        <v>4</v>
      </c>
      <c r="H249" s="11">
        <f>'Темы × классы'!R150</f>
        <v/>
      </c>
      <c r="I249" s="11">
        <f>'Темы × классы'!S150&amp;""</f>
        <v/>
      </c>
      <c r="J249" s="11" t="inlineStr">
        <is>
          <t>не начат</t>
        </is>
      </c>
      <c r="K249" s="11" t="inlineStr"/>
    </row>
    <row r="250">
      <c r="A250" s="36" t="inlineStr">
        <is>
          <t>Ст-144</t>
        </is>
      </c>
      <c r="B250" s="37" t="inlineStr">
        <is>
          <t>10+</t>
        </is>
      </c>
      <c r="C250" s="11" t="inlineStr">
        <is>
          <t>Грамматика</t>
        </is>
      </c>
      <c r="D250" s="11" t="inlineStr">
        <is>
          <t>may/might</t>
        </is>
      </c>
      <c r="E250" s="35" t="inlineStr">
        <is>
          <t>may/might: возможность в вопросах — can/could/might, но не may</t>
        </is>
      </c>
      <c r="F250" s="11" t="inlineStr">
        <is>
          <t>8 кл. · М7 (7c) · новое
9 кл. · М7 (7d) · повт.
10 кл. · М4 (4c) · повт.
11 кл. · М5 (5c) · повт.</t>
        </is>
      </c>
      <c r="G250" s="11" t="n">
        <v>4</v>
      </c>
      <c r="H250" s="11">
        <f>'Темы × классы'!R151</f>
        <v/>
      </c>
      <c r="I250" s="11">
        <f>'Темы × классы'!S151&amp;""</f>
        <v/>
      </c>
      <c r="J250" s="11" t="inlineStr">
        <is>
          <t>не начат</t>
        </is>
      </c>
      <c r="K250" s="11" t="inlineStr"/>
    </row>
    <row r="251">
      <c r="A251" s="36" t="inlineStr">
        <is>
          <t>Ст-145</t>
        </is>
      </c>
      <c r="B251" s="37" t="inlineStr">
        <is>
          <t>10+</t>
        </is>
      </c>
      <c r="C251" s="11" t="inlineStr">
        <is>
          <t>Грамматика</t>
        </is>
      </c>
      <c r="D251" s="11" t="inlineStr">
        <is>
          <t>may/might</t>
        </is>
      </c>
      <c r="E251" s="35" t="inlineStr">
        <is>
          <t>may/might: could/might/would + have V3 — было возможно, но не случилось</t>
        </is>
      </c>
      <c r="F251" s="11" t="inlineStr">
        <is>
          <t>8 кл. · М7 (7c) · новое
9 кл. · М7 (7d) · повт.
10 кл. · М4 (4c) · повт.
11 кл. · М5 (5c) · повт.</t>
        </is>
      </c>
      <c r="G251" s="11" t="n">
        <v>4</v>
      </c>
      <c r="H251" s="11">
        <f>'Темы × классы'!R152</f>
        <v/>
      </c>
      <c r="I251" s="11">
        <f>'Темы × классы'!S152&amp;""</f>
        <v/>
      </c>
      <c r="J251" s="11" t="inlineStr">
        <is>
          <t>не начат</t>
        </is>
      </c>
      <c r="K251" s="11" t="inlineStr"/>
    </row>
    <row r="252">
      <c r="A252" s="36" t="inlineStr">
        <is>
          <t>Ст-146</t>
        </is>
      </c>
      <c r="B252" s="37" t="inlineStr">
        <is>
          <t>10+</t>
        </is>
      </c>
      <c r="C252" s="11" t="inlineStr">
        <is>
          <t>Грамматика</t>
        </is>
      </c>
      <c r="D252" s="11" t="inlineStr">
        <is>
          <t>must/mustn't</t>
        </is>
      </c>
      <c r="E252" s="33" t="inlineStr">
        <is>
          <t>must/mustn't: must — обязанность, необходимость</t>
        </is>
      </c>
      <c r="F252" s="11" t="inlineStr">
        <is>
          <t>5 кл. · М9 · повт.
6 кл. · М8 (8a) · повт.
7 кл. · М8 · повт.
8 кл. · М7 (7c) · повт.
9 кл. · М7 (7d) · повт.
10 кл. · М4 (4c) · расш.</t>
        </is>
      </c>
      <c r="G252" s="11" t="n">
        <v>6</v>
      </c>
      <c r="H252" s="11">
        <f>'Темы × классы'!R153</f>
        <v/>
      </c>
      <c r="I252" s="11">
        <f>'Темы × классы'!S153&amp;""</f>
        <v/>
      </c>
      <c r="J252" s="11" t="inlineStr">
        <is>
          <t>не начат</t>
        </is>
      </c>
      <c r="K252" s="11" t="inlineStr"/>
    </row>
    <row r="253">
      <c r="A253" s="36" t="inlineStr">
        <is>
          <t>Ст-147</t>
        </is>
      </c>
      <c r="B253" s="37" t="inlineStr">
        <is>
          <t>10+</t>
        </is>
      </c>
      <c r="C253" s="11" t="inlineStr">
        <is>
          <t>Грамматика</t>
        </is>
      </c>
      <c r="D253" s="11" t="inlineStr">
        <is>
          <t>must/mustn't</t>
        </is>
      </c>
      <c r="E253" s="33" t="inlineStr">
        <is>
          <t>must/mustn't: mustn't — запрет</t>
        </is>
      </c>
      <c r="F253" s="11" t="inlineStr">
        <is>
          <t>5 кл. · М9 · повт.
6 кл. · М8 (8a) · повт.
7 кл. · М8 · повт.
9 кл. · М7 (7d) · повт.
10 кл. · М4 (4c) · повт.</t>
        </is>
      </c>
      <c r="G253" s="11" t="n">
        <v>5</v>
      </c>
      <c r="H253" s="11">
        <f>'Темы × классы'!R154</f>
        <v/>
      </c>
      <c r="I253" s="11">
        <f>'Темы × классы'!S154&amp;""</f>
        <v/>
      </c>
      <c r="J253" s="11" t="inlineStr">
        <is>
          <t>не начат</t>
        </is>
      </c>
      <c r="K253" s="11" t="inlineStr"/>
    </row>
    <row r="254">
      <c r="A254" s="36" t="inlineStr">
        <is>
          <t>Ст-148</t>
        </is>
      </c>
      <c r="B254" s="37" t="inlineStr">
        <is>
          <t>10+</t>
        </is>
      </c>
      <c r="C254" s="11" t="inlineStr">
        <is>
          <t>Грамматика</t>
        </is>
      </c>
      <c r="D254" s="11" t="inlineStr">
        <is>
          <t>must/mustn't</t>
        </is>
      </c>
      <c r="E254" s="35" t="inlineStr">
        <is>
          <t>must/mustn't: can't как запрет (= mustn't)</t>
        </is>
      </c>
      <c r="F254" s="11" t="inlineStr">
        <is>
          <t>6 кл. · М8 (8a) · новое
8 кл. · М7 (7c) · повт.
10 кл. · М4 (4c) · повт.</t>
        </is>
      </c>
      <c r="G254" s="11" t="n">
        <v>3</v>
      </c>
      <c r="H254" s="11">
        <f>'Темы × классы'!R155</f>
        <v/>
      </c>
      <c r="I254" s="11">
        <f>'Темы × классы'!S155&amp;""</f>
        <v/>
      </c>
      <c r="J254" s="11" t="inlineStr">
        <is>
          <t>не начат</t>
        </is>
      </c>
      <c r="K254" s="11" t="inlineStr"/>
    </row>
    <row r="255">
      <c r="A255" s="36" t="inlineStr">
        <is>
          <t>Ст-149</t>
        </is>
      </c>
      <c r="B255" s="37" t="inlineStr">
        <is>
          <t>10+</t>
        </is>
      </c>
      <c r="C255" s="11" t="inlineStr">
        <is>
          <t>Грамматика</t>
        </is>
      </c>
      <c r="D255" s="11" t="inlineStr">
        <is>
          <t>must/mustn't</t>
        </is>
      </c>
      <c r="E255" s="35" t="inlineStr">
        <is>
          <t>must/mustn't: must — настойчивый совет</t>
        </is>
      </c>
      <c r="F255" s="11" t="inlineStr">
        <is>
          <t>7 кл. · М8 · новое</t>
        </is>
      </c>
      <c r="G255" s="11" t="n">
        <v>1</v>
      </c>
      <c r="H255" s="11">
        <f>'Темы × классы'!R156</f>
        <v/>
      </c>
      <c r="I255" s="11">
        <f>'Темы × классы'!S156&amp;""</f>
        <v/>
      </c>
      <c r="J255" s="11" t="inlineStr">
        <is>
          <t>не начат</t>
        </is>
      </c>
      <c r="K255" s="11" t="inlineStr"/>
    </row>
    <row r="256">
      <c r="A256" s="36" t="inlineStr">
        <is>
          <t>Ст-150</t>
        </is>
      </c>
      <c r="B256" s="37" t="inlineStr">
        <is>
          <t>10+</t>
        </is>
      </c>
      <c r="C256" s="11" t="inlineStr">
        <is>
          <t>Грамматика</t>
        </is>
      </c>
      <c r="D256" s="11" t="inlineStr">
        <is>
          <t>must/mustn't</t>
        </is>
      </c>
      <c r="E256" s="35" t="inlineStr">
        <is>
          <t>must/mustn't: must только в настоящем; в других временах — have to / had to</t>
        </is>
      </c>
      <c r="F256" s="11" t="inlineStr">
        <is>
          <t>7 кл. · М8 · новое
8 кл. · М7 (7c) · повт.
9 кл. · М7 (7d) · повт.</t>
        </is>
      </c>
      <c r="G256" s="11" t="n">
        <v>3</v>
      </c>
      <c r="H256" s="11">
        <f>'Темы × классы'!R157</f>
        <v/>
      </c>
      <c r="I256" s="11">
        <f>'Темы × классы'!S157&amp;""</f>
        <v/>
      </c>
      <c r="J256" s="11" t="inlineStr">
        <is>
          <t>не начат</t>
        </is>
      </c>
      <c r="K256" s="11" t="inlineStr"/>
    </row>
    <row r="257">
      <c r="A257" s="36" t="inlineStr">
        <is>
          <t>Ст-151</t>
        </is>
      </c>
      <c r="B257" s="37" t="inlineStr">
        <is>
          <t>10+</t>
        </is>
      </c>
      <c r="C257" s="11" t="inlineStr">
        <is>
          <t>Грамматика</t>
        </is>
      </c>
      <c r="D257" s="11" t="inlineStr">
        <is>
          <t>must/mustn't</t>
        </is>
      </c>
      <c r="E257" s="35" t="inlineStr">
        <is>
          <t>must/mustn't: must — логический вывод</t>
        </is>
      </c>
      <c r="F257" s="11" t="inlineStr">
        <is>
          <t>10 кл. · М4 (4c) · новое</t>
        </is>
      </c>
      <c r="G257" s="11" t="n">
        <v>1</v>
      </c>
      <c r="H257" s="11">
        <f>'Темы × классы'!R158</f>
        <v/>
      </c>
      <c r="I257" s="11">
        <f>'Темы × классы'!S158&amp;""</f>
        <v/>
      </c>
      <c r="J257" s="11" t="inlineStr">
        <is>
          <t>не начат</t>
        </is>
      </c>
      <c r="K257" s="11" t="inlineStr"/>
    </row>
    <row r="258">
      <c r="A258" s="36" t="inlineStr">
        <is>
          <t>Ст-152</t>
        </is>
      </c>
      <c r="B258" s="37" t="inlineStr">
        <is>
          <t>10+</t>
        </is>
      </c>
      <c r="C258" s="11" t="inlineStr">
        <is>
          <t>Грамматика</t>
        </is>
      </c>
      <c r="D258" s="11" t="inlineStr">
        <is>
          <t>can (permission/request)</t>
        </is>
      </c>
      <c r="E258" s="33" t="inlineStr">
        <is>
          <t>can (permission/request): спросить разрешения — Can I…?</t>
        </is>
      </c>
      <c r="F258" s="11" t="inlineStr">
        <is>
          <t>5 кл. · М10 (10a) · новое
6 кл. · М3 (3b) · повт.</t>
        </is>
      </c>
      <c r="G258" s="11" t="n">
        <v>2</v>
      </c>
      <c r="H258" s="11">
        <f>'Темы × классы'!R159</f>
        <v/>
      </c>
      <c r="I258" s="11">
        <f>'Темы × классы'!S159&amp;""</f>
        <v/>
      </c>
      <c r="J258" s="11" t="inlineStr">
        <is>
          <t>не начат</t>
        </is>
      </c>
      <c r="K258" s="11" t="inlineStr"/>
    </row>
    <row r="259">
      <c r="A259" s="36" t="inlineStr">
        <is>
          <t>Ст-153</t>
        </is>
      </c>
      <c r="B259" s="37" t="inlineStr">
        <is>
          <t>10+</t>
        </is>
      </c>
      <c r="C259" s="11" t="inlineStr">
        <is>
          <t>Грамматика</t>
        </is>
      </c>
      <c r="D259" s="11" t="inlineStr">
        <is>
          <t>can (permission/request)</t>
        </is>
      </c>
      <c r="E259" s="35" t="inlineStr">
        <is>
          <t>can (permission/request): просьба — Can you…? / Can I have…?</t>
        </is>
      </c>
      <c r="F259" s="11" t="inlineStr">
        <is>
          <t>5 кл. · М10 (10a) · новое
6 кл. · М3 (3b) · повт.</t>
        </is>
      </c>
      <c r="G259" s="11" t="n">
        <v>2</v>
      </c>
      <c r="H259" s="11">
        <f>'Темы × классы'!R160</f>
        <v/>
      </c>
      <c r="I259" s="11">
        <f>'Темы × классы'!S160&amp;""</f>
        <v/>
      </c>
      <c r="J259" s="11" t="inlineStr">
        <is>
          <t>не начат</t>
        </is>
      </c>
      <c r="K259" s="11" t="inlineStr"/>
    </row>
    <row r="260">
      <c r="A260" s="36" t="inlineStr">
        <is>
          <t>Ст-154</t>
        </is>
      </c>
      <c r="B260" s="37" t="inlineStr">
        <is>
          <t>10+</t>
        </is>
      </c>
      <c r="C260" s="11" t="inlineStr">
        <is>
          <t>Грамматика</t>
        </is>
      </c>
      <c r="D260" s="11" t="inlineStr">
        <is>
          <t>can (permission/request)</t>
        </is>
      </c>
      <c r="E260" s="35" t="inlineStr">
        <is>
          <t>can (permission/request): предложение помощи — Can I…?</t>
        </is>
      </c>
      <c r="F260" s="11" t="inlineStr">
        <is>
          <t>5 кл. · М10 (10a) · новое</t>
        </is>
      </c>
      <c r="G260" s="11" t="n">
        <v>1</v>
      </c>
      <c r="H260" s="11">
        <f>'Темы × классы'!R161</f>
        <v/>
      </c>
      <c r="I260" s="11">
        <f>'Темы × классы'!S161&amp;""</f>
        <v/>
      </c>
      <c r="J260" s="11" t="inlineStr">
        <is>
          <t>не начат</t>
        </is>
      </c>
      <c r="K260" s="11" t="inlineStr"/>
    </row>
    <row r="261">
      <c r="A261" s="36" t="inlineStr">
        <is>
          <t>Ст-155</t>
        </is>
      </c>
      <c r="B261" s="37" t="inlineStr">
        <is>
          <t>10+</t>
        </is>
      </c>
      <c r="C261" s="11" t="inlineStr">
        <is>
          <t>Грамматика</t>
        </is>
      </c>
      <c r="D261" s="11" t="inlineStr">
        <is>
          <t>can (permission/request)</t>
        </is>
      </c>
      <c r="E261" s="33" t="inlineStr">
        <is>
          <t>can (permission/request): can't — запрет</t>
        </is>
      </c>
      <c r="F261" s="11" t="inlineStr">
        <is>
          <t>5 кл. · М10 (10a) · новое
6 кл. · М3 (3b) · повт.
9 кл. · М7 (7d) · расш.
10 кл. · М4 (4c) · повт.
11 кл. · М5 (5c) · повт.</t>
        </is>
      </c>
      <c r="G261" s="11" t="n">
        <v>5</v>
      </c>
      <c r="H261" s="11">
        <f>'Темы × классы'!R162</f>
        <v/>
      </c>
      <c r="I261" s="11">
        <f>'Темы × классы'!S162&amp;""</f>
        <v/>
      </c>
      <c r="J261" s="11" t="inlineStr">
        <is>
          <t>не начат</t>
        </is>
      </c>
      <c r="K261" s="11" t="inlineStr"/>
    </row>
    <row r="262">
      <c r="A262" s="36" t="inlineStr">
        <is>
          <t>Ст-156</t>
        </is>
      </c>
      <c r="B262" s="37" t="inlineStr">
        <is>
          <t>10+</t>
        </is>
      </c>
      <c r="C262" s="11" t="inlineStr">
        <is>
          <t>Грамматика</t>
        </is>
      </c>
      <c r="D262" s="11" t="inlineStr">
        <is>
          <t>can (permission/request)</t>
        </is>
      </c>
      <c r="E262" s="35" t="inlineStr">
        <is>
          <t>can (permission/request): can vs may — разрешение (may формальнее)</t>
        </is>
      </c>
      <c r="F262" s="11" t="inlineStr">
        <is>
          <t>8 кл. · М7 (7c) · новое
9 кл. · М7 (7d) · повт.
10 кл. · М4 (4c) · повт.
11 кл. · М5 (5c) · повт.</t>
        </is>
      </c>
      <c r="G262" s="11" t="n">
        <v>4</v>
      </c>
      <c r="H262" s="11">
        <f>'Темы × классы'!R163</f>
        <v/>
      </c>
      <c r="I262" s="11">
        <f>'Темы × классы'!S163&amp;""</f>
        <v/>
      </c>
      <c r="J262" s="11" t="inlineStr">
        <is>
          <t>не начат</t>
        </is>
      </c>
      <c r="K262" s="11" t="inlineStr"/>
    </row>
    <row r="263">
      <c r="A263" s="36" t="inlineStr">
        <is>
          <t>Ст-157</t>
        </is>
      </c>
      <c r="B263" s="37" t="inlineStr">
        <is>
          <t>10+</t>
        </is>
      </c>
      <c r="C263" s="11" t="inlineStr">
        <is>
          <t>Грамматика</t>
        </is>
      </c>
      <c r="D263" s="11" t="inlineStr">
        <is>
          <t>can (permission/request)</t>
        </is>
      </c>
      <c r="E263" s="35" t="inlineStr">
        <is>
          <t>can (permission/request): предложения (offers/suggestions) — can, could, would, shall</t>
        </is>
      </c>
      <c r="F263" s="11" t="inlineStr">
        <is>
          <t>8 кл. · М7 (7c) · новое
9 кл. · М7 (7d) · повт.
10 кл. · М4 (4c) · повт.</t>
        </is>
      </c>
      <c r="G263" s="11" t="n">
        <v>3</v>
      </c>
      <c r="H263" s="11">
        <f>'Темы × классы'!R164</f>
        <v/>
      </c>
      <c r="I263" s="11">
        <f>'Темы × классы'!S164&amp;""</f>
        <v/>
      </c>
      <c r="J263" s="11" t="inlineStr">
        <is>
          <t>не начат</t>
        </is>
      </c>
      <c r="K263" s="11" t="inlineStr"/>
    </row>
    <row r="264">
      <c r="A264" s="36" t="inlineStr">
        <is>
          <t>Ст-158</t>
        </is>
      </c>
      <c r="B264" s="37" t="inlineStr">
        <is>
          <t>10+</t>
        </is>
      </c>
      <c r="C264" s="11" t="inlineStr">
        <is>
          <t>Грамматика</t>
        </is>
      </c>
      <c r="D264" s="11" t="inlineStr">
        <is>
          <t>need/needn't</t>
        </is>
      </c>
      <c r="E264" s="35" t="inlineStr">
        <is>
          <t>need/needn't: needn't / don't need to — нет необходимости (наст./буд.)</t>
        </is>
      </c>
      <c r="F264" s="11" t="inlineStr">
        <is>
          <t>6 кл. · М8 (8c) · новое
8 кл. · М7 (7c) · расш.
9 кл. · М7 (7d) · повт.
10 кл. · М4 (4c) · повт.
11 кл. · М5 (5c) · повт.</t>
        </is>
      </c>
      <c r="G264" s="11" t="n">
        <v>5</v>
      </c>
      <c r="H264" s="11">
        <f>'Темы × классы'!R165</f>
        <v/>
      </c>
      <c r="I264" s="11">
        <f>'Темы × классы'!S165&amp;""</f>
        <v/>
      </c>
      <c r="J264" s="11" t="inlineStr">
        <is>
          <t>не начат</t>
        </is>
      </c>
      <c r="K264" s="11" t="inlineStr"/>
    </row>
    <row r="265">
      <c r="A265" s="36" t="inlineStr">
        <is>
          <t>Ст-159</t>
        </is>
      </c>
      <c r="B265" s="37" t="inlineStr">
        <is>
          <t>10+</t>
        </is>
      </c>
      <c r="C265" s="11" t="inlineStr">
        <is>
          <t>Грамматика</t>
        </is>
      </c>
      <c r="D265" s="11" t="inlineStr">
        <is>
          <t>need/needn't</t>
        </is>
      </c>
      <c r="E265" s="35" t="inlineStr">
        <is>
          <t>need/needn't: needn't have V3 — не было необходимости, но сделали</t>
        </is>
      </c>
      <c r="F265" s="11" t="inlineStr">
        <is>
          <t>11 кл. · М5 (5c) · новое</t>
        </is>
      </c>
      <c r="G265" s="11" t="n">
        <v>1</v>
      </c>
      <c r="H265" s="11">
        <f>'Темы × классы'!R166</f>
        <v/>
      </c>
      <c r="I265" s="11">
        <f>'Темы × классы'!S166&amp;""</f>
        <v/>
      </c>
      <c r="J265" s="11" t="inlineStr">
        <is>
          <t>не начат</t>
        </is>
      </c>
      <c r="K265" s="11" t="inlineStr"/>
    </row>
    <row r="266">
      <c r="A266" s="36" t="inlineStr">
        <is>
          <t>Ст-160</t>
        </is>
      </c>
      <c r="B266" s="37" t="inlineStr">
        <is>
          <t>10+</t>
        </is>
      </c>
      <c r="C266" s="11" t="inlineStr">
        <is>
          <t>Грамматика</t>
        </is>
      </c>
      <c r="D266" s="11" t="inlineStr">
        <is>
          <t>need/needn't</t>
        </is>
      </c>
      <c r="E266" s="35" t="inlineStr">
        <is>
          <t>need/needn't: needn't have vs didn't have to</t>
        </is>
      </c>
      <c r="F266" s="11" t="inlineStr">
        <is>
          <t>11 кл. · М5 (5c) · новое</t>
        </is>
      </c>
      <c r="G266" s="11" t="n">
        <v>1</v>
      </c>
      <c r="H266" s="11">
        <f>'Темы × классы'!R167</f>
        <v/>
      </c>
      <c r="I266" s="11">
        <f>'Темы × классы'!S167&amp;""</f>
        <v/>
      </c>
      <c r="J266" s="11" t="inlineStr">
        <is>
          <t>не начат</t>
        </is>
      </c>
      <c r="K266" s="11" t="inlineStr"/>
    </row>
    <row r="267">
      <c r="A267" s="36" t="inlineStr">
        <is>
          <t>Ст-161</t>
        </is>
      </c>
      <c r="B267" s="37" t="inlineStr">
        <is>
          <t>10+</t>
        </is>
      </c>
      <c r="C267" s="11" t="inlineStr">
        <is>
          <t>Грамматика</t>
        </is>
      </c>
      <c r="D267" s="11" t="inlineStr">
        <is>
          <t>need/needn't</t>
        </is>
      </c>
      <c r="E267" s="35" t="inlineStr">
        <is>
          <t>need/needn't: need (= must) как эквивалент модального</t>
        </is>
      </c>
      <c r="F267" s="11" t="inlineStr">
        <is>
          <t>10 кл. · М4 (4c) · новое
11 кл. · М5 (5c) · повт.</t>
        </is>
      </c>
      <c r="G267" s="11" t="n">
        <v>2</v>
      </c>
      <c r="H267" s="11">
        <f>'Темы × классы'!R168</f>
        <v/>
      </c>
      <c r="I267" s="11">
        <f>'Темы × классы'!S168&amp;""</f>
        <v/>
      </c>
      <c r="J267" s="11" t="inlineStr">
        <is>
          <t>не начат</t>
        </is>
      </c>
      <c r="K267" s="11" t="inlineStr"/>
    </row>
    <row r="268">
      <c r="A268" s="36" t="inlineStr">
        <is>
          <t>Ст-162</t>
        </is>
      </c>
      <c r="B268" s="37" t="inlineStr">
        <is>
          <t>10+</t>
        </is>
      </c>
      <c r="C268" s="11" t="inlineStr">
        <is>
          <t>Грамматика</t>
        </is>
      </c>
      <c r="D268" s="11" t="inlineStr">
        <is>
          <t>should/shouldn't</t>
        </is>
      </c>
      <c r="E268" s="33" t="inlineStr">
        <is>
          <t>should/shouldn't: значение — совет, рекомендация; утверждение should + глагол без to</t>
        </is>
      </c>
      <c r="F268" s="11" t="inlineStr">
        <is>
          <t>7 кл. · М1 · новое
8 кл. · М7 (7c) · повт.
9 кл. · М7 (7d) · повт.
10 кл. · М4 (4c) · повт.
11 кл. · М5 (5c) · повт.</t>
        </is>
      </c>
      <c r="G268" s="11" t="n">
        <v>5</v>
      </c>
      <c r="H268" s="11">
        <f>'Темы × классы'!R169</f>
        <v/>
      </c>
      <c r="I268" s="11">
        <f>'Темы × классы'!S169&amp;""</f>
        <v/>
      </c>
      <c r="J268" s="11" t="inlineStr">
        <is>
          <t>не начат</t>
        </is>
      </c>
      <c r="K268" s="11" t="inlineStr"/>
    </row>
    <row r="269">
      <c r="A269" s="36" t="inlineStr">
        <is>
          <t>Ст-163</t>
        </is>
      </c>
      <c r="B269" s="37" t="inlineStr">
        <is>
          <t>10+</t>
        </is>
      </c>
      <c r="C269" s="11" t="inlineStr">
        <is>
          <t>Грамматика</t>
        </is>
      </c>
      <c r="D269" s="11" t="inlineStr">
        <is>
          <t>should/shouldn't</t>
        </is>
      </c>
      <c r="E269" s="33" t="inlineStr">
        <is>
          <t>should/shouldn't: отрицание — shouldn't</t>
        </is>
      </c>
      <c r="F269" s="11" t="inlineStr">
        <is>
          <t>7 кл. · М1 · новое</t>
        </is>
      </c>
      <c r="G269" s="11" t="n">
        <v>1</v>
      </c>
      <c r="H269" s="11">
        <f>'Темы × классы'!R170</f>
        <v/>
      </c>
      <c r="I269" s="11">
        <f>'Темы × классы'!S170&amp;""</f>
        <v/>
      </c>
      <c r="J269" s="11" t="inlineStr">
        <is>
          <t>не начат</t>
        </is>
      </c>
      <c r="K269" s="11" t="inlineStr"/>
    </row>
    <row r="270">
      <c r="A270" s="36" t="inlineStr">
        <is>
          <t>Ст-164</t>
        </is>
      </c>
      <c r="B270" s="37" t="inlineStr">
        <is>
          <t>10+</t>
        </is>
      </c>
      <c r="C270" s="11" t="inlineStr">
        <is>
          <t>Грамматика</t>
        </is>
      </c>
      <c r="D270" s="11" t="inlineStr">
        <is>
          <t>should/shouldn't</t>
        </is>
      </c>
      <c r="E270" s="33" t="inlineStr">
        <is>
          <t>should/shouldn't: вопросы — Should I…?</t>
        </is>
      </c>
      <c r="F270" s="11" t="inlineStr">
        <is>
          <t>7 кл. · М1 · новое</t>
        </is>
      </c>
      <c r="G270" s="11" t="n">
        <v>1</v>
      </c>
      <c r="H270" s="11">
        <f>'Темы × классы'!R171</f>
        <v/>
      </c>
      <c r="I270" s="11">
        <f>'Темы × классы'!S171&amp;""</f>
        <v/>
      </c>
      <c r="J270" s="11" t="inlineStr">
        <is>
          <t>не начат</t>
        </is>
      </c>
      <c r="K270" s="11" t="inlineStr"/>
    </row>
    <row r="271">
      <c r="A271" s="36" t="inlineStr">
        <is>
          <t>Ст-165</t>
        </is>
      </c>
      <c r="B271" s="37" t="inlineStr">
        <is>
          <t>10+</t>
        </is>
      </c>
      <c r="C271" s="11" t="inlineStr">
        <is>
          <t>Грамматика</t>
        </is>
      </c>
      <c r="D271" s="11" t="inlineStr">
        <is>
          <t>should/shouldn't</t>
        </is>
      </c>
      <c r="E271" s="34" t="inlineStr">
        <is>
          <t>should/shouldn't: ought to (= should)</t>
        </is>
      </c>
      <c r="F271" s="11" t="inlineStr">
        <is>
          <t>8 кл. · М7 (7c) · новое
9 кл. · М7 (7d) · повт.
10 кл. · М4 (4c) · повт.
11 кл. · М5 (5c) · повт.</t>
        </is>
      </c>
      <c r="G271" s="11" t="n">
        <v>4</v>
      </c>
      <c r="H271" s="11">
        <f>'Темы × классы'!R172</f>
        <v/>
      </c>
      <c r="I271" s="11">
        <f>'Темы × классы'!S172&amp;""</f>
        <v/>
      </c>
      <c r="J271" s="11" t="inlineStr">
        <is>
          <t>не начат</t>
        </is>
      </c>
      <c r="K271" s="11" t="inlineStr"/>
    </row>
    <row r="272">
      <c r="A272" s="36" t="inlineStr">
        <is>
          <t>Ст-166</t>
        </is>
      </c>
      <c r="B272" s="37" t="inlineStr">
        <is>
          <t>10+</t>
        </is>
      </c>
      <c r="C272" s="11" t="inlineStr">
        <is>
          <t>Грамматика</t>
        </is>
      </c>
      <c r="D272" s="11" t="inlineStr">
        <is>
          <t>should/shouldn't</t>
        </is>
      </c>
      <c r="E272" s="34" t="inlineStr">
        <is>
          <t>should/shouldn't: значение — обязательство, долг (слабая обязанность)</t>
        </is>
      </c>
      <c r="F272" s="11" t="inlineStr">
        <is>
          <t>8 кл. · М7 (7c) · новое
9 кл. · М7 (7d) · повт.
10 кл. · М4 (4c) · повт.</t>
        </is>
      </c>
      <c r="G272" s="11" t="n">
        <v>3</v>
      </c>
      <c r="H272" s="11">
        <f>'Темы × классы'!R173</f>
        <v/>
      </c>
      <c r="I272" s="11">
        <f>'Темы × классы'!S173&amp;""</f>
        <v/>
      </c>
      <c r="J272" s="11" t="inlineStr">
        <is>
          <t>не начат</t>
        </is>
      </c>
      <c r="K272" s="11" t="inlineStr"/>
    </row>
    <row r="273">
      <c r="A273" s="36" t="inlineStr">
        <is>
          <t>Ст-167</t>
        </is>
      </c>
      <c r="B273" s="37" t="inlineStr">
        <is>
          <t>10+</t>
        </is>
      </c>
      <c r="C273" s="11" t="inlineStr">
        <is>
          <t>Грамматика</t>
        </is>
      </c>
      <c r="D273" s="11" t="inlineStr">
        <is>
          <t>should/shouldn't</t>
        </is>
      </c>
      <c r="E273" s="34" t="inlineStr">
        <is>
          <t>should/shouldn't: значение — критика (should / should have V3)</t>
        </is>
      </c>
      <c r="F273" s="11" t="inlineStr">
        <is>
          <t>8 кл. · М7 (7c) · новое
9 кл. · М7 (7d) · повт.
10 кл. · М4 (4c) · повт.</t>
        </is>
      </c>
      <c r="G273" s="11" t="n">
        <v>3</v>
      </c>
      <c r="H273" s="11">
        <f>'Темы × классы'!R174</f>
        <v/>
      </c>
      <c r="I273" s="11">
        <f>'Темы × классы'!S174&amp;""</f>
        <v/>
      </c>
      <c r="J273" s="11" t="inlineStr">
        <is>
          <t>не начат</t>
        </is>
      </c>
      <c r="K273" s="11" t="inlineStr"/>
    </row>
    <row r="274">
      <c r="A274" s="36" t="inlineStr">
        <is>
          <t>Ст-168</t>
        </is>
      </c>
      <c r="B274" s="37" t="inlineStr">
        <is>
          <t>10+</t>
        </is>
      </c>
      <c r="C274" s="11" t="inlineStr">
        <is>
          <t>Грамматика</t>
        </is>
      </c>
      <c r="D274" s="11" t="inlineStr">
        <is>
          <t>should/shouldn't</t>
        </is>
      </c>
      <c r="E274" s="35" t="inlineStr">
        <is>
          <t>should/shouldn't: значение — вероятность ~90% (о будущем)</t>
        </is>
      </c>
      <c r="F274" s="11" t="inlineStr">
        <is>
          <t>8 кл. · М7 (7c) · новое
9 кл. · М7 (7d) · повт.
10 кл. · М4 (4c) · повт.</t>
        </is>
      </c>
      <c r="G274" s="11" t="n">
        <v>3</v>
      </c>
      <c r="H274" s="11">
        <f>'Темы × классы'!R175</f>
        <v/>
      </c>
      <c r="I274" s="11">
        <f>'Темы × классы'!S175&amp;""</f>
        <v/>
      </c>
      <c r="J274" s="11" t="inlineStr">
        <is>
          <t>не начат</t>
        </is>
      </c>
      <c r="K274" s="11" t="inlineStr"/>
    </row>
    <row r="275">
      <c r="A275" s="36" t="inlineStr">
        <is>
          <t>Ст-169</t>
        </is>
      </c>
      <c r="B275" s="37" t="inlineStr">
        <is>
          <t>10+</t>
        </is>
      </c>
      <c r="C275" s="11" t="inlineStr">
        <is>
          <t>Грамматика</t>
        </is>
      </c>
      <c r="D275" s="11" t="inlineStr">
        <is>
          <t>should/shouldn't</t>
        </is>
      </c>
      <c r="E275" s="34" t="inlineStr">
        <is>
          <t>should/shouldn't: Shall I…? — просьба о совете</t>
        </is>
      </c>
      <c r="F275" s="11" t="inlineStr">
        <is>
          <t>9 кл. · М7 (7d) · новое
10 кл. · М4 (4c) · повт.
11 кл. · М5 (5c) · повт.</t>
        </is>
      </c>
      <c r="G275" s="11" t="n">
        <v>3</v>
      </c>
      <c r="H275" s="11">
        <f>'Темы × классы'!R176</f>
        <v/>
      </c>
      <c r="I275" s="11">
        <f>'Темы × классы'!S176&amp;""</f>
        <v/>
      </c>
      <c r="J275" s="11" t="inlineStr">
        <is>
          <t>не начат</t>
        </is>
      </c>
      <c r="K275" s="11" t="inlineStr"/>
    </row>
    <row r="276">
      <c r="A276" s="36" t="inlineStr">
        <is>
          <t>Ст-170</t>
        </is>
      </c>
      <c r="B276" s="37" t="inlineStr">
        <is>
          <t>10+</t>
        </is>
      </c>
      <c r="C276" s="11" t="inlineStr">
        <is>
          <t>Грамматика</t>
        </is>
      </c>
      <c r="D276" s="11" t="inlineStr">
        <is>
          <t>should/shouldn't</t>
        </is>
      </c>
      <c r="E276" s="34" t="inlineStr">
        <is>
          <t>should/shouldn't: Shall I…? — предложение помощи</t>
        </is>
      </c>
      <c r="F276" s="11" t="inlineStr">
        <is>
          <t>10 кл. · М4 (4c) · новое</t>
        </is>
      </c>
      <c r="G276" s="11" t="n">
        <v>1</v>
      </c>
      <c r="H276" s="11">
        <f>'Темы × классы'!R177</f>
        <v/>
      </c>
      <c r="I276" s="11">
        <f>'Темы × классы'!S177&amp;""</f>
        <v/>
      </c>
      <c r="J276" s="11" t="inlineStr">
        <is>
          <t>не начат</t>
        </is>
      </c>
      <c r="K276" s="11" t="inlineStr"/>
    </row>
    <row r="277">
      <c r="A277" s="36" t="inlineStr">
        <is>
          <t>Ст-171</t>
        </is>
      </c>
      <c r="B277" s="37" t="inlineStr">
        <is>
          <t>10+</t>
        </is>
      </c>
      <c r="C277" s="11" t="inlineStr">
        <is>
          <t>Грамматика</t>
        </is>
      </c>
      <c r="D277" s="11" t="inlineStr">
        <is>
          <t>should/shouldn't</t>
        </is>
      </c>
      <c r="E277" s="34" t="inlineStr">
        <is>
          <t>should/shouldn't: had better (= should)</t>
        </is>
      </c>
      <c r="F277" s="11" t="inlineStr">
        <is>
          <t>11 кл. · М5 (5c) · новое</t>
        </is>
      </c>
      <c r="G277" s="11" t="n">
        <v>1</v>
      </c>
      <c r="H277" s="11">
        <f>'Темы × классы'!R178</f>
        <v/>
      </c>
      <c r="I277" s="11">
        <f>'Темы × классы'!S178&amp;""</f>
        <v/>
      </c>
      <c r="J277" s="11" t="inlineStr">
        <is>
          <t>не начат</t>
        </is>
      </c>
      <c r="K277" s="11" t="inlineStr"/>
    </row>
    <row r="278">
      <c r="A278" s="36" t="inlineStr">
        <is>
          <t>Ст-172</t>
        </is>
      </c>
      <c r="B278" s="37" t="inlineStr">
        <is>
          <t>10+</t>
        </is>
      </c>
      <c r="C278" s="11" t="inlineStr">
        <is>
          <t>Грамматика</t>
        </is>
      </c>
      <c r="D278" s="11" t="inlineStr">
        <is>
          <t>Modal verbs (deduction)</t>
        </is>
      </c>
      <c r="E278" s="35" t="inlineStr">
        <is>
          <t>Modal verbs (deduction): must — уверенность (о настоящем)</t>
        </is>
      </c>
      <c r="F278" s="11" t="inlineStr">
        <is>
          <t>8 кл. · М7 (7c) · новое
9 кл. · М3 (3d) · повт.
10 кл. · М4 (4c) · повт.
11 кл. · М5 (5c) · повт.</t>
        </is>
      </c>
      <c r="G278" s="11" t="n">
        <v>4</v>
      </c>
      <c r="H278" s="11">
        <f>'Темы × классы'!R179</f>
        <v/>
      </c>
      <c r="I278" s="11">
        <f>'Темы × классы'!S179&amp;""</f>
        <v/>
      </c>
      <c r="J278" s="11" t="inlineStr">
        <is>
          <t>не начат</t>
        </is>
      </c>
      <c r="K278" s="11" t="inlineStr"/>
    </row>
    <row r="279">
      <c r="A279" s="36" t="inlineStr">
        <is>
          <t>Ст-173</t>
        </is>
      </c>
      <c r="B279" s="37" t="inlineStr">
        <is>
          <t>10+</t>
        </is>
      </c>
      <c r="C279" s="11" t="inlineStr">
        <is>
          <t>Грамматика</t>
        </is>
      </c>
      <c r="D279" s="11" t="inlineStr">
        <is>
          <t>Modal verbs (deduction)</t>
        </is>
      </c>
      <c r="E279" s="35" t="inlineStr">
        <is>
          <t>Modal verbs (deduction): may/might/could — вероятность (о настоящем)</t>
        </is>
      </c>
      <c r="F279" s="11" t="inlineStr">
        <is>
          <t>8 кл. · М7 (7c) · новое
9 кл. · М3 (3d) · повт.
10 кл. · М4 (4c) · повт.
11 кл. · М5 (5c) · повт.</t>
        </is>
      </c>
      <c r="G279" s="11" t="n">
        <v>4</v>
      </c>
      <c r="H279" s="11">
        <f>'Темы × классы'!R180</f>
        <v/>
      </c>
      <c r="I279" s="11">
        <f>'Темы × классы'!S180&amp;""</f>
        <v/>
      </c>
      <c r="J279" s="11" t="inlineStr">
        <is>
          <t>не начат</t>
        </is>
      </c>
      <c r="K279" s="11" t="inlineStr"/>
    </row>
    <row r="280">
      <c r="A280" s="36" t="inlineStr">
        <is>
          <t>Ст-174</t>
        </is>
      </c>
      <c r="B280" s="37" t="inlineStr">
        <is>
          <t>10+</t>
        </is>
      </c>
      <c r="C280" s="11" t="inlineStr">
        <is>
          <t>Грамматика</t>
        </is>
      </c>
      <c r="D280" s="11" t="inlineStr">
        <is>
          <t>Modal verbs (deduction)</t>
        </is>
      </c>
      <c r="E280" s="35" t="inlineStr">
        <is>
          <t>Modal verbs (deduction): can't/couldn't — невозможность (о настоящем)</t>
        </is>
      </c>
      <c r="F280" s="11" t="inlineStr">
        <is>
          <t>8 кл. · М7 (7c) · новое
9 кл. · М3 (3d) · повт.
10 кл. · М4 (4c) · повт.
11 кл. · М5 (5c) · повт.</t>
        </is>
      </c>
      <c r="G280" s="11" t="n">
        <v>4</v>
      </c>
      <c r="H280" s="11">
        <f>'Темы × классы'!R181</f>
        <v/>
      </c>
      <c r="I280" s="11">
        <f>'Темы × классы'!S181&amp;""</f>
        <v/>
      </c>
      <c r="J280" s="11" t="inlineStr">
        <is>
          <t>не начат</t>
        </is>
      </c>
      <c r="K280" s="11" t="inlineStr"/>
    </row>
    <row r="281">
      <c r="A281" s="36" t="inlineStr">
        <is>
          <t>Ст-175</t>
        </is>
      </c>
      <c r="B281" s="37" t="inlineStr">
        <is>
          <t>10+</t>
        </is>
      </c>
      <c r="C281" s="11" t="inlineStr">
        <is>
          <t>Грамматика</t>
        </is>
      </c>
      <c r="D281" s="11" t="inlineStr">
        <is>
          <t>Modal verbs (deduction)</t>
        </is>
      </c>
      <c r="E281" s="35" t="inlineStr">
        <is>
          <t>Modal verbs (deduction): выводы о прошлом — must/may/might/could/can't + have V3</t>
        </is>
      </c>
      <c r="F281" s="11" t="inlineStr">
        <is>
          <t>8 кл. · М7 (7c) · новое
9 кл. · М3 (3d) · повт.
10 кл. · М4 (4c) · повт.
11 кл. · М5 (5c) · повт.</t>
        </is>
      </c>
      <c r="G281" s="11" t="n">
        <v>4</v>
      </c>
      <c r="H281" s="11">
        <f>'Темы × классы'!R182</f>
        <v/>
      </c>
      <c r="I281" s="11">
        <f>'Темы × классы'!S182&amp;""</f>
        <v/>
      </c>
      <c r="J281" s="11" t="inlineStr">
        <is>
          <t>не начат</t>
        </is>
      </c>
      <c r="K281" s="11" t="inlineStr"/>
    </row>
    <row r="282">
      <c r="A282" s="36" t="inlineStr">
        <is>
          <t>Ст-176</t>
        </is>
      </c>
      <c r="B282" s="37" t="inlineStr">
        <is>
          <t>10+</t>
        </is>
      </c>
      <c r="C282" s="11" t="inlineStr">
        <is>
          <t>Грамматика</t>
        </is>
      </c>
      <c r="D282" s="11" t="inlineStr">
        <is>
          <t>Modal verbs (deduction)</t>
        </is>
      </c>
      <c r="E282" s="35" t="inlineStr">
        <is>
          <t>Modal verbs (deduction): вероятность — will (100%) vs should/ought to (90%)</t>
        </is>
      </c>
      <c r="F282" s="11" t="inlineStr">
        <is>
          <t>10 кл. · М4 (4c) · новое
11 кл. · М5 (5c) · повт.</t>
        </is>
      </c>
      <c r="G282" s="11" t="n">
        <v>2</v>
      </c>
      <c r="H282" s="11">
        <f>'Темы × классы'!R183</f>
        <v/>
      </c>
      <c r="I282" s="11">
        <f>'Темы × классы'!S183&amp;""</f>
        <v/>
      </c>
      <c r="J282" s="11" t="inlineStr">
        <is>
          <t>не начат</t>
        </is>
      </c>
      <c r="K282" s="11" t="inlineStr"/>
    </row>
    <row r="283">
      <c r="A283" s="36" t="inlineStr">
        <is>
          <t>Ст-177</t>
        </is>
      </c>
      <c r="B283" s="37" t="inlineStr">
        <is>
          <t>10+</t>
        </is>
      </c>
      <c r="C283" s="11" t="inlineStr">
        <is>
          <t>Грамматика</t>
        </is>
      </c>
      <c r="D283" s="11" t="inlineStr">
        <is>
          <t>Modal verbs (deduction)</t>
        </is>
      </c>
      <c r="E283" s="35" t="inlineStr">
        <is>
          <t>Modal verbs (deduction): критика — could/should/ought to (+ have V3)</t>
        </is>
      </c>
      <c r="F283" s="11" t="inlineStr">
        <is>
          <t>10 кл. · М4 (4c) · новое</t>
        </is>
      </c>
      <c r="G283" s="11" t="n">
        <v>1</v>
      </c>
      <c r="H283" s="11">
        <f>'Темы × классы'!R184</f>
        <v/>
      </c>
      <c r="I283" s="11">
        <f>'Темы × классы'!S184&amp;""</f>
        <v/>
      </c>
      <c r="J283" s="11" t="inlineStr">
        <is>
          <t>не начат</t>
        </is>
      </c>
      <c r="K283" s="11" t="inlineStr"/>
    </row>
    <row r="284">
      <c r="A284" s="36" t="inlineStr">
        <is>
          <t>Ст-178</t>
        </is>
      </c>
      <c r="B284" s="37" t="inlineStr">
        <is>
          <t>10+</t>
        </is>
      </c>
      <c r="C284" s="11" t="inlineStr">
        <is>
          <t>Грамматика</t>
        </is>
      </c>
      <c r="D284" s="11" t="inlineStr">
        <is>
          <t>Modal verbs (functions)</t>
        </is>
      </c>
      <c r="E284" s="33" t="inlineStr">
        <is>
          <t>Modal verbs: общие правила формы — без -s/-ing/-ed, + инфинитив без to</t>
        </is>
      </c>
      <c r="F284" s="11" t="inlineStr">
        <is>
          <t>8 кл. · М7 (7c) · новое
9 кл. · М7 (7d) · повт.
10 кл. · М4 (4c) · повт.
11 кл. · М5 (5c) · повт.</t>
        </is>
      </c>
      <c r="G284" s="11" t="n">
        <v>4</v>
      </c>
      <c r="H284" s="11">
        <f>'Темы × классы'!R185</f>
        <v/>
      </c>
      <c r="I284" s="11">
        <f>'Темы × классы'!S185&amp;""</f>
        <v/>
      </c>
      <c r="J284" s="11" t="inlineStr">
        <is>
          <t>не начат</t>
        </is>
      </c>
      <c r="K284" s="11" t="inlineStr"/>
    </row>
    <row r="285">
      <c r="A285" s="36" t="inlineStr">
        <is>
          <t>Ст-179</t>
        </is>
      </c>
      <c r="B285" s="37" t="inlineStr">
        <is>
          <t>10+</t>
        </is>
      </c>
      <c r="C285" s="11" t="inlineStr">
        <is>
          <t>Грамматика</t>
        </is>
      </c>
      <c r="D285" s="11" t="inlineStr">
        <is>
          <t>Modal verbs (functions)</t>
        </is>
      </c>
      <c r="E285" s="35" t="inlineStr">
        <is>
          <t>Modal verbs: вопрос и отрицание (инверсия, not)</t>
        </is>
      </c>
      <c r="F285" s="11" t="inlineStr">
        <is>
          <t>8 кл. · М7 (7c) · новое
9 кл. · М7 (7d) · повт.
10 кл. · М4 (4c) · повт.
11 кл. · М5 (5c) · повт.</t>
        </is>
      </c>
      <c r="G285" s="11" t="n">
        <v>4</v>
      </c>
      <c r="H285" s="11">
        <f>'Темы × классы'!R186</f>
        <v/>
      </c>
      <c r="I285" s="11">
        <f>'Темы × классы'!S186&amp;""</f>
        <v/>
      </c>
      <c r="J285" s="11" t="inlineStr">
        <is>
          <t>не начат</t>
        </is>
      </c>
      <c r="K285" s="11" t="inlineStr"/>
    </row>
    <row r="286">
      <c r="A286" s="36" t="inlineStr">
        <is>
          <t>Ст-180</t>
        </is>
      </c>
      <c r="B286" s="37" t="inlineStr">
        <is>
          <t>10+</t>
        </is>
      </c>
      <c r="C286" s="11" t="inlineStr">
        <is>
          <t>Грамматика</t>
        </is>
      </c>
      <c r="D286" s="11" t="inlineStr">
        <is>
          <t>Modal verbs (functions)</t>
        </is>
      </c>
      <c r="E286" s="35" t="inlineStr">
        <is>
          <t>Modal verbs: + простой инфинитив (наст./буд.) vs + перфектный инфинитив (прошлое)</t>
        </is>
      </c>
      <c r="F286" s="11" t="inlineStr">
        <is>
          <t>8 кл. · М7 (7c) · новое
9 кл. · М7 (7d) · повт.
10 кл. · М4 (4c) · повт.
11 кл. · М5 (5c) · повт.</t>
        </is>
      </c>
      <c r="G286" s="11" t="n">
        <v>4</v>
      </c>
      <c r="H286" s="11">
        <f>'Темы × классы'!R187</f>
        <v/>
      </c>
      <c r="I286" s="11">
        <f>'Темы × классы'!S187&amp;""</f>
        <v/>
      </c>
      <c r="J286" s="11" t="inlineStr">
        <is>
          <t>не начат</t>
        </is>
      </c>
      <c r="K286" s="11" t="inlineStr"/>
    </row>
    <row r="287">
      <c r="A287" s="36" t="inlineStr">
        <is>
          <t>Ст-181</t>
        </is>
      </c>
      <c r="B287" s="37" t="inlineStr">
        <is>
          <t>10+</t>
        </is>
      </c>
      <c r="C287" s="11" t="inlineStr">
        <is>
          <t>Грамматика</t>
        </is>
      </c>
      <c r="D287" s="11" t="inlineStr">
        <is>
          <t>Modal verbs (functions)</t>
        </is>
      </c>
      <c r="E287" s="35" t="inlineStr">
        <is>
          <t>Modal verbs: формы инфинитива — simple / continuous / perfect / perfect continuous</t>
        </is>
      </c>
      <c r="F287" s="11" t="inlineStr">
        <is>
          <t>8 кл. · М7 (7c) · новое
9 кл. · М7 (7d) · повт.
10 кл. · М4 (4c) · повт.
11 кл. · М5 (5c) · повт.</t>
        </is>
      </c>
      <c r="G287" s="11" t="n">
        <v>4</v>
      </c>
      <c r="H287" s="11">
        <f>'Темы × классы'!R188</f>
        <v/>
      </c>
      <c r="I287" s="11">
        <f>'Темы × классы'!S188&amp;""</f>
        <v/>
      </c>
      <c r="J287" s="11" t="inlineStr">
        <is>
          <t>не начат</t>
        </is>
      </c>
      <c r="K287" s="11" t="inlineStr"/>
    </row>
    <row r="288">
      <c r="A288" s="36" t="inlineStr">
        <is>
          <t>Ст-182</t>
        </is>
      </c>
      <c r="B288" s="37" t="inlineStr">
        <is>
          <t>10+</t>
        </is>
      </c>
      <c r="C288" s="11" t="inlineStr">
        <is>
          <t>Грамматика</t>
        </is>
      </c>
      <c r="D288" s="11" t="inlineStr">
        <is>
          <t>Modal verbs (functions)</t>
        </is>
      </c>
      <c r="E288" s="35" t="inlineStr">
        <is>
          <t>Modal verbs: значение — критика (could / should / ought to)</t>
        </is>
      </c>
      <c r="F288" s="11" t="inlineStr">
        <is>
          <t>8 кл. · М7 (7c) · новое
9 кл. · М7 (7d) · повт.
11 кл. · М5 (5c) · повт.</t>
        </is>
      </c>
      <c r="G288" s="11" t="n">
        <v>3</v>
      </c>
      <c r="H288" s="11">
        <f>'Темы × классы'!R189</f>
        <v/>
      </c>
      <c r="I288" s="11">
        <f>'Темы × классы'!S189&amp;""</f>
        <v/>
      </c>
      <c r="J288" s="11" t="inlineStr">
        <is>
          <t>не начат</t>
        </is>
      </c>
      <c r="K288" s="11" t="inlineStr"/>
    </row>
    <row r="289">
      <c r="A289" s="36" t="inlineStr">
        <is>
          <t>Ст-183</t>
        </is>
      </c>
      <c r="B289" s="37" t="inlineStr">
        <is>
          <t>10+</t>
        </is>
      </c>
      <c r="C289" s="11" t="inlineStr">
        <is>
          <t>Грамматика</t>
        </is>
      </c>
      <c r="D289" s="11" t="inlineStr">
        <is>
          <t>Modal verbs (functions)</t>
        </is>
      </c>
      <c r="E289" s="35" t="inlineStr">
        <is>
          <t>Modal verbs: значение — вероятность (will 100% vs should/ought to 90%)</t>
        </is>
      </c>
      <c r="F289" s="11" t="inlineStr">
        <is>
          <t>8 кл. · М7 (7c) · новое
9 кл. · М7 (7d) · повт.</t>
        </is>
      </c>
      <c r="G289" s="11" t="n">
        <v>2</v>
      </c>
      <c r="H289" s="11">
        <f>'Темы × классы'!R190</f>
        <v/>
      </c>
      <c r="I289" s="11">
        <f>'Темы × классы'!S190&amp;""</f>
        <v/>
      </c>
      <c r="J289" s="11" t="inlineStr">
        <is>
          <t>не начат</t>
        </is>
      </c>
      <c r="K289" s="11" t="inlineStr"/>
    </row>
    <row r="290">
      <c r="A290" s="36" t="inlineStr">
        <is>
          <t>Ст-184</t>
        </is>
      </c>
      <c r="B290" s="37" t="inlineStr">
        <is>
          <t>10+</t>
        </is>
      </c>
      <c r="C290" s="11" t="inlineStr">
        <is>
          <t>Грамматика</t>
        </is>
      </c>
      <c r="D290" s="11" t="inlineStr">
        <is>
          <t>Modal verbs (functions)</t>
        </is>
      </c>
      <c r="E290" s="33" t="inlineStr">
        <is>
          <t>Modal verbs: значение — совет (should / ought to / shall)</t>
        </is>
      </c>
      <c r="F290" s="11" t="inlineStr">
        <is>
          <t>8 кл. · М7 (7c) · новое
9 кл. · М7 (7d) · повт.</t>
        </is>
      </c>
      <c r="G290" s="11" t="n">
        <v>2</v>
      </c>
      <c r="H290" s="11">
        <f>'Темы × классы'!R191</f>
        <v/>
      </c>
      <c r="I290" s="11">
        <f>'Темы × классы'!S191&amp;""</f>
        <v/>
      </c>
      <c r="J290" s="11" t="inlineStr">
        <is>
          <t>не начат</t>
        </is>
      </c>
      <c r="K290" s="11" t="inlineStr"/>
    </row>
    <row r="291">
      <c r="A291" s="36" t="inlineStr">
        <is>
          <t>Ст-185</t>
        </is>
      </c>
      <c r="B291" s="37" t="inlineStr">
        <is>
          <t>10+</t>
        </is>
      </c>
      <c r="C291" s="11" t="inlineStr">
        <is>
          <t>Грамматика</t>
        </is>
      </c>
      <c r="D291" s="11" t="inlineStr">
        <is>
          <t>Modal verbs (functions)</t>
        </is>
      </c>
      <c r="E291" s="35" t="inlineStr">
        <is>
          <t>Modal verbs: эквиваленты модальных (need, had better, have (got) to, be able to, used to)</t>
        </is>
      </c>
      <c r="F291" s="11" t="inlineStr">
        <is>
          <t>10 кл. · М4 (4c) · новое</t>
        </is>
      </c>
      <c r="G291" s="11" t="n">
        <v>1</v>
      </c>
      <c r="H291" s="11">
        <f>'Темы × классы'!R192</f>
        <v/>
      </c>
      <c r="I291" s="11">
        <f>'Темы × классы'!S192&amp;""</f>
        <v/>
      </c>
      <c r="J291" s="11" t="inlineStr">
        <is>
          <t>не начат</t>
        </is>
      </c>
      <c r="K291" s="11" t="inlineStr"/>
    </row>
    <row r="292">
      <c r="A292" s="36" t="inlineStr">
        <is>
          <t>Ст-186</t>
        </is>
      </c>
      <c r="B292" s="37" t="inlineStr">
        <is>
          <t>10+</t>
        </is>
      </c>
      <c r="C292" s="11" t="inlineStr">
        <is>
          <t>Грамматика</t>
        </is>
      </c>
      <c r="D292" s="11" t="inlineStr">
        <is>
          <t>Modal verbs (functions)</t>
        </is>
      </c>
      <c r="E292" s="35" t="inlineStr">
        <is>
          <t>Modal verbs: значение — предложения (offers/suggestions)</t>
        </is>
      </c>
      <c r="F292" s="11" t="inlineStr">
        <is>
          <t>11 кл. · М5 (5c) · новое</t>
        </is>
      </c>
      <c r="G292" s="11" t="n">
        <v>1</v>
      </c>
      <c r="H292" s="11">
        <f>'Темы × классы'!R193</f>
        <v/>
      </c>
      <c r="I292" s="11">
        <f>'Темы × классы'!S193&amp;""</f>
        <v/>
      </c>
      <c r="J292" s="11" t="inlineStr">
        <is>
          <t>не начат</t>
        </is>
      </c>
      <c r="K292" s="11" t="inlineStr"/>
    </row>
    <row r="293">
      <c r="A293" s="36" t="inlineStr">
        <is>
          <t>Ст-187</t>
        </is>
      </c>
      <c r="B293" s="37" t="inlineStr">
        <is>
          <t>10+</t>
        </is>
      </c>
      <c r="C293" s="11" t="inlineStr">
        <is>
          <t>Грамматика</t>
        </is>
      </c>
      <c r="D293" s="11" t="inlineStr">
        <is>
          <t>Modal verbs (functions)</t>
        </is>
      </c>
      <c r="E293" s="35" t="inlineStr">
        <is>
          <t>Modal verbs: обзор значений модальных (систематизация)</t>
        </is>
      </c>
      <c r="F293" s="11" t="inlineStr">
        <is>
          <t>8 кл. · М7 (7c) · новое
10 кл. · М7 (7e) · повт.
11 кл. · М5 (5c) · повт.</t>
        </is>
      </c>
      <c r="G293" s="11" t="n">
        <v>3</v>
      </c>
      <c r="H293" s="11">
        <f>'Темы × классы'!R194</f>
        <v/>
      </c>
      <c r="I293" s="11">
        <f>'Темы × классы'!S194&amp;""</f>
        <v/>
      </c>
      <c r="J293" s="11" t="inlineStr">
        <is>
          <t>не начат</t>
        </is>
      </c>
      <c r="K293" s="11" t="inlineStr"/>
    </row>
    <row r="294">
      <c r="A294" s="36" t="inlineStr">
        <is>
          <t>Ст-188</t>
        </is>
      </c>
      <c r="B294" s="37" t="inlineStr">
        <is>
          <t>10+</t>
        </is>
      </c>
      <c r="C294" s="11" t="inlineStr">
        <is>
          <t>Грамматика</t>
        </is>
      </c>
      <c r="D294" s="11" t="inlineStr">
        <is>
          <t>Reported Speech: modal verbs</t>
        </is>
      </c>
      <c r="E294" s="35" t="inlineStr">
        <is>
          <t>Reported Speech: modal verbs: will/shall → would</t>
        </is>
      </c>
      <c r="F294" s="11" t="inlineStr">
        <is>
          <t>8 кл. · М6 (6c) · новое
9 кл. · М8 (8c) · повт.
10 кл. · М8 (8c) · повт.
11 кл. · М6 (6c) · повт.</t>
        </is>
      </c>
      <c r="G294" s="11" t="n">
        <v>4</v>
      </c>
      <c r="H294" s="11">
        <f>'Темы × классы'!R195</f>
        <v/>
      </c>
      <c r="I294" s="11">
        <f>'Темы × классы'!S195&amp;""</f>
        <v/>
      </c>
      <c r="J294" s="11" t="inlineStr">
        <is>
          <t>не начат</t>
        </is>
      </c>
      <c r="K294" s="11" t="inlineStr"/>
    </row>
    <row r="295">
      <c r="A295" s="36" t="inlineStr">
        <is>
          <t>Ст-189</t>
        </is>
      </c>
      <c r="B295" s="37" t="inlineStr">
        <is>
          <t>10+</t>
        </is>
      </c>
      <c r="C295" s="11" t="inlineStr">
        <is>
          <t>Грамматика</t>
        </is>
      </c>
      <c r="D295" s="11" t="inlineStr">
        <is>
          <t>Reported Speech: modal verbs</t>
        </is>
      </c>
      <c r="E295" s="35" t="inlineStr">
        <is>
          <t>Reported Speech: modal verbs: can → could / would be able to</t>
        </is>
      </c>
      <c r="F295" s="11" t="inlineStr">
        <is>
          <t>8 кл. · М6 (6c) · новое
9 кл. · М8 (8c) · повт.
10 кл. · М8 (8c) · повт.
11 кл. · М6 (6c) · повт.</t>
        </is>
      </c>
      <c r="G295" s="11" t="n">
        <v>4</v>
      </c>
      <c r="H295" s="11">
        <f>'Темы × классы'!R196</f>
        <v/>
      </c>
      <c r="I295" s="11">
        <f>'Темы × классы'!S196&amp;""</f>
        <v/>
      </c>
      <c r="J295" s="11" t="inlineStr">
        <is>
          <t>не начат</t>
        </is>
      </c>
      <c r="K295" s="11" t="inlineStr"/>
    </row>
    <row r="296">
      <c r="A296" s="36" t="inlineStr">
        <is>
          <t>Ст-190</t>
        </is>
      </c>
      <c r="B296" s="37" t="inlineStr">
        <is>
          <t>10+</t>
        </is>
      </c>
      <c r="C296" s="11" t="inlineStr">
        <is>
          <t>Грамматика</t>
        </is>
      </c>
      <c r="D296" s="11" t="inlineStr">
        <is>
          <t>Reported Speech: modal verbs</t>
        </is>
      </c>
      <c r="E296" s="35" t="inlineStr">
        <is>
          <t>Reported Speech: modal verbs: may → might/could</t>
        </is>
      </c>
      <c r="F296" s="11" t="inlineStr">
        <is>
          <t>8 кл. · М6 (6c) · новое
9 кл. · М8 (8c) · повт.
10 кл. · М8 (8c) · повт.
11 кл. · М6 (6c) · повт.</t>
        </is>
      </c>
      <c r="G296" s="11" t="n">
        <v>4</v>
      </c>
      <c r="H296" s="11">
        <f>'Темы × классы'!R197</f>
        <v/>
      </c>
      <c r="I296" s="11">
        <f>'Темы × классы'!S197&amp;""</f>
        <v/>
      </c>
      <c r="J296" s="11" t="inlineStr">
        <is>
          <t>не начат</t>
        </is>
      </c>
      <c r="K296" s="11" t="inlineStr"/>
    </row>
    <row r="297">
      <c r="A297" s="36" t="inlineStr">
        <is>
          <t>Ст-191</t>
        </is>
      </c>
      <c r="B297" s="37" t="inlineStr">
        <is>
          <t>10+</t>
        </is>
      </c>
      <c r="C297" s="11" t="inlineStr">
        <is>
          <t>Грамматика</t>
        </is>
      </c>
      <c r="D297" s="11" t="inlineStr">
        <is>
          <t>Reported Speech: modal verbs</t>
        </is>
      </c>
      <c r="E297" s="35" t="inlineStr">
        <is>
          <t>Reported Speech: modal verbs: shall → should / would / offered</t>
        </is>
      </c>
      <c r="F297" s="11" t="inlineStr">
        <is>
          <t>8 кл. · М6 (6c) · новое
9 кл. · М8 (8c) · повт.
10 кл. · М8 (8c) · повт.
11 кл. · М6 (6c) · повт.</t>
        </is>
      </c>
      <c r="G297" s="11" t="n">
        <v>4</v>
      </c>
      <c r="H297" s="11">
        <f>'Темы × классы'!R198</f>
        <v/>
      </c>
      <c r="I297" s="11">
        <f>'Темы × классы'!S198&amp;""</f>
        <v/>
      </c>
      <c r="J297" s="11" t="inlineStr">
        <is>
          <t>не начат</t>
        </is>
      </c>
      <c r="K297" s="11" t="inlineStr"/>
    </row>
    <row r="298">
      <c r="A298" s="36" t="inlineStr">
        <is>
          <t>Ст-192</t>
        </is>
      </c>
      <c r="B298" s="37" t="inlineStr">
        <is>
          <t>10+</t>
        </is>
      </c>
      <c r="C298" s="11" t="inlineStr">
        <is>
          <t>Грамматика</t>
        </is>
      </c>
      <c r="D298" s="11" t="inlineStr">
        <is>
          <t>Reported Speech: modal verbs</t>
        </is>
      </c>
      <c r="E298" s="35" t="inlineStr">
        <is>
          <t>Reported Speech: modal verbs: must → had to (обязанность) / must (вывод)</t>
        </is>
      </c>
      <c r="F298" s="11" t="inlineStr">
        <is>
          <t>8 кл. · М6 (6c) · новое
9 кл. · М8 (8c) · повт.
10 кл. · М8 (8c) · повт.
11 кл. · М6 (6c) · повт.</t>
        </is>
      </c>
      <c r="G298" s="11" t="n">
        <v>4</v>
      </c>
      <c r="H298" s="11">
        <f>'Темы × классы'!R199</f>
        <v/>
      </c>
      <c r="I298" s="11">
        <f>'Темы × классы'!S199&amp;""</f>
        <v/>
      </c>
      <c r="J298" s="11" t="inlineStr">
        <is>
          <t>не начат</t>
        </is>
      </c>
      <c r="K298" s="11" t="inlineStr"/>
    </row>
    <row r="299">
      <c r="A299" s="36" t="inlineStr">
        <is>
          <t>Ст-193</t>
        </is>
      </c>
      <c r="B299" s="37" t="inlineStr">
        <is>
          <t>10+</t>
        </is>
      </c>
      <c r="C299" s="11" t="inlineStr">
        <is>
          <t>Грамматика</t>
        </is>
      </c>
      <c r="D299" s="11" t="inlineStr">
        <is>
          <t>Reported Speech: modal verbs</t>
        </is>
      </c>
      <c r="E299" s="35" t="inlineStr">
        <is>
          <t>Reported Speech: modal verbs: needn't → didn't need to / didn't have to / wouldn't have to</t>
        </is>
      </c>
      <c r="F299" s="11" t="inlineStr">
        <is>
          <t>8 кл. · М6 (6c) · новое
9 кл. · М8 (8c) · повт.
10 кл. · М8 (8c) · повт.
11 кл. · М6 (6c) · повт.</t>
        </is>
      </c>
      <c r="G299" s="11" t="n">
        <v>4</v>
      </c>
      <c r="H299" s="11">
        <f>'Темы × классы'!R200</f>
        <v/>
      </c>
      <c r="I299" s="11">
        <f>'Темы × классы'!S200&amp;""</f>
        <v/>
      </c>
      <c r="J299" s="11" t="inlineStr">
        <is>
          <t>не начат</t>
        </is>
      </c>
      <c r="K299" s="11" t="inlineStr"/>
    </row>
    <row r="300">
      <c r="A300" s="36" t="inlineStr">
        <is>
          <t>Ст-194</t>
        </is>
      </c>
      <c r="B300" s="37" t="inlineStr">
        <is>
          <t>10+</t>
        </is>
      </c>
      <c r="C300" s="11" t="inlineStr">
        <is>
          <t>Грамматика</t>
        </is>
      </c>
      <c r="D300" s="11" t="inlineStr">
        <is>
          <t>Reported Speech: modal verbs</t>
        </is>
      </c>
      <c r="E300" s="35" t="inlineStr">
        <is>
          <t>Reported Speech: modal verbs: не меняются (would, could, used to, mustn't, should, might, ought to, had better)</t>
        </is>
      </c>
      <c r="F300" s="11" t="inlineStr">
        <is>
          <t>8 кл. · М6 (6c) · новое
9 кл. · М8 (8c) · повт.
10 кл. · М8 (8c) · повт.
11 кл. · М6 (6c) · повт.</t>
        </is>
      </c>
      <c r="G300" s="11" t="n">
        <v>4</v>
      </c>
      <c r="H300" s="11">
        <f>'Темы × классы'!R201</f>
        <v/>
      </c>
      <c r="I300" s="11">
        <f>'Темы × классы'!S201&amp;""</f>
        <v/>
      </c>
      <c r="J300" s="11" t="inlineStr">
        <is>
          <t>не начат</t>
        </is>
      </c>
      <c r="K300" s="11" t="inlineStr"/>
    </row>
    <row r="301">
      <c r="A301" s="36" t="inlineStr">
        <is>
          <t>Ст-195</t>
        </is>
      </c>
      <c r="B301" s="37" t="inlineStr">
        <is>
          <t>10+</t>
        </is>
      </c>
      <c r="C301" s="11" t="inlineStr">
        <is>
          <t>Грамматика</t>
        </is>
      </c>
      <c r="D301" s="11" t="inlineStr">
        <is>
          <t>can/could (ability past)</t>
        </is>
      </c>
      <c r="E301" s="35" t="inlineStr">
        <is>
          <t>can/could (ability past): could — общая способность в прошлом</t>
        </is>
      </c>
      <c r="F301" s="11" t="inlineStr">
        <is>
          <t>8 кл. · М7 (7c) · новое
9 кл. · М7 (7d) · повт.
10 кл. · М4 (4c) · расш.
11 кл. · М5 (5c) · повт.</t>
        </is>
      </c>
      <c r="G301" s="11" t="n">
        <v>4</v>
      </c>
      <c r="H301" s="11">
        <f>'Темы × классы'!R202</f>
        <v/>
      </c>
      <c r="I301" s="11">
        <f>'Темы × классы'!S202&amp;""</f>
        <v/>
      </c>
      <c r="J301" s="11" t="inlineStr">
        <is>
          <t>не начат</t>
        </is>
      </c>
      <c r="K301" s="11" t="inlineStr"/>
    </row>
    <row r="302">
      <c r="A302" s="36" t="inlineStr">
        <is>
          <t>Ст-196</t>
        </is>
      </c>
      <c r="B302" s="37" t="inlineStr">
        <is>
          <t>10+</t>
        </is>
      </c>
      <c r="C302" s="11" t="inlineStr">
        <is>
          <t>Грамматика</t>
        </is>
      </c>
      <c r="D302" s="11" t="inlineStr">
        <is>
          <t>can/could (ability past)</t>
        </is>
      </c>
      <c r="E302" s="35" t="inlineStr">
        <is>
          <t>can/could (ability past): was/were able to — способность в конкретной ситуации</t>
        </is>
      </c>
      <c r="F302" s="11" t="inlineStr">
        <is>
          <t>8 кл. · М7 (7c) · новое
9 кл. · М7 (7d) · повт.
10 кл. · М4 (4c) · повт.
11 кл. · М5 (5c) · повт.</t>
        </is>
      </c>
      <c r="G302" s="11" t="n">
        <v>4</v>
      </c>
      <c r="H302" s="11">
        <f>'Темы × классы'!R203</f>
        <v/>
      </c>
      <c r="I302" s="11">
        <f>'Темы × классы'!S203&amp;""</f>
        <v/>
      </c>
      <c r="J302" s="11" t="inlineStr">
        <is>
          <t>не начат</t>
        </is>
      </c>
      <c r="K302" s="11" t="inlineStr"/>
    </row>
    <row r="303">
      <c r="A303" s="36" t="inlineStr">
        <is>
          <t>Ст-197</t>
        </is>
      </c>
      <c r="B303" s="37" t="inlineStr">
        <is>
          <t>10+</t>
        </is>
      </c>
      <c r="C303" s="11" t="inlineStr">
        <is>
          <t>Грамматика</t>
        </is>
      </c>
      <c r="D303" s="11" t="inlineStr">
        <is>
          <t>can/could (ability past)</t>
        </is>
      </c>
      <c r="E303" s="35" t="inlineStr">
        <is>
          <t>can/could (ability past): couldn't — неспособность в прошлом</t>
        </is>
      </c>
      <c r="F303" s="11" t="inlineStr">
        <is>
          <t>8 кл. · М7 (7c) · новое
9 кл. · М7 (7d) · повт.
10 кл. · М4 (4c) · расш.
11 кл. · М5 (5c) · повт.</t>
        </is>
      </c>
      <c r="G303" s="11" t="n">
        <v>4</v>
      </c>
      <c r="H303" s="11">
        <f>'Темы × классы'!R204</f>
        <v/>
      </c>
      <c r="I303" s="11">
        <f>'Темы × классы'!S204&amp;""</f>
        <v/>
      </c>
      <c r="J303" s="11" t="inlineStr">
        <is>
          <t>не начат</t>
        </is>
      </c>
      <c r="K303" s="11" t="inlineStr"/>
    </row>
    <row r="304">
      <c r="A304" s="36" t="inlineStr">
        <is>
          <t>Ст-198</t>
        </is>
      </c>
      <c r="B304" s="37" t="inlineStr">
        <is>
          <t>10+</t>
        </is>
      </c>
      <c r="C304" s="11" t="inlineStr">
        <is>
          <t>Грамматика</t>
        </is>
      </c>
      <c r="D304" s="11" t="inlineStr">
        <is>
          <t>can/could (ability past)</t>
        </is>
      </c>
      <c r="E304" s="35" t="inlineStr">
        <is>
          <t>can/could (ability past): be able to в других временах (will be able to)</t>
        </is>
      </c>
      <c r="F304" s="11" t="inlineStr">
        <is>
          <t>11 кл. · М5 (5c) · новое</t>
        </is>
      </c>
      <c r="G304" s="11" t="n">
        <v>1</v>
      </c>
      <c r="H304" s="11">
        <f>'Темы × классы'!R205</f>
        <v/>
      </c>
      <c r="I304" s="11">
        <f>'Темы × классы'!S205&amp;""</f>
        <v/>
      </c>
      <c r="J304" s="11" t="inlineStr">
        <is>
          <t>не начат</t>
        </is>
      </c>
      <c r="K304" s="11" t="inlineStr"/>
    </row>
    <row r="305">
      <c r="A305" s="36" t="inlineStr">
        <is>
          <t>Ст-199</t>
        </is>
      </c>
      <c r="B305" s="37" t="inlineStr">
        <is>
          <t>10+</t>
        </is>
      </c>
      <c r="C305" s="11" t="inlineStr">
        <is>
          <t>Грамматика</t>
        </is>
      </c>
      <c r="D305" s="11" t="inlineStr">
        <is>
          <t>Semi-modals</t>
        </is>
      </c>
      <c r="E305" s="35" t="inlineStr">
        <is>
          <t>Semi-modals: need (= must), have (got) to (= must)</t>
        </is>
      </c>
      <c r="F305" s="11" t="inlineStr">
        <is>
          <t>11 кл. · М5 (5c) · новое</t>
        </is>
      </c>
      <c r="G305" s="11" t="n">
        <v>1</v>
      </c>
      <c r="H305" s="11">
        <f>'Темы × классы'!R206</f>
        <v/>
      </c>
      <c r="I305" s="11">
        <f>'Темы × классы'!S206&amp;""</f>
        <v/>
      </c>
      <c r="J305" s="11" t="inlineStr">
        <is>
          <t>не начат</t>
        </is>
      </c>
      <c r="K305" s="11" t="inlineStr"/>
    </row>
    <row r="306">
      <c r="A306" s="36" t="inlineStr">
        <is>
          <t>Ст-200</t>
        </is>
      </c>
      <c r="B306" s="37" t="inlineStr">
        <is>
          <t>10+</t>
        </is>
      </c>
      <c r="C306" s="11" t="inlineStr">
        <is>
          <t>Грамматика</t>
        </is>
      </c>
      <c r="D306" s="11" t="inlineStr">
        <is>
          <t>Semi-modals</t>
        </is>
      </c>
      <c r="E306" s="35" t="inlineStr">
        <is>
          <t>Semi-modals: had better (= should)</t>
        </is>
      </c>
      <c r="F306" s="11" t="inlineStr">
        <is>
          <t>11 кл. · М5 (5c) · новое</t>
        </is>
      </c>
      <c r="G306" s="11" t="n">
        <v>1</v>
      </c>
      <c r="H306" s="11">
        <f>'Темы × классы'!R207</f>
        <v/>
      </c>
      <c r="I306" s="11">
        <f>'Темы × классы'!S207&amp;""</f>
        <v/>
      </c>
      <c r="J306" s="11" t="inlineStr">
        <is>
          <t>не начат</t>
        </is>
      </c>
      <c r="K306" s="11" t="inlineStr"/>
    </row>
    <row r="307">
      <c r="A307" s="36" t="inlineStr">
        <is>
          <t>Ст-201</t>
        </is>
      </c>
      <c r="B307" s="37" t="inlineStr">
        <is>
          <t>10+</t>
        </is>
      </c>
      <c r="C307" s="11" t="inlineStr">
        <is>
          <t>Грамматика</t>
        </is>
      </c>
      <c r="D307" s="11" t="inlineStr">
        <is>
          <t>Semi-modals</t>
        </is>
      </c>
      <c r="E307" s="35" t="inlineStr">
        <is>
          <t>Semi-modals: be able to (= can)</t>
        </is>
      </c>
      <c r="F307" s="11" t="inlineStr">
        <is>
          <t>11 кл. · М5 (5c) · новое</t>
        </is>
      </c>
      <c r="G307" s="11" t="n">
        <v>1</v>
      </c>
      <c r="H307" s="11">
        <f>'Темы × классы'!R208</f>
        <v/>
      </c>
      <c r="I307" s="11">
        <f>'Темы × классы'!S208&amp;""</f>
        <v/>
      </c>
      <c r="J307" s="11" t="inlineStr">
        <is>
          <t>не начат</t>
        </is>
      </c>
      <c r="K307" s="11" t="inlineStr"/>
    </row>
    <row r="308">
      <c r="A308" s="36" t="inlineStr">
        <is>
          <t>Ст-202</t>
        </is>
      </c>
      <c r="B308" s="37" t="inlineStr">
        <is>
          <t>10+</t>
        </is>
      </c>
      <c r="C308" s="11" t="inlineStr">
        <is>
          <t>Грамматика</t>
        </is>
      </c>
      <c r="D308" s="11" t="inlineStr">
        <is>
          <t>Semi-modals</t>
        </is>
      </c>
      <c r="E308" s="35" t="inlineStr">
        <is>
          <t>Semi-modals: used to (= would)</t>
        </is>
      </c>
      <c r="F308" s="11" t="inlineStr">
        <is>
          <t>11 кл. · М5 (5c) · новое</t>
        </is>
      </c>
      <c r="G308" s="11" t="n">
        <v>1</v>
      </c>
      <c r="H308" s="11">
        <f>'Темы × классы'!R209</f>
        <v/>
      </c>
      <c r="I308" s="11">
        <f>'Темы × классы'!S209&amp;""</f>
        <v/>
      </c>
      <c r="J308" s="11" t="inlineStr">
        <is>
          <t>не начат</t>
        </is>
      </c>
      <c r="K308" s="11" t="inlineStr"/>
    </row>
    <row r="309">
      <c r="A309" s="36" t="inlineStr">
        <is>
          <t>Ст-203</t>
        </is>
      </c>
      <c r="B309" s="37" t="inlineStr">
        <is>
          <t>10+</t>
        </is>
      </c>
      <c r="C309" s="11" t="inlineStr">
        <is>
          <t>Грамматика</t>
        </is>
      </c>
      <c r="D309" s="11" t="inlineStr">
        <is>
          <t>must/have to (obligation)</t>
        </is>
      </c>
      <c r="E309" s="35" t="inlineStr">
        <is>
          <t>must/have to (obligation): must vs have to — субъективная vs объективная необходимость</t>
        </is>
      </c>
      <c r="F309" s="11" t="inlineStr">
        <is>
          <t>11 кл. · М5 (5c) · новое</t>
        </is>
      </c>
      <c r="G309" s="11" t="n">
        <v>1</v>
      </c>
      <c r="H309" s="11">
        <f>'Темы × классы'!R210</f>
        <v/>
      </c>
      <c r="I309" s="11">
        <f>'Темы × классы'!S210&amp;""</f>
        <v/>
      </c>
      <c r="J309" s="11" t="inlineStr">
        <is>
          <t>не начат</t>
        </is>
      </c>
      <c r="K309" s="11" t="inlineStr"/>
    </row>
    <row r="310">
      <c r="A310" s="36" t="inlineStr">
        <is>
          <t>Ст-204</t>
        </is>
      </c>
      <c r="B310" s="37" t="inlineStr">
        <is>
          <t>10+</t>
        </is>
      </c>
      <c r="C310" s="11" t="inlineStr">
        <is>
          <t>Грамматика</t>
        </is>
      </c>
      <c r="D310" s="11" t="inlineStr">
        <is>
          <t>must/have to (obligation)</t>
        </is>
      </c>
      <c r="E310" s="35" t="inlineStr">
        <is>
          <t>must/have to (obligation): had to — прошедшее для must и have to</t>
        </is>
      </c>
      <c r="F310" s="11" t="inlineStr">
        <is>
          <t>11 кл. · М5 (5c) · новое</t>
        </is>
      </c>
      <c r="G310" s="11" t="n">
        <v>1</v>
      </c>
      <c r="H310" s="11">
        <f>'Темы × классы'!R211</f>
        <v/>
      </c>
      <c r="I310" s="11">
        <f>'Темы × классы'!S211&amp;""</f>
        <v/>
      </c>
      <c r="J310" s="11" t="inlineStr">
        <is>
          <t>не начат</t>
        </is>
      </c>
      <c r="K310" s="11" t="inlineStr"/>
    </row>
    <row r="311">
      <c r="A311" s="36" t="inlineStr">
        <is>
          <t>Ст-205</t>
        </is>
      </c>
      <c r="B311" s="37" t="inlineStr">
        <is>
          <t>10+</t>
        </is>
      </c>
      <c r="C311" s="11" t="inlineStr">
        <is>
          <t>Грамматика</t>
        </is>
      </c>
      <c r="D311" s="11" t="inlineStr">
        <is>
          <t>must/have to (obligation)</t>
        </is>
      </c>
      <c r="E311" s="35" t="inlineStr">
        <is>
          <t>must/have to (obligation): should/ought to — долг, слабая обязанность</t>
        </is>
      </c>
      <c r="F311" s="11" t="inlineStr">
        <is>
          <t>11 кл. · М5 (5c) · новое</t>
        </is>
      </c>
      <c r="G311" s="11" t="n">
        <v>1</v>
      </c>
      <c r="H311" s="11">
        <f>'Темы × классы'!R212</f>
        <v/>
      </c>
      <c r="I311" s="11">
        <f>'Темы × классы'!S212&amp;""</f>
        <v/>
      </c>
      <c r="J311" s="11" t="inlineStr">
        <is>
          <t>не начат</t>
        </is>
      </c>
      <c r="K311" s="11" t="inlineStr"/>
    </row>
    <row r="312">
      <c r="A312" s="36" t="inlineStr">
        <is>
          <t>Ст-206</t>
        </is>
      </c>
      <c r="B312" s="37" t="inlineStr">
        <is>
          <t>10+</t>
        </is>
      </c>
      <c r="C312" s="11" t="inlineStr">
        <is>
          <t>Грамматика</t>
        </is>
      </c>
      <c r="D312" s="11" t="inlineStr">
        <is>
          <t>Conditionals (Type 0)</t>
        </is>
      </c>
      <c r="E312" s="33" t="inlineStr">
        <is>
          <t>Conditionals Type 0: форма If/When + Present Simple — Present Simple</t>
        </is>
      </c>
      <c r="F312" s="11" t="inlineStr">
        <is>
          <t>7 кл. · М5 · новое
8 кл. · М8 (8c) · повт.
10 кл. · М6 (6c) · повт.</t>
        </is>
      </c>
      <c r="G312" s="11" t="n">
        <v>3</v>
      </c>
      <c r="H312" s="11">
        <f>'Темы × классы'!R213</f>
        <v/>
      </c>
      <c r="I312" s="11">
        <f>'Темы × классы'!S213&amp;""</f>
        <v/>
      </c>
      <c r="J312" s="11" t="inlineStr">
        <is>
          <t>не начат</t>
        </is>
      </c>
      <c r="K312" s="11" t="inlineStr"/>
    </row>
    <row r="313">
      <c r="A313" s="36" t="inlineStr">
        <is>
          <t>Ст-207</t>
        </is>
      </c>
      <c r="B313" s="37" t="inlineStr">
        <is>
          <t>10+</t>
        </is>
      </c>
      <c r="C313" s="11" t="inlineStr">
        <is>
          <t>Грамматика</t>
        </is>
      </c>
      <c r="D313" s="11" t="inlineStr">
        <is>
          <t>Conditionals (Type 0)</t>
        </is>
      </c>
      <c r="E313" s="33" t="inlineStr">
        <is>
          <t>Conditionals Type 0: значение — общие истины, научные факты</t>
        </is>
      </c>
      <c r="F313" s="11" t="inlineStr">
        <is>
          <t>7 кл. · М5 · новое
8 кл. · М8 (8c) · повт.
10 кл. · М6 (6c) · повт.</t>
        </is>
      </c>
      <c r="G313" s="11" t="n">
        <v>3</v>
      </c>
      <c r="H313" s="11">
        <f>'Темы × классы'!R214</f>
        <v/>
      </c>
      <c r="I313" s="11">
        <f>'Темы × классы'!S214&amp;""</f>
        <v/>
      </c>
      <c r="J313" s="11" t="inlineStr">
        <is>
          <t>не начат</t>
        </is>
      </c>
      <c r="K313" s="11" t="inlineStr"/>
    </row>
    <row r="314">
      <c r="A314" s="36" t="inlineStr">
        <is>
          <t>Ст-208</t>
        </is>
      </c>
      <c r="B314" s="37" t="inlineStr">
        <is>
          <t>10+</t>
        </is>
      </c>
      <c r="C314" s="11" t="inlineStr">
        <is>
          <t>Грамматика</t>
        </is>
      </c>
      <c r="D314" s="11" t="inlineStr">
        <is>
          <t>Conditionals (Type 0)</t>
        </is>
      </c>
      <c r="E314" s="35" t="inlineStr">
        <is>
          <t>Conditionals Type 0: when вместо if</t>
        </is>
      </c>
      <c r="F314" s="11" t="inlineStr">
        <is>
          <t>7 кл. · М5 · новое
8 кл. · М8 (8c) · повт.
10 кл. · М6 (6c) · повт.</t>
        </is>
      </c>
      <c r="G314" s="11" t="n">
        <v>3</v>
      </c>
      <c r="H314" s="11">
        <f>'Темы × классы'!R215</f>
        <v/>
      </c>
      <c r="I314" s="11">
        <f>'Темы × классы'!S215&amp;""</f>
        <v/>
      </c>
      <c r="J314" s="11" t="inlineStr">
        <is>
          <t>не начат</t>
        </is>
      </c>
      <c r="K314" s="11" t="inlineStr"/>
    </row>
    <row r="315">
      <c r="A315" s="36" t="inlineStr">
        <is>
          <t>Ст-209</t>
        </is>
      </c>
      <c r="B315" s="37" t="inlineStr">
        <is>
          <t>10+</t>
        </is>
      </c>
      <c r="C315" s="11" t="inlineStr">
        <is>
          <t>Грамматика</t>
        </is>
      </c>
      <c r="D315" s="11" t="inlineStr">
        <is>
          <t>Conditionals (Type 1)</t>
        </is>
      </c>
      <c r="E315" s="33" t="inlineStr">
        <is>
          <t>Conditionals Type 1: форма If + Present Simple — will + V</t>
        </is>
      </c>
      <c r="F315" s="11" t="inlineStr">
        <is>
          <t>7 кл. · М5 · новое
8 кл. · М8 (8c) · повт.
9 кл. · М7 (7c) · повт.
10 кл. · М6 (6c) · повт.
11 кл. · М7 (7c) · повт.</t>
        </is>
      </c>
      <c r="G315" s="11" t="n">
        <v>5</v>
      </c>
      <c r="H315" s="11">
        <f>'Темы × классы'!R216</f>
        <v/>
      </c>
      <c r="I315" s="11">
        <f>'Темы × классы'!S216&amp;""</f>
        <v/>
      </c>
      <c r="J315" s="11" t="inlineStr">
        <is>
          <t>не начат</t>
        </is>
      </c>
      <c r="K315" s="11" t="inlineStr"/>
    </row>
    <row r="316">
      <c r="A316" s="36" t="inlineStr">
        <is>
          <t>Ст-210</t>
        </is>
      </c>
      <c r="B316" s="37" t="inlineStr">
        <is>
          <t>10+</t>
        </is>
      </c>
      <c r="C316" s="11" t="inlineStr">
        <is>
          <t>Грамматика</t>
        </is>
      </c>
      <c r="D316" s="11" t="inlineStr">
        <is>
          <t>Conditionals (Type 1)</t>
        </is>
      </c>
      <c r="E316" s="35" t="inlineStr">
        <is>
          <t>Conditionals Type 1: главная часть с Imperative / can, must, may</t>
        </is>
      </c>
      <c r="F316" s="11" t="inlineStr">
        <is>
          <t>7 кл. · М5 · новое
8 кл. · М8 (8c) · повт.
10 кл. · М6 (6c) · повт.</t>
        </is>
      </c>
      <c r="G316" s="11" t="n">
        <v>3</v>
      </c>
      <c r="H316" s="11">
        <f>'Темы × классы'!R217</f>
        <v/>
      </c>
      <c r="I316" s="11">
        <f>'Темы × классы'!S217&amp;""</f>
        <v/>
      </c>
      <c r="J316" s="11" t="inlineStr">
        <is>
          <t>не начат</t>
        </is>
      </c>
      <c r="K316" s="11" t="inlineStr"/>
    </row>
    <row r="317">
      <c r="A317" s="36" t="inlineStr">
        <is>
          <t>Ст-211</t>
        </is>
      </c>
      <c r="B317" s="37" t="inlineStr">
        <is>
          <t>10+</t>
        </is>
      </c>
      <c r="C317" s="11" t="inlineStr">
        <is>
          <t>Грамматика</t>
        </is>
      </c>
      <c r="D317" s="11" t="inlineStr">
        <is>
          <t>Conditionals (Type 1)</t>
        </is>
      </c>
      <c r="E317" s="33" t="inlineStr">
        <is>
          <t>Conditionals Type 1: значение — реальная/вероятная ситуация в настоящем/будущем</t>
        </is>
      </c>
      <c r="F317" s="11" t="inlineStr">
        <is>
          <t>7 кл. · М5 · новое
8 кл. · М8 (8c) · повт.
9 кл. · М7 (7c) · повт.
10 кл. · М6 (6c) · повт.
11 кл. · М7 (7c) · повт.</t>
        </is>
      </c>
      <c r="G317" s="11" t="n">
        <v>5</v>
      </c>
      <c r="H317" s="11">
        <f>'Темы × классы'!R218</f>
        <v/>
      </c>
      <c r="I317" s="11">
        <f>'Темы × классы'!S218&amp;""</f>
        <v/>
      </c>
      <c r="J317" s="11" t="inlineStr">
        <is>
          <t>не начат</t>
        </is>
      </c>
      <c r="K317" s="11" t="inlineStr"/>
    </row>
    <row r="318">
      <c r="A318" s="36" t="inlineStr">
        <is>
          <t>Ст-212</t>
        </is>
      </c>
      <c r="B318" s="37" t="inlineStr">
        <is>
          <t>10+</t>
        </is>
      </c>
      <c r="C318" s="11" t="inlineStr">
        <is>
          <t>Грамматика</t>
        </is>
      </c>
      <c r="D318" s="11" t="inlineStr">
        <is>
          <t>Conditionals (Type 1)</t>
        </is>
      </c>
      <c r="E318" s="35" t="inlineStr">
        <is>
          <t>Conditionals Type 1: запятая, если if-часть впереди</t>
        </is>
      </c>
      <c r="F318" s="11" t="inlineStr">
        <is>
          <t>7 кл. · М5 · новое
8 кл. · М8 (8c) · повт.
9 кл. · М7 (7c) · повт.
10 кл. · М6 (6c) · повт.
11 кл. · М7 (7c) · повт.</t>
        </is>
      </c>
      <c r="G318" s="11" t="n">
        <v>5</v>
      </c>
      <c r="H318" s="11">
        <f>'Темы × классы'!R219</f>
        <v/>
      </c>
      <c r="I318" s="11">
        <f>'Темы × классы'!S219&amp;""</f>
        <v/>
      </c>
      <c r="J318" s="11" t="inlineStr">
        <is>
          <t>не начат</t>
        </is>
      </c>
      <c r="K318" s="11" t="inlineStr"/>
    </row>
    <row r="319">
      <c r="A319" s="36" t="inlineStr">
        <is>
          <t>Ст-213</t>
        </is>
      </c>
      <c r="B319" s="37" t="inlineStr">
        <is>
          <t>10+</t>
        </is>
      </c>
      <c r="C319" s="11" t="inlineStr">
        <is>
          <t>Грамматика</t>
        </is>
      </c>
      <c r="D319" s="11" t="inlineStr">
        <is>
          <t>Conditionals (Type 1)</t>
        </is>
      </c>
      <c r="E319" s="35" t="inlineStr">
        <is>
          <t>Conditionals Type 1: unless = if not</t>
        </is>
      </c>
      <c r="F319" s="11" t="inlineStr">
        <is>
          <t>7 кл. · М5 · новое
8 кл. · М8 (8c) · повт.
9 кл. · М7 (7c) · повт.
10 кл. · М6 (6c) · повт.
11 кл. · М7 (7c) · повт.</t>
        </is>
      </c>
      <c r="G319" s="11" t="n">
        <v>5</v>
      </c>
      <c r="H319" s="11">
        <f>'Темы × классы'!R220</f>
        <v/>
      </c>
      <c r="I319" s="11">
        <f>'Темы × классы'!S220&amp;""</f>
        <v/>
      </c>
      <c r="J319" s="11" t="inlineStr">
        <is>
          <t>не начат</t>
        </is>
      </c>
      <c r="K319" s="11" t="inlineStr"/>
    </row>
    <row r="320">
      <c r="A320" s="36" t="inlineStr">
        <is>
          <t>Ст-214</t>
        </is>
      </c>
      <c r="B320" s="37" t="inlineStr">
        <is>
          <t>10+</t>
        </is>
      </c>
      <c r="C320" s="11" t="inlineStr">
        <is>
          <t>Грамматика</t>
        </is>
      </c>
      <c r="D320" s="11" t="inlineStr">
        <is>
          <t>Irregular verbs (list)</t>
        </is>
      </c>
      <c r="E320" s="35" t="inlineStr">
        <is>
          <t>Irregular verbs: таблица Infinitive – Past – Past Participle</t>
        </is>
      </c>
      <c r="F320" s="11" t="inlineStr">
        <is>
          <t>7 кл. · Irregular Verbs · новое
8 кл. · Irregular Verbs · повт.
9 кл. · Irregular Verbs · повт.
10 кл. · Irregular Verbs · повт.
11 кл. · М1 · повт.</t>
        </is>
      </c>
      <c r="G320" s="11" t="n">
        <v>5</v>
      </c>
      <c r="H320" s="11">
        <f>'Темы × классы'!R221</f>
        <v/>
      </c>
      <c r="I320" s="11">
        <f>'Темы × классы'!S221&amp;""</f>
        <v/>
      </c>
      <c r="J320" s="11" t="inlineStr">
        <is>
          <t>не начат</t>
        </is>
      </c>
      <c r="K320" s="11" t="inlineStr"/>
    </row>
    <row r="321">
      <c r="A321" s="36" t="inlineStr">
        <is>
          <t>Ст-215</t>
        </is>
      </c>
      <c r="B321" s="37" t="inlineStr">
        <is>
          <t>10+</t>
        </is>
      </c>
      <c r="C321" s="11" t="inlineStr">
        <is>
          <t>Грамматика</t>
        </is>
      </c>
      <c r="D321" s="11" t="inlineStr">
        <is>
          <t>Irregular verbs (list)</t>
        </is>
      </c>
      <c r="E321" s="35" t="inlineStr">
        <is>
          <t>Irregular verbs: двойные и особые формы (burnt/burned, got/gotten, can – could)</t>
        </is>
      </c>
      <c r="F321" s="11" t="inlineStr">
        <is>
          <t>7 кл. · Irregular Verbs · новое
8 кл. · Irregular Verbs · расш.
9 кл. · Irregular Verbs · повт.
10 кл. · Irregular Verbs · повт.
11 кл. · М1 · повт.</t>
        </is>
      </c>
      <c r="G321" s="11" t="n">
        <v>5</v>
      </c>
      <c r="H321" s="11">
        <f>'Темы × классы'!R222</f>
        <v/>
      </c>
      <c r="I321" s="11">
        <f>'Темы × классы'!S222&amp;""</f>
        <v/>
      </c>
      <c r="J321" s="11" t="inlineStr">
        <is>
          <t>не начат</t>
        </is>
      </c>
      <c r="K321" s="11" t="inlineStr"/>
    </row>
    <row r="322">
      <c r="A322" s="36" t="inlineStr">
        <is>
          <t>Ст-216</t>
        </is>
      </c>
      <c r="B322" s="37" t="inlineStr">
        <is>
          <t>10+</t>
        </is>
      </c>
      <c r="C322" s="11" t="inlineStr">
        <is>
          <t>Грамматика</t>
        </is>
      </c>
      <c r="D322" s="11" t="inlineStr">
        <is>
          <t>used to</t>
        </is>
      </c>
      <c r="E322" s="33" t="inlineStr">
        <is>
          <t>used to: значение — прошлые привычки и регулярные действия</t>
        </is>
      </c>
      <c r="F322" s="11" t="inlineStr">
        <is>
          <t>7 кл. · М2 · новое
9 кл. · М3 (3c) · повт.
11 кл. · М1 (1c) · повт.</t>
        </is>
      </c>
      <c r="G322" s="11" t="n">
        <v>3</v>
      </c>
      <c r="H322" s="11">
        <f>'Темы × классы'!R223</f>
        <v/>
      </c>
      <c r="I322" s="11">
        <f>'Темы × классы'!S223&amp;""</f>
        <v/>
      </c>
      <c r="J322" s="11" t="inlineStr">
        <is>
          <t>не начат</t>
        </is>
      </c>
      <c r="K322" s="11" t="inlineStr"/>
    </row>
    <row r="323">
      <c r="A323" s="36" t="inlineStr">
        <is>
          <t>Ст-217</t>
        </is>
      </c>
      <c r="B323" s="37" t="inlineStr">
        <is>
          <t>10+</t>
        </is>
      </c>
      <c r="C323" s="11" t="inlineStr">
        <is>
          <t>Грамматика</t>
        </is>
      </c>
      <c r="D323" s="11" t="inlineStr">
        <is>
          <t>used to</t>
        </is>
      </c>
      <c r="E323" s="33" t="inlineStr">
        <is>
          <t>used to: значение — прошлые состояния, которых больше нет</t>
        </is>
      </c>
      <c r="F323" s="11" t="inlineStr">
        <is>
          <t>7 кл. · М2 · новое
9 кл. · М3 (3c) · повт.</t>
        </is>
      </c>
      <c r="G323" s="11" t="n">
        <v>2</v>
      </c>
      <c r="H323" s="11">
        <f>'Темы × классы'!R224</f>
        <v/>
      </c>
      <c r="I323" s="11">
        <f>'Темы × классы'!S224&amp;""</f>
        <v/>
      </c>
      <c r="J323" s="11" t="inlineStr">
        <is>
          <t>не начат</t>
        </is>
      </c>
      <c r="K323" s="11" t="inlineStr"/>
    </row>
    <row r="324">
      <c r="A324" s="36" t="inlineStr">
        <is>
          <t>Ст-218</t>
        </is>
      </c>
      <c r="B324" s="37" t="inlineStr">
        <is>
          <t>10+</t>
        </is>
      </c>
      <c r="C324" s="11" t="inlineStr">
        <is>
          <t>Грамматика</t>
        </is>
      </c>
      <c r="D324" s="11" t="inlineStr">
        <is>
          <t>used to</t>
        </is>
      </c>
      <c r="E324" s="35" t="inlineStr">
        <is>
          <t>used to vs Past Simple: однократное действие — только Past Simple</t>
        </is>
      </c>
      <c r="F324" s="11" t="inlineStr">
        <is>
          <t>7 кл. · М2 · новое
9 кл. · М3 (3c) · повт.</t>
        </is>
      </c>
      <c r="G324" s="11" t="n">
        <v>2</v>
      </c>
      <c r="H324" s="11">
        <f>'Темы × классы'!R225</f>
        <v/>
      </c>
      <c r="I324" s="11">
        <f>'Темы × классы'!S225&amp;""</f>
        <v/>
      </c>
      <c r="J324" s="11" t="inlineStr">
        <is>
          <t>не начат</t>
        </is>
      </c>
      <c r="K324" s="11" t="inlineStr"/>
    </row>
    <row r="325">
      <c r="A325" s="36" t="inlineStr">
        <is>
          <t>Ст-219</t>
        </is>
      </c>
      <c r="B325" s="37" t="inlineStr">
        <is>
          <t>10+</t>
        </is>
      </c>
      <c r="C325" s="11" t="inlineStr">
        <is>
          <t>Грамматика</t>
        </is>
      </c>
      <c r="D325" s="11" t="inlineStr">
        <is>
          <t>used to</t>
        </is>
      </c>
      <c r="E325" s="35" t="inlineStr">
        <is>
          <t>used to vs be/get used to + -ing</t>
        </is>
      </c>
      <c r="F325" s="11" t="inlineStr">
        <is>
          <t>10 кл. · М2 (2c) · новое
11 кл. · М1 (1c) · повт.</t>
        </is>
      </c>
      <c r="G325" s="11" t="n">
        <v>2</v>
      </c>
      <c r="H325" s="11">
        <f>'Темы × классы'!R226</f>
        <v/>
      </c>
      <c r="I325" s="11">
        <f>'Темы × классы'!S226&amp;""</f>
        <v/>
      </c>
      <c r="J325" s="11" t="inlineStr">
        <is>
          <t>не начат</t>
        </is>
      </c>
      <c r="K325" s="11" t="inlineStr"/>
    </row>
    <row r="326">
      <c r="A326" s="36" t="inlineStr">
        <is>
          <t>Ст-220</t>
        </is>
      </c>
      <c r="B326" s="37" t="inlineStr">
        <is>
          <t>10+</t>
        </is>
      </c>
      <c r="C326" s="11" t="inlineStr">
        <is>
          <t>Грамматика</t>
        </is>
      </c>
      <c r="D326" s="11" t="inlineStr">
        <is>
          <t>used to</t>
        </is>
      </c>
      <c r="E326" s="35" t="inlineStr">
        <is>
          <t>used to и would (used to = would)</t>
        </is>
      </c>
      <c r="F326" s="11" t="inlineStr">
        <is>
          <t>11 кл. · М1 (1c) · новое</t>
        </is>
      </c>
      <c r="G326" s="11" t="n">
        <v>1</v>
      </c>
      <c r="H326" s="11">
        <f>'Темы × классы'!R227</f>
        <v/>
      </c>
      <c r="I326" s="11">
        <f>'Темы × классы'!S227&amp;""</f>
        <v/>
      </c>
      <c r="J326" s="11" t="inlineStr">
        <is>
          <t>не начат</t>
        </is>
      </c>
      <c r="K326" s="11" t="inlineStr"/>
    </row>
    <row r="327">
      <c r="A327" s="36" t="inlineStr">
        <is>
          <t>Ст-221</t>
        </is>
      </c>
      <c r="B327" s="37" t="inlineStr">
        <is>
          <t>10+</t>
        </is>
      </c>
      <c r="C327" s="11" t="inlineStr">
        <is>
          <t>Грамматика</t>
        </is>
      </c>
      <c r="D327" s="11" t="inlineStr">
        <is>
          <t>Causative (have something done)</t>
        </is>
      </c>
      <c r="E327" s="33" t="inlineStr">
        <is>
          <t>Causative: форма have + object + V3</t>
        </is>
      </c>
      <c r="F327" s="11" t="inlineStr">
        <is>
          <t>8 кл. · М4 (4d) · новое
9 кл. · М6 (6c) · повт.
11 кл. · М4 (4c) · повт.</t>
        </is>
      </c>
      <c r="G327" s="11" t="n">
        <v>3</v>
      </c>
      <c r="H327" s="11">
        <f>'Темы × классы'!R228</f>
        <v/>
      </c>
      <c r="I327" s="11">
        <f>'Темы × классы'!S228&amp;""</f>
        <v/>
      </c>
      <c r="J327" s="11" t="inlineStr">
        <is>
          <t>не начат</t>
        </is>
      </c>
      <c r="K327" s="11" t="inlineStr"/>
    </row>
    <row r="328">
      <c r="A328" s="36" t="inlineStr">
        <is>
          <t>Ст-222</t>
        </is>
      </c>
      <c r="B328" s="37" t="inlineStr">
        <is>
          <t>10+</t>
        </is>
      </c>
      <c r="C328" s="11" t="inlineStr">
        <is>
          <t>Грамматика</t>
        </is>
      </c>
      <c r="D328" s="11" t="inlineStr">
        <is>
          <t>Causative (have something done)</t>
        </is>
      </c>
      <c r="E328" s="33" t="inlineStr">
        <is>
          <t>Causative: значение — действие выполняет кто-то другой для подлежащего</t>
        </is>
      </c>
      <c r="F328" s="11" t="inlineStr">
        <is>
          <t>8 кл. · М4 (4d) · новое
9 кл. · М6 (6c) · повт.
11 кл. · М4 (4c) · повт.</t>
        </is>
      </c>
      <c r="G328" s="11" t="n">
        <v>3</v>
      </c>
      <c r="H328" s="11">
        <f>'Темы × классы'!R229</f>
        <v/>
      </c>
      <c r="I328" s="11">
        <f>'Темы × классы'!S229&amp;""</f>
        <v/>
      </c>
      <c r="J328" s="11" t="inlineStr">
        <is>
          <t>не начат</t>
        </is>
      </c>
      <c r="K328" s="11" t="inlineStr"/>
    </row>
    <row r="329">
      <c r="A329" s="36" t="inlineStr">
        <is>
          <t>Ст-223</t>
        </is>
      </c>
      <c r="B329" s="37" t="inlineStr">
        <is>
          <t>10+</t>
        </is>
      </c>
      <c r="C329" s="11" t="inlineStr">
        <is>
          <t>Грамматика</t>
        </is>
      </c>
      <c r="D329" s="11" t="inlineStr">
        <is>
          <t>Causative (have something done)</t>
        </is>
      </c>
      <c r="E329" s="35" t="inlineStr">
        <is>
          <t>Causative: have sth done в разных временах (Continuous, Perfect, Future)</t>
        </is>
      </c>
      <c r="F329" s="11" t="inlineStr">
        <is>
          <t>8 кл. · М4 (4d) · новое
9 кл. · М6 (6c) · расш.
11 кл. · М4 (4c) · повт.</t>
        </is>
      </c>
      <c r="G329" s="11" t="n">
        <v>3</v>
      </c>
      <c r="H329" s="11">
        <f>'Темы × классы'!R230</f>
        <v/>
      </c>
      <c r="I329" s="11">
        <f>'Темы × классы'!S230&amp;""</f>
        <v/>
      </c>
      <c r="J329" s="11" t="inlineStr">
        <is>
          <t>не начат</t>
        </is>
      </c>
      <c r="K329" s="11" t="inlineStr"/>
    </row>
    <row r="330">
      <c r="A330" s="36" t="inlineStr">
        <is>
          <t>Ст-224</t>
        </is>
      </c>
      <c r="B330" s="37" t="inlineStr">
        <is>
          <t>10+</t>
        </is>
      </c>
      <c r="C330" s="11" t="inlineStr">
        <is>
          <t>Грамматика</t>
        </is>
      </c>
      <c r="D330" s="11" t="inlineStr">
        <is>
          <t>Causative (have something done)</t>
        </is>
      </c>
      <c r="E330" s="35" t="inlineStr">
        <is>
          <t>Causative: инфинитив, -ing и модальные (to have / having sth done)</t>
        </is>
      </c>
      <c r="F330" s="11" t="inlineStr">
        <is>
          <t>8 кл. · М4 (4d) · новое
9 кл. · М6 (6c) · повт.
11 кл. · М4 (4c) · повт.</t>
        </is>
      </c>
      <c r="G330" s="11" t="n">
        <v>3</v>
      </c>
      <c r="H330" s="11">
        <f>'Темы × классы'!R231</f>
        <v/>
      </c>
      <c r="I330" s="11">
        <f>'Темы × классы'!S231&amp;""</f>
        <v/>
      </c>
      <c r="J330" s="11" t="inlineStr">
        <is>
          <t>не начат</t>
        </is>
      </c>
      <c r="K330" s="11" t="inlineStr"/>
    </row>
    <row r="331">
      <c r="A331" s="36" t="inlineStr">
        <is>
          <t>Ст-225</t>
        </is>
      </c>
      <c r="B331" s="37" t="inlineStr">
        <is>
          <t>10+</t>
        </is>
      </c>
      <c r="C331" s="11" t="inlineStr">
        <is>
          <t>Грамматика</t>
        </is>
      </c>
      <c r="D331" s="11" t="inlineStr">
        <is>
          <t>Causative (have something done)</t>
        </is>
      </c>
      <c r="E331" s="35" t="inlineStr">
        <is>
          <t>Causative: отрицания и вопросы с do/does/did</t>
        </is>
      </c>
      <c r="F331" s="11" t="inlineStr">
        <is>
          <t>9 кл. · М6 (6c) · новое
11 кл. · М4 (4c) · повт.</t>
        </is>
      </c>
      <c r="G331" s="11" t="n">
        <v>2</v>
      </c>
      <c r="H331" s="11">
        <f>'Темы × классы'!R232</f>
        <v/>
      </c>
      <c r="I331" s="11">
        <f>'Темы × классы'!S232&amp;""</f>
        <v/>
      </c>
      <c r="J331" s="11" t="inlineStr">
        <is>
          <t>не начат</t>
        </is>
      </c>
      <c r="K331" s="11" t="inlineStr"/>
    </row>
    <row r="332">
      <c r="A332" s="36" t="inlineStr">
        <is>
          <t>Ст-226</t>
        </is>
      </c>
      <c r="B332" s="37" t="inlineStr">
        <is>
          <t>10+</t>
        </is>
      </c>
      <c r="C332" s="11" t="inlineStr">
        <is>
          <t>Грамматика</t>
        </is>
      </c>
      <c r="D332" s="11" t="inlineStr">
        <is>
          <t>Causative (have something done)</t>
        </is>
      </c>
      <c r="E332" s="35" t="inlineStr">
        <is>
          <t>Causative: get sth done вместо have</t>
        </is>
      </c>
      <c r="F332" s="11" t="inlineStr">
        <is>
          <t>9 кл. · М6 (6c) · новое
11 кл. · М4 (4c) · повт.</t>
        </is>
      </c>
      <c r="G332" s="11" t="n">
        <v>2</v>
      </c>
      <c r="H332" s="11">
        <f>'Темы × классы'!R233</f>
        <v/>
      </c>
      <c r="I332" s="11">
        <f>'Темы × классы'!S233&amp;""</f>
        <v/>
      </c>
      <c r="J332" s="11" t="inlineStr">
        <is>
          <t>не начат</t>
        </is>
      </c>
      <c r="K332" s="11" t="inlineStr"/>
    </row>
    <row r="333">
      <c r="A333" s="36" t="inlineStr">
        <is>
          <t>Ст-227</t>
        </is>
      </c>
      <c r="B333" s="37" t="inlineStr">
        <is>
          <t>10+</t>
        </is>
      </c>
      <c r="C333" s="11" t="inlineStr">
        <is>
          <t>Грамматика</t>
        </is>
      </c>
      <c r="D333" s="11" t="inlineStr">
        <is>
          <t>Causative (have something done)</t>
        </is>
      </c>
      <c r="E333" s="35" t="inlineStr">
        <is>
          <t>Causative: значение — неприятное происшествие (had his car stolen)</t>
        </is>
      </c>
      <c r="F333" s="11" t="inlineStr">
        <is>
          <t>9 кл. · М6 (6c) · новое
11 кл. · М4 (4c) · повт.</t>
        </is>
      </c>
      <c r="G333" s="11" t="n">
        <v>2</v>
      </c>
      <c r="H333" s="11">
        <f>'Темы × классы'!R234</f>
        <v/>
      </c>
      <c r="I333" s="11">
        <f>'Темы × классы'!S234&amp;""</f>
        <v/>
      </c>
      <c r="J333" s="11" t="inlineStr">
        <is>
          <t>не начат</t>
        </is>
      </c>
      <c r="K333" s="11" t="inlineStr"/>
    </row>
    <row r="334">
      <c r="A334" s="36" t="inlineStr">
        <is>
          <t>Ст-228</t>
        </is>
      </c>
      <c r="B334" s="37" t="inlineStr">
        <is>
          <t>10+</t>
        </is>
      </c>
      <c r="C334" s="11" t="inlineStr">
        <is>
          <t>Грамматика</t>
        </is>
      </c>
      <c r="D334" s="11" t="inlineStr">
        <is>
          <t>Conditionals (Type 2)</t>
        </is>
      </c>
      <c r="E334" s="34" t="inlineStr">
        <is>
          <t>Conditionals Type 2: форма If + Past Simple — would/could/might + V</t>
        </is>
      </c>
      <c r="F334" s="11" t="inlineStr">
        <is>
          <t>8 кл. · М8 (8c) · новое
9 кл. · М7 (7c) · повт.
10 кл. · М6 (6c) · повт.
11 кл. · М7 (7c) · повт.</t>
        </is>
      </c>
      <c r="G334" s="11" t="n">
        <v>4</v>
      </c>
      <c r="H334" s="11">
        <f>'Темы × классы'!R235</f>
        <v/>
      </c>
      <c r="I334" s="11">
        <f>'Темы × классы'!S235&amp;""</f>
        <v/>
      </c>
      <c r="J334" s="11" t="inlineStr">
        <is>
          <t>не начат</t>
        </is>
      </c>
      <c r="K334" s="11" t="inlineStr"/>
    </row>
    <row r="335">
      <c r="A335" s="36" t="inlineStr">
        <is>
          <t>Ст-229</t>
        </is>
      </c>
      <c r="B335" s="37" t="inlineStr">
        <is>
          <t>10+</t>
        </is>
      </c>
      <c r="C335" s="11" t="inlineStr">
        <is>
          <t>Грамматика</t>
        </is>
      </c>
      <c r="D335" s="11" t="inlineStr">
        <is>
          <t>Conditionals (Type 2)</t>
        </is>
      </c>
      <c r="E335" s="35" t="inlineStr">
        <is>
          <t>Conditionals Type 2: If + Past Continuous</t>
        </is>
      </c>
      <c r="F335" s="11" t="inlineStr">
        <is>
          <t>8 кл. · М8 (8c) · новое
9 кл. · М7 (7c) · повт.
10 кл. · М6 (6c) · повт.
11 кл. · М7 (7c) · повт.</t>
        </is>
      </c>
      <c r="G335" s="11" t="n">
        <v>4</v>
      </c>
      <c r="H335" s="11">
        <f>'Темы × классы'!R236</f>
        <v/>
      </c>
      <c r="I335" s="11">
        <f>'Темы × классы'!S236&amp;""</f>
        <v/>
      </c>
      <c r="J335" s="11" t="inlineStr">
        <is>
          <t>не начат</t>
        </is>
      </c>
      <c r="K335" s="11" t="inlineStr"/>
    </row>
    <row r="336">
      <c r="A336" s="36" t="inlineStr">
        <is>
          <t>Ст-230</t>
        </is>
      </c>
      <c r="B336" s="37" t="inlineStr">
        <is>
          <t>10+</t>
        </is>
      </c>
      <c r="C336" s="11" t="inlineStr">
        <is>
          <t>Грамматика</t>
        </is>
      </c>
      <c r="D336" s="11" t="inlineStr">
        <is>
          <t>Conditionals (Type 2)</t>
        </is>
      </c>
      <c r="E336" s="34" t="inlineStr">
        <is>
          <t>Conditionals Type 2: значение — воображаемая/маловероятная ситуация в настоящем/будущем</t>
        </is>
      </c>
      <c r="F336" s="11" t="inlineStr">
        <is>
          <t>8 кл. · М8 (8c) · новое
9 кл. · М7 (7c) · повт.
10 кл. · М6 (6c) · повт.
11 кл. · М7 (7c) · повт.</t>
        </is>
      </c>
      <c r="G336" s="11" t="n">
        <v>4</v>
      </c>
      <c r="H336" s="11">
        <f>'Темы × классы'!R237</f>
        <v/>
      </c>
      <c r="I336" s="11">
        <f>'Темы × классы'!S237&amp;""</f>
        <v/>
      </c>
      <c r="J336" s="11" t="inlineStr">
        <is>
          <t>не начат</t>
        </is>
      </c>
      <c r="K336" s="11" t="inlineStr"/>
    </row>
    <row r="337">
      <c r="A337" s="36" t="inlineStr">
        <is>
          <t>Ст-231</t>
        </is>
      </c>
      <c r="B337" s="37" t="inlineStr">
        <is>
          <t>10+</t>
        </is>
      </c>
      <c r="C337" s="11" t="inlineStr">
        <is>
          <t>Грамматика</t>
        </is>
      </c>
      <c r="D337" s="11" t="inlineStr">
        <is>
          <t>Conditionals (Type 2)</t>
        </is>
      </c>
      <c r="E337" s="35" t="inlineStr">
        <is>
          <t>Conditionals Type 2: were/was для I, he, she, it</t>
        </is>
      </c>
      <c r="F337" s="11" t="inlineStr">
        <is>
          <t>8 кл. · М8 (8c) · новое
9 кл. · М7 (7c) · расш.
10 кл. · М6 (6c) · повт.
11 кл. · М7 (7c) · повт.</t>
        </is>
      </c>
      <c r="G337" s="11" t="n">
        <v>4</v>
      </c>
      <c r="H337" s="11">
        <f>'Темы × классы'!R238</f>
        <v/>
      </c>
      <c r="I337" s="11">
        <f>'Темы × классы'!S238&amp;""</f>
        <v/>
      </c>
      <c r="J337" s="11" t="inlineStr">
        <is>
          <t>не начат</t>
        </is>
      </c>
      <c r="K337" s="11" t="inlineStr"/>
    </row>
    <row r="338">
      <c r="A338" s="36" t="inlineStr">
        <is>
          <t>Ст-232</t>
        </is>
      </c>
      <c r="B338" s="37" t="inlineStr">
        <is>
          <t>10+</t>
        </is>
      </c>
      <c r="C338" s="11" t="inlineStr">
        <is>
          <t>Грамматика</t>
        </is>
      </c>
      <c r="D338" s="11" t="inlineStr">
        <is>
          <t>Conditionals (Type 2)</t>
        </is>
      </c>
      <c r="E338" s="35" t="inlineStr">
        <is>
          <t>Conditionals Type 2: If I were you — совет</t>
        </is>
      </c>
      <c r="F338" s="11" t="inlineStr">
        <is>
          <t>8 кл. · М8 (8c) · новое
9 кл. · М7 (7c) · повт.
10 кл. · М6 (6c) · повт.
11 кл. · М7 (7c) · повт.</t>
        </is>
      </c>
      <c r="G338" s="11" t="n">
        <v>4</v>
      </c>
      <c r="H338" s="11">
        <f>'Темы × классы'!R239</f>
        <v/>
      </c>
      <c r="I338" s="11">
        <f>'Темы × классы'!S239&amp;""</f>
        <v/>
      </c>
      <c r="J338" s="11" t="inlineStr">
        <is>
          <t>не начат</t>
        </is>
      </c>
      <c r="K338" s="11" t="inlineStr"/>
    </row>
    <row r="339">
      <c r="A339" s="36" t="inlineStr">
        <is>
          <t>Ст-233</t>
        </is>
      </c>
      <c r="B339" s="37" t="inlineStr">
        <is>
          <t>10+</t>
        </is>
      </c>
      <c r="C339" s="11" t="inlineStr">
        <is>
          <t>Грамматика</t>
        </is>
      </c>
      <c r="D339" s="11" t="inlineStr">
        <is>
          <t>Conditionals (Type 3)</t>
        </is>
      </c>
      <c r="E339" s="34" t="inlineStr">
        <is>
          <t>Conditionals Type 3: форма If + Past Perfect — would/could/might have + V3</t>
        </is>
      </c>
      <c r="F339" s="11" t="inlineStr">
        <is>
          <t>8 кл. · М8 (8c) · новое
9 кл. · М7 (7c) · повт.
10 кл. · М6 (6c) · повт.
11 кл. · М7 (7c) · повт.</t>
        </is>
      </c>
      <c r="G339" s="11" t="n">
        <v>4</v>
      </c>
      <c r="H339" s="11">
        <f>'Темы × классы'!R240</f>
        <v/>
      </c>
      <c r="I339" s="11">
        <f>'Темы × классы'!S240&amp;""</f>
        <v/>
      </c>
      <c r="J339" s="11" t="inlineStr">
        <is>
          <t>не начат</t>
        </is>
      </c>
      <c r="K339" s="11" t="inlineStr"/>
    </row>
    <row r="340">
      <c r="A340" s="36" t="inlineStr">
        <is>
          <t>Ст-234</t>
        </is>
      </c>
      <c r="B340" s="37" t="inlineStr">
        <is>
          <t>10+</t>
        </is>
      </c>
      <c r="C340" s="11" t="inlineStr">
        <is>
          <t>Грамматика</t>
        </is>
      </c>
      <c r="D340" s="11" t="inlineStr">
        <is>
          <t>Conditionals (Type 3)</t>
        </is>
      </c>
      <c r="E340" s="35" t="inlineStr">
        <is>
          <t>Conditionals Type 3: If + Past Perfect Continuous</t>
        </is>
      </c>
      <c r="F340" s="11" t="inlineStr">
        <is>
          <t>8 кл. · М8 (8c) · новое
9 кл. · М7 (7c) · повт.
10 кл. · М6 (6c) · повт.
11 кл. · М7 (7c) · повт.</t>
        </is>
      </c>
      <c r="G340" s="11" t="n">
        <v>4</v>
      </c>
      <c r="H340" s="11">
        <f>'Темы × классы'!R241</f>
        <v/>
      </c>
      <c r="I340" s="11">
        <f>'Темы × классы'!S241&amp;""</f>
        <v/>
      </c>
      <c r="J340" s="11" t="inlineStr">
        <is>
          <t>не начат</t>
        </is>
      </c>
      <c r="K340" s="11" t="inlineStr"/>
    </row>
    <row r="341">
      <c r="A341" s="36" t="inlineStr">
        <is>
          <t>Ст-235</t>
        </is>
      </c>
      <c r="B341" s="37" t="inlineStr">
        <is>
          <t>10+</t>
        </is>
      </c>
      <c r="C341" s="11" t="inlineStr">
        <is>
          <t>Грамматика</t>
        </is>
      </c>
      <c r="D341" s="11" t="inlineStr">
        <is>
          <t>Conditionals (Type 3)</t>
        </is>
      </c>
      <c r="E341" s="34" t="inlineStr">
        <is>
          <t>Conditionals Type 3: значение — нереальная ситуация в прошлом</t>
        </is>
      </c>
      <c r="F341" s="11" t="inlineStr">
        <is>
          <t>8 кл. · М8 (8c) · новое
9 кл. · М7 (7c) · повт.
10 кл. · М6 (6c) · повт.
11 кл. · М7 (7c) · повт.</t>
        </is>
      </c>
      <c r="G341" s="11" t="n">
        <v>4</v>
      </c>
      <c r="H341" s="11">
        <f>'Темы × классы'!R242</f>
        <v/>
      </c>
      <c r="I341" s="11">
        <f>'Темы × классы'!S242&amp;""</f>
        <v/>
      </c>
      <c r="J341" s="11" t="inlineStr">
        <is>
          <t>не начат</t>
        </is>
      </c>
      <c r="K341" s="11" t="inlineStr"/>
    </row>
    <row r="342">
      <c r="A342" s="36" t="inlineStr">
        <is>
          <t>Ст-236</t>
        </is>
      </c>
      <c r="B342" s="37" t="inlineStr">
        <is>
          <t>10+</t>
        </is>
      </c>
      <c r="C342" s="11" t="inlineStr">
        <is>
          <t>Грамматика</t>
        </is>
      </c>
      <c r="D342" s="11" t="inlineStr">
        <is>
          <t>Conditionals (Type 3)</t>
        </is>
      </c>
      <c r="E342" s="34" t="inlineStr">
        <is>
          <t>Conditionals Type 3: значение — сожаление, критика</t>
        </is>
      </c>
      <c r="F342" s="11" t="inlineStr">
        <is>
          <t>8 кл. · М8 (8c) · новое
9 кл. · М7 (7c) · повт.
10 кл. · М6 (6c) · повт.
11 кл. · М7 (7c) · повт.</t>
        </is>
      </c>
      <c r="G342" s="11" t="n">
        <v>4</v>
      </c>
      <c r="H342" s="11">
        <f>'Темы × классы'!R243</f>
        <v/>
      </c>
      <c r="I342" s="11">
        <f>'Темы × классы'!S243&amp;""</f>
        <v/>
      </c>
      <c r="J342" s="11" t="inlineStr">
        <is>
          <t>не начат</t>
        </is>
      </c>
      <c r="K342" s="11" t="inlineStr"/>
    </row>
    <row r="343">
      <c r="A343" s="36" t="inlineStr">
        <is>
          <t>Ст-237</t>
        </is>
      </c>
      <c r="B343" s="37" t="inlineStr">
        <is>
          <t>10+</t>
        </is>
      </c>
      <c r="C343" s="11" t="inlineStr">
        <is>
          <t>Грамматика</t>
        </is>
      </c>
      <c r="D343" s="11" t="inlineStr">
        <is>
          <t>Infinitive / -ing form</t>
        </is>
      </c>
      <c r="E343" s="35" t="inlineStr">
        <is>
          <t>-ing form: в роли подлежащего</t>
        </is>
      </c>
      <c r="F343" s="11" t="inlineStr">
        <is>
          <t>8 кл. · М5 (5c) · новое
9 кл. · М2 (2c) · повт.
10 кл. · М2 (2c) · повт.
11 кл. · М3 (3c) · повт.</t>
        </is>
      </c>
      <c r="G343" s="11" t="n">
        <v>4</v>
      </c>
      <c r="H343" s="11">
        <f>'Темы × классы'!R244</f>
        <v/>
      </c>
      <c r="I343" s="11">
        <f>'Темы × классы'!S244&amp;""</f>
        <v/>
      </c>
      <c r="J343" s="11" t="inlineStr">
        <is>
          <t>не начат</t>
        </is>
      </c>
      <c r="K343" s="11" t="inlineStr"/>
    </row>
    <row r="344">
      <c r="A344" s="36" t="inlineStr">
        <is>
          <t>Ст-238</t>
        </is>
      </c>
      <c r="B344" s="37" t="inlineStr">
        <is>
          <t>10+</t>
        </is>
      </c>
      <c r="C344" s="11" t="inlineStr">
        <is>
          <t>Грамматика</t>
        </is>
      </c>
      <c r="D344" s="11" t="inlineStr">
        <is>
          <t>Infinitive / -ing form</t>
        </is>
      </c>
      <c r="E344" s="33" t="inlineStr">
        <is>
          <t>-ing form: после глаголов admit, avoid, consider, deny, fancy, go, imagine, mind, miss, practise, suggest…</t>
        </is>
      </c>
      <c r="F344" s="11" t="inlineStr">
        <is>
          <t>8 кл. · М5 (5c) · новое
9 кл. · М2 (2c) · повт.
10 кл. · М2 (2c) · повт.
11 кл. · М3 (3c) · повт.</t>
        </is>
      </c>
      <c r="G344" s="11" t="n">
        <v>4</v>
      </c>
      <c r="H344" s="11">
        <f>'Темы × классы'!R245</f>
        <v/>
      </c>
      <c r="I344" s="11">
        <f>'Темы × классы'!S245&amp;""</f>
        <v/>
      </c>
      <c r="J344" s="11" t="inlineStr">
        <is>
          <t>не начат</t>
        </is>
      </c>
      <c r="K344" s="11" t="inlineStr"/>
    </row>
    <row r="345">
      <c r="A345" s="36" t="inlineStr">
        <is>
          <t>Ст-239</t>
        </is>
      </c>
      <c r="B345" s="37" t="inlineStr">
        <is>
          <t>10+</t>
        </is>
      </c>
      <c r="C345" s="11" t="inlineStr">
        <is>
          <t>Грамматика</t>
        </is>
      </c>
      <c r="D345" s="11" t="inlineStr">
        <is>
          <t>Infinitive / -ing form</t>
        </is>
      </c>
      <c r="E345" s="33" t="inlineStr">
        <is>
          <t>-ing form: после like, love, enjoy, prefer, dislike, hate — общее предпочтение</t>
        </is>
      </c>
      <c r="F345" s="11" t="inlineStr">
        <is>
          <t>8 кл. · М5 (5c) · новое
9 кл. · М2 (2c) · повт.
10 кл. · М2 (2c) · повт.
11 кл. · М3 (3c) · повт.</t>
        </is>
      </c>
      <c r="G345" s="11" t="n">
        <v>4</v>
      </c>
      <c r="H345" s="11">
        <f>'Темы × классы'!R246</f>
        <v/>
      </c>
      <c r="I345" s="11">
        <f>'Темы × классы'!S246&amp;""</f>
        <v/>
      </c>
      <c r="J345" s="11" t="inlineStr">
        <is>
          <t>не начат</t>
        </is>
      </c>
      <c r="K345" s="11" t="inlineStr"/>
    </row>
    <row r="346">
      <c r="A346" s="36" t="inlineStr">
        <is>
          <t>Ст-240</t>
        </is>
      </c>
      <c r="B346" s="37" t="inlineStr">
        <is>
          <t>10+</t>
        </is>
      </c>
      <c r="C346" s="11" t="inlineStr">
        <is>
          <t>Грамматика</t>
        </is>
      </c>
      <c r="D346" s="11" t="inlineStr">
        <is>
          <t>Infinitive / -ing form</t>
        </is>
      </c>
      <c r="E346" s="33" t="inlineStr">
        <is>
          <t>-ing form: после выражений it's no use, it's (not) worth, can't help, there's no point…</t>
        </is>
      </c>
      <c r="F346" s="11" t="inlineStr">
        <is>
          <t>8 кл. · М5 (5c) · новое
9 кл. · М2 (2c) · повт.
10 кл. · М2 (2c) · повт.
11 кл. · М3 (3c) · повт.</t>
        </is>
      </c>
      <c r="G346" s="11" t="n">
        <v>4</v>
      </c>
      <c r="H346" s="11">
        <f>'Темы × классы'!R247</f>
        <v/>
      </c>
      <c r="I346" s="11">
        <f>'Темы × классы'!S247&amp;""</f>
        <v/>
      </c>
      <c r="J346" s="11" t="inlineStr">
        <is>
          <t>не начат</t>
        </is>
      </c>
      <c r="K346" s="11" t="inlineStr"/>
    </row>
    <row r="347">
      <c r="A347" s="36" t="inlineStr">
        <is>
          <t>Ст-241</t>
        </is>
      </c>
      <c r="B347" s="37" t="inlineStr">
        <is>
          <t>10+</t>
        </is>
      </c>
      <c r="C347" s="11" t="inlineStr">
        <is>
          <t>Грамматика</t>
        </is>
      </c>
      <c r="D347" s="11" t="inlineStr">
        <is>
          <t>Infinitive / -ing form</t>
        </is>
      </c>
      <c r="E347" s="35" t="inlineStr">
        <is>
          <t>-ing form: после spend/waste/lose + время/деньги</t>
        </is>
      </c>
      <c r="F347" s="11" t="inlineStr">
        <is>
          <t>8 кл. · М5 (5c) · новое
9 кл. · М2 (2c) · повт.
10 кл. · М2 (2c) · повт.
11 кл. · М3 (3c) · повт.</t>
        </is>
      </c>
      <c r="G347" s="11" t="n">
        <v>4</v>
      </c>
      <c r="H347" s="11">
        <f>'Темы × классы'!R248</f>
        <v/>
      </c>
      <c r="I347" s="11">
        <f>'Темы × классы'!S248&amp;""</f>
        <v/>
      </c>
      <c r="J347" s="11" t="inlineStr">
        <is>
          <t>не начат</t>
        </is>
      </c>
      <c r="K347" s="11" t="inlineStr"/>
    </row>
    <row r="348">
      <c r="A348" s="36" t="inlineStr">
        <is>
          <t>Ст-242</t>
        </is>
      </c>
      <c r="B348" s="37" t="inlineStr">
        <is>
          <t>10+</t>
        </is>
      </c>
      <c r="C348" s="11" t="inlineStr">
        <is>
          <t>Грамматика</t>
        </is>
      </c>
      <c r="D348" s="11" t="inlineStr">
        <is>
          <t>Infinitive / -ing form</t>
        </is>
      </c>
      <c r="E348" s="33" t="inlineStr">
        <is>
          <t>-ing form: после предлогов (look forward to, be used to, object to…)</t>
        </is>
      </c>
      <c r="F348" s="11" t="inlineStr">
        <is>
          <t>8 кл. · М5 (5c) · новое
9 кл. · М2 (2c) · расш.
10 кл. · М2 (2c) · повт.
11 кл. · М3 (3c) · повт.</t>
        </is>
      </c>
      <c r="G348" s="11" t="n">
        <v>4</v>
      </c>
      <c r="H348" s="11">
        <f>'Темы × классы'!R249</f>
        <v/>
      </c>
      <c r="I348" s="11">
        <f>'Темы × классы'!S249&amp;""</f>
        <v/>
      </c>
      <c r="J348" s="11" t="inlineStr">
        <is>
          <t>не начат</t>
        </is>
      </c>
      <c r="K348" s="11" t="inlineStr"/>
    </row>
    <row r="349">
      <c r="A349" s="36" t="inlineStr">
        <is>
          <t>Ст-243</t>
        </is>
      </c>
      <c r="B349" s="37" t="inlineStr">
        <is>
          <t>10+</t>
        </is>
      </c>
      <c r="C349" s="11" t="inlineStr">
        <is>
          <t>Грамматика</t>
        </is>
      </c>
      <c r="D349" s="11" t="inlineStr">
        <is>
          <t>Infinitive / -ing form</t>
        </is>
      </c>
      <c r="E349" s="35" t="inlineStr">
        <is>
          <t>-ing vs bare infinitive после see, hear, watch, feel — незавершённое vs завершённое</t>
        </is>
      </c>
      <c r="F349" s="11" t="inlineStr">
        <is>
          <t>8 кл. · М5 (5c) · новое
9 кл. · М2 (2c) · повт.
10 кл. · М2 (2c) · повт.
11 кл. · М3 (3c) · повт.</t>
        </is>
      </c>
      <c r="G349" s="11" t="n">
        <v>4</v>
      </c>
      <c r="H349" s="11">
        <f>'Темы × классы'!R250</f>
        <v/>
      </c>
      <c r="I349" s="11">
        <f>'Темы × классы'!S250&amp;""</f>
        <v/>
      </c>
      <c r="J349" s="11" t="inlineStr">
        <is>
          <t>не начат</t>
        </is>
      </c>
      <c r="K349" s="11" t="inlineStr"/>
    </row>
    <row r="350">
      <c r="A350" s="36" t="inlineStr">
        <is>
          <t>Ст-244</t>
        </is>
      </c>
      <c r="B350" s="37" t="inlineStr">
        <is>
          <t>10+</t>
        </is>
      </c>
      <c r="C350" s="11" t="inlineStr">
        <is>
          <t>Грамматика</t>
        </is>
      </c>
      <c r="D350" s="11" t="inlineStr">
        <is>
          <t>Infinitive / -ing form</t>
        </is>
      </c>
      <c r="E350" s="35" t="inlineStr">
        <is>
          <t>-ing form: be/get used to + -ing vs used to + V</t>
        </is>
      </c>
      <c r="F350" s="11" t="inlineStr">
        <is>
          <t>9 кл. · М2 (2c) · новое
11 кл. · М3 (3c) · повт.</t>
        </is>
      </c>
      <c r="G350" s="11" t="n">
        <v>2</v>
      </c>
      <c r="H350" s="11">
        <f>'Темы × классы'!R251</f>
        <v/>
      </c>
      <c r="I350" s="11">
        <f>'Темы × классы'!S251&amp;""</f>
        <v/>
      </c>
      <c r="J350" s="11" t="inlineStr">
        <is>
          <t>не начат</t>
        </is>
      </c>
      <c r="K350" s="11" t="inlineStr"/>
    </row>
    <row r="351">
      <c r="A351" s="36" t="inlineStr">
        <is>
          <t>Ст-245</t>
        </is>
      </c>
      <c r="B351" s="37" t="inlineStr">
        <is>
          <t>10+</t>
        </is>
      </c>
      <c r="C351" s="11" t="inlineStr">
        <is>
          <t>Грамматика</t>
        </is>
      </c>
      <c r="D351" s="11" t="inlineStr">
        <is>
          <t>Infinitive / -ing form</t>
        </is>
      </c>
      <c r="E351" s="33" t="inlineStr">
        <is>
          <t>to-infinitive: цель</t>
        </is>
      </c>
      <c r="F351" s="11" t="inlineStr">
        <is>
          <t>8 кл. · М5 (5c) · новое
9 кл. · М2 (2c) · повт.
10 кл. · М2 (2c) · повт.
11 кл. · М3 (3c) · повт.</t>
        </is>
      </c>
      <c r="G351" s="11" t="n">
        <v>4</v>
      </c>
      <c r="H351" s="11">
        <f>'Темы × классы'!R252</f>
        <v/>
      </c>
      <c r="I351" s="11">
        <f>'Темы × классы'!S252&amp;""</f>
        <v/>
      </c>
      <c r="J351" s="11" t="inlineStr">
        <is>
          <t>не начат</t>
        </is>
      </c>
      <c r="K351" s="11" t="inlineStr"/>
    </row>
    <row r="352">
      <c r="A352" s="36" t="inlineStr">
        <is>
          <t>Ст-246</t>
        </is>
      </c>
      <c r="B352" s="37" t="inlineStr">
        <is>
          <t>10+</t>
        </is>
      </c>
      <c r="C352" s="11" t="inlineStr">
        <is>
          <t>Грамматика</t>
        </is>
      </c>
      <c r="D352" s="11" t="inlineStr">
        <is>
          <t>Infinitive / -ing form</t>
        </is>
      </c>
      <c r="E352" s="33" t="inlineStr">
        <is>
          <t>to-infinitive: после agree, decide, expect, hope, plan, promise, refuse, want</t>
        </is>
      </c>
      <c r="F352" s="11" t="inlineStr">
        <is>
          <t>8 кл. · М5 (5c) · новое
9 кл. · М2 (2c) · расш.
10 кл. · М2 (2c) · повт.
11 кл. · М3 (3c) · повт.</t>
        </is>
      </c>
      <c r="G352" s="11" t="n">
        <v>4</v>
      </c>
      <c r="H352" s="11">
        <f>'Темы × классы'!R253</f>
        <v/>
      </c>
      <c r="I352" s="11">
        <f>'Темы × классы'!S253&amp;""</f>
        <v/>
      </c>
      <c r="J352" s="11" t="inlineStr">
        <is>
          <t>не начат</t>
        </is>
      </c>
      <c r="K352" s="11" t="inlineStr"/>
    </row>
    <row r="353">
      <c r="A353" s="36" t="inlineStr">
        <is>
          <t>Ст-247</t>
        </is>
      </c>
      <c r="B353" s="37" t="inlineStr">
        <is>
          <t>10+</t>
        </is>
      </c>
      <c r="C353" s="11" t="inlineStr">
        <is>
          <t>Грамматика</t>
        </is>
      </c>
      <c r="D353" s="11" t="inlineStr">
        <is>
          <t>Infinitive / -ing form</t>
        </is>
      </c>
      <c r="E353" s="35" t="inlineStr">
        <is>
          <t>to-infinitive: после would like/prefer/love — конкретное предпочтение</t>
        </is>
      </c>
      <c r="F353" s="11" t="inlineStr">
        <is>
          <t>8 кл. · М5 (5c) · новое
9 кл. · М2 (2c) · повт.
10 кл. · М2 (2c) · повт.
11 кл. · М3 (3c) · повт.</t>
        </is>
      </c>
      <c r="G353" s="11" t="n">
        <v>4</v>
      </c>
      <c r="H353" s="11">
        <f>'Темы × классы'!R254</f>
        <v/>
      </c>
      <c r="I353" s="11">
        <f>'Темы × классы'!S254&amp;""</f>
        <v/>
      </c>
      <c r="J353" s="11" t="inlineStr">
        <is>
          <t>не начат</t>
        </is>
      </c>
      <c r="K353" s="11" t="inlineStr"/>
    </row>
    <row r="354">
      <c r="A354" s="36" t="inlineStr">
        <is>
          <t>Ст-248</t>
        </is>
      </c>
      <c r="B354" s="37" t="inlineStr">
        <is>
          <t>10+</t>
        </is>
      </c>
      <c r="C354" s="11" t="inlineStr">
        <is>
          <t>Грамматика</t>
        </is>
      </c>
      <c r="D354" s="11" t="inlineStr">
        <is>
          <t>Infinitive / -ing form</t>
        </is>
      </c>
      <c r="E354" s="33" t="inlineStr">
        <is>
          <t>to-infinitive: после прилагательных (happy, eager, kind, lucky…); It was kind of you to…</t>
        </is>
      </c>
      <c r="F354" s="11" t="inlineStr">
        <is>
          <t>8 кл. · М5 (5c) · новое
9 кл. · М2 (2c) · повт.
10 кл. · М2 (2c) · повт.
11 кл. · М3 (3c) · повт.</t>
        </is>
      </c>
      <c r="G354" s="11" t="n">
        <v>4</v>
      </c>
      <c r="H354" s="11">
        <f>'Темы × классы'!R255</f>
        <v/>
      </c>
      <c r="I354" s="11">
        <f>'Темы × классы'!S255&amp;""</f>
        <v/>
      </c>
      <c r="J354" s="11" t="inlineStr">
        <is>
          <t>не начат</t>
        </is>
      </c>
      <c r="K354" s="11" t="inlineStr"/>
    </row>
    <row r="355">
      <c r="A355" s="36" t="inlineStr">
        <is>
          <t>Ст-249</t>
        </is>
      </c>
      <c r="B355" s="37" t="inlineStr">
        <is>
          <t>10+</t>
        </is>
      </c>
      <c r="C355" s="11" t="inlineStr">
        <is>
          <t>Грамматика</t>
        </is>
      </c>
      <c r="D355" s="11" t="inlineStr">
        <is>
          <t>Infinitive / -ing form</t>
        </is>
      </c>
      <c r="E355" s="35" t="inlineStr">
        <is>
          <t>to-infinitive: после too/enough</t>
        </is>
      </c>
      <c r="F355" s="11" t="inlineStr">
        <is>
          <t>8 кл. · М5 (5c) · новое
9 кл. · М2 (2c) · повт.
10 кл. · М2 (2c) · повт.
11 кл. · М3 (3c) · повт.</t>
        </is>
      </c>
      <c r="G355" s="11" t="n">
        <v>4</v>
      </c>
      <c r="H355" s="11">
        <f>'Темы × классы'!R256</f>
        <v/>
      </c>
      <c r="I355" s="11">
        <f>'Темы × классы'!S256&amp;""</f>
        <v/>
      </c>
      <c r="J355" s="11" t="inlineStr">
        <is>
          <t>не начат</t>
        </is>
      </c>
      <c r="K355" s="11" t="inlineStr"/>
    </row>
    <row r="356">
      <c r="A356" s="36" t="inlineStr">
        <is>
          <t>Ст-250</t>
        </is>
      </c>
      <c r="B356" s="37" t="inlineStr">
        <is>
          <t>10+</t>
        </is>
      </c>
      <c r="C356" s="11" t="inlineStr">
        <is>
          <t>Грамматика</t>
        </is>
      </c>
      <c r="D356" s="11" t="inlineStr">
        <is>
          <t>Infinitive / -ing form</t>
        </is>
      </c>
      <c r="E356" s="35" t="inlineStr">
        <is>
          <t>to-infinitive: после be the first/next/last</t>
        </is>
      </c>
      <c r="F356" s="11" t="inlineStr">
        <is>
          <t>8 кл. · М5 (5c) · новое
9 кл. · М2 (2c) · повт.
10 кл. · М2 (2c) · повт.
11 кл. · М3 (3c) · повт.</t>
        </is>
      </c>
      <c r="G356" s="11" t="n">
        <v>4</v>
      </c>
      <c r="H356" s="11">
        <f>'Темы × классы'!R257</f>
        <v/>
      </c>
      <c r="I356" s="11">
        <f>'Темы × классы'!S257&amp;""</f>
        <v/>
      </c>
      <c r="J356" s="11" t="inlineStr">
        <is>
          <t>не начат</t>
        </is>
      </c>
      <c r="K356" s="11" t="inlineStr"/>
    </row>
    <row r="357">
      <c r="A357" s="36" t="inlineStr">
        <is>
          <t>Ст-251</t>
        </is>
      </c>
      <c r="B357" s="37" t="inlineStr">
        <is>
          <t>10+</t>
        </is>
      </c>
      <c r="C357" s="11" t="inlineStr">
        <is>
          <t>Грамматика</t>
        </is>
      </c>
      <c r="D357" s="11" t="inlineStr">
        <is>
          <t>Infinitive / -ing form</t>
        </is>
      </c>
      <c r="E357" s="35" t="inlineStr">
        <is>
          <t>to-infinitive: устойчивые выражения (to tell you the truth, to be honest, to sum up…)</t>
        </is>
      </c>
      <c r="F357" s="11" t="inlineStr">
        <is>
          <t>8 кл. · М5 (5c) · новое
9 кл. · М2 (2c) · повт.
10 кл. · М2 (2c) · повт.
11 кл. · М3 (3c) · повт.</t>
        </is>
      </c>
      <c r="G357" s="11" t="n">
        <v>4</v>
      </c>
      <c r="H357" s="11">
        <f>'Темы × классы'!R258</f>
        <v/>
      </c>
      <c r="I357" s="11">
        <f>'Темы × классы'!S258&amp;""</f>
        <v/>
      </c>
      <c r="J357" s="11" t="inlineStr">
        <is>
          <t>не начат</t>
        </is>
      </c>
      <c r="K357" s="11" t="inlineStr"/>
    </row>
    <row r="358">
      <c r="A358" s="36" t="inlineStr">
        <is>
          <t>Ст-252</t>
        </is>
      </c>
      <c r="B358" s="37" t="inlineStr">
        <is>
          <t>10+</t>
        </is>
      </c>
      <c r="C358" s="11" t="inlineStr">
        <is>
          <t>Грамматика</t>
        </is>
      </c>
      <c r="D358" s="11" t="inlineStr">
        <is>
          <t>Infinitive / -ing form</t>
        </is>
      </c>
      <c r="E358" s="35" t="inlineStr">
        <is>
          <t>to-infinitive: вопросительное слово + to-inf (when to go)</t>
        </is>
      </c>
      <c r="F358" s="11" t="inlineStr">
        <is>
          <t>9 кл. · М2 (2c) · новое
10 кл. · М2 (2c) · повт.
11 кл. · М3 (3c) · повт.</t>
        </is>
      </c>
      <c r="G358" s="11" t="n">
        <v>3</v>
      </c>
      <c r="H358" s="11">
        <f>'Темы × классы'!R259</f>
        <v/>
      </c>
      <c r="I358" s="11">
        <f>'Темы × классы'!S259&amp;""</f>
        <v/>
      </c>
      <c r="J358" s="11" t="inlineStr">
        <is>
          <t>не начат</t>
        </is>
      </c>
      <c r="K358" s="11" t="inlineStr"/>
    </row>
    <row r="359">
      <c r="A359" s="36" t="inlineStr">
        <is>
          <t>Ст-253</t>
        </is>
      </c>
      <c r="B359" s="37" t="inlineStr">
        <is>
          <t>10+</t>
        </is>
      </c>
      <c r="C359" s="11" t="inlineStr">
        <is>
          <t>Грамматика</t>
        </is>
      </c>
      <c r="D359" s="11" t="inlineStr">
        <is>
          <t>Infinitive / -ing form</t>
        </is>
      </c>
      <c r="E359" s="35" t="inlineStr">
        <is>
          <t>to-infinitive: после существительных; so + adj + as to; only + to-inf; for + sb + to-inf</t>
        </is>
      </c>
      <c r="F359" s="11" t="inlineStr">
        <is>
          <t>9 кл. · М2 (2c) · новое
10 кл. · М2 (2c) · повт.
11 кл. · М3 (3c) · повт.</t>
        </is>
      </c>
      <c r="G359" s="11" t="n">
        <v>3</v>
      </c>
      <c r="H359" s="11">
        <f>'Темы × классы'!R260</f>
        <v/>
      </c>
      <c r="I359" s="11">
        <f>'Темы × классы'!S260&amp;""</f>
        <v/>
      </c>
      <c r="J359" s="11" t="inlineStr">
        <is>
          <t>не начат</t>
        </is>
      </c>
      <c r="K359" s="11" t="inlineStr"/>
    </row>
    <row r="360">
      <c r="A360" s="36" t="inlineStr">
        <is>
          <t>Ст-254</t>
        </is>
      </c>
      <c r="B360" s="37" t="inlineStr">
        <is>
          <t>10+</t>
        </is>
      </c>
      <c r="C360" s="11" t="inlineStr">
        <is>
          <t>Грамматика</t>
        </is>
      </c>
      <c r="D360" s="11" t="inlineStr">
        <is>
          <t>Infinitive / -ing form</t>
        </is>
      </c>
      <c r="E360" s="35" t="inlineStr">
        <is>
          <t>to-infinitive: второй инфинитив после and/or без to</t>
        </is>
      </c>
      <c r="F360" s="11" t="inlineStr">
        <is>
          <t>8 кл. · М5 (5c) · новое
9 кл. · М2 (2c) · повт.
10 кл. · М2 (2c) · повт.
11 кл. · М3 (3c) · повт.</t>
        </is>
      </c>
      <c r="G360" s="11" t="n">
        <v>4</v>
      </c>
      <c r="H360" s="11">
        <f>'Темы × классы'!R261</f>
        <v/>
      </c>
      <c r="I360" s="11">
        <f>'Темы × классы'!S261&amp;""</f>
        <v/>
      </c>
      <c r="J360" s="11" t="inlineStr">
        <is>
          <t>не начат</t>
        </is>
      </c>
      <c r="K360" s="11" t="inlineStr"/>
    </row>
    <row r="361">
      <c r="A361" s="36" t="inlineStr">
        <is>
          <t>Ст-255</t>
        </is>
      </c>
      <c r="B361" s="37" t="inlineStr">
        <is>
          <t>10+</t>
        </is>
      </c>
      <c r="C361" s="11" t="inlineStr">
        <is>
          <t>Грамматика</t>
        </is>
      </c>
      <c r="D361" s="11" t="inlineStr">
        <is>
          <t>Infinitive / -ing form</t>
        </is>
      </c>
      <c r="E361" s="35" t="inlineStr">
        <is>
          <t>to-infinitive: dare — с to и без</t>
        </is>
      </c>
      <c r="F361" s="11" t="inlineStr">
        <is>
          <t>9 кл. · М2 (2c) · новое
10 кл. · М2 (2c) · повт.
11 кл. · М3 (3c) · повт.</t>
        </is>
      </c>
      <c r="G361" s="11" t="n">
        <v>3</v>
      </c>
      <c r="H361" s="11">
        <f>'Темы × классы'!R262</f>
        <v/>
      </c>
      <c r="I361" s="11">
        <f>'Темы × классы'!S262&amp;""</f>
        <v/>
      </c>
      <c r="J361" s="11" t="inlineStr">
        <is>
          <t>не начат</t>
        </is>
      </c>
      <c r="K361" s="11" t="inlineStr"/>
    </row>
    <row r="362">
      <c r="A362" s="36" t="inlineStr">
        <is>
          <t>Ст-256</t>
        </is>
      </c>
      <c r="B362" s="37" t="inlineStr">
        <is>
          <t>10+</t>
        </is>
      </c>
      <c r="C362" s="11" t="inlineStr">
        <is>
          <t>Грамматика</t>
        </is>
      </c>
      <c r="D362" s="11" t="inlineStr">
        <is>
          <t>Infinitive / -ing form</t>
        </is>
      </c>
      <c r="E362" s="35" t="inlineStr">
        <is>
          <t>Bare infinitive: после модальных, had better, would rather</t>
        </is>
      </c>
      <c r="F362" s="11" t="inlineStr">
        <is>
          <t>8 кл. · М5 (5c) · новое
9 кл. · М2 (2c) · повт.
10 кл. · М2 (2c) · повт.
11 кл. · М3 (3c) · повт.</t>
        </is>
      </c>
      <c r="G362" s="11" t="n">
        <v>4</v>
      </c>
      <c r="H362" s="11">
        <f>'Темы × классы'!R263</f>
        <v/>
      </c>
      <c r="I362" s="11">
        <f>'Темы × классы'!S263&amp;""</f>
        <v/>
      </c>
      <c r="J362" s="11" t="inlineStr">
        <is>
          <t>не начат</t>
        </is>
      </c>
      <c r="K362" s="11" t="inlineStr"/>
    </row>
    <row r="363">
      <c r="A363" s="36" t="inlineStr">
        <is>
          <t>Ст-257</t>
        </is>
      </c>
      <c r="B363" s="37" t="inlineStr">
        <is>
          <t>10+</t>
        </is>
      </c>
      <c r="C363" s="11" t="inlineStr">
        <is>
          <t>Грамматика</t>
        </is>
      </c>
      <c r="D363" s="11" t="inlineStr">
        <is>
          <t>Infinitive / -ing form</t>
        </is>
      </c>
      <c r="E363" s="35" t="inlineStr">
        <is>
          <t>Bare infinitive: let/make/see/hear/feel + object + V; в пассиве + to (was made to)</t>
        </is>
      </c>
      <c r="F363" s="11" t="inlineStr">
        <is>
          <t>8 кл. · М5 (5c) · новое
9 кл. · М2 (2c) · расш.
10 кл. · М2 (2c) · расш.
11 кл. · М3 (3c) · повт.</t>
        </is>
      </c>
      <c r="G363" s="11" t="n">
        <v>4</v>
      </c>
      <c r="H363" s="11">
        <f>'Темы × классы'!R264</f>
        <v/>
      </c>
      <c r="I363" s="11">
        <f>'Темы × классы'!S264&amp;""</f>
        <v/>
      </c>
      <c r="J363" s="11" t="inlineStr">
        <is>
          <t>не начат</t>
        </is>
      </c>
      <c r="K363" s="11" t="inlineStr"/>
    </row>
    <row r="364">
      <c r="A364" s="36" t="inlineStr">
        <is>
          <t>Ст-258</t>
        </is>
      </c>
      <c r="B364" s="37" t="inlineStr">
        <is>
          <t>10+</t>
        </is>
      </c>
      <c r="C364" s="11" t="inlineStr">
        <is>
          <t>Грамматика</t>
        </is>
      </c>
      <c r="D364" s="11" t="inlineStr">
        <is>
          <t>Infinitive / -ing form</t>
        </is>
      </c>
      <c r="E364" s="35" t="inlineStr">
        <is>
          <t>Bare infinitive: help + (to) V</t>
        </is>
      </c>
      <c r="F364" s="11" t="inlineStr">
        <is>
          <t>8 кл. · М5 (5c) · новое
9 кл. · М2 (2c) · повт.
10 кл. · М2 (2c) · повт.
11 кл. · М3 (3c) · повт.</t>
        </is>
      </c>
      <c r="G364" s="11" t="n">
        <v>4</v>
      </c>
      <c r="H364" s="11">
        <f>'Темы × классы'!R265</f>
        <v/>
      </c>
      <c r="I364" s="11">
        <f>'Темы × классы'!S265&amp;""</f>
        <v/>
      </c>
      <c r="J364" s="11" t="inlineStr">
        <is>
          <t>не начат</t>
        </is>
      </c>
      <c r="K364" s="11" t="inlineStr"/>
    </row>
    <row r="365">
      <c r="A365" s="36" t="inlineStr">
        <is>
          <t>Ст-259</t>
        </is>
      </c>
      <c r="B365" s="37" t="inlineStr">
        <is>
          <t>10+</t>
        </is>
      </c>
      <c r="C365" s="11" t="inlineStr">
        <is>
          <t>Грамматика</t>
        </is>
      </c>
      <c r="D365" s="11" t="inlineStr">
        <is>
          <t>Infinitive / -ing form (difference in meaning)</t>
        </is>
      </c>
      <c r="E365" s="35" t="inlineStr">
        <is>
          <t>Infinitive vs -ing: forget/remember</t>
        </is>
      </c>
      <c r="F365" s="11" t="inlineStr">
        <is>
          <t>8 кл. · М5 (5c) · новое
9 кл. · М2 (2c) · расш.
10 кл. · М2 (2c) · повт.
11 кл. · М3 (3c) · повт.</t>
        </is>
      </c>
      <c r="G365" s="11" t="n">
        <v>4</v>
      </c>
      <c r="H365" s="11">
        <f>'Темы × классы'!R266</f>
        <v/>
      </c>
      <c r="I365" s="11">
        <f>'Темы × классы'!S266&amp;""</f>
        <v/>
      </c>
      <c r="J365" s="11" t="inlineStr">
        <is>
          <t>не начат</t>
        </is>
      </c>
      <c r="K365" s="11" t="inlineStr"/>
    </row>
    <row r="366">
      <c r="A366" s="36" t="inlineStr">
        <is>
          <t>Ст-260</t>
        </is>
      </c>
      <c r="B366" s="37" t="inlineStr">
        <is>
          <t>10+</t>
        </is>
      </c>
      <c r="C366" s="11" t="inlineStr">
        <is>
          <t>Грамматика</t>
        </is>
      </c>
      <c r="D366" s="11" t="inlineStr">
        <is>
          <t>Infinitive / -ing form (difference in meaning)</t>
        </is>
      </c>
      <c r="E366" s="35" t="inlineStr">
        <is>
          <t>Infinitive vs -ing: stop</t>
        </is>
      </c>
      <c r="F366" s="11" t="inlineStr">
        <is>
          <t>8 кл. · М5 (5c) · новое
9 кл. · М2 (2c) · расш.
10 кл. · М2 (2c) · повт.
11 кл. · М3 (3c) · повт.</t>
        </is>
      </c>
      <c r="G366" s="11" t="n">
        <v>4</v>
      </c>
      <c r="H366" s="11">
        <f>'Темы × классы'!R267</f>
        <v/>
      </c>
      <c r="I366" s="11">
        <f>'Темы × классы'!S267&amp;""</f>
        <v/>
      </c>
      <c r="J366" s="11" t="inlineStr">
        <is>
          <t>не начат</t>
        </is>
      </c>
      <c r="K366" s="11" t="inlineStr"/>
    </row>
    <row r="367">
      <c r="A367" s="36" t="inlineStr">
        <is>
          <t>Ст-261</t>
        </is>
      </c>
      <c r="B367" s="37" t="inlineStr">
        <is>
          <t>10+</t>
        </is>
      </c>
      <c r="C367" s="11" t="inlineStr">
        <is>
          <t>Грамматика</t>
        </is>
      </c>
      <c r="D367" s="11" t="inlineStr">
        <is>
          <t>Infinitive / -ing form (difference in meaning)</t>
        </is>
      </c>
      <c r="E367" s="35" t="inlineStr">
        <is>
          <t>Infinitive vs -ing: try</t>
        </is>
      </c>
      <c r="F367" s="11" t="inlineStr">
        <is>
          <t>8 кл. · М5 (5c) · новое
9 кл. · М2 (2c) · расш.
10 кл. · М2 (2c) · повт.
11 кл. · М3 (3c) · повт.</t>
        </is>
      </c>
      <c r="G367" s="11" t="n">
        <v>4</v>
      </c>
      <c r="H367" s="11">
        <f>'Темы × классы'!R268</f>
        <v/>
      </c>
      <c r="I367" s="11">
        <f>'Темы × классы'!S268&amp;""</f>
        <v/>
      </c>
      <c r="J367" s="11" t="inlineStr">
        <is>
          <t>не начат</t>
        </is>
      </c>
      <c r="K367" s="11" t="inlineStr"/>
    </row>
    <row r="368">
      <c r="A368" s="36" t="inlineStr">
        <is>
          <t>Ст-262</t>
        </is>
      </c>
      <c r="B368" s="37" t="inlineStr">
        <is>
          <t>10+</t>
        </is>
      </c>
      <c r="C368" s="11" t="inlineStr">
        <is>
          <t>Грамматика</t>
        </is>
      </c>
      <c r="D368" s="11" t="inlineStr">
        <is>
          <t>Infinitive / -ing form (difference in meaning)</t>
        </is>
      </c>
      <c r="E368" s="35" t="inlineStr">
        <is>
          <t>Infinitive vs -ing: regret</t>
        </is>
      </c>
      <c r="F368" s="11" t="inlineStr">
        <is>
          <t>8 кл. · М5 (5c) · новое
9 кл. · М2 (2c) · расш.
10 кл. · М2 (2c) · повт.
11 кл. · М3 (3c) · повт.</t>
        </is>
      </c>
      <c r="G368" s="11" t="n">
        <v>4</v>
      </c>
      <c r="H368" s="11">
        <f>'Темы × классы'!R269</f>
        <v/>
      </c>
      <c r="I368" s="11">
        <f>'Темы × классы'!S269&amp;""</f>
        <v/>
      </c>
      <c r="J368" s="11" t="inlineStr">
        <is>
          <t>не начат</t>
        </is>
      </c>
      <c r="K368" s="11" t="inlineStr"/>
    </row>
    <row r="369">
      <c r="A369" s="36" t="inlineStr">
        <is>
          <t>Ст-263</t>
        </is>
      </c>
      <c r="B369" s="37" t="inlineStr">
        <is>
          <t>10+</t>
        </is>
      </c>
      <c r="C369" s="11" t="inlineStr">
        <is>
          <t>Грамматика</t>
        </is>
      </c>
      <c r="D369" s="11" t="inlineStr">
        <is>
          <t>Infinitive / -ing form (difference in meaning)</t>
        </is>
      </c>
      <c r="E369" s="35" t="inlineStr">
        <is>
          <t>Infinitive vs -ing: mean</t>
        </is>
      </c>
      <c r="F369" s="11" t="inlineStr">
        <is>
          <t>8 кл. · М5 (5c) · новое
9 кл. · М2 (2c) · расш.
10 кл. · М2 (2c) · повт.
11 кл. · М3 (3c) · повт.</t>
        </is>
      </c>
      <c r="G369" s="11" t="n">
        <v>4</v>
      </c>
      <c r="H369" s="11">
        <f>'Темы × классы'!R270</f>
        <v/>
      </c>
      <c r="I369" s="11">
        <f>'Темы × классы'!S270&amp;""</f>
        <v/>
      </c>
      <c r="J369" s="11" t="inlineStr">
        <is>
          <t>не начат</t>
        </is>
      </c>
      <c r="K369" s="11" t="inlineStr"/>
    </row>
    <row r="370">
      <c r="A370" s="36" t="inlineStr">
        <is>
          <t>Ст-264</t>
        </is>
      </c>
      <c r="B370" s="37" t="inlineStr">
        <is>
          <t>10+</t>
        </is>
      </c>
      <c r="C370" s="11" t="inlineStr">
        <is>
          <t>Грамматика</t>
        </is>
      </c>
      <c r="D370" s="11" t="inlineStr">
        <is>
          <t>Infinitive / -ing form (difference in meaning)</t>
        </is>
      </c>
      <c r="E370" s="35" t="inlineStr">
        <is>
          <t>Infinitive vs -ing: go on</t>
        </is>
      </c>
      <c r="F370" s="11" t="inlineStr">
        <is>
          <t>8 кл. · М5 (5c) · новое
9 кл. · М2 (2c) · расш.
10 кл. · М2 (2c) · повт.
11 кл. · М3 (3c) · повт.</t>
        </is>
      </c>
      <c r="G370" s="11" t="n">
        <v>4</v>
      </c>
      <c r="H370" s="11">
        <f>'Темы × классы'!R271</f>
        <v/>
      </c>
      <c r="I370" s="11">
        <f>'Темы × классы'!S271&amp;""</f>
        <v/>
      </c>
      <c r="J370" s="11" t="inlineStr">
        <is>
          <t>не начат</t>
        </is>
      </c>
      <c r="K370" s="11" t="inlineStr"/>
    </row>
    <row r="371">
      <c r="A371" s="36" t="inlineStr">
        <is>
          <t>Ст-265</t>
        </is>
      </c>
      <c r="B371" s="37" t="inlineStr">
        <is>
          <t>10+</t>
        </is>
      </c>
      <c r="C371" s="11" t="inlineStr">
        <is>
          <t>Грамматика</t>
        </is>
      </c>
      <c r="D371" s="11" t="inlineStr">
        <is>
          <t>Infinitive / -ing form (difference in meaning)</t>
        </is>
      </c>
      <c r="E371" s="35" t="inlineStr">
        <is>
          <t>Infinitive vs -ing: hate</t>
        </is>
      </c>
      <c r="F371" s="11" t="inlineStr">
        <is>
          <t>8 кл. · М5 (5c) · новое
9 кл. · М2 (2c) · повт.
10 кл. · М2 (2c) · повт.
11 кл. · М3 (3c) · повт.</t>
        </is>
      </c>
      <c r="G371" s="11" t="n">
        <v>4</v>
      </c>
      <c r="H371" s="11">
        <f>'Темы × классы'!R272</f>
        <v/>
      </c>
      <c r="I371" s="11">
        <f>'Темы × классы'!S272&amp;""</f>
        <v/>
      </c>
      <c r="J371" s="11" t="inlineStr">
        <is>
          <t>не начат</t>
        </is>
      </c>
      <c r="K371" s="11" t="inlineStr"/>
    </row>
    <row r="372">
      <c r="A372" s="36" t="inlineStr">
        <is>
          <t>Ст-266</t>
        </is>
      </c>
      <c r="B372" s="37" t="inlineStr">
        <is>
          <t>10+</t>
        </is>
      </c>
      <c r="C372" s="11" t="inlineStr">
        <is>
          <t>Грамматика</t>
        </is>
      </c>
      <c r="D372" s="11" t="inlineStr">
        <is>
          <t>Infinitive / -ing form (difference in meaning)</t>
        </is>
      </c>
      <c r="E372" s="35" t="inlineStr">
        <is>
          <t>Infinitive vs -ing: want (My car wants cleaning)</t>
        </is>
      </c>
      <c r="F372" s="11" t="inlineStr">
        <is>
          <t>9 кл. · М2 (2c) · новое
10 кл. · М2 (2c) · повт.
11 кл. · М3 (3c) · повт.</t>
        </is>
      </c>
      <c r="G372" s="11" t="n">
        <v>3</v>
      </c>
      <c r="H372" s="11">
        <f>'Темы × классы'!R273</f>
        <v/>
      </c>
      <c r="I372" s="11">
        <f>'Темы × классы'!S273&amp;""</f>
        <v/>
      </c>
      <c r="J372" s="11" t="inlineStr">
        <is>
          <t>не начат</t>
        </is>
      </c>
      <c r="K372" s="11" t="inlineStr"/>
    </row>
    <row r="373">
      <c r="A373" s="36" t="inlineStr">
        <is>
          <t>Ст-267</t>
        </is>
      </c>
      <c r="B373" s="37" t="inlineStr">
        <is>
          <t>10+</t>
        </is>
      </c>
      <c r="C373" s="11" t="inlineStr">
        <is>
          <t>Грамматика</t>
        </is>
      </c>
      <c r="D373" s="11" t="inlineStr">
        <is>
          <t>Infinitive / -ing form (difference in meaning)</t>
        </is>
      </c>
      <c r="E373" s="35" t="inlineStr">
        <is>
          <t>Infinitive vs -ing: be sorry to / for -ing; be afraid to / of -ing</t>
        </is>
      </c>
      <c r="F373" s="11" t="inlineStr">
        <is>
          <t>9 кл. · М2 (2c) · новое
10 кл. · М2 (2c) · повт.
11 кл. · М3 (3c) · повт.</t>
        </is>
      </c>
      <c r="G373" s="11" t="n">
        <v>3</v>
      </c>
      <c r="H373" s="11">
        <f>'Темы × классы'!R274</f>
        <v/>
      </c>
      <c r="I373" s="11">
        <f>'Темы × классы'!S274&amp;""</f>
        <v/>
      </c>
      <c r="J373" s="11" t="inlineStr">
        <is>
          <t>не начат</t>
        </is>
      </c>
      <c r="K373" s="11" t="inlineStr"/>
    </row>
    <row r="374">
      <c r="A374" s="36" t="inlineStr">
        <is>
          <t>Ст-268</t>
        </is>
      </c>
      <c r="B374" s="37" t="inlineStr">
        <is>
          <t>10+</t>
        </is>
      </c>
      <c r="C374" s="11" t="inlineStr">
        <is>
          <t>Грамматика</t>
        </is>
      </c>
      <c r="D374" s="11" t="inlineStr">
        <is>
          <t>Infinitive / -ing form (difference in meaning)</t>
        </is>
      </c>
      <c r="E374" s="35" t="inlineStr">
        <is>
          <t>Infinitive / -ing без смены значения: begin, start, continue, intend</t>
        </is>
      </c>
      <c r="F374" s="11" t="inlineStr">
        <is>
          <t>9 кл. · М2 (2c) · новое
10 кл. · М2 (2c) · повт.
11 кл. · М3 (3c) · повт.</t>
        </is>
      </c>
      <c r="G374" s="11" t="n">
        <v>3</v>
      </c>
      <c r="H374" s="11">
        <f>'Темы × классы'!R275</f>
        <v/>
      </c>
      <c r="I374" s="11">
        <f>'Темы × классы'!S275&amp;""</f>
        <v/>
      </c>
      <c r="J374" s="11" t="inlineStr">
        <is>
          <t>не начат</t>
        </is>
      </c>
      <c r="K374" s="11" t="inlineStr"/>
    </row>
    <row r="375">
      <c r="A375" s="36" t="inlineStr">
        <is>
          <t>Ст-269</t>
        </is>
      </c>
      <c r="B375" s="37" t="inlineStr">
        <is>
          <t>10+</t>
        </is>
      </c>
      <c r="C375" s="11" t="inlineStr">
        <is>
          <t>Грамматика</t>
        </is>
      </c>
      <c r="D375" s="11" t="inlineStr">
        <is>
          <t>Infinitive / -ing form (difference in meaning)</t>
        </is>
      </c>
      <c r="E375" s="35" t="inlineStr">
        <is>
          <t>Infinitive / -ing: advise, allow, encourage, permit, require + object + to-inf / + -ing; в пассиве только to-inf</t>
        </is>
      </c>
      <c r="F375" s="11" t="inlineStr">
        <is>
          <t>9 кл. · М2 (2c) · новое
10 кл. · М2 (2c) · повт.
11 кл. · М3 (3c) · повт.</t>
        </is>
      </c>
      <c r="G375" s="11" t="n">
        <v>3</v>
      </c>
      <c r="H375" s="11">
        <f>'Темы × классы'!R276</f>
        <v/>
      </c>
      <c r="I375" s="11">
        <f>'Темы × классы'!S276&amp;""</f>
        <v/>
      </c>
      <c r="J375" s="11" t="inlineStr">
        <is>
          <t>не начат</t>
        </is>
      </c>
      <c r="K375" s="11" t="inlineStr"/>
    </row>
    <row r="376">
      <c r="A376" s="36" t="inlineStr">
        <is>
          <t>Ст-270</t>
        </is>
      </c>
      <c r="B376" s="37" t="inlineStr">
        <is>
          <t>10+</t>
        </is>
      </c>
      <c r="C376" s="11" t="inlineStr">
        <is>
          <t>Грамматика</t>
        </is>
      </c>
      <c r="D376" s="11" t="inlineStr">
        <is>
          <t>Infinitive / -ing form (difference in meaning)</t>
        </is>
      </c>
      <c r="E376" s="35" t="inlineStr">
        <is>
          <t>Infinitive / -ing: need/require/want + -ing / to be done (пассивное значение)</t>
        </is>
      </c>
      <c r="F376" s="11" t="inlineStr">
        <is>
          <t>9 кл. · М2 (2c) · новое
10 кл. · М2 (2c) · повт.
11 кл. · М3 (3c) · повт.</t>
        </is>
      </c>
      <c r="G376" s="11" t="n">
        <v>3</v>
      </c>
      <c r="H376" s="11">
        <f>'Темы × классы'!R277</f>
        <v/>
      </c>
      <c r="I376" s="11">
        <f>'Темы × классы'!S277&amp;""</f>
        <v/>
      </c>
      <c r="J376" s="11" t="inlineStr">
        <is>
          <t>не начат</t>
        </is>
      </c>
      <c r="K376" s="11" t="inlineStr"/>
    </row>
    <row r="377">
      <c r="A377" s="36" t="inlineStr">
        <is>
          <t>Ст-271</t>
        </is>
      </c>
      <c r="B377" s="37" t="inlineStr">
        <is>
          <t>10+</t>
        </is>
      </c>
      <c r="C377" s="11" t="inlineStr">
        <is>
          <t>Грамматика</t>
        </is>
      </c>
      <c r="D377" s="11" t="inlineStr">
        <is>
          <t>Passive Voice</t>
        </is>
      </c>
      <c r="E377" s="35" t="inlineStr">
        <is>
          <t>Passive Voice: форма be + V3 — Present Simple и Past Simple</t>
        </is>
      </c>
      <c r="F377" s="11" t="inlineStr">
        <is>
          <t>8 кл. · М4 (4c) · новое
9 кл. · М6 (6c) · повт.
10 кл. · М7 (7c) · повт.
11 кл. · М4 (4c) · повт.</t>
        </is>
      </c>
      <c r="G377" s="11" t="n">
        <v>4</v>
      </c>
      <c r="H377" s="11">
        <f>'Темы × классы'!R278</f>
        <v/>
      </c>
      <c r="I377" s="11">
        <f>'Темы × классы'!S278&amp;""</f>
        <v/>
      </c>
      <c r="J377" s="11" t="inlineStr">
        <is>
          <t>не начат</t>
        </is>
      </c>
      <c r="K377" s="11" t="inlineStr"/>
    </row>
    <row r="378">
      <c r="A378" s="36" t="inlineStr">
        <is>
          <t>Ст-272</t>
        </is>
      </c>
      <c r="B378" s="37" t="inlineStr">
        <is>
          <t>10+</t>
        </is>
      </c>
      <c r="C378" s="11" t="inlineStr">
        <is>
          <t>Грамматика</t>
        </is>
      </c>
      <c r="D378" s="11" t="inlineStr">
        <is>
          <t>Passive Voice</t>
        </is>
      </c>
      <c r="E378" s="35" t="inlineStr">
        <is>
          <t>Passive Voice: Continuous (is/was being + V3)</t>
        </is>
      </c>
      <c r="F378" s="11" t="inlineStr">
        <is>
          <t>8 кл. · М4 (4c) · новое
9 кл. · М6 (6c) · повт.
10 кл. · М7 (7c) · повт.
11 кл. · М4 (4c) · повт.</t>
        </is>
      </c>
      <c r="G378" s="11" t="n">
        <v>4</v>
      </c>
      <c r="H378" s="11">
        <f>'Темы × классы'!R279</f>
        <v/>
      </c>
      <c r="I378" s="11">
        <f>'Темы × классы'!S279&amp;""</f>
        <v/>
      </c>
      <c r="J378" s="11" t="inlineStr">
        <is>
          <t>не начат</t>
        </is>
      </c>
      <c r="K378" s="11" t="inlineStr"/>
    </row>
    <row r="379">
      <c r="A379" s="36" t="inlineStr">
        <is>
          <t>Ст-273</t>
        </is>
      </c>
      <c r="B379" s="37" t="inlineStr">
        <is>
          <t>10+</t>
        </is>
      </c>
      <c r="C379" s="11" t="inlineStr">
        <is>
          <t>Грамматика</t>
        </is>
      </c>
      <c r="D379" s="11" t="inlineStr">
        <is>
          <t>Passive Voice</t>
        </is>
      </c>
      <c r="E379" s="35" t="inlineStr">
        <is>
          <t>Passive Voice: Present/Past Perfect (has/had been + V3)</t>
        </is>
      </c>
      <c r="F379" s="11" t="inlineStr">
        <is>
          <t>8 кл. · М4 (4c) · новое
9 кл. · М6 (6c) · повт.
10 кл. · М7 (7c) · повт.
11 кл. · М4 (4c) · повт.</t>
        </is>
      </c>
      <c r="G379" s="11" t="n">
        <v>4</v>
      </c>
      <c r="H379" s="11">
        <f>'Темы × классы'!R280</f>
        <v/>
      </c>
      <c r="I379" s="11">
        <f>'Темы × классы'!S280&amp;""</f>
        <v/>
      </c>
      <c r="J379" s="11" t="inlineStr">
        <is>
          <t>не начат</t>
        </is>
      </c>
      <c r="K379" s="11" t="inlineStr"/>
    </row>
    <row r="380">
      <c r="A380" s="36" t="inlineStr">
        <is>
          <t>Ст-274</t>
        </is>
      </c>
      <c r="B380" s="37" t="inlineStr">
        <is>
          <t>10+</t>
        </is>
      </c>
      <c r="C380" s="11" t="inlineStr">
        <is>
          <t>Грамматика</t>
        </is>
      </c>
      <c r="D380" s="11" t="inlineStr">
        <is>
          <t>Passive Voice</t>
        </is>
      </c>
      <c r="E380" s="35" t="inlineStr">
        <is>
          <t>Passive Voice: Future Simple (will be + V3)</t>
        </is>
      </c>
      <c r="F380" s="11" t="inlineStr">
        <is>
          <t>8 кл. · М4 (4c) · новое
9 кл. · М6 (6c) · повт.
10 кл. · М7 (7c) · повт.
11 кл. · М4 (4c) · повт.</t>
        </is>
      </c>
      <c r="G380" s="11" t="n">
        <v>4</v>
      </c>
      <c r="H380" s="11">
        <f>'Темы × классы'!R281</f>
        <v/>
      </c>
      <c r="I380" s="11">
        <f>'Темы × классы'!S281&amp;""</f>
        <v/>
      </c>
      <c r="J380" s="11" t="inlineStr">
        <is>
          <t>не начат</t>
        </is>
      </c>
      <c r="K380" s="11" t="inlineStr"/>
    </row>
    <row r="381">
      <c r="A381" s="36" t="inlineStr">
        <is>
          <t>Ст-275</t>
        </is>
      </c>
      <c r="B381" s="37" t="inlineStr">
        <is>
          <t>10+</t>
        </is>
      </c>
      <c r="C381" s="11" t="inlineStr">
        <is>
          <t>Грамматика</t>
        </is>
      </c>
      <c r="D381" s="11" t="inlineStr">
        <is>
          <t>Passive Voice</t>
        </is>
      </c>
      <c r="E381" s="35" t="inlineStr">
        <is>
          <t>Passive Voice: Future Perfect (will have been + V3)</t>
        </is>
      </c>
      <c r="F381" s="11" t="inlineStr">
        <is>
          <t>9 кл. · М6 (6c) · новое
10 кл. · М7 (7c) · повт.
11 кл. · М4 (4c) · повт.</t>
        </is>
      </c>
      <c r="G381" s="11" t="n">
        <v>3</v>
      </c>
      <c r="H381" s="11">
        <f>'Темы × классы'!R282</f>
        <v/>
      </c>
      <c r="I381" s="11">
        <f>'Темы × классы'!S282&amp;""</f>
        <v/>
      </c>
      <c r="J381" s="11" t="inlineStr">
        <is>
          <t>не начат</t>
        </is>
      </c>
      <c r="K381" s="11" t="inlineStr"/>
    </row>
    <row r="382">
      <c r="A382" s="36" t="inlineStr">
        <is>
          <t>Ст-276</t>
        </is>
      </c>
      <c r="B382" s="37" t="inlineStr">
        <is>
          <t>10+</t>
        </is>
      </c>
      <c r="C382" s="11" t="inlineStr">
        <is>
          <t>Грамматика</t>
        </is>
      </c>
      <c r="D382" s="11" t="inlineStr">
        <is>
          <t>Passive Voice</t>
        </is>
      </c>
      <c r="E382" s="35" t="inlineStr">
        <is>
          <t>Passive Voice: инфинитив и модальные (has to be / can be + V3)</t>
        </is>
      </c>
      <c r="F382" s="11" t="inlineStr">
        <is>
          <t>8 кл. · М4 (4c) · новое
9 кл. · М6 (6c) · повт.
10 кл. · М7 (7c) · повт.
11 кл. · М4 (4c) · повт.</t>
        </is>
      </c>
      <c r="G382" s="11" t="n">
        <v>4</v>
      </c>
      <c r="H382" s="11">
        <f>'Темы × классы'!R283</f>
        <v/>
      </c>
      <c r="I382" s="11">
        <f>'Темы × классы'!S283&amp;""</f>
        <v/>
      </c>
      <c r="J382" s="11" t="inlineStr">
        <is>
          <t>не начат</t>
        </is>
      </c>
      <c r="K382" s="11" t="inlineStr"/>
    </row>
    <row r="383">
      <c r="A383" s="36" t="inlineStr">
        <is>
          <t>Ст-277</t>
        </is>
      </c>
      <c r="B383" s="37" t="inlineStr">
        <is>
          <t>10+</t>
        </is>
      </c>
      <c r="C383" s="11" t="inlineStr">
        <is>
          <t>Грамматика</t>
        </is>
      </c>
      <c r="D383" s="11" t="inlineStr">
        <is>
          <t>Passive Voice</t>
        </is>
      </c>
      <c r="E383" s="35" t="inlineStr">
        <is>
          <t>Passive Voice: преобразование active → passive</t>
        </is>
      </c>
      <c r="F383" s="11" t="inlineStr">
        <is>
          <t>8 кл. · М4 (4c) · новое
9 кл. · М6 (6c) · повт.
10 кл. · М7 (7c) · повт.
11 кл. · М4 (4c) · повт.</t>
        </is>
      </c>
      <c r="G383" s="11" t="n">
        <v>4</v>
      </c>
      <c r="H383" s="11">
        <f>'Темы × классы'!R284</f>
        <v/>
      </c>
      <c r="I383" s="11">
        <f>'Темы × классы'!S284&amp;""</f>
        <v/>
      </c>
      <c r="J383" s="11" t="inlineStr">
        <is>
          <t>не начат</t>
        </is>
      </c>
      <c r="K383" s="11" t="inlineStr"/>
    </row>
    <row r="384">
      <c r="A384" s="36" t="inlineStr">
        <is>
          <t>Ст-278</t>
        </is>
      </c>
      <c r="B384" s="37" t="inlineStr">
        <is>
          <t>10+</t>
        </is>
      </c>
      <c r="C384" s="11" t="inlineStr">
        <is>
          <t>Грамматика</t>
        </is>
      </c>
      <c r="D384" s="11" t="inlineStr">
        <is>
          <t>Passive Voice</t>
        </is>
      </c>
      <c r="E384" s="35" t="inlineStr">
        <is>
          <t>Passive Voice: значение — исполнитель неизвестен/неважен/очевиден</t>
        </is>
      </c>
      <c r="F384" s="11" t="inlineStr">
        <is>
          <t>8 кл. · М4 (4c) · новое
9 кл. · М6 (6c) · расш.
10 кл. · М7 (7c) · повт.
11 кл. · М4 (4c) · повт.</t>
        </is>
      </c>
      <c r="G384" s="11" t="n">
        <v>4</v>
      </c>
      <c r="H384" s="11">
        <f>'Темы × классы'!R285</f>
        <v/>
      </c>
      <c r="I384" s="11">
        <f>'Темы × классы'!S285&amp;""</f>
        <v/>
      </c>
      <c r="J384" s="11" t="inlineStr">
        <is>
          <t>не начат</t>
        </is>
      </c>
      <c r="K384" s="11" t="inlineStr"/>
    </row>
    <row r="385">
      <c r="A385" s="36" t="inlineStr">
        <is>
          <t>Ст-279</t>
        </is>
      </c>
      <c r="B385" s="37" t="inlineStr">
        <is>
          <t>10+</t>
        </is>
      </c>
      <c r="C385" s="11" t="inlineStr">
        <is>
          <t>Грамматика</t>
        </is>
      </c>
      <c r="D385" s="11" t="inlineStr">
        <is>
          <t>Passive Voice</t>
        </is>
      </c>
      <c r="E385" s="35" t="inlineStr">
        <is>
          <t>Passive Voice: значение — действие важнее исполнителя (новости, инструкции, реклама)</t>
        </is>
      </c>
      <c r="F385" s="11" t="inlineStr">
        <is>
          <t>8 кл. · М4 (4c) · новое
9 кл. · М6 (6c) · повт.
10 кл. · М7 (7c) · повт.
11 кл. · М4 (4c) · повт.</t>
        </is>
      </c>
      <c r="G385" s="11" t="n">
        <v>4</v>
      </c>
      <c r="H385" s="11">
        <f>'Темы × классы'!R286</f>
        <v/>
      </c>
      <c r="I385" s="11">
        <f>'Темы × классы'!S286&amp;""</f>
        <v/>
      </c>
      <c r="J385" s="11" t="inlineStr">
        <is>
          <t>не начат</t>
        </is>
      </c>
      <c r="K385" s="11" t="inlineStr"/>
    </row>
    <row r="386">
      <c r="A386" s="36" t="inlineStr">
        <is>
          <t>Ст-280</t>
        </is>
      </c>
      <c r="B386" s="37" t="inlineStr">
        <is>
          <t>10+</t>
        </is>
      </c>
      <c r="C386" s="11" t="inlineStr">
        <is>
          <t>Грамматика</t>
        </is>
      </c>
      <c r="D386" s="11" t="inlineStr">
        <is>
          <t>Passive Voice</t>
        </is>
      </c>
      <c r="E386" s="35" t="inlineStr">
        <is>
          <t>Passive Voice: значение — уход от ответственности</t>
        </is>
      </c>
      <c r="F386" s="11" t="inlineStr">
        <is>
          <t>8 кл. · М4 (4c) · новое
9 кл. · М6 (6c) · повт.
10 кл. · М7 (7c) · повт.
11 кл. · М4 (4c) · повт.</t>
        </is>
      </c>
      <c r="G386" s="11" t="n">
        <v>4</v>
      </c>
      <c r="H386" s="11">
        <f>'Темы × классы'!R287</f>
        <v/>
      </c>
      <c r="I386" s="11">
        <f>'Темы × классы'!S287&amp;""</f>
        <v/>
      </c>
      <c r="J386" s="11" t="inlineStr">
        <is>
          <t>не начат</t>
        </is>
      </c>
      <c r="K386" s="11" t="inlineStr"/>
    </row>
    <row r="387">
      <c r="A387" s="36" t="inlineStr">
        <is>
          <t>Ст-281</t>
        </is>
      </c>
      <c r="B387" s="37" t="inlineStr">
        <is>
          <t>10+</t>
        </is>
      </c>
      <c r="C387" s="11" t="inlineStr">
        <is>
          <t>Грамматика</t>
        </is>
      </c>
      <c r="D387" s="11" t="inlineStr">
        <is>
          <t>Passive Voice</t>
        </is>
      </c>
      <c r="E387" s="35" t="inlineStr">
        <is>
          <t>Passive Voice: значение — акцент на исполнителе</t>
        </is>
      </c>
      <c r="F387" s="11" t="inlineStr">
        <is>
          <t>8 кл. · М4 (4c) · новое
9 кл. · М6 (6c) · повт.
10 кл. · М7 (7c) · повт.
11 кл. · М4 (4c) · повт.</t>
        </is>
      </c>
      <c r="G387" s="11" t="n">
        <v>4</v>
      </c>
      <c r="H387" s="11">
        <f>'Темы × классы'!R288</f>
        <v/>
      </c>
      <c r="I387" s="11">
        <f>'Темы × классы'!S288&amp;""</f>
        <v/>
      </c>
      <c r="J387" s="11" t="inlineStr">
        <is>
          <t>не начат</t>
        </is>
      </c>
      <c r="K387" s="11" t="inlineStr"/>
    </row>
    <row r="388">
      <c r="A388" s="36" t="inlineStr">
        <is>
          <t>Ст-282</t>
        </is>
      </c>
      <c r="B388" s="37" t="inlineStr">
        <is>
          <t>10+</t>
        </is>
      </c>
      <c r="C388" s="11" t="inlineStr">
        <is>
          <t>Грамматика</t>
        </is>
      </c>
      <c r="D388" s="11" t="inlineStr">
        <is>
          <t>Passive Voice</t>
        </is>
      </c>
      <c r="E388" s="35" t="inlineStr">
        <is>
          <t>Passive Voice: значение — формальность, вежливость</t>
        </is>
      </c>
      <c r="F388" s="11" t="inlineStr">
        <is>
          <t>8 кл. · М4 (4c) · новое
9 кл. · М6 (6c) · повт.
10 кл. · М7 (7c) · повт.
11 кл. · М4 (4c) · повт.</t>
        </is>
      </c>
      <c r="G388" s="11" t="n">
        <v>4</v>
      </c>
      <c r="H388" s="11">
        <f>'Темы × классы'!R289</f>
        <v/>
      </c>
      <c r="I388" s="11">
        <f>'Темы × классы'!S289&amp;""</f>
        <v/>
      </c>
      <c r="J388" s="11" t="inlineStr">
        <is>
          <t>не начат</t>
        </is>
      </c>
      <c r="K388" s="11" t="inlineStr"/>
    </row>
    <row r="389">
      <c r="A389" s="36" t="inlineStr">
        <is>
          <t>Ст-283</t>
        </is>
      </c>
      <c r="B389" s="37" t="inlineStr">
        <is>
          <t>10+</t>
        </is>
      </c>
      <c r="C389" s="11" t="inlineStr">
        <is>
          <t>Грамматика</t>
        </is>
      </c>
      <c r="D389" s="11" t="inlineStr">
        <is>
          <t>Passive Voice</t>
        </is>
      </c>
      <c r="E389" s="35" t="inlineStr">
        <is>
          <t>Passive Voice: by + исполнитель vs with + инструмент/материал</t>
        </is>
      </c>
      <c r="F389" s="11" t="inlineStr">
        <is>
          <t>8 кл. · М4 (4c) · новое
9 кл. · М6 (6c) · повт.
10 кл. · М7 (7c) · повт.
11 кл. · М4 (4c) · повт.</t>
        </is>
      </c>
      <c r="G389" s="11" t="n">
        <v>4</v>
      </c>
      <c r="H389" s="11">
        <f>'Темы × классы'!R290</f>
        <v/>
      </c>
      <c r="I389" s="11">
        <f>'Темы × классы'!S290&amp;""</f>
        <v/>
      </c>
      <c r="J389" s="11" t="inlineStr">
        <is>
          <t>не начат</t>
        </is>
      </c>
      <c r="K389" s="11" t="inlineStr"/>
    </row>
    <row r="390">
      <c r="A390" s="36" t="inlineStr">
        <is>
          <t>Ст-284</t>
        </is>
      </c>
      <c r="B390" s="37" t="inlineStr">
        <is>
          <t>10+</t>
        </is>
      </c>
      <c r="C390" s="11" t="inlineStr">
        <is>
          <t>Грамматика</t>
        </is>
      </c>
      <c r="D390" s="11" t="inlineStr">
        <is>
          <t>Passive Voice</t>
        </is>
      </c>
      <c r="E390" s="35" t="inlineStr">
        <is>
          <t>Passive Voice: когда агент опускается (they, people, someone…)</t>
        </is>
      </c>
      <c r="F390" s="11" t="inlineStr">
        <is>
          <t>8 кл. · М4 (4c) · новое
9 кл. · М6 (6c) · повт.
10 кл. · М7 (7c) · повт.
11 кл. · М4 (4c) · повт.</t>
        </is>
      </c>
      <c r="G390" s="11" t="n">
        <v>4</v>
      </c>
      <c r="H390" s="11">
        <f>'Темы × классы'!R291</f>
        <v/>
      </c>
      <c r="I390" s="11">
        <f>'Темы × классы'!S291&amp;""</f>
        <v/>
      </c>
      <c r="J390" s="11" t="inlineStr">
        <is>
          <t>не начат</t>
        </is>
      </c>
      <c r="K390" s="11" t="inlineStr"/>
    </row>
    <row r="391">
      <c r="A391" s="36" t="inlineStr">
        <is>
          <t>Ст-285</t>
        </is>
      </c>
      <c r="B391" s="37" t="inlineStr">
        <is>
          <t>10+</t>
        </is>
      </c>
      <c r="C391" s="11" t="inlineStr">
        <is>
          <t>Грамматика</t>
        </is>
      </c>
      <c r="D391" s="11" t="inlineStr">
        <is>
          <t>Passive Voice</t>
        </is>
      </c>
      <c r="E391" s="35" t="inlineStr">
        <is>
          <t>Passive Voice: глаголы без пассива (непереходные; have, fit, suit, resemble…)</t>
        </is>
      </c>
      <c r="F391" s="11" t="inlineStr">
        <is>
          <t>8 кл. · М4 (4c) · новое
9 кл. · М6 (6c) · расш.
10 кл. · М7 (7c) · повт.
11 кл. · М4 (4c) · повт.</t>
        </is>
      </c>
      <c r="G391" s="11" t="n">
        <v>4</v>
      </c>
      <c r="H391" s="11">
        <f>'Темы × классы'!R292</f>
        <v/>
      </c>
      <c r="I391" s="11">
        <f>'Темы × классы'!S292&amp;""</f>
        <v/>
      </c>
      <c r="J391" s="11" t="inlineStr">
        <is>
          <t>не начат</t>
        </is>
      </c>
      <c r="K391" s="11" t="inlineStr"/>
    </row>
    <row r="392">
      <c r="A392" s="36" t="inlineStr">
        <is>
          <t>Ст-286</t>
        </is>
      </c>
      <c r="B392" s="37" t="inlineStr">
        <is>
          <t>10+</t>
        </is>
      </c>
      <c r="C392" s="11" t="inlineStr">
        <is>
          <t>Грамматика</t>
        </is>
      </c>
      <c r="D392" s="11" t="inlineStr">
        <is>
          <t>Passive Voice</t>
        </is>
      </c>
      <c r="E392" s="35" t="inlineStr">
        <is>
          <t>Passive Voice: get вместо be</t>
        </is>
      </c>
      <c r="F392" s="11" t="inlineStr">
        <is>
          <t>8 кл. · М4 (4c) · новое
9 кл. · М6 (6c) · повт.
10 кл. · М7 (7c) · повт.
11 кл. · М4 (4c) · повт.</t>
        </is>
      </c>
      <c r="G392" s="11" t="n">
        <v>4</v>
      </c>
      <c r="H392" s="11">
        <f>'Темы × классы'!R293</f>
        <v/>
      </c>
      <c r="I392" s="11">
        <f>'Темы × классы'!S293&amp;""</f>
        <v/>
      </c>
      <c r="J392" s="11" t="inlineStr">
        <is>
          <t>не начат</t>
        </is>
      </c>
      <c r="K392" s="11" t="inlineStr"/>
    </row>
    <row r="393">
      <c r="A393" s="36" t="inlineStr">
        <is>
          <t>Ст-287</t>
        </is>
      </c>
      <c r="B393" s="37" t="inlineStr">
        <is>
          <t>10+</t>
        </is>
      </c>
      <c r="C393" s="11" t="inlineStr">
        <is>
          <t>Грамматика</t>
        </is>
      </c>
      <c r="D393" s="11" t="inlineStr">
        <is>
          <t>Passive Voice</t>
        </is>
      </c>
      <c r="E393" s="35" t="inlineStr">
        <is>
          <t>Passive Voice: глаголы с двумя дополнениями (give, offer, send…)</t>
        </is>
      </c>
      <c r="F393" s="11" t="inlineStr">
        <is>
          <t>8 кл. · М4 (4c) · новое
9 кл. · М6 (6c) · повт.
10 кл. · М7 (7c) · повт.
11 кл. · М4 (4c) · повт.</t>
        </is>
      </c>
      <c r="G393" s="11" t="n">
        <v>4</v>
      </c>
      <c r="H393" s="11">
        <f>'Темы × классы'!R294</f>
        <v/>
      </c>
      <c r="I393" s="11">
        <f>'Темы × классы'!S294&amp;""</f>
        <v/>
      </c>
      <c r="J393" s="11" t="inlineStr">
        <is>
          <t>не начат</t>
        </is>
      </c>
      <c r="K393" s="11" t="inlineStr"/>
    </row>
    <row r="394">
      <c r="A394" s="36" t="inlineStr">
        <is>
          <t>Ст-288</t>
        </is>
      </c>
      <c r="B394" s="37" t="inlineStr">
        <is>
          <t>10+</t>
        </is>
      </c>
      <c r="C394" s="11" t="inlineStr">
        <is>
          <t>Грамматика</t>
        </is>
      </c>
      <c r="D394" s="11" t="inlineStr">
        <is>
          <t>Passive Voice</t>
        </is>
      </c>
      <c r="E394" s="35" t="inlineStr">
        <is>
          <t>Passive Voice: by в вопросах с who/whom/which</t>
        </is>
      </c>
      <c r="F394" s="11" t="inlineStr">
        <is>
          <t>8 кл. · М4 (4c) · новое
9 кл. · М6 (6c) · повт.
10 кл. · М7 (7c) · повт.
11 кл. · М4 (4c) · повт.</t>
        </is>
      </c>
      <c r="G394" s="11" t="n">
        <v>4</v>
      </c>
      <c r="H394" s="11">
        <f>'Темы × классы'!R295</f>
        <v/>
      </c>
      <c r="I394" s="11">
        <f>'Темы × классы'!S295&amp;""</f>
        <v/>
      </c>
      <c r="J394" s="11" t="inlineStr">
        <is>
          <t>не начат</t>
        </is>
      </c>
      <c r="K394" s="11" t="inlineStr"/>
    </row>
    <row r="395">
      <c r="A395" s="36" t="inlineStr">
        <is>
          <t>Ст-289</t>
        </is>
      </c>
      <c r="B395" s="37" t="inlineStr">
        <is>
          <t>10+</t>
        </is>
      </c>
      <c r="C395" s="11" t="inlineStr">
        <is>
          <t>Грамматика</t>
        </is>
      </c>
      <c r="D395" s="11" t="inlineStr">
        <is>
          <t>Passive Voice</t>
        </is>
      </c>
      <c r="E395" s="35" t="inlineStr">
        <is>
          <t>Passive Voice: make/hear/see/help + to-inf в пассиве; see/hear/watch + -ing</t>
        </is>
      </c>
      <c r="F395" s="11" t="inlineStr">
        <is>
          <t>9 кл. · М6 (6c) · новое
10 кл. · М7 (7c) · повт.
11 кл. · М4 (4c) · повт.</t>
        </is>
      </c>
      <c r="G395" s="11" t="n">
        <v>3</v>
      </c>
      <c r="H395" s="11">
        <f>'Темы × классы'!R296</f>
        <v/>
      </c>
      <c r="I395" s="11">
        <f>'Темы × классы'!S296&amp;""</f>
        <v/>
      </c>
      <c r="J395" s="11" t="inlineStr">
        <is>
          <t>не начат</t>
        </is>
      </c>
      <c r="K395" s="11" t="inlineStr"/>
    </row>
    <row r="396">
      <c r="A396" s="36" t="inlineStr">
        <is>
          <t>Ст-290</t>
        </is>
      </c>
      <c r="B396" s="37" t="inlineStr">
        <is>
          <t>10+</t>
        </is>
      </c>
      <c r="C396" s="11" t="inlineStr">
        <is>
          <t>Грамматика</t>
        </is>
      </c>
      <c r="D396" s="11" t="inlineStr">
        <is>
          <t>Reported Speech</t>
        </is>
      </c>
      <c r="E396" s="35" t="inlineStr">
        <is>
          <t>Reported Speech: прямая vs косвенная речь, that можно опустить</t>
        </is>
      </c>
      <c r="F396" s="11" t="inlineStr">
        <is>
          <t>8 кл. · М6 (6c) · новое
10 кл. · М8 (8c) · повт.
11 кл. · М6 (6c) · повт.</t>
        </is>
      </c>
      <c r="G396" s="11" t="n">
        <v>3</v>
      </c>
      <c r="H396" s="11">
        <f>'Темы × классы'!R297</f>
        <v/>
      </c>
      <c r="I396" s="11">
        <f>'Темы × классы'!S297&amp;""</f>
        <v/>
      </c>
      <c r="J396" s="11" t="inlineStr">
        <is>
          <t>не начат</t>
        </is>
      </c>
      <c r="K396" s="11" t="inlineStr"/>
    </row>
    <row r="397">
      <c r="A397" s="36" t="inlineStr">
        <is>
          <t>Ст-291</t>
        </is>
      </c>
      <c r="B397" s="37" t="inlineStr">
        <is>
          <t>10+</t>
        </is>
      </c>
      <c r="C397" s="11" t="inlineStr">
        <is>
          <t>Грамматика</t>
        </is>
      </c>
      <c r="D397" s="11" t="inlineStr">
        <is>
          <t>Reported Speech</t>
        </is>
      </c>
      <c r="E397" s="35" t="inlineStr">
        <is>
          <t>Reported Speech: say vs tell (say to sb, tell sb)</t>
        </is>
      </c>
      <c r="F397" s="11" t="inlineStr">
        <is>
          <t>8 кл. · М6 (6c) · новое
9 кл. · М8 (8c) · повт.
10 кл. · М8 (8c) · повт.
11 кл. · М6 (6c) · повт.</t>
        </is>
      </c>
      <c r="G397" s="11" t="n">
        <v>4</v>
      </c>
      <c r="H397" s="11">
        <f>'Темы × классы'!R298</f>
        <v/>
      </c>
      <c r="I397" s="11">
        <f>'Темы × классы'!S298&amp;""</f>
        <v/>
      </c>
      <c r="J397" s="11" t="inlineStr">
        <is>
          <t>не начат</t>
        </is>
      </c>
      <c r="K397" s="11" t="inlineStr"/>
    </row>
    <row r="398">
      <c r="A398" s="36" t="inlineStr">
        <is>
          <t>Ст-292</t>
        </is>
      </c>
      <c r="B398" s="37" t="inlineStr">
        <is>
          <t>10+</t>
        </is>
      </c>
      <c r="C398" s="11" t="inlineStr">
        <is>
          <t>Грамматика</t>
        </is>
      </c>
      <c r="D398" s="11" t="inlineStr">
        <is>
          <t>Reported Speech</t>
        </is>
      </c>
      <c r="E398" s="35" t="inlineStr">
        <is>
          <t>Reported Speech: say + to-inf; speak/talk about (не say about)</t>
        </is>
      </c>
      <c r="F398" s="11" t="inlineStr">
        <is>
          <t>9 кл. · М8 (8c) · новое
10 кл. · М8 (8c) · повт.
11 кл. · М6 (6c) · повт.</t>
        </is>
      </c>
      <c r="G398" s="11" t="n">
        <v>3</v>
      </c>
      <c r="H398" s="11">
        <f>'Темы × классы'!R299</f>
        <v/>
      </c>
      <c r="I398" s="11">
        <f>'Темы × классы'!S299&amp;""</f>
        <v/>
      </c>
      <c r="J398" s="11" t="inlineStr">
        <is>
          <t>не начат</t>
        </is>
      </c>
      <c r="K398" s="11" t="inlineStr"/>
    </row>
    <row r="399">
      <c r="A399" s="36" t="inlineStr">
        <is>
          <t>Ст-293</t>
        </is>
      </c>
      <c r="B399" s="37" t="inlineStr">
        <is>
          <t>10+</t>
        </is>
      </c>
      <c r="C399" s="11" t="inlineStr">
        <is>
          <t>Грамматика</t>
        </is>
      </c>
      <c r="D399" s="11" t="inlineStr">
        <is>
          <t>Reported Speech</t>
        </is>
      </c>
      <c r="E399" s="35" t="inlineStr">
        <is>
          <t>Reported Speech: устойчивые сочетания с say/tell/ask</t>
        </is>
      </c>
      <c r="F399" s="11" t="inlineStr">
        <is>
          <t>8 кл. · М6 (6c) · новое
9 кл. · М8 (8c) · повт.
10 кл. · М8 (8c) · повт.
11 кл. · М6 (6c) · повт.</t>
        </is>
      </c>
      <c r="G399" s="11" t="n">
        <v>4</v>
      </c>
      <c r="H399" s="11">
        <f>'Темы × классы'!R300</f>
        <v/>
      </c>
      <c r="I399" s="11">
        <f>'Темы × классы'!S300&amp;""</f>
        <v/>
      </c>
      <c r="J399" s="11" t="inlineStr">
        <is>
          <t>не начат</t>
        </is>
      </c>
      <c r="K399" s="11" t="inlineStr"/>
    </row>
    <row r="400">
      <c r="A400" s="36" t="inlineStr">
        <is>
          <t>Ст-294</t>
        </is>
      </c>
      <c r="B400" s="37" t="inlineStr">
        <is>
          <t>10+</t>
        </is>
      </c>
      <c r="C400" s="11" t="inlineStr">
        <is>
          <t>Грамматика</t>
        </is>
      </c>
      <c r="D400" s="11" t="inlineStr">
        <is>
          <t>Reported Speech</t>
        </is>
      </c>
      <c r="E400" s="35" t="inlineStr">
        <is>
          <t>Reported Speech: смена местоимений</t>
        </is>
      </c>
      <c r="F400" s="11" t="inlineStr">
        <is>
          <t>8 кл. · М6 (6c) · новое
9 кл. · М8 (8c) · повт.
11 кл. · М6 (6c) · повт.</t>
        </is>
      </c>
      <c r="G400" s="11" t="n">
        <v>3</v>
      </c>
      <c r="H400" s="11">
        <f>'Темы × классы'!R301</f>
        <v/>
      </c>
      <c r="I400" s="11">
        <f>'Темы × классы'!S301&amp;""</f>
        <v/>
      </c>
      <c r="J400" s="11" t="inlineStr">
        <is>
          <t>не начат</t>
        </is>
      </c>
      <c r="K400" s="11" t="inlineStr"/>
    </row>
    <row r="401">
      <c r="A401" s="36" t="inlineStr">
        <is>
          <t>Ст-295</t>
        </is>
      </c>
      <c r="B401" s="37" t="inlineStr">
        <is>
          <t>10+</t>
        </is>
      </c>
      <c r="C401" s="11" t="inlineStr">
        <is>
          <t>Грамматика</t>
        </is>
      </c>
      <c r="D401" s="11" t="inlineStr">
        <is>
          <t>Reported Speech</t>
        </is>
      </c>
      <c r="E401" s="35" t="inlineStr">
        <is>
          <t>Reported Speech: без сдвига времён — вводящий глагол в настоящем (up-to-date reporting)</t>
        </is>
      </c>
      <c r="F401" s="11" t="inlineStr">
        <is>
          <t>8 кл. · М6 (6c) · новое
9 кл. · М8 (8c) · расш.
10 кл. · М8 (8c) · повт.
11 кл. · М6 (6c) · повт.</t>
        </is>
      </c>
      <c r="G401" s="11" t="n">
        <v>4</v>
      </c>
      <c r="H401" s="11">
        <f>'Темы × классы'!R302</f>
        <v/>
      </c>
      <c r="I401" s="11">
        <f>'Темы × классы'!S302&amp;""</f>
        <v/>
      </c>
      <c r="J401" s="11" t="inlineStr">
        <is>
          <t>не начат</t>
        </is>
      </c>
      <c r="K401" s="11" t="inlineStr"/>
    </row>
    <row r="402">
      <c r="A402" s="36" t="inlineStr">
        <is>
          <t>Ст-296</t>
        </is>
      </c>
      <c r="B402" s="37" t="inlineStr">
        <is>
          <t>10+</t>
        </is>
      </c>
      <c r="C402" s="11" t="inlineStr">
        <is>
          <t>Грамматика</t>
        </is>
      </c>
      <c r="D402" s="11" t="inlineStr">
        <is>
          <t>Reported Speech</t>
        </is>
      </c>
      <c r="E402" s="35" t="inlineStr">
        <is>
          <t>Reported Speech: без сдвига времён — общие истины, условные 2/3 типа, wish, сразу после сказанного</t>
        </is>
      </c>
      <c r="F402" s="11" t="inlineStr">
        <is>
          <t>9 кл. · М8 (8c) · новое
10 кл. · М8 (8c) · повт.
11 кл. · М6 (6c) · повт.</t>
        </is>
      </c>
      <c r="G402" s="11" t="n">
        <v>3</v>
      </c>
      <c r="H402" s="11">
        <f>'Темы × классы'!R303</f>
        <v/>
      </c>
      <c r="I402" s="11">
        <f>'Темы × классы'!S303&amp;""</f>
        <v/>
      </c>
      <c r="J402" s="11" t="inlineStr">
        <is>
          <t>не начат</t>
        </is>
      </c>
      <c r="K402" s="11" t="inlineStr"/>
    </row>
    <row r="403">
      <c r="A403" s="36" t="inlineStr">
        <is>
          <t>Ст-297</t>
        </is>
      </c>
      <c r="B403" s="37" t="inlineStr">
        <is>
          <t>10+</t>
        </is>
      </c>
      <c r="C403" s="11" t="inlineStr">
        <is>
          <t>Грамматика</t>
        </is>
      </c>
      <c r="D403" s="11" t="inlineStr">
        <is>
          <t>Reported Speech</t>
        </is>
      </c>
      <c r="E403" s="35" t="inlineStr">
        <is>
          <t>Reported Speech: сдвиг времён (Present → Past, Past → Past Perfect, will → would)</t>
        </is>
      </c>
      <c r="F403" s="11" t="inlineStr">
        <is>
          <t>8 кл. · М6 (6c) · новое
9 кл. · М8 (8c) · расш.
10 кл. · М8 (8c) · повт.
11 кл. · М6 (6c) · повт.</t>
        </is>
      </c>
      <c r="G403" s="11" t="n">
        <v>4</v>
      </c>
      <c r="H403" s="11">
        <f>'Темы × классы'!R304</f>
        <v/>
      </c>
      <c r="I403" s="11">
        <f>'Темы × классы'!S304&amp;""</f>
        <v/>
      </c>
      <c r="J403" s="11" t="inlineStr">
        <is>
          <t>не начат</t>
        </is>
      </c>
      <c r="K403" s="11" t="inlineStr"/>
    </row>
    <row r="404">
      <c r="A404" s="36" t="inlineStr">
        <is>
          <t>Ст-298</t>
        </is>
      </c>
      <c r="B404" s="37" t="inlineStr">
        <is>
          <t>10+</t>
        </is>
      </c>
      <c r="C404" s="11" t="inlineStr">
        <is>
          <t>Грамматика</t>
        </is>
      </c>
      <c r="D404" s="11" t="inlineStr">
        <is>
          <t>Reported Speech</t>
        </is>
      </c>
      <c r="E404" s="35" t="inlineStr">
        <is>
          <t>Reported Speech: слова времени и места (now → then, yesterday → the day before…)</t>
        </is>
      </c>
      <c r="F404" s="11" t="inlineStr">
        <is>
          <t>8 кл. · М6 (6c) · новое
9 кл. · М8 (8c) · повт.
10 кл. · М8 (8c) · повт.
11 кл. · М6 (6c) · повт.</t>
        </is>
      </c>
      <c r="G404" s="11" t="n">
        <v>4</v>
      </c>
      <c r="H404" s="11">
        <f>'Темы × классы'!R305</f>
        <v/>
      </c>
      <c r="I404" s="11">
        <f>'Темы × классы'!S305&amp;""</f>
        <v/>
      </c>
      <c r="J404" s="11" t="inlineStr">
        <is>
          <t>не начат</t>
        </is>
      </c>
      <c r="K404" s="11" t="inlineStr"/>
    </row>
    <row r="405">
      <c r="A405" s="36" t="inlineStr">
        <is>
          <t>Ст-299</t>
        </is>
      </c>
      <c r="B405" s="37" t="inlineStr">
        <is>
          <t>10+</t>
        </is>
      </c>
      <c r="C405" s="11" t="inlineStr">
        <is>
          <t>Грамматика</t>
        </is>
      </c>
      <c r="D405" s="11" t="inlineStr">
        <is>
          <t>Reported commands/requests</t>
        </is>
      </c>
      <c r="E405" s="35" t="inlineStr">
        <is>
          <t>Reported commands: приказы — order/tell + sb + (not) to-inf</t>
        </is>
      </c>
      <c r="F405" s="11" t="inlineStr">
        <is>
          <t>8 кл. · М6 (6c) · новое
9 кл. · М8 (8c) · повт.
10 кл. · М8 (8c) · повт.
11 кл. · М6 (6c) · повт.</t>
        </is>
      </c>
      <c r="G405" s="11" t="n">
        <v>4</v>
      </c>
      <c r="H405" s="11">
        <f>'Темы × классы'!R306</f>
        <v/>
      </c>
      <c r="I405" s="11">
        <f>'Темы × классы'!S306&amp;""</f>
        <v/>
      </c>
      <c r="J405" s="11" t="inlineStr">
        <is>
          <t>не начат</t>
        </is>
      </c>
      <c r="K405" s="11" t="inlineStr"/>
    </row>
    <row r="406">
      <c r="A406" s="36" t="inlineStr">
        <is>
          <t>Ст-300</t>
        </is>
      </c>
      <c r="B406" s="37" t="inlineStr">
        <is>
          <t>10+</t>
        </is>
      </c>
      <c r="C406" s="11" t="inlineStr">
        <is>
          <t>Грамматика</t>
        </is>
      </c>
      <c r="D406" s="11" t="inlineStr">
        <is>
          <t>Reported commands/requests</t>
        </is>
      </c>
      <c r="E406" s="35" t="inlineStr">
        <is>
          <t>Reported requests: ask/beg + sb + (not) to-inf</t>
        </is>
      </c>
      <c r="F406" s="11" t="inlineStr">
        <is>
          <t>8 кл. · М6 (6c) · новое
9 кл. · М8 (8c) · повт.
10 кл. · М8 (8c) · повт.
11 кл. · М6 (6c) · повт.</t>
        </is>
      </c>
      <c r="G406" s="11" t="n">
        <v>4</v>
      </c>
      <c r="H406" s="11">
        <f>'Темы × классы'!R307</f>
        <v/>
      </c>
      <c r="I406" s="11">
        <f>'Темы × классы'!S307&amp;""</f>
        <v/>
      </c>
      <c r="J406" s="11" t="inlineStr">
        <is>
          <t>не начат</t>
        </is>
      </c>
      <c r="K406" s="11" t="inlineStr"/>
    </row>
    <row r="407">
      <c r="A407" s="36" t="inlineStr">
        <is>
          <t>Ст-301</t>
        </is>
      </c>
      <c r="B407" s="37" t="inlineStr">
        <is>
          <t>10+</t>
        </is>
      </c>
      <c r="C407" s="11" t="inlineStr">
        <is>
          <t>Грамматика</t>
        </is>
      </c>
      <c r="D407" s="11" t="inlineStr">
        <is>
          <t>Reported commands/requests</t>
        </is>
      </c>
      <c r="E407" s="35" t="inlineStr">
        <is>
          <t>Reported suggestions: suggest + -ing / that sb (should) …</t>
        </is>
      </c>
      <c r="F407" s="11" t="inlineStr">
        <is>
          <t>8 кл. · М6 (6c) · новое
9 кл. · М8 (8c) · повт.
10 кл. · М8 (8c) · повт.
11 кл. · М6 (6c) · повт.</t>
        </is>
      </c>
      <c r="G407" s="11" t="n">
        <v>4</v>
      </c>
      <c r="H407" s="11">
        <f>'Темы × классы'!R308</f>
        <v/>
      </c>
      <c r="I407" s="11">
        <f>'Темы × классы'!S308&amp;""</f>
        <v/>
      </c>
      <c r="J407" s="11" t="inlineStr">
        <is>
          <t>не начат</t>
        </is>
      </c>
      <c r="K407" s="11" t="inlineStr"/>
    </row>
    <row r="408">
      <c r="A408" s="36" t="inlineStr">
        <is>
          <t>Ст-302</t>
        </is>
      </c>
      <c r="B408" s="37" t="inlineStr">
        <is>
          <t>10+</t>
        </is>
      </c>
      <c r="C408" s="11" t="inlineStr">
        <is>
          <t>Грамматика</t>
        </is>
      </c>
      <c r="D408" s="11" t="inlineStr">
        <is>
          <t>Reported commands/requests</t>
        </is>
      </c>
      <c r="E408" s="35" t="inlineStr">
        <is>
          <t>Reported advice: advise + sb + (not) to-inf</t>
        </is>
      </c>
      <c r="F408" s="11" t="inlineStr">
        <is>
          <t>8 кл. · М6 (6c) · новое
9 кл. · М8 (8c) · повт.
10 кл. · М8 (8c) · повт.
11 кл. · М6 (6c) · повт.</t>
        </is>
      </c>
      <c r="G408" s="11" t="n">
        <v>4</v>
      </c>
      <c r="H408" s="11">
        <f>'Темы × классы'!R309</f>
        <v/>
      </c>
      <c r="I408" s="11">
        <f>'Темы × классы'!S309&amp;""</f>
        <v/>
      </c>
      <c r="J408" s="11" t="inlineStr">
        <is>
          <t>не начат</t>
        </is>
      </c>
      <c r="K408" s="11" t="inlineStr"/>
    </row>
    <row r="409">
      <c r="A409" s="36" t="inlineStr">
        <is>
          <t>Ст-303</t>
        </is>
      </c>
      <c r="B409" s="37" t="inlineStr">
        <is>
          <t>10+</t>
        </is>
      </c>
      <c r="C409" s="11" t="inlineStr">
        <is>
          <t>Грамматика</t>
        </is>
      </c>
      <c r="D409" s="11" t="inlineStr">
        <is>
          <t>be/get used to</t>
        </is>
      </c>
      <c r="E409" s="35" t="inlineStr">
        <is>
          <t>be/get used to: be used to + -ing — привык</t>
        </is>
      </c>
      <c r="F409" s="11" t="inlineStr">
        <is>
          <t>8 кл. · М5 (5c) · новое
11 кл. · М1 (1c) · повт.</t>
        </is>
      </c>
      <c r="G409" s="11" t="n">
        <v>2</v>
      </c>
      <c r="H409" s="11">
        <f>'Темы × классы'!R310</f>
        <v/>
      </c>
      <c r="I409" s="11">
        <f>'Темы × классы'!S310&amp;""</f>
        <v/>
      </c>
      <c r="J409" s="11" t="inlineStr">
        <is>
          <t>не начат</t>
        </is>
      </c>
      <c r="K409" s="11" t="inlineStr"/>
    </row>
    <row r="410">
      <c r="A410" s="36" t="inlineStr">
        <is>
          <t>Ст-304</t>
        </is>
      </c>
      <c r="B410" s="37" t="inlineStr">
        <is>
          <t>10+</t>
        </is>
      </c>
      <c r="C410" s="11" t="inlineStr">
        <is>
          <t>Грамматика</t>
        </is>
      </c>
      <c r="D410" s="11" t="inlineStr">
        <is>
          <t>be/get used to</t>
        </is>
      </c>
      <c r="E410" s="35" t="inlineStr">
        <is>
          <t>be/get used to: get used to + -ing — привыкаю</t>
        </is>
      </c>
      <c r="F410" s="11" t="inlineStr">
        <is>
          <t>8 кл. · М5 (5c) · новое
11 кл. · М1 (1c) · повт.</t>
        </is>
      </c>
      <c r="G410" s="11" t="n">
        <v>2</v>
      </c>
      <c r="H410" s="11">
        <f>'Темы × классы'!R311</f>
        <v/>
      </c>
      <c r="I410" s="11">
        <f>'Темы × классы'!S311&amp;""</f>
        <v/>
      </c>
      <c r="J410" s="11" t="inlineStr">
        <is>
          <t>не начат</t>
        </is>
      </c>
      <c r="K410" s="11" t="inlineStr"/>
    </row>
    <row r="411">
      <c r="A411" s="36" t="inlineStr">
        <is>
          <t>Ст-305</t>
        </is>
      </c>
      <c r="B411" s="37" t="inlineStr">
        <is>
          <t>10+</t>
        </is>
      </c>
      <c r="C411" s="11" t="inlineStr">
        <is>
          <t>Грамматика</t>
        </is>
      </c>
      <c r="D411" s="11" t="inlineStr">
        <is>
          <t>be/get used to</t>
        </is>
      </c>
      <c r="E411" s="35" t="inlineStr">
        <is>
          <t>be/get used to vs used to + V (to — предлог vs частица)</t>
        </is>
      </c>
      <c r="F411" s="11" t="inlineStr">
        <is>
          <t>8 кл. · М5 (5c) · новое
11 кл. · М1 (1c) · повт.</t>
        </is>
      </c>
      <c r="G411" s="11" t="n">
        <v>2</v>
      </c>
      <c r="H411" s="11">
        <f>'Темы × классы'!R312</f>
        <v/>
      </c>
      <c r="I411" s="11">
        <f>'Темы × классы'!S312&amp;""</f>
        <v/>
      </c>
      <c r="J411" s="11" t="inlineStr">
        <is>
          <t>не начат</t>
        </is>
      </c>
      <c r="K411" s="11" t="inlineStr"/>
    </row>
    <row r="412">
      <c r="A412" s="36" t="inlineStr">
        <is>
          <t>Ст-306</t>
        </is>
      </c>
      <c r="B412" s="37" t="inlineStr">
        <is>
          <t>10+</t>
        </is>
      </c>
      <c r="C412" s="11" t="inlineStr">
        <is>
          <t>Грамматика</t>
        </is>
      </c>
      <c r="D412" s="11" t="inlineStr">
        <is>
          <t>Expressing preference (prefer / would rather)</t>
        </is>
      </c>
      <c r="E412" s="33" t="inlineStr">
        <is>
          <t>Expressing preference: prefer + noun/-ing to noun/-ing — общее предпочтение</t>
        </is>
      </c>
      <c r="F412" s="11" t="inlineStr">
        <is>
          <t>9 кл. · М5 (5d) · новое
10 кл. · М2 (2c) · повт.
11 кл. · М3 · повт.</t>
        </is>
      </c>
      <c r="G412" s="11" t="n">
        <v>3</v>
      </c>
      <c r="H412" s="11">
        <f>'Темы × классы'!R313</f>
        <v/>
      </c>
      <c r="I412" s="11">
        <f>'Темы × классы'!S313&amp;""</f>
        <v/>
      </c>
      <c r="J412" s="11" t="inlineStr">
        <is>
          <t>не начат</t>
        </is>
      </c>
      <c r="K412" s="11" t="inlineStr"/>
    </row>
    <row r="413">
      <c r="A413" s="36" t="inlineStr">
        <is>
          <t>Ст-307</t>
        </is>
      </c>
      <c r="B413" s="37" t="inlineStr">
        <is>
          <t>10+</t>
        </is>
      </c>
      <c r="C413" s="11" t="inlineStr">
        <is>
          <t>Грамматика</t>
        </is>
      </c>
      <c r="D413" s="11" t="inlineStr">
        <is>
          <t>Expressing preference (prefer / would rather)</t>
        </is>
      </c>
      <c r="E413" s="35" t="inlineStr">
        <is>
          <t>Expressing preference: prefer + to-inf rather than + bare inf</t>
        </is>
      </c>
      <c r="F413" s="11" t="inlineStr">
        <is>
          <t>9 кл. · М5 (5d) · новое
10 кл. · М2 (2c) · повт.
11 кл. · М3 · повт.</t>
        </is>
      </c>
      <c r="G413" s="11" t="n">
        <v>3</v>
      </c>
      <c r="H413" s="11">
        <f>'Темы × классы'!R314</f>
        <v/>
      </c>
      <c r="I413" s="11">
        <f>'Темы × классы'!S314&amp;""</f>
        <v/>
      </c>
      <c r="J413" s="11" t="inlineStr">
        <is>
          <t>не начат</t>
        </is>
      </c>
      <c r="K413" s="11" t="inlineStr"/>
    </row>
    <row r="414">
      <c r="A414" s="36" t="inlineStr">
        <is>
          <t>Ст-308</t>
        </is>
      </c>
      <c r="B414" s="37" t="inlineStr">
        <is>
          <t>10+</t>
        </is>
      </c>
      <c r="C414" s="11" t="inlineStr">
        <is>
          <t>Грамматика</t>
        </is>
      </c>
      <c r="D414" s="11" t="inlineStr">
        <is>
          <t>Expressing preference (prefer / would rather)</t>
        </is>
      </c>
      <c r="E414" s="35" t="inlineStr">
        <is>
          <t>Expressing preference: I'd prefer + to-inf / noun (rather than) — конкретное предпочтение</t>
        </is>
      </c>
      <c r="F414" s="11" t="inlineStr">
        <is>
          <t>9 кл. · М5 (5d) · новое
10 кл. · М2 (2c) · повт.
11 кл. · М3 · повт.</t>
        </is>
      </c>
      <c r="G414" s="11" t="n">
        <v>3</v>
      </c>
      <c r="H414" s="11">
        <f>'Темы × классы'!R315</f>
        <v/>
      </c>
      <c r="I414" s="11">
        <f>'Темы × классы'!S315&amp;""</f>
        <v/>
      </c>
      <c r="J414" s="11" t="inlineStr">
        <is>
          <t>не начат</t>
        </is>
      </c>
      <c r="K414" s="11" t="inlineStr"/>
    </row>
    <row r="415">
      <c r="A415" s="36" t="inlineStr">
        <is>
          <t>Ст-309</t>
        </is>
      </c>
      <c r="B415" s="37" t="inlineStr">
        <is>
          <t>10+</t>
        </is>
      </c>
      <c r="C415" s="11" t="inlineStr">
        <is>
          <t>Грамматика</t>
        </is>
      </c>
      <c r="D415" s="11" t="inlineStr">
        <is>
          <t>Expressing preference (prefer / would rather)</t>
        </is>
      </c>
      <c r="E415" s="35" t="inlineStr">
        <is>
          <t>Expressing preference: I'd rather + bare inf (than + bare inf)</t>
        </is>
      </c>
      <c r="F415" s="11" t="inlineStr">
        <is>
          <t>9 кл. · М5 (5d) · новое
10 кл. · М2 (2c) · повт.
11 кл. · М3 · повт.</t>
        </is>
      </c>
      <c r="G415" s="11" t="n">
        <v>3</v>
      </c>
      <c r="H415" s="11">
        <f>'Темы × классы'!R316</f>
        <v/>
      </c>
      <c r="I415" s="11">
        <f>'Темы × классы'!S316&amp;""</f>
        <v/>
      </c>
      <c r="J415" s="11" t="inlineStr">
        <is>
          <t>не начат</t>
        </is>
      </c>
      <c r="K415" s="11" t="inlineStr"/>
    </row>
    <row r="416">
      <c r="A416" s="36" t="inlineStr">
        <is>
          <t>Ст-310</t>
        </is>
      </c>
      <c r="B416" s="37" t="inlineStr">
        <is>
          <t>10+</t>
        </is>
      </c>
      <c r="C416" s="11" t="inlineStr">
        <is>
          <t>Грамматика</t>
        </is>
      </c>
      <c r="D416" s="11" t="inlineStr">
        <is>
          <t>Reporting verbs</t>
        </is>
      </c>
      <c r="E416" s="35" t="inlineStr">
        <is>
          <t>Reporting verbs: + to-inf (agree, claim, offer, promise, refuse, threaten…)</t>
        </is>
      </c>
      <c r="F416" s="11" t="inlineStr">
        <is>
          <t>9 кл. · М8 (8c) · новое
10 кл. · М8 (8c) · повт.
11 кл. · М6 (6c) · повт.</t>
        </is>
      </c>
      <c r="G416" s="11" t="n">
        <v>3</v>
      </c>
      <c r="H416" s="11">
        <f>'Темы × классы'!R317</f>
        <v/>
      </c>
      <c r="I416" s="11">
        <f>'Темы × классы'!S317&amp;""</f>
        <v/>
      </c>
      <c r="J416" s="11" t="inlineStr">
        <is>
          <t>не начат</t>
        </is>
      </c>
      <c r="K416" s="11" t="inlineStr"/>
    </row>
    <row r="417">
      <c r="A417" s="36" t="inlineStr">
        <is>
          <t>Ст-311</t>
        </is>
      </c>
      <c r="B417" s="37" t="inlineStr">
        <is>
          <t>10+</t>
        </is>
      </c>
      <c r="C417" s="11" t="inlineStr">
        <is>
          <t>Грамматика</t>
        </is>
      </c>
      <c r="D417" s="11" t="inlineStr">
        <is>
          <t>Reporting verbs</t>
        </is>
      </c>
      <c r="E417" s="35" t="inlineStr">
        <is>
          <t>Reporting verbs: + sb + to-inf (advise, allow, encourage, order, remind, warn…)</t>
        </is>
      </c>
      <c r="F417" s="11" t="inlineStr">
        <is>
          <t>9 кл. · М8 (8c) · новое
10 кл. · М8 (8c) · повт.
11 кл. · М6 (6c) · повт.</t>
        </is>
      </c>
      <c r="G417" s="11" t="n">
        <v>3</v>
      </c>
      <c r="H417" s="11">
        <f>'Темы × классы'!R318</f>
        <v/>
      </c>
      <c r="I417" s="11">
        <f>'Темы × классы'!S318&amp;""</f>
        <v/>
      </c>
      <c r="J417" s="11" t="inlineStr">
        <is>
          <t>не начат</t>
        </is>
      </c>
      <c r="K417" s="11" t="inlineStr"/>
    </row>
    <row r="418">
      <c r="A418" s="36" t="inlineStr">
        <is>
          <t>Ст-312</t>
        </is>
      </c>
      <c r="B418" s="37" t="inlineStr">
        <is>
          <t>10+</t>
        </is>
      </c>
      <c r="C418" s="11" t="inlineStr">
        <is>
          <t>Грамматика</t>
        </is>
      </c>
      <c r="D418" s="11" t="inlineStr">
        <is>
          <t>Reporting verbs</t>
        </is>
      </c>
      <c r="E418" s="35" t="inlineStr">
        <is>
          <t>Reporting verbs: + (предлог +) -ing (accuse sb of, apologise for, deny, insist on, suggest…)</t>
        </is>
      </c>
      <c r="F418" s="11" t="inlineStr">
        <is>
          <t>9 кл. · М8 (8c) · новое
10 кл. · М8 (8c) · повт.
11 кл. · М6 (6c) · повт.</t>
        </is>
      </c>
      <c r="G418" s="11" t="n">
        <v>3</v>
      </c>
      <c r="H418" s="11">
        <f>'Темы × классы'!R319</f>
        <v/>
      </c>
      <c r="I418" s="11">
        <f>'Темы × классы'!S319&amp;""</f>
        <v/>
      </c>
      <c r="J418" s="11" t="inlineStr">
        <is>
          <t>не начат</t>
        </is>
      </c>
      <c r="K418" s="11" t="inlineStr"/>
    </row>
    <row r="419">
      <c r="A419" s="36" t="inlineStr">
        <is>
          <t>Ст-313</t>
        </is>
      </c>
      <c r="B419" s="37" t="inlineStr">
        <is>
          <t>10+</t>
        </is>
      </c>
      <c r="C419" s="11" t="inlineStr">
        <is>
          <t>Грамматика</t>
        </is>
      </c>
      <c r="D419" s="11" t="inlineStr">
        <is>
          <t>Reporting verbs</t>
        </is>
      </c>
      <c r="E419" s="35" t="inlineStr">
        <is>
          <t>Reporting verbs: + that-clause (agree, claim, explain, inform sb, promise…)</t>
        </is>
      </c>
      <c r="F419" s="11" t="inlineStr">
        <is>
          <t>9 кл. · М8 (8c) · новое
10 кл. · М8 (8c) · повт.
11 кл. · М6 (6c) · повт.</t>
        </is>
      </c>
      <c r="G419" s="11" t="n">
        <v>3</v>
      </c>
      <c r="H419" s="11">
        <f>'Темы × классы'!R320</f>
        <v/>
      </c>
      <c r="I419" s="11">
        <f>'Темы × классы'!S320&amp;""</f>
        <v/>
      </c>
      <c r="J419" s="11" t="inlineStr">
        <is>
          <t>не начат</t>
        </is>
      </c>
      <c r="K419" s="11" t="inlineStr"/>
    </row>
    <row r="420">
      <c r="A420" s="36" t="inlineStr">
        <is>
          <t>Ст-314</t>
        </is>
      </c>
      <c r="B420" s="37" t="inlineStr">
        <is>
          <t>10+</t>
        </is>
      </c>
      <c r="C420" s="11" t="inlineStr">
        <is>
          <t>Грамматика</t>
        </is>
      </c>
      <c r="D420" s="11" t="inlineStr">
        <is>
          <t>Reporting verbs</t>
        </is>
      </c>
      <c r="E420" s="35" t="inlineStr">
        <is>
          <t>Reporting verbs: explain/wonder + вопросительное слово (+ to-inf / clause)</t>
        </is>
      </c>
      <c r="F420" s="11" t="inlineStr">
        <is>
          <t>9 кл. · М8 (8c) · новое
10 кл. · М8 (8c) · повт.
11 кл. · М6 (6c) · повт.</t>
        </is>
      </c>
      <c r="G420" s="11" t="n">
        <v>3</v>
      </c>
      <c r="H420" s="11">
        <f>'Темы × классы'!R321</f>
        <v/>
      </c>
      <c r="I420" s="11">
        <f>'Темы × классы'!S321&amp;""</f>
        <v/>
      </c>
      <c r="J420" s="11" t="inlineStr">
        <is>
          <t>не начат</t>
        </is>
      </c>
      <c r="K420" s="11" t="inlineStr"/>
    </row>
    <row r="421">
      <c r="A421" s="36" t="inlineStr">
        <is>
          <t>Ст-315</t>
        </is>
      </c>
      <c r="B421" s="37" t="inlineStr">
        <is>
          <t>10+</t>
        </is>
      </c>
      <c r="C421" s="11" t="inlineStr">
        <is>
          <t>Грамматика</t>
        </is>
      </c>
      <c r="D421" s="11" t="inlineStr">
        <is>
          <t>Reporting verbs</t>
        </is>
      </c>
      <c r="E421" s="35" t="inlineStr">
        <is>
          <t>Reporting verbs: пересказ диалогов — связки, восклицания, краткие ответы, question tags</t>
        </is>
      </c>
      <c r="F421" s="11" t="inlineStr">
        <is>
          <t>10 кл. · М8 (8c) · новое</t>
        </is>
      </c>
      <c r="G421" s="11" t="n">
        <v>1</v>
      </c>
      <c r="H421" s="11">
        <f>'Темы × классы'!R322</f>
        <v/>
      </c>
      <c r="I421" s="11">
        <f>'Темы × классы'!S322&amp;""</f>
        <v/>
      </c>
      <c r="J421" s="11" t="inlineStr">
        <is>
          <t>не начат</t>
        </is>
      </c>
      <c r="K421" s="11" t="inlineStr"/>
    </row>
    <row r="422">
      <c r="A422" s="36" t="inlineStr">
        <is>
          <t>Ст-316</t>
        </is>
      </c>
      <c r="B422" s="37" t="inlineStr">
        <is>
          <t>10+</t>
        </is>
      </c>
      <c r="C422" s="11" t="inlineStr">
        <is>
          <t>Грамматика</t>
        </is>
      </c>
      <c r="D422" s="11" t="inlineStr">
        <is>
          <t>Wishes (I wish / If only)</t>
        </is>
      </c>
      <c r="E422" s="35" t="inlineStr">
        <is>
          <t>Wishes: I wish / If only + Past Simple/Continuous — желание изменить настоящее</t>
        </is>
      </c>
      <c r="F422" s="11" t="inlineStr">
        <is>
          <t>9 кл. · М7 (7c) · новое
10 кл. · М6 (6c) · повт.
11 кл. · М7 (7c) · повт.</t>
        </is>
      </c>
      <c r="G422" s="11" t="n">
        <v>3</v>
      </c>
      <c r="H422" s="11">
        <f>'Темы × классы'!R323</f>
        <v/>
      </c>
      <c r="I422" s="11">
        <f>'Темы × классы'!S323&amp;""</f>
        <v/>
      </c>
      <c r="J422" s="11" t="inlineStr">
        <is>
          <t>не начат</t>
        </is>
      </c>
      <c r="K422" s="11" t="inlineStr"/>
    </row>
    <row r="423">
      <c r="A423" s="36" t="inlineStr">
        <is>
          <t>Ст-317</t>
        </is>
      </c>
      <c r="B423" s="37" t="inlineStr">
        <is>
          <t>10+</t>
        </is>
      </c>
      <c r="C423" s="11" t="inlineStr">
        <is>
          <t>Грамматика</t>
        </is>
      </c>
      <c r="D423" s="11" t="inlineStr">
        <is>
          <t>Wishes (I wish / If only)</t>
        </is>
      </c>
      <c r="E423" s="35" t="inlineStr">
        <is>
          <t>Wishes: I wish / If only + Past Perfect — сожаление о прошлом</t>
        </is>
      </c>
      <c r="F423" s="11" t="inlineStr">
        <is>
          <t>9 кл. · М7 (7c) · новое
10 кл. · М6 (6c) · повт.
11 кл. · М7 (7c) · повт.</t>
        </is>
      </c>
      <c r="G423" s="11" t="n">
        <v>3</v>
      </c>
      <c r="H423" s="11">
        <f>'Темы × классы'!R324</f>
        <v/>
      </c>
      <c r="I423" s="11">
        <f>'Темы × классы'!S324&amp;""</f>
        <v/>
      </c>
      <c r="J423" s="11" t="inlineStr">
        <is>
          <t>не начат</t>
        </is>
      </c>
      <c r="K423" s="11" t="inlineStr"/>
    </row>
    <row r="424">
      <c r="A424" s="36" t="inlineStr">
        <is>
          <t>Ст-318</t>
        </is>
      </c>
      <c r="B424" s="37" t="inlineStr">
        <is>
          <t>10+</t>
        </is>
      </c>
      <c r="C424" s="11" t="inlineStr">
        <is>
          <t>Грамматика</t>
        </is>
      </c>
      <c r="D424" s="11" t="inlineStr">
        <is>
          <t>Wishes (I wish / If only)</t>
        </is>
      </c>
      <c r="E424" s="35" t="inlineStr">
        <is>
          <t>Wishes: I wish / If only + would + V — раздражение, просьба изменить поведение</t>
        </is>
      </c>
      <c r="F424" s="11" t="inlineStr">
        <is>
          <t>9 кл. · М7 (7c) · новое
10 кл. · М6 (6c) · повт.
11 кл. · М7 (7c) · повт.</t>
        </is>
      </c>
      <c r="G424" s="11" t="n">
        <v>3</v>
      </c>
      <c r="H424" s="11">
        <f>'Темы × классы'!R325</f>
        <v/>
      </c>
      <c r="I424" s="11">
        <f>'Темы × классы'!S325&amp;""</f>
        <v/>
      </c>
      <c r="J424" s="11" t="inlineStr">
        <is>
          <t>не начат</t>
        </is>
      </c>
      <c r="K424" s="11" t="inlineStr"/>
    </row>
    <row r="425">
      <c r="A425" s="36" t="inlineStr">
        <is>
          <t>Ст-319</t>
        </is>
      </c>
      <c r="B425" s="37" t="inlineStr">
        <is>
          <t>10+</t>
        </is>
      </c>
      <c r="C425" s="11" t="inlineStr">
        <is>
          <t>Грамматика</t>
        </is>
      </c>
      <c r="D425" s="11" t="inlineStr">
        <is>
          <t>Wishes (I wish / If only)</t>
        </is>
      </c>
      <c r="E425" s="35" t="inlineStr">
        <is>
          <t>Wishes: were вместо was</t>
        </is>
      </c>
      <c r="F425" s="11" t="inlineStr">
        <is>
          <t>9 кл. · М7 (7c) · новое
10 кл. · М6 (6c) · повт.
11 кл. · М7 (7c) · повт.</t>
        </is>
      </c>
      <c r="G425" s="11" t="n">
        <v>3</v>
      </c>
      <c r="H425" s="11">
        <f>'Темы × классы'!R326</f>
        <v/>
      </c>
      <c r="I425" s="11">
        <f>'Темы × классы'!S326&amp;""</f>
        <v/>
      </c>
      <c r="J425" s="11" t="inlineStr">
        <is>
          <t>не начат</t>
        </is>
      </c>
      <c r="K425" s="11" t="inlineStr"/>
    </row>
    <row r="426">
      <c r="A426" s="36" t="inlineStr">
        <is>
          <t>Ст-320</t>
        </is>
      </c>
      <c r="B426" s="37" t="inlineStr">
        <is>
          <t>10+</t>
        </is>
      </c>
      <c r="C426" s="11" t="inlineStr">
        <is>
          <t>Грамматика</t>
        </is>
      </c>
      <c r="D426" s="11" t="inlineStr">
        <is>
          <t>Wishes (I wish / If only)</t>
        </is>
      </c>
      <c r="E426" s="35" t="inlineStr">
        <is>
          <t>Wishes: If only vs I wish — эмоциональность</t>
        </is>
      </c>
      <c r="F426" s="11" t="inlineStr">
        <is>
          <t>9 кл. · М7 (7c) · новое
10 кл. · М6 (6c) · повт.
11 кл. · М7 (7c) · повт.</t>
        </is>
      </c>
      <c r="G426" s="11" t="n">
        <v>3</v>
      </c>
      <c r="H426" s="11">
        <f>'Темы × классы'!R327</f>
        <v/>
      </c>
      <c r="I426" s="11">
        <f>'Темы × классы'!S327&amp;""</f>
        <v/>
      </c>
      <c r="J426" s="11" t="inlineStr">
        <is>
          <t>не начат</t>
        </is>
      </c>
      <c r="K426" s="11" t="inlineStr"/>
    </row>
    <row r="427">
      <c r="A427" s="36" t="inlineStr">
        <is>
          <t>Ст-321</t>
        </is>
      </c>
      <c r="B427" s="37" t="inlineStr">
        <is>
          <t>10+</t>
        </is>
      </c>
      <c r="C427" s="11" t="inlineStr">
        <is>
          <t>Грамматика</t>
        </is>
      </c>
      <c r="D427" s="11" t="inlineStr">
        <is>
          <t>would (past habits)</t>
        </is>
      </c>
      <c r="E427" s="35" t="inlineStr">
        <is>
          <t>would: значение — повторяющиеся действия в прошлом (would + V)</t>
        </is>
      </c>
      <c r="F427" s="11" t="inlineStr">
        <is>
          <t>9 кл. · М3 (3c) · новое</t>
        </is>
      </c>
      <c r="G427" s="11" t="n">
        <v>1</v>
      </c>
      <c r="H427" s="11">
        <f>'Темы × классы'!R328</f>
        <v/>
      </c>
      <c r="I427" s="11">
        <f>'Темы × классы'!S328&amp;""</f>
        <v/>
      </c>
      <c r="J427" s="11" t="inlineStr">
        <is>
          <t>не начат</t>
        </is>
      </c>
      <c r="K427" s="11" t="inlineStr"/>
    </row>
    <row r="428">
      <c r="A428" s="36" t="inlineStr">
        <is>
          <t>Ст-322</t>
        </is>
      </c>
      <c r="B428" s="37" t="inlineStr">
        <is>
          <t>10+</t>
        </is>
      </c>
      <c r="C428" s="11" t="inlineStr">
        <is>
          <t>Грамматика</t>
        </is>
      </c>
      <c r="D428" s="11" t="inlineStr">
        <is>
          <t>would (past habits)</t>
        </is>
      </c>
      <c r="E428" s="35" t="inlineStr">
        <is>
          <t>would vs used to: прошлые состояния — только used to</t>
        </is>
      </c>
      <c r="F428" s="11" t="inlineStr">
        <is>
          <t>9 кл. · М3 (3c) · новое</t>
        </is>
      </c>
      <c r="G428" s="11" t="n">
        <v>1</v>
      </c>
      <c r="H428" s="11">
        <f>'Темы × классы'!R329</f>
        <v/>
      </c>
      <c r="I428" s="11">
        <f>'Темы × классы'!S329&amp;""</f>
        <v/>
      </c>
      <c r="J428" s="11" t="inlineStr">
        <is>
          <t>не начат</t>
        </is>
      </c>
      <c r="K428" s="11" t="inlineStr"/>
    </row>
    <row r="429">
      <c r="A429" s="36" t="inlineStr">
        <is>
          <t>Ст-323</t>
        </is>
      </c>
      <c r="B429" s="37" t="inlineStr">
        <is>
          <t>10+</t>
        </is>
      </c>
      <c r="C429" s="11" t="inlineStr">
        <is>
          <t>Грамматика</t>
        </is>
      </c>
      <c r="D429" s="11" t="inlineStr">
        <is>
          <t>Countable / Uncountable nouns</t>
        </is>
      </c>
      <c r="E429" s="33" t="inlineStr">
        <is>
          <t>Countable / Uncountable: различие исчисляемых и неисчисляемых</t>
        </is>
      </c>
      <c r="F429" s="11" t="inlineStr">
        <is>
          <t>5 кл. · М8 (8a) · расш.
6 кл. · М9 (9a) · повт.
7 кл. · М9 · повт.
8 кл. · М2 (2d) · повт.
11 кл. · М8 (8c) · повт.</t>
        </is>
      </c>
      <c r="G429" s="11" t="n">
        <v>5</v>
      </c>
      <c r="H429" s="11">
        <f>'Темы × классы'!R330</f>
        <v/>
      </c>
      <c r="I429" s="11">
        <f>'Темы × классы'!S330&amp;""</f>
        <v/>
      </c>
      <c r="J429" s="11" t="inlineStr">
        <is>
          <t>не начат</t>
        </is>
      </c>
      <c r="K429" s="11" t="inlineStr"/>
    </row>
    <row r="430">
      <c r="A430" s="36" t="inlineStr">
        <is>
          <t>Ст-324</t>
        </is>
      </c>
      <c r="B430" s="37" t="inlineStr">
        <is>
          <t>10+</t>
        </is>
      </c>
      <c r="C430" s="11" t="inlineStr">
        <is>
          <t>Грамматика</t>
        </is>
      </c>
      <c r="D430" s="11" t="inlineStr">
        <is>
          <t>Countable / Uncountable nouns</t>
        </is>
      </c>
      <c r="E430" s="33" t="inlineStr">
        <is>
          <t>Countable / Uncountable: неисчисляемые — еда и жидкости</t>
        </is>
      </c>
      <c r="F430" s="11" t="inlineStr">
        <is>
          <t>5 кл. · М8 (8a) · новое
6 кл. · М9 (9a) · расш.
8 кл. · М2 (2d) · расш.
11 кл. · М8 (8c) · повт.</t>
        </is>
      </c>
      <c r="G430" s="11" t="n">
        <v>4</v>
      </c>
      <c r="H430" s="11">
        <f>'Темы × классы'!R331</f>
        <v/>
      </c>
      <c r="I430" s="11">
        <f>'Темы × классы'!S331&amp;""</f>
        <v/>
      </c>
      <c r="J430" s="11" t="inlineStr">
        <is>
          <t>не начат</t>
        </is>
      </c>
      <c r="K430" s="11" t="inlineStr"/>
    </row>
    <row r="431">
      <c r="A431" s="36" t="inlineStr">
        <is>
          <t>Ст-325</t>
        </is>
      </c>
      <c r="B431" s="37" t="inlineStr">
        <is>
          <t>10+</t>
        </is>
      </c>
      <c r="C431" s="11" t="inlineStr">
        <is>
          <t>Грамматика</t>
        </is>
      </c>
      <c r="D431" s="11" t="inlineStr">
        <is>
          <t>Countable / Uncountable nouns</t>
        </is>
      </c>
      <c r="E431" s="33" t="inlineStr">
        <is>
          <t>Countable / Uncountable: количество с неисчисляемыми (a jar of, a bottle of)</t>
        </is>
      </c>
      <c r="F431" s="11" t="inlineStr">
        <is>
          <t>5 кл. · М8 (8a) · новое
6 кл. · М9 (9a) · повт.
11 кл. · М8 (8c) · расш.</t>
        </is>
      </c>
      <c r="G431" s="11" t="n">
        <v>3</v>
      </c>
      <c r="H431" s="11">
        <f>'Темы × классы'!R332</f>
        <v/>
      </c>
      <c r="I431" s="11">
        <f>'Темы × классы'!S332&amp;""</f>
        <v/>
      </c>
      <c r="J431" s="11" t="inlineStr">
        <is>
          <t>не начат</t>
        </is>
      </c>
      <c r="K431" s="11" t="inlineStr"/>
    </row>
    <row r="432">
      <c r="A432" s="36" t="inlineStr">
        <is>
          <t>Ст-326</t>
        </is>
      </c>
      <c r="B432" s="37" t="inlineStr">
        <is>
          <t>10+</t>
        </is>
      </c>
      <c r="C432" s="11" t="inlineStr">
        <is>
          <t>Грамматика</t>
        </is>
      </c>
      <c r="D432" s="11" t="inlineStr">
        <is>
          <t>Countable / Uncountable nouns</t>
        </is>
      </c>
      <c r="E432" s="33" t="inlineStr">
        <is>
          <t>Countable / Uncountable: существительные без ед. числа (clothes, jeans)</t>
        </is>
      </c>
      <c r="F432" s="11" t="inlineStr">
        <is>
          <t>5 кл. · М8 (8a) · новое</t>
        </is>
      </c>
      <c r="G432" s="11" t="n">
        <v>1</v>
      </c>
      <c r="H432" s="11">
        <f>'Темы × классы'!R333</f>
        <v/>
      </c>
      <c r="I432" s="11">
        <f>'Темы × классы'!S333&amp;""</f>
        <v/>
      </c>
      <c r="J432" s="11" t="inlineStr">
        <is>
          <t>не начат</t>
        </is>
      </c>
      <c r="K432" s="11" t="inlineStr"/>
    </row>
    <row r="433">
      <c r="A433" s="36" t="inlineStr">
        <is>
          <t>Ст-327</t>
        </is>
      </c>
      <c r="B433" s="37" t="inlineStr">
        <is>
          <t>10+</t>
        </is>
      </c>
      <c r="C433" s="11" t="inlineStr">
        <is>
          <t>Грамматика</t>
        </is>
      </c>
      <c r="D433" s="11" t="inlineStr">
        <is>
          <t>Countable / Uncountable nouns</t>
        </is>
      </c>
      <c r="E433" s="33" t="inlineStr">
        <is>
          <t>Countable / Uncountable: There is/are + исчисляемые/неисчисляемые — утверждение</t>
        </is>
      </c>
      <c r="F433" s="11" t="inlineStr">
        <is>
          <t>7 кл. · М9 · новое</t>
        </is>
      </c>
      <c r="G433" s="11" t="n">
        <v>1</v>
      </c>
      <c r="H433" s="11">
        <f>'Темы × классы'!R334</f>
        <v/>
      </c>
      <c r="I433" s="11">
        <f>'Темы × классы'!S334&amp;""</f>
        <v/>
      </c>
      <c r="J433" s="11" t="inlineStr">
        <is>
          <t>не начат</t>
        </is>
      </c>
      <c r="K433" s="11" t="inlineStr"/>
    </row>
    <row r="434">
      <c r="A434" s="36" t="inlineStr">
        <is>
          <t>Ст-328</t>
        </is>
      </c>
      <c r="B434" s="37" t="inlineStr">
        <is>
          <t>10+</t>
        </is>
      </c>
      <c r="C434" s="11" t="inlineStr">
        <is>
          <t>Грамматика</t>
        </is>
      </c>
      <c r="D434" s="11" t="inlineStr">
        <is>
          <t>Countable / Uncountable nouns</t>
        </is>
      </c>
      <c r="E434" s="33" t="inlineStr">
        <is>
          <t>Countable / Uncountable: There is/are + исчисляемые/неисчисляемые — отрицание</t>
        </is>
      </c>
      <c r="F434" s="11" t="inlineStr">
        <is>
          <t>7 кл. · М9 · новое</t>
        </is>
      </c>
      <c r="G434" s="11" t="n">
        <v>1</v>
      </c>
      <c r="H434" s="11">
        <f>'Темы × классы'!R335</f>
        <v/>
      </c>
      <c r="I434" s="11">
        <f>'Темы × классы'!S335&amp;""</f>
        <v/>
      </c>
      <c r="J434" s="11" t="inlineStr">
        <is>
          <t>не начат</t>
        </is>
      </c>
      <c r="K434" s="11" t="inlineStr"/>
    </row>
    <row r="435">
      <c r="A435" s="36" t="inlineStr">
        <is>
          <t>Ст-329</t>
        </is>
      </c>
      <c r="B435" s="37" t="inlineStr">
        <is>
          <t>10+</t>
        </is>
      </c>
      <c r="C435" s="11" t="inlineStr">
        <is>
          <t>Грамматика</t>
        </is>
      </c>
      <c r="D435" s="11" t="inlineStr">
        <is>
          <t>Countable / Uncountable nouns</t>
        </is>
      </c>
      <c r="E435" s="33" t="inlineStr">
        <is>
          <t>Countable / Uncountable: There is/are + исчисляемые/неисчисляемые — вопрос</t>
        </is>
      </c>
      <c r="F435" s="11" t="inlineStr">
        <is>
          <t>7 кл. · М9 · новое</t>
        </is>
      </c>
      <c r="G435" s="11" t="n">
        <v>1</v>
      </c>
      <c r="H435" s="11">
        <f>'Темы × классы'!R336</f>
        <v/>
      </c>
      <c r="I435" s="11">
        <f>'Темы × классы'!S336&amp;""</f>
        <v/>
      </c>
      <c r="J435" s="11" t="inlineStr">
        <is>
          <t>не начат</t>
        </is>
      </c>
      <c r="K435" s="11" t="inlineStr"/>
    </row>
    <row r="436">
      <c r="A436" s="36" t="inlineStr">
        <is>
          <t>Ст-330</t>
        </is>
      </c>
      <c r="B436" s="37" t="inlineStr">
        <is>
          <t>10+</t>
        </is>
      </c>
      <c r="C436" s="11" t="inlineStr">
        <is>
          <t>Грамматика</t>
        </is>
      </c>
      <c r="D436" s="11" t="inlineStr">
        <is>
          <t>Countable / Uncountable nouns</t>
        </is>
      </c>
      <c r="E436" s="33" t="inlineStr">
        <is>
          <t>Countable / Uncountable: неисчисляемые без a/an, глагол в ед. ч.</t>
        </is>
      </c>
      <c r="F436" s="11" t="inlineStr">
        <is>
          <t>8 кл. · М2 (2d) · новое
11 кл. · М8 (8c) · расш.</t>
        </is>
      </c>
      <c r="G436" s="11" t="n">
        <v>2</v>
      </c>
      <c r="H436" s="11">
        <f>'Темы × классы'!R337</f>
        <v/>
      </c>
      <c r="I436" s="11">
        <f>'Темы × классы'!S337&amp;""</f>
        <v/>
      </c>
      <c r="J436" s="11" t="inlineStr">
        <is>
          <t>не начат</t>
        </is>
      </c>
      <c r="K436" s="11" t="inlineStr"/>
    </row>
    <row r="437">
      <c r="A437" s="36" t="inlineStr">
        <is>
          <t>Ст-331</t>
        </is>
      </c>
      <c r="B437" s="37" t="inlineStr">
        <is>
          <t>10+</t>
        </is>
      </c>
      <c r="C437" s="11" t="inlineStr">
        <is>
          <t>Грамматика</t>
        </is>
      </c>
      <c r="D437" s="11" t="inlineStr">
        <is>
          <t>Countable / Uncountable nouns</t>
        </is>
      </c>
      <c r="E437" s="35" t="inlineStr">
        <is>
          <t>Countable / Uncountable: исключения с a/an (a help, a pity, a shame)</t>
        </is>
      </c>
      <c r="F437" s="11" t="inlineStr">
        <is>
          <t>11 кл. · М8 (8c) · новое</t>
        </is>
      </c>
      <c r="G437" s="11" t="n">
        <v>1</v>
      </c>
      <c r="H437" s="11">
        <f>'Темы × классы'!R338</f>
        <v/>
      </c>
      <c r="I437" s="11">
        <f>'Темы × классы'!S338&amp;""</f>
        <v/>
      </c>
      <c r="J437" s="11" t="inlineStr">
        <is>
          <t>не начат</t>
        </is>
      </c>
      <c r="K437" s="11" t="inlineStr"/>
    </row>
    <row r="438">
      <c r="A438" s="36" t="inlineStr">
        <is>
          <t>Ст-332</t>
        </is>
      </c>
      <c r="B438" s="37" t="inlineStr">
        <is>
          <t>10+</t>
        </is>
      </c>
      <c r="C438" s="11" t="inlineStr">
        <is>
          <t>Грамматика</t>
        </is>
      </c>
      <c r="D438" s="11" t="inlineStr">
        <is>
          <t>Countable / Uncountable nouns</t>
        </is>
      </c>
      <c r="E438" s="35" t="inlineStr">
        <is>
          <t>Countable / Uncountable: группы неисчисляемых — предметы, языки, игры, болезни, явления природы</t>
        </is>
      </c>
      <c r="F438" s="11" t="inlineStr">
        <is>
          <t>8 кл. · М2 (2d) · новое
11 кл. · М8 (8c) · расш.</t>
        </is>
      </c>
      <c r="G438" s="11" t="n">
        <v>2</v>
      </c>
      <c r="H438" s="11">
        <f>'Темы × классы'!R339</f>
        <v/>
      </c>
      <c r="I438" s="11">
        <f>'Темы × классы'!S339&amp;""</f>
        <v/>
      </c>
      <c r="J438" s="11" t="inlineStr">
        <is>
          <t>не начат</t>
        </is>
      </c>
      <c r="K438" s="11" t="inlineStr"/>
    </row>
    <row r="439">
      <c r="A439" s="36" t="inlineStr">
        <is>
          <t>Ст-333</t>
        </is>
      </c>
      <c r="B439" s="37" t="inlineStr">
        <is>
          <t>10+</t>
        </is>
      </c>
      <c r="C439" s="11" t="inlineStr">
        <is>
          <t>Грамматика</t>
        </is>
      </c>
      <c r="D439" s="11" t="inlineStr">
        <is>
          <t>Countable / Uncountable nouns</t>
        </is>
      </c>
      <c r="E439" s="35" t="inlineStr">
        <is>
          <t>Countable / Uncountable: «ловушки» — advice, information, news, furniture, luggage, money</t>
        </is>
      </c>
      <c r="F439" s="11" t="inlineStr">
        <is>
          <t>8 кл. · М2 (2d) · новое
11 кл. · М8 (8c) · расш.</t>
        </is>
      </c>
      <c r="G439" s="11" t="n">
        <v>2</v>
      </c>
      <c r="H439" s="11">
        <f>'Темы × классы'!R340</f>
        <v/>
      </c>
      <c r="I439" s="11">
        <f>'Темы × классы'!S340&amp;""</f>
        <v/>
      </c>
      <c r="J439" s="11" t="inlineStr">
        <is>
          <t>не начат</t>
        </is>
      </c>
      <c r="K439" s="11" t="inlineStr"/>
    </row>
    <row r="440">
      <c r="A440" s="36" t="inlineStr">
        <is>
          <t>Ст-334</t>
        </is>
      </c>
      <c r="B440" s="37" t="inlineStr">
        <is>
          <t>10+</t>
        </is>
      </c>
      <c r="C440" s="11" t="inlineStr">
        <is>
          <t>Грамматика</t>
        </is>
      </c>
      <c r="D440" s="11" t="inlineStr">
        <is>
          <t>Countable / Uncountable nouns</t>
        </is>
      </c>
      <c r="E440" s="33" t="inlineStr">
        <is>
          <t>Countable / Uncountable: собирательные (family, team) и составные (homework, countryside)</t>
        </is>
      </c>
      <c r="F440" s="11" t="inlineStr">
        <is>
          <t>11 кл. · М8 (8c) · новое</t>
        </is>
      </c>
      <c r="G440" s="11" t="n">
        <v>1</v>
      </c>
      <c r="H440" s="11">
        <f>'Темы × классы'!R341</f>
        <v/>
      </c>
      <c r="I440" s="11">
        <f>'Темы × классы'!S341&amp;""</f>
        <v/>
      </c>
      <c r="J440" s="11" t="inlineStr">
        <is>
          <t>не начат</t>
        </is>
      </c>
      <c r="K440" s="11" t="inlineStr"/>
    </row>
    <row r="441">
      <c r="A441" s="36" t="inlineStr">
        <is>
          <t>Ст-335</t>
        </is>
      </c>
      <c r="B441" s="37" t="inlineStr">
        <is>
          <t>10+</t>
        </is>
      </c>
      <c r="C441" s="11" t="inlineStr">
        <is>
          <t>Грамматика</t>
        </is>
      </c>
      <c r="D441" s="11" t="inlineStr">
        <is>
          <t>Countable / Uncountable nouns</t>
        </is>
      </c>
      <c r="E441" s="35" t="inlineStr">
        <is>
          <t>Countable / Uncountable: длительность, расстояние, деньги как целое — глагол в ед. ч.</t>
        </is>
      </c>
      <c r="F441" s="11" t="inlineStr">
        <is>
          <t>11 кл. · М8 (8c) · новое</t>
        </is>
      </c>
      <c r="G441" s="11" t="n">
        <v>1</v>
      </c>
      <c r="H441" s="11">
        <f>'Темы × классы'!R342</f>
        <v/>
      </c>
      <c r="I441" s="11">
        <f>'Темы × классы'!S342&amp;""</f>
        <v/>
      </c>
      <c r="J441" s="11" t="inlineStr">
        <is>
          <t>не начат</t>
        </is>
      </c>
      <c r="K441" s="11" t="inlineStr"/>
    </row>
    <row r="442">
      <c r="A442" s="36" t="inlineStr">
        <is>
          <t>Ст-336</t>
        </is>
      </c>
      <c r="B442" s="37" t="inlineStr">
        <is>
          <t>10+</t>
        </is>
      </c>
      <c r="C442" s="11" t="inlineStr">
        <is>
          <t>Грамматика</t>
        </is>
      </c>
      <c r="D442" s="11" t="inlineStr">
        <is>
          <t>Plurals (irregular)</t>
        </is>
      </c>
      <c r="E442" s="33" t="inlineStr">
        <is>
          <t>Plurals (irregular): man — men, child — children, tooth — teeth, foot — feet, mouse — mice</t>
        </is>
      </c>
      <c r="F442" s="11" t="inlineStr">
        <is>
          <t>5 кл. · М2 (2b) · повт.
6 кл. · М1 · повт.</t>
        </is>
      </c>
      <c r="G442" s="11" t="n">
        <v>2</v>
      </c>
      <c r="H442" s="11">
        <f>'Темы × классы'!R343</f>
        <v/>
      </c>
      <c r="I442" s="11">
        <f>'Темы × классы'!S343&amp;""</f>
        <v/>
      </c>
      <c r="J442" s="11" t="inlineStr">
        <is>
          <t>не начат</t>
        </is>
      </c>
      <c r="K442" s="11" t="inlineStr"/>
    </row>
    <row r="443">
      <c r="A443" s="36" t="inlineStr">
        <is>
          <t>Ст-337</t>
        </is>
      </c>
      <c r="B443" s="37" t="inlineStr">
        <is>
          <t>10+</t>
        </is>
      </c>
      <c r="C443" s="11" t="inlineStr">
        <is>
          <t>Грамматика</t>
        </is>
      </c>
      <c r="D443" s="11" t="inlineStr">
        <is>
          <t>Plurals (irregular)</t>
        </is>
      </c>
      <c r="E443" s="33" t="inlineStr">
        <is>
          <t>Plurals (irregular): существительные только во мн. ч. (jeans, scissors)</t>
        </is>
      </c>
      <c r="F443" s="11" t="inlineStr">
        <is>
          <t>5 кл. · М2 (2b) · новое</t>
        </is>
      </c>
      <c r="G443" s="11" t="n">
        <v>1</v>
      </c>
      <c r="H443" s="11">
        <f>'Темы × классы'!R345</f>
        <v/>
      </c>
      <c r="I443" s="11">
        <f>'Темы × классы'!S345&amp;""</f>
        <v/>
      </c>
      <c r="J443" s="11" t="inlineStr">
        <is>
          <t>не начат</t>
        </is>
      </c>
      <c r="K443" s="11" t="inlineStr"/>
    </row>
    <row r="444">
      <c r="A444" s="36" t="inlineStr">
        <is>
          <t>Ст-338</t>
        </is>
      </c>
      <c r="B444" s="37" t="inlineStr">
        <is>
          <t>10+</t>
        </is>
      </c>
      <c r="C444" s="11" t="inlineStr">
        <is>
          <t>Грамматика</t>
        </is>
      </c>
      <c r="D444" s="11" t="inlineStr">
        <is>
          <t>Plurals (regular)</t>
        </is>
      </c>
      <c r="E444" s="35" t="inlineStr">
        <is>
          <t>Plurals (regular): основное правило — + -s</t>
        </is>
      </c>
      <c r="F444" s="11" t="inlineStr">
        <is>
          <t>5 кл. · М2 (2b) · повт.
6 кл. · М1 · повт.</t>
        </is>
      </c>
      <c r="G444" s="11" t="n">
        <v>2</v>
      </c>
      <c r="H444" s="11">
        <f>'Темы × классы'!R346</f>
        <v/>
      </c>
      <c r="I444" s="11">
        <f>'Темы × классы'!S346&amp;""</f>
        <v/>
      </c>
      <c r="J444" s="11" t="inlineStr">
        <is>
          <t>не начат</t>
        </is>
      </c>
      <c r="K444" s="11" t="inlineStr"/>
    </row>
    <row r="445">
      <c r="A445" s="36" t="inlineStr">
        <is>
          <t>Ст-339</t>
        </is>
      </c>
      <c r="B445" s="37" t="inlineStr">
        <is>
          <t>10+</t>
        </is>
      </c>
      <c r="C445" s="11" t="inlineStr">
        <is>
          <t>Грамматика</t>
        </is>
      </c>
      <c r="D445" s="11" t="inlineStr">
        <is>
          <t>Plurals (regular)</t>
        </is>
      </c>
      <c r="E445" s="35" t="inlineStr">
        <is>
          <t>Plurals (regular): орфография — + -es после -s, -ss, -sh, -ch, -x, -o</t>
        </is>
      </c>
      <c r="F445" s="11" t="inlineStr">
        <is>
          <t>5 кл. · М2 (2b) · расш.
6 кл. · М1 · повт.</t>
        </is>
      </c>
      <c r="G445" s="11" t="n">
        <v>2</v>
      </c>
      <c r="H445" s="11">
        <f>'Темы × классы'!R347</f>
        <v/>
      </c>
      <c r="I445" s="11">
        <f>'Темы × классы'!S347&amp;""</f>
        <v/>
      </c>
      <c r="J445" s="11" t="inlineStr">
        <is>
          <t>не начат</t>
        </is>
      </c>
      <c r="K445" s="11" t="inlineStr"/>
    </row>
    <row r="446">
      <c r="A446" s="36" t="inlineStr">
        <is>
          <t>Ст-340</t>
        </is>
      </c>
      <c r="B446" s="37" t="inlineStr">
        <is>
          <t>10+</t>
        </is>
      </c>
      <c r="C446" s="11" t="inlineStr">
        <is>
          <t>Грамматика</t>
        </is>
      </c>
      <c r="D446" s="11" t="inlineStr">
        <is>
          <t>Plurals (regular)</t>
        </is>
      </c>
      <c r="E446" s="35" t="inlineStr">
        <is>
          <t>Plurals (regular): орфография — -y → -ies (но гласная + y → -s)</t>
        </is>
      </c>
      <c r="F446" s="11" t="inlineStr">
        <is>
          <t>5 кл. · М2 (2b) · повт.
6 кл. · М1 · повт.</t>
        </is>
      </c>
      <c r="G446" s="11" t="n">
        <v>2</v>
      </c>
      <c r="H446" s="11">
        <f>'Темы × классы'!R348</f>
        <v/>
      </c>
      <c r="I446" s="11">
        <f>'Темы × классы'!S348&amp;""</f>
        <v/>
      </c>
      <c r="J446" s="11" t="inlineStr">
        <is>
          <t>не начат</t>
        </is>
      </c>
      <c r="K446" s="11" t="inlineStr"/>
    </row>
    <row r="447">
      <c r="A447" s="36" t="inlineStr">
        <is>
          <t>Ст-341</t>
        </is>
      </c>
      <c r="B447" s="37" t="inlineStr">
        <is>
          <t>10+</t>
        </is>
      </c>
      <c r="C447" s="11" t="inlineStr">
        <is>
          <t>Грамматика</t>
        </is>
      </c>
      <c r="D447" s="11" t="inlineStr">
        <is>
          <t>Plurals (regular)</t>
        </is>
      </c>
      <c r="E447" s="35" t="inlineStr">
        <is>
          <t>Plurals (regular): орфография — -f/-fe → -ves</t>
        </is>
      </c>
      <c r="F447" s="11" t="inlineStr">
        <is>
          <t>5 кл. · М2 (2b) · повт.
6 кл. · М1 · повт.</t>
        </is>
      </c>
      <c r="G447" s="11" t="n">
        <v>2</v>
      </c>
      <c r="H447" s="11">
        <f>'Темы × классы'!R349</f>
        <v/>
      </c>
      <c r="I447" s="11">
        <f>'Темы × классы'!S349&amp;""</f>
        <v/>
      </c>
      <c r="J447" s="11" t="inlineStr">
        <is>
          <t>не начат</t>
        </is>
      </c>
      <c r="K447" s="11" t="inlineStr"/>
    </row>
    <row r="448">
      <c r="A448" s="36" t="inlineStr">
        <is>
          <t>Ст-342</t>
        </is>
      </c>
      <c r="B448" s="37" t="inlineStr">
        <is>
          <t>10+</t>
        </is>
      </c>
      <c r="C448" s="11" t="inlineStr">
        <is>
          <t>Грамматика</t>
        </is>
      </c>
      <c r="D448" s="11" t="inlineStr">
        <is>
          <t>Plurals (regular)</t>
        </is>
      </c>
      <c r="E448" s="35" t="inlineStr">
        <is>
          <t>Plurals (regular): исключения на -o — только -s (photos, videos)</t>
        </is>
      </c>
      <c r="F448" s="11" t="inlineStr">
        <is>
          <t>6 кл. · М1 · новое</t>
        </is>
      </c>
      <c r="G448" s="11" t="n">
        <v>1</v>
      </c>
      <c r="H448" s="11">
        <f>'Темы × классы'!R350</f>
        <v/>
      </c>
      <c r="I448" s="11">
        <f>'Темы × классы'!S350&amp;""</f>
        <v/>
      </c>
      <c r="J448" s="11" t="inlineStr">
        <is>
          <t>не начат</t>
        </is>
      </c>
      <c r="K448" s="11" t="inlineStr"/>
    </row>
    <row r="449">
      <c r="A449" s="36" t="inlineStr">
        <is>
          <t>Ст-343</t>
        </is>
      </c>
      <c r="B449" s="37" t="inlineStr">
        <is>
          <t>10+</t>
        </is>
      </c>
      <c r="C449" s="11" t="inlineStr">
        <is>
          <t>Грамматика</t>
        </is>
      </c>
      <c r="D449" s="11" t="inlineStr">
        <is>
          <t>Plurals (regular)</t>
        </is>
      </c>
      <c r="E449" s="35" t="inlineStr">
        <is>
          <t>Plurals (regular): произношение окончания -(e)s</t>
        </is>
      </c>
      <c r="F449" s="11" t="inlineStr">
        <is>
          <t>5 кл. · М2 (2b) · новое</t>
        </is>
      </c>
      <c r="G449" s="11" t="n">
        <v>1</v>
      </c>
      <c r="H449" s="11">
        <f>'Темы × классы'!R351</f>
        <v/>
      </c>
      <c r="I449" s="11">
        <f>'Темы × классы'!S351&amp;""</f>
        <v/>
      </c>
      <c r="J449" s="11" t="inlineStr">
        <is>
          <t>не начат</t>
        </is>
      </c>
      <c r="K449" s="11" t="inlineStr"/>
    </row>
    <row r="450">
      <c r="A450" s="36" t="inlineStr">
        <is>
          <t>Ст-344</t>
        </is>
      </c>
      <c r="B450" s="37" t="inlineStr">
        <is>
          <t>10+</t>
        </is>
      </c>
      <c r="C450" s="11" t="inlineStr">
        <is>
          <t>Грамматика</t>
        </is>
      </c>
      <c r="D450" s="11" t="inlineStr">
        <is>
          <t>Possessive case ('s)</t>
        </is>
      </c>
      <c r="E450" s="34" t="inlineStr">
        <is>
          <t>Possessive case ('s): 's в ед. ч. — принадлежность</t>
        </is>
      </c>
      <c r="F450" s="11" t="inlineStr">
        <is>
          <t>5 кл. · М4 (4b) · повт.
6 кл. · М1 (1a) · повт.</t>
        </is>
      </c>
      <c r="G450" s="11" t="n">
        <v>2</v>
      </c>
      <c r="H450" s="11">
        <f>'Темы × классы'!R352</f>
        <v/>
      </c>
      <c r="I450" s="11">
        <f>'Темы × классы'!S352&amp;""</f>
        <v/>
      </c>
      <c r="J450" s="11" t="inlineStr">
        <is>
          <t>не начат</t>
        </is>
      </c>
      <c r="K450" s="11" t="inlineStr"/>
    </row>
    <row r="451">
      <c r="A451" s="36" t="inlineStr">
        <is>
          <t>Ст-345</t>
        </is>
      </c>
      <c r="B451" s="37" t="inlineStr">
        <is>
          <t>10+</t>
        </is>
      </c>
      <c r="C451" s="11" t="inlineStr">
        <is>
          <t>Грамматика</t>
        </is>
      </c>
      <c r="D451" s="11" t="inlineStr">
        <is>
          <t>Possessive case ('s)</t>
        </is>
      </c>
      <c r="E451" s="34" t="inlineStr">
        <is>
          <t>Possessive case ('s): вопрос Whose?</t>
        </is>
      </c>
      <c r="F451" s="11" t="inlineStr">
        <is>
          <t>5 кл. · М4 (4b) · повт.</t>
        </is>
      </c>
      <c r="G451" s="11" t="n">
        <v>1</v>
      </c>
      <c r="H451" s="11">
        <f>'Темы × классы'!R353</f>
        <v/>
      </c>
      <c r="I451" s="11">
        <f>'Темы × классы'!S353&amp;""</f>
        <v/>
      </c>
      <c r="J451" s="11" t="inlineStr">
        <is>
          <t>не начат</t>
        </is>
      </c>
      <c r="K451" s="11" t="inlineStr"/>
    </row>
    <row r="452">
      <c r="A452" s="36" t="inlineStr">
        <is>
          <t>Ст-346</t>
        </is>
      </c>
      <c r="B452" s="37" t="inlineStr">
        <is>
          <t>10+</t>
        </is>
      </c>
      <c r="C452" s="11" t="inlineStr">
        <is>
          <t>Грамматика</t>
        </is>
      </c>
      <c r="D452" s="11" t="inlineStr">
        <is>
          <t>Possessive case ('s)</t>
        </is>
      </c>
      <c r="E452" s="35" t="inlineStr">
        <is>
          <t>Possessive case ('s): значение — отношения между людьми</t>
        </is>
      </c>
      <c r="F452" s="11" t="inlineStr">
        <is>
          <t>5 кл. · М4 (4b) · новое
6 кл. · М1 (1a) · повт.</t>
        </is>
      </c>
      <c r="G452" s="11" t="n">
        <v>2</v>
      </c>
      <c r="H452" s="11">
        <f>'Темы × классы'!R354</f>
        <v/>
      </c>
      <c r="I452" s="11">
        <f>'Темы × классы'!S354&amp;""</f>
        <v/>
      </c>
      <c r="J452" s="11" t="inlineStr">
        <is>
          <t>не начат</t>
        </is>
      </c>
      <c r="K452" s="11" t="inlineStr"/>
    </row>
    <row r="453">
      <c r="A453" s="36" t="inlineStr">
        <is>
          <t>Ст-347</t>
        </is>
      </c>
      <c r="B453" s="37" t="inlineStr">
        <is>
          <t>10+</t>
        </is>
      </c>
      <c r="C453" s="11" t="inlineStr">
        <is>
          <t>Грамматика</t>
        </is>
      </c>
      <c r="D453" s="11" t="inlineStr">
        <is>
          <t>Possessive case ('s)</t>
        </is>
      </c>
      <c r="E453" s="35" t="inlineStr">
        <is>
          <t>Possessive case ('s): магазины, учреждения, чей-то дом (at the baker's)</t>
        </is>
      </c>
      <c r="F453" s="11" t="inlineStr">
        <is>
          <t>5 кл. · М4 (4b) · новое
6 кл. · М1 (1a) · расш.</t>
        </is>
      </c>
      <c r="G453" s="11" t="n">
        <v>2</v>
      </c>
      <c r="H453" s="11">
        <f>'Темы × классы'!R355</f>
        <v/>
      </c>
      <c r="I453" s="11">
        <f>'Темы × классы'!S355&amp;""</f>
        <v/>
      </c>
      <c r="J453" s="11" t="inlineStr">
        <is>
          <t>не начат</t>
        </is>
      </c>
      <c r="K453" s="11" t="inlineStr"/>
    </row>
    <row r="454">
      <c r="A454" s="36" t="inlineStr">
        <is>
          <t>Ст-348</t>
        </is>
      </c>
      <c r="B454" s="37" t="inlineStr">
        <is>
          <t>10+</t>
        </is>
      </c>
      <c r="C454" s="11" t="inlineStr">
        <is>
          <t>Грамматика</t>
        </is>
      </c>
      <c r="D454" s="11" t="inlineStr">
        <is>
          <t>Possessive case ('s)</t>
        </is>
      </c>
      <c r="E454" s="34" t="inlineStr">
        <is>
          <t>Possessive case ('s): имена на -s — 's или только апостроф</t>
        </is>
      </c>
      <c r="F454" s="11" t="inlineStr">
        <is>
          <t>5 кл. · М4 (4b) · новое
6 кл. · М1 (1a) · повт.</t>
        </is>
      </c>
      <c r="G454" s="11" t="n">
        <v>2</v>
      </c>
      <c r="H454" s="11">
        <f>'Темы × классы'!R356</f>
        <v/>
      </c>
      <c r="I454" s="11">
        <f>'Темы × классы'!S356&amp;""</f>
        <v/>
      </c>
      <c r="J454" s="11" t="inlineStr">
        <is>
          <t>не начат</t>
        </is>
      </c>
      <c r="K454" s="11" t="inlineStr"/>
    </row>
    <row r="455">
      <c r="A455" s="36" t="inlineStr">
        <is>
          <t>Ст-349</t>
        </is>
      </c>
      <c r="B455" s="37" t="inlineStr">
        <is>
          <t>10+</t>
        </is>
      </c>
      <c r="C455" s="11" t="inlineStr">
        <is>
          <t>Грамматика</t>
        </is>
      </c>
      <c r="D455" s="11" t="inlineStr">
        <is>
          <t>Possessive case ('s)</t>
        </is>
      </c>
      <c r="E455" s="34" t="inlineStr">
        <is>
          <t>Possessive case ('s): мн. ч. — s' (the boys') и исключения 's (the children's)</t>
        </is>
      </c>
      <c r="F455" s="11" t="inlineStr">
        <is>
          <t>5 кл. · М4 (4b) · новое
6 кл. · М1 (1a) · повт.</t>
        </is>
      </c>
      <c r="G455" s="11" t="n">
        <v>2</v>
      </c>
      <c r="H455" s="11">
        <f>'Темы × классы'!R357</f>
        <v/>
      </c>
      <c r="I455" s="11">
        <f>'Темы × классы'!S357&amp;""</f>
        <v/>
      </c>
      <c r="J455" s="11" t="inlineStr">
        <is>
          <t>не начат</t>
        </is>
      </c>
      <c r="K455" s="11" t="inlineStr"/>
    </row>
    <row r="456">
      <c r="A456" s="36" t="inlineStr">
        <is>
          <t>Ст-350</t>
        </is>
      </c>
      <c r="B456" s="37" t="inlineStr">
        <is>
          <t>10+</t>
        </is>
      </c>
      <c r="C456" s="11" t="inlineStr">
        <is>
          <t>Грамматика</t>
        </is>
      </c>
      <c r="D456" s="11" t="inlineStr">
        <is>
          <t>Possessive case ('s)</t>
        </is>
      </c>
      <c r="E456" s="34" t="inlineStr">
        <is>
          <t>Possessive case ('s): of для неодушевлённых (the windows of the house)</t>
        </is>
      </c>
      <c r="F456" s="11" t="inlineStr">
        <is>
          <t>5 кл. · М4 (4b) · новое</t>
        </is>
      </c>
      <c r="G456" s="11" t="n">
        <v>1</v>
      </c>
      <c r="H456" s="11">
        <f>'Темы × классы'!R358</f>
        <v/>
      </c>
      <c r="I456" s="11">
        <f>'Темы × классы'!S358&amp;""</f>
        <v/>
      </c>
      <c r="J456" s="11" t="inlineStr">
        <is>
          <t>не начат</t>
        </is>
      </c>
      <c r="K456" s="11" t="inlineStr"/>
    </row>
    <row r="457">
      <c r="A457" s="36" t="inlineStr">
        <is>
          <t>Ст-351</t>
        </is>
      </c>
      <c r="B457" s="37" t="inlineStr">
        <is>
          <t>10+</t>
        </is>
      </c>
      <c r="C457" s="11" t="inlineStr">
        <is>
          <t>Грамматика</t>
        </is>
      </c>
      <c r="D457" s="11" t="inlineStr">
        <is>
          <t>a/an</t>
        </is>
      </c>
      <c r="E457" s="33" t="inlineStr">
        <is>
          <t>a/an: неопределённый артикль — только с исчисляемыми в ед. ч.</t>
        </is>
      </c>
      <c r="F457" s="11" t="inlineStr">
        <is>
          <t>5 кл. · М1 (1a) · повт.</t>
        </is>
      </c>
      <c r="G457" s="11" t="n">
        <v>1</v>
      </c>
      <c r="H457" s="11">
        <f>'Темы × классы'!R359</f>
        <v/>
      </c>
      <c r="I457" s="11">
        <f>'Темы × классы'!S359&amp;""</f>
        <v/>
      </c>
      <c r="J457" s="11" t="inlineStr">
        <is>
          <t>не начат</t>
        </is>
      </c>
      <c r="K457" s="11" t="inlineStr"/>
    </row>
    <row r="458">
      <c r="A458" s="36" t="inlineStr">
        <is>
          <t>Ст-352</t>
        </is>
      </c>
      <c r="B458" s="37" t="inlineStr">
        <is>
          <t>10+</t>
        </is>
      </c>
      <c r="C458" s="11" t="inlineStr">
        <is>
          <t>Грамматика</t>
        </is>
      </c>
      <c r="D458" s="11" t="inlineStr">
        <is>
          <t>a/an</t>
        </is>
      </c>
      <c r="E458" s="33" t="inlineStr">
        <is>
          <t>a/an: a перед согласной, an перед гласной</t>
        </is>
      </c>
      <c r="F458" s="11" t="inlineStr">
        <is>
          <t>5 кл. · М1 (1a) · повт.</t>
        </is>
      </c>
      <c r="G458" s="11" t="n">
        <v>1</v>
      </c>
      <c r="H458" s="11">
        <f>'Темы × классы'!R360</f>
        <v/>
      </c>
      <c r="I458" s="11">
        <f>'Темы × классы'!S360&amp;""</f>
        <v/>
      </c>
      <c r="J458" s="11" t="inlineStr">
        <is>
          <t>не начат</t>
        </is>
      </c>
      <c r="K458" s="11" t="inlineStr"/>
    </row>
    <row r="459">
      <c r="A459" s="36" t="inlineStr">
        <is>
          <t>Ст-353</t>
        </is>
      </c>
      <c r="B459" s="37" t="inlineStr">
        <is>
          <t>10+</t>
        </is>
      </c>
      <c r="C459" s="11" t="inlineStr">
        <is>
          <t>Грамматика</t>
        </is>
      </c>
      <c r="D459" s="11" t="inlineStr">
        <is>
          <t>a/an/some/any</t>
        </is>
      </c>
      <c r="E459" s="33" t="inlineStr">
        <is>
          <t>a/an/some/any: some — в утверждениях (неисчисляемые и мн. ч.)</t>
        </is>
      </c>
      <c r="F459" s="11" t="inlineStr">
        <is>
          <t>5 кл. · М8 (8b) · повт.
6 кл. · М2 (2b) · повт.
7 кл. · М9 · повт.</t>
        </is>
      </c>
      <c r="G459" s="11" t="n">
        <v>3</v>
      </c>
      <c r="H459" s="11">
        <f>'Темы × классы'!R361</f>
        <v/>
      </c>
      <c r="I459" s="11">
        <f>'Темы × классы'!S361&amp;""</f>
        <v/>
      </c>
      <c r="J459" s="11" t="inlineStr">
        <is>
          <t>не начат</t>
        </is>
      </c>
      <c r="K459" s="11" t="inlineStr"/>
    </row>
    <row r="460">
      <c r="A460" s="36" t="inlineStr">
        <is>
          <t>Ст-354</t>
        </is>
      </c>
      <c r="B460" s="37" t="inlineStr">
        <is>
          <t>10+</t>
        </is>
      </c>
      <c r="C460" s="11" t="inlineStr">
        <is>
          <t>Грамматика</t>
        </is>
      </c>
      <c r="D460" s="11" t="inlineStr">
        <is>
          <t>a/an/some/any</t>
        </is>
      </c>
      <c r="E460" s="33" t="inlineStr">
        <is>
          <t>a/an/some/any: any — в отрицаниях</t>
        </is>
      </c>
      <c r="F460" s="11" t="inlineStr">
        <is>
          <t>5 кл. · М8 (8b) · повт.
6 кл. · М2 (2b) · повт.
7 кл. · М9 · повт.</t>
        </is>
      </c>
      <c r="G460" s="11" t="n">
        <v>3</v>
      </c>
      <c r="H460" s="11">
        <f>'Темы × классы'!R362</f>
        <v/>
      </c>
      <c r="I460" s="11">
        <f>'Темы × классы'!S362&amp;""</f>
        <v/>
      </c>
      <c r="J460" s="11" t="inlineStr">
        <is>
          <t>не начат</t>
        </is>
      </c>
      <c r="K460" s="11" t="inlineStr"/>
    </row>
    <row r="461">
      <c r="A461" s="36" t="inlineStr">
        <is>
          <t>Ст-355</t>
        </is>
      </c>
      <c r="B461" s="37" t="inlineStr">
        <is>
          <t>10+</t>
        </is>
      </c>
      <c r="C461" s="11" t="inlineStr">
        <is>
          <t>Грамматика</t>
        </is>
      </c>
      <c r="D461" s="11" t="inlineStr">
        <is>
          <t>a/an/some/any</t>
        </is>
      </c>
      <c r="E461" s="33" t="inlineStr">
        <is>
          <t>a/an/some/any: any — в вопросах</t>
        </is>
      </c>
      <c r="F461" s="11" t="inlineStr">
        <is>
          <t>5 кл. · М8 (8b) · повт.
6 кл. · М2 (2b) · повт.
7 кл. · М9 · повт.</t>
        </is>
      </c>
      <c r="G461" s="11" t="n">
        <v>3</v>
      </c>
      <c r="H461" s="11">
        <f>'Темы × классы'!R363</f>
        <v/>
      </c>
      <c r="I461" s="11">
        <f>'Темы × классы'!S363&amp;""</f>
        <v/>
      </c>
      <c r="J461" s="11" t="inlineStr">
        <is>
          <t>не начат</t>
        </is>
      </c>
      <c r="K461" s="11" t="inlineStr"/>
    </row>
    <row r="462">
      <c r="A462" s="36" t="inlineStr">
        <is>
          <t>Ст-356</t>
        </is>
      </c>
      <c r="B462" s="37" t="inlineStr">
        <is>
          <t>10+</t>
        </is>
      </c>
      <c r="C462" s="11" t="inlineStr">
        <is>
          <t>Грамматика</t>
        </is>
      </c>
      <c r="D462" s="11" t="inlineStr">
        <is>
          <t>a/an/some/any</t>
        </is>
      </c>
      <c r="E462" s="35" t="inlineStr">
        <is>
          <t>a/an/some/any: some в вопросах — просьба и предложение</t>
        </is>
      </c>
      <c r="F462" s="11" t="inlineStr">
        <is>
          <t>5 кл. · М8 (8b) · повт.
6 кл. · М2 (2b) · расш.
7 кл. · М9 · повт.</t>
        </is>
      </c>
      <c r="G462" s="11" t="n">
        <v>3</v>
      </c>
      <c r="H462" s="11">
        <f>'Темы × классы'!R364</f>
        <v/>
      </c>
      <c r="I462" s="11">
        <f>'Темы × классы'!S364&amp;""</f>
        <v/>
      </c>
      <c r="J462" s="11" t="inlineStr">
        <is>
          <t>не начат</t>
        </is>
      </c>
      <c r="K462" s="11" t="inlineStr"/>
    </row>
    <row r="463">
      <c r="A463" s="36" t="inlineStr">
        <is>
          <t>Ст-357</t>
        </is>
      </c>
      <c r="B463" s="37" t="inlineStr">
        <is>
          <t>10+</t>
        </is>
      </c>
      <c r="C463" s="11" t="inlineStr">
        <is>
          <t>Грамматика</t>
        </is>
      </c>
      <c r="D463" s="11" t="inlineStr">
        <is>
          <t>a/an/some/any</t>
        </is>
      </c>
      <c r="E463" s="35" t="inlineStr">
        <is>
          <t>a/an/some/any: a/an vs some/any — исчисляемые ед. ч. во всех типах предложений</t>
        </is>
      </c>
      <c r="F463" s="11" t="inlineStr">
        <is>
          <t>5 кл. · М8 (8b) · новое
7 кл. · М9 · повт.</t>
        </is>
      </c>
      <c r="G463" s="11" t="n">
        <v>2</v>
      </c>
      <c r="H463" s="11">
        <f>'Темы × классы'!R365</f>
        <v/>
      </c>
      <c r="I463" s="11">
        <f>'Темы × классы'!S365&amp;""</f>
        <v/>
      </c>
      <c r="J463" s="11" t="inlineStr">
        <is>
          <t>не начат</t>
        </is>
      </c>
      <c r="K463" s="11" t="inlineStr"/>
    </row>
    <row r="464">
      <c r="A464" s="36" t="inlineStr">
        <is>
          <t>Ст-358</t>
        </is>
      </c>
      <c r="B464" s="37" t="inlineStr">
        <is>
          <t>10+</t>
        </is>
      </c>
      <c r="C464" s="11" t="inlineStr">
        <is>
          <t>Грамматика</t>
        </is>
      </c>
      <c r="D464" s="11" t="inlineStr">
        <is>
          <t>a/an/some/any</t>
        </is>
      </c>
      <c r="E464" s="35" t="inlineStr">
        <is>
          <t>a/an/some/any: перевод some — «несколько» / «немного» / не переводится</t>
        </is>
      </c>
      <c r="F464" s="11" t="inlineStr">
        <is>
          <t>5 кл. · М8 (8b) · новое
6 кл. · М2 (2b) · повт.</t>
        </is>
      </c>
      <c r="G464" s="11" t="n">
        <v>2</v>
      </c>
      <c r="H464" s="11">
        <f>'Темы × классы'!R366</f>
        <v/>
      </c>
      <c r="I464" s="11">
        <f>'Темы × классы'!S366&amp;""</f>
        <v/>
      </c>
      <c r="J464" s="11" t="inlineStr">
        <is>
          <t>не начат</t>
        </is>
      </c>
      <c r="K464" s="11" t="inlineStr"/>
    </row>
    <row r="465">
      <c r="A465" s="36" t="inlineStr">
        <is>
          <t>Ст-359</t>
        </is>
      </c>
      <c r="B465" s="37" t="inlineStr">
        <is>
          <t>10+</t>
        </is>
      </c>
      <c r="C465" s="11" t="inlineStr">
        <is>
          <t>Грамматика</t>
        </is>
      </c>
      <c r="D465" s="11" t="inlineStr">
        <is>
          <t>much/many/a lot of</t>
        </is>
      </c>
      <c r="E465" s="33" t="inlineStr">
        <is>
          <t>much/many/a lot of: a lot of / lots of — в утверждениях (исчисляемые и неисчисляемые)</t>
        </is>
      </c>
      <c r="F465" s="11" t="inlineStr">
        <is>
          <t>5 кл. · М8 (8b) · повт.
6 кл. · М9 (9a) · расш.
7 кл. · М9 · повт.
10 кл. · М5 (5c) · повт.
11 кл. · М8 (8c) · повт.</t>
        </is>
      </c>
      <c r="G465" s="11" t="n">
        <v>5</v>
      </c>
      <c r="H465" s="11">
        <f>'Темы × классы'!R367</f>
        <v/>
      </c>
      <c r="I465" s="11">
        <f>'Темы × классы'!S367&amp;""</f>
        <v/>
      </c>
      <c r="J465" s="11" t="inlineStr">
        <is>
          <t>не начат</t>
        </is>
      </c>
      <c r="K465" s="11" t="inlineStr"/>
    </row>
    <row r="466">
      <c r="A466" s="36" t="inlineStr">
        <is>
          <t>Ст-360</t>
        </is>
      </c>
      <c r="B466" s="37" t="inlineStr">
        <is>
          <t>10+</t>
        </is>
      </c>
      <c r="C466" s="11" t="inlineStr">
        <is>
          <t>Грамматика</t>
        </is>
      </c>
      <c r="D466" s="11" t="inlineStr">
        <is>
          <t>much/many/a lot of</t>
        </is>
      </c>
      <c r="E466" s="33" t="inlineStr">
        <is>
          <t>much/many/a lot of: much/many — отрицание</t>
        </is>
      </c>
      <c r="F466" s="11" t="inlineStr">
        <is>
          <t>5 кл. · М8 (8b) · повт.
6 кл. · М9 (9a) · повт.
7 кл. · М9 · повт.
10 кл. · М5 (5c) · повт.
11 кл. · М8 (8c) · повт.</t>
        </is>
      </c>
      <c r="G466" s="11" t="n">
        <v>5</v>
      </c>
      <c r="H466" s="11">
        <f>'Темы × классы'!R368</f>
        <v/>
      </c>
      <c r="I466" s="11">
        <f>'Темы × классы'!S368&amp;""</f>
        <v/>
      </c>
      <c r="J466" s="11" t="inlineStr">
        <is>
          <t>не начат</t>
        </is>
      </c>
      <c r="K466" s="11" t="inlineStr"/>
    </row>
    <row r="467">
      <c r="A467" s="36" t="inlineStr">
        <is>
          <t>Ст-361</t>
        </is>
      </c>
      <c r="B467" s="37" t="inlineStr">
        <is>
          <t>10+</t>
        </is>
      </c>
      <c r="C467" s="11" t="inlineStr">
        <is>
          <t>Грамматика</t>
        </is>
      </c>
      <c r="D467" s="11" t="inlineStr">
        <is>
          <t>much/many/a lot of</t>
        </is>
      </c>
      <c r="E467" s="33" t="inlineStr">
        <is>
          <t>much/many/a lot of: much/many — вопросы</t>
        </is>
      </c>
      <c r="F467" s="11" t="inlineStr">
        <is>
          <t>5 кл. · М8 (8b) · повт.
6 кл. · М9 (9a) · повт.
7 кл. · М9 · повт.
10 кл. · М5 (5c) · повт.
11 кл. · М8 (8c) · повт.</t>
        </is>
      </c>
      <c r="G467" s="11" t="n">
        <v>5</v>
      </c>
      <c r="H467" s="11">
        <f>'Темы × классы'!R369</f>
        <v/>
      </c>
      <c r="I467" s="11">
        <f>'Темы × классы'!S369&amp;""</f>
        <v/>
      </c>
      <c r="J467" s="11" t="inlineStr">
        <is>
          <t>не начат</t>
        </is>
      </c>
      <c r="K467" s="11" t="inlineStr"/>
    </row>
    <row r="468">
      <c r="A468" s="36" t="inlineStr">
        <is>
          <t>Ст-362</t>
        </is>
      </c>
      <c r="B468" s="37" t="inlineStr">
        <is>
          <t>10+</t>
        </is>
      </c>
      <c r="C468" s="11" t="inlineStr">
        <is>
          <t>Грамматика</t>
        </is>
      </c>
      <c r="D468" s="11" t="inlineStr">
        <is>
          <t>much/many/a lot of</t>
        </is>
      </c>
      <c r="E468" s="33" t="inlineStr">
        <is>
          <t>much/many/a lot of: How much? / How many?</t>
        </is>
      </c>
      <c r="F468" s="11" t="inlineStr">
        <is>
          <t>5 кл. · М8 (8b) · повт.
6 кл. · М9 (9a) · повт.</t>
        </is>
      </c>
      <c r="G468" s="11" t="n">
        <v>2</v>
      </c>
      <c r="H468" s="11">
        <f>'Темы × классы'!R370</f>
        <v/>
      </c>
      <c r="I468" s="11">
        <f>'Темы × классы'!S370&amp;""</f>
        <v/>
      </c>
      <c r="J468" s="11" t="inlineStr">
        <is>
          <t>не начат</t>
        </is>
      </c>
      <c r="K468" s="11" t="inlineStr"/>
    </row>
    <row r="469">
      <c r="A469" s="36" t="inlineStr">
        <is>
          <t>Ст-363</t>
        </is>
      </c>
      <c r="B469" s="37" t="inlineStr">
        <is>
          <t>10+</t>
        </is>
      </c>
      <c r="C469" s="11" t="inlineStr">
        <is>
          <t>Грамматика</t>
        </is>
      </c>
      <c r="D469" s="11" t="inlineStr">
        <is>
          <t>much/many/a lot of</t>
        </is>
      </c>
      <c r="E469" s="35" t="inlineStr">
        <is>
          <t>much/many/a lot of: краткие ответы и a lot / lots без существительного</t>
        </is>
      </c>
      <c r="F469" s="11" t="inlineStr">
        <is>
          <t>7 кл. · М9 · расш.
10 кл. · М5 (5c) · повт.
11 кл. · М8 (8c) · повт.</t>
        </is>
      </c>
      <c r="G469" s="11" t="n">
        <v>3</v>
      </c>
      <c r="H469" s="11">
        <f>'Темы × классы'!R371</f>
        <v/>
      </c>
      <c r="I469" s="11">
        <f>'Темы × классы'!S371&amp;""</f>
        <v/>
      </c>
      <c r="J469" s="11" t="inlineStr">
        <is>
          <t>не начат</t>
        </is>
      </c>
      <c r="K469" s="11" t="inlineStr"/>
    </row>
    <row r="470">
      <c r="A470" s="36" t="inlineStr">
        <is>
          <t>Ст-364</t>
        </is>
      </c>
      <c r="B470" s="37" t="inlineStr">
        <is>
          <t>10+</t>
        </is>
      </c>
      <c r="C470" s="11" t="inlineStr">
        <is>
          <t>Грамматика</t>
        </is>
      </c>
      <c r="D470" s="11" t="inlineStr">
        <is>
          <t>Articles (a/an/the/zero)</t>
        </is>
      </c>
      <c r="E470" s="33" t="inlineStr">
        <is>
          <t>Articles: a/an — первое упоминание, значение «один»</t>
        </is>
      </c>
      <c r="F470" s="11" t="inlineStr">
        <is>
          <t>5 кл. · М9 (9a) · новое
8 кл. · М2 (2b) · повт.
10 кл. · М5 (5c) · повт.</t>
        </is>
      </c>
      <c r="G470" s="11" t="n">
        <v>3</v>
      </c>
      <c r="H470" s="11">
        <f>'Темы × классы'!R372</f>
        <v/>
      </c>
      <c r="I470" s="11">
        <f>'Темы × классы'!S372&amp;""</f>
        <v/>
      </c>
      <c r="J470" s="11" t="inlineStr">
        <is>
          <t>не начат</t>
        </is>
      </c>
      <c r="K470" s="11" t="inlineStr"/>
    </row>
    <row r="471">
      <c r="A471" s="36" t="inlineStr">
        <is>
          <t>Ст-365</t>
        </is>
      </c>
      <c r="B471" s="37" t="inlineStr">
        <is>
          <t>10+</t>
        </is>
      </c>
      <c r="C471" s="11" t="inlineStr">
        <is>
          <t>Грамматика</t>
        </is>
      </c>
      <c r="D471" s="11" t="inlineStr">
        <is>
          <t>Articles (a/an/the/zero)</t>
        </is>
      </c>
      <c r="E471" s="33" t="inlineStr">
        <is>
          <t>Articles: the — известный, упомянутый ранее предмет</t>
        </is>
      </c>
      <c r="F471" s="11" t="inlineStr">
        <is>
          <t>5 кл. · М9 (9a) · новое
8 кл. · М2 (2b) · расш.
10 кл. · М5 (5c) · повт.</t>
        </is>
      </c>
      <c r="G471" s="11" t="n">
        <v>3</v>
      </c>
      <c r="H471" s="11">
        <f>'Темы × классы'!R373</f>
        <v/>
      </c>
      <c r="I471" s="11">
        <f>'Темы × классы'!S373&amp;""</f>
        <v/>
      </c>
      <c r="J471" s="11" t="inlineStr">
        <is>
          <t>не начат</t>
        </is>
      </c>
      <c r="K471" s="11" t="inlineStr"/>
    </row>
    <row r="472">
      <c r="A472" s="36" t="inlineStr">
        <is>
          <t>Ст-366</t>
        </is>
      </c>
      <c r="B472" s="37" t="inlineStr">
        <is>
          <t>10+</t>
        </is>
      </c>
      <c r="C472" s="11" t="inlineStr">
        <is>
          <t>Грамматика</t>
        </is>
      </c>
      <c r="D472" s="11" t="inlineStr">
        <is>
          <t>Articles (a/an/the/zero)</t>
        </is>
      </c>
      <c r="E472" s="33" t="inlineStr">
        <is>
          <t>Articles: нулевой артикль — мн. ч. и неисчисляемые в общем значении</t>
        </is>
      </c>
      <c r="F472" s="11" t="inlineStr">
        <is>
          <t>5 кл. · М9 (9a) · новое
8 кл. · М2 (2b) · повт.
10 кл. · М5 (5c) · повт.</t>
        </is>
      </c>
      <c r="G472" s="11" t="n">
        <v>3</v>
      </c>
      <c r="H472" s="11">
        <f>'Темы × классы'!R374</f>
        <v/>
      </c>
      <c r="I472" s="11">
        <f>'Темы × классы'!S374&amp;""</f>
        <v/>
      </c>
      <c r="J472" s="11" t="inlineStr">
        <is>
          <t>не начат</t>
        </is>
      </c>
      <c r="K472" s="11" t="inlineStr"/>
    </row>
    <row r="473">
      <c r="A473" s="36" t="inlineStr">
        <is>
          <t>Ст-367</t>
        </is>
      </c>
      <c r="B473" s="37" t="inlineStr">
        <is>
          <t>10+</t>
        </is>
      </c>
      <c r="C473" s="11" t="inlineStr">
        <is>
          <t>Грамматика</t>
        </is>
      </c>
      <c r="D473" s="11" t="inlineStr">
        <is>
          <t>Articles (a/an/the/zero)</t>
        </is>
      </c>
      <c r="E473" s="35" t="inlineStr">
        <is>
          <t>Articles: нулевой артикль — при другом определителе (my, this, some, числительное, 's)</t>
        </is>
      </c>
      <c r="F473" s="11" t="inlineStr">
        <is>
          <t>5 кл. · М9 (9a) · новое</t>
        </is>
      </c>
      <c r="G473" s="11" t="n">
        <v>1</v>
      </c>
      <c r="H473" s="11">
        <f>'Темы × классы'!R375</f>
        <v/>
      </c>
      <c r="I473" s="11">
        <f>'Темы × классы'!S375&amp;""</f>
        <v/>
      </c>
      <c r="J473" s="11" t="inlineStr">
        <is>
          <t>не начат</t>
        </is>
      </c>
      <c r="K473" s="11" t="inlineStr"/>
    </row>
    <row r="474">
      <c r="A474" s="36" t="inlineStr">
        <is>
          <t>Ст-368</t>
        </is>
      </c>
      <c r="B474" s="37" t="inlineStr">
        <is>
          <t>10+</t>
        </is>
      </c>
      <c r="C474" s="11" t="inlineStr">
        <is>
          <t>Грамматика</t>
        </is>
      </c>
      <c r="D474" s="11" t="inlineStr">
        <is>
          <t>Articles (a/an/the/zero)</t>
        </is>
      </c>
      <c r="E474" s="35" t="inlineStr">
        <is>
          <t>Articles: a/an = per; деньги, дроби, меры, частота, скорость</t>
        </is>
      </c>
      <c r="F474" s="11" t="inlineStr">
        <is>
          <t>8 кл. · М2 (2b) · новое
10 кл. · М5 (5c) · повт.</t>
        </is>
      </c>
      <c r="G474" s="11" t="n">
        <v>2</v>
      </c>
      <c r="H474" s="11">
        <f>'Темы × классы'!R376</f>
        <v/>
      </c>
      <c r="I474" s="11">
        <f>'Темы × классы'!S376&amp;""</f>
        <v/>
      </c>
      <c r="J474" s="11" t="inlineStr">
        <is>
          <t>не начат</t>
        </is>
      </c>
      <c r="K474" s="11" t="inlineStr"/>
    </row>
    <row r="475">
      <c r="A475" s="36" t="inlineStr">
        <is>
          <t>Ст-369</t>
        </is>
      </c>
      <c r="B475" s="37" t="inlineStr">
        <is>
          <t>10+</t>
        </is>
      </c>
      <c r="C475" s="11" t="inlineStr">
        <is>
          <t>Грамматика</t>
        </is>
      </c>
      <c r="D475" s="11" t="inlineStr">
        <is>
          <t>Articles (a/an/the/zero)</t>
        </is>
      </c>
      <c r="E475" s="35" t="inlineStr">
        <is>
          <t>Articles: a/an с болезнями (a cold, но flu)</t>
        </is>
      </c>
      <c r="F475" s="11" t="inlineStr">
        <is>
          <t>8 кл. · М2 (2b) · новое
10 кл. · М5 (5c) · повт.</t>
        </is>
      </c>
      <c r="G475" s="11" t="n">
        <v>2</v>
      </c>
      <c r="H475" s="11">
        <f>'Темы × классы'!R377</f>
        <v/>
      </c>
      <c r="I475" s="11">
        <f>'Темы × классы'!S377&amp;""</f>
        <v/>
      </c>
      <c r="J475" s="11" t="inlineStr">
        <is>
          <t>не начат</t>
        </is>
      </c>
      <c r="K475" s="11" t="inlineStr"/>
    </row>
    <row r="476">
      <c r="A476" s="36" t="inlineStr">
        <is>
          <t>Ст-370</t>
        </is>
      </c>
      <c r="B476" s="37" t="inlineStr">
        <is>
          <t>10+</t>
        </is>
      </c>
      <c r="C476" s="11" t="inlineStr">
        <is>
          <t>Грамматика</t>
        </is>
      </c>
      <c r="D476" s="11" t="inlineStr">
        <is>
          <t>Articles (a/an/the/zero)</t>
        </is>
      </c>
      <c r="E476" s="35" t="inlineStr">
        <is>
          <t>Articles: a/the + ед. ч. — обобщение группы</t>
        </is>
      </c>
      <c r="F476" s="11" t="inlineStr">
        <is>
          <t>10 кл. · М5 (5c) · новое</t>
        </is>
      </c>
      <c r="G476" s="11" t="n">
        <v>1</v>
      </c>
      <c r="H476" s="11">
        <f>'Темы × классы'!R378</f>
        <v/>
      </c>
      <c r="I476" s="11">
        <f>'Темы × классы'!S378&amp;""</f>
        <v/>
      </c>
      <c r="J476" s="11" t="inlineStr">
        <is>
          <t>не начат</t>
        </is>
      </c>
      <c r="K476" s="11" t="inlineStr"/>
    </row>
    <row r="477">
      <c r="A477" s="36" t="inlineStr">
        <is>
          <t>Ст-371</t>
        </is>
      </c>
      <c r="B477" s="37" t="inlineStr">
        <is>
          <t>10+</t>
        </is>
      </c>
      <c r="C477" s="11" t="inlineStr">
        <is>
          <t>Грамматика</t>
        </is>
      </c>
      <c r="D477" s="11" t="inlineStr">
        <is>
          <t>Articles (a/an/the/zero)</t>
        </is>
      </c>
      <c r="E477" s="33" t="inlineStr">
        <is>
          <t>Articles: the — уникальные объекты, музыкальные инструменты, исторические события</t>
        </is>
      </c>
      <c r="F477" s="11" t="inlineStr">
        <is>
          <t>8 кл. · М2 (2b) · новое
10 кл. · М5 (5c) · повт.</t>
        </is>
      </c>
      <c r="G477" s="11" t="n">
        <v>2</v>
      </c>
      <c r="H477" s="11">
        <f>'Темы × классы'!R379</f>
        <v/>
      </c>
      <c r="I477" s="11">
        <f>'Темы × классы'!S379&amp;""</f>
        <v/>
      </c>
      <c r="J477" s="11" t="inlineStr">
        <is>
          <t>не начат</t>
        </is>
      </c>
      <c r="K477" s="11" t="inlineStr"/>
    </row>
    <row r="478">
      <c r="A478" s="36" t="inlineStr">
        <is>
          <t>Ст-372</t>
        </is>
      </c>
      <c r="B478" s="37" t="inlineStr">
        <is>
          <t>10+</t>
        </is>
      </c>
      <c r="C478" s="11" t="inlineStr">
        <is>
          <t>Грамматика</t>
        </is>
      </c>
      <c r="D478" s="11" t="inlineStr">
        <is>
          <t>Articles (a/an/the/zero)</t>
        </is>
      </c>
      <c r="E478" s="33" t="inlineStr">
        <is>
          <t>Articles: the и нулевой — географические названия</t>
        </is>
      </c>
      <c r="F478" s="11" t="inlineStr">
        <is>
          <t>8 кл. · М2 (2b) · новое
10 кл. · М5 (5c) · повт.</t>
        </is>
      </c>
      <c r="G478" s="11" t="n">
        <v>2</v>
      </c>
      <c r="H478" s="11">
        <f>'Темы × классы'!R380</f>
        <v/>
      </c>
      <c r="I478" s="11">
        <f>'Темы × классы'!S380&amp;""</f>
        <v/>
      </c>
      <c r="J478" s="11" t="inlineStr">
        <is>
          <t>не начат</t>
        </is>
      </c>
      <c r="K478" s="11" t="inlineStr"/>
    </row>
    <row r="479">
      <c r="A479" s="36" t="inlineStr">
        <is>
          <t>Ст-373</t>
        </is>
      </c>
      <c r="B479" s="37" t="inlineStr">
        <is>
          <t>10+</t>
        </is>
      </c>
      <c r="C479" s="11" t="inlineStr">
        <is>
          <t>Грамматика</t>
        </is>
      </c>
      <c r="D479" s="11" t="inlineStr">
        <is>
          <t>Articles (a/an/the/zero)</t>
        </is>
      </c>
      <c r="E479" s="35" t="inlineStr">
        <is>
          <t>Articles: the и нулевой — театры, отели, музеи, газеты; названия с именем (Victoria Station, Harrods)</t>
        </is>
      </c>
      <c r="F479" s="11" t="inlineStr">
        <is>
          <t>8 кл. · М2 (2b) · новое
10 кл. · М5 (5c) · повт.</t>
        </is>
      </c>
      <c r="G479" s="11" t="n">
        <v>2</v>
      </c>
      <c r="H479" s="11">
        <f>'Темы × классы'!R381</f>
        <v/>
      </c>
      <c r="I479" s="11">
        <f>'Темы × классы'!S381&amp;""</f>
        <v/>
      </c>
      <c r="J479" s="11" t="inlineStr">
        <is>
          <t>не начат</t>
        </is>
      </c>
      <c r="K479" s="11" t="inlineStr"/>
    </row>
    <row r="480">
      <c r="A480" s="36" t="inlineStr">
        <is>
          <t>Ст-374</t>
        </is>
      </c>
      <c r="B480" s="37" t="inlineStr">
        <is>
          <t>10+</t>
        </is>
      </c>
      <c r="C480" s="11" t="inlineStr">
        <is>
          <t>Грамматика</t>
        </is>
      </c>
      <c r="D480" s="11" t="inlineStr">
        <is>
          <t>Articles (a/an/the/zero)</t>
        </is>
      </c>
      <c r="E480" s="35" t="inlineStr">
        <is>
          <t>Articles: the — люди: фамилии, титулы, the + прилагательное (the rich)</t>
        </is>
      </c>
      <c r="F480" s="11" t="inlineStr">
        <is>
          <t>8 кл. · М2 (2b) · новое
10 кл. · М5 (5c) · повт.</t>
        </is>
      </c>
      <c r="G480" s="11" t="n">
        <v>2</v>
      </c>
      <c r="H480" s="11">
        <f>'Темы × классы'!R382</f>
        <v/>
      </c>
      <c r="I480" s="11">
        <f>'Темы × классы'!S382&amp;""</f>
        <v/>
      </c>
      <c r="J480" s="11" t="inlineStr">
        <is>
          <t>не начат</t>
        </is>
      </c>
      <c r="K480" s="11" t="inlineStr"/>
    </row>
    <row r="481">
      <c r="A481" s="36" t="inlineStr">
        <is>
          <t>Ст-375</t>
        </is>
      </c>
      <c r="B481" s="37" t="inlineStr">
        <is>
          <t>10+</t>
        </is>
      </c>
      <c r="C481" s="11" t="inlineStr">
        <is>
          <t>Грамматика</t>
        </is>
      </c>
      <c r="D481" s="11" t="inlineStr">
        <is>
          <t>Articles (a/an/the/zero)</t>
        </is>
      </c>
      <c r="E481" s="33" t="inlineStr">
        <is>
          <t>Articles: нулевой артикль — имена, спорт, дни, месяцы, праздники, цвета, напитки, еда, языки</t>
        </is>
      </c>
      <c r="F481" s="11" t="inlineStr">
        <is>
          <t>8 кл. · М2 (2b) · новое
10 кл. · М5 (5c) · повт.</t>
        </is>
      </c>
      <c r="G481" s="11" t="n">
        <v>2</v>
      </c>
      <c r="H481" s="11">
        <f>'Темы × классы'!R383</f>
        <v/>
      </c>
      <c r="I481" s="11">
        <f>'Темы × классы'!S383&amp;""</f>
        <v/>
      </c>
      <c r="J481" s="11" t="inlineStr">
        <is>
          <t>не начат</t>
        </is>
      </c>
      <c r="K481" s="11" t="inlineStr"/>
    </row>
    <row r="482">
      <c r="A482" s="36" t="inlineStr">
        <is>
          <t>Ст-376</t>
        </is>
      </c>
      <c r="B482" s="37" t="inlineStr">
        <is>
          <t>10+</t>
        </is>
      </c>
      <c r="C482" s="11" t="inlineStr">
        <is>
          <t>Грамматика</t>
        </is>
      </c>
      <c r="D482" s="11" t="inlineStr">
        <is>
          <t>Articles (a/an/the/zero)</t>
        </is>
      </c>
      <c r="E482" s="34" t="inlineStr">
        <is>
          <t>Articles: нулевой артикль — school, hospital, church, bed по назначению</t>
        </is>
      </c>
      <c r="F482" s="11" t="inlineStr">
        <is>
          <t>8 кл. · М2 (2b) · новое
10 кл. · М5 (5c) · повт.</t>
        </is>
      </c>
      <c r="G482" s="11" t="n">
        <v>2</v>
      </c>
      <c r="H482" s="11">
        <f>'Темы × классы'!R384</f>
        <v/>
      </c>
      <c r="I482" s="11">
        <f>'Темы × классы'!S384&amp;""</f>
        <v/>
      </c>
      <c r="J482" s="11" t="inlineStr">
        <is>
          <t>не начат</t>
        </is>
      </c>
      <c r="K482" s="11" t="inlineStr"/>
    </row>
    <row r="483">
      <c r="A483" s="36" t="inlineStr">
        <is>
          <t>Ст-377</t>
        </is>
      </c>
      <c r="B483" s="37" t="inlineStr">
        <is>
          <t>10+</t>
        </is>
      </c>
      <c r="C483" s="11" t="inlineStr">
        <is>
          <t>Грамматика</t>
        </is>
      </c>
      <c r="D483" s="11" t="inlineStr">
        <is>
          <t>a few/a little</t>
        </is>
      </c>
      <c r="E483" s="33" t="inlineStr">
        <is>
          <t>a few/a little: a few — с исчисляемыми мн. ч. («несколько»)</t>
        </is>
      </c>
      <c r="F483" s="11" t="inlineStr">
        <is>
          <t>5 кл. · М8 (8b) · новое
6 кл. · М9 (9a) · повт.
7 кл. · М9 · повт.
9 кл. · М8 (8d) · повт.
10 кл. · М5 (5c) · повт.
11 кл. · М8 (8c) · повт.</t>
        </is>
      </c>
      <c r="G483" s="11" t="n">
        <v>6</v>
      </c>
      <c r="H483" s="11">
        <f>'Темы × классы'!R385</f>
        <v/>
      </c>
      <c r="I483" s="11">
        <f>'Темы × классы'!S385&amp;""</f>
        <v/>
      </c>
      <c r="J483" s="11" t="inlineStr">
        <is>
          <t>не начат</t>
        </is>
      </c>
      <c r="K483" s="11" t="inlineStr"/>
    </row>
    <row r="484">
      <c r="A484" s="36" t="inlineStr">
        <is>
          <t>Ст-378</t>
        </is>
      </c>
      <c r="B484" s="37" t="inlineStr">
        <is>
          <t>10+</t>
        </is>
      </c>
      <c r="C484" s="11" t="inlineStr">
        <is>
          <t>Грамматика</t>
        </is>
      </c>
      <c r="D484" s="11" t="inlineStr">
        <is>
          <t>a few/a little</t>
        </is>
      </c>
      <c r="E484" s="33" t="inlineStr">
        <is>
          <t>a few/a little: a little — с неисчисляемыми («немного»)</t>
        </is>
      </c>
      <c r="F484" s="11" t="inlineStr">
        <is>
          <t>5 кл. · М8 (8b) · новое
6 кл. · М9 (9a) · повт.
7 кл. · М9 · повт.
9 кл. · М8 (8d) · повт.
10 кл. · М5 (5c) · повт.
11 кл. · М8 (8c) · повт.</t>
        </is>
      </c>
      <c r="G484" s="11" t="n">
        <v>6</v>
      </c>
      <c r="H484" s="11">
        <f>'Темы × классы'!R386</f>
        <v/>
      </c>
      <c r="I484" s="11">
        <f>'Темы × классы'!S386&amp;""</f>
        <v/>
      </c>
      <c r="J484" s="11" t="inlineStr">
        <is>
          <t>не начат</t>
        </is>
      </c>
      <c r="K484" s="11" t="inlineStr"/>
    </row>
    <row r="485">
      <c r="A485" s="36" t="inlineStr">
        <is>
          <t>Ст-379</t>
        </is>
      </c>
      <c r="B485" s="37" t="inlineStr">
        <is>
          <t>10+</t>
        </is>
      </c>
      <c r="C485" s="11" t="inlineStr">
        <is>
          <t>Грамматика</t>
        </is>
      </c>
      <c r="D485" s="11" t="inlineStr">
        <is>
          <t>a few/a little</t>
        </is>
      </c>
      <c r="E485" s="33" t="inlineStr">
        <is>
          <t>a few/a little: few / little — «мало»</t>
        </is>
      </c>
      <c r="F485" s="11" t="inlineStr">
        <is>
          <t>5 кл. · М8 (8b) · новое
7 кл. · М9 · повт.
9 кл. · М8 (8d) · повт.
10 кл. · М5 (5c) · повт.
11 кл. · М8 (8c) · повт.</t>
        </is>
      </c>
      <c r="G485" s="11" t="n">
        <v>5</v>
      </c>
      <c r="H485" s="11">
        <f>'Темы × классы'!R387</f>
        <v/>
      </c>
      <c r="I485" s="11">
        <f>'Темы × классы'!S387&amp;""</f>
        <v/>
      </c>
      <c r="J485" s="11" t="inlineStr">
        <is>
          <t>не начат</t>
        </is>
      </c>
      <c r="K485" s="11" t="inlineStr"/>
    </row>
    <row r="486">
      <c r="A486" s="36" t="inlineStr">
        <is>
          <t>Ст-380</t>
        </is>
      </c>
      <c r="B486" s="37" t="inlineStr">
        <is>
          <t>10+</t>
        </is>
      </c>
      <c r="C486" s="11" t="inlineStr">
        <is>
          <t>Грамматика</t>
        </is>
      </c>
      <c r="D486" s="11" t="inlineStr">
        <is>
          <t>a few/a little</t>
        </is>
      </c>
      <c r="E486" s="33" t="inlineStr">
        <is>
          <t>a few/a little: a few vs few, a little vs little — «немного, но достаточно» vs «почти нет»</t>
        </is>
      </c>
      <c r="F486" s="11" t="inlineStr">
        <is>
          <t>5 кл. · М8 (8b) · новое
7 кл. · М9 · повт.
9 кл. · М8 (8d) · расш.
10 кл. · М5 (5c) · повт.
11 кл. · М8 (8c) · повт.</t>
        </is>
      </c>
      <c r="G486" s="11" t="n">
        <v>5</v>
      </c>
      <c r="H486" s="11">
        <f>'Темы × классы'!R388</f>
        <v/>
      </c>
      <c r="I486" s="11">
        <f>'Темы × классы'!S388&amp;""</f>
        <v/>
      </c>
      <c r="J486" s="11" t="inlineStr">
        <is>
          <t>не начат</t>
        </is>
      </c>
      <c r="K486" s="11" t="inlineStr"/>
    </row>
    <row r="487">
      <c r="A487" s="36" t="inlineStr">
        <is>
          <t>Ст-381</t>
        </is>
      </c>
      <c r="B487" s="37" t="inlineStr">
        <is>
          <t>10+</t>
        </is>
      </c>
      <c r="C487" s="11" t="inlineStr">
        <is>
          <t>Грамматика</t>
        </is>
      </c>
      <c r="D487" s="11" t="inlineStr">
        <is>
          <t>a few/a little</t>
        </is>
      </c>
      <c r="E487" s="35" t="inlineStr">
        <is>
          <t>a few/a little: very few / very little</t>
        </is>
      </c>
      <c r="F487" s="11" t="inlineStr">
        <is>
          <t>9 кл. · М8 (8d) · новое
10 кл. · М5 (5c) · повт.
11 кл. · М8 (8c) · повт.</t>
        </is>
      </c>
      <c r="G487" s="11" t="n">
        <v>3</v>
      </c>
      <c r="H487" s="11">
        <f>'Темы × классы'!R389</f>
        <v/>
      </c>
      <c r="I487" s="11">
        <f>'Темы × классы'!S389&amp;""</f>
        <v/>
      </c>
      <c r="J487" s="11" t="inlineStr">
        <is>
          <t>не начат</t>
        </is>
      </c>
      <c r="K487" s="11" t="inlineStr"/>
    </row>
    <row r="488">
      <c r="A488" s="36" t="inlineStr">
        <is>
          <t>Ст-382</t>
        </is>
      </c>
      <c r="B488" s="37" t="inlineStr">
        <is>
          <t>10+</t>
        </is>
      </c>
      <c r="C488" s="11" t="inlineStr">
        <is>
          <t>Грамматика</t>
        </is>
      </c>
      <c r="D488" s="11" t="inlineStr">
        <is>
          <t>a few/a little</t>
        </is>
      </c>
      <c r="E488" s="35" t="inlineStr">
        <is>
          <t>a few/a little: a little + прилагательное (a little cold)</t>
        </is>
      </c>
      <c r="F488" s="11" t="inlineStr">
        <is>
          <t>11 кл. · М8 (8c) · новое</t>
        </is>
      </c>
      <c r="G488" s="11" t="n">
        <v>1</v>
      </c>
      <c r="H488" s="11">
        <f>'Темы × классы'!R390</f>
        <v/>
      </c>
      <c r="I488" s="11">
        <f>'Темы × классы'!S390&amp;""</f>
        <v/>
      </c>
      <c r="J488" s="11" t="inlineStr">
        <is>
          <t>не начат</t>
        </is>
      </c>
      <c r="K488" s="11" t="inlineStr"/>
    </row>
    <row r="489">
      <c r="A489" s="36" t="inlineStr">
        <is>
          <t>Ст-383</t>
        </is>
      </c>
      <c r="B489" s="37" t="inlineStr">
        <is>
          <t>10+</t>
        </is>
      </c>
      <c r="C489" s="11" t="inlineStr">
        <is>
          <t>Грамматика</t>
        </is>
      </c>
      <c r="D489" s="11" t="inlineStr">
        <is>
          <t>Partitives (a bottle of…)</t>
        </is>
      </c>
      <c r="E489" s="33" t="inlineStr">
        <is>
          <t>Partitives: a bottle/glass/carton/cup/bowl/packet/slice/loaf/kilo/bar of</t>
        </is>
      </c>
      <c r="F489" s="11" t="inlineStr">
        <is>
          <t>7 кл. · М9 · новое</t>
        </is>
      </c>
      <c r="G489" s="11" t="n">
        <v>1</v>
      </c>
      <c r="H489" s="11">
        <f>'Темы × классы'!R391</f>
        <v/>
      </c>
      <c r="I489" s="11">
        <f>'Темы × классы'!S391&amp;""</f>
        <v/>
      </c>
      <c r="J489" s="11" t="inlineStr">
        <is>
          <t>не начат</t>
        </is>
      </c>
      <c r="K489" s="11" t="inlineStr"/>
    </row>
    <row r="490">
      <c r="A490" s="36" t="inlineStr">
        <is>
          <t>Ст-384</t>
        </is>
      </c>
      <c r="B490" s="37" t="inlineStr">
        <is>
          <t>10+</t>
        </is>
      </c>
      <c r="C490" s="11" t="inlineStr">
        <is>
          <t>Грамматика</t>
        </is>
      </c>
      <c r="D490" s="11" t="inlineStr">
        <is>
          <t>Partitives (a bottle of…)</t>
        </is>
      </c>
      <c r="E490" s="35" t="inlineStr">
        <is>
          <t>Partitives: мн. ч. — two bottles of, two loaves of</t>
        </is>
      </c>
      <c r="F490" s="11" t="inlineStr">
        <is>
          <t>7 кл. · М9 · новое</t>
        </is>
      </c>
      <c r="G490" s="11" t="n">
        <v>1</v>
      </c>
      <c r="H490" s="11">
        <f>'Темы × классы'!R392</f>
        <v/>
      </c>
      <c r="I490" s="11">
        <f>'Темы × классы'!S392&amp;""</f>
        <v/>
      </c>
      <c r="J490" s="11" t="inlineStr">
        <is>
          <t>не начат</t>
        </is>
      </c>
      <c r="K490" s="11" t="inlineStr"/>
    </row>
    <row r="491">
      <c r="A491" s="36" t="inlineStr">
        <is>
          <t>Ст-385</t>
        </is>
      </c>
      <c r="B491" s="37" t="inlineStr">
        <is>
          <t>10+</t>
        </is>
      </c>
      <c r="C491" s="11" t="inlineStr">
        <is>
          <t>Грамматика</t>
        </is>
      </c>
      <c r="D491" s="11" t="inlineStr">
        <is>
          <t>Plurals (only plural / collective nouns)</t>
        </is>
      </c>
      <c r="E491" s="33" t="inlineStr">
        <is>
          <t>Plurals (only plural / collective nouns): только мн. ч. — одежда, приборы, инструменты, people, stairs</t>
        </is>
      </c>
      <c r="F491" s="11" t="inlineStr">
        <is>
          <t>8 кл. · М2 (2d) · новое</t>
        </is>
      </c>
      <c r="G491" s="11" t="n">
        <v>1</v>
      </c>
      <c r="H491" s="11">
        <f>'Темы × классы'!R393</f>
        <v/>
      </c>
      <c r="I491" s="11">
        <f>'Темы × классы'!S393&amp;""</f>
        <v/>
      </c>
      <c r="J491" s="11" t="inlineStr">
        <is>
          <t>не начат</t>
        </is>
      </c>
      <c r="K491" s="11" t="inlineStr"/>
    </row>
    <row r="492">
      <c r="A492" s="36" t="inlineStr">
        <is>
          <t>Ст-386</t>
        </is>
      </c>
      <c r="B492" s="37" t="inlineStr">
        <is>
          <t>10+</t>
        </is>
      </c>
      <c r="C492" s="11" t="inlineStr">
        <is>
          <t>Грамматика</t>
        </is>
      </c>
      <c r="D492" s="11" t="inlineStr">
        <is>
          <t>Plurals (only plural / collective nouns)</t>
        </is>
      </c>
      <c r="E492" s="33" t="inlineStr">
        <is>
          <t>Plurals (only plural / collective nouns): собирательные (team, family, police) — глагол в ед. или мн. ч.</t>
        </is>
      </c>
      <c r="F492" s="11" t="inlineStr">
        <is>
          <t>8 кл. · М2 (2d) · новое</t>
        </is>
      </c>
      <c r="G492" s="11" t="n">
        <v>1</v>
      </c>
      <c r="H492" s="11">
        <f>'Темы × классы'!R394</f>
        <v/>
      </c>
      <c r="I492" s="11">
        <f>'Темы × классы'!S394&amp;""</f>
        <v/>
      </c>
      <c r="J492" s="11" t="inlineStr">
        <is>
          <t>не начат</t>
        </is>
      </c>
      <c r="K492" s="11" t="inlineStr"/>
    </row>
    <row r="493">
      <c r="A493" s="36" t="inlineStr">
        <is>
          <t>Ст-387</t>
        </is>
      </c>
      <c r="B493" s="37" t="inlineStr">
        <is>
          <t>10+</t>
        </is>
      </c>
      <c r="C493" s="11" t="inlineStr">
        <is>
          <t>Грамматика</t>
        </is>
      </c>
      <c r="D493" s="11" t="inlineStr">
        <is>
          <t>Quantifiers</t>
        </is>
      </c>
      <c r="E493" s="33" t="inlineStr">
        <is>
          <t>Quantifiers: a few/few vs a little/little</t>
        </is>
      </c>
      <c r="F493" s="11" t="inlineStr">
        <is>
          <t>8 кл. · М2 (2b) · новое</t>
        </is>
      </c>
      <c r="G493" s="11" t="n">
        <v>1</v>
      </c>
      <c r="H493" s="11">
        <f>'Темы × классы'!R395</f>
        <v/>
      </c>
      <c r="I493" s="11">
        <f>'Темы × классы'!S395&amp;""</f>
        <v/>
      </c>
      <c r="J493" s="11" t="inlineStr">
        <is>
          <t>не начат</t>
        </is>
      </c>
      <c r="K493" s="11" t="inlineStr"/>
    </row>
    <row r="494">
      <c r="A494" s="36" t="inlineStr">
        <is>
          <t>Ст-388</t>
        </is>
      </c>
      <c r="B494" s="37" t="inlineStr">
        <is>
          <t>10+</t>
        </is>
      </c>
      <c r="C494" s="11" t="inlineStr">
        <is>
          <t>Грамматика</t>
        </is>
      </c>
      <c r="D494" s="11" t="inlineStr">
        <is>
          <t>Quantifiers</t>
        </is>
      </c>
      <c r="E494" s="33" t="inlineStr">
        <is>
          <t>Quantifiers: a lot of / lots of</t>
        </is>
      </c>
      <c r="F494" s="11" t="inlineStr">
        <is>
          <t>8 кл. · М2 (2b) · новое</t>
        </is>
      </c>
      <c r="G494" s="11" t="n">
        <v>1</v>
      </c>
      <c r="H494" s="11">
        <f>'Темы × классы'!R396</f>
        <v/>
      </c>
      <c r="I494" s="11">
        <f>'Темы × классы'!S396&amp;""</f>
        <v/>
      </c>
      <c r="J494" s="11" t="inlineStr">
        <is>
          <t>не начат</t>
        </is>
      </c>
      <c r="K494" s="11" t="inlineStr"/>
    </row>
    <row r="495">
      <c r="A495" s="36" t="inlineStr">
        <is>
          <t>Ст-389</t>
        </is>
      </c>
      <c r="B495" s="37" t="inlineStr">
        <is>
          <t>10+</t>
        </is>
      </c>
      <c r="C495" s="11" t="inlineStr">
        <is>
          <t>Грамматика</t>
        </is>
      </c>
      <c r="D495" s="11" t="inlineStr">
        <is>
          <t>Quantifiers</t>
        </is>
      </c>
      <c r="E495" s="33" t="inlineStr">
        <is>
          <t>Quantifiers: much/many — отрицания и вопросы</t>
        </is>
      </c>
      <c r="F495" s="11" t="inlineStr">
        <is>
          <t>8 кл. · М2 (2b) · новое</t>
        </is>
      </c>
      <c r="G495" s="11" t="n">
        <v>1</v>
      </c>
      <c r="H495" s="11">
        <f>'Темы × классы'!R397</f>
        <v/>
      </c>
      <c r="I495" s="11">
        <f>'Темы × классы'!S397&amp;""</f>
        <v/>
      </c>
      <c r="J495" s="11" t="inlineStr">
        <is>
          <t>не начат</t>
        </is>
      </c>
      <c r="K495" s="11" t="inlineStr"/>
    </row>
    <row r="496">
      <c r="A496" s="36" t="inlineStr">
        <is>
          <t>Ст-390</t>
        </is>
      </c>
      <c r="B496" s="37" t="inlineStr">
        <is>
          <t>10+</t>
        </is>
      </c>
      <c r="C496" s="11" t="inlineStr">
        <is>
          <t>Грамматика</t>
        </is>
      </c>
      <c r="D496" s="11" t="inlineStr">
        <is>
          <t>Quantifiers</t>
        </is>
      </c>
      <c r="E496" s="33" t="inlineStr">
        <is>
          <t>Quantifiers: every vs each</t>
        </is>
      </c>
      <c r="F496" s="11" t="inlineStr">
        <is>
          <t>11 кл. · М8 (8c) · новое</t>
        </is>
      </c>
      <c r="G496" s="11" t="n">
        <v>1</v>
      </c>
      <c r="H496" s="11">
        <f>'Темы × классы'!R398</f>
        <v/>
      </c>
      <c r="I496" s="11">
        <f>'Темы × классы'!S398&amp;""</f>
        <v/>
      </c>
      <c r="J496" s="11" t="inlineStr">
        <is>
          <t>не начат</t>
        </is>
      </c>
      <c r="K496" s="11" t="inlineStr"/>
    </row>
    <row r="497">
      <c r="A497" s="36" t="inlineStr">
        <is>
          <t>Ст-391</t>
        </is>
      </c>
      <c r="B497" s="37" t="inlineStr">
        <is>
          <t>10+</t>
        </is>
      </c>
      <c r="C497" s="11" t="inlineStr">
        <is>
          <t>Грамматика</t>
        </is>
      </c>
      <c r="D497" s="11" t="inlineStr">
        <is>
          <t>Quantifiers</t>
        </is>
      </c>
      <c r="E497" s="35" t="inlineStr">
        <is>
          <t>Quantifiers: a couple of, several + исчисляемые мн. ч.</t>
        </is>
      </c>
      <c r="F497" s="11" t="inlineStr">
        <is>
          <t>11 кл. · М8 (8c) · новое</t>
        </is>
      </c>
      <c r="G497" s="11" t="n">
        <v>1</v>
      </c>
      <c r="H497" s="11">
        <f>'Темы × классы'!R399</f>
        <v/>
      </c>
      <c r="I497" s="11">
        <f>'Темы × классы'!S399&amp;""</f>
        <v/>
      </c>
      <c r="J497" s="11" t="inlineStr">
        <is>
          <t>не начат</t>
        </is>
      </c>
      <c r="K497" s="11" t="inlineStr"/>
    </row>
    <row r="498">
      <c r="A498" s="36" t="inlineStr">
        <is>
          <t>Ст-392</t>
        </is>
      </c>
      <c r="B498" s="37" t="inlineStr">
        <is>
          <t>10+</t>
        </is>
      </c>
      <c r="C498" s="11" t="inlineStr">
        <is>
          <t>Грамматика</t>
        </is>
      </c>
      <c r="D498" s="11" t="inlineStr">
        <is>
          <t>Quantifiers</t>
        </is>
      </c>
      <c r="E498" s="35" t="inlineStr">
        <is>
          <t>Quantifiers: a great deal of, plenty of</t>
        </is>
      </c>
      <c r="F498" s="11" t="inlineStr">
        <is>
          <t>11 кл. · М8 (8c) · новое</t>
        </is>
      </c>
      <c r="G498" s="11" t="n">
        <v>1</v>
      </c>
      <c r="H498" s="11">
        <f>'Темы × классы'!R400</f>
        <v/>
      </c>
      <c r="I498" s="11">
        <f>'Темы × классы'!S400&amp;""</f>
        <v/>
      </c>
      <c r="J498" s="11" t="inlineStr">
        <is>
          <t>не начат</t>
        </is>
      </c>
      <c r="K498" s="11" t="inlineStr"/>
    </row>
    <row r="499">
      <c r="A499" s="36" t="inlineStr">
        <is>
          <t>Ст-393</t>
        </is>
      </c>
      <c r="B499" s="37" t="inlineStr">
        <is>
          <t>10+</t>
        </is>
      </c>
      <c r="C499" s="11" t="inlineStr">
        <is>
          <t>Грамматика</t>
        </is>
      </c>
      <c r="D499" s="11" t="inlineStr">
        <is>
          <t>Quantifiers</t>
        </is>
      </c>
      <c r="E499" s="33" t="inlineStr">
        <is>
          <t>Quantifiers: hardly any</t>
        </is>
      </c>
      <c r="F499" s="11" t="inlineStr">
        <is>
          <t>11 кл. · М8 (8c) · новое</t>
        </is>
      </c>
      <c r="G499" s="11" t="n">
        <v>1</v>
      </c>
      <c r="H499" s="11">
        <f>'Темы × классы'!R401</f>
        <v/>
      </c>
      <c r="I499" s="11">
        <f>'Темы × классы'!S401&amp;""</f>
        <v/>
      </c>
      <c r="J499" s="11" t="inlineStr">
        <is>
          <t>не начат</t>
        </is>
      </c>
      <c r="K499" s="11" t="inlineStr"/>
    </row>
    <row r="500">
      <c r="A500" s="36" t="inlineStr">
        <is>
          <t>Ст-394</t>
        </is>
      </c>
      <c r="B500" s="37" t="inlineStr">
        <is>
          <t>10+</t>
        </is>
      </c>
      <c r="C500" s="11" t="inlineStr">
        <is>
          <t>Грамматика</t>
        </is>
      </c>
      <c r="D500" s="11" t="inlineStr">
        <is>
          <t>Demonstratives (this/that/these/those)</t>
        </is>
      </c>
      <c r="E500" s="35" t="inlineStr">
        <is>
          <t>Demonstratives: this — these (ед. и мн. ч.)</t>
        </is>
      </c>
      <c r="F500" s="11" t="inlineStr">
        <is>
          <t>5 кл. · М2 (2b) · повт.</t>
        </is>
      </c>
      <c r="G500" s="11" t="n">
        <v>1</v>
      </c>
      <c r="H500" s="11">
        <f>'Темы × классы'!R402</f>
        <v/>
      </c>
      <c r="I500" s="11">
        <f>'Темы × классы'!S402&amp;""</f>
        <v/>
      </c>
      <c r="J500" s="11" t="inlineStr">
        <is>
          <t>не начат</t>
        </is>
      </c>
      <c r="K500" s="11" t="inlineStr"/>
    </row>
    <row r="501">
      <c r="A501" s="36" t="inlineStr">
        <is>
          <t>Ст-395</t>
        </is>
      </c>
      <c r="B501" s="37" t="inlineStr">
        <is>
          <t>10+</t>
        </is>
      </c>
      <c r="C501" s="11" t="inlineStr">
        <is>
          <t>Грамматика</t>
        </is>
      </c>
      <c r="D501" s="11" t="inlineStr">
        <is>
          <t>Demonstratives (this/that/these/those)</t>
        </is>
      </c>
      <c r="E501" s="35" t="inlineStr">
        <is>
          <t>Demonstratives: that — those (ед. и мн. ч.)</t>
        </is>
      </c>
      <c r="F501" s="11" t="inlineStr">
        <is>
          <t>5 кл. · М2 (2b) · повт.</t>
        </is>
      </c>
      <c r="G501" s="11" t="n">
        <v>1</v>
      </c>
      <c r="H501" s="11">
        <f>'Темы × классы'!R403</f>
        <v/>
      </c>
      <c r="I501" s="11">
        <f>'Темы × классы'!S403&amp;""</f>
        <v/>
      </c>
      <c r="J501" s="11" t="inlineStr">
        <is>
          <t>не начат</t>
        </is>
      </c>
      <c r="K501" s="11" t="inlineStr"/>
    </row>
    <row r="502">
      <c r="A502" s="36" t="inlineStr">
        <is>
          <t>Ст-396</t>
        </is>
      </c>
      <c r="B502" s="37" t="inlineStr">
        <is>
          <t>10+</t>
        </is>
      </c>
      <c r="C502" s="11" t="inlineStr">
        <is>
          <t>Грамматика</t>
        </is>
      </c>
      <c r="D502" s="11" t="inlineStr">
        <is>
          <t>Possessive adjectives</t>
        </is>
      </c>
      <c r="E502" s="34" t="inlineStr">
        <is>
          <t>Possessive adjectives: формы my, your, his, her, its, our, their</t>
        </is>
      </c>
      <c r="F502" s="11" t="inlineStr">
        <is>
          <t>5 кл. · М3 (3b) · повт.
6 кл. · М1 (1a) · повт.</t>
        </is>
      </c>
      <c r="G502" s="11" t="n">
        <v>2</v>
      </c>
      <c r="H502" s="11">
        <f>'Темы × классы'!R405</f>
        <v/>
      </c>
      <c r="I502" s="11">
        <f>'Темы × классы'!S405&amp;""</f>
        <v/>
      </c>
      <c r="J502" s="11" t="inlineStr">
        <is>
          <t>не начат</t>
        </is>
      </c>
      <c r="K502" s="11" t="inlineStr"/>
    </row>
    <row r="503">
      <c r="A503" s="36" t="inlineStr">
        <is>
          <t>Ст-397</t>
        </is>
      </c>
      <c r="B503" s="37" t="inlineStr">
        <is>
          <t>10+</t>
        </is>
      </c>
      <c r="C503" s="11" t="inlineStr">
        <is>
          <t>Грамматика</t>
        </is>
      </c>
      <c r="D503" s="11" t="inlineStr">
        <is>
          <t>Possessive adjectives</t>
        </is>
      </c>
      <c r="E503" s="34" t="inlineStr">
        <is>
          <t>Possessive adjectives: значение — принадлежность и отношения между людьми</t>
        </is>
      </c>
      <c r="F503" s="11" t="inlineStr">
        <is>
          <t>5 кл. · М3 (3b) · повт.
6 кл. · М1 (1a) · повт.</t>
        </is>
      </c>
      <c r="G503" s="11" t="n">
        <v>2</v>
      </c>
      <c r="H503" s="11">
        <f>'Темы × классы'!R406</f>
        <v/>
      </c>
      <c r="I503" s="11">
        <f>'Темы × классы'!S406&amp;""</f>
        <v/>
      </c>
      <c r="J503" s="11" t="inlineStr">
        <is>
          <t>не начат</t>
        </is>
      </c>
      <c r="K503" s="11" t="inlineStr"/>
    </row>
    <row r="504">
      <c r="A504" s="36" t="inlineStr">
        <is>
          <t>Ст-398</t>
        </is>
      </c>
      <c r="B504" s="37" t="inlineStr">
        <is>
          <t>10+</t>
        </is>
      </c>
      <c r="C504" s="11" t="inlineStr">
        <is>
          <t>Грамматика</t>
        </is>
      </c>
      <c r="D504" s="11" t="inlineStr">
        <is>
          <t>Possessive adjectives</t>
        </is>
      </c>
      <c r="E504" s="34" t="inlineStr">
        <is>
          <t>Possessive adjectives: обязательны с частями тела, одеждой, родственниками (vs русский)</t>
        </is>
      </c>
      <c r="F504" s="11" t="inlineStr">
        <is>
          <t>5 кл. · М3 (3b) · новое</t>
        </is>
      </c>
      <c r="G504" s="11" t="n">
        <v>1</v>
      </c>
      <c r="H504" s="11">
        <f>'Темы × классы'!R407</f>
        <v/>
      </c>
      <c r="I504" s="11">
        <f>'Темы × классы'!S407&amp;""</f>
        <v/>
      </c>
      <c r="J504" s="11" t="inlineStr">
        <is>
          <t>не начат</t>
        </is>
      </c>
      <c r="K504" s="11" t="inlineStr"/>
    </row>
    <row r="505">
      <c r="A505" s="36" t="inlineStr">
        <is>
          <t>Ст-399</t>
        </is>
      </c>
      <c r="B505" s="37" t="inlineStr">
        <is>
          <t>10+</t>
        </is>
      </c>
      <c r="C505" s="11" t="inlineStr">
        <is>
          <t>Грамматика</t>
        </is>
      </c>
      <c r="D505" s="11" t="inlineStr">
        <is>
          <t>Object pronouns</t>
        </is>
      </c>
      <c r="E505" s="33" t="inlineStr">
        <is>
          <t>Object pronouns: формы me, you, him, her, it, us, them</t>
        </is>
      </c>
      <c r="F505" s="11" t="inlineStr">
        <is>
          <t>5 кл. · М4 (4a) · новое</t>
        </is>
      </c>
      <c r="G505" s="11" t="n">
        <v>1</v>
      </c>
      <c r="H505" s="11">
        <f>'Темы × классы'!R408</f>
        <v/>
      </c>
      <c r="I505" s="11">
        <f>'Темы × классы'!S408&amp;""</f>
        <v/>
      </c>
      <c r="J505" s="11" t="inlineStr">
        <is>
          <t>не начат</t>
        </is>
      </c>
      <c r="K505" s="11" t="inlineStr"/>
    </row>
    <row r="506">
      <c r="A506" s="36" t="inlineStr">
        <is>
          <t>Ст-400</t>
        </is>
      </c>
      <c r="B506" s="37" t="inlineStr">
        <is>
          <t>10+</t>
        </is>
      </c>
      <c r="C506" s="11" t="inlineStr">
        <is>
          <t>Грамматика</t>
        </is>
      </c>
      <c r="D506" s="11" t="inlineStr">
        <is>
          <t>Object pronouns</t>
        </is>
      </c>
      <c r="E506" s="33" t="inlineStr">
        <is>
          <t>Object pronouns: употребление — дополнение, после предлогов</t>
        </is>
      </c>
      <c r="F506" s="11" t="inlineStr">
        <is>
          <t>5 кл. · М4 (4a) · новое</t>
        </is>
      </c>
      <c r="G506" s="11" t="n">
        <v>1</v>
      </c>
      <c r="H506" s="11">
        <f>'Темы × классы'!R409</f>
        <v/>
      </c>
      <c r="I506" s="11">
        <f>'Темы × классы'!S409&amp;""</f>
        <v/>
      </c>
      <c r="J506" s="11" t="inlineStr">
        <is>
          <t>не начат</t>
        </is>
      </c>
      <c r="K506" s="11" t="inlineStr"/>
    </row>
    <row r="507">
      <c r="A507" s="36" t="inlineStr">
        <is>
          <t>Ст-401</t>
        </is>
      </c>
      <c r="B507" s="37" t="inlineStr">
        <is>
          <t>10+</t>
        </is>
      </c>
      <c r="C507" s="11" t="inlineStr">
        <is>
          <t>Грамматика</t>
        </is>
      </c>
      <c r="D507" s="11" t="inlineStr">
        <is>
          <t>Object pronouns</t>
        </is>
      </c>
      <c r="E507" s="35" t="inlineStr">
        <is>
          <t>Object pronouns: личные vs объектные vs притяжательные — сопоставление</t>
        </is>
      </c>
      <c r="F507" s="11" t="inlineStr">
        <is>
          <t>5 кл. · М4 (4a) · новое</t>
        </is>
      </c>
      <c r="G507" s="11" t="n">
        <v>1</v>
      </c>
      <c r="H507" s="11">
        <f>'Темы × классы'!R410</f>
        <v/>
      </c>
      <c r="I507" s="11">
        <f>'Темы × классы'!S410&amp;""</f>
        <v/>
      </c>
      <c r="J507" s="11" t="inlineStr">
        <is>
          <t>не начат</t>
        </is>
      </c>
      <c r="K507" s="11" t="inlineStr"/>
    </row>
    <row r="508">
      <c r="A508" s="36" t="inlineStr">
        <is>
          <t>Ст-402</t>
        </is>
      </c>
      <c r="B508" s="37" t="inlineStr">
        <is>
          <t>10+</t>
        </is>
      </c>
      <c r="C508" s="11" t="inlineStr">
        <is>
          <t>Грамматика</t>
        </is>
      </c>
      <c r="D508" s="11" t="inlineStr">
        <is>
          <t>Personal pronouns (subject)</t>
        </is>
      </c>
      <c r="E508" s="35" t="inlineStr">
        <is>
          <t>Personal pronouns: формы I, you, he, she, it, we, you, they</t>
        </is>
      </c>
      <c r="F508" s="11" t="inlineStr">
        <is>
          <t>5 кл. · М1 (1b) · новое
6 кл. · М1 · повт.</t>
        </is>
      </c>
      <c r="G508" s="11" t="n">
        <v>2</v>
      </c>
      <c r="H508" s="11">
        <f>'Темы × классы'!R411</f>
        <v/>
      </c>
      <c r="I508" s="11">
        <f>'Темы × классы'!S411&amp;""</f>
        <v/>
      </c>
      <c r="J508" s="11" t="inlineStr">
        <is>
          <t>не начат</t>
        </is>
      </c>
      <c r="K508" s="11" t="inlineStr"/>
    </row>
    <row r="509">
      <c r="A509" s="36" t="inlineStr">
        <is>
          <t>Ст-403</t>
        </is>
      </c>
      <c r="B509" s="37" t="inlineStr">
        <is>
          <t>10+</t>
        </is>
      </c>
      <c r="C509" s="11" t="inlineStr">
        <is>
          <t>Грамматика</t>
        </is>
      </c>
      <c r="D509" s="11" t="inlineStr">
        <is>
          <t>Personal pronouns (subject)</t>
        </is>
      </c>
      <c r="E509" s="35" t="inlineStr">
        <is>
          <t>Personal pronouns: употребление — подлежащее вместо существительного</t>
        </is>
      </c>
      <c r="F509" s="11" t="inlineStr">
        <is>
          <t>5 кл. · М1 (1b) · новое
6 кл. · М1 · повт.</t>
        </is>
      </c>
      <c r="G509" s="11" t="n">
        <v>2</v>
      </c>
      <c r="H509" s="11">
        <f>'Темы × классы'!R412</f>
        <v/>
      </c>
      <c r="I509" s="11">
        <f>'Темы × классы'!S412&amp;""</f>
        <v/>
      </c>
      <c r="J509" s="11" t="inlineStr">
        <is>
          <t>не начат</t>
        </is>
      </c>
      <c r="K509" s="11" t="inlineStr"/>
    </row>
    <row r="510">
      <c r="A510" s="36" t="inlineStr">
        <is>
          <t>Ст-404</t>
        </is>
      </c>
      <c r="B510" s="37" t="inlineStr">
        <is>
          <t>10+</t>
        </is>
      </c>
      <c r="C510" s="11" t="inlineStr">
        <is>
          <t>Грамматика</t>
        </is>
      </c>
      <c r="D510" s="11" t="inlineStr">
        <is>
          <t>Personal pronouns (subject)</t>
        </is>
      </c>
      <c r="E510" s="35" t="inlineStr">
        <is>
          <t>Personal pronouns: he/she vs it vs they — выбор местоимения</t>
        </is>
      </c>
      <c r="F510" s="11" t="inlineStr">
        <is>
          <t>5 кл. · М1 (1b) · новое
6 кл. · М1 · повт.</t>
        </is>
      </c>
      <c r="G510" s="11" t="n">
        <v>2</v>
      </c>
      <c r="H510" s="11">
        <f>'Темы × классы'!R413</f>
        <v/>
      </c>
      <c r="I510" s="11">
        <f>'Темы × классы'!S413&amp;""</f>
        <v/>
      </c>
      <c r="J510" s="11" t="inlineStr">
        <is>
          <t>не начат</t>
        </is>
      </c>
      <c r="K510" s="11" t="inlineStr"/>
    </row>
    <row r="511">
      <c r="A511" s="36" t="inlineStr">
        <is>
          <t>Ст-405</t>
        </is>
      </c>
      <c r="B511" s="37" t="inlineStr">
        <is>
          <t>10+</t>
        </is>
      </c>
      <c r="C511" s="11" t="inlineStr">
        <is>
          <t>Грамматика</t>
        </is>
      </c>
      <c r="D511" s="11" t="inlineStr">
        <is>
          <t>Possessive pronouns</t>
        </is>
      </c>
      <c r="E511" s="33" t="inlineStr">
        <is>
          <t>Possessive pronouns: формы mine, yours, his, hers, its, ours, theirs — без существительного</t>
        </is>
      </c>
      <c r="F511" s="11" t="inlineStr">
        <is>
          <t>6 кл. · М1 (1b) · новое</t>
        </is>
      </c>
      <c r="G511" s="11" t="n">
        <v>1</v>
      </c>
      <c r="H511" s="11">
        <f>'Темы × классы'!R414</f>
        <v/>
      </c>
      <c r="I511" s="11">
        <f>'Темы × классы'!S414&amp;""</f>
        <v/>
      </c>
      <c r="J511" s="11" t="inlineStr">
        <is>
          <t>не начат</t>
        </is>
      </c>
      <c r="K511" s="11" t="inlineStr"/>
    </row>
    <row r="512">
      <c r="A512" s="36" t="inlineStr">
        <is>
          <t>Ст-406</t>
        </is>
      </c>
      <c r="B512" s="37" t="inlineStr">
        <is>
          <t>10+</t>
        </is>
      </c>
      <c r="C512" s="11" t="inlineStr">
        <is>
          <t>Грамматика</t>
        </is>
      </c>
      <c r="D512" s="11" t="inlineStr">
        <is>
          <t>Possessive pronouns</t>
        </is>
      </c>
      <c r="E512" s="33" t="inlineStr">
        <is>
          <t>Possessive pronouns: my vs mine — сопоставление основной и абсолютной формы</t>
        </is>
      </c>
      <c r="F512" s="11" t="inlineStr">
        <is>
          <t>6 кл. · М1 (1b) · новое</t>
        </is>
      </c>
      <c r="G512" s="11" t="n">
        <v>1</v>
      </c>
      <c r="H512" s="11">
        <f>'Темы × классы'!R415</f>
        <v/>
      </c>
      <c r="I512" s="11">
        <f>'Темы × классы'!S415&amp;""</f>
        <v/>
      </c>
      <c r="J512" s="11" t="inlineStr">
        <is>
          <t>не начат</t>
        </is>
      </c>
      <c r="K512" s="11" t="inlineStr"/>
    </row>
    <row r="513">
      <c r="A513" s="36" t="inlineStr">
        <is>
          <t>Ст-407</t>
        </is>
      </c>
      <c r="B513" s="37" t="inlineStr">
        <is>
          <t>10+</t>
        </is>
      </c>
      <c r="C513" s="11" t="inlineStr">
        <is>
          <t>Грамматика</t>
        </is>
      </c>
      <c r="D513" s="11" t="inlineStr">
        <is>
          <t>Reflexive pronouns</t>
        </is>
      </c>
      <c r="E513" s="33" t="inlineStr">
        <is>
          <t>Reflexive pronouns: формы myself … themselves</t>
        </is>
      </c>
      <c r="F513" s="11" t="inlineStr">
        <is>
          <t>7 кл. · М10 · новое
9 кл. · М6 (6d) · повт.
11 кл. · М4 · повт.</t>
        </is>
      </c>
      <c r="G513" s="11" t="n">
        <v>3</v>
      </c>
      <c r="H513" s="11">
        <f>'Темы × классы'!R416</f>
        <v/>
      </c>
      <c r="I513" s="11">
        <f>'Темы × классы'!S416&amp;""</f>
        <v/>
      </c>
      <c r="J513" s="11" t="inlineStr">
        <is>
          <t>не начат</t>
        </is>
      </c>
      <c r="K513" s="11" t="inlineStr"/>
    </row>
    <row r="514">
      <c r="A514" s="36" t="inlineStr">
        <is>
          <t>Ст-408</t>
        </is>
      </c>
      <c r="B514" s="37" t="inlineStr">
        <is>
          <t>10+</t>
        </is>
      </c>
      <c r="C514" s="11" t="inlineStr">
        <is>
          <t>Грамматика</t>
        </is>
      </c>
      <c r="D514" s="11" t="inlineStr">
        <is>
          <t>Reflexive pronouns</t>
        </is>
      </c>
      <c r="E514" s="33" t="inlineStr">
        <is>
          <t>Reflexive pronouns: подлежащее = дополнение (cut himself)</t>
        </is>
      </c>
      <c r="F514" s="11" t="inlineStr">
        <is>
          <t>7 кл. · М10 · новое
9 кл. · М6 (6d) · расш.
11 кл. · М4 · повт.</t>
        </is>
      </c>
      <c r="G514" s="11" t="n">
        <v>3</v>
      </c>
      <c r="H514" s="11">
        <f>'Темы × классы'!R417</f>
        <v/>
      </c>
      <c r="I514" s="11">
        <f>'Темы × классы'!S417&amp;""</f>
        <v/>
      </c>
      <c r="J514" s="11" t="inlineStr">
        <is>
          <t>не начат</t>
        </is>
      </c>
      <c r="K514" s="11" t="inlineStr"/>
    </row>
    <row r="515">
      <c r="A515" s="36" t="inlineStr">
        <is>
          <t>Ст-409</t>
        </is>
      </c>
      <c r="B515" s="37" t="inlineStr">
        <is>
          <t>10+</t>
        </is>
      </c>
      <c r="C515" s="11" t="inlineStr">
        <is>
          <t>Грамматика</t>
        </is>
      </c>
      <c r="D515" s="11" t="inlineStr">
        <is>
          <t>Reflexive pronouns</t>
        </is>
      </c>
      <c r="E515" s="35" t="inlineStr">
        <is>
          <t>Reflexive pronouns: эмфатическое — «сам» (She will cut the cake herself)</t>
        </is>
      </c>
      <c r="F515" s="11" t="inlineStr">
        <is>
          <t>7 кл. · М10 · новое
9 кл. · М6 (6d) · повт.</t>
        </is>
      </c>
      <c r="G515" s="11" t="n">
        <v>2</v>
      </c>
      <c r="H515" s="11">
        <f>'Темы × классы'!R418</f>
        <v/>
      </c>
      <c r="I515" s="11">
        <f>'Темы × классы'!S418&amp;""</f>
        <v/>
      </c>
      <c r="J515" s="11" t="inlineStr">
        <is>
          <t>не начат</t>
        </is>
      </c>
      <c r="K515" s="11" t="inlineStr"/>
    </row>
    <row r="516">
      <c r="A516" s="36" t="inlineStr">
        <is>
          <t>Ст-410</t>
        </is>
      </c>
      <c r="B516" s="37" t="inlineStr">
        <is>
          <t>10+</t>
        </is>
      </c>
      <c r="C516" s="11" t="inlineStr">
        <is>
          <t>Грамматика</t>
        </is>
      </c>
      <c r="D516" s="11" t="inlineStr">
        <is>
          <t>Reflexive pronouns</t>
        </is>
      </c>
      <c r="E516" s="33" t="inlineStr">
        <is>
          <t>Reflexive pronouns: by myself — «сам, в одиночку»</t>
        </is>
      </c>
      <c r="F516" s="11" t="inlineStr">
        <is>
          <t>7 кл. · М10 · новое
9 кл. · М6 (6d) · повт.
11 кл. · М4 · повт.</t>
        </is>
      </c>
      <c r="G516" s="11" t="n">
        <v>3</v>
      </c>
      <c r="H516" s="11">
        <f>'Темы × классы'!R419</f>
        <v/>
      </c>
      <c r="I516" s="11">
        <f>'Темы × классы'!S419&amp;""</f>
        <v/>
      </c>
      <c r="J516" s="11" t="inlineStr">
        <is>
          <t>не начат</t>
        </is>
      </c>
      <c r="K516" s="11" t="inlineStr"/>
    </row>
    <row r="517">
      <c r="A517" s="36" t="inlineStr">
        <is>
          <t>Ст-411</t>
        </is>
      </c>
      <c r="B517" s="37" t="inlineStr">
        <is>
          <t>10+</t>
        </is>
      </c>
      <c r="C517" s="11" t="inlineStr">
        <is>
          <t>Грамматика</t>
        </is>
      </c>
      <c r="D517" s="11" t="inlineStr">
        <is>
          <t>Reflexive pronouns</t>
        </is>
      </c>
      <c r="E517" s="35" t="inlineStr">
        <is>
          <t>Reflexive pronouns: глаголы без возвратного местоимения (wash, dress, meet)</t>
        </is>
      </c>
      <c r="F517" s="11" t="inlineStr">
        <is>
          <t>7 кл. · М10 · новое
9 кл. · М6 (6d) · расш.
11 кл. · М4 · расш.</t>
        </is>
      </c>
      <c r="G517" s="11" t="n">
        <v>3</v>
      </c>
      <c r="H517" s="11">
        <f>'Темы × классы'!R420</f>
        <v/>
      </c>
      <c r="I517" s="11">
        <f>'Темы × классы'!S420&amp;""</f>
        <v/>
      </c>
      <c r="J517" s="11" t="inlineStr">
        <is>
          <t>не начат</t>
        </is>
      </c>
      <c r="K517" s="11" t="inlineStr"/>
    </row>
    <row r="518">
      <c r="A518" s="36" t="inlineStr">
        <is>
          <t>Ст-412</t>
        </is>
      </c>
      <c r="B518" s="37" t="inlineStr">
        <is>
          <t>10+</t>
        </is>
      </c>
      <c r="C518" s="11" t="inlineStr">
        <is>
          <t>Грамматика</t>
        </is>
      </c>
      <c r="D518" s="11" t="inlineStr">
        <is>
          <t>Reflexive pronouns</t>
        </is>
      </c>
      <c r="E518" s="35" t="inlineStr">
        <is>
          <t>Reflexive pronouns: после be, feel, look, seem</t>
        </is>
      </c>
      <c r="F518" s="11" t="inlineStr">
        <is>
          <t>9 кл. · М6 (6d) · новое
11 кл. · М4 · повт.</t>
        </is>
      </c>
      <c r="G518" s="11" t="n">
        <v>2</v>
      </c>
      <c r="H518" s="11">
        <f>'Темы × классы'!R421</f>
        <v/>
      </c>
      <c r="I518" s="11">
        <f>'Темы × классы'!S421&amp;""</f>
        <v/>
      </c>
      <c r="J518" s="11" t="inlineStr">
        <is>
          <t>не начат</t>
        </is>
      </c>
      <c r="K518" s="11" t="inlineStr"/>
    </row>
    <row r="519">
      <c r="A519" s="36" t="inlineStr">
        <is>
          <t>Ст-413</t>
        </is>
      </c>
      <c r="B519" s="37" t="inlineStr">
        <is>
          <t>10+</t>
        </is>
      </c>
      <c r="C519" s="11" t="inlineStr">
        <is>
          <t>Грамматика</t>
        </is>
      </c>
      <c r="D519" s="11" t="inlineStr">
        <is>
          <t>Reflexive pronouns</t>
        </is>
      </c>
      <c r="E519" s="35" t="inlineStr">
        <is>
          <t>Reflexive pronouns: после предлогов (но не предлогов места)</t>
        </is>
      </c>
      <c r="F519" s="11" t="inlineStr">
        <is>
          <t>9 кл. · М6 (6d) · новое
11 кл. · М4 · повт.</t>
        </is>
      </c>
      <c r="G519" s="11" t="n">
        <v>2</v>
      </c>
      <c r="H519" s="11">
        <f>'Темы × классы'!R422</f>
        <v/>
      </c>
      <c r="I519" s="11">
        <f>'Темы × классы'!S422&amp;""</f>
        <v/>
      </c>
      <c r="J519" s="11" t="inlineStr">
        <is>
          <t>не начат</t>
        </is>
      </c>
      <c r="K519" s="11" t="inlineStr"/>
    </row>
    <row r="520">
      <c r="A520" s="36" t="inlineStr">
        <is>
          <t>Ст-414</t>
        </is>
      </c>
      <c r="B520" s="37" t="inlineStr">
        <is>
          <t>10+</t>
        </is>
      </c>
      <c r="C520" s="11" t="inlineStr">
        <is>
          <t>Грамматика</t>
        </is>
      </c>
      <c r="D520" s="11" t="inlineStr">
        <is>
          <t>Reflexive pronouns</t>
        </is>
      </c>
      <c r="E520" s="35" t="inlineStr">
        <is>
          <t>Reflexive pronouns: устойчивые выражения (Enjoy yourself!, Help yourself, Make yourself at home)</t>
        </is>
      </c>
      <c r="F520" s="11" t="inlineStr">
        <is>
          <t>9 кл. · М6 (6d) · новое
11 кл. · М4 · повт.</t>
        </is>
      </c>
      <c r="G520" s="11" t="n">
        <v>2</v>
      </c>
      <c r="H520" s="11">
        <f>'Темы × классы'!R423</f>
        <v/>
      </c>
      <c r="I520" s="11">
        <f>'Темы × классы'!S423&amp;""</f>
        <v/>
      </c>
      <c r="J520" s="11" t="inlineStr">
        <is>
          <t>не начат</t>
        </is>
      </c>
      <c r="K520" s="11" t="inlineStr"/>
    </row>
    <row r="521">
      <c r="A521" s="36" t="inlineStr">
        <is>
          <t>Ст-415</t>
        </is>
      </c>
      <c r="B521" s="37" t="inlineStr">
        <is>
          <t>10+</t>
        </is>
      </c>
      <c r="C521" s="11" t="inlineStr">
        <is>
          <t>Грамматика</t>
        </is>
      </c>
      <c r="D521" s="11" t="inlineStr">
        <is>
          <t>Determiners (every/each)</t>
        </is>
      </c>
      <c r="E521" s="33" t="inlineStr">
        <is>
          <t>Determiners (every/each): every + ед. ч. — вся группа (= all)</t>
        </is>
      </c>
      <c r="F521" s="11" t="inlineStr">
        <is>
          <t>9 кл. · М8 (8d) · новое
10 кл. · М5 (5c) · повт.</t>
        </is>
      </c>
      <c r="G521" s="11" t="n">
        <v>2</v>
      </c>
      <c r="H521" s="11">
        <f>'Темы × классы'!R424</f>
        <v/>
      </c>
      <c r="I521" s="11">
        <f>'Темы × классы'!S424&amp;""</f>
        <v/>
      </c>
      <c r="J521" s="11" t="inlineStr">
        <is>
          <t>не начат</t>
        </is>
      </c>
      <c r="K521" s="11" t="inlineStr"/>
    </row>
    <row r="522">
      <c r="A522" s="36" t="inlineStr">
        <is>
          <t>Ст-416</t>
        </is>
      </c>
      <c r="B522" s="37" t="inlineStr">
        <is>
          <t>10+</t>
        </is>
      </c>
      <c r="C522" s="11" t="inlineStr">
        <is>
          <t>Грамматика</t>
        </is>
      </c>
      <c r="D522" s="11" t="inlineStr">
        <is>
          <t>Determiners (every/each)</t>
        </is>
      </c>
      <c r="E522" s="33" t="inlineStr">
        <is>
          <t>Determiners (every/each): each + ед. ч. — каждый в отдельности</t>
        </is>
      </c>
      <c r="F522" s="11" t="inlineStr">
        <is>
          <t>9 кл. · М8 (8d) · новое
10 кл. · М5 (5c) · повт.</t>
        </is>
      </c>
      <c r="G522" s="11" t="n">
        <v>2</v>
      </c>
      <c r="H522" s="11">
        <f>'Темы × классы'!R425</f>
        <v/>
      </c>
      <c r="I522" s="11">
        <f>'Темы × классы'!S425&amp;""</f>
        <v/>
      </c>
      <c r="J522" s="11" t="inlineStr">
        <is>
          <t>не начат</t>
        </is>
      </c>
      <c r="K522" s="11" t="inlineStr"/>
    </row>
    <row r="523">
      <c r="A523" s="36" t="inlineStr">
        <is>
          <t>Ст-417</t>
        </is>
      </c>
      <c r="B523" s="37" t="inlineStr">
        <is>
          <t>10+</t>
        </is>
      </c>
      <c r="C523" s="11" t="inlineStr">
        <is>
          <t>Грамматика</t>
        </is>
      </c>
      <c r="D523" s="11" t="inlineStr">
        <is>
          <t>Determiners (every/each)</t>
        </is>
      </c>
      <c r="E523" s="35" t="inlineStr">
        <is>
          <t>Determiners (every/each): every vs each — о двух vs о трёх и более</t>
        </is>
      </c>
      <c r="F523" s="11" t="inlineStr">
        <is>
          <t>9 кл. · М8 (8d) · новое
10 кл. · М5 (5c) · повт.</t>
        </is>
      </c>
      <c r="G523" s="11" t="n">
        <v>2</v>
      </c>
      <c r="H523" s="11">
        <f>'Темы × классы'!R426</f>
        <v/>
      </c>
      <c r="I523" s="11">
        <f>'Темы × классы'!S426&amp;""</f>
        <v/>
      </c>
      <c r="J523" s="11" t="inlineStr">
        <is>
          <t>не начат</t>
        </is>
      </c>
      <c r="K523" s="11" t="inlineStr"/>
    </row>
    <row r="524">
      <c r="A524" s="36" t="inlineStr">
        <is>
          <t>Ст-418</t>
        </is>
      </c>
      <c r="B524" s="37" t="inlineStr">
        <is>
          <t>10+</t>
        </is>
      </c>
      <c r="C524" s="11" t="inlineStr">
        <is>
          <t>Грамматика</t>
        </is>
      </c>
      <c r="D524" s="11" t="inlineStr">
        <is>
          <t>Determiners (every/each)</t>
        </is>
      </c>
      <c r="E524" s="35" t="inlineStr">
        <is>
          <t>Determiners (every/each): each (one) of / every one of</t>
        </is>
      </c>
      <c r="F524" s="11" t="inlineStr">
        <is>
          <t>9 кл. · М8 (8d) · новое
10 кл. · М5 (5c) · повт.</t>
        </is>
      </c>
      <c r="G524" s="11" t="n">
        <v>2</v>
      </c>
      <c r="H524" s="11">
        <f>'Темы × классы'!R427</f>
        <v/>
      </c>
      <c r="I524" s="11">
        <f>'Темы × классы'!S427&amp;""</f>
        <v/>
      </c>
      <c r="J524" s="11" t="inlineStr">
        <is>
          <t>не начат</t>
        </is>
      </c>
      <c r="K524" s="11" t="inlineStr"/>
    </row>
    <row r="525">
      <c r="A525" s="36" t="inlineStr">
        <is>
          <t>Ст-419</t>
        </is>
      </c>
      <c r="B525" s="37" t="inlineStr">
        <is>
          <t>10+</t>
        </is>
      </c>
      <c r="C525" s="11" t="inlineStr">
        <is>
          <t>Грамматика</t>
        </is>
      </c>
      <c r="D525" s="11" t="inlineStr">
        <is>
          <t>Indefinite pronouns (some-/any-/no-/every-)</t>
        </is>
      </c>
      <c r="E525" s="35" t="inlineStr">
        <is>
          <t>Indefinite pronouns: some/any/no + неисчисляемые и мн. ч.</t>
        </is>
      </c>
      <c r="F525" s="11" t="inlineStr">
        <is>
          <t>9 кл. · М8 (8d) · новое
10 кл. · М5 (5c) · повт.
11 кл. · М8 (8c) · повт.</t>
        </is>
      </c>
      <c r="G525" s="11" t="n">
        <v>3</v>
      </c>
      <c r="H525" s="11">
        <f>'Темы × классы'!R428</f>
        <v/>
      </c>
      <c r="I525" s="11">
        <f>'Темы × классы'!S428&amp;""</f>
        <v/>
      </c>
      <c r="J525" s="11" t="inlineStr">
        <is>
          <t>не начат</t>
        </is>
      </c>
      <c r="K525" s="11" t="inlineStr"/>
    </row>
    <row r="526">
      <c r="A526" s="36" t="inlineStr">
        <is>
          <t>Ст-420</t>
        </is>
      </c>
      <c r="B526" s="37" t="inlineStr">
        <is>
          <t>10+</t>
        </is>
      </c>
      <c r="C526" s="11" t="inlineStr">
        <is>
          <t>Грамматика</t>
        </is>
      </c>
      <c r="D526" s="11" t="inlineStr">
        <is>
          <t>Indefinite pronouns (some-/any-/no-/every-)</t>
        </is>
      </c>
      <c r="E526" s="33" t="inlineStr">
        <is>
          <t>Indefinite pronouns: производные — люди, вещи, места (somebody, anything, nowhere)</t>
        </is>
      </c>
      <c r="F526" s="11" t="inlineStr">
        <is>
          <t>9 кл. · М8 (8d) · новое
10 кл. · М5 (5c) · повт.
11 кл. · М8 (8c) · повт.</t>
        </is>
      </c>
      <c r="G526" s="11" t="n">
        <v>3</v>
      </c>
      <c r="H526" s="11">
        <f>'Темы × классы'!R429</f>
        <v/>
      </c>
      <c r="I526" s="11">
        <f>'Темы × классы'!S429&amp;""</f>
        <v/>
      </c>
      <c r="J526" s="11" t="inlineStr">
        <is>
          <t>не начат</t>
        </is>
      </c>
      <c r="K526" s="11" t="inlineStr"/>
    </row>
    <row r="527">
      <c r="A527" s="36" t="inlineStr">
        <is>
          <t>Ст-421</t>
        </is>
      </c>
      <c r="B527" s="37" t="inlineStr">
        <is>
          <t>10+</t>
        </is>
      </c>
      <c r="C527" s="11" t="inlineStr">
        <is>
          <t>Грамматика</t>
        </is>
      </c>
      <c r="D527" s="11" t="inlineStr">
        <is>
          <t>Indefinite pronouns (some-/any-/no-/every-)</t>
        </is>
      </c>
      <c r="E527" s="33" t="inlineStr">
        <is>
          <t>Indefinite pronouns: some- — в утверждениях</t>
        </is>
      </c>
      <c r="F527" s="11" t="inlineStr">
        <is>
          <t>9 кл. · М8 (8d) · новое
10 кл. · М5 (5c) · повт.
11 кл. · М8 (8c) · повт.</t>
        </is>
      </c>
      <c r="G527" s="11" t="n">
        <v>3</v>
      </c>
      <c r="H527" s="11">
        <f>'Темы × классы'!R430</f>
        <v/>
      </c>
      <c r="I527" s="11">
        <f>'Темы × классы'!S430&amp;""</f>
        <v/>
      </c>
      <c r="J527" s="11" t="inlineStr">
        <is>
          <t>не начат</t>
        </is>
      </c>
      <c r="K527" s="11" t="inlineStr"/>
    </row>
    <row r="528">
      <c r="A528" s="36" t="inlineStr">
        <is>
          <t>Ст-422</t>
        </is>
      </c>
      <c r="B528" s="37" t="inlineStr">
        <is>
          <t>10+</t>
        </is>
      </c>
      <c r="C528" s="11" t="inlineStr">
        <is>
          <t>Грамматика</t>
        </is>
      </c>
      <c r="D528" s="11" t="inlineStr">
        <is>
          <t>Indefinite pronouns (some-/any-/no-/every-)</t>
        </is>
      </c>
      <c r="E528" s="35" t="inlineStr">
        <is>
          <t>Indefinite pronouns: some- в вопросах — предложения и просьбы</t>
        </is>
      </c>
      <c r="F528" s="11" t="inlineStr">
        <is>
          <t>9 кл. · М8 (8d) · новое
10 кл. · М5 (5c) · повт.
11 кл. · М8 (8c) · расш.</t>
        </is>
      </c>
      <c r="G528" s="11" t="n">
        <v>3</v>
      </c>
      <c r="H528" s="11">
        <f>'Темы × классы'!R431</f>
        <v/>
      </c>
      <c r="I528" s="11">
        <f>'Темы × классы'!S431&amp;""</f>
        <v/>
      </c>
      <c r="J528" s="11" t="inlineStr">
        <is>
          <t>не начат</t>
        </is>
      </c>
      <c r="K528" s="11" t="inlineStr"/>
    </row>
    <row r="529">
      <c r="A529" s="36" t="inlineStr">
        <is>
          <t>Ст-423</t>
        </is>
      </c>
      <c r="B529" s="37" t="inlineStr">
        <is>
          <t>10+</t>
        </is>
      </c>
      <c r="C529" s="11" t="inlineStr">
        <is>
          <t>Грамматика</t>
        </is>
      </c>
      <c r="D529" s="11" t="inlineStr">
        <is>
          <t>Indefinite pronouns (some-/any-/no-/every-)</t>
        </is>
      </c>
      <c r="E529" s="33" t="inlineStr">
        <is>
          <t>Indefinite pronouns: any- — в вопросах</t>
        </is>
      </c>
      <c r="F529" s="11" t="inlineStr">
        <is>
          <t>9 кл. · М8 (8d) · новое
10 кл. · М5 (5c) · повт.
11 кл. · М8 (8c) · повт.</t>
        </is>
      </c>
      <c r="G529" s="11" t="n">
        <v>3</v>
      </c>
      <c r="H529" s="11">
        <f>'Темы × классы'!R432</f>
        <v/>
      </c>
      <c r="I529" s="11">
        <f>'Темы × классы'!S432&amp;""</f>
        <v/>
      </c>
      <c r="J529" s="11" t="inlineStr">
        <is>
          <t>не начат</t>
        </is>
      </c>
      <c r="K529" s="11" t="inlineStr"/>
    </row>
    <row r="530">
      <c r="A530" s="36" t="inlineStr">
        <is>
          <t>Ст-424</t>
        </is>
      </c>
      <c r="B530" s="37" t="inlineStr">
        <is>
          <t>10+</t>
        </is>
      </c>
      <c r="C530" s="11" t="inlineStr">
        <is>
          <t>Грамматика</t>
        </is>
      </c>
      <c r="D530" s="11" t="inlineStr">
        <is>
          <t>Indefinite pronouns (some-/any-/no-/every-)</t>
        </is>
      </c>
      <c r="E530" s="33" t="inlineStr">
        <is>
          <t>Indefinite pronouns: not any- в отрицаниях; any после without, never, rarely</t>
        </is>
      </c>
      <c r="F530" s="11" t="inlineStr">
        <is>
          <t>9 кл. · М8 (8d) · новое
10 кл. · М5 (5c) · повт.
11 кл. · М8 (8c) · повт.</t>
        </is>
      </c>
      <c r="G530" s="11" t="n">
        <v>3</v>
      </c>
      <c r="H530" s="11">
        <f>'Темы × классы'!R433</f>
        <v/>
      </c>
      <c r="I530" s="11">
        <f>'Темы × классы'!S433&amp;""</f>
        <v/>
      </c>
      <c r="J530" s="11" t="inlineStr">
        <is>
          <t>не начат</t>
        </is>
      </c>
      <c r="K530" s="11" t="inlineStr"/>
    </row>
    <row r="531">
      <c r="A531" s="36" t="inlineStr">
        <is>
          <t>Ст-425</t>
        </is>
      </c>
      <c r="B531" s="37" t="inlineStr">
        <is>
          <t>10+</t>
        </is>
      </c>
      <c r="C531" s="11" t="inlineStr">
        <is>
          <t>Грамматика</t>
        </is>
      </c>
      <c r="D531" s="11" t="inlineStr">
        <is>
          <t>Indefinite pronouns (some-/any-/no-/every-)</t>
        </is>
      </c>
      <c r="E531" s="35" t="inlineStr">
        <is>
          <t>Indefinite pronouns: any в утверждении = «любой, неважно кто/что»</t>
        </is>
      </c>
      <c r="F531" s="11" t="inlineStr">
        <is>
          <t>9 кл. · М8 (8d) · новое
10 кл. · М5 (5c) · повт.
11 кл. · М8 (8c) · повт.</t>
        </is>
      </c>
      <c r="G531" s="11" t="n">
        <v>3</v>
      </c>
      <c r="H531" s="11">
        <f>'Темы × классы'!R434</f>
        <v/>
      </c>
      <c r="I531" s="11">
        <f>'Темы × классы'!S434&amp;""</f>
        <v/>
      </c>
      <c r="J531" s="11" t="inlineStr">
        <is>
          <t>не начат</t>
        </is>
      </c>
      <c r="K531" s="11" t="inlineStr"/>
    </row>
    <row r="532">
      <c r="A532" s="36" t="inlineStr">
        <is>
          <t>Ст-426</t>
        </is>
      </c>
      <c r="B532" s="37" t="inlineStr">
        <is>
          <t>10+</t>
        </is>
      </c>
      <c r="C532" s="11" t="inlineStr">
        <is>
          <t>Грамматика</t>
        </is>
      </c>
      <c r="D532" s="11" t="inlineStr">
        <is>
          <t>Indefinite pronouns (some-/any-/no-/every-)</t>
        </is>
      </c>
      <c r="E532" s="33" t="inlineStr">
        <is>
          <t>Indefinite pronouns: no- вместо not any (глагол утвердительный)</t>
        </is>
      </c>
      <c r="F532" s="11" t="inlineStr">
        <is>
          <t>9 кл. · М8 (8d) · новое
10 кл. · М5 (5c) · расш.
11 кл. · М8 (8c) · повт.</t>
        </is>
      </c>
      <c r="G532" s="11" t="n">
        <v>3</v>
      </c>
      <c r="H532" s="11">
        <f>'Темы × классы'!R435</f>
        <v/>
      </c>
      <c r="I532" s="11">
        <f>'Темы × классы'!S435&amp;""</f>
        <v/>
      </c>
      <c r="J532" s="11" t="inlineStr">
        <is>
          <t>не начат</t>
        </is>
      </c>
      <c r="K532" s="11" t="inlineStr"/>
    </row>
    <row r="533">
      <c r="A533" s="36" t="inlineStr">
        <is>
          <t>Ст-427</t>
        </is>
      </c>
      <c r="B533" s="37" t="inlineStr">
        <is>
          <t>10+</t>
        </is>
      </c>
      <c r="C533" s="11" t="inlineStr">
        <is>
          <t>Грамматика</t>
        </is>
      </c>
      <c r="D533" s="11" t="inlineStr">
        <is>
          <t>Indefinite pronouns (some-/any-/no-/every-)</t>
        </is>
      </c>
      <c r="E533" s="33" t="inlineStr">
        <is>
          <t>Indefinite pronouns: hardly any</t>
        </is>
      </c>
      <c r="F533" s="11" t="inlineStr">
        <is>
          <t>9 кл. · М8 (8d) · новое
11 кл. · М8 (8c) · повт.</t>
        </is>
      </c>
      <c r="G533" s="11" t="n">
        <v>2</v>
      </c>
      <c r="H533" s="11">
        <f>'Темы × классы'!R436</f>
        <v/>
      </c>
      <c r="I533" s="11">
        <f>'Темы × классы'!S436&amp;""</f>
        <v/>
      </c>
      <c r="J533" s="11" t="inlineStr">
        <is>
          <t>не начат</t>
        </is>
      </c>
      <c r="K533" s="11" t="inlineStr"/>
    </row>
    <row r="534">
      <c r="A534" s="36" t="inlineStr">
        <is>
          <t>Ст-428</t>
        </is>
      </c>
      <c r="B534" s="37" t="inlineStr">
        <is>
          <t>10+</t>
        </is>
      </c>
      <c r="C534" s="11" t="inlineStr">
        <is>
          <t>Грамматика</t>
        </is>
      </c>
      <c r="D534" s="11" t="inlineStr">
        <is>
          <t>Indefinite pronouns (some-/any-/no-/every-)</t>
        </is>
      </c>
      <c r="E534" s="35" t="inlineStr">
        <is>
          <t>Indefinite pronouns: every + ед. ч.; everybody, everything, everywhere</t>
        </is>
      </c>
      <c r="F534" s="11" t="inlineStr">
        <is>
          <t>9 кл. · М8 (8d) · новое
11 кл. · М8 (8c) · повт.</t>
        </is>
      </c>
      <c r="G534" s="11" t="n">
        <v>2</v>
      </c>
      <c r="H534" s="11">
        <f>'Темы × классы'!R437</f>
        <v/>
      </c>
      <c r="I534" s="11">
        <f>'Темы × классы'!S437&amp;""</f>
        <v/>
      </c>
      <c r="J534" s="11" t="inlineStr">
        <is>
          <t>не начат</t>
        </is>
      </c>
      <c r="K534" s="11" t="inlineStr"/>
    </row>
    <row r="535">
      <c r="A535" s="36" t="inlineStr">
        <is>
          <t>Ст-429</t>
        </is>
      </c>
      <c r="B535" s="37" t="inlineStr">
        <is>
          <t>10+</t>
        </is>
      </c>
      <c r="C535" s="11" t="inlineStr">
        <is>
          <t>Грамматика</t>
        </is>
      </c>
      <c r="D535" s="11" t="inlineStr">
        <is>
          <t>Indefinite pronouns (some-/any-/no-/every-)</t>
        </is>
      </c>
      <c r="E535" s="35" t="inlineStr">
        <is>
          <t>Indefinite pronouns: глагол после производных — в ед. ч.</t>
        </is>
      </c>
      <c r="F535" s="11" t="inlineStr">
        <is>
          <t>9 кл. · М8 (8d) · новое
10 кл. · М5 (5c) · повт.
11 кл. · М8 (8c) · повт.</t>
        </is>
      </c>
      <c r="G535" s="11" t="n">
        <v>3</v>
      </c>
      <c r="H535" s="11">
        <f>'Темы × классы'!R438</f>
        <v/>
      </c>
      <c r="I535" s="11">
        <f>'Темы × классы'!S438&amp;""</f>
        <v/>
      </c>
      <c r="J535" s="11" t="inlineStr">
        <is>
          <t>не начат</t>
        </is>
      </c>
      <c r="K535" s="11" t="inlineStr"/>
    </row>
    <row r="536">
      <c r="A536" s="36" t="inlineStr">
        <is>
          <t>Ст-430</t>
        </is>
      </c>
      <c r="B536" s="37" t="inlineStr">
        <is>
          <t>10+</t>
        </is>
      </c>
      <c r="C536" s="11" t="inlineStr">
        <is>
          <t>Грамматика</t>
        </is>
      </c>
      <c r="D536" s="11" t="inlineStr">
        <is>
          <t>Determiners (both/either/neither/all/none)</t>
        </is>
      </c>
      <c r="E536" s="33" t="inlineStr">
        <is>
          <t>Determiners: both — о двух, глагол во мн. ч.</t>
        </is>
      </c>
      <c r="F536" s="11" t="inlineStr">
        <is>
          <t>11 кл. · М8 (8c) · новое</t>
        </is>
      </c>
      <c r="G536" s="11" t="n">
        <v>1</v>
      </c>
      <c r="H536" s="11">
        <f>'Темы × классы'!R439</f>
        <v/>
      </c>
      <c r="I536" s="11">
        <f>'Темы × классы'!S439&amp;""</f>
        <v/>
      </c>
      <c r="J536" s="11" t="inlineStr">
        <is>
          <t>не начат</t>
        </is>
      </c>
      <c r="K536" s="11" t="inlineStr"/>
    </row>
    <row r="537">
      <c r="A537" s="36" t="inlineStr">
        <is>
          <t>Ст-431</t>
        </is>
      </c>
      <c r="B537" s="37" t="inlineStr">
        <is>
          <t>10+</t>
        </is>
      </c>
      <c r="C537" s="11" t="inlineStr">
        <is>
          <t>Грамматика</t>
        </is>
      </c>
      <c r="D537" s="11" t="inlineStr">
        <is>
          <t>Determiners (both/either/neither/all/none)</t>
        </is>
      </c>
      <c r="E537" s="33" t="inlineStr">
        <is>
          <t>Determiners: either / neither (+ of)</t>
        </is>
      </c>
      <c r="F537" s="11" t="inlineStr">
        <is>
          <t>11 кл. · М8 (8c) · новое</t>
        </is>
      </c>
      <c r="G537" s="11" t="n">
        <v>1</v>
      </c>
      <c r="H537" s="11">
        <f>'Темы × классы'!R440</f>
        <v/>
      </c>
      <c r="I537" s="11">
        <f>'Темы × классы'!S440&amp;""</f>
        <v/>
      </c>
      <c r="J537" s="11" t="inlineStr">
        <is>
          <t>не начат</t>
        </is>
      </c>
      <c r="K537" s="11" t="inlineStr"/>
    </row>
    <row r="538">
      <c r="A538" s="36" t="inlineStr">
        <is>
          <t>Ст-432</t>
        </is>
      </c>
      <c r="B538" s="37" t="inlineStr">
        <is>
          <t>10+</t>
        </is>
      </c>
      <c r="C538" s="11" t="inlineStr">
        <is>
          <t>Грамматика</t>
        </is>
      </c>
      <c r="D538" s="11" t="inlineStr">
        <is>
          <t>Determiners (both/either/neither/all/none)</t>
        </is>
      </c>
      <c r="E538" s="33" t="inlineStr">
        <is>
          <t>Determiners: all — о более чем двух; all + that-clause</t>
        </is>
      </c>
      <c r="F538" s="11" t="inlineStr">
        <is>
          <t>11 кл. · М8 (8c) · новое</t>
        </is>
      </c>
      <c r="G538" s="11" t="n">
        <v>1</v>
      </c>
      <c r="H538" s="11">
        <f>'Темы × классы'!R441</f>
        <v/>
      </c>
      <c r="I538" s="11">
        <f>'Темы × классы'!S441&amp;""</f>
        <v/>
      </c>
      <c r="J538" s="11" t="inlineStr">
        <is>
          <t>не начат</t>
        </is>
      </c>
      <c r="K538" s="11" t="inlineStr"/>
    </row>
    <row r="539">
      <c r="A539" s="36" t="inlineStr">
        <is>
          <t>Ст-433</t>
        </is>
      </c>
      <c r="B539" s="37" t="inlineStr">
        <is>
          <t>10+</t>
        </is>
      </c>
      <c r="C539" s="11" t="inlineStr">
        <is>
          <t>Грамматика</t>
        </is>
      </c>
      <c r="D539" s="11" t="inlineStr">
        <is>
          <t>Determiners (both/either/neither/all/none)</t>
        </is>
      </c>
      <c r="E539" s="33" t="inlineStr">
        <is>
          <t>Determiners: none / none of</t>
        </is>
      </c>
      <c r="F539" s="11" t="inlineStr">
        <is>
          <t>11 кл. · М8 (8c) · новое</t>
        </is>
      </c>
      <c r="G539" s="11" t="n">
        <v>1</v>
      </c>
      <c r="H539" s="11">
        <f>'Темы × классы'!R442</f>
        <v/>
      </c>
      <c r="I539" s="11">
        <f>'Темы × классы'!S442&amp;""</f>
        <v/>
      </c>
      <c r="J539" s="11" t="inlineStr">
        <is>
          <t>не начат</t>
        </is>
      </c>
      <c r="K539" s="11" t="inlineStr"/>
    </row>
    <row r="540">
      <c r="A540" s="36" t="inlineStr">
        <is>
          <t>Ст-434</t>
        </is>
      </c>
      <c r="B540" s="37" t="inlineStr">
        <is>
          <t>10+</t>
        </is>
      </c>
      <c r="C540" s="11" t="inlineStr">
        <is>
          <t>Грамматика</t>
        </is>
      </c>
      <c r="D540" s="11" t="inlineStr">
        <is>
          <t>Determiners (both/either/neither/all/none)</t>
        </is>
      </c>
      <c r="E540" s="33" t="inlineStr">
        <is>
          <t>Determiners: whole vs all (the whole morning = all morning)</t>
        </is>
      </c>
      <c r="F540" s="11" t="inlineStr">
        <is>
          <t>11 кл. · М8 (8c) · новое</t>
        </is>
      </c>
      <c r="G540" s="11" t="n">
        <v>1</v>
      </c>
      <c r="H540" s="11">
        <f>'Темы × классы'!R443</f>
        <v/>
      </c>
      <c r="I540" s="11">
        <f>'Темы × классы'!S443&amp;""</f>
        <v/>
      </c>
      <c r="J540" s="11" t="inlineStr">
        <is>
          <t>не начат</t>
        </is>
      </c>
      <c r="K540" s="11" t="inlineStr"/>
    </row>
    <row r="541">
      <c r="A541" s="36" t="inlineStr">
        <is>
          <t>Ст-435</t>
        </is>
      </c>
      <c r="B541" s="37" t="inlineStr">
        <is>
          <t>10+</t>
        </is>
      </c>
      <c r="C541" s="11" t="inlineStr">
        <is>
          <t>Грамматика</t>
        </is>
      </c>
      <c r="D541" s="11" t="inlineStr">
        <is>
          <t>Determiners (both/either/neither/all/none)</t>
        </is>
      </c>
      <c r="E541" s="35" t="inlineStr">
        <is>
          <t>Determiners: both/neither vs all/none — о двух vs о многих</t>
        </is>
      </c>
      <c r="F541" s="11" t="inlineStr">
        <is>
          <t>11 кл. · М8 (8c) · новое</t>
        </is>
      </c>
      <c r="G541" s="11" t="n">
        <v>1</v>
      </c>
      <c r="H541" s="11">
        <f>'Темы × классы'!R444</f>
        <v/>
      </c>
      <c r="I541" s="11">
        <f>'Темы × классы'!S444&amp;""</f>
        <v/>
      </c>
      <c r="J541" s="11" t="inlineStr">
        <is>
          <t>не начат</t>
        </is>
      </c>
      <c r="K541" s="11" t="inlineStr"/>
    </row>
    <row r="542">
      <c r="A542" s="36" t="inlineStr">
        <is>
          <t>Ст-436</t>
        </is>
      </c>
      <c r="B542" s="37" t="inlineStr">
        <is>
          <t>10+</t>
        </is>
      </c>
      <c r="C542" s="11" t="inlineStr">
        <is>
          <t>Грамматика</t>
        </is>
      </c>
      <c r="D542" s="11" t="inlineStr">
        <is>
          <t>Adverbs of frequency</t>
        </is>
      </c>
      <c r="E542" s="33" t="inlineStr">
        <is>
          <t>Adverbs of frequency: значение — never, sometimes, usually, often, always</t>
        </is>
      </c>
      <c r="F542" s="11" t="inlineStr">
        <is>
          <t>5 кл. · М6 (6a) · повт.
6 кл. · М4 (4a) · повт.</t>
        </is>
      </c>
      <c r="G542" s="11" t="n">
        <v>2</v>
      </c>
      <c r="H542" s="11">
        <f>'Темы × классы'!R445</f>
        <v/>
      </c>
      <c r="I542" s="11">
        <f>'Темы × классы'!S445&amp;""</f>
        <v/>
      </c>
      <c r="J542" s="11" t="inlineStr">
        <is>
          <t>не начат</t>
        </is>
      </c>
      <c r="K542" s="11" t="inlineStr"/>
    </row>
    <row r="543">
      <c r="A543" s="36" t="inlineStr">
        <is>
          <t>Ст-437</t>
        </is>
      </c>
      <c r="B543" s="37" t="inlineStr">
        <is>
          <t>10+</t>
        </is>
      </c>
      <c r="C543" s="11" t="inlineStr">
        <is>
          <t>Грамматика</t>
        </is>
      </c>
      <c r="D543" s="11" t="inlineStr">
        <is>
          <t>Adverbs of frequency</t>
        </is>
      </c>
      <c r="E543" s="33" t="inlineStr">
        <is>
          <t>Adverbs of frequency: место — перед смысловым глаголом, после be</t>
        </is>
      </c>
      <c r="F543" s="11" t="inlineStr">
        <is>
          <t>5 кл. · М6 (6a) · расш.
6 кл. · М4 (4a) · повт.
8 кл. · М1 (1c) · повт.
9 кл. · М1 (1c) · повт.
10 кл. · М1 (1c) · повт.
11 кл. · М1 (1c) · повт.</t>
        </is>
      </c>
      <c r="G543" s="11" t="n">
        <v>6</v>
      </c>
      <c r="H543" s="11">
        <f>'Темы × классы'!R446</f>
        <v/>
      </c>
      <c r="I543" s="11">
        <f>'Темы × классы'!S446&amp;""</f>
        <v/>
      </c>
      <c r="J543" s="11" t="inlineStr">
        <is>
          <t>не начат</t>
        </is>
      </c>
      <c r="K543" s="11" t="inlineStr"/>
    </row>
    <row r="544">
      <c r="A544" s="36" t="inlineStr">
        <is>
          <t>Ст-438</t>
        </is>
      </c>
      <c r="B544" s="37" t="inlineStr">
        <is>
          <t>10+</t>
        </is>
      </c>
      <c r="C544" s="11" t="inlineStr">
        <is>
          <t>Грамматика</t>
        </is>
      </c>
      <c r="D544" s="11" t="inlineStr">
        <is>
          <t>Adverbs of frequency</t>
        </is>
      </c>
      <c r="E544" s="35" t="inlineStr">
        <is>
          <t>Adverbs of frequency: место — после вспомогательных и модальных глаголов</t>
        </is>
      </c>
      <c r="F544" s="11" t="inlineStr">
        <is>
          <t>5 кл. · М6 (6a) · новое
6 кл. · М4 (4a) · повт.
8 кл. · М1 (1c) · повт.
9 кл. · М1 (1c) · повт.
10 кл. · М1 (1c) · повт.
11 кл. · М1 (1c) · повт.</t>
        </is>
      </c>
      <c r="G544" s="11" t="n">
        <v>6</v>
      </c>
      <c r="H544" s="11">
        <f>'Темы × классы'!R447</f>
        <v/>
      </c>
      <c r="I544" s="11">
        <f>'Темы × классы'!S447&amp;""</f>
        <v/>
      </c>
      <c r="J544" s="11" t="inlineStr">
        <is>
          <t>не начат</t>
        </is>
      </c>
      <c r="K544" s="11" t="inlineStr"/>
    </row>
    <row r="545">
      <c r="A545" s="36" t="inlineStr">
        <is>
          <t>Ст-439</t>
        </is>
      </c>
      <c r="B545" s="37" t="inlineStr">
        <is>
          <t>10+</t>
        </is>
      </c>
      <c r="C545" s="11" t="inlineStr">
        <is>
          <t>Грамматика</t>
        </is>
      </c>
      <c r="D545" s="11" t="inlineStr">
        <is>
          <t>Adverbs of frequency</t>
        </is>
      </c>
      <c r="E545" s="35" t="inlineStr">
        <is>
          <t>Adverbs of frequency: seldom / rarely</t>
        </is>
      </c>
      <c r="F545" s="11" t="inlineStr">
        <is>
          <t>6 кл. · М4 (4a) · новое</t>
        </is>
      </c>
      <c r="G545" s="11" t="n">
        <v>1</v>
      </c>
      <c r="H545" s="11">
        <f>'Темы × классы'!R448</f>
        <v/>
      </c>
      <c r="I545" s="11">
        <f>'Темы × классы'!S448&amp;""</f>
        <v/>
      </c>
      <c r="J545" s="11" t="inlineStr">
        <is>
          <t>не начат</t>
        </is>
      </c>
      <c r="K545" s="11" t="inlineStr"/>
    </row>
    <row r="546">
      <c r="A546" s="36" t="inlineStr">
        <is>
          <t>Ст-440</t>
        </is>
      </c>
      <c r="B546" s="37" t="inlineStr">
        <is>
          <t>10+</t>
        </is>
      </c>
      <c r="C546" s="11" t="inlineStr">
        <is>
          <t>Грамматика</t>
        </is>
      </c>
      <c r="D546" s="11" t="inlineStr">
        <is>
          <t>Adverbs of frequency</t>
        </is>
      </c>
      <c r="E546" s="33" t="inlineStr">
        <is>
          <t>Adverbs of frequency: шкала частотности в % (always 100% … never 0%)</t>
        </is>
      </c>
      <c r="F546" s="11" t="inlineStr">
        <is>
          <t>8 кл. · М1 (1c) · новое
9 кл. · М1 (1c) · повт.
10 кл. · М1 (1c) · повт.
11 кл. · М1 (1c) · повт.</t>
        </is>
      </c>
      <c r="G546" s="11" t="n">
        <v>4</v>
      </c>
      <c r="H546" s="11">
        <f>'Темы × классы'!R449</f>
        <v/>
      </c>
      <c r="I546" s="11">
        <f>'Темы × классы'!S449&amp;""</f>
        <v/>
      </c>
      <c r="J546" s="11" t="inlineStr">
        <is>
          <t>не начат</t>
        </is>
      </c>
      <c r="K546" s="11" t="inlineStr"/>
    </row>
    <row r="547">
      <c r="A547" s="36" t="inlineStr">
        <is>
          <t>Ст-441</t>
        </is>
      </c>
      <c r="B547" s="37" t="inlineStr">
        <is>
          <t>10+</t>
        </is>
      </c>
      <c r="C547" s="11" t="inlineStr">
        <is>
          <t>Грамматика</t>
        </is>
      </c>
      <c r="D547" s="11" t="inlineStr">
        <is>
          <t>Comparatives &amp; Superlatives</t>
        </is>
      </c>
      <c r="E547" s="33" t="inlineStr">
        <is>
          <t>Comparatives &amp; Superlatives: сравнительная степень — -er + than</t>
        </is>
      </c>
      <c r="F547" s="11" t="inlineStr">
        <is>
          <t>5 кл. · М7 · повт.
6 кл. · М8 (8b) · повт.
7 кл. · М7 · повт.
8 кл. · М1 (1d) · повт.
9 кл. · М5 (5c) · повт.
10 кл. · М3 (3c) · повт.</t>
        </is>
      </c>
      <c r="G547" s="11" t="n">
        <v>6</v>
      </c>
      <c r="H547" s="11">
        <f>'Темы × классы'!R450</f>
        <v/>
      </c>
      <c r="I547" s="11">
        <f>'Темы × классы'!S450&amp;""</f>
        <v/>
      </c>
      <c r="J547" s="11" t="inlineStr">
        <is>
          <t>не начат</t>
        </is>
      </c>
      <c r="K547" s="11" t="inlineStr"/>
    </row>
    <row r="548">
      <c r="A548" s="36" t="inlineStr">
        <is>
          <t>Ст-442</t>
        </is>
      </c>
      <c r="B548" s="37" t="inlineStr">
        <is>
          <t>10+</t>
        </is>
      </c>
      <c r="C548" s="11" t="inlineStr">
        <is>
          <t>Грамматика</t>
        </is>
      </c>
      <c r="D548" s="11" t="inlineStr">
        <is>
          <t>Comparatives &amp; Superlatives</t>
        </is>
      </c>
      <c r="E548" s="33" t="inlineStr">
        <is>
          <t>Comparatives &amp; Superlatives: сравнительная степень — more (многосложные)</t>
        </is>
      </c>
      <c r="F548" s="11" t="inlineStr">
        <is>
          <t>5 кл. · М7 · повт.
6 кл. · М8 (8b) · повт.
7 кл. · М7 · повт.
8 кл. · М1 (1d) · повт.
9 кл. · М5 (5c) · повт.
10 кл. · М3 (3c) · повт.</t>
        </is>
      </c>
      <c r="G548" s="11" t="n">
        <v>6</v>
      </c>
      <c r="H548" s="11">
        <f>'Темы × классы'!R451</f>
        <v/>
      </c>
      <c r="I548" s="11">
        <f>'Темы × классы'!S451&amp;""</f>
        <v/>
      </c>
      <c r="J548" s="11" t="inlineStr">
        <is>
          <t>не начат</t>
        </is>
      </c>
      <c r="K548" s="11" t="inlineStr"/>
    </row>
    <row r="549">
      <c r="A549" s="36" t="inlineStr">
        <is>
          <t>Ст-443</t>
        </is>
      </c>
      <c r="B549" s="37" t="inlineStr">
        <is>
          <t>10+</t>
        </is>
      </c>
      <c r="C549" s="11" t="inlineStr">
        <is>
          <t>Грамматика</t>
        </is>
      </c>
      <c r="D549" s="11" t="inlineStr">
        <is>
          <t>Comparatives &amp; Superlatives</t>
        </is>
      </c>
      <c r="E549" s="35" t="inlineStr">
        <is>
          <t>Comparatives &amp; Superlatives: орфография -er/-est (удвоение, -e, y → i)</t>
        </is>
      </c>
      <c r="F549" s="11" t="inlineStr">
        <is>
          <t>5 кл. · М7 · повт.
6 кл. · М8 (8b) · повт.
7 кл. · М7 · повт.
8 кл. · М1 (1d) · повт.
9 кл. · М5 (5c) · повт.
10 кл. · М3 (3c) · повт.</t>
        </is>
      </c>
      <c r="G549" s="11" t="n">
        <v>6</v>
      </c>
      <c r="H549" s="11">
        <f>'Темы × классы'!R452</f>
        <v/>
      </c>
      <c r="I549" s="11">
        <f>'Темы × классы'!S452&amp;""</f>
        <v/>
      </c>
      <c r="J549" s="11" t="inlineStr">
        <is>
          <t>не начат</t>
        </is>
      </c>
      <c r="K549" s="11" t="inlineStr"/>
    </row>
    <row r="550">
      <c r="A550" s="36" t="inlineStr">
        <is>
          <t>Ст-444</t>
        </is>
      </c>
      <c r="B550" s="37" t="inlineStr">
        <is>
          <t>10+</t>
        </is>
      </c>
      <c r="C550" s="11" t="inlineStr">
        <is>
          <t>Грамматика</t>
        </is>
      </c>
      <c r="D550" s="11" t="inlineStr">
        <is>
          <t>Comparatives &amp; Superlatives</t>
        </is>
      </c>
      <c r="E550" s="33" t="inlineStr">
        <is>
          <t>Comparatives &amp; Superlatives: превосходная степень — the -est + of/in</t>
        </is>
      </c>
      <c r="F550" s="11" t="inlineStr">
        <is>
          <t>5 кл. · М7 · повт.
6 кл. · М8 (8b) · повт.
7 кл. · М7 · повт.
8 кл. · М1 (1d) · повт.
9 кл. · М5 (5c) · повт.
10 кл. · М3 (3c) · повт.</t>
        </is>
      </c>
      <c r="G550" s="11" t="n">
        <v>6</v>
      </c>
      <c r="H550" s="11">
        <f>'Темы × классы'!R453</f>
        <v/>
      </c>
      <c r="I550" s="11">
        <f>'Темы × классы'!S453&amp;""</f>
        <v/>
      </c>
      <c r="J550" s="11" t="inlineStr">
        <is>
          <t>не начат</t>
        </is>
      </c>
      <c r="K550" s="11" t="inlineStr"/>
    </row>
    <row r="551">
      <c r="A551" s="36" t="inlineStr">
        <is>
          <t>Ст-445</t>
        </is>
      </c>
      <c r="B551" s="37" t="inlineStr">
        <is>
          <t>10+</t>
        </is>
      </c>
      <c r="C551" s="11" t="inlineStr">
        <is>
          <t>Грамматика</t>
        </is>
      </c>
      <c r="D551" s="11" t="inlineStr">
        <is>
          <t>Comparatives &amp; Superlatives</t>
        </is>
      </c>
      <c r="E551" s="33" t="inlineStr">
        <is>
          <t>Comparatives &amp; Superlatives: превосходная степень — the most</t>
        </is>
      </c>
      <c r="F551" s="11" t="inlineStr">
        <is>
          <t>5 кл. · М7 · повт.
6 кл. · М8 (8b) · повт.
7 кл. · М7 · повт.
8 кл. · М1 (1d) · повт.
9 кл. · М5 (5c) · повт.
10 кл. · М3 (3c) · повт.</t>
        </is>
      </c>
      <c r="G551" s="11" t="n">
        <v>6</v>
      </c>
      <c r="H551" s="11">
        <f>'Темы × классы'!R454</f>
        <v/>
      </c>
      <c r="I551" s="11">
        <f>'Темы × классы'!S454&amp;""</f>
        <v/>
      </c>
      <c r="J551" s="11" t="inlineStr">
        <is>
          <t>не начат</t>
        </is>
      </c>
      <c r="K551" s="11" t="inlineStr"/>
    </row>
    <row r="552">
      <c r="A552" s="36" t="inlineStr">
        <is>
          <t>Ст-446</t>
        </is>
      </c>
      <c r="B552" s="37" t="inlineStr">
        <is>
          <t>10+</t>
        </is>
      </c>
      <c r="C552" s="11" t="inlineStr">
        <is>
          <t>Грамматика</t>
        </is>
      </c>
      <c r="D552" s="11" t="inlineStr">
        <is>
          <t>Comparatives &amp; Superlatives</t>
        </is>
      </c>
      <c r="E552" s="35" t="inlineStr">
        <is>
          <t>Comparatives &amp; Superlatives: неправильные прилагательные (good, bad, many/much, little)</t>
        </is>
      </c>
      <c r="F552" s="11" t="inlineStr">
        <is>
          <t>5 кл. · М6 · расш.
5 кл. · М7 · повт.
6 кл. · М8 (8b) · повт.
7 кл. · М7 · повт.
8 кл. · М1 (1d) · повт.
9 кл. · М5 (5c) · повт.
10 кл. · М3 (3c) · повт.</t>
        </is>
      </c>
      <c r="G552" s="11" t="n">
        <v>7</v>
      </c>
      <c r="H552" s="11">
        <f>'Темы × классы'!R455</f>
        <v/>
      </c>
      <c r="I552" s="11">
        <f>'Темы × классы'!S455&amp;""</f>
        <v/>
      </c>
      <c r="J552" s="11" t="inlineStr">
        <is>
          <t>не начат</t>
        </is>
      </c>
      <c r="K552" s="11" t="inlineStr"/>
    </row>
    <row r="553">
      <c r="A553" s="36" t="inlineStr">
        <is>
          <t>Ст-447</t>
        </is>
      </c>
      <c r="B553" s="37" t="inlineStr">
        <is>
          <t>10+</t>
        </is>
      </c>
      <c r="C553" s="11" t="inlineStr">
        <is>
          <t>Грамматика</t>
        </is>
      </c>
      <c r="D553" s="11" t="inlineStr">
        <is>
          <t>Comparatives &amp; Superlatives</t>
        </is>
      </c>
      <c r="E553" s="35" t="inlineStr">
        <is>
          <t>Comparatives &amp; Superlatives: двусложные на -y/-er/-ow — -er/-est</t>
        </is>
      </c>
      <c r="F553" s="11" t="inlineStr">
        <is>
          <t>6 кл. · М8 (8b) · расш.
7 кл. · М7 · расш.
9 кл. · М5 (5c) · повт.
10 кл. · М3 (3c) · повт.</t>
        </is>
      </c>
      <c r="G553" s="11" t="n">
        <v>4</v>
      </c>
      <c r="H553" s="11">
        <f>'Темы × классы'!R456</f>
        <v/>
      </c>
      <c r="I553" s="11">
        <f>'Темы × классы'!S456&amp;""</f>
        <v/>
      </c>
      <c r="J553" s="11" t="inlineStr">
        <is>
          <t>не начат</t>
        </is>
      </c>
      <c r="K553" s="11" t="inlineStr"/>
    </row>
    <row r="554">
      <c r="A554" s="36" t="inlineStr">
        <is>
          <t>Ст-448</t>
        </is>
      </c>
      <c r="B554" s="37" t="inlineStr">
        <is>
          <t>10+</t>
        </is>
      </c>
      <c r="C554" s="11" t="inlineStr">
        <is>
          <t>Грамматика</t>
        </is>
      </c>
      <c r="D554" s="11" t="inlineStr">
        <is>
          <t>Comparatives &amp; Superlatives</t>
        </is>
      </c>
      <c r="E554" s="35" t="inlineStr">
        <is>
          <t>Comparatives &amp; Superlatives: прилагательные с двумя способами (clever, quiet, friendly…)</t>
        </is>
      </c>
      <c r="F554" s="11" t="inlineStr">
        <is>
          <t>7 кл. · М7 · новое
8 кл. · М1 (1d) · повт.
9 кл. · М5 (5c) · повт.
10 кл. · М3 (3c) · повт.</t>
        </is>
      </c>
      <c r="G554" s="11" t="n">
        <v>4</v>
      </c>
      <c r="H554" s="11">
        <f>'Темы × классы'!R457</f>
        <v/>
      </c>
      <c r="I554" s="11">
        <f>'Темы × классы'!S457&amp;""</f>
        <v/>
      </c>
      <c r="J554" s="11" t="inlineStr">
        <is>
          <t>не начат</t>
        </is>
      </c>
      <c r="K554" s="11" t="inlineStr"/>
    </row>
    <row r="555">
      <c r="A555" s="36" t="inlineStr">
        <is>
          <t>Ст-449</t>
        </is>
      </c>
      <c r="B555" s="37" t="inlineStr">
        <is>
          <t>10+</t>
        </is>
      </c>
      <c r="C555" s="11" t="inlineStr">
        <is>
          <t>Грамматика</t>
        </is>
      </c>
      <c r="D555" s="11" t="inlineStr">
        <is>
          <t>Comparatives &amp; Superlatives</t>
        </is>
      </c>
      <c r="E555" s="35" t="inlineStr">
        <is>
          <t>Comparatives &amp; Superlatives: far — farther/further, old — elder/eldest</t>
        </is>
      </c>
      <c r="F555" s="11" t="inlineStr">
        <is>
          <t>7 кл. · М7 · новое
8 кл. · М1 (1d) · расш.
9 кл. · М5 (5c) · повт.
10 кл. · М3 (3c) · повт.</t>
        </is>
      </c>
      <c r="G555" s="11" t="n">
        <v>4</v>
      </c>
      <c r="H555" s="11">
        <f>'Темы × классы'!R458</f>
        <v/>
      </c>
      <c r="I555" s="11">
        <f>'Темы × классы'!S458&amp;""</f>
        <v/>
      </c>
      <c r="J555" s="11" t="inlineStr">
        <is>
          <t>не начат</t>
        </is>
      </c>
      <c r="K555" s="11" t="inlineStr"/>
    </row>
    <row r="556">
      <c r="A556" s="36" t="inlineStr">
        <is>
          <t>Ст-450</t>
        </is>
      </c>
      <c r="B556" s="37" t="inlineStr">
        <is>
          <t>10+</t>
        </is>
      </c>
      <c r="C556" s="11" t="inlineStr">
        <is>
          <t>Грамматика</t>
        </is>
      </c>
      <c r="D556" s="11" t="inlineStr">
        <is>
          <t>Comparatives &amp; Superlatives</t>
        </is>
      </c>
      <c r="E556" s="33" t="inlineStr">
        <is>
          <t>Comparatives &amp; Superlatives: наречия — -er/-est (hard, fast, early)</t>
        </is>
      </c>
      <c r="F556" s="11" t="inlineStr">
        <is>
          <t>5 кл. · М6 · новое
7 кл. · М7 · расш.
8 кл. · М1 (1d) · повт.
9 кл. · М5 (5c) · повт.
10 кл. · М3 (3c) · повт.</t>
        </is>
      </c>
      <c r="G556" s="11" t="n">
        <v>5</v>
      </c>
      <c r="H556" s="11">
        <f>'Темы × классы'!R459</f>
        <v/>
      </c>
      <c r="I556" s="11">
        <f>'Темы × классы'!S459&amp;""</f>
        <v/>
      </c>
      <c r="J556" s="11" t="inlineStr">
        <is>
          <t>не начат</t>
        </is>
      </c>
      <c r="K556" s="11" t="inlineStr"/>
    </row>
    <row r="557">
      <c r="A557" s="36" t="inlineStr">
        <is>
          <t>Ст-451</t>
        </is>
      </c>
      <c r="B557" s="37" t="inlineStr">
        <is>
          <t>10+</t>
        </is>
      </c>
      <c r="C557" s="11" t="inlineStr">
        <is>
          <t>Грамматика</t>
        </is>
      </c>
      <c r="D557" s="11" t="inlineStr">
        <is>
          <t>Comparatives &amp; Superlatives</t>
        </is>
      </c>
      <c r="E557" s="33" t="inlineStr">
        <is>
          <t>Comparatives &amp; Superlatives: наречия — more/most (slowly)</t>
        </is>
      </c>
      <c r="F557" s="11" t="inlineStr">
        <is>
          <t>5 кл. · М6 · новое
7 кл. · М7 · повт.
8 кл. · М1 (1d) · повт.
9 кл. · М5 (5c) · повт.
10 кл. · М3 (3c) · повт.</t>
        </is>
      </c>
      <c r="G557" s="11" t="n">
        <v>5</v>
      </c>
      <c r="H557" s="11">
        <f>'Темы × классы'!R460</f>
        <v/>
      </c>
      <c r="I557" s="11">
        <f>'Темы × классы'!S460&amp;""</f>
        <v/>
      </c>
      <c r="J557" s="11" t="inlineStr">
        <is>
          <t>не начат</t>
        </is>
      </c>
      <c r="K557" s="11" t="inlineStr"/>
    </row>
    <row r="558">
      <c r="A558" s="36" t="inlineStr">
        <is>
          <t>Ст-452</t>
        </is>
      </c>
      <c r="B558" s="37" t="inlineStr">
        <is>
          <t>10+</t>
        </is>
      </c>
      <c r="C558" s="11" t="inlineStr">
        <is>
          <t>Грамматика</t>
        </is>
      </c>
      <c r="D558" s="11" t="inlineStr">
        <is>
          <t>Comparatives &amp; Superlatives</t>
        </is>
      </c>
      <c r="E558" s="33" t="inlineStr">
        <is>
          <t>Comparatives &amp; Superlatives: неправильные наречия (well, badly)</t>
        </is>
      </c>
      <c r="F558" s="11" t="inlineStr">
        <is>
          <t>5 кл. · М6 · новое
7 кл. · М7 · повт.
8 кл. · М1 (1d) · повт.
9 кл. · М5 (5c) · повт.
10 кл. · М3 (3c) · повт.</t>
        </is>
      </c>
      <c r="G558" s="11" t="n">
        <v>5</v>
      </c>
      <c r="H558" s="11">
        <f>'Темы × классы'!R461</f>
        <v/>
      </c>
      <c r="I558" s="11">
        <f>'Темы × классы'!S461&amp;""</f>
        <v/>
      </c>
      <c r="J558" s="11" t="inlineStr">
        <is>
          <t>не начат</t>
        </is>
      </c>
      <c r="K558" s="11" t="inlineStr"/>
    </row>
    <row r="559">
      <c r="A559" s="36" t="inlineStr">
        <is>
          <t>Ст-453</t>
        </is>
      </c>
      <c r="B559" s="37" t="inlineStr">
        <is>
          <t>10+</t>
        </is>
      </c>
      <c r="C559" s="11" t="inlineStr">
        <is>
          <t>Грамматика</t>
        </is>
      </c>
      <c r="D559" s="11" t="inlineStr">
        <is>
          <t>Adjectives (general)</t>
        </is>
      </c>
      <c r="E559" s="35" t="inlineStr">
        <is>
          <t>Adjectives: не изменяются по числам</t>
        </is>
      </c>
      <c r="F559" s="11" t="inlineStr">
        <is>
          <t>7 кл. · М3 · новое</t>
        </is>
      </c>
      <c r="G559" s="11" t="n">
        <v>1</v>
      </c>
      <c r="H559" s="11">
        <f>'Темы × классы'!R462</f>
        <v/>
      </c>
      <c r="I559" s="11">
        <f>'Темы × классы'!S462&amp;""</f>
        <v/>
      </c>
      <c r="J559" s="11" t="inlineStr">
        <is>
          <t>не начат</t>
        </is>
      </c>
      <c r="K559" s="11" t="inlineStr"/>
    </row>
    <row r="560">
      <c r="A560" s="36" t="inlineStr">
        <is>
          <t>Ст-454</t>
        </is>
      </c>
      <c r="B560" s="37" t="inlineStr">
        <is>
          <t>10+</t>
        </is>
      </c>
      <c r="C560" s="11" t="inlineStr">
        <is>
          <t>Грамматика</t>
        </is>
      </c>
      <c r="D560" s="11" t="inlineStr">
        <is>
          <t>Adjectives (general)</t>
        </is>
      </c>
      <c r="E560" s="35" t="inlineStr">
        <is>
          <t>Adjectives: место — перед существительным, после be / look, smell, sound, feel, taste</t>
        </is>
      </c>
      <c r="F560" s="11" t="inlineStr">
        <is>
          <t>7 кл. · М3 · новое</t>
        </is>
      </c>
      <c r="G560" s="11" t="n">
        <v>1</v>
      </c>
      <c r="H560" s="11">
        <f>'Темы × классы'!R463</f>
        <v/>
      </c>
      <c r="I560" s="11">
        <f>'Темы × классы'!S463&amp;""</f>
        <v/>
      </c>
      <c r="J560" s="11" t="inlineStr">
        <is>
          <t>не начат</t>
        </is>
      </c>
      <c r="K560" s="11" t="inlineStr"/>
    </row>
    <row r="561">
      <c r="A561" s="36" t="inlineStr">
        <is>
          <t>Ст-455</t>
        </is>
      </c>
      <c r="B561" s="37" t="inlineStr">
        <is>
          <t>10+</t>
        </is>
      </c>
      <c r="C561" s="11" t="inlineStr">
        <is>
          <t>Грамматика</t>
        </is>
      </c>
      <c r="D561" s="11" t="inlineStr">
        <is>
          <t>Adjectives (general)</t>
        </is>
      </c>
      <c r="E561" s="35" t="inlineStr">
        <is>
          <t>Adjectives: мнение vs объективные характеристики</t>
        </is>
      </c>
      <c r="F561" s="11" t="inlineStr">
        <is>
          <t>7 кл. · М3 · новое</t>
        </is>
      </c>
      <c r="G561" s="11" t="n">
        <v>1</v>
      </c>
      <c r="H561" s="11">
        <f>'Темы × классы'!R464</f>
        <v/>
      </c>
      <c r="I561" s="11">
        <f>'Темы × классы'!S464&amp;""</f>
        <v/>
      </c>
      <c r="J561" s="11" t="inlineStr">
        <is>
          <t>не начат</t>
        </is>
      </c>
      <c r="K561" s="11" t="inlineStr"/>
    </row>
    <row r="562">
      <c r="A562" s="36" t="inlineStr">
        <is>
          <t>Ст-456</t>
        </is>
      </c>
      <c r="B562" s="37" t="inlineStr">
        <is>
          <t>10+</t>
        </is>
      </c>
      <c r="C562" s="11" t="inlineStr">
        <is>
          <t>Грамматика</t>
        </is>
      </c>
      <c r="D562" s="11" t="inlineStr">
        <is>
          <t>Adjectives (order)</t>
        </is>
      </c>
      <c r="E562" s="33" t="inlineStr">
        <is>
          <t>Adjectives (order): мнение перед объективными характеристиками</t>
        </is>
      </c>
      <c r="F562" s="11" t="inlineStr">
        <is>
          <t>7 кл. · М3 · новое
8 кл. · М2 (2e) · повт.</t>
        </is>
      </c>
      <c r="G562" s="11" t="n">
        <v>2</v>
      </c>
      <c r="H562" s="11">
        <f>'Темы × классы'!R465</f>
        <v/>
      </c>
      <c r="I562" s="11">
        <f>'Темы × классы'!S465&amp;""</f>
        <v/>
      </c>
      <c r="J562" s="11" t="inlineStr">
        <is>
          <t>не начат</t>
        </is>
      </c>
      <c r="K562" s="11" t="inlineStr"/>
    </row>
    <row r="563">
      <c r="A563" s="36" t="inlineStr">
        <is>
          <t>Ст-457</t>
        </is>
      </c>
      <c r="B563" s="37" t="inlineStr">
        <is>
          <t>10+</t>
        </is>
      </c>
      <c r="C563" s="11" t="inlineStr">
        <is>
          <t>Грамматика</t>
        </is>
      </c>
      <c r="D563" s="11" t="inlineStr">
        <is>
          <t>Adjectives (order)</t>
        </is>
      </c>
      <c r="E563" s="33" t="inlineStr">
        <is>
          <t>Adjectives (order): размер – возраст – форма – цвет – происхождение – материал</t>
        </is>
      </c>
      <c r="F563" s="11" t="inlineStr">
        <is>
          <t>7 кл. · М3 · новое
8 кл. · М2 (2e) · повт.</t>
        </is>
      </c>
      <c r="G563" s="11" t="n">
        <v>2</v>
      </c>
      <c r="H563" s="11">
        <f>'Темы × классы'!R466</f>
        <v/>
      </c>
      <c r="I563" s="11">
        <f>'Темы × классы'!S466&amp;""</f>
        <v/>
      </c>
      <c r="J563" s="11" t="inlineStr">
        <is>
          <t>не начат</t>
        </is>
      </c>
      <c r="K563" s="11" t="inlineStr"/>
    </row>
    <row r="564">
      <c r="A564" s="36" t="inlineStr">
        <is>
          <t>Ст-458</t>
        </is>
      </c>
      <c r="B564" s="37" t="inlineStr">
        <is>
          <t>10+</t>
        </is>
      </c>
      <c r="C564" s="11" t="inlineStr">
        <is>
          <t>Грамматика</t>
        </is>
      </c>
      <c r="D564" s="11" t="inlineStr">
        <is>
          <t>Adjectives (order)</t>
        </is>
      </c>
      <c r="E564" s="35" t="inlineStr">
        <is>
          <t>Adjectives (order): узор (pattern) в порядке прилагательных</t>
        </is>
      </c>
      <c r="F564" s="11" t="inlineStr">
        <is>
          <t>8 кл. · М2 (2e) · новое</t>
        </is>
      </c>
      <c r="G564" s="11" t="n">
        <v>1</v>
      </c>
      <c r="H564" s="11">
        <f>'Темы × классы'!R467</f>
        <v/>
      </c>
      <c r="I564" s="11">
        <f>'Темы × классы'!S467&amp;""</f>
        <v/>
      </c>
      <c r="J564" s="11" t="inlineStr">
        <is>
          <t>не начат</t>
        </is>
      </c>
      <c r="K564" s="11" t="inlineStr"/>
    </row>
    <row r="565">
      <c r="A565" s="36" t="inlineStr">
        <is>
          <t>Ст-459</t>
        </is>
      </c>
      <c r="B565" s="37" t="inlineStr">
        <is>
          <t>10+</t>
        </is>
      </c>
      <c r="C565" s="11" t="inlineStr">
        <is>
          <t>Грамматика</t>
        </is>
      </c>
      <c r="D565" s="11" t="inlineStr">
        <is>
          <t>Adjectives -ed/-ing</t>
        </is>
      </c>
      <c r="E565" s="33" t="inlineStr">
        <is>
          <t>Adjectives -ed/-ing: -ing — каков предмет/явление (amazing)</t>
        </is>
      </c>
      <c r="F565" s="11" t="inlineStr">
        <is>
          <t>7 кл. · М3 · новое
10 кл. · М5 (5e) · повт.</t>
        </is>
      </c>
      <c r="G565" s="11" t="n">
        <v>2</v>
      </c>
      <c r="H565" s="11">
        <f>'Темы × классы'!R468</f>
        <v/>
      </c>
      <c r="I565" s="11">
        <f>'Темы × классы'!S468&amp;""</f>
        <v/>
      </c>
      <c r="J565" s="11" t="inlineStr">
        <is>
          <t>не начат</t>
        </is>
      </c>
      <c r="K565" s="11" t="inlineStr"/>
    </row>
    <row r="566">
      <c r="A566" s="36" t="inlineStr">
        <is>
          <t>Ст-460</t>
        </is>
      </c>
      <c r="B566" s="37" t="inlineStr">
        <is>
          <t>10+</t>
        </is>
      </c>
      <c r="C566" s="11" t="inlineStr">
        <is>
          <t>Грамматика</t>
        </is>
      </c>
      <c r="D566" s="11" t="inlineStr">
        <is>
          <t>Adjectives -ed/-ing</t>
        </is>
      </c>
      <c r="E566" s="33" t="inlineStr">
        <is>
          <t>Adjectives -ed/-ing: -ed — что чувствует человек (amazed)</t>
        </is>
      </c>
      <c r="F566" s="11" t="inlineStr">
        <is>
          <t>7 кл. · М3 · новое
10 кл. · М5 (5e) · повт.</t>
        </is>
      </c>
      <c r="G566" s="11" t="n">
        <v>2</v>
      </c>
      <c r="H566" s="11">
        <f>'Темы × классы'!R469</f>
        <v/>
      </c>
      <c r="I566" s="11">
        <f>'Темы × классы'!S469&amp;""</f>
        <v/>
      </c>
      <c r="J566" s="11" t="inlineStr">
        <is>
          <t>не начат</t>
        </is>
      </c>
      <c r="K566" s="11" t="inlineStr"/>
    </row>
    <row r="567">
      <c r="A567" s="36" t="inlineStr">
        <is>
          <t>Ст-461</t>
        </is>
      </c>
      <c r="B567" s="37" t="inlineStr">
        <is>
          <t>10+</t>
        </is>
      </c>
      <c r="C567" s="11" t="inlineStr">
        <is>
          <t>Грамматика</t>
        </is>
      </c>
      <c r="D567" s="11" t="inlineStr">
        <is>
          <t>Comparative structures</t>
        </is>
      </c>
      <c r="E567" s="33" t="inlineStr">
        <is>
          <t>Comparative structures: as … as / not as (so) … as</t>
        </is>
      </c>
      <c r="F567" s="11" t="inlineStr">
        <is>
          <t>7 кл. · М7 · новое
9 кл. · М5 (5c) · повт.
10 кл. · М3 (3c) · повт.</t>
        </is>
      </c>
      <c r="G567" s="11" t="n">
        <v>3</v>
      </c>
      <c r="H567" s="11">
        <f>'Темы × классы'!R470</f>
        <v/>
      </c>
      <c r="I567" s="11">
        <f>'Темы × классы'!S470&amp;""</f>
        <v/>
      </c>
      <c r="J567" s="11" t="inlineStr">
        <is>
          <t>не начат</t>
        </is>
      </c>
      <c r="K567" s="11" t="inlineStr"/>
    </row>
    <row r="568">
      <c r="A568" s="36" t="inlineStr">
        <is>
          <t>Ст-462</t>
        </is>
      </c>
      <c r="B568" s="37" t="inlineStr">
        <is>
          <t>10+</t>
        </is>
      </c>
      <c r="C568" s="11" t="inlineStr">
        <is>
          <t>Грамматика</t>
        </is>
      </c>
      <c r="D568" s="11" t="inlineStr">
        <is>
          <t>Comparative structures</t>
        </is>
      </c>
      <c r="E568" s="33" t="inlineStr">
        <is>
          <t>Comparative structures: less … than / the least … of/in</t>
        </is>
      </c>
      <c r="F568" s="11" t="inlineStr">
        <is>
          <t>7 кл. · М7 · новое
9 кл. · М5 (5c) · повт.
10 кл. · М3 (3c) · повт.</t>
        </is>
      </c>
      <c r="G568" s="11" t="n">
        <v>3</v>
      </c>
      <c r="H568" s="11">
        <f>'Темы × классы'!R471</f>
        <v/>
      </c>
      <c r="I568" s="11">
        <f>'Темы × классы'!S471&amp;""</f>
        <v/>
      </c>
      <c r="J568" s="11" t="inlineStr">
        <is>
          <t>не начат</t>
        </is>
      </c>
      <c r="K568" s="11" t="inlineStr"/>
    </row>
    <row r="569">
      <c r="A569" s="36" t="inlineStr">
        <is>
          <t>Ст-463</t>
        </is>
      </c>
      <c r="B569" s="37" t="inlineStr">
        <is>
          <t>10+</t>
        </is>
      </c>
      <c r="C569" s="11" t="inlineStr">
        <is>
          <t>Грамматика</t>
        </is>
      </c>
      <c r="D569" s="11" t="inlineStr">
        <is>
          <t>Comparative structures</t>
        </is>
      </c>
      <c r="E569" s="33" t="inlineStr">
        <is>
          <t>Comparative structures: much/a lot/far/a bit/slightly + comparative</t>
        </is>
      </c>
      <c r="F569" s="11" t="inlineStr">
        <is>
          <t>7 кл. · М7 · новое
9 кл. · М5 (5c) · повт.
10 кл. · М3 (3c) · повт.</t>
        </is>
      </c>
      <c r="G569" s="11" t="n">
        <v>3</v>
      </c>
      <c r="H569" s="11">
        <f>'Темы × классы'!R472</f>
        <v/>
      </c>
      <c r="I569" s="11">
        <f>'Темы × классы'!S472&amp;""</f>
        <v/>
      </c>
      <c r="J569" s="11" t="inlineStr">
        <is>
          <t>не начат</t>
        </is>
      </c>
      <c r="K569" s="11" t="inlineStr"/>
    </row>
    <row r="570">
      <c r="A570" s="36" t="inlineStr">
        <is>
          <t>Ст-464</t>
        </is>
      </c>
      <c r="B570" s="37" t="inlineStr">
        <is>
          <t>10+</t>
        </is>
      </c>
      <c r="C570" s="11" t="inlineStr">
        <is>
          <t>Грамматика</t>
        </is>
      </c>
      <c r="D570" s="11" t="inlineStr">
        <is>
          <t>Comparative structures</t>
        </is>
      </c>
      <c r="E570" s="33" t="inlineStr">
        <is>
          <t>Comparative structures: the + comparative …, the + comparative</t>
        </is>
      </c>
      <c r="F570" s="11" t="inlineStr">
        <is>
          <t>7 кл. · М7 · новое
9 кл. · М5 (5c) · повт.
10 кл. · М3 (3c) · повт.</t>
        </is>
      </c>
      <c r="G570" s="11" t="n">
        <v>3</v>
      </c>
      <c r="H570" s="11">
        <f>'Темы × классы'!R473</f>
        <v/>
      </c>
      <c r="I570" s="11">
        <f>'Темы × классы'!S473&amp;""</f>
        <v/>
      </c>
      <c r="J570" s="11" t="inlineStr">
        <is>
          <t>не начат</t>
        </is>
      </c>
      <c r="K570" s="11" t="inlineStr"/>
    </row>
    <row r="571">
      <c r="A571" s="36" t="inlineStr">
        <is>
          <t>Ст-465</t>
        </is>
      </c>
      <c r="B571" s="37" t="inlineStr">
        <is>
          <t>10+</t>
        </is>
      </c>
      <c r="C571" s="11" t="inlineStr">
        <is>
          <t>Грамматика</t>
        </is>
      </c>
      <c r="D571" s="11" t="inlineStr">
        <is>
          <t>Comparative structures</t>
        </is>
      </c>
      <c r="E571" s="33" t="inlineStr">
        <is>
          <t>Comparative structures: comparative and comparative (shorter and shorter)</t>
        </is>
      </c>
      <c r="F571" s="11" t="inlineStr">
        <is>
          <t>7 кл. · М7 · новое
9 кл. · М5 (5c) · повт.
10 кл. · М3 (3c) · повт.</t>
        </is>
      </c>
      <c r="G571" s="11" t="n">
        <v>3</v>
      </c>
      <c r="H571" s="11">
        <f>'Темы × классы'!R474</f>
        <v/>
      </c>
      <c r="I571" s="11">
        <f>'Темы × классы'!S474&amp;""</f>
        <v/>
      </c>
      <c r="J571" s="11" t="inlineStr">
        <is>
          <t>не начат</t>
        </is>
      </c>
      <c r="K571" s="11" t="inlineStr"/>
    </row>
    <row r="572">
      <c r="A572" s="36" t="inlineStr">
        <is>
          <t>Ст-466</t>
        </is>
      </c>
      <c r="B572" s="37" t="inlineStr">
        <is>
          <t>10+</t>
        </is>
      </c>
      <c r="C572" s="11" t="inlineStr">
        <is>
          <t>Грамматика</t>
        </is>
      </c>
      <c r="D572" s="11" t="inlineStr">
        <is>
          <t>Comparative structures</t>
        </is>
      </c>
      <c r="E572" s="33" t="inlineStr">
        <is>
          <t>Comparative structures: by far + the superlative</t>
        </is>
      </c>
      <c r="F572" s="11" t="inlineStr">
        <is>
          <t>7 кл. · М7 · новое
9 кл. · М5 (5c) · повт.
10 кл. · М3 (3c) · повт.</t>
        </is>
      </c>
      <c r="G572" s="11" t="n">
        <v>3</v>
      </c>
      <c r="H572" s="11">
        <f>'Темы × классы'!R475</f>
        <v/>
      </c>
      <c r="I572" s="11">
        <f>'Темы × классы'!S475&amp;""</f>
        <v/>
      </c>
      <c r="J572" s="11" t="inlineStr">
        <is>
          <t>не начат</t>
        </is>
      </c>
      <c r="K572" s="11" t="inlineStr"/>
    </row>
    <row r="573">
      <c r="A573" s="36" t="inlineStr">
        <is>
          <t>Ст-467</t>
        </is>
      </c>
      <c r="B573" s="37" t="inlineStr">
        <is>
          <t>10+</t>
        </is>
      </c>
      <c r="C573" s="11" t="inlineStr">
        <is>
          <t>Грамматика</t>
        </is>
      </c>
      <c r="D573" s="11" t="inlineStr">
        <is>
          <t>Comparative structures</t>
        </is>
      </c>
      <c r="E573" s="35" t="inlineStr">
        <is>
          <t>Comparative structures: twice / three times / half as … as</t>
        </is>
      </c>
      <c r="F573" s="11" t="inlineStr">
        <is>
          <t>10 кл. · М3 (3c) · новое</t>
        </is>
      </c>
      <c r="G573" s="11" t="n">
        <v>1</v>
      </c>
      <c r="H573" s="11">
        <f>'Темы × классы'!R476</f>
        <v/>
      </c>
      <c r="I573" s="11">
        <f>'Темы × классы'!S476&amp;""</f>
        <v/>
      </c>
      <c r="J573" s="11" t="inlineStr">
        <is>
          <t>не начат</t>
        </is>
      </c>
      <c r="K573" s="11" t="inlineStr"/>
    </row>
    <row r="574">
      <c r="A574" s="36" t="inlineStr">
        <is>
          <t>Ст-468</t>
        </is>
      </c>
      <c r="B574" s="37" t="inlineStr">
        <is>
          <t>10+</t>
        </is>
      </c>
      <c r="C574" s="11" t="inlineStr">
        <is>
          <t>Грамматика</t>
        </is>
      </c>
      <c r="D574" s="11" t="inlineStr">
        <is>
          <t>Comparative structures</t>
        </is>
      </c>
      <c r="E574" s="35" t="inlineStr">
        <is>
          <t>Comparative structures: the same … as</t>
        </is>
      </c>
      <c r="F574" s="11" t="inlineStr">
        <is>
          <t>10 кл. · М3 (3c) · новое</t>
        </is>
      </c>
      <c r="G574" s="11" t="n">
        <v>1</v>
      </c>
      <c r="H574" s="11">
        <f>'Темы × классы'!R477</f>
        <v/>
      </c>
      <c r="I574" s="11">
        <f>'Темы × классы'!S477&amp;""</f>
        <v/>
      </c>
      <c r="J574" s="11" t="inlineStr">
        <is>
          <t>не начат</t>
        </is>
      </c>
      <c r="K574" s="11" t="inlineStr"/>
    </row>
    <row r="575">
      <c r="A575" s="36" t="inlineStr">
        <is>
          <t>Ст-469</t>
        </is>
      </c>
      <c r="B575" s="37" t="inlineStr">
        <is>
          <t>10+</t>
        </is>
      </c>
      <c r="C575" s="11" t="inlineStr">
        <is>
          <t>Грамматика</t>
        </is>
      </c>
      <c r="D575" s="11" t="inlineStr">
        <is>
          <t>Comparative structures</t>
        </is>
      </c>
      <c r="E575" s="35" t="inlineStr">
        <is>
          <t>Comparative structures: look/sound/smell/taste + like</t>
        </is>
      </c>
      <c r="F575" s="11" t="inlineStr">
        <is>
          <t>10 кл. · М3 (3c) · новое</t>
        </is>
      </c>
      <c r="G575" s="11" t="n">
        <v>1</v>
      </c>
      <c r="H575" s="11">
        <f>'Темы × классы'!R478</f>
        <v/>
      </c>
      <c r="I575" s="11">
        <f>'Темы × классы'!S478&amp;""</f>
        <v/>
      </c>
      <c r="J575" s="11" t="inlineStr">
        <is>
          <t>не начат</t>
        </is>
      </c>
      <c r="K575" s="11" t="inlineStr"/>
    </row>
    <row r="576">
      <c r="A576" s="36" t="inlineStr">
        <is>
          <t>Ст-470</t>
        </is>
      </c>
      <c r="B576" s="37" t="inlineStr">
        <is>
          <t>10+</t>
        </is>
      </c>
      <c r="C576" s="11" t="inlineStr">
        <is>
          <t>Грамматика</t>
        </is>
      </c>
      <c r="D576" s="11" t="inlineStr">
        <is>
          <t>Adverbs of degree</t>
        </is>
      </c>
      <c r="E576" s="33" t="inlineStr">
        <is>
          <t>Adverbs of degree: сильная степень — really, very, extremely</t>
        </is>
      </c>
      <c r="F576" s="11" t="inlineStr">
        <is>
          <t>8 кл. · М1 (1d) · новое</t>
        </is>
      </c>
      <c r="G576" s="11" t="n">
        <v>1</v>
      </c>
      <c r="H576" s="11">
        <f>'Темы × классы'!R479</f>
        <v/>
      </c>
      <c r="I576" s="11">
        <f>'Темы × классы'!S479&amp;""</f>
        <v/>
      </c>
      <c r="J576" s="11" t="inlineStr">
        <is>
          <t>не начат</t>
        </is>
      </c>
      <c r="K576" s="11" t="inlineStr"/>
    </row>
    <row r="577">
      <c r="A577" s="36" t="inlineStr">
        <is>
          <t>Ст-471</t>
        </is>
      </c>
      <c r="B577" s="37" t="inlineStr">
        <is>
          <t>10+</t>
        </is>
      </c>
      <c r="C577" s="11" t="inlineStr">
        <is>
          <t>Грамматика</t>
        </is>
      </c>
      <c r="D577" s="11" t="inlineStr">
        <is>
          <t>Adverbs of degree</t>
        </is>
      </c>
      <c r="E577" s="33" t="inlineStr">
        <is>
          <t>Adverbs of degree: средняя степень — pretty, quite, rather</t>
        </is>
      </c>
      <c r="F577" s="11" t="inlineStr">
        <is>
          <t>8 кл. · М1 (1d) · новое</t>
        </is>
      </c>
      <c r="G577" s="11" t="n">
        <v>1</v>
      </c>
      <c r="H577" s="11">
        <f>'Темы × классы'!R480</f>
        <v/>
      </c>
      <c r="I577" s="11">
        <f>'Темы × классы'!S480&amp;""</f>
        <v/>
      </c>
      <c r="J577" s="11" t="inlineStr">
        <is>
          <t>не начат</t>
        </is>
      </c>
      <c r="K577" s="11" t="inlineStr"/>
    </row>
    <row r="578">
      <c r="A578" s="36" t="inlineStr">
        <is>
          <t>Ст-472</t>
        </is>
      </c>
      <c r="B578" s="37" t="inlineStr">
        <is>
          <t>10+</t>
        </is>
      </c>
      <c r="C578" s="11" t="inlineStr">
        <is>
          <t>Грамматика</t>
        </is>
      </c>
      <c r="D578" s="11" t="inlineStr">
        <is>
          <t>Adverbs of degree</t>
        </is>
      </c>
      <c r="E578" s="33" t="inlineStr">
        <is>
          <t>Adverbs of degree: слабая степень — a little, a bit</t>
        </is>
      </c>
      <c r="F578" s="11" t="inlineStr">
        <is>
          <t>8 кл. · М1 (1d) · новое</t>
        </is>
      </c>
      <c r="G578" s="11" t="n">
        <v>1</v>
      </c>
      <c r="H578" s="11">
        <f>'Темы × классы'!R481</f>
        <v/>
      </c>
      <c r="I578" s="11">
        <f>'Темы × классы'!S481&amp;""</f>
        <v/>
      </c>
      <c r="J578" s="11" t="inlineStr">
        <is>
          <t>не начат</t>
        </is>
      </c>
      <c r="K578" s="11" t="inlineStr"/>
    </row>
    <row r="579">
      <c r="A579" s="36" t="inlineStr">
        <is>
          <t>Ст-473</t>
        </is>
      </c>
      <c r="B579" s="37" t="inlineStr">
        <is>
          <t>10+</t>
        </is>
      </c>
      <c r="C579" s="11" t="inlineStr">
        <is>
          <t>Грамматика</t>
        </is>
      </c>
      <c r="D579" s="11" t="inlineStr">
        <is>
          <t>too / enough</t>
        </is>
      </c>
      <c r="E579" s="33" t="inlineStr">
        <is>
          <t>too / enough: too + прил./нареч. — чрезмерность</t>
        </is>
      </c>
      <c r="F579" s="11" t="inlineStr">
        <is>
          <t>8 кл. · М4 (4b) · новое
9 кл. · М2 (2c) · повт.</t>
        </is>
      </c>
      <c r="G579" s="11" t="n">
        <v>2</v>
      </c>
      <c r="H579" s="11">
        <f>'Темы × классы'!R482</f>
        <v/>
      </c>
      <c r="I579" s="11">
        <f>'Темы × классы'!S482&amp;""</f>
        <v/>
      </c>
      <c r="J579" s="11" t="inlineStr">
        <is>
          <t>не начат</t>
        </is>
      </c>
      <c r="K579" s="11" t="inlineStr"/>
    </row>
    <row r="580">
      <c r="A580" s="36" t="inlineStr">
        <is>
          <t>Ст-474</t>
        </is>
      </c>
      <c r="B580" s="37" t="inlineStr">
        <is>
          <t>10+</t>
        </is>
      </c>
      <c r="C580" s="11" t="inlineStr">
        <is>
          <t>Грамматика</t>
        </is>
      </c>
      <c r="D580" s="11" t="inlineStr">
        <is>
          <t>too / enough</t>
        </is>
      </c>
      <c r="E580" s="33" t="inlineStr">
        <is>
          <t>too / enough: прил./нареч. + enough — достаточность</t>
        </is>
      </c>
      <c r="F580" s="11" t="inlineStr">
        <is>
          <t>8 кл. · М4 (4b) · новое
9 кл. · М2 (2c) · повт.</t>
        </is>
      </c>
      <c r="G580" s="11" t="n">
        <v>2</v>
      </c>
      <c r="H580" s="11">
        <f>'Темы × классы'!R483</f>
        <v/>
      </c>
      <c r="I580" s="11">
        <f>'Темы × классы'!S483&amp;""</f>
        <v/>
      </c>
      <c r="J580" s="11" t="inlineStr">
        <is>
          <t>не начат</t>
        </is>
      </c>
      <c r="K580" s="11" t="inlineStr"/>
    </row>
    <row r="581">
      <c r="A581" s="36" t="inlineStr">
        <is>
          <t>Ст-475</t>
        </is>
      </c>
      <c r="B581" s="37" t="inlineStr">
        <is>
          <t>10+</t>
        </is>
      </c>
      <c r="C581" s="11" t="inlineStr">
        <is>
          <t>Грамматика</t>
        </is>
      </c>
      <c r="D581" s="11" t="inlineStr">
        <is>
          <t>too / enough</t>
        </is>
      </c>
      <c r="E581" s="35" t="inlineStr">
        <is>
          <t>too / enough: enough / not enough + существительное</t>
        </is>
      </c>
      <c r="F581" s="11" t="inlineStr">
        <is>
          <t>8 кл. · М4 (4b) · новое
9 кл. · М2 (2c) · повт.</t>
        </is>
      </c>
      <c r="G581" s="11" t="n">
        <v>2</v>
      </c>
      <c r="H581" s="11">
        <f>'Темы × классы'!R484</f>
        <v/>
      </c>
      <c r="I581" s="11">
        <f>'Темы × классы'!S484&amp;""</f>
        <v/>
      </c>
      <c r="J581" s="11" t="inlineStr">
        <is>
          <t>не начат</t>
        </is>
      </c>
      <c r="K581" s="11" t="inlineStr"/>
    </row>
    <row r="582">
      <c r="A582" s="36" t="inlineStr">
        <is>
          <t>Ст-476</t>
        </is>
      </c>
      <c r="B582" s="37" t="inlineStr">
        <is>
          <t>10+</t>
        </is>
      </c>
      <c r="C582" s="11" t="inlineStr">
        <is>
          <t>Грамматика</t>
        </is>
      </c>
      <c r="D582" s="11" t="inlineStr">
        <is>
          <t>too / enough</t>
        </is>
      </c>
      <c r="E582" s="35" t="inlineStr">
        <is>
          <t>too / enough: too … / … enough + to-infinitive</t>
        </is>
      </c>
      <c r="F582" s="11" t="inlineStr">
        <is>
          <t>8 кл. · М4 (4b) · новое
9 кл. · М2 (2c) · расш.</t>
        </is>
      </c>
      <c r="G582" s="11" t="n">
        <v>2</v>
      </c>
      <c r="H582" s="11">
        <f>'Темы × классы'!R485</f>
        <v/>
      </c>
      <c r="I582" s="11">
        <f>'Темы × классы'!S485&amp;""</f>
        <v/>
      </c>
      <c r="J582" s="11" t="inlineStr">
        <is>
          <t>не начат</t>
        </is>
      </c>
      <c r="K582" s="11" t="inlineStr"/>
    </row>
    <row r="583">
      <c r="A583" s="36" t="inlineStr">
        <is>
          <t>Ст-477</t>
        </is>
      </c>
      <c r="B583" s="37" t="inlineStr">
        <is>
          <t>10+</t>
        </is>
      </c>
      <c r="C583" s="11" t="inlineStr">
        <is>
          <t>Грамматика</t>
        </is>
      </c>
      <c r="D583" s="11" t="inlineStr">
        <is>
          <t>so / such</t>
        </is>
      </c>
      <c r="E583" s="35" t="inlineStr">
        <is>
          <t>so / such: so + прил./нареч.; so + many/much/few/little + сущ.</t>
        </is>
      </c>
      <c r="F583" s="11" t="inlineStr">
        <is>
          <t>9 кл. · М4 (4c) · новое
11 кл. · М2 (2c) · повт.</t>
        </is>
      </c>
      <c r="G583" s="11" t="n">
        <v>2</v>
      </c>
      <c r="H583" s="11">
        <f>'Темы × классы'!R486</f>
        <v/>
      </c>
      <c r="I583" s="11">
        <f>'Темы × классы'!S486&amp;""</f>
        <v/>
      </c>
      <c r="J583" s="11" t="inlineStr">
        <is>
          <t>не начат</t>
        </is>
      </c>
      <c r="K583" s="11" t="inlineStr"/>
    </row>
    <row r="584">
      <c r="A584" s="36" t="inlineStr">
        <is>
          <t>Ст-478</t>
        </is>
      </c>
      <c r="B584" s="37" t="inlineStr">
        <is>
          <t>10+</t>
        </is>
      </c>
      <c r="C584" s="11" t="inlineStr">
        <is>
          <t>Грамматика</t>
        </is>
      </c>
      <c r="D584" s="11" t="inlineStr">
        <is>
          <t>so / such</t>
        </is>
      </c>
      <c r="E584" s="35" t="inlineStr">
        <is>
          <t>so / such: such (a/an) + (прил.) + сущ.; such a lot of</t>
        </is>
      </c>
      <c r="F584" s="11" t="inlineStr">
        <is>
          <t>9 кл. · М4 (4c) · новое
11 кл. · М2 (2c) · повт.</t>
        </is>
      </c>
      <c r="G584" s="11" t="n">
        <v>2</v>
      </c>
      <c r="H584" s="11">
        <f>'Темы × классы'!R487</f>
        <v/>
      </c>
      <c r="I584" s="11">
        <f>'Темы × классы'!S487&amp;""</f>
        <v/>
      </c>
      <c r="J584" s="11" t="inlineStr">
        <is>
          <t>не начат</t>
        </is>
      </c>
      <c r="K584" s="11" t="inlineStr"/>
    </row>
    <row r="585">
      <c r="A585" s="36" t="inlineStr">
        <is>
          <t>Ст-479</t>
        </is>
      </c>
      <c r="B585" s="37" t="inlineStr">
        <is>
          <t>10+</t>
        </is>
      </c>
      <c r="C585" s="11" t="inlineStr">
        <is>
          <t>Грамматика</t>
        </is>
      </c>
      <c r="D585" s="11" t="inlineStr">
        <is>
          <t>so / such</t>
        </is>
      </c>
      <c r="E585" s="35" t="inlineStr">
        <is>
          <t>so / such: so + прил. + a(n) + сущ.</t>
        </is>
      </c>
      <c r="F585" s="11" t="inlineStr">
        <is>
          <t>9 кл. · М4 (4c) · новое
11 кл. · М2 (2c) · повт.</t>
        </is>
      </c>
      <c r="G585" s="11" t="n">
        <v>2</v>
      </c>
      <c r="H585" s="11">
        <f>'Темы × классы'!R488</f>
        <v/>
      </c>
      <c r="I585" s="11">
        <f>'Темы × классы'!S488&amp;""</f>
        <v/>
      </c>
      <c r="J585" s="11" t="inlineStr">
        <is>
          <t>не начат</t>
        </is>
      </c>
      <c r="K585" s="11" t="inlineStr"/>
    </row>
    <row r="586">
      <c r="A586" s="36" t="inlineStr">
        <is>
          <t>Ст-480</t>
        </is>
      </c>
      <c r="B586" s="37" t="inlineStr">
        <is>
          <t>10+</t>
        </is>
      </c>
      <c r="C586" s="11" t="inlineStr">
        <is>
          <t>Грамматика</t>
        </is>
      </c>
      <c r="D586" s="11" t="inlineStr">
        <is>
          <t>Ordinal numbers</t>
        </is>
      </c>
      <c r="E586" s="35" t="inlineStr">
        <is>
          <t>Ordinal numbers: first, second, third и составные (21st, 22nd)</t>
        </is>
      </c>
      <c r="F586" s="11" t="inlineStr">
        <is>
          <t>6 кл. · М2 (2a) · расш.</t>
        </is>
      </c>
      <c r="G586" s="11" t="n">
        <v>1</v>
      </c>
      <c r="H586" s="11">
        <f>'Темы × классы'!R489</f>
        <v/>
      </c>
      <c r="I586" s="11">
        <f>'Темы × классы'!S489&amp;""</f>
        <v/>
      </c>
      <c r="J586" s="11" t="inlineStr">
        <is>
          <t>не начат</t>
        </is>
      </c>
      <c r="K586" s="11" t="inlineStr"/>
    </row>
    <row r="587">
      <c r="A587" s="36" t="inlineStr">
        <is>
          <t>Ст-481</t>
        </is>
      </c>
      <c r="B587" s="37" t="inlineStr">
        <is>
          <t>10+</t>
        </is>
      </c>
      <c r="C587" s="11" t="inlineStr">
        <is>
          <t>Грамматика</t>
        </is>
      </c>
      <c r="D587" s="11" t="inlineStr">
        <is>
          <t>Ordinal numbers</t>
        </is>
      </c>
      <c r="E587" s="35" t="inlineStr">
        <is>
          <t>Ordinal numbers: образование с -th и орфография (fifth, ninth, twelfth, twentieth)</t>
        </is>
      </c>
      <c r="F587" s="11" t="inlineStr">
        <is>
          <t>6 кл. · М2 (2a) · расш.</t>
        </is>
      </c>
      <c r="G587" s="11" t="n">
        <v>1</v>
      </c>
      <c r="H587" s="11">
        <f>'Темы × классы'!R490</f>
        <v/>
      </c>
      <c r="I587" s="11">
        <f>'Темы × классы'!S490&amp;""</f>
        <v/>
      </c>
      <c r="J587" s="11" t="inlineStr">
        <is>
          <t>не начат</t>
        </is>
      </c>
      <c r="K587" s="11" t="inlineStr"/>
    </row>
    <row r="588">
      <c r="A588" s="36" t="inlineStr">
        <is>
          <t>Ст-482</t>
        </is>
      </c>
      <c r="B588" s="37" t="inlineStr">
        <is>
          <t>10+</t>
        </is>
      </c>
      <c r="C588" s="11" t="inlineStr">
        <is>
          <t>Грамматика</t>
        </is>
      </c>
      <c r="D588" s="11" t="inlineStr">
        <is>
          <t>Ordinal numbers</t>
        </is>
      </c>
      <c r="E588" s="35" t="inlineStr">
        <is>
          <t>Ordinal numbers: с артиклем the и даты</t>
        </is>
      </c>
      <c r="F588" s="11" t="inlineStr">
        <is>
          <t>6 кл. · М2 (2a) · расш.</t>
        </is>
      </c>
      <c r="G588" s="11" t="n">
        <v>1</v>
      </c>
      <c r="H588" s="11">
        <f>'Темы × классы'!R491</f>
        <v/>
      </c>
      <c r="I588" s="11">
        <f>'Темы × классы'!S491&amp;""</f>
        <v/>
      </c>
      <c r="J588" s="11" t="inlineStr">
        <is>
          <t>не начат</t>
        </is>
      </c>
      <c r="K588" s="11" t="inlineStr"/>
    </row>
    <row r="589">
      <c r="A589" s="36" t="inlineStr">
        <is>
          <t>Ст-483</t>
        </is>
      </c>
      <c r="B589" s="37" t="inlineStr">
        <is>
          <t>10+</t>
        </is>
      </c>
      <c r="C589" s="11" t="inlineStr">
        <is>
          <t>Грамматика</t>
        </is>
      </c>
      <c r="D589" s="11" t="inlineStr">
        <is>
          <t>Prepositions of place</t>
        </is>
      </c>
      <c r="E589" s="35" t="inlineStr">
        <is>
          <t>Prepositions of place: in, on, under</t>
        </is>
      </c>
      <c r="F589" s="11" t="inlineStr">
        <is>
          <t>5 кл. · М3 (3c) · повт.
6 кл. · М2 (2b) · повт.</t>
        </is>
      </c>
      <c r="G589" s="11" t="n">
        <v>2</v>
      </c>
      <c r="H589" s="11">
        <f>'Темы × классы'!R492</f>
        <v/>
      </c>
      <c r="I589" s="11">
        <f>'Темы × классы'!S492&amp;""</f>
        <v/>
      </c>
      <c r="J589" s="11" t="inlineStr">
        <is>
          <t>не начат</t>
        </is>
      </c>
      <c r="K589" s="11" t="inlineStr"/>
    </row>
    <row r="590">
      <c r="A590" s="36" t="inlineStr">
        <is>
          <t>Ст-484</t>
        </is>
      </c>
      <c r="B590" s="37" t="inlineStr">
        <is>
          <t>10+</t>
        </is>
      </c>
      <c r="C590" s="11" t="inlineStr">
        <is>
          <t>Грамматика</t>
        </is>
      </c>
      <c r="D590" s="11" t="inlineStr">
        <is>
          <t>Prepositions of place</t>
        </is>
      </c>
      <c r="E590" s="35" t="inlineStr">
        <is>
          <t>Prepositions of place: next to, in front of, behind</t>
        </is>
      </c>
      <c r="F590" s="11" t="inlineStr">
        <is>
          <t>5 кл. · М3 (3c) · повт.
6 кл. · М2 (2b) · повт.</t>
        </is>
      </c>
      <c r="G590" s="11" t="n">
        <v>2</v>
      </c>
      <c r="H590" s="11">
        <f>'Темы × классы'!R493</f>
        <v/>
      </c>
      <c r="I590" s="11">
        <f>'Темы × классы'!S493&amp;""</f>
        <v/>
      </c>
      <c r="J590" s="11" t="inlineStr">
        <is>
          <t>не начат</t>
        </is>
      </c>
      <c r="K590" s="11" t="inlineStr"/>
    </row>
    <row r="591">
      <c r="A591" s="36" t="inlineStr">
        <is>
          <t>Ст-485</t>
        </is>
      </c>
      <c r="B591" s="37" t="inlineStr">
        <is>
          <t>10+</t>
        </is>
      </c>
      <c r="C591" s="11" t="inlineStr">
        <is>
          <t>Грамматика</t>
        </is>
      </c>
      <c r="D591" s="11" t="inlineStr">
        <is>
          <t>Prepositions of place</t>
        </is>
      </c>
      <c r="E591" s="35" t="inlineStr">
        <is>
          <t>Prepositions of place: opposite, between</t>
        </is>
      </c>
      <c r="F591" s="11" t="inlineStr">
        <is>
          <t>6 кл. · М2 (2b) · повт.</t>
        </is>
      </c>
      <c r="G591" s="11" t="n">
        <v>1</v>
      </c>
      <c r="H591" s="11">
        <f>'Темы × классы'!R494</f>
        <v/>
      </c>
      <c r="I591" s="11">
        <f>'Темы × классы'!S494&amp;""</f>
        <v/>
      </c>
      <c r="J591" s="11" t="inlineStr">
        <is>
          <t>не начат</t>
        </is>
      </c>
      <c r="K591" s="11" t="inlineStr"/>
    </row>
    <row r="592">
      <c r="A592" s="36" t="inlineStr">
        <is>
          <t>Ст-486</t>
        </is>
      </c>
      <c r="B592" s="37" t="inlineStr">
        <is>
          <t>10+</t>
        </is>
      </c>
      <c r="C592" s="11" t="inlineStr">
        <is>
          <t>Грамматика</t>
        </is>
      </c>
      <c r="D592" s="11" t="inlineStr">
        <is>
          <t>Prepositions of place</t>
        </is>
      </c>
      <c r="E592" s="35" t="inlineStr">
        <is>
          <t>Prepositions of place: near, beside</t>
        </is>
      </c>
      <c r="F592" s="11" t="inlineStr">
        <is>
          <t>6 кл. · М2 (2b) · новое</t>
        </is>
      </c>
      <c r="G592" s="11" t="n">
        <v>1</v>
      </c>
      <c r="H592" s="11">
        <f>'Темы × классы'!R495</f>
        <v/>
      </c>
      <c r="I592" s="11">
        <f>'Темы × классы'!S495&amp;""</f>
        <v/>
      </c>
      <c r="J592" s="11" t="inlineStr">
        <is>
          <t>не начат</t>
        </is>
      </c>
      <c r="K592" s="11" t="inlineStr"/>
    </row>
    <row r="593">
      <c r="A593" s="36" t="inlineStr">
        <is>
          <t>Ст-487</t>
        </is>
      </c>
      <c r="B593" s="37" t="inlineStr">
        <is>
          <t>10+</t>
        </is>
      </c>
      <c r="C593" s="11" t="inlineStr">
        <is>
          <t>Грамматика</t>
        </is>
      </c>
      <c r="D593" s="11" t="inlineStr">
        <is>
          <t>Prepositions of place</t>
        </is>
      </c>
      <c r="E593" s="35" t="inlineStr">
        <is>
          <t>Prepositions of place: at — at school/work/home, в адресах</t>
        </is>
      </c>
      <c r="F593" s="11" t="inlineStr">
        <is>
          <t>5 кл. · М3 (3c) · новое
6 кл. · М2 (2b) · повт.</t>
        </is>
      </c>
      <c r="G593" s="11" t="n">
        <v>2</v>
      </c>
      <c r="H593" s="11">
        <f>'Темы × классы'!R496</f>
        <v/>
      </c>
      <c r="I593" s="11">
        <f>'Темы × классы'!S496&amp;""</f>
        <v/>
      </c>
      <c r="J593" s="11" t="inlineStr">
        <is>
          <t>не начат</t>
        </is>
      </c>
      <c r="K593" s="11" t="inlineStr"/>
    </row>
    <row r="594">
      <c r="A594" s="36" t="inlineStr">
        <is>
          <t>Ст-488</t>
        </is>
      </c>
      <c r="B594" s="37" t="inlineStr">
        <is>
          <t>10+</t>
        </is>
      </c>
      <c r="C594" s="11" t="inlineStr">
        <is>
          <t>Грамматика</t>
        </is>
      </c>
      <c r="D594" s="11" t="inlineStr">
        <is>
          <t>Prepositions of place</t>
        </is>
      </c>
      <c r="E594" s="35" t="inlineStr">
        <is>
          <t>Prepositions of place: in — устойчивые выражения (in bed, in hospital, in the sky, in a picture)</t>
        </is>
      </c>
      <c r="F594" s="11" t="inlineStr">
        <is>
          <t>5 кл. · М3 (3c) · новое
6 кл. · М2 (2b) · повт.</t>
        </is>
      </c>
      <c r="G594" s="11" t="n">
        <v>2</v>
      </c>
      <c r="H594" s="11">
        <f>'Темы × классы'!R497</f>
        <v/>
      </c>
      <c r="I594" s="11">
        <f>'Темы × классы'!S497&amp;""</f>
        <v/>
      </c>
      <c r="J594" s="11" t="inlineStr">
        <is>
          <t>не начат</t>
        </is>
      </c>
      <c r="K594" s="11" t="inlineStr"/>
    </row>
    <row r="595">
      <c r="A595" s="36" t="inlineStr">
        <is>
          <t>Ст-489</t>
        </is>
      </c>
      <c r="B595" s="37" t="inlineStr">
        <is>
          <t>10+</t>
        </is>
      </c>
      <c r="C595" s="11" t="inlineStr">
        <is>
          <t>Грамматика</t>
        </is>
      </c>
      <c r="D595" s="11" t="inlineStr">
        <is>
          <t>Prepositions of place</t>
        </is>
      </c>
      <c r="E595" s="35" t="inlineStr">
        <is>
          <t>Prepositions of place: in — города, страны, континенты</t>
        </is>
      </c>
      <c r="F595" s="11" t="inlineStr">
        <is>
          <t>5 кл. · М3 (3c) · новое
6 кл. · М2 (2b) · повт.</t>
        </is>
      </c>
      <c r="G595" s="11" t="n">
        <v>2</v>
      </c>
      <c r="H595" s="11">
        <f>'Темы × классы'!R498</f>
        <v/>
      </c>
      <c r="I595" s="11">
        <f>'Темы × классы'!S498&amp;""</f>
        <v/>
      </c>
      <c r="J595" s="11" t="inlineStr">
        <is>
          <t>не начат</t>
        </is>
      </c>
      <c r="K595" s="11" t="inlineStr"/>
    </row>
    <row r="596">
      <c r="A596" s="36" t="inlineStr">
        <is>
          <t>Ст-490</t>
        </is>
      </c>
      <c r="B596" s="37" t="inlineStr">
        <is>
          <t>10+</t>
        </is>
      </c>
      <c r="C596" s="11" t="inlineStr">
        <is>
          <t>Грамматика</t>
        </is>
      </c>
      <c r="D596" s="11" t="inlineStr">
        <is>
          <t>Prepositions of place</t>
        </is>
      </c>
      <c r="E596" s="35" t="inlineStr">
        <is>
          <t>Prepositions of place: on — on the left/right, on the first floor</t>
        </is>
      </c>
      <c r="F596" s="11" t="inlineStr">
        <is>
          <t>5 кл. · М3 (3c) · новое
6 кл. · М2 (2b) · повт.</t>
        </is>
      </c>
      <c r="G596" s="11" t="n">
        <v>2</v>
      </c>
      <c r="H596" s="11">
        <f>'Темы × классы'!R499</f>
        <v/>
      </c>
      <c r="I596" s="11">
        <f>'Темы × классы'!S499&amp;""</f>
        <v/>
      </c>
      <c r="J596" s="11" t="inlineStr">
        <is>
          <t>не начат</t>
        </is>
      </c>
      <c r="K596" s="11" t="inlineStr"/>
    </row>
    <row r="597">
      <c r="A597" s="36" t="inlineStr">
        <is>
          <t>Ст-491</t>
        </is>
      </c>
      <c r="B597" s="37" t="inlineStr">
        <is>
          <t>10+</t>
        </is>
      </c>
      <c r="C597" s="11" t="inlineStr">
        <is>
          <t>Грамматика</t>
        </is>
      </c>
      <c r="D597" s="11" t="inlineStr">
        <is>
          <t>Prepositions of time</t>
        </is>
      </c>
      <c r="E597" s="35" t="inlineStr">
        <is>
          <t>Prepositions of time: at — время, праздники, at night/at noon/at the weekend</t>
        </is>
      </c>
      <c r="F597" s="11" t="inlineStr">
        <is>
          <t>5 кл. · М6 (6a) · расш.
6 кл. · М2 (2a) · повт.</t>
        </is>
      </c>
      <c r="G597" s="11" t="n">
        <v>2</v>
      </c>
      <c r="H597" s="11">
        <f>'Темы × классы'!R500</f>
        <v/>
      </c>
      <c r="I597" s="11">
        <f>'Темы × классы'!S500&amp;""</f>
        <v/>
      </c>
      <c r="J597" s="11" t="inlineStr">
        <is>
          <t>не начат</t>
        </is>
      </c>
      <c r="K597" s="11" t="inlineStr"/>
    </row>
    <row r="598">
      <c r="A598" s="36" t="inlineStr">
        <is>
          <t>Ст-492</t>
        </is>
      </c>
      <c r="B598" s="37" t="inlineStr">
        <is>
          <t>10+</t>
        </is>
      </c>
      <c r="C598" s="11" t="inlineStr">
        <is>
          <t>Грамматика</t>
        </is>
      </c>
      <c r="D598" s="11" t="inlineStr">
        <is>
          <t>Prepositions of time</t>
        </is>
      </c>
      <c r="E598" s="35" t="inlineStr">
        <is>
          <t>Prepositions of time: on — дни недели и праздничные дни</t>
        </is>
      </c>
      <c r="F598" s="11" t="inlineStr">
        <is>
          <t>5 кл. · М6 (6a) · повт.
6 кл. · М2 (2a) · повт.</t>
        </is>
      </c>
      <c r="G598" s="11" t="n">
        <v>2</v>
      </c>
      <c r="H598" s="11">
        <f>'Темы × классы'!R501</f>
        <v/>
      </c>
      <c r="I598" s="11">
        <f>'Темы × классы'!S501&amp;""</f>
        <v/>
      </c>
      <c r="J598" s="11" t="inlineStr">
        <is>
          <t>не начат</t>
        </is>
      </c>
      <c r="K598" s="11" t="inlineStr"/>
    </row>
    <row r="599">
      <c r="A599" s="36" t="inlineStr">
        <is>
          <t>Ст-493</t>
        </is>
      </c>
      <c r="B599" s="37" t="inlineStr">
        <is>
          <t>10+</t>
        </is>
      </c>
      <c r="C599" s="11" t="inlineStr">
        <is>
          <t>Грамматика</t>
        </is>
      </c>
      <c r="D599" s="11" t="inlineStr">
        <is>
          <t>Prepositions of time</t>
        </is>
      </c>
      <c r="E599" s="35" t="inlineStr">
        <is>
          <t>Prepositions of time: on — даты, день недели + часть дня, on a hot day</t>
        </is>
      </c>
      <c r="F599" s="11" t="inlineStr">
        <is>
          <t>5 кл. · М6 (6a) · новое
6 кл. · М2 (2a) · повт.</t>
        </is>
      </c>
      <c r="G599" s="11" t="n">
        <v>2</v>
      </c>
      <c r="H599" s="11">
        <f>'Темы × классы'!R502</f>
        <v/>
      </c>
      <c r="I599" s="11">
        <f>'Темы × классы'!S502&amp;""</f>
        <v/>
      </c>
      <c r="J599" s="11" t="inlineStr">
        <is>
          <t>не начат</t>
        </is>
      </c>
      <c r="K599" s="11" t="inlineStr"/>
    </row>
    <row r="600">
      <c r="A600" s="36" t="inlineStr">
        <is>
          <t>Ст-494</t>
        </is>
      </c>
      <c r="B600" s="37" t="inlineStr">
        <is>
          <t>10+</t>
        </is>
      </c>
      <c r="C600" s="11" t="inlineStr">
        <is>
          <t>Грамматика</t>
        </is>
      </c>
      <c r="D600" s="11" t="inlineStr">
        <is>
          <t>Prepositions of time</t>
        </is>
      </c>
      <c r="E600" s="35" t="inlineStr">
        <is>
          <t>Prepositions of time: in — части суток (in the morning/afternoon/evening)</t>
        </is>
      </c>
      <c r="F600" s="11" t="inlineStr">
        <is>
          <t>5 кл. · М6 (6a) · повт.
6 кл. · М2 (2a) · повт.</t>
        </is>
      </c>
      <c r="G600" s="11" t="n">
        <v>2</v>
      </c>
      <c r="H600" s="11">
        <f>'Темы × классы'!R503</f>
        <v/>
      </c>
      <c r="I600" s="11">
        <f>'Темы × классы'!S503&amp;""</f>
        <v/>
      </c>
      <c r="J600" s="11" t="inlineStr">
        <is>
          <t>не начат</t>
        </is>
      </c>
      <c r="K600" s="11" t="inlineStr"/>
    </row>
    <row r="601">
      <c r="A601" s="36" t="inlineStr">
        <is>
          <t>Ст-495</t>
        </is>
      </c>
      <c r="B601" s="37" t="inlineStr">
        <is>
          <t>10+</t>
        </is>
      </c>
      <c r="C601" s="11" t="inlineStr">
        <is>
          <t>Грамматика</t>
        </is>
      </c>
      <c r="D601" s="11" t="inlineStr">
        <is>
          <t>Prepositions of time</t>
        </is>
      </c>
      <c r="E601" s="35" t="inlineStr">
        <is>
          <t>Prepositions of time: in — месяцы, времена года, годы, века</t>
        </is>
      </c>
      <c r="F601" s="11" t="inlineStr">
        <is>
          <t>5 кл. · М6 (6a) · новое
6 кл. · М2 (2a) · повт.</t>
        </is>
      </c>
      <c r="G601" s="11" t="n">
        <v>2</v>
      </c>
      <c r="H601" s="11">
        <f>'Темы × классы'!R504</f>
        <v/>
      </c>
      <c r="I601" s="11">
        <f>'Темы × классы'!S504&amp;""</f>
        <v/>
      </c>
      <c r="J601" s="11" t="inlineStr">
        <is>
          <t>не начат</t>
        </is>
      </c>
      <c r="K601" s="11" t="inlineStr"/>
    </row>
    <row r="602">
      <c r="A602" s="36" t="inlineStr">
        <is>
          <t>Ст-496</t>
        </is>
      </c>
      <c r="B602" s="37" t="inlineStr">
        <is>
          <t>10+</t>
        </is>
      </c>
      <c r="C602" s="11" t="inlineStr">
        <is>
          <t>Грамматика</t>
        </is>
      </c>
      <c r="D602" s="11" t="inlineStr">
        <is>
          <t>Prepositions of time</t>
        </is>
      </c>
      <c r="E602" s="35" t="inlineStr">
        <is>
          <t>Prepositions of time: in = «через» (in an hour, in a week)</t>
        </is>
      </c>
      <c r="F602" s="11" t="inlineStr">
        <is>
          <t>5 кл. · М6 (6a) · новое
6 кл. · М2 (2a) · повт.</t>
        </is>
      </c>
      <c r="G602" s="11" t="n">
        <v>2</v>
      </c>
      <c r="H602" s="11">
        <f>'Темы × классы'!R505</f>
        <v/>
      </c>
      <c r="I602" s="11">
        <f>'Темы × классы'!S505&amp;""</f>
        <v/>
      </c>
      <c r="J602" s="11" t="inlineStr">
        <is>
          <t>не начат</t>
        </is>
      </c>
      <c r="K602" s="11" t="inlineStr"/>
    </row>
    <row r="603">
      <c r="A603" s="36" t="inlineStr">
        <is>
          <t>Ст-497</t>
        </is>
      </c>
      <c r="B603" s="37" t="inlineStr">
        <is>
          <t>10+</t>
        </is>
      </c>
      <c r="C603" s="11" t="inlineStr">
        <is>
          <t>Грамматика</t>
        </is>
      </c>
      <c r="D603" s="11" t="inlineStr">
        <is>
          <t>Like / As</t>
        </is>
      </c>
      <c r="E603" s="35" t="inlineStr">
        <is>
          <t>Like / As: like — сходство; после feel, look, smell, taste, sound</t>
        </is>
      </c>
      <c r="F603" s="11" t="inlineStr">
        <is>
          <t>10 кл. · М3 (3c) · новое</t>
        </is>
      </c>
      <c r="G603" s="11" t="n">
        <v>1</v>
      </c>
      <c r="H603" s="11">
        <f>'Темы × классы'!R506</f>
        <v/>
      </c>
      <c r="I603" s="11">
        <f>'Темы × классы'!S506&amp;""</f>
        <v/>
      </c>
      <c r="J603" s="11" t="inlineStr">
        <is>
          <t>не начат</t>
        </is>
      </c>
      <c r="K603" s="11" t="inlineStr"/>
    </row>
    <row r="604">
      <c r="A604" s="36" t="inlineStr">
        <is>
          <t>Ст-498</t>
        </is>
      </c>
      <c r="B604" s="37" t="inlineStr">
        <is>
          <t>10+</t>
        </is>
      </c>
      <c r="C604" s="11" t="inlineStr">
        <is>
          <t>Грамматика</t>
        </is>
      </c>
      <c r="D604" s="11" t="inlineStr">
        <is>
          <t>Like / As</t>
        </is>
      </c>
      <c r="E604" s="35" t="inlineStr">
        <is>
          <t>Like / As: as — роль, профессия; после regard, describe, be known; as usual, such as, the same as</t>
        </is>
      </c>
      <c r="F604" s="11" t="inlineStr">
        <is>
          <t>10 кл. · М3 (3c) · новое</t>
        </is>
      </c>
      <c r="G604" s="11" t="n">
        <v>1</v>
      </c>
      <c r="H604" s="11">
        <f>'Темы × классы'!R507</f>
        <v/>
      </c>
      <c r="I604" s="11">
        <f>'Темы × классы'!S507&amp;""</f>
        <v/>
      </c>
      <c r="J604" s="11" t="inlineStr">
        <is>
          <t>не начат</t>
        </is>
      </c>
      <c r="K604" s="11" t="inlineStr"/>
    </row>
    <row r="605">
      <c r="A605" s="36" t="inlineStr">
        <is>
          <t>Ст-499</t>
        </is>
      </c>
      <c r="B605" s="37" t="inlineStr">
        <is>
          <t>10+</t>
        </is>
      </c>
      <c r="C605" s="11" t="inlineStr">
        <is>
          <t>Грамматика</t>
        </is>
      </c>
      <c r="D605" s="11" t="inlineStr">
        <is>
          <t>Like / As</t>
        </is>
      </c>
      <c r="E605" s="35" t="inlineStr">
        <is>
          <t>Like / As: like vs as — сходство vs реальная роль</t>
        </is>
      </c>
      <c r="F605" s="11" t="inlineStr">
        <is>
          <t>10 кл. · М3 (3c) · новое</t>
        </is>
      </c>
      <c r="G605" s="11" t="n">
        <v>1</v>
      </c>
      <c r="H605" s="11">
        <f>'Темы × классы'!R508</f>
        <v/>
      </c>
      <c r="I605" s="11">
        <f>'Темы × классы'!S508&amp;""</f>
        <v/>
      </c>
      <c r="J605" s="11" t="inlineStr">
        <is>
          <t>не начат</t>
        </is>
      </c>
      <c r="K605" s="11" t="inlineStr"/>
    </row>
    <row r="606">
      <c r="A606" s="36" t="inlineStr">
        <is>
          <t>Ст-500</t>
        </is>
      </c>
      <c r="B606" s="37" t="inlineStr">
        <is>
          <t>10+</t>
        </is>
      </c>
      <c r="C606" s="11" t="inlineStr">
        <is>
          <t>Грамматика</t>
        </is>
      </c>
      <c r="D606" s="11" t="inlineStr">
        <is>
          <t>There is / There are</t>
        </is>
      </c>
      <c r="E606" s="35" t="inlineStr">
        <is>
          <t>There is / There are: there is — утверждение (ед. ч.)</t>
        </is>
      </c>
      <c r="F606" s="11" t="inlineStr">
        <is>
          <t>5 кл. · М3 (3b) · повт.</t>
        </is>
      </c>
      <c r="G606" s="11" t="n">
        <v>1</v>
      </c>
      <c r="H606" s="11">
        <f>'Темы × классы'!R512</f>
        <v/>
      </c>
      <c r="I606" s="11">
        <f>'Темы × классы'!S512&amp;""</f>
        <v/>
      </c>
      <c r="J606" s="11" t="inlineStr">
        <is>
          <t>не начат</t>
        </is>
      </c>
      <c r="K606" s="11" t="inlineStr"/>
    </row>
    <row r="607">
      <c r="A607" s="36" t="inlineStr">
        <is>
          <t>Ст-501</t>
        </is>
      </c>
      <c r="B607" s="37" t="inlineStr">
        <is>
          <t>10+</t>
        </is>
      </c>
      <c r="C607" s="11" t="inlineStr">
        <is>
          <t>Грамматика</t>
        </is>
      </c>
      <c r="D607" s="11" t="inlineStr">
        <is>
          <t>There is / There are</t>
        </is>
      </c>
      <c r="E607" s="35" t="inlineStr">
        <is>
          <t>There is / There are: there are — утверждение (мн. ч.)</t>
        </is>
      </c>
      <c r="F607" s="11" t="inlineStr">
        <is>
          <t>5 кл. · М3 (3b) · повт.</t>
        </is>
      </c>
      <c r="G607" s="11" t="n">
        <v>1</v>
      </c>
      <c r="H607" s="11">
        <f>'Темы × классы'!R513</f>
        <v/>
      </c>
      <c r="I607" s="11">
        <f>'Темы × классы'!S513&amp;""</f>
        <v/>
      </c>
      <c r="J607" s="11" t="inlineStr">
        <is>
          <t>не начат</t>
        </is>
      </c>
      <c r="K607" s="11" t="inlineStr"/>
    </row>
    <row r="608">
      <c r="A608" s="36" t="inlineStr">
        <is>
          <t>Ст-502</t>
        </is>
      </c>
      <c r="B608" s="37" t="inlineStr">
        <is>
          <t>10+</t>
        </is>
      </c>
      <c r="C608" s="11" t="inlineStr">
        <is>
          <t>Грамматика</t>
        </is>
      </c>
      <c r="D608" s="11" t="inlineStr">
        <is>
          <t>There is / There are</t>
        </is>
      </c>
      <c r="E608" s="35" t="inlineStr">
        <is>
          <t>There is / There are: отрицание — there isn't / there aren't</t>
        </is>
      </c>
      <c r="F608" s="11" t="inlineStr">
        <is>
          <t>5 кл. · М3 (3b) · повт.</t>
        </is>
      </c>
      <c r="G608" s="11" t="n">
        <v>1</v>
      </c>
      <c r="H608" s="11">
        <f>'Темы × классы'!R514</f>
        <v/>
      </c>
      <c r="I608" s="11">
        <f>'Темы × классы'!S514&amp;""</f>
        <v/>
      </c>
      <c r="J608" s="11" t="inlineStr">
        <is>
          <t>не начат</t>
        </is>
      </c>
      <c r="K608" s="11" t="inlineStr"/>
    </row>
    <row r="609">
      <c r="A609" s="36" t="inlineStr">
        <is>
          <t>Ст-503</t>
        </is>
      </c>
      <c r="B609" s="37" t="inlineStr">
        <is>
          <t>10+</t>
        </is>
      </c>
      <c r="C609" s="11" t="inlineStr">
        <is>
          <t>Грамматика</t>
        </is>
      </c>
      <c r="D609" s="11" t="inlineStr">
        <is>
          <t>There is / There are</t>
        </is>
      </c>
      <c r="E609" s="35" t="inlineStr">
        <is>
          <t>There is / There are: вопросы — Is there…? / Are there…?</t>
        </is>
      </c>
      <c r="F609" s="11" t="inlineStr">
        <is>
          <t>5 кл. · М3 (3b) · повт.</t>
        </is>
      </c>
      <c r="G609" s="11" t="n">
        <v>1</v>
      </c>
      <c r="H609" s="11">
        <f>'Темы × классы'!R515</f>
        <v/>
      </c>
      <c r="I609" s="11">
        <f>'Темы × классы'!S515&amp;""</f>
        <v/>
      </c>
      <c r="J609" s="11" t="inlineStr">
        <is>
          <t>не начат</t>
        </is>
      </c>
      <c r="K609" s="11" t="inlineStr"/>
    </row>
    <row r="610">
      <c r="A610" s="36" t="inlineStr">
        <is>
          <t>Ст-504</t>
        </is>
      </c>
      <c r="B610" s="37" t="inlineStr">
        <is>
          <t>10+</t>
        </is>
      </c>
      <c r="C610" s="11" t="inlineStr">
        <is>
          <t>Грамматика</t>
        </is>
      </c>
      <c r="D610" s="11" t="inlineStr">
        <is>
          <t>There is / There are</t>
        </is>
      </c>
      <c r="E610" s="35" t="inlineStr">
        <is>
          <t>There is / There are: some / any в конструкции</t>
        </is>
      </c>
      <c r="F610" s="11" t="inlineStr">
        <is>
          <t>5 кл. · М3 (3b) · новое</t>
        </is>
      </c>
      <c r="G610" s="11" t="n">
        <v>1</v>
      </c>
      <c r="H610" s="11">
        <f>'Темы × классы'!R516</f>
        <v/>
      </c>
      <c r="I610" s="11">
        <f>'Темы × классы'!S516&amp;""</f>
        <v/>
      </c>
      <c r="J610" s="11" t="inlineStr">
        <is>
          <t>не начат</t>
        </is>
      </c>
      <c r="K610" s="11" t="inlineStr"/>
    </row>
    <row r="611">
      <c r="A611" s="36" t="inlineStr">
        <is>
          <t>Ст-505</t>
        </is>
      </c>
      <c r="B611" s="37" t="inlineStr">
        <is>
          <t>10+</t>
        </is>
      </c>
      <c r="C611" s="11" t="inlineStr">
        <is>
          <t>Грамматика</t>
        </is>
      </c>
      <c r="D611" s="11" t="inlineStr">
        <is>
          <t>Alternative questions</t>
        </is>
      </c>
      <c r="E611" s="33" t="inlineStr">
        <is>
          <t>Alternative questions: образование (общий вопрос + or) — be, have got</t>
        </is>
      </c>
      <c r="F611" s="11" t="inlineStr">
        <is>
          <t>5 кл. · М1 (1b) · новое</t>
        </is>
      </c>
      <c r="G611" s="11" t="n">
        <v>1</v>
      </c>
      <c r="H611" s="11">
        <f>'Темы × классы'!R517</f>
        <v/>
      </c>
      <c r="I611" s="11">
        <f>'Темы × классы'!S517&amp;""</f>
        <v/>
      </c>
      <c r="J611" s="11" t="inlineStr">
        <is>
          <t>не начат</t>
        </is>
      </c>
      <c r="K611" s="11" t="inlineStr"/>
    </row>
    <row r="612">
      <c r="A612" s="36" t="inlineStr">
        <is>
          <t>Ст-506</t>
        </is>
      </c>
      <c r="B612" s="37" t="inlineStr">
        <is>
          <t>10+</t>
        </is>
      </c>
      <c r="C612" s="11" t="inlineStr">
        <is>
          <t>Грамматика</t>
        </is>
      </c>
      <c r="D612" s="11" t="inlineStr">
        <is>
          <t>Alternative questions</t>
        </is>
      </c>
      <c r="E612" s="33" t="inlineStr">
        <is>
          <t>Alternative questions: в Present Simple (do/does … or …)</t>
        </is>
      </c>
      <c r="F612" s="11" t="inlineStr">
        <is>
          <t>5 кл. · М1 (1b) · новое
5 кл. · М5 (5b) · повт.</t>
        </is>
      </c>
      <c r="G612" s="11" t="n">
        <v>2</v>
      </c>
      <c r="H612" s="11">
        <f>'Темы × классы'!R518</f>
        <v/>
      </c>
      <c r="I612" s="11">
        <f>'Темы × классы'!S518&amp;""</f>
        <v/>
      </c>
      <c r="J612" s="11" t="inlineStr">
        <is>
          <t>не начат</t>
        </is>
      </c>
      <c r="K612" s="11" t="inlineStr"/>
    </row>
    <row r="613">
      <c r="A613" s="36" t="inlineStr">
        <is>
          <t>Ст-507</t>
        </is>
      </c>
      <c r="B613" s="37" t="inlineStr">
        <is>
          <t>10+</t>
        </is>
      </c>
      <c r="C613" s="11" t="inlineStr">
        <is>
          <t>Грамматика</t>
        </is>
      </c>
      <c r="D613" s="11" t="inlineStr">
        <is>
          <t>Imperative</t>
        </is>
      </c>
      <c r="E613" s="33" t="inlineStr">
        <is>
          <t>Imperative: утверждение — инфинитив без to</t>
        </is>
      </c>
      <c r="F613" s="11" t="inlineStr">
        <is>
          <t>5 кл. · М1 (1a) · новое
5 кл. · М4 (4b) · расш.
6 кл. · М3 (3a) · повт.</t>
        </is>
      </c>
      <c r="G613" s="11" t="n">
        <v>3</v>
      </c>
      <c r="H613" s="11">
        <f>'Темы × классы'!R519</f>
        <v/>
      </c>
      <c r="I613" s="11">
        <f>'Темы × классы'!S519&amp;""</f>
        <v/>
      </c>
      <c r="J613" s="11" t="inlineStr">
        <is>
          <t>не начат</t>
        </is>
      </c>
      <c r="K613" s="11" t="inlineStr"/>
    </row>
    <row r="614">
      <c r="A614" s="36" t="inlineStr">
        <is>
          <t>Ст-508</t>
        </is>
      </c>
      <c r="B614" s="37" t="inlineStr">
        <is>
          <t>10+</t>
        </is>
      </c>
      <c r="C614" s="11" t="inlineStr">
        <is>
          <t>Грамматика</t>
        </is>
      </c>
      <c r="D614" s="11" t="inlineStr">
        <is>
          <t>Imperative</t>
        </is>
      </c>
      <c r="E614" s="33" t="inlineStr">
        <is>
          <t>Imperative: отрицание — Don't + инфинитив</t>
        </is>
      </c>
      <c r="F614" s="11" t="inlineStr">
        <is>
          <t>5 кл. · М1 (1a) · новое
5 кл. · М4 (4b) · повт.
6 кл. · М3 (3a) · повт.</t>
        </is>
      </c>
      <c r="G614" s="11" t="n">
        <v>3</v>
      </c>
      <c r="H614" s="11">
        <f>'Темы × классы'!R520</f>
        <v/>
      </c>
      <c r="I614" s="11">
        <f>'Темы × классы'!S520&amp;""</f>
        <v/>
      </c>
      <c r="J614" s="11" t="inlineStr">
        <is>
          <t>не начат</t>
        </is>
      </c>
      <c r="K614" s="11" t="inlineStr"/>
    </row>
    <row r="615">
      <c r="A615" s="36" t="inlineStr">
        <is>
          <t>Ст-509</t>
        </is>
      </c>
      <c r="B615" s="37" t="inlineStr">
        <is>
          <t>10+</t>
        </is>
      </c>
      <c r="C615" s="11" t="inlineStr">
        <is>
          <t>Грамматика</t>
        </is>
      </c>
      <c r="D615" s="11" t="inlineStr">
        <is>
          <t>Imperative</t>
        </is>
      </c>
      <c r="E615" s="33" t="inlineStr">
        <is>
          <t>Imperative: значение — приказание</t>
        </is>
      </c>
      <c r="F615" s="11" t="inlineStr">
        <is>
          <t>5 кл. · М4 (4b) · новое
6 кл. · М3 (3a) · повт.</t>
        </is>
      </c>
      <c r="G615" s="11" t="n">
        <v>2</v>
      </c>
      <c r="H615" s="11">
        <f>'Темы × классы'!R521</f>
        <v/>
      </c>
      <c r="I615" s="11">
        <f>'Темы × классы'!S521&amp;""</f>
        <v/>
      </c>
      <c r="J615" s="11" t="inlineStr">
        <is>
          <t>не начат</t>
        </is>
      </c>
      <c r="K615" s="11" t="inlineStr"/>
    </row>
    <row r="616">
      <c r="A616" s="36" t="inlineStr">
        <is>
          <t>Ст-510</t>
        </is>
      </c>
      <c r="B616" s="37" t="inlineStr">
        <is>
          <t>10+</t>
        </is>
      </c>
      <c r="C616" s="11" t="inlineStr">
        <is>
          <t>Грамматика</t>
        </is>
      </c>
      <c r="D616" s="11" t="inlineStr">
        <is>
          <t>Imperative</t>
        </is>
      </c>
      <c r="E616" s="35" t="inlineStr">
        <is>
          <t>Imperative: значение — инструкция, указание</t>
        </is>
      </c>
      <c r="F616" s="11" t="inlineStr">
        <is>
          <t>5 кл. · М4 (4b) · новое
6 кл. · М3 (3a) · повт.</t>
        </is>
      </c>
      <c r="G616" s="11" t="n">
        <v>2</v>
      </c>
      <c r="H616" s="11">
        <f>'Темы × классы'!R522</f>
        <v/>
      </c>
      <c r="I616" s="11">
        <f>'Темы × классы'!S522&amp;""</f>
        <v/>
      </c>
      <c r="J616" s="11" t="inlineStr">
        <is>
          <t>не начат</t>
        </is>
      </c>
      <c r="K616" s="11" t="inlineStr"/>
    </row>
    <row r="617">
      <c r="A617" s="36" t="inlineStr">
        <is>
          <t>Ст-511</t>
        </is>
      </c>
      <c r="B617" s="37" t="inlineStr">
        <is>
          <t>10+</t>
        </is>
      </c>
      <c r="C617" s="11" t="inlineStr">
        <is>
          <t>Грамматика</t>
        </is>
      </c>
      <c r="D617" s="11" t="inlineStr">
        <is>
          <t>Imperative</t>
        </is>
      </c>
      <c r="E617" s="35" t="inlineStr">
        <is>
          <t>Imperative: значение — предложение (Have some cake)</t>
        </is>
      </c>
      <c r="F617" s="11" t="inlineStr">
        <is>
          <t>5 кл. · М4 (4b) · новое
6 кл. · М3 (3a) · повт.</t>
        </is>
      </c>
      <c r="G617" s="11" t="n">
        <v>2</v>
      </c>
      <c r="H617" s="11">
        <f>'Темы × классы'!R523</f>
        <v/>
      </c>
      <c r="I617" s="11">
        <f>'Темы × классы'!S523&amp;""</f>
        <v/>
      </c>
      <c r="J617" s="11" t="inlineStr">
        <is>
          <t>не начат</t>
        </is>
      </c>
      <c r="K617" s="11" t="inlineStr"/>
    </row>
    <row r="618">
      <c r="A618" s="36" t="inlineStr">
        <is>
          <t>Ст-512</t>
        </is>
      </c>
      <c r="B618" s="37" t="inlineStr">
        <is>
          <t>10+</t>
        </is>
      </c>
      <c r="C618" s="11" t="inlineStr">
        <is>
          <t>Грамматика</t>
        </is>
      </c>
      <c r="D618" s="11" t="inlineStr">
        <is>
          <t>Imperative</t>
        </is>
      </c>
      <c r="E618" s="35" t="inlineStr">
        <is>
          <t>Imperative: значение — просьба, вежливость с please</t>
        </is>
      </c>
      <c r="F618" s="11" t="inlineStr">
        <is>
          <t>5 кл. · М4 (4b) · новое
6 кл. · М3 (3a) · повт.</t>
        </is>
      </c>
      <c r="G618" s="11" t="n">
        <v>2</v>
      </c>
      <c r="H618" s="11">
        <f>'Темы × классы'!R524</f>
        <v/>
      </c>
      <c r="I618" s="11">
        <f>'Темы × классы'!S524&amp;""</f>
        <v/>
      </c>
      <c r="J618" s="11" t="inlineStr">
        <is>
          <t>не начат</t>
        </is>
      </c>
      <c r="K618" s="11" t="inlineStr"/>
    </row>
    <row r="619">
      <c r="A619" s="36" t="inlineStr">
        <is>
          <t>Ст-513</t>
        </is>
      </c>
      <c r="B619" s="37" t="inlineStr">
        <is>
          <t>10+</t>
        </is>
      </c>
      <c r="C619" s="11" t="inlineStr">
        <is>
          <t>Грамматика</t>
        </is>
      </c>
      <c r="D619" s="11" t="inlineStr">
        <is>
          <t>Impersonal it</t>
        </is>
      </c>
      <c r="E619" s="33" t="inlineStr">
        <is>
          <t>Impersonal it: время и расстояние</t>
        </is>
      </c>
      <c r="F619" s="11" t="inlineStr">
        <is>
          <t>5 кл. · М7 (7a) · новое</t>
        </is>
      </c>
      <c r="G619" s="11" t="n">
        <v>1</v>
      </c>
      <c r="H619" s="11">
        <f>'Темы × классы'!R525</f>
        <v/>
      </c>
      <c r="I619" s="11">
        <f>'Темы × классы'!S525&amp;""</f>
        <v/>
      </c>
      <c r="J619" s="11" t="inlineStr">
        <is>
          <t>не начат</t>
        </is>
      </c>
      <c r="K619" s="11" t="inlineStr"/>
    </row>
    <row r="620">
      <c r="A620" s="36" t="inlineStr">
        <is>
          <t>Ст-514</t>
        </is>
      </c>
      <c r="B620" s="37" t="inlineStr">
        <is>
          <t>10+</t>
        </is>
      </c>
      <c r="C620" s="11" t="inlineStr">
        <is>
          <t>Грамматика</t>
        </is>
      </c>
      <c r="D620" s="11" t="inlineStr">
        <is>
          <t>Impersonal it</t>
        </is>
      </c>
      <c r="E620" s="33" t="inlineStr">
        <is>
          <t>Impersonal it: погода и явления природы</t>
        </is>
      </c>
      <c r="F620" s="11" t="inlineStr">
        <is>
          <t>5 кл. · М7 (7a) · новое</t>
        </is>
      </c>
      <c r="G620" s="11" t="n">
        <v>1</v>
      </c>
      <c r="H620" s="11">
        <f>'Темы × классы'!R526</f>
        <v/>
      </c>
      <c r="I620" s="11">
        <f>'Темы × классы'!S526&amp;""</f>
        <v/>
      </c>
      <c r="J620" s="11" t="inlineStr">
        <is>
          <t>не начат</t>
        </is>
      </c>
      <c r="K620" s="11" t="inlineStr"/>
    </row>
    <row r="621">
      <c r="A621" s="36" t="inlineStr">
        <is>
          <t>Ст-515</t>
        </is>
      </c>
      <c r="B621" s="37" t="inlineStr">
        <is>
          <t>10+</t>
        </is>
      </c>
      <c r="C621" s="11" t="inlineStr">
        <is>
          <t>Грамматика</t>
        </is>
      </c>
      <c r="D621" s="11" t="inlineStr">
        <is>
          <t>Question tags</t>
        </is>
      </c>
      <c r="E621" s="33" t="inlineStr">
        <is>
          <t>Question tags: образование — вспомогательный глагол + местоимение (do/does)</t>
        </is>
      </c>
      <c r="F621" s="11" t="inlineStr">
        <is>
          <t>5 кл. · М5 (5c) · новое
5 кл. · М7 (7a) · повт.
7 кл. · М8 · повт.
9 кл. · М8 (8d) · расш.</t>
        </is>
      </c>
      <c r="G621" s="11" t="n">
        <v>4</v>
      </c>
      <c r="H621" s="11">
        <f>'Темы × классы'!R527</f>
        <v/>
      </c>
      <c r="I621" s="11">
        <f>'Темы × классы'!S527&amp;""</f>
        <v/>
      </c>
      <c r="J621" s="11" t="inlineStr">
        <is>
          <t>не начат</t>
        </is>
      </c>
      <c r="K621" s="11" t="inlineStr"/>
    </row>
    <row r="622">
      <c r="A622" s="36" t="inlineStr">
        <is>
          <t>Ст-516</t>
        </is>
      </c>
      <c r="B622" s="37" t="inlineStr">
        <is>
          <t>10+</t>
        </is>
      </c>
      <c r="C622" s="11" t="inlineStr">
        <is>
          <t>Грамматика</t>
        </is>
      </c>
      <c r="D622" s="11" t="inlineStr">
        <is>
          <t>Question tags</t>
        </is>
      </c>
      <c r="E622" s="33" t="inlineStr">
        <is>
          <t>Question tags: с be и модальными глаголами (isn't she, can't she)</t>
        </is>
      </c>
      <c r="F622" s="11" t="inlineStr">
        <is>
          <t>5 кл. · М5 (5c) · новое
5 кл. · М7 (7a) · повт.
7 кл. · М8 · повт.
9 кл. · М8 (8d) · повт.</t>
        </is>
      </c>
      <c r="G622" s="11" t="n">
        <v>4</v>
      </c>
      <c r="H622" s="11">
        <f>'Темы × классы'!R528</f>
        <v/>
      </c>
      <c r="I622" s="11">
        <f>'Темы × классы'!S528&amp;""</f>
        <v/>
      </c>
      <c r="J622" s="11" t="inlineStr">
        <is>
          <t>не начат</t>
        </is>
      </c>
      <c r="K622" s="11" t="inlineStr"/>
    </row>
    <row r="623">
      <c r="A623" s="36" t="inlineStr">
        <is>
          <t>Ст-517</t>
        </is>
      </c>
      <c r="B623" s="37" t="inlineStr">
        <is>
          <t>10+</t>
        </is>
      </c>
      <c r="C623" s="11" t="inlineStr">
        <is>
          <t>Грамматика</t>
        </is>
      </c>
      <c r="D623" s="11" t="inlineStr">
        <is>
          <t>Question tags</t>
        </is>
      </c>
      <c r="E623" s="33" t="inlineStr">
        <is>
          <t>Question tags: утверждение → отрицательный хвост, отрицание → утвердительный</t>
        </is>
      </c>
      <c r="F623" s="11" t="inlineStr">
        <is>
          <t>5 кл. · М5 (5c) · новое
5 кл. · М7 (7a) · повт.
7 кл. · М8 · повт.
9 кл. · М8 (8d) · повт.</t>
        </is>
      </c>
      <c r="G623" s="11" t="n">
        <v>4</v>
      </c>
      <c r="H623" s="11">
        <f>'Темы × классы'!R529</f>
        <v/>
      </c>
      <c r="I623" s="11">
        <f>'Темы × классы'!S529&amp;""</f>
        <v/>
      </c>
      <c r="J623" s="11" t="inlineStr">
        <is>
          <t>не начат</t>
        </is>
      </c>
      <c r="K623" s="11" t="inlineStr"/>
    </row>
    <row r="624">
      <c r="A624" s="36" t="inlineStr">
        <is>
          <t>Ст-518</t>
        </is>
      </c>
      <c r="B624" s="37" t="inlineStr">
        <is>
          <t>10+</t>
        </is>
      </c>
      <c r="C624" s="11" t="inlineStr">
        <is>
          <t>Грамматика</t>
        </is>
      </c>
      <c r="D624" s="11" t="inlineStr">
        <is>
          <t>Question tags</t>
        </is>
      </c>
      <c r="E624" s="34" t="inlineStr">
        <is>
          <t>Question tags: there is → is there?</t>
        </is>
      </c>
      <c r="F624" s="11" t="inlineStr">
        <is>
          <t>5 кл. · М5 (5c) · новое</t>
        </is>
      </c>
      <c r="G624" s="11" t="n">
        <v>1</v>
      </c>
      <c r="H624" s="11">
        <f>'Темы × классы'!R530</f>
        <v/>
      </c>
      <c r="I624" s="11">
        <f>'Темы × классы'!S530&amp;""</f>
        <v/>
      </c>
      <c r="J624" s="11" t="inlineStr">
        <is>
          <t>не начат</t>
        </is>
      </c>
      <c r="K624" s="11" t="inlineStr"/>
    </row>
    <row r="625">
      <c r="A625" s="36" t="inlineStr">
        <is>
          <t>Ст-519</t>
        </is>
      </c>
      <c r="B625" s="37" t="inlineStr">
        <is>
          <t>10+</t>
        </is>
      </c>
      <c r="C625" s="11" t="inlineStr">
        <is>
          <t>Грамматика</t>
        </is>
      </c>
      <c r="D625" s="11" t="inlineStr">
        <is>
          <t>Question tags</t>
        </is>
      </c>
      <c r="E625" s="34" t="inlineStr">
        <is>
          <t>Question tags: never/hardly/seldom/rarely → утвердительный хвост</t>
        </is>
      </c>
      <c r="F625" s="11" t="inlineStr">
        <is>
          <t>7 кл. · М8 · новое</t>
        </is>
      </c>
      <c r="G625" s="11" t="n">
        <v>1</v>
      </c>
      <c r="H625" s="11">
        <f>'Темы × классы'!R531</f>
        <v/>
      </c>
      <c r="I625" s="11">
        <f>'Темы × классы'!S531&amp;""</f>
        <v/>
      </c>
      <c r="J625" s="11" t="inlineStr">
        <is>
          <t>не начат</t>
        </is>
      </c>
      <c r="K625" s="11" t="inlineStr"/>
    </row>
    <row r="626">
      <c r="A626" s="36" t="inlineStr">
        <is>
          <t>Ст-520</t>
        </is>
      </c>
      <c r="B626" s="37" t="inlineStr">
        <is>
          <t>10+</t>
        </is>
      </c>
      <c r="C626" s="11" t="inlineStr">
        <is>
          <t>Грамматика</t>
        </is>
      </c>
      <c r="D626" s="11" t="inlineStr">
        <is>
          <t>Question tags</t>
        </is>
      </c>
      <c r="E626" s="34" t="inlineStr">
        <is>
          <t>Question tags: I am → aren't I?</t>
        </is>
      </c>
      <c r="F626" s="11" t="inlineStr">
        <is>
          <t>9 кл. · М8 (8d) · новое</t>
        </is>
      </c>
      <c r="G626" s="11" t="n">
        <v>1</v>
      </c>
      <c r="H626" s="11">
        <f>'Темы × классы'!R532</f>
        <v/>
      </c>
      <c r="I626" s="11">
        <f>'Темы × классы'!S532&amp;""</f>
        <v/>
      </c>
      <c r="J626" s="11" t="inlineStr">
        <is>
          <t>не начат</t>
        </is>
      </c>
      <c r="K626" s="11" t="inlineStr"/>
    </row>
    <row r="627">
      <c r="A627" s="36" t="inlineStr">
        <is>
          <t>Ст-521</t>
        </is>
      </c>
      <c r="B627" s="37" t="inlineStr">
        <is>
          <t>10+</t>
        </is>
      </c>
      <c r="C627" s="11" t="inlineStr">
        <is>
          <t>Грамматика</t>
        </is>
      </c>
      <c r="D627" s="11" t="inlineStr">
        <is>
          <t>Question tags</t>
        </is>
      </c>
      <c r="E627" s="34" t="inlineStr">
        <is>
          <t>Question tags: Let's → shall we? / Let me → will you?</t>
        </is>
      </c>
      <c r="F627" s="11" t="inlineStr">
        <is>
          <t>9 кл. · М8 (8d) · новое</t>
        </is>
      </c>
      <c r="G627" s="11" t="n">
        <v>1</v>
      </c>
      <c r="H627" s="11">
        <f>'Темы × классы'!R533</f>
        <v/>
      </c>
      <c r="I627" s="11">
        <f>'Темы × классы'!S533&amp;""</f>
        <v/>
      </c>
      <c r="J627" s="11" t="inlineStr">
        <is>
          <t>не начат</t>
        </is>
      </c>
      <c r="K627" s="11" t="inlineStr"/>
    </row>
    <row r="628">
      <c r="A628" s="36" t="inlineStr">
        <is>
          <t>Ст-522</t>
        </is>
      </c>
      <c r="B628" s="37" t="inlineStr">
        <is>
          <t>10+</t>
        </is>
      </c>
      <c r="C628" s="11" t="inlineStr">
        <is>
          <t>Грамматика</t>
        </is>
      </c>
      <c r="D628" s="11" t="inlineStr">
        <is>
          <t>Question tags</t>
        </is>
      </c>
      <c r="E628" s="34" t="inlineStr">
        <is>
          <t>Question tags: повелительное наклонение → will you?</t>
        </is>
      </c>
      <c r="F628" s="11" t="inlineStr">
        <is>
          <t>9 кл. · М8 (8d) · новое</t>
        </is>
      </c>
      <c r="G628" s="11" t="n">
        <v>1</v>
      </c>
      <c r="H628" s="11">
        <f>'Темы × классы'!R534</f>
        <v/>
      </c>
      <c r="I628" s="11">
        <f>'Темы × классы'!S534&amp;""</f>
        <v/>
      </c>
      <c r="J628" s="11" t="inlineStr">
        <is>
          <t>не начат</t>
        </is>
      </c>
      <c r="K628" s="11" t="inlineStr"/>
    </row>
    <row r="629">
      <c r="A629" s="36" t="inlineStr">
        <is>
          <t>Ст-523</t>
        </is>
      </c>
      <c r="B629" s="37" t="inlineStr">
        <is>
          <t>10+</t>
        </is>
      </c>
      <c r="C629" s="11" t="inlineStr">
        <is>
          <t>Грамматика</t>
        </is>
      </c>
      <c r="D629" s="11" t="inlineStr">
        <is>
          <t>Question tags</t>
        </is>
      </c>
      <c r="E629" s="35" t="inlineStr">
        <is>
          <t>Question tags: have (владеть) → haven't I? vs have в идиоме → don't I?</t>
        </is>
      </c>
      <c r="F629" s="11" t="inlineStr">
        <is>
          <t>9 кл. · М8 (8d) · новое</t>
        </is>
      </c>
      <c r="G629" s="11" t="n">
        <v>1</v>
      </c>
      <c r="H629" s="11">
        <f>'Темы × классы'!R535</f>
        <v/>
      </c>
      <c r="I629" s="11">
        <f>'Темы × классы'!S535&amp;""</f>
        <v/>
      </c>
      <c r="J629" s="11" t="inlineStr">
        <is>
          <t>не начат</t>
        </is>
      </c>
      <c r="K629" s="11" t="inlineStr"/>
    </row>
    <row r="630">
      <c r="A630" s="36" t="inlineStr">
        <is>
          <t>Ст-524</t>
        </is>
      </c>
      <c r="B630" s="37" t="inlineStr">
        <is>
          <t>10+</t>
        </is>
      </c>
      <c r="C630" s="11" t="inlineStr">
        <is>
          <t>Грамматика</t>
        </is>
      </c>
      <c r="D630" s="11" t="inlineStr">
        <is>
          <t>Question tags</t>
        </is>
      </c>
      <c r="E630" s="35" t="inlineStr">
        <is>
          <t>Question tags: This/That is → isn't it?</t>
        </is>
      </c>
      <c r="F630" s="11" t="inlineStr">
        <is>
          <t>9 кл. · М8 (8d) · новое</t>
        </is>
      </c>
      <c r="G630" s="11" t="n">
        <v>1</v>
      </c>
      <c r="H630" s="11">
        <f>'Темы × классы'!R536</f>
        <v/>
      </c>
      <c r="I630" s="11">
        <f>'Темы × классы'!S536&amp;""</f>
        <v/>
      </c>
      <c r="J630" s="11" t="inlineStr">
        <is>
          <t>не начат</t>
        </is>
      </c>
      <c r="K630" s="11" t="inlineStr"/>
    </row>
    <row r="631">
      <c r="A631" s="36" t="inlineStr">
        <is>
          <t>Ст-525</t>
        </is>
      </c>
      <c r="B631" s="37" t="inlineStr">
        <is>
          <t>10+</t>
        </is>
      </c>
      <c r="C631" s="11" t="inlineStr">
        <is>
          <t>Грамматика</t>
        </is>
      </c>
      <c r="D631" s="11" t="inlineStr">
        <is>
          <t>Linkers</t>
        </is>
      </c>
      <c r="E631" s="33" t="inlineStr">
        <is>
          <t>Linkers: слова-связки времени (and, then, after that, when, before, later)</t>
        </is>
      </c>
      <c r="F631" s="11" t="inlineStr">
        <is>
          <t>6 кл. · М4 (4c) · новое</t>
        </is>
      </c>
      <c r="G631" s="11" t="n">
        <v>1</v>
      </c>
      <c r="H631" s="11">
        <f>'Темы × классы'!R537</f>
        <v/>
      </c>
      <c r="I631" s="11">
        <f>'Темы × классы'!S537&amp;""</f>
        <v/>
      </c>
      <c r="J631" s="11" t="inlineStr">
        <is>
          <t>не начат</t>
        </is>
      </c>
      <c r="K631" s="11" t="inlineStr"/>
    </row>
    <row r="632">
      <c r="A632" s="36" t="inlineStr">
        <is>
          <t>Ст-526</t>
        </is>
      </c>
      <c r="B632" s="37" t="inlineStr">
        <is>
          <t>10+</t>
        </is>
      </c>
      <c r="C632" s="11" t="inlineStr">
        <is>
          <t>Грамматика</t>
        </is>
      </c>
      <c r="D632" s="11" t="inlineStr">
        <is>
          <t>Relative pronouns / Relative clauses</t>
        </is>
      </c>
      <c r="E632" s="34" t="inlineStr">
        <is>
          <t>Relative clauses: who(m) / which / that — люди и предметы</t>
        </is>
      </c>
      <c r="F632" s="11" t="inlineStr">
        <is>
          <t>7 кл. · М3 · новое
9 кл. · М1 (1d) · повт.
10 кл. · М8 (8c) · повт.
11 кл. · М2 (2c) · повт.</t>
        </is>
      </c>
      <c r="G632" s="11" t="n">
        <v>4</v>
      </c>
      <c r="H632" s="11">
        <f>'Темы × классы'!R538</f>
        <v/>
      </c>
      <c r="I632" s="11">
        <f>'Темы × классы'!S538&amp;""</f>
        <v/>
      </c>
      <c r="J632" s="11" t="inlineStr">
        <is>
          <t>не начат</t>
        </is>
      </c>
      <c r="K632" s="11" t="inlineStr"/>
    </row>
    <row r="633">
      <c r="A633" s="36" t="inlineStr">
        <is>
          <t>Ст-527</t>
        </is>
      </c>
      <c r="B633" s="37" t="inlineStr">
        <is>
          <t>10+</t>
        </is>
      </c>
      <c r="C633" s="11" t="inlineStr">
        <is>
          <t>Грамматика</t>
        </is>
      </c>
      <c r="D633" s="11" t="inlineStr">
        <is>
          <t>Relative pronouns / Relative clauses</t>
        </is>
      </c>
      <c r="E633" s="34" t="inlineStr">
        <is>
          <t>Relative clauses: whose — принадлежность</t>
        </is>
      </c>
      <c r="F633" s="11" t="inlineStr">
        <is>
          <t>7 кл. · М3 · новое
9 кл. · М1 (1d) · повт.
10 кл. · М8 (8c) · повт.
11 кл. · М2 (2c) · повт.</t>
        </is>
      </c>
      <c r="G633" s="11" t="n">
        <v>4</v>
      </c>
      <c r="H633" s="11">
        <f>'Темы × классы'!R539</f>
        <v/>
      </c>
      <c r="I633" s="11">
        <f>'Темы × классы'!S539&amp;""</f>
        <v/>
      </c>
      <c r="J633" s="11" t="inlineStr">
        <is>
          <t>не начат</t>
        </is>
      </c>
      <c r="K633" s="11" t="inlineStr"/>
    </row>
    <row r="634">
      <c r="A634" s="36" t="inlineStr">
        <is>
          <t>Ст-528</t>
        </is>
      </c>
      <c r="B634" s="37" t="inlineStr">
        <is>
          <t>10+</t>
        </is>
      </c>
      <c r="C634" s="11" t="inlineStr">
        <is>
          <t>Грамматика</t>
        </is>
      </c>
      <c r="D634" s="11" t="inlineStr">
        <is>
          <t>Relative pronouns / Relative clauses</t>
        </is>
      </c>
      <c r="E634" s="34" t="inlineStr">
        <is>
          <t>Relative clauses: опущение who/which/that (дополнение vs подлежащее)</t>
        </is>
      </c>
      <c r="F634" s="11" t="inlineStr">
        <is>
          <t>7 кл. · М3 · новое
9 кл. · М1 (1d) · повт.
10 кл. · М8 (8c) · повт.
11 кл. · М2 (2c) · повт.</t>
        </is>
      </c>
      <c r="G634" s="11" t="n">
        <v>4</v>
      </c>
      <c r="H634" s="11">
        <f>'Темы × классы'!R540</f>
        <v/>
      </c>
      <c r="I634" s="11">
        <f>'Темы × классы'!S540&amp;""</f>
        <v/>
      </c>
      <c r="J634" s="11" t="inlineStr">
        <is>
          <t>не начат</t>
        </is>
      </c>
      <c r="K634" s="11" t="inlineStr"/>
    </row>
    <row r="635">
      <c r="A635" s="36" t="inlineStr">
        <is>
          <t>Ст-529</t>
        </is>
      </c>
      <c r="B635" s="37" t="inlineStr">
        <is>
          <t>10+</t>
        </is>
      </c>
      <c r="C635" s="11" t="inlineStr">
        <is>
          <t>Грамматика</t>
        </is>
      </c>
      <c r="D635" s="11" t="inlineStr">
        <is>
          <t>Relative pronouns / Relative clauses</t>
        </is>
      </c>
      <c r="E635" s="34" t="inlineStr">
        <is>
          <t>Relative clauses: относительные наречия when / where / why</t>
        </is>
      </c>
      <c r="F635" s="11" t="inlineStr">
        <is>
          <t>7 кл. · М3 · новое
9 кл. · М1 (1d) · повт.
10 кл. · М8 (8c) · повт.</t>
        </is>
      </c>
      <c r="G635" s="11" t="n">
        <v>3</v>
      </c>
      <c r="H635" s="11">
        <f>'Темы × классы'!R541</f>
        <v/>
      </c>
      <c r="I635" s="11">
        <f>'Темы × классы'!S541&amp;""</f>
        <v/>
      </c>
      <c r="J635" s="11" t="inlineStr">
        <is>
          <t>не начат</t>
        </is>
      </c>
      <c r="K635" s="11" t="inlineStr"/>
    </row>
    <row r="636">
      <c r="A636" s="36" t="inlineStr">
        <is>
          <t>Ст-530</t>
        </is>
      </c>
      <c r="B636" s="37" t="inlineStr">
        <is>
          <t>10+</t>
        </is>
      </c>
      <c r="C636" s="11" t="inlineStr">
        <is>
          <t>Грамматика</t>
        </is>
      </c>
      <c r="D636" s="11" t="inlineStr">
        <is>
          <t>Relative pronouns / Relative clauses</t>
        </is>
      </c>
      <c r="E636" s="35" t="inlineStr">
        <is>
          <t>Relative clauses: defining vs non-defining (запятые, без that)</t>
        </is>
      </c>
      <c r="F636" s="11" t="inlineStr">
        <is>
          <t>9 кл. · М1 (1d) · новое
10 кл. · М8 (8c) · повт.
11 кл. · М2 (2c) · повт.</t>
        </is>
      </c>
      <c r="G636" s="11" t="n">
        <v>3</v>
      </c>
      <c r="H636" s="11">
        <f>'Темы × классы'!R542</f>
        <v/>
      </c>
      <c r="I636" s="11">
        <f>'Темы × классы'!S542&amp;""</f>
        <v/>
      </c>
      <c r="J636" s="11" t="inlineStr">
        <is>
          <t>не начат</t>
        </is>
      </c>
      <c r="K636" s="11" t="inlineStr"/>
    </row>
    <row r="637">
      <c r="A637" s="36" t="inlineStr">
        <is>
          <t>Ст-531</t>
        </is>
      </c>
      <c r="B637" s="37" t="inlineStr">
        <is>
          <t>10+</t>
        </is>
      </c>
      <c r="C637" s="11" t="inlineStr">
        <is>
          <t>Грамматика</t>
        </is>
      </c>
      <c r="D637" s="11" t="inlineStr">
        <is>
          <t>Relative pronouns / Relative clauses</t>
        </is>
      </c>
      <c r="E637" s="35" t="inlineStr">
        <is>
          <t>Relative clauses: which, относящееся ко всему предложению</t>
        </is>
      </c>
      <c r="F637" s="11" t="inlineStr">
        <is>
          <t>9 кл. · М1 (1d) · новое
10 кл. · М8 (8c) · повт.
11 кл. · М2 (2c) · повт.</t>
        </is>
      </c>
      <c r="G637" s="11" t="n">
        <v>3</v>
      </c>
      <c r="H637" s="11">
        <f>'Темы × классы'!R543</f>
        <v/>
      </c>
      <c r="I637" s="11">
        <f>'Темы × классы'!S543&amp;""</f>
        <v/>
      </c>
      <c r="J637" s="11" t="inlineStr">
        <is>
          <t>не начат</t>
        </is>
      </c>
      <c r="K637" s="11" t="inlineStr"/>
    </row>
    <row r="638">
      <c r="A638" s="36" t="inlineStr">
        <is>
          <t>Ст-532</t>
        </is>
      </c>
      <c r="B638" s="37" t="inlineStr">
        <is>
          <t>10+</t>
        </is>
      </c>
      <c r="C638" s="11" t="inlineStr">
        <is>
          <t>Грамматика</t>
        </is>
      </c>
      <c r="D638" s="11" t="inlineStr">
        <is>
          <t>Relative pronouns / Relative clauses</t>
        </is>
      </c>
      <c r="E638" s="35" t="inlineStr">
        <is>
          <t>Relative clauses: of which / whose для предметов</t>
        </is>
      </c>
      <c r="F638" s="11" t="inlineStr">
        <is>
          <t>9 кл. · М1 (1d) · новое
10 кл. · М8 (8c) · повт.
11 кл. · М2 (2c) · повт.</t>
        </is>
      </c>
      <c r="G638" s="11" t="n">
        <v>3</v>
      </c>
      <c r="H638" s="11">
        <f>'Темы × классы'!R544</f>
        <v/>
      </c>
      <c r="I638" s="11">
        <f>'Темы × классы'!S544&amp;""</f>
        <v/>
      </c>
      <c r="J638" s="11" t="inlineStr">
        <is>
          <t>не начат</t>
        </is>
      </c>
      <c r="K638" s="11" t="inlineStr"/>
    </row>
    <row r="639">
      <c r="A639" s="36" t="inlineStr">
        <is>
          <t>Ст-533</t>
        </is>
      </c>
      <c r="B639" s="37" t="inlineStr">
        <is>
          <t>10+</t>
        </is>
      </c>
      <c r="C639" s="11" t="inlineStr">
        <is>
          <t>Грамматика</t>
        </is>
      </c>
      <c r="D639" s="11" t="inlineStr">
        <is>
          <t>Relative pronouns / Relative clauses</t>
        </is>
      </c>
      <c r="E639" s="35" t="inlineStr">
        <is>
          <t>Relative clauses: some of / most of + whom/which/whose</t>
        </is>
      </c>
      <c r="F639" s="11" t="inlineStr">
        <is>
          <t>9 кл. · М1 (1d) · новое
10 кл. · М8 (8c) · повт.
11 кл. · М2 (2c) · повт.</t>
        </is>
      </c>
      <c r="G639" s="11" t="n">
        <v>3</v>
      </c>
      <c r="H639" s="11">
        <f>'Темы × классы'!R545</f>
        <v/>
      </c>
      <c r="I639" s="11">
        <f>'Темы × классы'!S545&amp;""</f>
        <v/>
      </c>
      <c r="J639" s="11" t="inlineStr">
        <is>
          <t>не начат</t>
        </is>
      </c>
      <c r="K639" s="11" t="inlineStr"/>
    </row>
    <row r="640">
      <c r="A640" s="36" t="inlineStr">
        <is>
          <t>Ст-534</t>
        </is>
      </c>
      <c r="B640" s="37" t="inlineStr">
        <is>
          <t>10+</t>
        </is>
      </c>
      <c r="C640" s="11" t="inlineStr">
        <is>
          <t>Грамматика</t>
        </is>
      </c>
      <c r="D640" s="11" t="inlineStr">
        <is>
          <t>Relative pronouns / Relative clauses</t>
        </is>
      </c>
      <c r="E640" s="35" t="inlineStr">
        <is>
          <t>Relative clauses: that не после запятой и не после предлога</t>
        </is>
      </c>
      <c r="F640" s="11" t="inlineStr">
        <is>
          <t>9 кл. · М1 (1d) · новое
10 кл. · М8 (8c) · повт.
11 кл. · М2 (2c) · повт.</t>
        </is>
      </c>
      <c r="G640" s="11" t="n">
        <v>3</v>
      </c>
      <c r="H640" s="11">
        <f>'Темы × классы'!R546</f>
        <v/>
      </c>
      <c r="I640" s="11">
        <f>'Темы × классы'!S546&amp;""</f>
        <v/>
      </c>
      <c r="J640" s="11" t="inlineStr">
        <is>
          <t>не начат</t>
        </is>
      </c>
      <c r="K640" s="11" t="inlineStr"/>
    </row>
    <row r="641">
      <c r="A641" s="36" t="inlineStr">
        <is>
          <t>Ст-535</t>
        </is>
      </c>
      <c r="B641" s="37" t="inlineStr">
        <is>
          <t>10+</t>
        </is>
      </c>
      <c r="C641" s="11" t="inlineStr">
        <is>
          <t>Грамматика</t>
        </is>
      </c>
      <c r="D641" s="11" t="inlineStr">
        <is>
          <t>Time clauses</t>
        </is>
      </c>
      <c r="E641" s="34" t="inlineStr">
        <is>
          <t>Time clauses: Present Simple вместо будущего после when/before/after/until/as soon as…</t>
        </is>
      </c>
      <c r="F641" s="11" t="inlineStr">
        <is>
          <t>7 кл. · М5 · новое
9 кл. · М4 (4c) · повт.
10 кл. · М3 (3c) · повт.</t>
        </is>
      </c>
      <c r="G641" s="11" t="n">
        <v>3</v>
      </c>
      <c r="H641" s="11">
        <f>'Темы × классы'!R547</f>
        <v/>
      </c>
      <c r="I641" s="11">
        <f>'Темы × классы'!S547&amp;""</f>
        <v/>
      </c>
      <c r="J641" s="11" t="inlineStr">
        <is>
          <t>не начат</t>
        </is>
      </c>
      <c r="K641" s="11" t="inlineStr"/>
    </row>
    <row r="642">
      <c r="A642" s="36" t="inlineStr">
        <is>
          <t>Ст-536</t>
        </is>
      </c>
      <c r="B642" s="37" t="inlineStr">
        <is>
          <t>10+</t>
        </is>
      </c>
      <c r="C642" s="11" t="inlineStr">
        <is>
          <t>Грамматика</t>
        </is>
      </c>
      <c r="D642" s="11" t="inlineStr">
        <is>
          <t>Time clauses</t>
        </is>
      </c>
      <c r="E642" s="34" t="inlineStr">
        <is>
          <t>Time clauses: Present Perfect в придаточном времени</t>
        </is>
      </c>
      <c r="F642" s="11" t="inlineStr">
        <is>
          <t>7 кл. · М5 · новое
9 кл. · М4 (4c) · повт.
10 кл. · М3 (3c) · повт.</t>
        </is>
      </c>
      <c r="G642" s="11" t="n">
        <v>3</v>
      </c>
      <c r="H642" s="11">
        <f>'Темы × классы'!R548</f>
        <v/>
      </c>
      <c r="I642" s="11">
        <f>'Темы × классы'!S548&amp;""</f>
        <v/>
      </c>
      <c r="J642" s="11" t="inlineStr">
        <is>
          <t>не начат</t>
        </is>
      </c>
      <c r="K642" s="11" t="inlineStr"/>
    </row>
    <row r="643">
      <c r="A643" s="36" t="inlineStr">
        <is>
          <t>Ст-537</t>
        </is>
      </c>
      <c r="B643" s="37" t="inlineStr">
        <is>
          <t>10+</t>
        </is>
      </c>
      <c r="C643" s="11" t="inlineStr">
        <is>
          <t>Грамматика</t>
        </is>
      </c>
      <c r="D643" s="11" t="inlineStr">
        <is>
          <t>Time clauses</t>
        </is>
      </c>
      <c r="E643" s="35" t="inlineStr">
        <is>
          <t>Time clauses: то же после if, unless, in case, supposing</t>
        </is>
      </c>
      <c r="F643" s="11" t="inlineStr">
        <is>
          <t>9 кл. · М4 (4c) · новое
10 кл. · М3 (3c) · повт.</t>
        </is>
      </c>
      <c r="G643" s="11" t="n">
        <v>2</v>
      </c>
      <c r="H643" s="11">
        <f>'Темы × классы'!R549</f>
        <v/>
      </c>
      <c r="I643" s="11">
        <f>'Темы × классы'!S549&amp;""</f>
        <v/>
      </c>
      <c r="J643" s="11" t="inlineStr">
        <is>
          <t>не начат</t>
        </is>
      </c>
      <c r="K643" s="11" t="inlineStr"/>
    </row>
    <row r="644">
      <c r="A644" s="36" t="inlineStr">
        <is>
          <t>Ст-538</t>
        </is>
      </c>
      <c r="B644" s="37" t="inlineStr">
        <is>
          <t>10+</t>
        </is>
      </c>
      <c r="C644" s="11" t="inlineStr">
        <is>
          <t>Грамматика</t>
        </is>
      </c>
      <c r="D644" s="11" t="inlineStr">
        <is>
          <t>Time clauses</t>
        </is>
      </c>
      <c r="E644" s="35" t="inlineStr">
        <is>
          <t>Time clauses: when/if как вопросительное слово или после I don't know/wonder — с will</t>
        </is>
      </c>
      <c r="F644" s="11" t="inlineStr">
        <is>
          <t>9 кл. · М4 (4c) · новое
10 кл. · М3 (3c) · повт.</t>
        </is>
      </c>
      <c r="G644" s="11" t="n">
        <v>2</v>
      </c>
      <c r="H644" s="11">
        <f>'Темы × классы'!R550</f>
        <v/>
      </c>
      <c r="I644" s="11">
        <f>'Темы × классы'!S550&amp;""</f>
        <v/>
      </c>
      <c r="J644" s="11" t="inlineStr">
        <is>
          <t>не начат</t>
        </is>
      </c>
      <c r="K644" s="11" t="inlineStr"/>
    </row>
    <row r="645">
      <c r="A645" s="36" t="inlineStr">
        <is>
          <t>Ст-539</t>
        </is>
      </c>
      <c r="B645" s="37" t="inlineStr">
        <is>
          <t>10+</t>
        </is>
      </c>
      <c r="C645" s="11" t="inlineStr">
        <is>
          <t>Грамматика</t>
        </is>
      </c>
      <c r="D645" s="11" t="inlineStr">
        <is>
          <t>Indirect questions</t>
        </is>
      </c>
      <c r="E645" s="34" t="inlineStr">
        <is>
          <t>Indirect questions: Could you tell me…? / Do you know…? — прямой порядок слов</t>
        </is>
      </c>
      <c r="F645" s="11" t="inlineStr">
        <is>
          <t>8 кл. · М6 (6c) · новое
9 кл. · М2 (2d) · повт.
10 кл. · М8 (8c) · повт.
11 кл. · М6 (6c) · повт.</t>
        </is>
      </c>
      <c r="G645" s="11" t="n">
        <v>4</v>
      </c>
      <c r="H645" s="11">
        <f>'Темы × классы'!R551</f>
        <v/>
      </c>
      <c r="I645" s="11">
        <f>'Темы × классы'!S551&amp;""</f>
        <v/>
      </c>
      <c r="J645" s="11" t="inlineStr">
        <is>
          <t>не начат</t>
        </is>
      </c>
      <c r="K645" s="11" t="inlineStr"/>
    </row>
    <row r="646">
      <c r="A646" s="36" t="inlineStr">
        <is>
          <t>Ст-540</t>
        </is>
      </c>
      <c r="B646" s="37" t="inlineStr">
        <is>
          <t>10+</t>
        </is>
      </c>
      <c r="C646" s="11" t="inlineStr">
        <is>
          <t>Грамматика</t>
        </is>
      </c>
      <c r="D646" s="11" t="inlineStr">
        <is>
          <t>Indirect questions</t>
        </is>
      </c>
      <c r="E646" s="34" t="inlineStr">
        <is>
          <t>Indirect questions: I wonder / I want to know / I doubt — без вопросительного знака</t>
        </is>
      </c>
      <c r="F646" s="11" t="inlineStr">
        <is>
          <t>8 кл. · М6 (6c) · новое
9 кл. · М2 (2d) · повт.
10 кл. · М8 (8c) · повт.
11 кл. · М6 (6c) · повт.</t>
        </is>
      </c>
      <c r="G646" s="11" t="n">
        <v>4</v>
      </c>
      <c r="H646" s="11">
        <f>'Темы × классы'!R552</f>
        <v/>
      </c>
      <c r="I646" s="11">
        <f>'Темы × классы'!S552&amp;""</f>
        <v/>
      </c>
      <c r="J646" s="11" t="inlineStr">
        <is>
          <t>не начат</t>
        </is>
      </c>
      <c r="K646" s="11" t="inlineStr"/>
    </row>
    <row r="647">
      <c r="A647" s="36" t="inlineStr">
        <is>
          <t>Ст-541</t>
        </is>
      </c>
      <c r="B647" s="37" t="inlineStr">
        <is>
          <t>10+</t>
        </is>
      </c>
      <c r="C647" s="11" t="inlineStr">
        <is>
          <t>Грамматика</t>
        </is>
      </c>
      <c r="D647" s="11" t="inlineStr">
        <is>
          <t>Indirect questions</t>
        </is>
      </c>
      <c r="E647" s="34" t="inlineStr">
        <is>
          <t>Indirect questions: общий вопрос → if/whether</t>
        </is>
      </c>
      <c r="F647" s="11" t="inlineStr">
        <is>
          <t>9 кл. · М2 (2d) · новое</t>
        </is>
      </c>
      <c r="G647" s="11" t="n">
        <v>1</v>
      </c>
      <c r="H647" s="11">
        <f>'Темы × классы'!R553</f>
        <v/>
      </c>
      <c r="I647" s="11">
        <f>'Темы × классы'!S553&amp;""</f>
        <v/>
      </c>
      <c r="J647" s="11" t="inlineStr">
        <is>
          <t>не начат</t>
        </is>
      </c>
      <c r="K647" s="11" t="inlineStr"/>
    </row>
    <row r="648">
      <c r="A648" s="36" t="inlineStr">
        <is>
          <t>Ст-542</t>
        </is>
      </c>
      <c r="B648" s="37" t="inlineStr">
        <is>
          <t>10+</t>
        </is>
      </c>
      <c r="C648" s="11" t="inlineStr">
        <is>
          <t>Грамматика</t>
        </is>
      </c>
      <c r="D648" s="11" t="inlineStr">
        <is>
          <t>Reported questions</t>
        </is>
      </c>
      <c r="E648" s="35" t="inlineStr">
        <is>
          <t>Reported questions: вводящие глаголы ask, inquire, wonder, want to know</t>
        </is>
      </c>
      <c r="F648" s="11" t="inlineStr">
        <is>
          <t>8 кл. · М6 (6c) · новое
10 кл. · М8 (8c) · повт.
11 кл. · М6 (6c) · повт.</t>
        </is>
      </c>
      <c r="G648" s="11" t="n">
        <v>3</v>
      </c>
      <c r="H648" s="11">
        <f>'Темы × классы'!R554</f>
        <v/>
      </c>
      <c r="I648" s="11">
        <f>'Темы × классы'!S554&amp;""</f>
        <v/>
      </c>
      <c r="J648" s="11" t="inlineStr">
        <is>
          <t>не начат</t>
        </is>
      </c>
      <c r="K648" s="11" t="inlineStr"/>
    </row>
    <row r="649">
      <c r="A649" s="36" t="inlineStr">
        <is>
          <t>Ст-543</t>
        </is>
      </c>
      <c r="B649" s="37" t="inlineStr">
        <is>
          <t>10+</t>
        </is>
      </c>
      <c r="C649" s="11" t="inlineStr">
        <is>
          <t>Грамматика</t>
        </is>
      </c>
      <c r="D649" s="11" t="inlineStr">
        <is>
          <t>Reported questions</t>
        </is>
      </c>
      <c r="E649" s="35" t="inlineStr">
        <is>
          <t>Reported questions: специальные вопросы — то же вопросительное слово</t>
        </is>
      </c>
      <c r="F649" s="11" t="inlineStr">
        <is>
          <t>8 кл. · М6 (6c) · новое
9 кл. · М8 (8c) · повт.
10 кл. · М8 (8c) · повт.
11 кл. · М6 (6c) · повт.</t>
        </is>
      </c>
      <c r="G649" s="11" t="n">
        <v>4</v>
      </c>
      <c r="H649" s="11">
        <f>'Темы × классы'!R555</f>
        <v/>
      </c>
      <c r="I649" s="11">
        <f>'Темы × классы'!S555&amp;""</f>
        <v/>
      </c>
      <c r="J649" s="11" t="inlineStr">
        <is>
          <t>не начат</t>
        </is>
      </c>
      <c r="K649" s="11" t="inlineStr"/>
    </row>
    <row r="650">
      <c r="A650" s="36" t="inlineStr">
        <is>
          <t>Ст-544</t>
        </is>
      </c>
      <c r="B650" s="37" t="inlineStr">
        <is>
          <t>10+</t>
        </is>
      </c>
      <c r="C650" s="11" t="inlineStr">
        <is>
          <t>Грамматика</t>
        </is>
      </c>
      <c r="D650" s="11" t="inlineStr">
        <is>
          <t>Reported questions</t>
        </is>
      </c>
      <c r="E650" s="35" t="inlineStr">
        <is>
          <t>Reported questions: общие вопросы — if/whether</t>
        </is>
      </c>
      <c r="F650" s="11" t="inlineStr">
        <is>
          <t>8 кл. · М6 (6c) · новое
9 кл. · М8 (8c) · повт.
10 кл. · М8 (8c) · повт.
11 кл. · М6 (6c) · повт.</t>
        </is>
      </c>
      <c r="G650" s="11" t="n">
        <v>4</v>
      </c>
      <c r="H650" s="11">
        <f>'Темы × классы'!R556</f>
        <v/>
      </c>
      <c r="I650" s="11">
        <f>'Темы × классы'!S556&amp;""</f>
        <v/>
      </c>
      <c r="J650" s="11" t="inlineStr">
        <is>
          <t>не начат</t>
        </is>
      </c>
      <c r="K650" s="11" t="inlineStr"/>
    </row>
    <row r="651">
      <c r="A651" s="36" t="inlineStr">
        <is>
          <t>Ст-545</t>
        </is>
      </c>
      <c r="B651" s="37" t="inlineStr">
        <is>
          <t>10+</t>
        </is>
      </c>
      <c r="C651" s="11" t="inlineStr">
        <is>
          <t>Грамматика</t>
        </is>
      </c>
      <c r="D651" s="11" t="inlineStr">
        <is>
          <t>Reported questions</t>
        </is>
      </c>
      <c r="E651" s="35" t="inlineStr">
        <is>
          <t>Reported questions: прямой порядок слов, без «?», без please/well/oh</t>
        </is>
      </c>
      <c r="F651" s="11" t="inlineStr">
        <is>
          <t>8 кл. · М6 (6c) · новое
9 кл. · М8 (8c) · повт.
10 кл. · М8 (8c) · повт.
11 кл. · М6 (6c) · повт.</t>
        </is>
      </c>
      <c r="G651" s="11" t="n">
        <v>4</v>
      </c>
      <c r="H651" s="11">
        <f>'Темы × классы'!R557</f>
        <v/>
      </c>
      <c r="I651" s="11">
        <f>'Темы × классы'!S557&amp;""</f>
        <v/>
      </c>
      <c r="J651" s="11" t="inlineStr">
        <is>
          <t>не начат</t>
        </is>
      </c>
      <c r="K651" s="11" t="inlineStr"/>
    </row>
    <row r="652">
      <c r="A652" s="36" t="inlineStr">
        <is>
          <t>Ст-546</t>
        </is>
      </c>
      <c r="B652" s="37" t="inlineStr">
        <is>
          <t>10+</t>
        </is>
      </c>
      <c r="C652" s="11" t="inlineStr">
        <is>
          <t>Грамматика</t>
        </is>
      </c>
      <c r="D652" s="11" t="inlineStr">
        <is>
          <t>Reported questions</t>
        </is>
      </c>
      <c r="E652" s="35" t="inlineStr">
        <is>
          <t>Reported questions: сдвиг времён, местоимений и слов времени</t>
        </is>
      </c>
      <c r="F652" s="11" t="inlineStr">
        <is>
          <t>8 кл. · М6 (6c) · новое
10 кл. · М8 (8c) · повт.
11 кл. · М6 (6c) · повт.</t>
        </is>
      </c>
      <c r="G652" s="11" t="n">
        <v>3</v>
      </c>
      <c r="H652" s="11">
        <f>'Темы × классы'!R558</f>
        <v/>
      </c>
      <c r="I652" s="11">
        <f>'Темы × классы'!S558&amp;""</f>
        <v/>
      </c>
      <c r="J652" s="11" t="inlineStr">
        <is>
          <t>не начат</t>
        </is>
      </c>
      <c r="K652" s="11" t="inlineStr"/>
    </row>
    <row r="653">
      <c r="A653" s="36" t="inlineStr">
        <is>
          <t>Ст-547</t>
        </is>
      </c>
      <c r="B653" s="37" t="inlineStr">
        <is>
          <t>10+</t>
        </is>
      </c>
      <c r="C653" s="11" t="inlineStr">
        <is>
          <t>Грамматика</t>
        </is>
      </c>
      <c r="D653" s="11" t="inlineStr">
        <is>
          <t>Clauses of purpose</t>
        </is>
      </c>
      <c r="E653" s="35" t="inlineStr">
        <is>
          <t>Clauses of purpose: to / in order to / so as to + infinitive</t>
        </is>
      </c>
      <c r="F653" s="11" t="inlineStr">
        <is>
          <t>9 кл. · М4 (4c) · новое
11 кл. · М2 (2c) · повт.</t>
        </is>
      </c>
      <c r="G653" s="11" t="n">
        <v>2</v>
      </c>
      <c r="H653" s="11">
        <f>'Темы × классы'!R559</f>
        <v/>
      </c>
      <c r="I653" s="11">
        <f>'Темы × классы'!S559&amp;""</f>
        <v/>
      </c>
      <c r="J653" s="11" t="inlineStr">
        <is>
          <t>не начат</t>
        </is>
      </c>
      <c r="K653" s="11" t="inlineStr"/>
    </row>
    <row r="654">
      <c r="A654" s="36" t="inlineStr">
        <is>
          <t>Ст-548</t>
        </is>
      </c>
      <c r="B654" s="37" t="inlineStr">
        <is>
          <t>10+</t>
        </is>
      </c>
      <c r="C654" s="11" t="inlineStr">
        <is>
          <t>Грамматика</t>
        </is>
      </c>
      <c r="D654" s="11" t="inlineStr">
        <is>
          <t>Clauses of purpose</t>
        </is>
      </c>
      <c r="E654" s="35" t="inlineStr">
        <is>
          <t>Clauses of purpose: so that + can/will, could/would</t>
        </is>
      </c>
      <c r="F654" s="11" t="inlineStr">
        <is>
          <t>9 кл. · М4 (4c) · новое
11 кл. · М2 (2c) · повт.</t>
        </is>
      </c>
      <c r="G654" s="11" t="n">
        <v>2</v>
      </c>
      <c r="H654" s="11">
        <f>'Темы × классы'!R560</f>
        <v/>
      </c>
      <c r="I654" s="11">
        <f>'Темы × классы'!S560&amp;""</f>
        <v/>
      </c>
      <c r="J654" s="11" t="inlineStr">
        <is>
          <t>не начат</t>
        </is>
      </c>
      <c r="K654" s="11" t="inlineStr"/>
    </row>
    <row r="655">
      <c r="A655" s="36" t="inlineStr">
        <is>
          <t>Ст-549</t>
        </is>
      </c>
      <c r="B655" s="37" t="inlineStr">
        <is>
          <t>10+</t>
        </is>
      </c>
      <c r="C655" s="11" t="inlineStr">
        <is>
          <t>Грамматика</t>
        </is>
      </c>
      <c r="D655" s="11" t="inlineStr">
        <is>
          <t>Clauses of purpose</t>
        </is>
      </c>
      <c r="E655" s="35" t="inlineStr">
        <is>
          <t>Clauses of purpose: with the view to / with the aim of + -ing</t>
        </is>
      </c>
      <c r="F655" s="11" t="inlineStr">
        <is>
          <t>9 кл. · М4 (4c) · новое
11 кл. · М2 (2c) · повт.</t>
        </is>
      </c>
      <c r="G655" s="11" t="n">
        <v>2</v>
      </c>
      <c r="H655" s="11">
        <f>'Темы × классы'!R561</f>
        <v/>
      </c>
      <c r="I655" s="11">
        <f>'Темы × классы'!S561&amp;""</f>
        <v/>
      </c>
      <c r="J655" s="11" t="inlineStr">
        <is>
          <t>не начат</t>
        </is>
      </c>
      <c r="K655" s="11" t="inlineStr"/>
    </row>
    <row r="656">
      <c r="A656" s="36" t="inlineStr">
        <is>
          <t>Ст-550</t>
        </is>
      </c>
      <c r="B656" s="37" t="inlineStr">
        <is>
          <t>10+</t>
        </is>
      </c>
      <c r="C656" s="11" t="inlineStr">
        <is>
          <t>Грамматика</t>
        </is>
      </c>
      <c r="D656" s="11" t="inlineStr">
        <is>
          <t>Clauses of purpose</t>
        </is>
      </c>
      <c r="E656" s="35" t="inlineStr">
        <is>
          <t>Clauses of purpose: for + noun/-ing (назначение предмета)</t>
        </is>
      </c>
      <c r="F656" s="11" t="inlineStr">
        <is>
          <t>11 кл. · М2 (2c) · новое</t>
        </is>
      </c>
      <c r="G656" s="11" t="n">
        <v>1</v>
      </c>
      <c r="H656" s="11">
        <f>'Темы × классы'!R562</f>
        <v/>
      </c>
      <c r="I656" s="11">
        <f>'Темы × классы'!S562&amp;""</f>
        <v/>
      </c>
      <c r="J656" s="11" t="inlineStr">
        <is>
          <t>не начат</t>
        </is>
      </c>
      <c r="K656" s="11" t="inlineStr"/>
    </row>
    <row r="657">
      <c r="A657" s="36" t="inlineStr">
        <is>
          <t>Ст-551</t>
        </is>
      </c>
      <c r="B657" s="37" t="inlineStr">
        <is>
          <t>10+</t>
        </is>
      </c>
      <c r="C657" s="11" t="inlineStr">
        <is>
          <t>Грамматика</t>
        </is>
      </c>
      <c r="D657" s="11" t="inlineStr">
        <is>
          <t>Clauses of purpose</t>
        </is>
      </c>
      <c r="E657" s="35" t="inlineStr">
        <is>
          <t>Clauses of purpose: in case + Present / Past</t>
        </is>
      </c>
      <c r="F657" s="11" t="inlineStr">
        <is>
          <t>11 кл. · М2 (2c) · новое</t>
        </is>
      </c>
      <c r="G657" s="11" t="n">
        <v>1</v>
      </c>
      <c r="H657" s="11">
        <f>'Темы × классы'!R563</f>
        <v/>
      </c>
      <c r="I657" s="11">
        <f>'Темы × классы'!S563&amp;""</f>
        <v/>
      </c>
      <c r="J657" s="11" t="inlineStr">
        <is>
          <t>не начат</t>
        </is>
      </c>
      <c r="K657" s="11" t="inlineStr"/>
    </row>
    <row r="658">
      <c r="A658" s="36" t="inlineStr">
        <is>
          <t>Ст-552</t>
        </is>
      </c>
      <c r="B658" s="37" t="inlineStr">
        <is>
          <t>10+</t>
        </is>
      </c>
      <c r="C658" s="11" t="inlineStr">
        <is>
          <t>Грамматика</t>
        </is>
      </c>
      <c r="D658" s="11" t="inlineStr">
        <is>
          <t>Clauses of purpose</t>
        </is>
      </c>
      <c r="E658" s="35" t="inlineStr">
        <is>
          <t>Clauses of purpose: отрицательная цель — so as not / in order not to</t>
        </is>
      </c>
      <c r="F658" s="11" t="inlineStr">
        <is>
          <t>11 кл. · М2 (2c) · новое</t>
        </is>
      </c>
      <c r="G658" s="11" t="n">
        <v>1</v>
      </c>
      <c r="H658" s="11">
        <f>'Темы × классы'!R564</f>
        <v/>
      </c>
      <c r="I658" s="11">
        <f>'Темы × классы'!S564&amp;""</f>
        <v/>
      </c>
      <c r="J658" s="11" t="inlineStr">
        <is>
          <t>не начат</t>
        </is>
      </c>
      <c r="K658" s="11" t="inlineStr"/>
    </row>
    <row r="659">
      <c r="A659" s="36" t="inlineStr">
        <is>
          <t>Ст-553</t>
        </is>
      </c>
      <c r="B659" s="37" t="inlineStr">
        <is>
          <t>10+</t>
        </is>
      </c>
      <c r="C659" s="11" t="inlineStr">
        <is>
          <t>Грамматика</t>
        </is>
      </c>
      <c r="D659" s="11" t="inlineStr">
        <is>
          <t>Clauses of purpose</t>
        </is>
      </c>
      <c r="E659" s="35" t="inlineStr">
        <is>
          <t>Clauses of purpose: отрицательная цель — so that + can't/won't, couldn't/wouldn't</t>
        </is>
      </c>
      <c r="F659" s="11" t="inlineStr">
        <is>
          <t>11 кл. · М2 (2c) · новое</t>
        </is>
      </c>
      <c r="G659" s="11" t="n">
        <v>1</v>
      </c>
      <c r="H659" s="11">
        <f>'Темы × классы'!R565</f>
        <v/>
      </c>
      <c r="I659" s="11">
        <f>'Темы × классы'!S565&amp;""</f>
        <v/>
      </c>
      <c r="J659" s="11" t="inlineStr">
        <is>
          <t>не начат</t>
        </is>
      </c>
      <c r="K659" s="11" t="inlineStr"/>
    </row>
    <row r="660">
      <c r="A660" s="36" t="inlineStr">
        <is>
          <t>Ст-554</t>
        </is>
      </c>
      <c r="B660" s="37" t="inlineStr">
        <is>
          <t>10+</t>
        </is>
      </c>
      <c r="C660" s="11" t="inlineStr">
        <is>
          <t>Грамматика</t>
        </is>
      </c>
      <c r="D660" s="11" t="inlineStr">
        <is>
          <t>Clauses of purpose</t>
        </is>
      </c>
      <c r="E660" s="35" t="inlineStr">
        <is>
          <t>Clauses of purpose: for fear / lest; for fear of</t>
        </is>
      </c>
      <c r="F660" s="11" t="inlineStr">
        <is>
          <t>11 кл. · М2 (2c) · новое</t>
        </is>
      </c>
      <c r="G660" s="11" t="n">
        <v>1</v>
      </c>
      <c r="H660" s="11">
        <f>'Темы × классы'!R566</f>
        <v/>
      </c>
      <c r="I660" s="11">
        <f>'Темы × классы'!S566&amp;""</f>
        <v/>
      </c>
      <c r="J660" s="11" t="inlineStr">
        <is>
          <t>не начат</t>
        </is>
      </c>
      <c r="K660" s="11" t="inlineStr"/>
    </row>
    <row r="661">
      <c r="A661" s="36" t="inlineStr">
        <is>
          <t>Ст-555</t>
        </is>
      </c>
      <c r="B661" s="37" t="inlineStr">
        <is>
          <t>10+</t>
        </is>
      </c>
      <c r="C661" s="11" t="inlineStr">
        <is>
          <t>Грамматика</t>
        </is>
      </c>
      <c r="D661" s="11" t="inlineStr">
        <is>
          <t>Clauses of purpose</t>
        </is>
      </c>
      <c r="E661" s="35" t="inlineStr">
        <is>
          <t>Clauses of purpose: prevent … (from) + -ing / avoid + -ing</t>
        </is>
      </c>
      <c r="F661" s="11" t="inlineStr">
        <is>
          <t>11 кл. · М2 (2c) · новое</t>
        </is>
      </c>
      <c r="G661" s="11" t="n">
        <v>1</v>
      </c>
      <c r="H661" s="11">
        <f>'Темы × классы'!R567</f>
        <v/>
      </c>
      <c r="I661" s="11">
        <f>'Темы × классы'!S567&amp;""</f>
        <v/>
      </c>
      <c r="J661" s="11" t="inlineStr">
        <is>
          <t>не начат</t>
        </is>
      </c>
      <c r="K661" s="11" t="inlineStr"/>
    </row>
    <row r="662">
      <c r="A662" s="36" t="inlineStr">
        <is>
          <t>Ст-556</t>
        </is>
      </c>
      <c r="B662" s="37" t="inlineStr">
        <is>
          <t>10+</t>
        </is>
      </c>
      <c r="C662" s="11" t="inlineStr">
        <is>
          <t>Грамматика</t>
        </is>
      </c>
      <c r="D662" s="11" t="inlineStr">
        <is>
          <t>Clauses of result</t>
        </is>
      </c>
      <c r="E662" s="35" t="inlineStr">
        <is>
          <t>Clauses of result: such … that</t>
        </is>
      </c>
      <c r="F662" s="11" t="inlineStr">
        <is>
          <t>9 кл. · М4 (4c) · новое
11 кл. · М2 (2c) · повт.</t>
        </is>
      </c>
      <c r="G662" s="11" t="n">
        <v>2</v>
      </c>
      <c r="H662" s="11">
        <f>'Темы × классы'!R568</f>
        <v/>
      </c>
      <c r="I662" s="11">
        <f>'Темы × классы'!S568&amp;""</f>
        <v/>
      </c>
      <c r="J662" s="11" t="inlineStr">
        <is>
          <t>не начат</t>
        </is>
      </c>
      <c r="K662" s="11" t="inlineStr"/>
    </row>
    <row r="663">
      <c r="A663" s="36" t="inlineStr">
        <is>
          <t>Ст-557</t>
        </is>
      </c>
      <c r="B663" s="37" t="inlineStr">
        <is>
          <t>10+</t>
        </is>
      </c>
      <c r="C663" s="11" t="inlineStr">
        <is>
          <t>Грамматика</t>
        </is>
      </c>
      <c r="D663" s="11" t="inlineStr">
        <is>
          <t>Clauses of result</t>
        </is>
      </c>
      <c r="E663" s="35" t="inlineStr">
        <is>
          <t>Clauses of result: so … that</t>
        </is>
      </c>
      <c r="F663" s="11" t="inlineStr">
        <is>
          <t>9 кл. · М4 (4c) · новое
11 кл. · М2 (2c) · повт.</t>
        </is>
      </c>
      <c r="G663" s="11" t="n">
        <v>2</v>
      </c>
      <c r="H663" s="11">
        <f>'Темы × классы'!R569</f>
        <v/>
      </c>
      <c r="I663" s="11">
        <f>'Темы × классы'!S569&amp;""</f>
        <v/>
      </c>
      <c r="J663" s="11" t="inlineStr">
        <is>
          <t>не начат</t>
        </is>
      </c>
      <c r="K663" s="11" t="inlineStr"/>
    </row>
    <row r="664">
      <c r="A664" s="36" t="inlineStr">
        <is>
          <t>Ст-558</t>
        </is>
      </c>
      <c r="B664" s="37" t="inlineStr">
        <is>
          <t>10+</t>
        </is>
      </c>
      <c r="C664" s="11" t="inlineStr">
        <is>
          <t>Грамматика</t>
        </is>
      </c>
      <c r="D664" s="11" t="inlineStr">
        <is>
          <t>Clauses of result</t>
        </is>
      </c>
      <c r="E664" s="35" t="inlineStr">
        <is>
          <t>Clauses of result: as a result / as a consequence / consequently / therefore / so</t>
        </is>
      </c>
      <c r="F664" s="11" t="inlineStr">
        <is>
          <t>9 кл. · М4 (4c) · новое
11 кл. · М2 (2c) · повт.</t>
        </is>
      </c>
      <c r="G664" s="11" t="n">
        <v>2</v>
      </c>
      <c r="H664" s="11">
        <f>'Темы × классы'!R570</f>
        <v/>
      </c>
      <c r="I664" s="11">
        <f>'Темы × классы'!S570&amp;""</f>
        <v/>
      </c>
      <c r="J664" s="11" t="inlineStr">
        <is>
          <t>не начат</t>
        </is>
      </c>
      <c r="K664" s="11" t="inlineStr"/>
    </row>
    <row r="665">
      <c r="A665" s="36" t="inlineStr">
        <is>
          <t>Ст-559</t>
        </is>
      </c>
      <c r="B665" s="37" t="inlineStr">
        <is>
          <t>10+</t>
        </is>
      </c>
      <c r="C665" s="11" t="inlineStr">
        <is>
          <t>Грамматика</t>
        </is>
      </c>
      <c r="D665" s="11" t="inlineStr">
        <is>
          <t>Conditional linkers (unless, provided…)</t>
        </is>
      </c>
      <c r="E665" s="35" t="inlineStr">
        <is>
          <t>Conditional linkers: unless, provided/providing (that), as long as, on condition (that)</t>
        </is>
      </c>
      <c r="F665" s="11" t="inlineStr">
        <is>
          <t>9 кл. · М7 (7c) · новое
10 кл. · М6 (6c) · повт.
11 кл. · М7 (7c) · повт.</t>
        </is>
      </c>
      <c r="G665" s="11" t="n">
        <v>3</v>
      </c>
      <c r="H665" s="11">
        <f>'Темы × классы'!R571</f>
        <v/>
      </c>
      <c r="I665" s="11">
        <f>'Темы × классы'!S571&amp;""</f>
        <v/>
      </c>
      <c r="J665" s="11" t="inlineStr">
        <is>
          <t>не начат</t>
        </is>
      </c>
      <c r="K665" s="11" t="inlineStr"/>
    </row>
    <row r="666">
      <c r="A666" s="36" t="inlineStr">
        <is>
          <t>Ст-560</t>
        </is>
      </c>
      <c r="B666" s="37" t="inlineStr">
        <is>
          <t>10+</t>
        </is>
      </c>
      <c r="C666" s="11" t="inlineStr">
        <is>
          <t>Грамматика</t>
        </is>
      </c>
      <c r="D666" s="11" t="inlineStr">
        <is>
          <t>Conditional linkers (unless, provided…)</t>
        </is>
      </c>
      <c r="E666" s="35" t="inlineStr">
        <is>
          <t>Conditional linkers: but for, otherwise, or else</t>
        </is>
      </c>
      <c r="F666" s="11" t="inlineStr">
        <is>
          <t>9 кл. · М7 (7c) · новое
10 кл. · М6 (6c) · повт.
11 кл. · М7 (7c) · повт.</t>
        </is>
      </c>
      <c r="G666" s="11" t="n">
        <v>3</v>
      </c>
      <c r="H666" s="11">
        <f>'Темы × классы'!R572</f>
        <v/>
      </c>
      <c r="I666" s="11">
        <f>'Темы × классы'!S572&amp;""</f>
        <v/>
      </c>
      <c r="J666" s="11" t="inlineStr">
        <is>
          <t>не начат</t>
        </is>
      </c>
      <c r="K666" s="11" t="inlineStr"/>
    </row>
    <row r="667">
      <c r="A667" s="36" t="inlineStr">
        <is>
          <t>Ст-561</t>
        </is>
      </c>
      <c r="B667" s="37" t="inlineStr">
        <is>
          <t>10+</t>
        </is>
      </c>
      <c r="C667" s="11" t="inlineStr">
        <is>
          <t>Грамматика</t>
        </is>
      </c>
      <c r="D667" s="11" t="inlineStr">
        <is>
          <t>Conditional linkers (unless, provided…)</t>
        </is>
      </c>
      <c r="E667" s="35" t="inlineStr">
        <is>
          <t>Conditional linkers: what if, supposing, even if</t>
        </is>
      </c>
      <c r="F667" s="11" t="inlineStr">
        <is>
          <t>9 кл. · М7 (7c) · новое
10 кл. · М6 (6c) · повт.
11 кл. · М7 (7c) · повт.</t>
        </is>
      </c>
      <c r="G667" s="11" t="n">
        <v>3</v>
      </c>
      <c r="H667" s="11">
        <f>'Темы × классы'!R573</f>
        <v/>
      </c>
      <c r="I667" s="11">
        <f>'Темы × классы'!S573&amp;""</f>
        <v/>
      </c>
      <c r="J667" s="11" t="inlineStr">
        <is>
          <t>не начат</t>
        </is>
      </c>
      <c r="K667" s="11" t="inlineStr"/>
    </row>
    <row r="668">
      <c r="A668" s="36" t="inlineStr">
        <is>
          <t>Ст-562</t>
        </is>
      </c>
      <c r="B668" s="37" t="inlineStr">
        <is>
          <t>10+</t>
        </is>
      </c>
      <c r="C668" s="11" t="inlineStr">
        <is>
          <t>Грамматика</t>
        </is>
      </c>
      <c r="D668" s="11" t="inlineStr">
        <is>
          <t>Conditional linkers (unless, provided…)</t>
        </is>
      </c>
      <c r="E668" s="35" t="inlineStr">
        <is>
          <t>Conditional linkers: only if (+ инверсия в главном предложении)</t>
        </is>
      </c>
      <c r="F668" s="11" t="inlineStr">
        <is>
          <t>9 кл. · М7 (7c) · новое
10 кл. · М6 (6c) · повт.
11 кл. · М7 (7c) · повт.</t>
        </is>
      </c>
      <c r="G668" s="11" t="n">
        <v>3</v>
      </c>
      <c r="H668" s="11">
        <f>'Темы × классы'!R574</f>
        <v/>
      </c>
      <c r="I668" s="11">
        <f>'Темы × классы'!S574&amp;""</f>
        <v/>
      </c>
      <c r="J668" s="11" t="inlineStr">
        <is>
          <t>не начат</t>
        </is>
      </c>
      <c r="K668" s="11" t="inlineStr"/>
    </row>
    <row r="669">
      <c r="A669" s="36" t="inlineStr">
        <is>
          <t>Ст-563</t>
        </is>
      </c>
      <c r="B669" s="37" t="inlineStr">
        <is>
          <t>10+</t>
        </is>
      </c>
      <c r="C669" s="11" t="inlineStr">
        <is>
          <t>Грамматика</t>
        </is>
      </c>
      <c r="D669" s="11" t="inlineStr">
        <is>
          <t>Conditional linkers (unless, provided…)</t>
        </is>
      </c>
      <c r="E669" s="35" t="inlineStr">
        <is>
          <t>Conditional linkers: will/would/should в if-части (просьба, раздражение, сомнение)</t>
        </is>
      </c>
      <c r="F669" s="11" t="inlineStr">
        <is>
          <t>9 кл. · М7 (7c) · новое
10 кл. · М6 (6c) · повт.
11 кл. · М7 (7c) · расш.</t>
        </is>
      </c>
      <c r="G669" s="11" t="n">
        <v>3</v>
      </c>
      <c r="H669" s="11">
        <f>'Темы × классы'!R575</f>
        <v/>
      </c>
      <c r="I669" s="11">
        <f>'Темы × классы'!S575&amp;""</f>
        <v/>
      </c>
      <c r="J669" s="11" t="inlineStr">
        <is>
          <t>не начат</t>
        </is>
      </c>
      <c r="K669" s="11" t="inlineStr"/>
    </row>
    <row r="670">
      <c r="A670" s="36" t="inlineStr">
        <is>
          <t>Ст-564</t>
        </is>
      </c>
      <c r="B670" s="37" t="inlineStr">
        <is>
          <t>10+</t>
        </is>
      </c>
      <c r="C670" s="11" t="inlineStr">
        <is>
          <t>Грамматика</t>
        </is>
      </c>
      <c r="D670" s="11" t="inlineStr">
        <is>
          <t>Exclamations</t>
        </is>
      </c>
      <c r="E670" s="34" t="inlineStr">
        <is>
          <t>Exclamations: How + прил./нареч.!</t>
        </is>
      </c>
      <c r="F670" s="11" t="inlineStr">
        <is>
          <t>9 кл. · М1 (1c) · новое</t>
        </is>
      </c>
      <c r="G670" s="11" t="n">
        <v>1</v>
      </c>
      <c r="H670" s="11">
        <f>'Темы × классы'!R576</f>
        <v/>
      </c>
      <c r="I670" s="11">
        <f>'Темы × классы'!S576&amp;""</f>
        <v/>
      </c>
      <c r="J670" s="11" t="inlineStr">
        <is>
          <t>не начат</t>
        </is>
      </c>
      <c r="K670" s="11" t="inlineStr"/>
    </row>
    <row r="671">
      <c r="A671" s="36" t="inlineStr">
        <is>
          <t>Ст-565</t>
        </is>
      </c>
      <c r="B671" s="37" t="inlineStr">
        <is>
          <t>10+</t>
        </is>
      </c>
      <c r="C671" s="11" t="inlineStr">
        <is>
          <t>Грамматика</t>
        </is>
      </c>
      <c r="D671" s="11" t="inlineStr">
        <is>
          <t>Exclamations</t>
        </is>
      </c>
      <c r="E671" s="34" t="inlineStr">
        <is>
          <t>Exclamations: What a/an (+ прил.) + исчисл. сущ. ед. ч.!</t>
        </is>
      </c>
      <c r="F671" s="11" t="inlineStr">
        <is>
          <t>9 кл. · М1 (1c) · новое</t>
        </is>
      </c>
      <c r="G671" s="11" t="n">
        <v>1</v>
      </c>
      <c r="H671" s="11">
        <f>'Темы × классы'!R577</f>
        <v/>
      </c>
      <c r="I671" s="11">
        <f>'Темы × классы'!S577&amp;""</f>
        <v/>
      </c>
      <c r="J671" s="11" t="inlineStr">
        <is>
          <t>не начат</t>
        </is>
      </c>
      <c r="K671" s="11" t="inlineStr"/>
    </row>
    <row r="672">
      <c r="A672" s="36" t="inlineStr">
        <is>
          <t>Ст-566</t>
        </is>
      </c>
      <c r="B672" s="37" t="inlineStr">
        <is>
          <t>10+</t>
        </is>
      </c>
      <c r="C672" s="11" t="inlineStr">
        <is>
          <t>Грамматика</t>
        </is>
      </c>
      <c r="D672" s="11" t="inlineStr">
        <is>
          <t>Exclamations</t>
        </is>
      </c>
      <c r="E672" s="34" t="inlineStr">
        <is>
          <t>Exclamations: What (+ прил.) + неисчисл. / мн. ч.!</t>
        </is>
      </c>
      <c r="F672" s="11" t="inlineStr">
        <is>
          <t>9 кл. · М1 (1c) · новое</t>
        </is>
      </c>
      <c r="G672" s="11" t="n">
        <v>1</v>
      </c>
      <c r="H672" s="11">
        <f>'Темы × классы'!R578</f>
        <v/>
      </c>
      <c r="I672" s="11">
        <f>'Темы × классы'!S578&amp;""</f>
        <v/>
      </c>
      <c r="J672" s="11" t="inlineStr">
        <is>
          <t>не начат</t>
        </is>
      </c>
      <c r="K672" s="11" t="inlineStr"/>
    </row>
    <row r="673">
      <c r="A673" s="36" t="inlineStr">
        <is>
          <t>Ст-567</t>
        </is>
      </c>
      <c r="B673" s="37" t="inlineStr">
        <is>
          <t>10+</t>
        </is>
      </c>
      <c r="C673" s="11" t="inlineStr">
        <is>
          <t>Грамматика</t>
        </is>
      </c>
      <c r="D673" s="11" t="inlineStr">
        <is>
          <t>Exclamations</t>
        </is>
      </c>
      <c r="E673" s="35" t="inlineStr">
        <is>
          <t>Exclamations: отрицательный вопрос (Isn't it great…!)</t>
        </is>
      </c>
      <c r="F673" s="11" t="inlineStr">
        <is>
          <t>9 кл. · М1 (1c) · новое</t>
        </is>
      </c>
      <c r="G673" s="11" t="n">
        <v>1</v>
      </c>
      <c r="H673" s="11">
        <f>'Темы × классы'!R579</f>
        <v/>
      </c>
      <c r="I673" s="11">
        <f>'Темы × классы'!S579&amp;""</f>
        <v/>
      </c>
      <c r="J673" s="11" t="inlineStr">
        <is>
          <t>не начат</t>
        </is>
      </c>
      <c r="K673" s="11" t="inlineStr"/>
    </row>
    <row r="674">
      <c r="A674" s="36" t="inlineStr">
        <is>
          <t>Ст-568</t>
        </is>
      </c>
      <c r="B674" s="37" t="inlineStr">
        <is>
          <t>10+</t>
        </is>
      </c>
      <c r="C674" s="11" t="inlineStr">
        <is>
          <t>Грамматика</t>
        </is>
      </c>
      <c r="D674" s="11" t="inlineStr">
        <is>
          <t>Inversion</t>
        </is>
      </c>
      <c r="E674" s="35" t="inlineStr">
        <is>
          <t>Inversion: условные без if — Should/Were/Had + подлежащее</t>
        </is>
      </c>
      <c r="F674" s="11" t="inlineStr">
        <is>
          <t>9 кл. · М7 (7c) · новое
10 кл. · М6 (6c) · повт.
11 кл. · М7 (7c) · повт.
11 кл. · М8 (8c) · повт.</t>
        </is>
      </c>
      <c r="G674" s="11" t="n">
        <v>4</v>
      </c>
      <c r="H674" s="11">
        <f>'Темы × классы'!R580</f>
        <v/>
      </c>
      <c r="I674" s="11">
        <f>'Темы × классы'!S580&amp;""</f>
        <v/>
      </c>
      <c r="J674" s="11" t="inlineStr">
        <is>
          <t>не начат</t>
        </is>
      </c>
      <c r="K674" s="11" t="inlineStr"/>
    </row>
    <row r="675">
      <c r="A675" s="36" t="inlineStr">
        <is>
          <t>Ст-569</t>
        </is>
      </c>
      <c r="B675" s="37" t="inlineStr">
        <is>
          <t>10+</t>
        </is>
      </c>
      <c r="C675" s="11" t="inlineStr">
        <is>
          <t>Грамматика</t>
        </is>
      </c>
      <c r="D675" s="11" t="inlineStr">
        <is>
          <t>Inversion</t>
        </is>
      </c>
      <c r="E675" s="35" t="inlineStr">
        <is>
          <t>Inversion: эмфатическая — форма (вспомогательный / do, does, did + подлежащее)</t>
        </is>
      </c>
      <c r="F675" s="11" t="inlineStr">
        <is>
          <t>11 кл. · М8 (8c) · новое</t>
        </is>
      </c>
      <c r="G675" s="11" t="n">
        <v>1</v>
      </c>
      <c r="H675" s="11">
        <f>'Темы × классы'!R581</f>
        <v/>
      </c>
      <c r="I675" s="11">
        <f>'Темы × классы'!S581&amp;""</f>
        <v/>
      </c>
      <c r="J675" s="11" t="inlineStr">
        <is>
          <t>не начат</t>
        </is>
      </c>
      <c r="K675" s="11" t="inlineStr"/>
    </row>
    <row r="676">
      <c r="A676" s="36" t="inlineStr">
        <is>
          <t>Ст-570</t>
        </is>
      </c>
      <c r="B676" s="37" t="inlineStr">
        <is>
          <t>10+</t>
        </is>
      </c>
      <c r="C676" s="11" t="inlineStr">
        <is>
          <t>Грамматика</t>
        </is>
      </c>
      <c r="D676" s="11" t="inlineStr">
        <is>
          <t>Inversion</t>
        </is>
      </c>
      <c r="E676" s="35" t="inlineStr">
        <is>
          <t>Inversion: после отрицательных наречий в начале (Never, Rarely, Seldom, Little, Hardly… when, No sooner… than, Not only… but also)</t>
        </is>
      </c>
      <c r="F676" s="11" t="inlineStr">
        <is>
          <t>11 кл. · М8 (8c) · новое</t>
        </is>
      </c>
      <c r="G676" s="11" t="n">
        <v>1</v>
      </c>
      <c r="H676" s="11">
        <f>'Темы × классы'!R582</f>
        <v/>
      </c>
      <c r="I676" s="11">
        <f>'Темы × классы'!S582&amp;""</f>
        <v/>
      </c>
      <c r="J676" s="11" t="inlineStr">
        <is>
          <t>не начат</t>
        </is>
      </c>
      <c r="K676" s="11" t="inlineStr"/>
    </row>
    <row r="677">
      <c r="A677" s="36" t="inlineStr">
        <is>
          <t>Ст-571</t>
        </is>
      </c>
      <c r="B677" s="37" t="inlineStr">
        <is>
          <t>10+</t>
        </is>
      </c>
      <c r="C677" s="11" t="inlineStr">
        <is>
          <t>Грамматика</t>
        </is>
      </c>
      <c r="D677" s="11" t="inlineStr">
        <is>
          <t>Inversion</t>
        </is>
      </c>
      <c r="E677" s="35" t="inlineStr">
        <is>
          <t>Inversion: после Only after/by/when/then, Not till/until, Not since — в главном предложении</t>
        </is>
      </c>
      <c r="F677" s="11" t="inlineStr">
        <is>
          <t>11 кл. · М8 (8c) · новое</t>
        </is>
      </c>
      <c r="G677" s="11" t="n">
        <v>1</v>
      </c>
      <c r="H677" s="11">
        <f>'Темы × классы'!R583</f>
        <v/>
      </c>
      <c r="I677" s="11">
        <f>'Темы × классы'!S583&amp;""</f>
        <v/>
      </c>
      <c r="J677" s="11" t="inlineStr">
        <is>
          <t>не начат</t>
        </is>
      </c>
      <c r="K677" s="11" t="inlineStr"/>
    </row>
    <row r="678">
      <c r="A678" s="36" t="inlineStr">
        <is>
          <t>Ст-572</t>
        </is>
      </c>
      <c r="B678" s="37" t="inlineStr">
        <is>
          <t>10+</t>
        </is>
      </c>
      <c r="C678" s="11" t="inlineStr">
        <is>
          <t>Грамматика</t>
        </is>
      </c>
      <c r="D678" s="11" t="inlineStr">
        <is>
          <t>Inversion</t>
        </is>
      </c>
      <c r="E678" s="35" t="inlineStr">
        <is>
          <t>Inversion: после So/Such в начале (результат)</t>
        </is>
      </c>
      <c r="F678" s="11" t="inlineStr">
        <is>
          <t>11 кл. · М8 (8c) · новое</t>
        </is>
      </c>
      <c r="G678" s="11" t="n">
        <v>1</v>
      </c>
      <c r="H678" s="11">
        <f>'Темы × классы'!R584</f>
        <v/>
      </c>
      <c r="I678" s="11">
        <f>'Темы × классы'!S584&amp;""</f>
        <v/>
      </c>
      <c r="J678" s="11" t="inlineStr">
        <is>
          <t>не начат</t>
        </is>
      </c>
      <c r="K678" s="11" t="inlineStr"/>
    </row>
    <row r="679">
      <c r="A679" s="36" t="inlineStr">
        <is>
          <t>Ст-573</t>
        </is>
      </c>
      <c r="B679" s="37" t="inlineStr">
        <is>
          <t>10+</t>
        </is>
      </c>
      <c r="C679" s="11" t="inlineStr">
        <is>
          <t>Грамматика</t>
        </is>
      </c>
      <c r="D679" s="11" t="inlineStr">
        <is>
          <t>Inversion</t>
        </is>
      </c>
      <c r="E679" s="35" t="inlineStr">
        <is>
          <t>Inversion: согласие после as, so, neither/nor</t>
        </is>
      </c>
      <c r="F679" s="11" t="inlineStr">
        <is>
          <t>11 кл. · М8 (8c) · новое</t>
        </is>
      </c>
      <c r="G679" s="11" t="n">
        <v>1</v>
      </c>
      <c r="H679" s="11">
        <f>'Темы × классы'!R585</f>
        <v/>
      </c>
      <c r="I679" s="11">
        <f>'Темы × классы'!S585&amp;""</f>
        <v/>
      </c>
      <c r="J679" s="11" t="inlineStr">
        <is>
          <t>не начат</t>
        </is>
      </c>
      <c r="K679" s="11" t="inlineStr"/>
    </row>
    <row r="680">
      <c r="A680" s="36" t="inlineStr">
        <is>
          <t>Ст-574</t>
        </is>
      </c>
      <c r="B680" s="37" t="inlineStr">
        <is>
          <t>10+</t>
        </is>
      </c>
      <c r="C680" s="11" t="inlineStr">
        <is>
          <t>Грамматика</t>
        </is>
      </c>
      <c r="D680" s="11" t="inlineStr">
        <is>
          <t>Inversion</t>
        </is>
      </c>
      <c r="E680" s="35" t="inlineStr">
        <is>
          <t>Inversion: смысловой глагол после Here/There (There goes the bus — НО There it goes)</t>
        </is>
      </c>
      <c r="F680" s="11" t="inlineStr">
        <is>
          <t>11 кл. · М8 (8c) · новое</t>
        </is>
      </c>
      <c r="G680" s="11" t="n">
        <v>1</v>
      </c>
      <c r="H680" s="11">
        <f>'Темы × классы'!R586</f>
        <v/>
      </c>
      <c r="I680" s="11">
        <f>'Темы × классы'!S586&amp;""</f>
        <v/>
      </c>
      <c r="J680" s="11" t="inlineStr">
        <is>
          <t>не начат</t>
        </is>
      </c>
      <c r="K680" s="11" t="inlineStr"/>
    </row>
    <row r="681">
      <c r="A681" s="36" t="inlineStr">
        <is>
          <t>Ст-575</t>
        </is>
      </c>
      <c r="B681" s="37" t="inlineStr">
        <is>
          <t>10+</t>
        </is>
      </c>
      <c r="C681" s="11" t="inlineStr">
        <is>
          <t>Грамматика</t>
        </is>
      </c>
      <c r="D681" s="11" t="inlineStr">
        <is>
          <t>Inversion</t>
        </is>
      </c>
      <c r="E681" s="35" t="inlineStr">
        <is>
          <t>Inversion: в прямой речи после цитаты (said Bill — НО he said)</t>
        </is>
      </c>
      <c r="F681" s="11" t="inlineStr">
        <is>
          <t>11 кл. · М8 (8c) · новое</t>
        </is>
      </c>
      <c r="G681" s="11" t="n">
        <v>1</v>
      </c>
      <c r="H681" s="11">
        <f>'Темы × классы'!R587</f>
        <v/>
      </c>
      <c r="I681" s="11">
        <f>'Темы × классы'!S587&amp;""</f>
        <v/>
      </c>
      <c r="J681" s="11" t="inlineStr">
        <is>
          <t>не начат</t>
        </is>
      </c>
      <c r="K681" s="11" t="inlineStr"/>
    </row>
    <row r="682">
      <c r="A682" s="36" t="inlineStr">
        <is>
          <t>Ст-576</t>
        </is>
      </c>
      <c r="B682" s="37" t="inlineStr">
        <is>
          <t>10+</t>
        </is>
      </c>
      <c r="C682" s="11" t="inlineStr">
        <is>
          <t>Грамматика</t>
        </is>
      </c>
      <c r="D682" s="11" t="inlineStr">
        <is>
          <t>Clauses of reason</t>
        </is>
      </c>
      <c r="E682" s="35" t="inlineStr">
        <is>
          <t>Clauses of reason: as / because / for / on the grounds that</t>
        </is>
      </c>
      <c r="F682" s="11" t="inlineStr">
        <is>
          <t>11 кл. · М2 (2c) · новое</t>
        </is>
      </c>
      <c r="G682" s="11" t="n">
        <v>1</v>
      </c>
      <c r="H682" s="11">
        <f>'Темы × классы'!R588</f>
        <v/>
      </c>
      <c r="I682" s="11">
        <f>'Темы × классы'!S588&amp;""</f>
        <v/>
      </c>
      <c r="J682" s="11" t="inlineStr">
        <is>
          <t>не начат</t>
        </is>
      </c>
      <c r="K682" s="11" t="inlineStr"/>
    </row>
    <row r="683">
      <c r="A683" s="36" t="inlineStr">
        <is>
          <t>Ст-577</t>
        </is>
      </c>
      <c r="B683" s="37" t="inlineStr">
        <is>
          <t>10+</t>
        </is>
      </c>
      <c r="C683" s="11" t="inlineStr">
        <is>
          <t>Грамматика</t>
        </is>
      </c>
      <c r="D683" s="11" t="inlineStr">
        <is>
          <t>Clauses of reason</t>
        </is>
      </c>
      <c r="E683" s="35" t="inlineStr">
        <is>
          <t>Clauses of reason: the reason for / the reason (why)</t>
        </is>
      </c>
      <c r="F683" s="11" t="inlineStr">
        <is>
          <t>11 кл. · М2 (2c) · новое</t>
        </is>
      </c>
      <c r="G683" s="11" t="n">
        <v>1</v>
      </c>
      <c r="H683" s="11">
        <f>'Темы × классы'!R589</f>
        <v/>
      </c>
      <c r="I683" s="11">
        <f>'Темы × классы'!S589&amp;""</f>
        <v/>
      </c>
      <c r="J683" s="11" t="inlineStr">
        <is>
          <t>не начат</t>
        </is>
      </c>
      <c r="K683" s="11" t="inlineStr"/>
    </row>
    <row r="684">
      <c r="A684" s="36" t="inlineStr">
        <is>
          <t>Ст-578</t>
        </is>
      </c>
      <c r="B684" s="37" t="inlineStr">
        <is>
          <t>10+</t>
        </is>
      </c>
      <c r="C684" s="11" t="inlineStr">
        <is>
          <t>Грамматика</t>
        </is>
      </c>
      <c r="D684" s="11" t="inlineStr">
        <is>
          <t>Clauses of reason</t>
        </is>
      </c>
      <c r="E684" s="35" t="inlineStr">
        <is>
          <t>Clauses of reason: because of / due to (+ the fact that)</t>
        </is>
      </c>
      <c r="F684" s="11" t="inlineStr">
        <is>
          <t>11 кл. · М2 (2c) · новое</t>
        </is>
      </c>
      <c r="G684" s="11" t="n">
        <v>1</v>
      </c>
      <c r="H684" s="11">
        <f>'Темы × классы'!R590</f>
        <v/>
      </c>
      <c r="I684" s="11">
        <f>'Темы × классы'!S590&amp;""</f>
        <v/>
      </c>
      <c r="J684" s="11" t="inlineStr">
        <is>
          <t>не начат</t>
        </is>
      </c>
      <c r="K684" s="11" t="inlineStr"/>
    </row>
    <row r="685">
      <c r="A685" s="36" t="inlineStr">
        <is>
          <t>Ст-579</t>
        </is>
      </c>
      <c r="B685" s="37" t="inlineStr">
        <is>
          <t>10+</t>
        </is>
      </c>
      <c r="C685" s="11" t="inlineStr">
        <is>
          <t>Грамматика</t>
        </is>
      </c>
      <c r="D685" s="11" t="inlineStr">
        <is>
          <t>Prepositions in relative clauses</t>
        </is>
      </c>
      <c r="E685" s="35" t="inlineStr">
        <is>
          <t>Prepositions in relative clauses: предлог + whom/which (that невозможен)</t>
        </is>
      </c>
      <c r="F685" s="11" t="inlineStr">
        <is>
          <t>11 кл. · М2 (2c) · повт.</t>
        </is>
      </c>
      <c r="G685" s="11" t="n">
        <v>1</v>
      </c>
      <c r="H685" s="11">
        <f>'Темы × классы'!R591</f>
        <v/>
      </c>
      <c r="I685" s="11">
        <f>'Темы × классы'!S591&amp;""</f>
        <v/>
      </c>
      <c r="J685" s="11" t="inlineStr">
        <is>
          <t>не начат</t>
        </is>
      </c>
      <c r="K685" s="11" t="inlineStr"/>
    </row>
    <row r="686">
      <c r="A686" s="36" t="inlineStr">
        <is>
          <t>Ст-580</t>
        </is>
      </c>
      <c r="B686" s="37" t="inlineStr">
        <is>
          <t>10+</t>
        </is>
      </c>
      <c r="C686" s="11" t="inlineStr">
        <is>
          <t>Грамматика</t>
        </is>
      </c>
      <c r="D686" s="11" t="inlineStr">
        <is>
          <t>Relative adverbs</t>
        </is>
      </c>
      <c r="E686" s="35" t="inlineStr">
        <is>
          <t>Relative adverbs: when/that — время</t>
        </is>
      </c>
      <c r="F686" s="11" t="inlineStr">
        <is>
          <t>11 кл. · М2 (2c) · повт.</t>
        </is>
      </c>
      <c r="G686" s="11" t="n">
        <v>1</v>
      </c>
      <c r="H686" s="11">
        <f>'Темы × классы'!R592</f>
        <v/>
      </c>
      <c r="I686" s="11">
        <f>'Темы × классы'!S592&amp;""</f>
        <v/>
      </c>
      <c r="J686" s="11" t="inlineStr">
        <is>
          <t>не начат</t>
        </is>
      </c>
      <c r="K686" s="11" t="inlineStr"/>
    </row>
    <row r="687">
      <c r="A687" s="36" t="inlineStr">
        <is>
          <t>Ст-581</t>
        </is>
      </c>
      <c r="B687" s="37" t="inlineStr">
        <is>
          <t>10+</t>
        </is>
      </c>
      <c r="C687" s="11" t="inlineStr">
        <is>
          <t>Грамматика</t>
        </is>
      </c>
      <c r="D687" s="11" t="inlineStr">
        <is>
          <t>Relative adverbs</t>
        </is>
      </c>
      <c r="E687" s="34" t="inlineStr">
        <is>
          <t>Relative adverbs: where — место</t>
        </is>
      </c>
      <c r="F687" s="11" t="inlineStr">
        <is>
          <t>11 кл. · М2 (2c) · повт.</t>
        </is>
      </c>
      <c r="G687" s="11" t="n">
        <v>1</v>
      </c>
      <c r="H687" s="11">
        <f>'Темы × классы'!R593</f>
        <v/>
      </c>
      <c r="I687" s="11">
        <f>'Темы × классы'!S593&amp;""</f>
        <v/>
      </c>
      <c r="J687" s="11" t="inlineStr">
        <is>
          <t>не начат</t>
        </is>
      </c>
      <c r="K687" s="11" t="inlineStr"/>
    </row>
    <row r="688">
      <c r="A688" s="36" t="inlineStr">
        <is>
          <t>Ст-582</t>
        </is>
      </c>
      <c r="B688" s="37" t="inlineStr">
        <is>
          <t>10+</t>
        </is>
      </c>
      <c r="C688" s="11" t="inlineStr">
        <is>
          <t>Грамматика</t>
        </is>
      </c>
      <c r="D688" s="11" t="inlineStr">
        <is>
          <t>Relative adverbs</t>
        </is>
      </c>
      <c r="E688" s="34" t="inlineStr">
        <is>
          <t>Relative adverbs: why — причина (the reason why)</t>
        </is>
      </c>
      <c r="F688" s="11" t="inlineStr">
        <is>
          <t>11 кл. · М2 (2c) · повт.</t>
        </is>
      </c>
      <c r="G688" s="11" t="n">
        <v>1</v>
      </c>
      <c r="H688" s="11">
        <f>'Темы × классы'!R594</f>
        <v/>
      </c>
      <c r="I688" s="11">
        <f>'Темы × классы'!S594&amp;""</f>
        <v/>
      </c>
      <c r="J688" s="11" t="inlineStr">
        <is>
          <t>не начат</t>
        </is>
      </c>
      <c r="K688" s="11" t="inlineStr"/>
    </row>
    <row r="689">
      <c r="A689" s="36" t="inlineStr">
        <is>
          <t>Ст-583</t>
        </is>
      </c>
      <c r="B689" s="37" t="inlineStr">
        <is>
          <t>10+</t>
        </is>
      </c>
      <c r="C689" s="11" t="inlineStr">
        <is>
          <t>Грамматика</t>
        </is>
      </c>
      <c r="D689" s="11" t="inlineStr">
        <is>
          <t>So / Neither / Nor (agreement)</t>
        </is>
      </c>
      <c r="E689" s="35" t="inlineStr">
        <is>
          <t>So / Neither / Nor: So + aux + подлежащее — к утверждению</t>
        </is>
      </c>
      <c r="F689" s="11" t="inlineStr">
        <is>
          <t>11 кл. · М8 (8c) · новое</t>
        </is>
      </c>
      <c r="G689" s="11" t="n">
        <v>1</v>
      </c>
      <c r="H689" s="11">
        <f>'Темы × классы'!R595</f>
        <v/>
      </c>
      <c r="I689" s="11">
        <f>'Темы × классы'!S595&amp;""</f>
        <v/>
      </c>
      <c r="J689" s="11" t="inlineStr">
        <is>
          <t>не начат</t>
        </is>
      </c>
      <c r="K689" s="11" t="inlineStr"/>
    </row>
    <row r="690">
      <c r="A690" s="36" t="inlineStr">
        <is>
          <t>Ст-584</t>
        </is>
      </c>
      <c r="B690" s="37" t="inlineStr">
        <is>
          <t>10+</t>
        </is>
      </c>
      <c r="C690" s="11" t="inlineStr">
        <is>
          <t>Грамматика</t>
        </is>
      </c>
      <c r="D690" s="11" t="inlineStr">
        <is>
          <t>So / Neither / Nor (agreement)</t>
        </is>
      </c>
      <c r="E690" s="35" t="inlineStr">
        <is>
          <t>So / Neither / Nor: Neither/Nor + aux + подлежащее — к отрицанию</t>
        </is>
      </c>
      <c r="F690" s="11" t="inlineStr">
        <is>
          <t>11 кл. · М8 (8c) · новое</t>
        </is>
      </c>
      <c r="G690" s="11" t="n">
        <v>1</v>
      </c>
      <c r="H690" s="11">
        <f>'Темы × классы'!R596</f>
        <v/>
      </c>
      <c r="I690" s="11">
        <f>'Темы × классы'!S596&amp;""</f>
        <v/>
      </c>
      <c r="J690" s="11" t="inlineStr">
        <is>
          <t>не начат</t>
        </is>
      </c>
      <c r="K690" s="11" t="inlineStr"/>
    </row>
    <row r="691">
      <c r="A691" s="36" t="inlineStr">
        <is>
          <t>Ст-585</t>
        </is>
      </c>
      <c r="B691" s="37" t="inlineStr">
        <is>
          <t>10+</t>
        </is>
      </c>
      <c r="C691" s="11" t="inlineStr">
        <is>
          <t>Use of English</t>
        </is>
      </c>
      <c r="D691" s="11" t="inlineStr">
        <is>
          <t>Phrasal verbs</t>
        </is>
      </c>
      <c r="E691" s="35" t="inlineStr">
        <is>
          <t>Phrasal verbs: bring</t>
        </is>
      </c>
      <c r="F691" s="11" t="inlineStr">
        <is>
          <t>8 кл. · М3 (3f) · новое
10 кл. · М8 (8c) · повт.</t>
        </is>
      </c>
      <c r="G691" s="11" t="n">
        <v>2</v>
      </c>
      <c r="H691" s="11">
        <f>'Темы × классы'!R597</f>
        <v/>
      </c>
      <c r="I691" s="11">
        <f>'Темы × классы'!S597&amp;""</f>
        <v/>
      </c>
      <c r="J691" s="11" t="inlineStr">
        <is>
          <t>не начат</t>
        </is>
      </c>
      <c r="K691" s="11" t="inlineStr"/>
    </row>
    <row r="692">
      <c r="A692" s="36" t="inlineStr">
        <is>
          <t>Ст-586</t>
        </is>
      </c>
      <c r="B692" s="37" t="inlineStr">
        <is>
          <t>10+</t>
        </is>
      </c>
      <c r="C692" s="11" t="inlineStr">
        <is>
          <t>Use of English</t>
        </is>
      </c>
      <c r="D692" s="11" t="inlineStr">
        <is>
          <t>Phrasal verbs</t>
        </is>
      </c>
      <c r="E692" s="35" t="inlineStr">
        <is>
          <t>Phrasal verbs: call</t>
        </is>
      </c>
      <c r="F692" s="11" t="inlineStr">
        <is>
          <t>8 кл. · М5 (5f) · новое</t>
        </is>
      </c>
      <c r="G692" s="11" t="n">
        <v>1</v>
      </c>
      <c r="H692" s="11">
        <f>'Темы × классы'!R598</f>
        <v/>
      </c>
      <c r="I692" s="11">
        <f>'Темы × классы'!S598&amp;""</f>
        <v/>
      </c>
      <c r="J692" s="11" t="inlineStr">
        <is>
          <t>не начат</t>
        </is>
      </c>
      <c r="K692" s="11" t="inlineStr"/>
    </row>
    <row r="693">
      <c r="A693" s="36" t="inlineStr">
        <is>
          <t>Ст-587</t>
        </is>
      </c>
      <c r="B693" s="37" t="inlineStr">
        <is>
          <t>10+</t>
        </is>
      </c>
      <c r="C693" s="11" t="inlineStr">
        <is>
          <t>Use of English</t>
        </is>
      </c>
      <c r="D693" s="11" t="inlineStr">
        <is>
          <t>Phrasal verbs</t>
        </is>
      </c>
      <c r="E693" s="33" t="inlineStr">
        <is>
          <t>Phrasal verbs: get</t>
        </is>
      </c>
      <c r="F693" s="11" t="inlineStr">
        <is>
          <t>8 кл. · М1 (1f) · новое
10 кл. · М5 (5c) · повт.</t>
        </is>
      </c>
      <c r="G693" s="11" t="n">
        <v>2</v>
      </c>
      <c r="H693" s="11">
        <f>'Темы × классы'!R599</f>
        <v/>
      </c>
      <c r="I693" s="11">
        <f>'Темы × классы'!S599&amp;""</f>
        <v/>
      </c>
      <c r="J693" s="11" t="inlineStr">
        <is>
          <t>не начат</t>
        </is>
      </c>
      <c r="K693" s="11" t="inlineStr"/>
    </row>
    <row r="694">
      <c r="A694" s="36" t="inlineStr">
        <is>
          <t>Ст-588</t>
        </is>
      </c>
      <c r="B694" s="37" t="inlineStr">
        <is>
          <t>10+</t>
        </is>
      </c>
      <c r="C694" s="11" t="inlineStr">
        <is>
          <t>Use of English</t>
        </is>
      </c>
      <c r="D694" s="11" t="inlineStr">
        <is>
          <t>Phrasal verbs</t>
        </is>
      </c>
      <c r="E694" s="35" t="inlineStr">
        <is>
          <t>Phrasal verbs: give</t>
        </is>
      </c>
      <c r="F694" s="11" t="inlineStr">
        <is>
          <t>8 кл. · М7 (7f) · новое
10 кл. · М6 (6c) · повт.</t>
        </is>
      </c>
      <c r="G694" s="11" t="n">
        <v>2</v>
      </c>
      <c r="H694" s="11">
        <f>'Темы × классы'!R600</f>
        <v/>
      </c>
      <c r="I694" s="11">
        <f>'Темы × классы'!S600&amp;""</f>
        <v/>
      </c>
      <c r="J694" s="11" t="inlineStr">
        <is>
          <t>не начат</t>
        </is>
      </c>
      <c r="K694" s="11" t="inlineStr"/>
    </row>
    <row r="695">
      <c r="A695" s="36" t="inlineStr">
        <is>
          <t>Ст-589</t>
        </is>
      </c>
      <c r="B695" s="37" t="inlineStr">
        <is>
          <t>10+</t>
        </is>
      </c>
      <c r="C695" s="11" t="inlineStr">
        <is>
          <t>Use of English</t>
        </is>
      </c>
      <c r="D695" s="11" t="inlineStr">
        <is>
          <t>Phrasal verbs</t>
        </is>
      </c>
      <c r="E695" s="35" t="inlineStr">
        <is>
          <t>Phrasal verbs: go</t>
        </is>
      </c>
      <c r="F695" s="11" t="inlineStr">
        <is>
          <t>8 кл. · М2 (2f) · новое
11 кл. · М4 (4c) · повт.</t>
        </is>
      </c>
      <c r="G695" s="11" t="n">
        <v>2</v>
      </c>
      <c r="H695" s="11">
        <f>'Темы × классы'!R601</f>
        <v/>
      </c>
      <c r="I695" s="11">
        <f>'Темы × классы'!S601&amp;""</f>
        <v/>
      </c>
      <c r="J695" s="11" t="inlineStr">
        <is>
          <t>не начат</t>
        </is>
      </c>
      <c r="K695" s="11" t="inlineStr"/>
    </row>
    <row r="696">
      <c r="A696" s="36" t="inlineStr">
        <is>
          <t>Ст-590</t>
        </is>
      </c>
      <c r="B696" s="37" t="inlineStr">
        <is>
          <t>10+</t>
        </is>
      </c>
      <c r="C696" s="11" t="inlineStr">
        <is>
          <t>Use of English</t>
        </is>
      </c>
      <c r="D696" s="11" t="inlineStr">
        <is>
          <t>Phrasal verbs</t>
        </is>
      </c>
      <c r="E696" s="35" t="inlineStr">
        <is>
          <t>Phrasal verbs: put</t>
        </is>
      </c>
      <c r="F696" s="11" t="inlineStr">
        <is>
          <t>8 кл. · М4 (4f) · новое
11 кл. · М2 (2c) · повт.</t>
        </is>
      </c>
      <c r="G696" s="11" t="n">
        <v>2</v>
      </c>
      <c r="H696" s="11">
        <f>'Темы × классы'!R602</f>
        <v/>
      </c>
      <c r="I696" s="11">
        <f>'Темы × классы'!S602&amp;""</f>
        <v/>
      </c>
      <c r="J696" s="11" t="inlineStr">
        <is>
          <t>не начат</t>
        </is>
      </c>
      <c r="K696" s="11" t="inlineStr"/>
    </row>
    <row r="697">
      <c r="A697" s="36" t="inlineStr">
        <is>
          <t>Ст-591</t>
        </is>
      </c>
      <c r="B697" s="37" t="inlineStr">
        <is>
          <t>10+</t>
        </is>
      </c>
      <c r="C697" s="11" t="inlineStr">
        <is>
          <t>Use of English</t>
        </is>
      </c>
      <c r="D697" s="11" t="inlineStr">
        <is>
          <t>Phrasal verbs</t>
        </is>
      </c>
      <c r="E697" s="33" t="inlineStr">
        <is>
          <t>Phrasal verbs: set</t>
        </is>
      </c>
      <c r="F697" s="11" t="inlineStr">
        <is>
          <t>8 кл. · М6 (6f) · новое</t>
        </is>
      </c>
      <c r="G697" s="11" t="n">
        <v>1</v>
      </c>
      <c r="H697" s="11">
        <f>'Темы × классы'!R603</f>
        <v/>
      </c>
      <c r="I697" s="11">
        <f>'Темы × классы'!S603&amp;""</f>
        <v/>
      </c>
      <c r="J697" s="11" t="inlineStr">
        <is>
          <t>не начат</t>
        </is>
      </c>
      <c r="K697" s="11" t="inlineStr"/>
    </row>
    <row r="698">
      <c r="A698" s="36" t="inlineStr">
        <is>
          <t>Ст-592</t>
        </is>
      </c>
      <c r="B698" s="37" t="inlineStr">
        <is>
          <t>10+</t>
        </is>
      </c>
      <c r="C698" s="11" t="inlineStr">
        <is>
          <t>Use of English</t>
        </is>
      </c>
      <c r="D698" s="11" t="inlineStr">
        <is>
          <t>Phrasal verbs</t>
        </is>
      </c>
      <c r="E698" s="33" t="inlineStr">
        <is>
          <t>Phrasal verbs: take</t>
        </is>
      </c>
      <c r="F698" s="11" t="inlineStr">
        <is>
          <t>8 кл. · М8 (8f) · новое
10 кл. · М2 (2c) · повт.</t>
        </is>
      </c>
      <c r="G698" s="11" t="n">
        <v>2</v>
      </c>
      <c r="H698" s="11">
        <f>'Темы × классы'!R604</f>
        <v/>
      </c>
      <c r="I698" s="11">
        <f>'Темы × классы'!S604&amp;""</f>
        <v/>
      </c>
      <c r="J698" s="11" t="inlineStr">
        <is>
          <t>не начат</t>
        </is>
      </c>
      <c r="K698" s="11" t="inlineStr"/>
    </row>
    <row r="699">
      <c r="A699" s="36" t="inlineStr">
        <is>
          <t>Ст-593</t>
        </is>
      </c>
      <c r="B699" s="37" t="inlineStr">
        <is>
          <t>10+</t>
        </is>
      </c>
      <c r="C699" s="11" t="inlineStr">
        <is>
          <t>Use of English</t>
        </is>
      </c>
      <c r="D699" s="11" t="inlineStr">
        <is>
          <t>Phrasal verbs</t>
        </is>
      </c>
      <c r="E699" s="35" t="inlineStr">
        <is>
          <t>Phrasal verbs: break</t>
        </is>
      </c>
      <c r="F699" s="11" t="inlineStr">
        <is>
          <t>9 кл. · М4 (4f) · новое</t>
        </is>
      </c>
      <c r="G699" s="11" t="n">
        <v>1</v>
      </c>
      <c r="H699" s="11">
        <f>'Темы × классы'!R605</f>
        <v/>
      </c>
      <c r="I699" s="11">
        <f>'Темы × классы'!S605&amp;""</f>
        <v/>
      </c>
      <c r="J699" s="11" t="inlineStr">
        <is>
          <t>не начат</t>
        </is>
      </c>
      <c r="K699" s="11" t="inlineStr"/>
    </row>
    <row r="700">
      <c r="A700" s="36" t="inlineStr">
        <is>
          <t>Ст-594</t>
        </is>
      </c>
      <c r="B700" s="37" t="inlineStr">
        <is>
          <t>10+</t>
        </is>
      </c>
      <c r="C700" s="11" t="inlineStr">
        <is>
          <t>Use of English</t>
        </is>
      </c>
      <c r="D700" s="11" t="inlineStr">
        <is>
          <t>Phrasal verbs</t>
        </is>
      </c>
      <c r="E700" s="35" t="inlineStr">
        <is>
          <t>Phrasal verbs: carry</t>
        </is>
      </c>
      <c r="F700" s="11" t="inlineStr">
        <is>
          <t>9 кл. · М8 (8f) · новое
11 кл. · М7 (7c) · повт.</t>
        </is>
      </c>
      <c r="G700" s="11" t="n">
        <v>2</v>
      </c>
      <c r="H700" s="11">
        <f>'Темы × классы'!R606</f>
        <v/>
      </c>
      <c r="I700" s="11">
        <f>'Темы × классы'!S606&amp;""</f>
        <v/>
      </c>
      <c r="J700" s="11" t="inlineStr">
        <is>
          <t>не начат</t>
        </is>
      </c>
      <c r="K700" s="11" t="inlineStr"/>
    </row>
    <row r="701">
      <c r="A701" s="36" t="inlineStr">
        <is>
          <t>Ст-595</t>
        </is>
      </c>
      <c r="B701" s="37" t="inlineStr">
        <is>
          <t>10+</t>
        </is>
      </c>
      <c r="C701" s="11" t="inlineStr">
        <is>
          <t>Use of English</t>
        </is>
      </c>
      <c r="D701" s="11" t="inlineStr">
        <is>
          <t>Phrasal verbs</t>
        </is>
      </c>
      <c r="E701" s="33" t="inlineStr">
        <is>
          <t>Phrasal verbs: check</t>
        </is>
      </c>
      <c r="F701" s="11" t="inlineStr">
        <is>
          <t>9 кл. · М6 (6f) · новое
11 кл. · М8 (8c) · повт.</t>
        </is>
      </c>
      <c r="G701" s="11" t="n">
        <v>2</v>
      </c>
      <c r="H701" s="11">
        <f>'Темы × классы'!R607</f>
        <v/>
      </c>
      <c r="I701" s="11">
        <f>'Темы × классы'!S607&amp;""</f>
        <v/>
      </c>
      <c r="J701" s="11" t="inlineStr">
        <is>
          <t>не начат</t>
        </is>
      </c>
      <c r="K701" s="11" t="inlineStr"/>
    </row>
    <row r="702">
      <c r="A702" s="36" t="inlineStr">
        <is>
          <t>Ст-596</t>
        </is>
      </c>
      <c r="B702" s="37" t="inlineStr">
        <is>
          <t>10+</t>
        </is>
      </c>
      <c r="C702" s="11" t="inlineStr">
        <is>
          <t>Use of English</t>
        </is>
      </c>
      <c r="D702" s="11" t="inlineStr">
        <is>
          <t>Phrasal verbs</t>
        </is>
      </c>
      <c r="E702" s="35" t="inlineStr">
        <is>
          <t>Phrasal verbs: come</t>
        </is>
      </c>
      <c r="F702" s="11" t="inlineStr">
        <is>
          <t>9 кл. · М3 (3f) · новое
11 кл. · М1 (1c) · повт.</t>
        </is>
      </c>
      <c r="G702" s="11" t="n">
        <v>2</v>
      </c>
      <c r="H702" s="11">
        <f>'Темы × классы'!R608</f>
        <v/>
      </c>
      <c r="I702" s="11">
        <f>'Темы × классы'!S608&amp;""</f>
        <v/>
      </c>
      <c r="J702" s="11" t="inlineStr">
        <is>
          <t>не начат</t>
        </is>
      </c>
      <c r="K702" s="11" t="inlineStr"/>
    </row>
    <row r="703">
      <c r="A703" s="36" t="inlineStr">
        <is>
          <t>Ст-597</t>
        </is>
      </c>
      <c r="B703" s="37" t="inlineStr">
        <is>
          <t>10+</t>
        </is>
      </c>
      <c r="C703" s="11" t="inlineStr">
        <is>
          <t>Use of English</t>
        </is>
      </c>
      <c r="D703" s="11" t="inlineStr">
        <is>
          <t>Phrasal verbs</t>
        </is>
      </c>
      <c r="E703" s="35" t="inlineStr">
        <is>
          <t>Phrasal verbs: keep</t>
        </is>
      </c>
      <c r="F703" s="11" t="inlineStr">
        <is>
          <t>9 кл. · М7 (7f) · новое
11 кл. · М3 (3c) · повт.</t>
        </is>
      </c>
      <c r="G703" s="11" t="n">
        <v>2</v>
      </c>
      <c r="H703" s="11">
        <f>'Темы × классы'!R609</f>
        <v/>
      </c>
      <c r="I703" s="11">
        <f>'Темы × классы'!S609&amp;""</f>
        <v/>
      </c>
      <c r="J703" s="11" t="inlineStr">
        <is>
          <t>не начат</t>
        </is>
      </c>
      <c r="K703" s="11" t="inlineStr"/>
    </row>
    <row r="704">
      <c r="A704" s="36" t="inlineStr">
        <is>
          <t>Ст-598</t>
        </is>
      </c>
      <c r="B704" s="37" t="inlineStr">
        <is>
          <t>10+</t>
        </is>
      </c>
      <c r="C704" s="11" t="inlineStr">
        <is>
          <t>Use of English</t>
        </is>
      </c>
      <c r="D704" s="11" t="inlineStr">
        <is>
          <t>Phrasal verbs</t>
        </is>
      </c>
      <c r="E704" s="35" t="inlineStr">
        <is>
          <t>Phrasal verbs: make</t>
        </is>
      </c>
      <c r="F704" s="11" t="inlineStr">
        <is>
          <t>9 кл. · М2 (2f) · новое</t>
        </is>
      </c>
      <c r="G704" s="11" t="n">
        <v>1</v>
      </c>
      <c r="H704" s="11">
        <f>'Темы × классы'!R610</f>
        <v/>
      </c>
      <c r="I704" s="11">
        <f>'Темы × классы'!S610&amp;""</f>
        <v/>
      </c>
      <c r="J704" s="11" t="inlineStr">
        <is>
          <t>не начат</t>
        </is>
      </c>
      <c r="K704" s="11" t="inlineStr"/>
    </row>
    <row r="705">
      <c r="A705" s="36" t="inlineStr">
        <is>
          <t>Ст-599</t>
        </is>
      </c>
      <c r="B705" s="37" t="inlineStr">
        <is>
          <t>10+</t>
        </is>
      </c>
      <c r="C705" s="11" t="inlineStr">
        <is>
          <t>Use of English</t>
        </is>
      </c>
      <c r="D705" s="11" t="inlineStr">
        <is>
          <t>Phrasal verbs</t>
        </is>
      </c>
      <c r="E705" s="35" t="inlineStr">
        <is>
          <t>Phrasal verbs: run</t>
        </is>
      </c>
      <c r="F705" s="11" t="inlineStr">
        <is>
          <t>9 кл. · М5 (5f) · новое
10 кл. · М4 (4c) · повт.</t>
        </is>
      </c>
      <c r="G705" s="11" t="n">
        <v>2</v>
      </c>
      <c r="H705" s="11">
        <f>'Темы × классы'!R611</f>
        <v/>
      </c>
      <c r="I705" s="11">
        <f>'Темы × классы'!S611&amp;""</f>
        <v/>
      </c>
      <c r="J705" s="11" t="inlineStr">
        <is>
          <t>не начат</t>
        </is>
      </c>
      <c r="K705" s="11" t="inlineStr"/>
    </row>
    <row r="706">
      <c r="A706" s="36" t="inlineStr">
        <is>
          <t>Ст-600</t>
        </is>
      </c>
      <c r="B706" s="37" t="inlineStr">
        <is>
          <t>10+</t>
        </is>
      </c>
      <c r="C706" s="11" t="inlineStr">
        <is>
          <t>Use of English</t>
        </is>
      </c>
      <c r="D706" s="11" t="inlineStr">
        <is>
          <t>Phrasal verbs</t>
        </is>
      </c>
      <c r="E706" s="35" t="inlineStr">
        <is>
          <t>Phrasal verbs: turn</t>
        </is>
      </c>
      <c r="F706" s="11" t="inlineStr">
        <is>
          <t>9 кл. · М1 (1f) · новое
10 кл. · М7 (7c) · повт.</t>
        </is>
      </c>
      <c r="G706" s="11" t="n">
        <v>2</v>
      </c>
      <c r="H706" s="11">
        <f>'Темы × классы'!R612</f>
        <v/>
      </c>
      <c r="I706" s="11">
        <f>'Темы × классы'!S612&amp;""</f>
        <v/>
      </c>
      <c r="J706" s="11" t="inlineStr">
        <is>
          <t>не начат</t>
        </is>
      </c>
      <c r="K706" s="11" t="inlineStr"/>
    </row>
    <row r="707">
      <c r="A707" s="36" t="inlineStr">
        <is>
          <t>Ст-601</t>
        </is>
      </c>
      <c r="B707" s="37" t="inlineStr">
        <is>
          <t>10+</t>
        </is>
      </c>
      <c r="C707" s="11" t="inlineStr">
        <is>
          <t>Use of English</t>
        </is>
      </c>
      <c r="D707" s="11" t="inlineStr">
        <is>
          <t>Phrasal verbs</t>
        </is>
      </c>
      <c r="E707" s="35" t="inlineStr">
        <is>
          <t>Phrasal verbs: look</t>
        </is>
      </c>
      <c r="F707" s="11" t="inlineStr">
        <is>
          <t>10 кл. · М1 (1c) · новое</t>
        </is>
      </c>
      <c r="G707" s="11" t="n">
        <v>1</v>
      </c>
      <c r="H707" s="11">
        <f>'Темы × классы'!R613</f>
        <v/>
      </c>
      <c r="I707" s="11">
        <f>'Темы × классы'!S613&amp;""</f>
        <v/>
      </c>
      <c r="J707" s="11" t="inlineStr">
        <is>
          <t>не начат</t>
        </is>
      </c>
      <c r="K707" s="11" t="inlineStr"/>
    </row>
    <row r="708">
      <c r="A708" s="36" t="inlineStr">
        <is>
          <t>Ст-602</t>
        </is>
      </c>
      <c r="B708" s="37" t="inlineStr">
        <is>
          <t>10+</t>
        </is>
      </c>
      <c r="C708" s="11" t="inlineStr">
        <is>
          <t>Use of English</t>
        </is>
      </c>
      <c r="D708" s="11" t="inlineStr">
        <is>
          <t>Phrasal verbs</t>
        </is>
      </c>
      <c r="E708" s="35" t="inlineStr">
        <is>
          <t>Phrasal verbs: pick</t>
        </is>
      </c>
      <c r="F708" s="11" t="inlineStr">
        <is>
          <t>10 кл. · М3 (3c) · новое</t>
        </is>
      </c>
      <c r="G708" s="11" t="n">
        <v>1</v>
      </c>
      <c r="H708" s="11">
        <f>'Темы × классы'!R614</f>
        <v/>
      </c>
      <c r="I708" s="11">
        <f>'Темы × классы'!S614&amp;""</f>
        <v/>
      </c>
      <c r="J708" s="11" t="inlineStr">
        <is>
          <t>не начат</t>
        </is>
      </c>
      <c r="K708" s="11" t="inlineStr"/>
    </row>
    <row r="709">
      <c r="A709" s="36" t="inlineStr">
        <is>
          <t>Ст-603</t>
        </is>
      </c>
      <c r="B709" s="37" t="inlineStr">
        <is>
          <t>10+</t>
        </is>
      </c>
      <c r="C709" s="11" t="inlineStr">
        <is>
          <t>Use of English</t>
        </is>
      </c>
      <c r="D709" s="11" t="inlineStr">
        <is>
          <t>Phrasal verbs</t>
        </is>
      </c>
      <c r="E709" s="35" t="inlineStr">
        <is>
          <t>Phrasal verbs: do</t>
        </is>
      </c>
      <c r="F709" s="11" t="inlineStr">
        <is>
          <t>11 кл. · М5 (5c) · новое</t>
        </is>
      </c>
      <c r="G709" s="11" t="n">
        <v>1</v>
      </c>
      <c r="H709" s="11">
        <f>'Темы × классы'!R615</f>
        <v/>
      </c>
      <c r="I709" s="11">
        <f>'Темы × классы'!S615&amp;""</f>
        <v/>
      </c>
      <c r="J709" s="11" t="inlineStr">
        <is>
          <t>не начат</t>
        </is>
      </c>
      <c r="K709" s="11" t="inlineStr"/>
    </row>
    <row r="710">
      <c r="A710" s="36" t="inlineStr">
        <is>
          <t>Ст-604</t>
        </is>
      </c>
      <c r="B710" s="37" t="inlineStr">
        <is>
          <t>10+</t>
        </is>
      </c>
      <c r="C710" s="11" t="inlineStr">
        <is>
          <t>Use of English</t>
        </is>
      </c>
      <c r="D710" s="11" t="inlineStr">
        <is>
          <t>Phrasal verbs</t>
        </is>
      </c>
      <c r="E710" s="35" t="inlineStr">
        <is>
          <t>Phrasal verbs: talk</t>
        </is>
      </c>
      <c r="F710" s="11" t="inlineStr">
        <is>
          <t>11 кл. · М6 (6c) · новое</t>
        </is>
      </c>
      <c r="G710" s="11" t="n">
        <v>1</v>
      </c>
      <c r="H710" s="11">
        <f>'Темы × классы'!R616</f>
        <v/>
      </c>
      <c r="I710" s="11">
        <f>'Темы × классы'!S616&amp;""</f>
        <v/>
      </c>
      <c r="J710" s="11" t="inlineStr">
        <is>
          <t>не начат</t>
        </is>
      </c>
      <c r="K710" s="11" t="inlineStr"/>
    </row>
    <row r="711">
      <c r="A711" s="36" t="inlineStr">
        <is>
          <t>Ст-605</t>
        </is>
      </c>
      <c r="B711" s="37" t="inlineStr">
        <is>
          <t>10+</t>
        </is>
      </c>
      <c r="C711" s="11" t="inlineStr">
        <is>
          <t>Use of English</t>
        </is>
      </c>
      <c r="D711" s="11" t="inlineStr">
        <is>
          <t>Word formation</t>
        </is>
      </c>
      <c r="E711" s="35" t="inlineStr">
        <is>
          <t>Word formation: -able, -ous, -ing</t>
        </is>
      </c>
      <c r="F711" s="11" t="inlineStr">
        <is>
          <t>5 кл. · М10 (10b) · новое</t>
        </is>
      </c>
      <c r="G711" s="11" t="n">
        <v>1</v>
      </c>
      <c r="H711" s="11">
        <f>'Темы × классы'!R617</f>
        <v/>
      </c>
      <c r="I711" s="11">
        <f>'Темы × классы'!S617&amp;""</f>
        <v/>
      </c>
      <c r="J711" s="11" t="inlineStr">
        <is>
          <t>не начат</t>
        </is>
      </c>
      <c r="K711" s="11" t="inlineStr"/>
    </row>
    <row r="712">
      <c r="A712" s="36" t="inlineStr">
        <is>
          <t>Ст-606</t>
        </is>
      </c>
      <c r="B712" s="37" t="inlineStr">
        <is>
          <t>10+</t>
        </is>
      </c>
      <c r="C712" s="11" t="inlineStr">
        <is>
          <t>Use of English</t>
        </is>
      </c>
      <c r="D712" s="11" t="inlineStr">
        <is>
          <t>Word formation</t>
        </is>
      </c>
      <c r="E712" s="35" t="inlineStr">
        <is>
          <t>Word formation: -al</t>
        </is>
      </c>
      <c r="F712" s="11" t="inlineStr">
        <is>
          <t>5 кл. · М5 (5a) · новое</t>
        </is>
      </c>
      <c r="G712" s="11" t="n">
        <v>1</v>
      </c>
      <c r="H712" s="11">
        <f>'Темы × классы'!R618</f>
        <v/>
      </c>
      <c r="I712" s="11">
        <f>'Темы × классы'!S618&amp;""</f>
        <v/>
      </c>
      <c r="J712" s="11" t="inlineStr">
        <is>
          <t>не начат</t>
        </is>
      </c>
      <c r="K712" s="11" t="inlineStr"/>
    </row>
    <row r="713">
      <c r="A713" s="36" t="inlineStr">
        <is>
          <t>Ст-607</t>
        </is>
      </c>
      <c r="B713" s="37" t="inlineStr">
        <is>
          <t>10+</t>
        </is>
      </c>
      <c r="C713" s="11" t="inlineStr">
        <is>
          <t>Use of English</t>
        </is>
      </c>
      <c r="D713" s="11" t="inlineStr">
        <is>
          <t>Word formation</t>
        </is>
      </c>
      <c r="E713" s="35" t="inlineStr">
        <is>
          <t>Word formation: -er, -or, -man, -ist, -ic</t>
        </is>
      </c>
      <c r="F713" s="11" t="inlineStr">
        <is>
          <t>5 кл. · М6 (6b) · новое</t>
        </is>
      </c>
      <c r="G713" s="11" t="n">
        <v>1</v>
      </c>
      <c r="H713" s="11">
        <f>'Темы × классы'!R619</f>
        <v/>
      </c>
      <c r="I713" s="11">
        <f>'Темы × классы'!S619&amp;""</f>
        <v/>
      </c>
      <c r="J713" s="11" t="inlineStr">
        <is>
          <t>не начат</t>
        </is>
      </c>
      <c r="K713" s="11" t="inlineStr"/>
    </row>
    <row r="714">
      <c r="A714" s="36" t="inlineStr">
        <is>
          <t>Ст-608</t>
        </is>
      </c>
      <c r="B714" s="37" t="inlineStr">
        <is>
          <t>10+</t>
        </is>
      </c>
      <c r="C714" s="11" t="inlineStr">
        <is>
          <t>Use of English</t>
        </is>
      </c>
      <c r="D714" s="11" t="inlineStr">
        <is>
          <t>Word formation</t>
        </is>
      </c>
      <c r="E714" s="33" t="inlineStr">
        <is>
          <t>Word formation: -ful</t>
        </is>
      </c>
      <c r="F714" s="11" t="inlineStr">
        <is>
          <t>5 кл. · М4 · новое</t>
        </is>
      </c>
      <c r="G714" s="11" t="n">
        <v>1</v>
      </c>
      <c r="H714" s="11">
        <f>'Темы × классы'!R620</f>
        <v/>
      </c>
      <c r="I714" s="11">
        <f>'Темы × классы'!S620&amp;""</f>
        <v/>
      </c>
      <c r="J714" s="11" t="inlineStr">
        <is>
          <t>не начат</t>
        </is>
      </c>
      <c r="K714" s="11" t="inlineStr"/>
    </row>
    <row r="715">
      <c r="A715" s="36" t="inlineStr">
        <is>
          <t>Ст-609</t>
        </is>
      </c>
      <c r="B715" s="37" t="inlineStr">
        <is>
          <t>10+</t>
        </is>
      </c>
      <c r="C715" s="11" t="inlineStr">
        <is>
          <t>Use of English</t>
        </is>
      </c>
      <c r="D715" s="11" t="inlineStr">
        <is>
          <t>Word formation</t>
        </is>
      </c>
      <c r="E715" s="35" t="inlineStr">
        <is>
          <t>Word formation: -ly</t>
        </is>
      </c>
      <c r="F715" s="11" t="inlineStr">
        <is>
          <t>5 кл. · М6 (6a) · новое</t>
        </is>
      </c>
      <c r="G715" s="11" t="n">
        <v>1</v>
      </c>
      <c r="H715" s="11">
        <f>'Темы × классы'!R621</f>
        <v/>
      </c>
      <c r="I715" s="11">
        <f>'Темы × классы'!S621&amp;""</f>
        <v/>
      </c>
      <c r="J715" s="11" t="inlineStr">
        <is>
          <t>не начат</t>
        </is>
      </c>
      <c r="K715" s="11" t="inlineStr"/>
    </row>
    <row r="716">
      <c r="A716" s="36" t="inlineStr">
        <is>
          <t>Ст-610</t>
        </is>
      </c>
      <c r="B716" s="37" t="inlineStr">
        <is>
          <t>10+</t>
        </is>
      </c>
      <c r="C716" s="11" t="inlineStr">
        <is>
          <t>Use of English</t>
        </is>
      </c>
      <c r="D716" s="11" t="inlineStr">
        <is>
          <t>Word formation</t>
        </is>
      </c>
      <c r="E716" s="35" t="inlineStr">
        <is>
          <t>Word formation: -tion, -sion</t>
        </is>
      </c>
      <c r="F716" s="11" t="inlineStr">
        <is>
          <t>5 кл. · М10 (10c) · новое</t>
        </is>
      </c>
      <c r="G716" s="11" t="n">
        <v>1</v>
      </c>
      <c r="H716" s="11">
        <f>'Темы × классы'!R622</f>
        <v/>
      </c>
      <c r="I716" s="11">
        <f>'Темы × классы'!S622&amp;""</f>
        <v/>
      </c>
      <c r="J716" s="11" t="inlineStr">
        <is>
          <t>не начат</t>
        </is>
      </c>
      <c r="K716" s="11" t="inlineStr"/>
    </row>
    <row r="717">
      <c r="A717" s="36" t="inlineStr">
        <is>
          <t>Ст-611</t>
        </is>
      </c>
      <c r="B717" s="37" t="inlineStr">
        <is>
          <t>10+</t>
        </is>
      </c>
      <c r="C717" s="11" t="inlineStr">
        <is>
          <t>Use of English</t>
        </is>
      </c>
      <c r="D717" s="11" t="inlineStr">
        <is>
          <t>Word formation</t>
        </is>
      </c>
      <c r="E717" s="33" t="inlineStr">
        <is>
          <t>Word formation: compound nouns</t>
        </is>
      </c>
      <c r="F717" s="11" t="inlineStr">
        <is>
          <t>5 кл. · М3 (3b) · новое
6 кл. · М6 (6a) · повт.
8 кл. · М7 (7f) · повт.
10 кл. · М5 (5c) · повт.</t>
        </is>
      </c>
      <c r="G717" s="11" t="n">
        <v>4</v>
      </c>
      <c r="H717" s="11">
        <f>'Темы × классы'!R623</f>
        <v/>
      </c>
      <c r="I717" s="11">
        <f>'Темы × классы'!S623&amp;""</f>
        <v/>
      </c>
      <c r="J717" s="11" t="inlineStr">
        <is>
          <t>не начат</t>
        </is>
      </c>
      <c r="K717" s="11" t="inlineStr"/>
    </row>
    <row r="718">
      <c r="A718" s="36" t="inlineStr">
        <is>
          <t>Ст-612</t>
        </is>
      </c>
      <c r="B718" s="37" t="inlineStr">
        <is>
          <t>10+</t>
        </is>
      </c>
      <c r="C718" s="11" t="inlineStr">
        <is>
          <t>Use of English</t>
        </is>
      </c>
      <c r="D718" s="11" t="inlineStr">
        <is>
          <t>Word formation</t>
        </is>
      </c>
      <c r="E718" s="35" t="inlineStr">
        <is>
          <t>Word formation: conversion (a dress – to dress)</t>
        </is>
      </c>
      <c r="F718" s="11" t="inlineStr">
        <is>
          <t>5 кл. · М8 (8a) · новое</t>
        </is>
      </c>
      <c r="G718" s="11" t="n">
        <v>1</v>
      </c>
      <c r="H718" s="11">
        <f>'Темы × классы'!R624</f>
        <v/>
      </c>
      <c r="I718" s="11">
        <f>'Темы × классы'!S624&amp;""</f>
        <v/>
      </c>
      <c r="J718" s="11" t="inlineStr">
        <is>
          <t>не начат</t>
        </is>
      </c>
      <c r="K718" s="11" t="inlineStr"/>
    </row>
    <row r="719">
      <c r="A719" s="36" t="inlineStr">
        <is>
          <t>Ст-613</t>
        </is>
      </c>
      <c r="B719" s="37" t="inlineStr">
        <is>
          <t>10+</t>
        </is>
      </c>
      <c r="C719" s="11" t="inlineStr">
        <is>
          <t>Use of English</t>
        </is>
      </c>
      <c r="D719" s="11" t="inlineStr">
        <is>
          <t>Word formation</t>
        </is>
      </c>
      <c r="E719" s="35" t="inlineStr">
        <is>
          <t>Word formation: nationalities -an/-ish/-ian/-ese</t>
        </is>
      </c>
      <c r="F719" s="11" t="inlineStr">
        <is>
          <t>5 кл. · М2 (2a) · новое</t>
        </is>
      </c>
      <c r="G719" s="11" t="n">
        <v>1</v>
      </c>
      <c r="H719" s="11">
        <f>'Темы × классы'!R625</f>
        <v/>
      </c>
      <c r="I719" s="11">
        <f>'Темы × классы'!S625&amp;""</f>
        <v/>
      </c>
      <c r="J719" s="11" t="inlineStr">
        <is>
          <t>не начат</t>
        </is>
      </c>
      <c r="K719" s="11" t="inlineStr"/>
    </row>
    <row r="720">
      <c r="A720" s="36" t="inlineStr">
        <is>
          <t>Ст-614</t>
        </is>
      </c>
      <c r="B720" s="37" t="inlineStr">
        <is>
          <t>10+</t>
        </is>
      </c>
      <c r="C720" s="11" t="inlineStr">
        <is>
          <t>Use of English</t>
        </is>
      </c>
      <c r="D720" s="11" t="inlineStr">
        <is>
          <t>Word formation</t>
        </is>
      </c>
      <c r="E720" s="35" t="inlineStr">
        <is>
          <t>Word formation: un-</t>
        </is>
      </c>
      <c r="F720" s="11" t="inlineStr">
        <is>
          <t>5 кл. · М8 (8c) · новое</t>
        </is>
      </c>
      <c r="G720" s="11" t="n">
        <v>1</v>
      </c>
      <c r="H720" s="11">
        <f>'Темы × классы'!R626</f>
        <v/>
      </c>
      <c r="I720" s="11">
        <f>'Темы × классы'!S626&amp;""</f>
        <v/>
      </c>
      <c r="J720" s="11" t="inlineStr">
        <is>
          <t>не начат</t>
        </is>
      </c>
      <c r="K720" s="11" t="inlineStr"/>
    </row>
    <row r="721">
      <c r="A721" s="36" t="inlineStr">
        <is>
          <t>Ст-615</t>
        </is>
      </c>
      <c r="B721" s="37" t="inlineStr">
        <is>
          <t>10+</t>
        </is>
      </c>
      <c r="C721" s="11" t="inlineStr">
        <is>
          <t>Use of English</t>
        </is>
      </c>
      <c r="D721" s="11" t="inlineStr">
        <is>
          <t>Word formation</t>
        </is>
      </c>
      <c r="E721" s="33" t="inlineStr">
        <is>
          <t>Word formation: -ful, -able</t>
        </is>
      </c>
      <c r="F721" s="11" t="inlineStr">
        <is>
          <t>8 кл. · М1 (1f) · новое</t>
        </is>
      </c>
      <c r="G721" s="11" t="n">
        <v>1</v>
      </c>
      <c r="H721" s="11">
        <f>'Темы × классы'!R627</f>
        <v/>
      </c>
      <c r="I721" s="11">
        <f>'Темы × классы'!S627&amp;""</f>
        <v/>
      </c>
      <c r="J721" s="11" t="inlineStr">
        <is>
          <t>не начат</t>
        </is>
      </c>
      <c r="K721" s="11" t="inlineStr"/>
    </row>
    <row r="722">
      <c r="A722" s="36" t="inlineStr">
        <is>
          <t>Ст-616</t>
        </is>
      </c>
      <c r="B722" s="37" t="inlineStr">
        <is>
          <t>10+</t>
        </is>
      </c>
      <c r="C722" s="11" t="inlineStr">
        <is>
          <t>Use of English</t>
        </is>
      </c>
      <c r="D722" s="11" t="inlineStr">
        <is>
          <t>Word formation</t>
        </is>
      </c>
      <c r="E722" s="35" t="inlineStr">
        <is>
          <t>Word formation: -ion, -tion, -ance</t>
        </is>
      </c>
      <c r="F722" s="11" t="inlineStr">
        <is>
          <t>8 кл. · М5 (5f) · новое</t>
        </is>
      </c>
      <c r="G722" s="11" t="n">
        <v>1</v>
      </c>
      <c r="H722" s="11">
        <f>'Темы × классы'!R628</f>
        <v/>
      </c>
      <c r="I722" s="11">
        <f>'Темы × классы'!S628&amp;""</f>
        <v/>
      </c>
      <c r="J722" s="11" t="inlineStr">
        <is>
          <t>не начат</t>
        </is>
      </c>
      <c r="K722" s="11" t="inlineStr"/>
    </row>
    <row r="723">
      <c r="A723" s="36" t="inlineStr">
        <is>
          <t>Ст-617</t>
        </is>
      </c>
      <c r="B723" s="37" t="inlineStr">
        <is>
          <t>10+</t>
        </is>
      </c>
      <c r="C723" s="11" t="inlineStr">
        <is>
          <t>Use of English</t>
        </is>
      </c>
      <c r="D723" s="11" t="inlineStr">
        <is>
          <t>Word formation</t>
        </is>
      </c>
      <c r="E723" s="35" t="inlineStr">
        <is>
          <t>Word formation: -ise, -ize</t>
        </is>
      </c>
      <c r="F723" s="11" t="inlineStr">
        <is>
          <t>8 кл. · М3 (3f) · новое</t>
        </is>
      </c>
      <c r="G723" s="11" t="n">
        <v>1</v>
      </c>
      <c r="H723" s="11">
        <f>'Темы × классы'!R629</f>
        <v/>
      </c>
      <c r="I723" s="11">
        <f>'Темы × классы'!S629&amp;""</f>
        <v/>
      </c>
      <c r="J723" s="11" t="inlineStr">
        <is>
          <t>не начат</t>
        </is>
      </c>
      <c r="K723" s="11" t="inlineStr"/>
    </row>
    <row r="724">
      <c r="A724" s="36" t="inlineStr">
        <is>
          <t>Ст-618</t>
        </is>
      </c>
      <c r="B724" s="37" t="inlineStr">
        <is>
          <t>10+</t>
        </is>
      </c>
      <c r="C724" s="11" t="inlineStr">
        <is>
          <t>Use of English</t>
        </is>
      </c>
      <c r="D724" s="11" t="inlineStr">
        <is>
          <t>Word formation</t>
        </is>
      </c>
      <c r="E724" s="35" t="inlineStr">
        <is>
          <t>Word formation: -ness, -ment</t>
        </is>
      </c>
      <c r="F724" s="11" t="inlineStr">
        <is>
          <t>8 кл. · М6 (6f) · новое</t>
        </is>
      </c>
      <c r="G724" s="11" t="n">
        <v>1</v>
      </c>
      <c r="H724" s="11">
        <f>'Темы × классы'!R630</f>
        <v/>
      </c>
      <c r="I724" s="11">
        <f>'Темы × классы'!S630&amp;""</f>
        <v/>
      </c>
      <c r="J724" s="11" t="inlineStr">
        <is>
          <t>не начат</t>
        </is>
      </c>
      <c r="K724" s="11" t="inlineStr"/>
    </row>
    <row r="725">
      <c r="A725" s="36" t="inlineStr">
        <is>
          <t>Ст-619</t>
        </is>
      </c>
      <c r="B725" s="37" t="inlineStr">
        <is>
          <t>10+</t>
        </is>
      </c>
      <c r="C725" s="11" t="inlineStr">
        <is>
          <t>Use of English</t>
        </is>
      </c>
      <c r="D725" s="11" t="inlineStr">
        <is>
          <t>Word formation</t>
        </is>
      </c>
      <c r="E725" s="33" t="inlineStr">
        <is>
          <t>Word formation: compound adjectives</t>
        </is>
      </c>
      <c r="F725" s="11" t="inlineStr">
        <is>
          <t>8 кл. · М8 (8f) · новое
9 кл. · М3 (3f) · повт.
10 кл. · М7 (7c) · повт.</t>
        </is>
      </c>
      <c r="G725" s="11" t="n">
        <v>3</v>
      </c>
      <c r="H725" s="11">
        <f>'Темы × классы'!R631</f>
        <v/>
      </c>
      <c r="I725" s="11">
        <f>'Темы × классы'!S631&amp;""</f>
        <v/>
      </c>
      <c r="J725" s="11" t="inlineStr">
        <is>
          <t>не начат</t>
        </is>
      </c>
      <c r="K725" s="11" t="inlineStr"/>
    </row>
    <row r="726">
      <c r="A726" s="36" t="inlineStr">
        <is>
          <t>Ст-620</t>
        </is>
      </c>
      <c r="B726" s="37" t="inlineStr">
        <is>
          <t>10+</t>
        </is>
      </c>
      <c r="C726" s="11" t="inlineStr">
        <is>
          <t>Use of English</t>
        </is>
      </c>
      <c r="D726" s="11" t="inlineStr">
        <is>
          <t>Word formation</t>
        </is>
      </c>
      <c r="E726" s="35" t="inlineStr">
        <is>
          <t>Word formation: il-, im-, in-, ir-</t>
        </is>
      </c>
      <c r="F726" s="11" t="inlineStr">
        <is>
          <t>8 кл. · М4 (4f) · новое</t>
        </is>
      </c>
      <c r="G726" s="11" t="n">
        <v>1</v>
      </c>
      <c r="H726" s="11">
        <f>'Темы × классы'!R632</f>
        <v/>
      </c>
      <c r="I726" s="11">
        <f>'Темы × классы'!S632&amp;""</f>
        <v/>
      </c>
      <c r="J726" s="11" t="inlineStr">
        <is>
          <t>не начат</t>
        </is>
      </c>
      <c r="K726" s="11" t="inlineStr"/>
    </row>
    <row r="727">
      <c r="A727" s="36" t="inlineStr">
        <is>
          <t>Ст-621</t>
        </is>
      </c>
      <c r="B727" s="37" t="inlineStr">
        <is>
          <t>10+</t>
        </is>
      </c>
      <c r="C727" s="11" t="inlineStr">
        <is>
          <t>Use of English</t>
        </is>
      </c>
      <c r="D727" s="11" t="inlineStr">
        <is>
          <t>Word formation</t>
        </is>
      </c>
      <c r="E727" s="35" t="inlineStr">
        <is>
          <t>Word formation: negative adjectives</t>
        </is>
      </c>
      <c r="F727" s="11" t="inlineStr">
        <is>
          <t>8 кл. · М2 (2f) · новое
10 кл. · М4 (4c) · повт.</t>
        </is>
      </c>
      <c r="G727" s="11" t="n">
        <v>2</v>
      </c>
      <c r="H727" s="11">
        <f>'Темы × классы'!R633</f>
        <v/>
      </c>
      <c r="I727" s="11">
        <f>'Темы × классы'!S633&amp;""</f>
        <v/>
      </c>
      <c r="J727" s="11" t="inlineStr">
        <is>
          <t>не начат</t>
        </is>
      </c>
      <c r="K727" s="11" t="inlineStr"/>
    </row>
    <row r="728">
      <c r="A728" s="36" t="inlineStr">
        <is>
          <t>Ст-622</t>
        </is>
      </c>
      <c r="B728" s="37" t="inlineStr">
        <is>
          <t>10+</t>
        </is>
      </c>
      <c r="C728" s="11" t="inlineStr">
        <is>
          <t>Use of English</t>
        </is>
      </c>
      <c r="D728" s="11" t="inlineStr">
        <is>
          <t>Word formation</t>
        </is>
      </c>
      <c r="E728" s="35" t="inlineStr">
        <is>
          <t>Word formation: abstract nouns</t>
        </is>
      </c>
      <c r="F728" s="11" t="inlineStr">
        <is>
          <t>9 кл. · М6 (6f) · новое
10 кл. · М2 (2c) · повт.</t>
        </is>
      </c>
      <c r="G728" s="11" t="n">
        <v>2</v>
      </c>
      <c r="H728" s="11">
        <f>'Темы × классы'!R634</f>
        <v/>
      </c>
      <c r="I728" s="11">
        <f>'Темы × классы'!S634&amp;""</f>
        <v/>
      </c>
      <c r="J728" s="11" t="inlineStr">
        <is>
          <t>не начат</t>
        </is>
      </c>
      <c r="K728" s="11" t="inlineStr"/>
    </row>
    <row r="729">
      <c r="A729" s="36" t="inlineStr">
        <is>
          <t>Ст-623</t>
        </is>
      </c>
      <c r="B729" s="37" t="inlineStr">
        <is>
          <t>10+</t>
        </is>
      </c>
      <c r="C729" s="11" t="inlineStr">
        <is>
          <t>Use of English</t>
        </is>
      </c>
      <c r="D729" s="11" t="inlineStr">
        <is>
          <t>Word formation</t>
        </is>
      </c>
      <c r="E729" s="35" t="inlineStr">
        <is>
          <t>Word formation: nouns from adjectives</t>
        </is>
      </c>
      <c r="F729" s="11" t="inlineStr">
        <is>
          <t>9 кл. · М2 (2f) · новое</t>
        </is>
      </c>
      <c r="G729" s="11" t="n">
        <v>1</v>
      </c>
      <c r="H729" s="11">
        <f>'Темы × классы'!R635</f>
        <v/>
      </c>
      <c r="I729" s="11">
        <f>'Темы × классы'!S635&amp;""</f>
        <v/>
      </c>
      <c r="J729" s="11" t="inlineStr">
        <is>
          <t>не начат</t>
        </is>
      </c>
      <c r="K729" s="11" t="inlineStr"/>
    </row>
    <row r="730">
      <c r="A730" s="36" t="inlineStr">
        <is>
          <t>Ст-624</t>
        </is>
      </c>
      <c r="B730" s="37" t="inlineStr">
        <is>
          <t>10+</t>
        </is>
      </c>
      <c r="C730" s="11" t="inlineStr">
        <is>
          <t>Use of English</t>
        </is>
      </c>
      <c r="D730" s="11" t="inlineStr">
        <is>
          <t>Word formation</t>
        </is>
      </c>
      <c r="E730" s="33" t="inlineStr">
        <is>
          <t>Word formation: nouns from verbs</t>
        </is>
      </c>
      <c r="F730" s="11" t="inlineStr">
        <is>
          <t>9 кл. · М4 (4f) · новое</t>
        </is>
      </c>
      <c r="G730" s="11" t="n">
        <v>1</v>
      </c>
      <c r="H730" s="11">
        <f>'Темы × классы'!R636</f>
        <v/>
      </c>
      <c r="I730" s="11">
        <f>'Темы × классы'!S636&amp;""</f>
        <v/>
      </c>
      <c r="J730" s="11" t="inlineStr">
        <is>
          <t>не начат</t>
        </is>
      </c>
      <c r="K730" s="11" t="inlineStr"/>
    </row>
    <row r="731">
      <c r="A731" s="36" t="inlineStr">
        <is>
          <t>Ст-625</t>
        </is>
      </c>
      <c r="B731" s="37" t="inlineStr">
        <is>
          <t>10+</t>
        </is>
      </c>
      <c r="C731" s="11" t="inlineStr">
        <is>
          <t>Use of English</t>
        </is>
      </c>
      <c r="D731" s="11" t="inlineStr">
        <is>
          <t>Word formation</t>
        </is>
      </c>
      <c r="E731" s="35" t="inlineStr">
        <is>
          <t>Word formation: participle adjectives -ed/-ing</t>
        </is>
      </c>
      <c r="F731" s="11" t="inlineStr">
        <is>
          <t>9 кл. · М1 (1f) · новое</t>
        </is>
      </c>
      <c r="G731" s="11" t="n">
        <v>1</v>
      </c>
      <c r="H731" s="11">
        <f>'Темы × классы'!R637</f>
        <v/>
      </c>
      <c r="I731" s="11">
        <f>'Темы × классы'!S637&amp;""</f>
        <v/>
      </c>
      <c r="J731" s="11" t="inlineStr">
        <is>
          <t>не начат</t>
        </is>
      </c>
      <c r="K731" s="11" t="inlineStr"/>
    </row>
    <row r="732">
      <c r="A732" s="36" t="inlineStr">
        <is>
          <t>Ст-626</t>
        </is>
      </c>
      <c r="B732" s="37" t="inlineStr">
        <is>
          <t>10+</t>
        </is>
      </c>
      <c r="C732" s="11" t="inlineStr">
        <is>
          <t>Use of English</t>
        </is>
      </c>
      <c r="D732" s="11" t="inlineStr">
        <is>
          <t>Word formation</t>
        </is>
      </c>
      <c r="E732" s="35" t="inlineStr">
        <is>
          <t>Word formation: revision</t>
        </is>
      </c>
      <c r="F732" s="11" t="inlineStr">
        <is>
          <t>9 кл. · М8 (8f) · новое</t>
        </is>
      </c>
      <c r="G732" s="11" t="n">
        <v>1</v>
      </c>
      <c r="H732" s="11">
        <f>'Темы × классы'!R638</f>
        <v/>
      </c>
      <c r="I732" s="11">
        <f>'Темы × классы'!S638&amp;""</f>
        <v/>
      </c>
      <c r="J732" s="11" t="inlineStr">
        <is>
          <t>не начат</t>
        </is>
      </c>
      <c r="K732" s="11" t="inlineStr"/>
    </row>
    <row r="733">
      <c r="A733" s="36" t="inlineStr">
        <is>
          <t>Ст-627</t>
        </is>
      </c>
      <c r="B733" s="37" t="inlineStr">
        <is>
          <t>10+</t>
        </is>
      </c>
      <c r="C733" s="11" t="inlineStr">
        <is>
          <t>Use of English</t>
        </is>
      </c>
      <c r="D733" s="11" t="inlineStr">
        <is>
          <t>Word formation</t>
        </is>
      </c>
      <c r="E733" s="35" t="inlineStr">
        <is>
          <t>Word formation: verbs from nouns/adjectives</t>
        </is>
      </c>
      <c r="F733" s="11" t="inlineStr">
        <is>
          <t>9 кл. · М7 (7f) · новое</t>
        </is>
      </c>
      <c r="G733" s="11" t="n">
        <v>1</v>
      </c>
      <c r="H733" s="11">
        <f>'Темы × классы'!R639</f>
        <v/>
      </c>
      <c r="I733" s="11">
        <f>'Темы × классы'!S639&amp;""</f>
        <v/>
      </c>
      <c r="J733" s="11" t="inlineStr">
        <is>
          <t>не начат</t>
        </is>
      </c>
      <c r="K733" s="11" t="inlineStr"/>
    </row>
    <row r="734">
      <c r="A734" s="36" t="inlineStr">
        <is>
          <t>Ст-628</t>
        </is>
      </c>
      <c r="B734" s="37" t="inlineStr">
        <is>
          <t>10+</t>
        </is>
      </c>
      <c r="C734" s="11" t="inlineStr">
        <is>
          <t>Use of English</t>
        </is>
      </c>
      <c r="D734" s="11" t="inlineStr">
        <is>
          <t>Word formation</t>
        </is>
      </c>
      <c r="E734" s="35" t="inlineStr">
        <is>
          <t>Word formation: verbs with prefixes</t>
        </is>
      </c>
      <c r="F734" s="11" t="inlineStr">
        <is>
          <t>9 кл. · М5 (5f) · новое</t>
        </is>
      </c>
      <c r="G734" s="11" t="n">
        <v>1</v>
      </c>
      <c r="H734" s="11">
        <f>'Темы × классы'!R640</f>
        <v/>
      </c>
      <c r="I734" s="11">
        <f>'Темы × классы'!S640&amp;""</f>
        <v/>
      </c>
      <c r="J734" s="11" t="inlineStr">
        <is>
          <t>не начат</t>
        </is>
      </c>
      <c r="K734" s="11" t="inlineStr"/>
    </row>
    <row r="735">
      <c r="A735" s="36" t="inlineStr">
        <is>
          <t>Ст-629</t>
        </is>
      </c>
      <c r="B735" s="37" t="inlineStr">
        <is>
          <t>10+</t>
        </is>
      </c>
      <c r="C735" s="11" t="inlineStr">
        <is>
          <t>Use of English</t>
        </is>
      </c>
      <c r="D735" s="11" t="inlineStr">
        <is>
          <t>Word formation</t>
        </is>
      </c>
      <c r="E735" s="33" t="inlineStr">
        <is>
          <t>Word formation: forming adjectives</t>
        </is>
      </c>
      <c r="F735" s="11" t="inlineStr">
        <is>
          <t>10 кл. · М1 (1c) · новое</t>
        </is>
      </c>
      <c r="G735" s="11" t="n">
        <v>1</v>
      </c>
      <c r="H735" s="11">
        <f>'Темы × классы'!R641</f>
        <v/>
      </c>
      <c r="I735" s="11">
        <f>'Темы × классы'!S641&amp;""</f>
        <v/>
      </c>
      <c r="J735" s="11" t="inlineStr">
        <is>
          <t>не начат</t>
        </is>
      </c>
      <c r="K735" s="11" t="inlineStr"/>
    </row>
    <row r="736">
      <c r="A736" s="36" t="inlineStr">
        <is>
          <t>Ст-630</t>
        </is>
      </c>
      <c r="B736" s="37" t="inlineStr">
        <is>
          <t>10+</t>
        </is>
      </c>
      <c r="C736" s="11" t="inlineStr">
        <is>
          <t>Use of English</t>
        </is>
      </c>
      <c r="D736" s="11" t="inlineStr">
        <is>
          <t>Word formation</t>
        </is>
      </c>
      <c r="E736" s="35" t="inlineStr">
        <is>
          <t>Word formation: forming verbs</t>
        </is>
      </c>
      <c r="F736" s="11" t="inlineStr">
        <is>
          <t>10 кл. · М8 (8c) · новое</t>
        </is>
      </c>
      <c r="G736" s="11" t="n">
        <v>1</v>
      </c>
      <c r="H736" s="11">
        <f>'Темы × классы'!R642</f>
        <v/>
      </c>
      <c r="I736" s="11">
        <f>'Темы × классы'!S642&amp;""</f>
        <v/>
      </c>
      <c r="J736" s="11" t="inlineStr">
        <is>
          <t>не начат</t>
        </is>
      </c>
      <c r="K736" s="11" t="inlineStr"/>
    </row>
    <row r="737">
      <c r="A737" s="36" t="inlineStr">
        <is>
          <t>Ст-631</t>
        </is>
      </c>
      <c r="B737" s="37" t="inlineStr">
        <is>
          <t>10+</t>
        </is>
      </c>
      <c r="C737" s="11" t="inlineStr">
        <is>
          <t>Use of English</t>
        </is>
      </c>
      <c r="D737" s="11" t="inlineStr">
        <is>
          <t>Word formation</t>
        </is>
      </c>
      <c r="E737" s="35" t="inlineStr">
        <is>
          <t>Word formation: personal nouns</t>
        </is>
      </c>
      <c r="F737" s="11" t="inlineStr">
        <is>
          <t>10 кл. · М3 (3c) · новое</t>
        </is>
      </c>
      <c r="G737" s="11" t="n">
        <v>1</v>
      </c>
      <c r="H737" s="11">
        <f>'Темы × классы'!R643</f>
        <v/>
      </c>
      <c r="I737" s="11">
        <f>'Темы × классы'!S643&amp;""</f>
        <v/>
      </c>
      <c r="J737" s="11" t="inlineStr">
        <is>
          <t>не начат</t>
        </is>
      </c>
      <c r="K737" s="11" t="inlineStr"/>
    </row>
    <row r="738">
      <c r="A738" s="36" t="inlineStr">
        <is>
          <t>Ст-632</t>
        </is>
      </c>
      <c r="B738" s="37" t="inlineStr">
        <is>
          <t>10+</t>
        </is>
      </c>
      <c r="C738" s="11" t="inlineStr">
        <is>
          <t>Use of English</t>
        </is>
      </c>
      <c r="D738" s="11" t="inlineStr">
        <is>
          <t>Word formation</t>
        </is>
      </c>
      <c r="E738" s="35" t="inlineStr">
        <is>
          <t>Word formation: prefixes</t>
        </is>
      </c>
      <c r="F738" s="11" t="inlineStr">
        <is>
          <t>10 кл. · М6 (6c) · новое</t>
        </is>
      </c>
      <c r="G738" s="11" t="n">
        <v>1</v>
      </c>
      <c r="H738" s="11">
        <f>'Темы × классы'!R644</f>
        <v/>
      </c>
      <c r="I738" s="11">
        <f>'Темы × классы'!S644&amp;""</f>
        <v/>
      </c>
      <c r="J738" s="11" t="inlineStr">
        <is>
          <t>не начат</t>
        </is>
      </c>
      <c r="K738" s="11" t="inlineStr"/>
    </row>
    <row r="739">
      <c r="A739" s="36" t="inlineStr">
        <is>
          <t>Ст-633</t>
        </is>
      </c>
      <c r="B739" s="37" t="inlineStr">
        <is>
          <t>10+</t>
        </is>
      </c>
      <c r="C739" s="11" t="inlineStr">
        <is>
          <t>Use of English</t>
        </is>
      </c>
      <c r="D739" s="11" t="inlineStr">
        <is>
          <t>Dependent prepositions</t>
        </is>
      </c>
      <c r="E739" s="35" t="inlineStr">
        <is>
          <t>Dependent prepositions</t>
        </is>
      </c>
      <c r="F739" s="11" t="inlineStr">
        <is>
          <t>8 кл. · М1 (1f) · новое
8 кл. · М2 (2f) · повт.
8 кл. · Appendix 2 · повт.
8 кл. · М3 (3f) · повт.
8 кл. · М4 (4f) · повт.
8 кл. · М6 (6f) · повт.
8 кл. · М8 (8f) · повт.
9 кл. · М1 (1f) · повт.
9 кл. · М2 (2f) · повт.
9 кл. · Appendix 2 · повт.
9 кл. · М3 (3f) · повт.
9 кл. · М4 (4f) · повт.
9 кл. · М5 (5f) · повт.
9 кл. · М6 (6f) · повт.
9 кл. · М7 (7f) · повт.
10 кл. · М1 (1c) · повт.
10 кл. · Appendix 1 · повт.
11 кл. · М1 (1c) · повт.
11 кл. · М2 (2c) · повт.
11 кл. · М3 (3c) · повт.
11 кл. · М4 (4c) · повт.
11 кл. · М5 (5c) · повт.
11 кл. · М6 (6c) · повт.
11 кл. · М7 (7c) · повт.
11 кл. · М8 (8c) · повт.</t>
        </is>
      </c>
      <c r="G739" s="11" t="n">
        <v>25</v>
      </c>
      <c r="H739" s="11">
        <f>'Темы × классы'!R645</f>
        <v/>
      </c>
      <c r="I739" s="11">
        <f>'Темы × классы'!S645&amp;""</f>
        <v/>
      </c>
      <c r="J739" s="11" t="inlineStr">
        <is>
          <t>не начат</t>
        </is>
      </c>
      <c r="K739" s="11" t="inlineStr"/>
    </row>
    <row r="740">
      <c r="A740" s="36" t="inlineStr">
        <is>
          <t>Ст-634</t>
        </is>
      </c>
      <c r="B740" s="37" t="inlineStr">
        <is>
          <t>10+</t>
        </is>
      </c>
      <c r="C740" s="11" t="inlineStr">
        <is>
          <t>Use of English</t>
        </is>
      </c>
      <c r="D740" s="11" t="inlineStr">
        <is>
          <t>Idioms &amp; collocations</t>
        </is>
      </c>
      <c r="E740" s="33" t="inlineStr">
        <is>
          <t>Idioms &amp; collocations</t>
        </is>
      </c>
      <c r="F740" s="11" t="inlineStr">
        <is>
          <t>8 кл. · Appendix 3 · новое
10 кл. · М5 (5c) · повт.
11 кл. · М1 (1b) · повт.
11 кл. · М2 (2b) · повт.
11 кл. · М4 (4b) · повт.
11 кл. · М5 (5b) · повт.
11 кл. · М6 (6b) · повт.
11 кл. · М7 (7a) · повт.
11 кл. · М8 (8b) · повт.</t>
        </is>
      </c>
      <c r="G740" s="11" t="n">
        <v>9</v>
      </c>
      <c r="H740" s="11">
        <f>'Темы × классы'!R646</f>
        <v/>
      </c>
      <c r="I740" s="11">
        <f>'Темы × классы'!S646&amp;""</f>
        <v/>
      </c>
      <c r="J740" s="11" t="inlineStr">
        <is>
          <t>не начат</t>
        </is>
      </c>
      <c r="K740" s="11" t="inlineStr"/>
    </row>
    <row r="741">
      <c r="A741" s="36" t="inlineStr">
        <is>
          <t>Ст-635</t>
        </is>
      </c>
      <c r="B741" s="37" t="inlineStr">
        <is>
          <t>10+</t>
        </is>
      </c>
      <c r="C741" s="11" t="inlineStr">
        <is>
          <t>Use of English</t>
        </is>
      </c>
      <c r="D741" s="11" t="inlineStr">
        <is>
          <t>Words often confused</t>
        </is>
      </c>
      <c r="E741" s="35" t="inlineStr">
        <is>
          <t>Words often confused</t>
        </is>
      </c>
      <c r="F741" s="11" t="inlineStr">
        <is>
          <t>8 кл. · М3 (3f) · новое
8 кл. · М4 (4f) · повт.
8 кл. · М5 (5f) · повт.
8 кл. · М6 (6f) · повт.
8 кл. · М7 (7f) · повт.
9 кл. · М8 (8f) · повт.
11 кл. · М3 (3a) · повт.</t>
        </is>
      </c>
      <c r="G741" s="11" t="n">
        <v>7</v>
      </c>
      <c r="H741" s="11">
        <f>'Темы × классы'!R647</f>
        <v/>
      </c>
      <c r="I741" s="11">
        <f>'Темы × классы'!S647&amp;""</f>
        <v/>
      </c>
      <c r="J741" s="11" t="inlineStr">
        <is>
          <t>не начат</t>
        </is>
      </c>
      <c r="K741" s="11" t="inlineStr"/>
    </row>
  </sheetData>
  <autoFilter ref="A1:K741"/>
  <conditionalFormatting sqref="H2:H741">
    <cfRule type="cellIs" priority="1" operator="equal" dxfId="0">
      <formula>"видео"</formula>
    </cfRule>
    <cfRule type="cellIs" priority="2" operator="equal" dxfId="1">
      <formula>"нет"</formula>
    </cfRule>
    <cfRule type="cellIs" priority="3" operator="equal" dxfId="2">
      <formula>"материалы"</formula>
    </cfRule>
    <cfRule type="cellIs" priority="4" operator="equal" dxfId="3">
      <formula>"вебинар"</formula>
    </cfRule>
  </conditionalFormatting>
  <dataValidations count="1">
    <dataValidation sqref="J2 J3 J4 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J104 J105 J106 J107 J108 J109 J110 J111 J112 J113 J114 J115 J116 J117 J118 J119 J120 J121 J122 J123 J124 J125 J126 J127 J128 J129 J130 J131 J132 J133 J134 J135 J136 J137 J138 J139 J140 J141 J142 J143 J144 J145 J146 J147 J148 J149 J150 J151 J152 J153 J154 J155 J156 J157 J158 J159 J160 J161 J162 J163 J164 J165 J166 J167 J168 J169 J170 J171 J172 J173 J174 J175 J176 J177 J178 J179 J180 J181 J182 J183 J184 J185 J186 J187 J188 J189 J190 J191 J192 J193 J194 J195 J196 J197 J198 J199 J200 J201 J202 J203 J204 J205 J206 J207 J208 J209 J210 J211 J212 J213 J214 J215 J216 J217 J218 J219 J220 J221 J222 J223 J224 J225 J226 J227 J228 J229 J230 J231 J232 J233 J234 J235 J236 J237 J238 J239 J240 J241 J242 J243 J244 J245 J246 J247 J248 J249 J250 J251 J252 J253 J254 J255 J256 J257 J258 J259 J260 J261 J262 J263 J264 J265 J266 J267 J268 J269 J270 J271 J272 J273 J274 J275 J276 J277 J278 J279 J280 J281 J282 J283 J284 J285 J286 J287 J288 J289 J290 J291 J292 J293 J294 J295 J296 J297 J298 J299 J300 J301 J302 J303 J304 J305 J306 J307 J308 J309 J310 J311 J312 J313 J314 J315 J316 J317 J318 J319 J320 J321 J322 J323 J324 J325 J326 J327 J328 J329 J330 J331 J332 J333 J334 J335 J336 J337 J338 J339 J340 J341 J342 J343 J344 J345 J346 J347 J348 J349 J350 J351 J352 J353 J354 J355 J356 J357 J358 J359 J360 J361 J362 J363 J364 J365 J366 J367 J368 J369 J370 J371 J372 J373 J374 J375 J376 J377 J378 J379 J380 J381 J382 J383 J384 J385 J386 J387 J388 J389 J390 J391 J392 J393 J394 J395 J396 J397 J398 J399 J400 J401 J402 J403 J404 J405 J406 J407 J408 J409 J410 J411 J412 J413 J414 J415 J416 J417 J418 J419 J420 J421 J422 J423 J424 J425 J426 J427 J428 J429 J430 J431 J432 J433 J434 J435 J436 J437 J438 J439 J440 J441 J442 J443 J444 J445 J446 J447 J448 J449 J450 J451 J452 J453 J454 J455 J456 J457 J458 J459 J460 J461 J462 J463 J464 J465 J466 J467 J468 J469 J470 J471 J472 J473 J474 J475 J476 J477 J478 J479 J480 J481 J482 J483 J484 J485 J486 J487 J488 J489 J490 J491 J492 J493 J494 J495 J496 J497 J498 J499 J500 J501 J502 J503 J504 J505 J506 J507 J508 J509 J510 J511 J512 J513 J514 J515 J516 J517 J518 J519 J520 J521 J522 J523 J524 J525 J526 J527 J528 J529 J530 J531 J532 J533 J534 J535 J536 J537 J538 J539 J540 J541 J542 J543 J544 J545 J546 J547 J548 J549 J550 J551 J552 J553 J554 J555 J556 J557 J558 J559 J560 J561 J562 J563 J564 J565 J566 J567 J568 J569 J570 J571 J572 J573 J574 J575 J576 J577 J578 J579 J580 J581 J582 J583 J584 J585 J586 J587 J588 J589 J590 J591 J592 J593 J594 J595 J596 J597 J598 J599 J600 J601 J602 J603 J604 J605 J606 J607 J608 J609 J610 J611 J612 J613 J614 J615 J616 J617 J618 J619 J620 J621 J622 J623 J624 J625 J626 J627 J628 J629 J630 J631 J632 J633 J634 J635 J636 J637 J638 J639 J640 J641 J642 J643 J644 J645 J646 J647 J648 J649 J650 J651 J652 J653 J654 J655 J656 J657 J658 J659 J660 J661 J662 J663 J664 J665 J666 J667 J668 J669 J670 J671 J672 J673 J674 J675 J676 J677 J678 J679 J680 J681 J682 J683 J684 J685 J686 J687 J688 J689 J690 J691 J692 J693 J694 J695 J696 J697 J698 J699 J700 J701 J702 J703 J704 J705 J706 J707 J708 J709 J710 J711 J712 J713 J714 J715 J716 J717 J718 J719 J720 J721 J722 J723 J724 J725 J726 J727 J728 J729 J730 J731 J732 J733 J734 J735 J736 J737 J738 J739 J740 J741" showDropDown="0" showInputMessage="0" showErrorMessage="0" allowBlank="1" type="list">
      <formula1>"не начат,готов без видео,готов с видео,опубликован"</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1929"/>
  <sheetViews>
    <sheetView workbookViewId="0">
      <pane xSplit="5" ySplit="1" topLeftCell="F2" activePane="bottomRight" state="frozen"/>
      <selection pane="topRight"/>
      <selection pane="bottomLeft"/>
      <selection pane="bottomRight"/>
      <selection pane="bottomLeft"/>
      <selection pane="bottomRight" activeCell="A1" sqref="A1"/>
    </sheetView>
  </sheetViews>
  <sheetFormatPr baseColWidth="8" defaultRowHeight="15"/>
  <cols>
    <col width="7" customWidth="1" min="1" max="1"/>
    <col width="26" customWidth="1" min="2" max="2"/>
    <col width="9" customWidth="1" min="3" max="3"/>
    <col width="22" customWidth="1" min="4" max="4"/>
    <col width="44" customWidth="1" min="5" max="5"/>
    <col width="9" customWidth="1" min="6" max="6"/>
    <col width="11" customWidth="1" min="7" max="7"/>
    <col width="50" customWidth="1" min="8" max="8"/>
    <col width="8" customWidth="1" min="9" max="9"/>
    <col width="9" customWidth="1" min="10" max="10"/>
    <col width="18" customWidth="1" min="11" max="11"/>
    <col width="60" customWidth="1" min="12" max="12"/>
  </cols>
  <sheetData>
    <row r="1">
      <c r="A1" s="3" t="inlineStr">
        <is>
          <t>Класс</t>
        </is>
      </c>
      <c r="B1" s="3" t="inlineStr">
        <is>
          <t>Модуль</t>
        </is>
      </c>
      <c r="C1" s="3" t="inlineStr">
        <is>
          <t>Урок учебника</t>
        </is>
      </c>
      <c r="D1" s="3" t="inlineStr">
        <is>
          <t>Тема (папка)</t>
        </is>
      </c>
      <c r="E1" s="3" t="inlineStr">
        <is>
          <t>Подтема (урок)</t>
        </is>
      </c>
      <c r="F1" s="3" t="inlineStr">
        <is>
          <t>№ урока</t>
        </is>
      </c>
      <c r="G1" s="3" t="inlineStr">
        <is>
          <t>В учебнике</t>
        </is>
      </c>
      <c r="H1" s="3" t="inlineStr">
        <is>
          <t>Что именно в этом классе</t>
        </is>
      </c>
      <c r="I1" s="3" t="inlineStr">
        <is>
          <t>Группа</t>
        </is>
      </c>
      <c r="J1" s="3" t="inlineStr">
        <is>
          <t>Видео</t>
        </is>
      </c>
      <c r="K1" s="3" t="inlineStr">
        <is>
          <t>Готовность</t>
        </is>
      </c>
      <c r="L1" s="3" t="inlineStr">
        <is>
          <t>Путь</t>
        </is>
      </c>
    </row>
    <row r="2">
      <c r="A2" s="32" t="n">
        <v>3</v>
      </c>
      <c r="B2" s="11" t="inlineStr">
        <is>
          <t>Module 1 · School days</t>
        </is>
      </c>
      <c r="C2" s="11" t="inlineStr"/>
      <c r="D2" s="11" t="inlineStr">
        <is>
          <t>to be (Present)</t>
        </is>
      </c>
      <c r="E2" s="33" t="inlineStr">
        <is>
          <t>to be (Present): утверждение — am/is/are, полные и краткие формы</t>
        </is>
      </c>
      <c r="F2" s="11" t="inlineStr">
        <is>
          <t>Мл-047</t>
        </is>
      </c>
      <c r="G2" s="38" t="inlineStr">
        <is>
          <t>новое</t>
        </is>
      </c>
      <c r="H2" s="11" t="inlineStr">
        <is>
          <t>все лица; I am/I'm, he is/he's, we are/we're…</t>
        </is>
      </c>
      <c r="I2" s="32" t="inlineStr">
        <is>
          <t>7–9</t>
        </is>
      </c>
      <c r="J2" s="11">
        <f>IFERROR(INDEX('Уроки'!$H:$H,MATCH(F2,'Уроки'!$A:$A,0)),"")</f>
        <v/>
      </c>
      <c r="K2" s="11">
        <f>IFERROR(INDEX('Уроки'!$J:$J,MATCH(F2,'Уроки'!$A:$A,0)),"")</f>
        <v/>
      </c>
      <c r="L2" s="11" t="inlineStr">
        <is>
          <t>Spotlight / 3 класс / Module 1 · School days / to be (Present) / to be (Present): утверждение — am/is/are, полные и краткие формы</t>
        </is>
      </c>
    </row>
    <row r="3">
      <c r="A3" s="32" t="n">
        <v>3</v>
      </c>
      <c r="B3" s="11" t="inlineStr">
        <is>
          <t>Module 1 · School days</t>
        </is>
      </c>
      <c r="C3" s="11" t="inlineStr"/>
      <c r="D3" s="11" t="inlineStr">
        <is>
          <t>to be (Present)</t>
        </is>
      </c>
      <c r="E3" s="34" t="inlineStr">
        <is>
          <t>to be (Present): отрицание — am not / isn't / aren't</t>
        </is>
      </c>
      <c r="F3" s="11" t="inlineStr">
        <is>
          <t>Мл-048</t>
        </is>
      </c>
      <c r="G3" s="38" t="inlineStr">
        <is>
          <t>новое</t>
        </is>
      </c>
      <c r="H3" s="11" t="inlineStr">
        <is>
          <t>полные и краткие: I'm not, isn't, aren't</t>
        </is>
      </c>
      <c r="I3" s="32" t="inlineStr">
        <is>
          <t>7–9</t>
        </is>
      </c>
      <c r="J3" s="11">
        <f>IFERROR(INDEX('Уроки'!$H:$H,MATCH(F3,'Уроки'!$A:$A,0)),"")</f>
        <v/>
      </c>
      <c r="K3" s="11">
        <f>IFERROR(INDEX('Уроки'!$J:$J,MATCH(F3,'Уроки'!$A:$A,0)),"")</f>
        <v/>
      </c>
      <c r="L3" s="11" t="inlineStr">
        <is>
          <t>Spotlight / 3 класс / Module 1 · School days / to be (Present) / to be (Present): отрицание — am not / isn't / aren't</t>
        </is>
      </c>
    </row>
    <row r="4">
      <c r="A4" s="32" t="n">
        <v>3</v>
      </c>
      <c r="B4" s="11" t="inlineStr">
        <is>
          <t>Module 1 · School days</t>
        </is>
      </c>
      <c r="C4" s="11" t="inlineStr"/>
      <c r="D4" s="11" t="inlineStr">
        <is>
          <t>to be (Present)</t>
        </is>
      </c>
      <c r="E4" s="34" t="inlineStr">
        <is>
          <t>to be (Present): вопросы и краткие ответы</t>
        </is>
      </c>
      <c r="F4" s="11" t="inlineStr">
        <is>
          <t>Мл-049</t>
        </is>
      </c>
      <c r="G4" s="38" t="inlineStr">
        <is>
          <t>новое</t>
        </is>
      </c>
      <c r="H4" s="11" t="inlineStr">
        <is>
          <t>Am I? Is he? Are you?; Yes, I am / No, I'm not</t>
        </is>
      </c>
      <c r="I4" s="32" t="inlineStr">
        <is>
          <t>7–9</t>
        </is>
      </c>
      <c r="J4" s="11">
        <f>IFERROR(INDEX('Уроки'!$H:$H,MATCH(F4,'Уроки'!$A:$A,0)),"")</f>
        <v/>
      </c>
      <c r="K4" s="11">
        <f>IFERROR(INDEX('Уроки'!$J:$J,MATCH(F4,'Уроки'!$A:$A,0)),"")</f>
        <v/>
      </c>
      <c r="L4" s="11" t="inlineStr">
        <is>
          <t>Spotlight / 3 класс / Module 1 · School days / to be (Present) / to be (Present): вопросы и краткие ответы</t>
        </is>
      </c>
    </row>
    <row r="5">
      <c r="A5" s="32" t="n">
        <v>3</v>
      </c>
      <c r="B5" s="11" t="inlineStr">
        <is>
          <t>Module 2 · Family moments</t>
        </is>
      </c>
      <c r="C5" s="11" t="inlineStr"/>
      <c r="D5" s="11" t="inlineStr">
        <is>
          <t>to be (Past: was/were)</t>
        </is>
      </c>
      <c r="E5" s="33" t="inlineStr">
        <is>
          <t>to be (Past): утверждение — was / were</t>
        </is>
      </c>
      <c r="F5" s="11" t="inlineStr">
        <is>
          <t>Мл-043</t>
        </is>
      </c>
      <c r="G5" s="38" t="inlineStr">
        <is>
          <t>новое</t>
        </is>
      </c>
      <c r="H5" s="11" t="inlineStr">
        <is>
          <t>I/he/she/it was; you/we/they were</t>
        </is>
      </c>
      <c r="I5" s="32" t="inlineStr">
        <is>
          <t>7–9</t>
        </is>
      </c>
      <c r="J5" s="11">
        <f>IFERROR(INDEX('Уроки'!$H:$H,MATCH(F5,'Уроки'!$A:$A,0)),"")</f>
        <v/>
      </c>
      <c r="K5" s="11">
        <f>IFERROR(INDEX('Уроки'!$J:$J,MATCH(F5,'Уроки'!$A:$A,0)),"")</f>
        <v/>
      </c>
      <c r="L5" s="11" t="inlineStr">
        <is>
          <t>Spotlight / 3 класс / Module 2 · Family moments / to be (Past: was/were) / to be (Past): утверждение — was / were</t>
        </is>
      </c>
    </row>
    <row r="6">
      <c r="A6" s="32" t="n">
        <v>3</v>
      </c>
      <c r="B6" s="11" t="inlineStr">
        <is>
          <t>Module 2 · Family moments</t>
        </is>
      </c>
      <c r="C6" s="11" t="inlineStr"/>
      <c r="D6" s="11" t="inlineStr">
        <is>
          <t>to be (Past: was/were)</t>
        </is>
      </c>
      <c r="E6" s="34" t="inlineStr">
        <is>
          <t>to be (Past): отрицание — wasn't / weren't</t>
        </is>
      </c>
      <c r="F6" s="11" t="inlineStr">
        <is>
          <t>Мл-044</t>
        </is>
      </c>
      <c r="G6" s="38" t="inlineStr">
        <is>
          <t>новое</t>
        </is>
      </c>
      <c r="H6" s="11" t="inlineStr">
        <is>
          <t>полные и краткие: was not/wasn't, were not/weren't</t>
        </is>
      </c>
      <c r="I6" s="32" t="inlineStr">
        <is>
          <t>7–9</t>
        </is>
      </c>
      <c r="J6" s="11">
        <f>IFERROR(INDEX('Уроки'!$H:$H,MATCH(F6,'Уроки'!$A:$A,0)),"")</f>
        <v/>
      </c>
      <c r="K6" s="11">
        <f>IFERROR(INDEX('Уроки'!$J:$J,MATCH(F6,'Уроки'!$A:$A,0)),"")</f>
        <v/>
      </c>
      <c r="L6" s="11" t="inlineStr">
        <is>
          <t>Spotlight / 3 класс / Module 2 · Family moments / to be (Past: was/were) / to be (Past): отрицание — wasn't / weren't</t>
        </is>
      </c>
    </row>
    <row r="7">
      <c r="A7" s="32" t="n">
        <v>3</v>
      </c>
      <c r="B7" s="11" t="inlineStr">
        <is>
          <t>Module 2 · Family moments</t>
        </is>
      </c>
      <c r="C7" s="11" t="inlineStr"/>
      <c r="D7" s="11" t="inlineStr">
        <is>
          <t>to be (Past: was/were)</t>
        </is>
      </c>
      <c r="E7" s="34" t="inlineStr">
        <is>
          <t>to be (Past): вопросы и краткие ответы</t>
        </is>
      </c>
      <c r="F7" s="11" t="inlineStr">
        <is>
          <t>Мл-045</t>
        </is>
      </c>
      <c r="G7" s="38" t="inlineStr">
        <is>
          <t>новое</t>
        </is>
      </c>
      <c r="H7" s="11" t="inlineStr">
        <is>
          <t>was/were перед подлежащим; Yes, I was / No, they weren't</t>
        </is>
      </c>
      <c r="I7" s="32" t="inlineStr">
        <is>
          <t>7–9</t>
        </is>
      </c>
      <c r="J7" s="11">
        <f>IFERROR(INDEX('Уроки'!$H:$H,MATCH(F7,'Уроки'!$A:$A,0)),"")</f>
        <v/>
      </c>
      <c r="K7" s="11">
        <f>IFERROR(INDEX('Уроки'!$J:$J,MATCH(F7,'Уроки'!$A:$A,0)),"")</f>
        <v/>
      </c>
      <c r="L7" s="11" t="inlineStr">
        <is>
          <t>Spotlight / 3 класс / Module 2 · Family moments / to be (Past: was/were) / to be (Past): вопросы и краткие ответы</t>
        </is>
      </c>
    </row>
    <row r="8">
      <c r="A8" s="32" t="n">
        <v>3</v>
      </c>
      <c r="B8" s="11" t="inlineStr">
        <is>
          <t>Module 2 · Family moments</t>
        </is>
      </c>
      <c r="C8" s="11" t="inlineStr"/>
      <c r="D8" s="11" t="inlineStr">
        <is>
          <t>to be (Past: was/were)</t>
        </is>
      </c>
      <c r="E8" s="33" t="inlineStr">
        <is>
          <t>to be (Past): слова-указатели прошедшего времени</t>
        </is>
      </c>
      <c r="F8" s="11" t="inlineStr">
        <is>
          <t>Мл-046</t>
        </is>
      </c>
      <c r="G8" s="38" t="inlineStr">
        <is>
          <t>новое</t>
        </is>
      </c>
      <c r="H8" s="11" t="inlineStr">
        <is>
          <t>yesterday, last week/month/year, two days ago, in 1975</t>
        </is>
      </c>
      <c r="I8" s="32" t="inlineStr">
        <is>
          <t>7–9</t>
        </is>
      </c>
      <c r="J8" s="11">
        <f>IFERROR(INDEX('Уроки'!$H:$H,MATCH(F8,'Уроки'!$A:$A,0)),"")</f>
        <v/>
      </c>
      <c r="K8" s="11">
        <f>IFERROR(INDEX('Уроки'!$J:$J,MATCH(F8,'Уроки'!$A:$A,0)),"")</f>
        <v/>
      </c>
      <c r="L8" s="11" t="inlineStr">
        <is>
          <t>Spotlight / 3 класс / Module 2 · Family moments / to be (Past: was/were) / to be (Past): слова-указатели прошедшего времени</t>
        </is>
      </c>
    </row>
    <row r="9">
      <c r="A9" s="32" t="n">
        <v>3</v>
      </c>
      <c r="B9" s="11" t="inlineStr">
        <is>
          <t>Module 2 · Family moments</t>
        </is>
      </c>
      <c r="C9" s="11" t="inlineStr"/>
      <c r="D9" s="11" t="inlineStr">
        <is>
          <t>Plurals (regular)</t>
        </is>
      </c>
      <c r="E9" s="33" t="inlineStr">
        <is>
          <t>Plurals (regular): основное правило — + -s</t>
        </is>
      </c>
      <c r="F9" s="11" t="inlineStr">
        <is>
          <t>Мл-059</t>
        </is>
      </c>
      <c r="G9" s="38" t="inlineStr">
        <is>
          <t>новое</t>
        </is>
      </c>
      <c r="H9" s="11" t="inlineStr">
        <is>
          <t>только это правило: pen — pens, book — books</t>
        </is>
      </c>
      <c r="I9" s="32" t="inlineStr">
        <is>
          <t>7–9</t>
        </is>
      </c>
      <c r="J9" s="11">
        <f>IFERROR(INDEX('Уроки'!$H:$H,MATCH(F9,'Уроки'!$A:$A,0)),"")</f>
        <v/>
      </c>
      <c r="K9" s="11">
        <f>IFERROR(INDEX('Уроки'!$J:$J,MATCH(F9,'Уроки'!$A:$A,0)),"")</f>
        <v/>
      </c>
      <c r="L9" s="11" t="inlineStr">
        <is>
          <t>Spotlight / 3 класс / Module 2 · Family moments / Plurals (regular) / Plurals (regular): основное правило — + -s</t>
        </is>
      </c>
    </row>
    <row r="10">
      <c r="A10" s="32" t="n">
        <v>3</v>
      </c>
      <c r="B10" s="11" t="inlineStr">
        <is>
          <t>Module 2 · Family moments</t>
        </is>
      </c>
      <c r="C10" s="11" t="inlineStr"/>
      <c r="D10" s="11" t="inlineStr">
        <is>
          <t>Possessive adjectives</t>
        </is>
      </c>
      <c r="E10" s="33" t="inlineStr">
        <is>
          <t>Possessive adjectives: формы my, your, his, her, its, our, their</t>
        </is>
      </c>
      <c r="F10" s="11" t="inlineStr">
        <is>
          <t>Мл-079</t>
        </is>
      </c>
      <c r="G10" s="38" t="inlineStr">
        <is>
          <t>новое</t>
        </is>
      </c>
      <c r="H10" s="11" t="inlineStr">
        <is>
          <t>полная таблица I — my … they — their</t>
        </is>
      </c>
      <c r="I10" s="32" t="inlineStr">
        <is>
          <t>7–9</t>
        </is>
      </c>
      <c r="J10" s="11">
        <f>IFERROR(INDEX('Уроки'!$H:$H,MATCH(F10,'Уроки'!$A:$A,0)),"")</f>
        <v/>
      </c>
      <c r="K10" s="11">
        <f>IFERROR(INDEX('Уроки'!$J:$J,MATCH(F10,'Уроки'!$A:$A,0)),"")</f>
        <v/>
      </c>
      <c r="L10" s="11" t="inlineStr">
        <is>
          <t>Spotlight / 3 класс / Module 2 · Family moments / Possessive adjectives / Possessive adjectives: формы my, your, his, her, its, our, their</t>
        </is>
      </c>
    </row>
    <row r="11">
      <c r="A11" s="32" t="n">
        <v>3</v>
      </c>
      <c r="B11" s="11" t="inlineStr">
        <is>
          <t>Module 2 · Family moments</t>
        </is>
      </c>
      <c r="C11" s="11" t="inlineStr"/>
      <c r="D11" s="11" t="inlineStr">
        <is>
          <t>Possessive adjectives</t>
        </is>
      </c>
      <c r="E11" s="33" t="inlineStr">
        <is>
          <t>Possessive adjectives: значение — принадлежность и отношения между людьми</t>
        </is>
      </c>
      <c r="F11" s="11" t="inlineStr">
        <is>
          <t>Мл-080</t>
        </is>
      </c>
      <c r="G11" s="38" t="inlineStr">
        <is>
          <t>новое</t>
        </is>
      </c>
      <c r="H11" s="11" t="inlineStr">
        <is>
          <t>перед существительным: This is my mother</t>
        </is>
      </c>
      <c r="I11" s="32" t="inlineStr">
        <is>
          <t>7–9</t>
        </is>
      </c>
      <c r="J11" s="11">
        <f>IFERROR(INDEX('Уроки'!$H:$H,MATCH(F11,'Уроки'!$A:$A,0)),"")</f>
        <v/>
      </c>
      <c r="K11" s="11">
        <f>IFERROR(INDEX('Уроки'!$J:$J,MATCH(F11,'Уроки'!$A:$A,0)),"")</f>
        <v/>
      </c>
      <c r="L11" s="11" t="inlineStr">
        <is>
          <t>Spotlight / 3 класс / Module 2 · Family moments / Possessive adjectives / Possessive adjectives: значение — принадлежность и отношения между людьми</t>
        </is>
      </c>
    </row>
    <row r="12">
      <c r="A12" s="32" t="n">
        <v>3</v>
      </c>
      <c r="B12" s="11" t="inlineStr">
        <is>
          <t>Module 3 · All the things I like!</t>
        </is>
      </c>
      <c r="C12" s="11" t="inlineStr"/>
      <c r="D12" s="11" t="inlineStr">
        <is>
          <t>Present Simple</t>
        </is>
      </c>
      <c r="E12" s="33" t="inlineStr">
        <is>
          <t>Present Simple: утверждение (I/you/we/they V, he/she/it V-s)</t>
        </is>
      </c>
      <c r="F12" s="11" t="inlineStr">
        <is>
          <t>Мл-016</t>
        </is>
      </c>
      <c r="G12" s="38" t="inlineStr">
        <is>
          <t>новое</t>
        </is>
      </c>
      <c r="H12" s="11" t="inlineStr">
        <is>
          <t>все лица: I like, he/she/it likes</t>
        </is>
      </c>
      <c r="I12" s="32" t="inlineStr">
        <is>
          <t>7–9</t>
        </is>
      </c>
      <c r="J12" s="11">
        <f>IFERROR(INDEX('Уроки'!$H:$H,MATCH(F12,'Уроки'!$A:$A,0)),"")</f>
        <v/>
      </c>
      <c r="K12" s="11">
        <f>IFERROR(INDEX('Уроки'!$J:$J,MATCH(F12,'Уроки'!$A:$A,0)),"")</f>
        <v/>
      </c>
      <c r="L12" s="11" t="inlineStr">
        <is>
          <t>Spotlight / 3 класс / Module 3 · All the things I like! / Present Simple / Present Simple: утверждение (I/you/we/they V, he/she/it V-s)</t>
        </is>
      </c>
    </row>
    <row r="13">
      <c r="A13" s="32" t="n">
        <v>3</v>
      </c>
      <c r="B13" s="11" t="inlineStr">
        <is>
          <t>Module 3 · All the things I like!</t>
        </is>
      </c>
      <c r="C13" s="11" t="inlineStr"/>
      <c r="D13" s="11" t="inlineStr">
        <is>
          <t>Present Simple</t>
        </is>
      </c>
      <c r="E13" s="33" t="inlineStr">
        <is>
          <t>Present Simple: отрицание (don't/doesn't)</t>
        </is>
      </c>
      <c r="F13" s="11" t="inlineStr">
        <is>
          <t>Мл-017</t>
        </is>
      </c>
      <c r="G13" s="38" t="inlineStr">
        <is>
          <t>новое</t>
        </is>
      </c>
      <c r="H13" s="11" t="inlineStr">
        <is>
          <t>do not/don't, does not/doesn't</t>
        </is>
      </c>
      <c r="I13" s="32" t="inlineStr">
        <is>
          <t>7–9</t>
        </is>
      </c>
      <c r="J13" s="11">
        <f>IFERROR(INDEX('Уроки'!$H:$H,MATCH(F13,'Уроки'!$A:$A,0)),"")</f>
        <v/>
      </c>
      <c r="K13" s="11">
        <f>IFERROR(INDEX('Уроки'!$J:$J,MATCH(F13,'Уроки'!$A:$A,0)),"")</f>
        <v/>
      </c>
      <c r="L13" s="11" t="inlineStr">
        <is>
          <t>Spotlight / 3 класс / Module 3 · All the things I like! / Present Simple / Present Simple: отрицание (don't/doesn't)</t>
        </is>
      </c>
    </row>
    <row r="14">
      <c r="A14" s="32" t="n">
        <v>3</v>
      </c>
      <c r="B14" s="11" t="inlineStr">
        <is>
          <t>Module 3 · All the things I like!</t>
        </is>
      </c>
      <c r="C14" s="11" t="inlineStr"/>
      <c r="D14" s="11" t="inlineStr">
        <is>
          <t>Present Simple</t>
        </is>
      </c>
      <c r="E14" s="34" t="inlineStr">
        <is>
          <t>Present Simple: общие вопросы (Do/Does …?)</t>
        </is>
      </c>
      <c r="F14" s="11" t="inlineStr">
        <is>
          <t>Мл-018</t>
        </is>
      </c>
      <c r="G14" s="38" t="inlineStr">
        <is>
          <t>новое</t>
        </is>
      </c>
      <c r="H14" s="11" t="inlineStr">
        <is>
          <t>Do I/you/we/they …? Does he/she/it …?</t>
        </is>
      </c>
      <c r="I14" s="32" t="inlineStr">
        <is>
          <t>7–9</t>
        </is>
      </c>
      <c r="J14" s="11">
        <f>IFERROR(INDEX('Уроки'!$H:$H,MATCH(F14,'Уроки'!$A:$A,0)),"")</f>
        <v/>
      </c>
      <c r="K14" s="11">
        <f>IFERROR(INDEX('Уроки'!$J:$J,MATCH(F14,'Уроки'!$A:$A,0)),"")</f>
        <v/>
      </c>
      <c r="L14" s="11" t="inlineStr">
        <is>
          <t>Spotlight / 3 класс / Module 3 · All the things I like! / Present Simple / Present Simple: общие вопросы (Do/Does …?)</t>
        </is>
      </c>
    </row>
    <row r="15">
      <c r="A15" s="32" t="n">
        <v>3</v>
      </c>
      <c r="B15" s="11" t="inlineStr">
        <is>
          <t>Module 3 · All the things I like!</t>
        </is>
      </c>
      <c r="C15" s="11" t="inlineStr"/>
      <c r="D15" s="11" t="inlineStr">
        <is>
          <t>Present Simple</t>
        </is>
      </c>
      <c r="E15" s="34" t="inlineStr">
        <is>
          <t>Present Simple: краткие ответы (Yes, I do / No, he doesn't)</t>
        </is>
      </c>
      <c r="F15" s="11" t="inlineStr">
        <is>
          <t>Мл-019</t>
        </is>
      </c>
      <c r="G15" s="38" t="inlineStr">
        <is>
          <t>новое</t>
        </is>
      </c>
      <c r="H15" s="11" t="inlineStr">
        <is>
          <t>все лица</t>
        </is>
      </c>
      <c r="I15" s="32" t="inlineStr">
        <is>
          <t>7–9</t>
        </is>
      </c>
      <c r="J15" s="11">
        <f>IFERROR(INDEX('Уроки'!$H:$H,MATCH(F15,'Уроки'!$A:$A,0)),"")</f>
        <v/>
      </c>
      <c r="K15" s="11">
        <f>IFERROR(INDEX('Уроки'!$J:$J,MATCH(F15,'Уроки'!$A:$A,0)),"")</f>
        <v/>
      </c>
      <c r="L15" s="11" t="inlineStr">
        <is>
          <t>Spotlight / 3 класс / Module 3 · All the things I like! / Present Simple / Present Simple: краткие ответы (Yes, I do / No, he doesn't)</t>
        </is>
      </c>
    </row>
    <row r="16">
      <c r="A16" s="32" t="n">
        <v>3</v>
      </c>
      <c r="B16" s="11" t="inlineStr">
        <is>
          <t>Module 3 · All the things I like!</t>
        </is>
      </c>
      <c r="C16" s="11" t="inlineStr"/>
      <c r="D16" s="11" t="inlineStr">
        <is>
          <t>Present Simple</t>
        </is>
      </c>
      <c r="E16" s="33" t="inlineStr">
        <is>
          <t>Present Simple: значение — регулярные действия, распорядок дня, привычки</t>
        </is>
      </c>
      <c r="F16" s="11" t="inlineStr">
        <is>
          <t>Мл-022</t>
        </is>
      </c>
      <c r="G16" s="38" t="inlineStr">
        <is>
          <t>новое</t>
        </is>
      </c>
      <c r="H16" s="11" t="inlineStr">
        <is>
          <t>повседневные действия и привычки; сигнальных слов нет</t>
        </is>
      </c>
      <c r="I16" s="32" t="inlineStr">
        <is>
          <t>7–9</t>
        </is>
      </c>
      <c r="J16" s="11">
        <f>IFERROR(INDEX('Уроки'!$H:$H,MATCH(F16,'Уроки'!$A:$A,0)),"")</f>
        <v/>
      </c>
      <c r="K16" s="11">
        <f>IFERROR(INDEX('Уроки'!$J:$J,MATCH(F16,'Уроки'!$A:$A,0)),"")</f>
        <v/>
      </c>
      <c r="L16" s="11" t="inlineStr">
        <is>
          <t>Spotlight / 3 класс / Module 3 · All the things I like! / Present Simple / Present Simple: значение — регулярные действия, распорядок дня, привычки</t>
        </is>
      </c>
    </row>
    <row r="17">
      <c r="A17" s="32" t="n">
        <v>3</v>
      </c>
      <c r="B17" s="11" t="inlineStr">
        <is>
          <t>Module 3 · All the things I like!</t>
        </is>
      </c>
      <c r="C17" s="11" t="inlineStr"/>
      <c r="D17" s="11" t="inlineStr">
        <is>
          <t>Countable / Uncountable nouns</t>
        </is>
      </c>
      <c r="E17" s="33" t="inlineStr">
        <is>
          <t>Countable / Uncountable: различие исчисляемых и неисчисляемых</t>
        </is>
      </c>
      <c r="F17" s="11" t="inlineStr">
        <is>
          <t>Мл-056</t>
        </is>
      </c>
      <c r="G17" s="38" t="inlineStr">
        <is>
          <t>новое</t>
        </is>
      </c>
      <c r="H17" s="11" t="inlineStr">
        <is>
          <t>только в рамках some/any, отдельного раздела нет</t>
        </is>
      </c>
      <c r="I17" s="32" t="inlineStr">
        <is>
          <t>7–9</t>
        </is>
      </c>
      <c r="J17" s="11">
        <f>IFERROR(INDEX('Уроки'!$H:$H,MATCH(F17,'Уроки'!$A:$A,0)),"")</f>
        <v/>
      </c>
      <c r="K17" s="11">
        <f>IFERROR(INDEX('Уроки'!$J:$J,MATCH(F17,'Уроки'!$A:$A,0)),"")</f>
        <v/>
      </c>
      <c r="L17" s="11" t="inlineStr">
        <is>
          <t>Spotlight / 3 класс / Module 3 · All the things I like! / Countable / Uncountable nouns / Countable / Uncountable: различие исчисляемых и неисчисляемых</t>
        </is>
      </c>
    </row>
    <row r="18">
      <c r="A18" s="32" t="n">
        <v>3</v>
      </c>
      <c r="B18" s="11" t="inlineStr">
        <is>
          <t>Module 3 · All the things I like!</t>
        </is>
      </c>
      <c r="C18" s="11" t="inlineStr"/>
      <c r="D18" s="11" t="inlineStr">
        <is>
          <t>a/an/some/any</t>
        </is>
      </c>
      <c r="E18" s="34" t="inlineStr">
        <is>
          <t>a/an/some/any: some — в утверждениях (неисчисляемые и мн. ч.)</t>
        </is>
      </c>
      <c r="F18" s="11" t="inlineStr">
        <is>
          <t>Мл-067</t>
        </is>
      </c>
      <c r="G18" s="38" t="inlineStr">
        <is>
          <t>новое</t>
        </is>
      </c>
      <c r="H18" s="11" t="inlineStr">
        <is>
          <t>There is some cheese / There are some apples</t>
        </is>
      </c>
      <c r="I18" s="32" t="inlineStr">
        <is>
          <t>7–9</t>
        </is>
      </c>
      <c r="J18" s="11">
        <f>IFERROR(INDEX('Уроки'!$H:$H,MATCH(F18,'Уроки'!$A:$A,0)),"")</f>
        <v/>
      </c>
      <c r="K18" s="11">
        <f>IFERROR(INDEX('Уроки'!$J:$J,MATCH(F18,'Уроки'!$A:$A,0)),"")</f>
        <v/>
      </c>
      <c r="L18" s="11" t="inlineStr">
        <is>
          <t>Spotlight / 3 класс / Module 3 · All the things I like! / a/an/some/any / a/an/some/any: some — в утверждениях (неисчисляемые и мн. ч.)</t>
        </is>
      </c>
    </row>
    <row r="19">
      <c r="A19" s="32" t="n">
        <v>3</v>
      </c>
      <c r="B19" s="11" t="inlineStr">
        <is>
          <t>Module 3 · All the things I like!</t>
        </is>
      </c>
      <c r="C19" s="11" t="inlineStr"/>
      <c r="D19" s="11" t="inlineStr">
        <is>
          <t>a/an/some/any</t>
        </is>
      </c>
      <c r="E19" s="34" t="inlineStr">
        <is>
          <t>a/an/some/any: any — в отрицаниях</t>
        </is>
      </c>
      <c r="F19" s="11" t="inlineStr">
        <is>
          <t>Мл-068</t>
        </is>
      </c>
      <c r="G19" s="38" t="inlineStr">
        <is>
          <t>новое</t>
        </is>
      </c>
      <c r="H19" s="11" t="inlineStr">
        <is>
          <t>There aren't any eggs / isn't any water</t>
        </is>
      </c>
      <c r="I19" s="32" t="inlineStr">
        <is>
          <t>7–9</t>
        </is>
      </c>
      <c r="J19" s="11">
        <f>IFERROR(INDEX('Уроки'!$H:$H,MATCH(F19,'Уроки'!$A:$A,0)),"")</f>
        <v/>
      </c>
      <c r="K19" s="11">
        <f>IFERROR(INDEX('Уроки'!$J:$J,MATCH(F19,'Уроки'!$A:$A,0)),"")</f>
        <v/>
      </c>
      <c r="L19" s="11" t="inlineStr">
        <is>
          <t>Spotlight / 3 класс / Module 3 · All the things I like! / a/an/some/any / a/an/some/any: any — в отрицаниях</t>
        </is>
      </c>
    </row>
    <row r="20">
      <c r="A20" s="32" t="n">
        <v>3</v>
      </c>
      <c r="B20" s="11" t="inlineStr">
        <is>
          <t>Module 3 · All the things I like!</t>
        </is>
      </c>
      <c r="C20" s="11" t="inlineStr"/>
      <c r="D20" s="11" t="inlineStr">
        <is>
          <t>a/an/some/any</t>
        </is>
      </c>
      <c r="E20" s="34" t="inlineStr">
        <is>
          <t>a/an/some/any: any — в вопросах</t>
        </is>
      </c>
      <c r="F20" s="11" t="inlineStr">
        <is>
          <t>Мл-069</t>
        </is>
      </c>
      <c r="G20" s="38" t="inlineStr">
        <is>
          <t>новое</t>
        </is>
      </c>
      <c r="H20" s="11" t="inlineStr">
        <is>
          <t>Are there any biscuits? Is there any chocolate?</t>
        </is>
      </c>
      <c r="I20" s="32" t="inlineStr">
        <is>
          <t>7–9</t>
        </is>
      </c>
      <c r="J20" s="11">
        <f>IFERROR(INDEX('Уроки'!$H:$H,MATCH(F20,'Уроки'!$A:$A,0)),"")</f>
        <v/>
      </c>
      <c r="K20" s="11">
        <f>IFERROR(INDEX('Уроки'!$J:$J,MATCH(F20,'Уроки'!$A:$A,0)),"")</f>
        <v/>
      </c>
      <c r="L20" s="11" t="inlineStr">
        <is>
          <t>Spotlight / 3 класс / Module 3 · All the things I like! / a/an/some/any / a/an/some/any: any — в вопросах</t>
        </is>
      </c>
    </row>
    <row r="21">
      <c r="A21" s="32" t="n">
        <v>3</v>
      </c>
      <c r="B21" s="11" t="inlineStr">
        <is>
          <t>Module 3 · All the things I like!</t>
        </is>
      </c>
      <c r="C21" s="11" t="inlineStr"/>
      <c r="D21" s="11" t="inlineStr">
        <is>
          <t>a/an/some/any</t>
        </is>
      </c>
      <c r="E21" s="34" t="inlineStr">
        <is>
          <t>a/an/some/any: some в вопросах — просьба и предложение</t>
        </is>
      </c>
      <c r="F21" s="11" t="inlineStr">
        <is>
          <t>Мл-070</t>
        </is>
      </c>
      <c r="G21" s="38" t="inlineStr">
        <is>
          <t>новое</t>
        </is>
      </c>
      <c r="H21" s="11" t="inlineStr">
        <is>
          <t>только просьба: Can I have some milk, please?</t>
        </is>
      </c>
      <c r="I21" s="32" t="inlineStr">
        <is>
          <t>7–9</t>
        </is>
      </c>
      <c r="J21" s="11">
        <f>IFERROR(INDEX('Уроки'!$H:$H,MATCH(F21,'Уроки'!$A:$A,0)),"")</f>
        <v/>
      </c>
      <c r="K21" s="11">
        <f>IFERROR(INDEX('Уроки'!$J:$J,MATCH(F21,'Уроки'!$A:$A,0)),"")</f>
        <v/>
      </c>
      <c r="L21" s="11" t="inlineStr">
        <is>
          <t>Spotlight / 3 класс / Module 3 · All the things I like! / a/an/some/any / a/an/some/any: some в вопросах — просьба и предложение</t>
        </is>
      </c>
    </row>
    <row r="22">
      <c r="A22" s="32" t="n">
        <v>3</v>
      </c>
      <c r="B22" s="11" t="inlineStr">
        <is>
          <t>Module 4 · Come in and play!</t>
        </is>
      </c>
      <c r="C22" s="11" t="inlineStr"/>
      <c r="D22" s="11" t="inlineStr">
        <is>
          <t>Past Simple</t>
        </is>
      </c>
      <c r="E22" s="33" t="inlineStr">
        <is>
          <t>Past Simple: правильные глаголы — утверждение (-ed)</t>
        </is>
      </c>
      <c r="F22" s="11" t="inlineStr">
        <is>
          <t>Мл-001</t>
        </is>
      </c>
      <c r="G22" s="38" t="inlineStr">
        <is>
          <t>новое</t>
        </is>
      </c>
      <c r="H22" s="11" t="inlineStr">
        <is>
          <t>все лица: worked</t>
        </is>
      </c>
      <c r="I22" s="32" t="inlineStr">
        <is>
          <t>7–9</t>
        </is>
      </c>
      <c r="J22" s="11">
        <f>IFERROR(INDEX('Уроки'!$H:$H,MATCH(F22,'Уроки'!$A:$A,0)),"")</f>
        <v/>
      </c>
      <c r="K22" s="11">
        <f>IFERROR(INDEX('Уроки'!$J:$J,MATCH(F22,'Уроки'!$A:$A,0)),"")</f>
        <v/>
      </c>
      <c r="L22" s="11" t="inlineStr">
        <is>
          <t>Spotlight / 3 класс / Module 4 · Come in and play! / Past Simple / Past Simple: правильные глаголы — утверждение (-ed)</t>
        </is>
      </c>
    </row>
    <row r="23">
      <c r="A23" s="32" t="n">
        <v>3</v>
      </c>
      <c r="B23" s="11" t="inlineStr">
        <is>
          <t>Module 4 · Come in and play!</t>
        </is>
      </c>
      <c r="C23" s="11" t="inlineStr"/>
      <c r="D23" s="11" t="inlineStr">
        <is>
          <t>Past Simple</t>
        </is>
      </c>
      <c r="E23" s="33" t="inlineStr">
        <is>
          <t>Past Simple: правильные глаголы — отрицание (didn't + V)</t>
        </is>
      </c>
      <c r="F23" s="11" t="inlineStr">
        <is>
          <t>Мл-002</t>
        </is>
      </c>
      <c r="G23" s="38" t="inlineStr">
        <is>
          <t>новое</t>
        </is>
      </c>
      <c r="H23" s="11" t="inlineStr">
        <is>
          <t>did not/didn't + V</t>
        </is>
      </c>
      <c r="I23" s="32" t="inlineStr">
        <is>
          <t>7–9</t>
        </is>
      </c>
      <c r="J23" s="11">
        <f>IFERROR(INDEX('Уроки'!$H:$H,MATCH(F23,'Уроки'!$A:$A,0)),"")</f>
        <v/>
      </c>
      <c r="K23" s="11">
        <f>IFERROR(INDEX('Уроки'!$J:$J,MATCH(F23,'Уроки'!$A:$A,0)),"")</f>
        <v/>
      </c>
      <c r="L23" s="11" t="inlineStr">
        <is>
          <t>Spotlight / 3 класс / Module 4 · Come in and play! / Past Simple / Past Simple: правильные глаголы — отрицание (didn't + V)</t>
        </is>
      </c>
    </row>
    <row r="24">
      <c r="A24" s="32" t="n">
        <v>3</v>
      </c>
      <c r="B24" s="11" t="inlineStr">
        <is>
          <t>Module 4 · Come in and play!</t>
        </is>
      </c>
      <c r="C24" s="11" t="inlineStr"/>
      <c r="D24" s="11" t="inlineStr">
        <is>
          <t>Past Simple</t>
        </is>
      </c>
      <c r="E24" s="33" t="inlineStr">
        <is>
          <t>Past Simple: правильные глаголы — вопросы (Did …?)</t>
        </is>
      </c>
      <c r="F24" s="11" t="inlineStr">
        <is>
          <t>Мл-003</t>
        </is>
      </c>
      <c r="G24" s="38" t="inlineStr">
        <is>
          <t>новое</t>
        </is>
      </c>
      <c r="H24" s="11" t="inlineStr">
        <is>
          <t>Did … work?</t>
        </is>
      </c>
      <c r="I24" s="32" t="inlineStr">
        <is>
          <t>7–9</t>
        </is>
      </c>
      <c r="J24" s="11">
        <f>IFERROR(INDEX('Уроки'!$H:$H,MATCH(F24,'Уроки'!$A:$A,0)),"")</f>
        <v/>
      </c>
      <c r="K24" s="11">
        <f>IFERROR(INDEX('Уроки'!$J:$J,MATCH(F24,'Уроки'!$A:$A,0)),"")</f>
        <v/>
      </c>
      <c r="L24" s="11" t="inlineStr">
        <is>
          <t>Spotlight / 3 класс / Module 4 · Come in and play! / Past Simple / Past Simple: правильные глаголы — вопросы (Did …?)</t>
        </is>
      </c>
    </row>
    <row r="25">
      <c r="A25" s="32" t="n">
        <v>3</v>
      </c>
      <c r="B25" s="11" t="inlineStr">
        <is>
          <t>Module 4 · Come in and play!</t>
        </is>
      </c>
      <c r="C25" s="11" t="inlineStr"/>
      <c r="D25" s="11" t="inlineStr">
        <is>
          <t>Past Simple</t>
        </is>
      </c>
      <c r="E25" s="33" t="inlineStr">
        <is>
          <t>Past Simple: краткие ответы (Yes, I did / No, I didn't)</t>
        </is>
      </c>
      <c r="F25" s="11" t="inlineStr">
        <is>
          <t>Мл-004</t>
        </is>
      </c>
      <c r="G25" s="38" t="inlineStr">
        <is>
          <t>новое</t>
        </is>
      </c>
      <c r="H25" s="11" t="inlineStr"/>
      <c r="I25" s="32" t="inlineStr">
        <is>
          <t>7–9</t>
        </is>
      </c>
      <c r="J25" s="11">
        <f>IFERROR(INDEX('Уроки'!$H:$H,MATCH(F25,'Уроки'!$A:$A,0)),"")</f>
        <v/>
      </c>
      <c r="K25" s="11">
        <f>IFERROR(INDEX('Уроки'!$J:$J,MATCH(F25,'Уроки'!$A:$A,0)),"")</f>
        <v/>
      </c>
      <c r="L25" s="11" t="inlineStr">
        <is>
          <t>Spotlight / 3 класс / Module 4 · Come in and play! / Past Simple / Past Simple: краткие ответы (Yes, I did / No, I didn't)</t>
        </is>
      </c>
    </row>
    <row r="26">
      <c r="A26" s="32" t="n">
        <v>3</v>
      </c>
      <c r="B26" s="11" t="inlineStr">
        <is>
          <t>Module 4 · Come in and play!</t>
        </is>
      </c>
      <c r="C26" s="11" t="inlineStr"/>
      <c r="D26" s="11" t="inlineStr">
        <is>
          <t>Past Simple</t>
        </is>
      </c>
      <c r="E26" s="34" t="inlineStr">
        <is>
          <t>Past Simple: орфография -ed</t>
        </is>
      </c>
      <c r="F26" s="11" t="inlineStr">
        <is>
          <t>Мл-005</t>
        </is>
      </c>
      <c r="G26" s="38" t="inlineStr">
        <is>
          <t>новое</t>
        </is>
      </c>
      <c r="H26" s="11" t="inlineStr">
        <is>
          <t>danced, studied, travelled, planned</t>
        </is>
      </c>
      <c r="I26" s="32" t="inlineStr">
        <is>
          <t>7–9</t>
        </is>
      </c>
      <c r="J26" s="11">
        <f>IFERROR(INDEX('Уроки'!$H:$H,MATCH(F26,'Уроки'!$A:$A,0)),"")</f>
        <v/>
      </c>
      <c r="K26" s="11">
        <f>IFERROR(INDEX('Уроки'!$J:$J,MATCH(F26,'Уроки'!$A:$A,0)),"")</f>
        <v/>
      </c>
      <c r="L26" s="11" t="inlineStr">
        <is>
          <t>Spotlight / 3 класс / Module 4 · Come in and play! / Past Simple / Past Simple: орфография -ed</t>
        </is>
      </c>
    </row>
    <row r="27">
      <c r="A27" s="32" t="n">
        <v>3</v>
      </c>
      <c r="B27" s="11" t="inlineStr">
        <is>
          <t>Module 4 · Come in and play!</t>
        </is>
      </c>
      <c r="C27" s="11" t="inlineStr"/>
      <c r="D27" s="11" t="inlineStr">
        <is>
          <t>Past Simple</t>
        </is>
      </c>
      <c r="E27" s="34" t="inlineStr">
        <is>
          <t>Past Simple: произношение -ed (/t/, /d/, /ɪd/)</t>
        </is>
      </c>
      <c r="F27" s="11" t="inlineStr">
        <is>
          <t>Мл-006</t>
        </is>
      </c>
      <c r="G27" s="38" t="inlineStr">
        <is>
          <t>новое</t>
        </is>
      </c>
      <c r="H27" s="11" t="inlineStr">
        <is>
          <t>washed /t/, played /d/, wanted /ɪd/</t>
        </is>
      </c>
      <c r="I27" s="32" t="inlineStr">
        <is>
          <t>7–9</t>
        </is>
      </c>
      <c r="J27" s="11">
        <f>IFERROR(INDEX('Уроки'!$H:$H,MATCH(F27,'Уроки'!$A:$A,0)),"")</f>
        <v/>
      </c>
      <c r="K27" s="11">
        <f>IFERROR(INDEX('Уроки'!$J:$J,MATCH(F27,'Уроки'!$A:$A,0)),"")</f>
        <v/>
      </c>
      <c r="L27" s="11" t="inlineStr">
        <is>
          <t>Spotlight / 3 класс / Module 4 · Come in and play! / Past Simple / Past Simple: произношение -ed (/t/, /d/, /ɪd/)</t>
        </is>
      </c>
    </row>
    <row r="28">
      <c r="A28" s="32" t="n">
        <v>3</v>
      </c>
      <c r="B28" s="11" t="inlineStr">
        <is>
          <t>Module 4 · Come in and play!</t>
        </is>
      </c>
      <c r="C28" s="11" t="inlineStr"/>
      <c r="D28" s="11" t="inlineStr">
        <is>
          <t>Past Simple</t>
        </is>
      </c>
      <c r="E28" s="33" t="inlineStr">
        <is>
          <t>Past Simple: значение — действие в прошлом (yesterday, ago)</t>
        </is>
      </c>
      <c r="F28" s="11" t="inlineStr">
        <is>
          <t>Мл-010</t>
        </is>
      </c>
      <c r="G28" s="38" t="inlineStr">
        <is>
          <t>новое</t>
        </is>
      </c>
      <c r="H28" s="11" t="inlineStr">
        <is>
          <t>yesterday, last week/month/year, two days ago, in 1975</t>
        </is>
      </c>
      <c r="I28" s="32" t="inlineStr">
        <is>
          <t>7–9</t>
        </is>
      </c>
      <c r="J28" s="11">
        <f>IFERROR(INDEX('Уроки'!$H:$H,MATCH(F28,'Уроки'!$A:$A,0)),"")</f>
        <v/>
      </c>
      <c r="K28" s="11">
        <f>IFERROR(INDEX('Уроки'!$J:$J,MATCH(F28,'Уроки'!$A:$A,0)),"")</f>
        <v/>
      </c>
      <c r="L28" s="11" t="inlineStr">
        <is>
          <t>Spotlight / 3 класс / Module 4 · Come in and play! / Past Simple / Past Simple: значение — действие в прошлом (yesterday, ago)</t>
        </is>
      </c>
    </row>
    <row r="29">
      <c r="A29" s="32" t="n">
        <v>3</v>
      </c>
      <c r="B29" s="11" t="inlineStr">
        <is>
          <t>Module 4 · Come in and play!</t>
        </is>
      </c>
      <c r="C29" s="11" t="inlineStr"/>
      <c r="D29" s="11" t="inlineStr">
        <is>
          <t>Possessive case ('s)</t>
        </is>
      </c>
      <c r="E29" s="33" t="inlineStr">
        <is>
          <t>Possessive case ('s): 's в ед. ч. — принадлежность</t>
        </is>
      </c>
      <c r="F29" s="11" t="inlineStr">
        <is>
          <t>Мл-063</t>
        </is>
      </c>
      <c r="G29" s="38" t="inlineStr">
        <is>
          <t>новое</t>
        </is>
      </c>
      <c r="H29" s="11" t="inlineStr">
        <is>
          <t>Lulu's rocking horse, the dog's house; только ед. ч.</t>
        </is>
      </c>
      <c r="I29" s="32" t="inlineStr">
        <is>
          <t>7–9</t>
        </is>
      </c>
      <c r="J29" s="11">
        <f>IFERROR(INDEX('Уроки'!$H:$H,MATCH(F29,'Уроки'!$A:$A,0)),"")</f>
        <v/>
      </c>
      <c r="K29" s="11">
        <f>IFERROR(INDEX('Уроки'!$J:$J,MATCH(F29,'Уроки'!$A:$A,0)),"")</f>
        <v/>
      </c>
      <c r="L29" s="11" t="inlineStr">
        <is>
          <t>Spotlight / 3 класс / Module 4 · Come in and play! / Possessive case ('s) / Possessive case ('s): 's в ед. ч. — принадлежность</t>
        </is>
      </c>
    </row>
    <row r="30">
      <c r="A30" s="32" t="n">
        <v>3</v>
      </c>
      <c r="B30" s="11" t="inlineStr">
        <is>
          <t>Module 4 · Come in and play!</t>
        </is>
      </c>
      <c r="C30" s="11" t="inlineStr"/>
      <c r="D30" s="11" t="inlineStr">
        <is>
          <t>Possessive case ('s)</t>
        </is>
      </c>
      <c r="E30" s="33" t="inlineStr">
        <is>
          <t>Possessive case ('s): вопрос Whose?</t>
        </is>
      </c>
      <c r="F30" s="11" t="inlineStr">
        <is>
          <t>Мл-064</t>
        </is>
      </c>
      <c r="G30" s="38" t="inlineStr">
        <is>
          <t>новое</t>
        </is>
      </c>
      <c r="H30" s="11" t="inlineStr">
        <is>
          <t>кому принадлежит</t>
        </is>
      </c>
      <c r="I30" s="32" t="inlineStr">
        <is>
          <t>7–9</t>
        </is>
      </c>
      <c r="J30" s="11">
        <f>IFERROR(INDEX('Уроки'!$H:$H,MATCH(F30,'Уроки'!$A:$A,0)),"")</f>
        <v/>
      </c>
      <c r="K30" s="11">
        <f>IFERROR(INDEX('Уроки'!$J:$J,MATCH(F30,'Уроки'!$A:$A,0)),"")</f>
        <v/>
      </c>
      <c r="L30" s="11" t="inlineStr">
        <is>
          <t>Spotlight / 3 класс / Module 4 · Come in and play! / Possessive case ('s) / Possessive case ('s): вопрос Whose?</t>
        </is>
      </c>
    </row>
    <row r="31">
      <c r="A31" s="32" t="n">
        <v>3</v>
      </c>
      <c r="B31" s="11" t="inlineStr">
        <is>
          <t>Module 4 · Come in and play!</t>
        </is>
      </c>
      <c r="C31" s="11" t="inlineStr"/>
      <c r="D31" s="11" t="inlineStr">
        <is>
          <t>a/an</t>
        </is>
      </c>
      <c r="E31" s="35" t="inlineStr">
        <is>
          <t>a/an: неопределённый артикль — только с исчисляемыми в ед. ч.</t>
        </is>
      </c>
      <c r="F31" s="11" t="inlineStr">
        <is>
          <t>Мл-065</t>
        </is>
      </c>
      <c r="G31" s="38" t="inlineStr">
        <is>
          <t>новое</t>
        </is>
      </c>
      <c r="H31" s="11" t="inlineStr">
        <is>
          <t>the не дан</t>
        </is>
      </c>
      <c r="I31" s="32" t="inlineStr">
        <is>
          <t>7–9</t>
        </is>
      </c>
      <c r="J31" s="11">
        <f>IFERROR(INDEX('Уроки'!$H:$H,MATCH(F31,'Уроки'!$A:$A,0)),"")</f>
        <v/>
      </c>
      <c r="K31" s="11">
        <f>IFERROR(INDEX('Уроки'!$J:$J,MATCH(F31,'Уроки'!$A:$A,0)),"")</f>
        <v/>
      </c>
      <c r="L31" s="11" t="inlineStr">
        <is>
          <t>Spotlight / 3 класс / Module 4 · Come in and play! / a/an / a/an: неопределённый артикль — только с исчисляемыми в ед. ч.</t>
        </is>
      </c>
    </row>
    <row r="32">
      <c r="A32" s="32" t="n">
        <v>3</v>
      </c>
      <c r="B32" s="11" t="inlineStr">
        <is>
          <t>Module 4 · Come in and play!</t>
        </is>
      </c>
      <c r="C32" s="11" t="inlineStr"/>
      <c r="D32" s="11" t="inlineStr">
        <is>
          <t>a/an</t>
        </is>
      </c>
      <c r="E32" s="33" t="inlineStr">
        <is>
          <t>a/an: a перед согласной, an перед гласной</t>
        </is>
      </c>
      <c r="F32" s="11" t="inlineStr">
        <is>
          <t>Мл-066</t>
        </is>
      </c>
      <c r="G32" s="38" t="inlineStr">
        <is>
          <t>новое</t>
        </is>
      </c>
      <c r="H32" s="11" t="inlineStr">
        <is>
          <t>a ball, an elephant</t>
        </is>
      </c>
      <c r="I32" s="32" t="inlineStr">
        <is>
          <t>7–9</t>
        </is>
      </c>
      <c r="J32" s="11">
        <f>IFERROR(INDEX('Уроки'!$H:$H,MATCH(F32,'Уроки'!$A:$A,0)),"")</f>
        <v/>
      </c>
      <c r="K32" s="11">
        <f>IFERROR(INDEX('Уроки'!$J:$J,MATCH(F32,'Уроки'!$A:$A,0)),"")</f>
        <v/>
      </c>
      <c r="L32" s="11" t="inlineStr">
        <is>
          <t>Spotlight / 3 класс / Module 4 · Come in and play! / a/an / a/an: a перед согласной, an перед гласной</t>
        </is>
      </c>
    </row>
    <row r="33">
      <c r="A33" s="32" t="n">
        <v>3</v>
      </c>
      <c r="B33" s="11" t="inlineStr">
        <is>
          <t>Module 4 · Come in and play!</t>
        </is>
      </c>
      <c r="C33" s="11" t="inlineStr"/>
      <c r="D33" s="11" t="inlineStr">
        <is>
          <t>Demonstratives (this/that/these/those)</t>
        </is>
      </c>
      <c r="E33" s="33" t="inlineStr">
        <is>
          <t>Demonstratives: this — these (ед. и мн. ч.)</t>
        </is>
      </c>
      <c r="F33" s="11" t="inlineStr">
        <is>
          <t>Мл-076</t>
        </is>
      </c>
      <c r="G33" s="38" t="inlineStr">
        <is>
          <t>новое</t>
        </is>
      </c>
      <c r="H33" s="11" t="inlineStr"/>
      <c r="I33" s="32" t="inlineStr">
        <is>
          <t>7–9</t>
        </is>
      </c>
      <c r="J33" s="11">
        <f>IFERROR(INDEX('Уроки'!$H:$H,MATCH(F33,'Уроки'!$A:$A,0)),"")</f>
        <v/>
      </c>
      <c r="K33" s="11">
        <f>IFERROR(INDEX('Уроки'!$J:$J,MATCH(F33,'Уроки'!$A:$A,0)),"")</f>
        <v/>
      </c>
      <c r="L33" s="11" t="inlineStr">
        <is>
          <t>Spotlight / 3 класс / Module 4 · Come in and play! / Demonstratives (this/that/these/those) / Demonstratives: this — these (ед. и мн. ч.)</t>
        </is>
      </c>
    </row>
    <row r="34">
      <c r="A34" s="32" t="n">
        <v>3</v>
      </c>
      <c r="B34" s="11" t="inlineStr">
        <is>
          <t>Module 4 · Come in and play!</t>
        </is>
      </c>
      <c r="C34" s="11" t="inlineStr"/>
      <c r="D34" s="11" t="inlineStr">
        <is>
          <t>Demonstratives (this/that/these/those)</t>
        </is>
      </c>
      <c r="E34" s="33" t="inlineStr">
        <is>
          <t>Demonstratives: that — those (ед. и мн. ч.)</t>
        </is>
      </c>
      <c r="F34" s="11" t="inlineStr">
        <is>
          <t>Мл-077</t>
        </is>
      </c>
      <c r="G34" s="38" t="inlineStr">
        <is>
          <t>новое</t>
        </is>
      </c>
      <c r="H34" s="11" t="inlineStr"/>
      <c r="I34" s="32" t="inlineStr">
        <is>
          <t>7–9</t>
        </is>
      </c>
      <c r="J34" s="11">
        <f>IFERROR(INDEX('Уроки'!$H:$H,MATCH(F34,'Уроки'!$A:$A,0)),"")</f>
        <v/>
      </c>
      <c r="K34" s="11">
        <f>IFERROR(INDEX('Уроки'!$J:$J,MATCH(F34,'Уроки'!$A:$A,0)),"")</f>
        <v/>
      </c>
      <c r="L34" s="11" t="inlineStr">
        <is>
          <t>Spotlight / 3 класс / Module 4 · Come in and play! / Demonstratives (this/that/these/those) / Demonstratives: that — those (ед. и мн. ч.)</t>
        </is>
      </c>
    </row>
    <row r="35">
      <c r="A35" s="32" t="n">
        <v>3</v>
      </c>
      <c r="B35" s="11" t="inlineStr">
        <is>
          <t>Module 4 · Come in and play!</t>
        </is>
      </c>
      <c r="C35" s="11" t="inlineStr"/>
      <c r="D35" s="11" t="inlineStr">
        <is>
          <t>Demonstratives (this/that/these/those)</t>
        </is>
      </c>
      <c r="E35" s="33" t="inlineStr">
        <is>
          <t>Demonstratives: this/these vs that/those — близко vs далеко</t>
        </is>
      </c>
      <c r="F35" s="11" t="inlineStr">
        <is>
          <t>Мл-078</t>
        </is>
      </c>
      <c r="G35" s="38" t="inlineStr">
        <is>
          <t>новое</t>
        </is>
      </c>
      <c r="H35" s="11" t="inlineStr">
        <is>
          <t>о людях, животных, предметах рядом / далеко</t>
        </is>
      </c>
      <c r="I35" s="32" t="inlineStr">
        <is>
          <t>7–9</t>
        </is>
      </c>
      <c r="J35" s="11">
        <f>IFERROR(INDEX('Уроки'!$H:$H,MATCH(F35,'Уроки'!$A:$A,0)),"")</f>
        <v/>
      </c>
      <c r="K35" s="11">
        <f>IFERROR(INDEX('Уроки'!$J:$J,MATCH(F35,'Уроки'!$A:$A,0)),"")</f>
        <v/>
      </c>
      <c r="L35" s="11" t="inlineStr">
        <is>
          <t>Spotlight / 3 класс / Module 4 · Come in and play! / Demonstratives (this/that/these/those) / Demonstratives: this/these vs that/those — близко vs далеко</t>
        </is>
      </c>
    </row>
    <row r="36">
      <c r="A36" s="32" t="n">
        <v>3</v>
      </c>
      <c r="B36" s="11" t="inlineStr">
        <is>
          <t>Module 4 · Come in and play!</t>
        </is>
      </c>
      <c r="C36" s="11" t="inlineStr"/>
      <c r="D36" s="11" t="inlineStr">
        <is>
          <t>Question words</t>
        </is>
      </c>
      <c r="E36" s="33" t="inlineStr">
        <is>
          <t>Question words: Whose? — чья вещь</t>
        </is>
      </c>
      <c r="F36" s="11" t="inlineStr">
        <is>
          <t>Мл-099</t>
        </is>
      </c>
      <c r="G36" s="38" t="inlineStr">
        <is>
          <t>новое</t>
        </is>
      </c>
      <c r="H36" s="11" t="inlineStr">
        <is>
          <t>только whose (Whose is this doll?), в разделе Possessive case</t>
        </is>
      </c>
      <c r="I36" s="32" t="inlineStr">
        <is>
          <t>7–9</t>
        </is>
      </c>
      <c r="J36" s="11">
        <f>IFERROR(INDEX('Уроки'!$H:$H,MATCH(F36,'Уроки'!$A:$A,0)),"")</f>
        <v/>
      </c>
      <c r="K36" s="11">
        <f>IFERROR(INDEX('Уроки'!$J:$J,MATCH(F36,'Уроки'!$A:$A,0)),"")</f>
        <v/>
      </c>
      <c r="L36" s="11" t="inlineStr">
        <is>
          <t>Spotlight / 3 класс / Module 4 · Come in and play! / Question words / Question words: Whose? — чья вещь</t>
        </is>
      </c>
    </row>
    <row r="37">
      <c r="A37" s="32" t="n">
        <v>3</v>
      </c>
      <c r="B37" s="11" t="inlineStr">
        <is>
          <t>Module 5 · Furry friends!</t>
        </is>
      </c>
      <c r="C37" s="11" t="inlineStr"/>
      <c r="D37" s="11" t="inlineStr">
        <is>
          <t>Past Simple</t>
        </is>
      </c>
      <c r="E37" s="33" t="inlineStr">
        <is>
          <t>Past Simple: неправильные глаголы — утверждение</t>
        </is>
      </c>
      <c r="F37" s="11" t="inlineStr">
        <is>
          <t>Мл-007</t>
        </is>
      </c>
      <c r="G37" s="38" t="inlineStr">
        <is>
          <t>новое</t>
        </is>
      </c>
      <c r="H37" s="11" t="inlineStr">
        <is>
          <t>8 глаголов: say–said, tell–told, go–went, come–came, see–saw, find–found, get–got, have–had (+ make–made)</t>
        </is>
      </c>
      <c r="I37" s="32" t="inlineStr">
        <is>
          <t>7–9</t>
        </is>
      </c>
      <c r="J37" s="11">
        <f>IFERROR(INDEX('Уроки'!$H:$H,MATCH(F37,'Уроки'!$A:$A,0)),"")</f>
        <v/>
      </c>
      <c r="K37" s="11">
        <f>IFERROR(INDEX('Уроки'!$J:$J,MATCH(F37,'Уроки'!$A:$A,0)),"")</f>
        <v/>
      </c>
      <c r="L37" s="11" t="inlineStr">
        <is>
          <t>Spotlight / 3 класс / Module 5 · Furry friends! / Past Simple / Past Simple: неправильные глаголы — утверждение</t>
        </is>
      </c>
    </row>
    <row r="38">
      <c r="A38" s="32" t="n">
        <v>3</v>
      </c>
      <c r="B38" s="11" t="inlineStr">
        <is>
          <t>Module 5 · Furry friends!</t>
        </is>
      </c>
      <c r="C38" s="11" t="inlineStr"/>
      <c r="D38" s="11" t="inlineStr">
        <is>
          <t>Past Simple</t>
        </is>
      </c>
      <c r="E38" s="34" t="inlineStr">
        <is>
          <t>Past Simple: неправильные глаголы — отрицание (didn't go)</t>
        </is>
      </c>
      <c r="F38" s="11" t="inlineStr">
        <is>
          <t>Мл-008</t>
        </is>
      </c>
      <c r="G38" s="38" t="inlineStr">
        <is>
          <t>новое</t>
        </is>
      </c>
      <c r="H38" s="11" t="inlineStr">
        <is>
          <t>didn't see</t>
        </is>
      </c>
      <c r="I38" s="32" t="inlineStr">
        <is>
          <t>7–9</t>
        </is>
      </c>
      <c r="J38" s="11">
        <f>IFERROR(INDEX('Уроки'!$H:$H,MATCH(F38,'Уроки'!$A:$A,0)),"")</f>
        <v/>
      </c>
      <c r="K38" s="11">
        <f>IFERROR(INDEX('Уроки'!$J:$J,MATCH(F38,'Уроки'!$A:$A,0)),"")</f>
        <v/>
      </c>
      <c r="L38" s="11" t="inlineStr">
        <is>
          <t>Spotlight / 3 класс / Module 5 · Furry friends! / Past Simple / Past Simple: неправильные глаголы — отрицание (didn't go)</t>
        </is>
      </c>
    </row>
    <row r="39">
      <c r="A39" s="32" t="n">
        <v>3</v>
      </c>
      <c r="B39" s="11" t="inlineStr">
        <is>
          <t>Module 5 · Furry friends!</t>
        </is>
      </c>
      <c r="C39" s="11" t="inlineStr"/>
      <c r="D39" s="11" t="inlineStr">
        <is>
          <t>Past Simple</t>
        </is>
      </c>
      <c r="E39" s="34" t="inlineStr">
        <is>
          <t>Past Simple: неправильные глаголы — вопросы (Did … go?)</t>
        </is>
      </c>
      <c r="F39" s="11" t="inlineStr">
        <is>
          <t>Мл-009</t>
        </is>
      </c>
      <c r="G39" s="38" t="inlineStr">
        <is>
          <t>новое</t>
        </is>
      </c>
      <c r="H39" s="11" t="inlineStr">
        <is>
          <t>Did he go …?</t>
        </is>
      </c>
      <c r="I39" s="32" t="inlineStr">
        <is>
          <t>7–9</t>
        </is>
      </c>
      <c r="J39" s="11">
        <f>IFERROR(INDEX('Уроки'!$H:$H,MATCH(F39,'Уроки'!$A:$A,0)),"")</f>
        <v/>
      </c>
      <c r="K39" s="11">
        <f>IFERROR(INDEX('Уроки'!$J:$J,MATCH(F39,'Уроки'!$A:$A,0)),"")</f>
        <v/>
      </c>
      <c r="L39" s="11" t="inlineStr">
        <is>
          <t>Spotlight / 3 класс / Module 5 · Furry friends! / Past Simple / Past Simple: неправильные глаголы — вопросы (Did … go?)</t>
        </is>
      </c>
    </row>
    <row r="40">
      <c r="A40" s="32" t="n">
        <v>3</v>
      </c>
      <c r="B40" s="11" t="inlineStr">
        <is>
          <t>Module 5 · Furry friends!</t>
        </is>
      </c>
      <c r="C40" s="11" t="inlineStr"/>
      <c r="D40" s="11" t="inlineStr">
        <is>
          <t>Past Simple</t>
        </is>
      </c>
      <c r="E40" s="33" t="inlineStr">
        <is>
          <t>Past Simple: значение — действие в прошлом (yesterday, ago)</t>
        </is>
      </c>
      <c r="F40" s="11" t="inlineStr">
        <is>
          <t>Мл-010</t>
        </is>
      </c>
      <c r="G40" s="32" t="inlineStr">
        <is>
          <t>повторение</t>
        </is>
      </c>
      <c r="H40" s="11" t="inlineStr"/>
      <c r="I40" s="32" t="inlineStr">
        <is>
          <t>7–9</t>
        </is>
      </c>
      <c r="J40" s="11">
        <f>IFERROR(INDEX('Уроки'!$H:$H,MATCH(F40,'Уроки'!$A:$A,0)),"")</f>
        <v/>
      </c>
      <c r="K40" s="11">
        <f>IFERROR(INDEX('Уроки'!$J:$J,MATCH(F40,'Уроки'!$A:$A,0)),"")</f>
        <v/>
      </c>
      <c r="L40" s="11" t="inlineStr">
        <is>
          <t>Spotlight / 3 класс / Module 5 · Furry friends! / Past Simple / Past Simple: значение — действие в прошлом (yesterday, ago)</t>
        </is>
      </c>
    </row>
    <row r="41">
      <c r="A41" s="32" t="n">
        <v>3</v>
      </c>
      <c r="B41" s="11" t="inlineStr">
        <is>
          <t>Module 5 · Furry friends!</t>
        </is>
      </c>
      <c r="C41" s="11" t="inlineStr"/>
      <c r="D41" s="11" t="inlineStr">
        <is>
          <t>can (ability)</t>
        </is>
      </c>
      <c r="E41" s="34" t="inlineStr">
        <is>
          <t>can (ability): значение — умение; утверждение can + глагол без to</t>
        </is>
      </c>
      <c r="F41" s="11" t="inlineStr">
        <is>
          <t>Мл-034</t>
        </is>
      </c>
      <c r="G41" s="38" t="inlineStr">
        <is>
          <t>новое</t>
        </is>
      </c>
      <c r="H41" s="11" t="inlineStr">
        <is>
          <t>все лица; способность, умение</t>
        </is>
      </c>
      <c r="I41" s="32" t="inlineStr">
        <is>
          <t>7–9</t>
        </is>
      </c>
      <c r="J41" s="11">
        <f>IFERROR(INDEX('Уроки'!$H:$H,MATCH(F41,'Уроки'!$A:$A,0)),"")</f>
        <v/>
      </c>
      <c r="K41" s="11">
        <f>IFERROR(INDEX('Уроки'!$J:$J,MATCH(F41,'Уроки'!$A:$A,0)),"")</f>
        <v/>
      </c>
      <c r="L41" s="11" t="inlineStr">
        <is>
          <t>Spotlight / 3 класс / Module 5 · Furry friends! / can (ability) / can (ability): значение — умение; утверждение can + глагол без to</t>
        </is>
      </c>
    </row>
    <row r="42">
      <c r="A42" s="32" t="n">
        <v>3</v>
      </c>
      <c r="B42" s="11" t="inlineStr">
        <is>
          <t>Module 5 · Furry friends!</t>
        </is>
      </c>
      <c r="C42" s="11" t="inlineStr"/>
      <c r="D42" s="11" t="inlineStr">
        <is>
          <t>can (ability)</t>
        </is>
      </c>
      <c r="E42" s="34" t="inlineStr">
        <is>
          <t>can (ability): отрицание — cannot / can't</t>
        </is>
      </c>
      <c r="F42" s="11" t="inlineStr">
        <is>
          <t>Мл-035</t>
        </is>
      </c>
      <c r="G42" s="38" t="inlineStr">
        <is>
          <t>новое</t>
        </is>
      </c>
      <c r="H42" s="11" t="inlineStr">
        <is>
          <t>cannot (полное), can't (краткое)</t>
        </is>
      </c>
      <c r="I42" s="32" t="inlineStr">
        <is>
          <t>7–9</t>
        </is>
      </c>
      <c r="J42" s="11">
        <f>IFERROR(INDEX('Уроки'!$H:$H,MATCH(F42,'Уроки'!$A:$A,0)),"")</f>
        <v/>
      </c>
      <c r="K42" s="11">
        <f>IFERROR(INDEX('Уроки'!$J:$J,MATCH(F42,'Уроки'!$A:$A,0)),"")</f>
        <v/>
      </c>
      <c r="L42" s="11" t="inlineStr">
        <is>
          <t>Spotlight / 3 класс / Module 5 · Furry friends! / can (ability) / can (ability): отрицание — cannot / can't</t>
        </is>
      </c>
    </row>
    <row r="43">
      <c r="A43" s="32" t="n">
        <v>3</v>
      </c>
      <c r="B43" s="11" t="inlineStr">
        <is>
          <t>Module 5 · Furry friends!</t>
        </is>
      </c>
      <c r="C43" s="11" t="inlineStr"/>
      <c r="D43" s="11" t="inlineStr">
        <is>
          <t>can (ability)</t>
        </is>
      </c>
      <c r="E43" s="33" t="inlineStr">
        <is>
          <t>can (ability): вопросы и краткие ответы</t>
        </is>
      </c>
      <c r="F43" s="11" t="inlineStr">
        <is>
          <t>Мл-036</t>
        </is>
      </c>
      <c r="G43" s="38" t="inlineStr">
        <is>
          <t>новое</t>
        </is>
      </c>
      <c r="H43" s="11" t="inlineStr">
        <is>
          <t>Yes, I can / No, he can't</t>
        </is>
      </c>
      <c r="I43" s="32" t="inlineStr">
        <is>
          <t>7–9</t>
        </is>
      </c>
      <c r="J43" s="11">
        <f>IFERROR(INDEX('Уроки'!$H:$H,MATCH(F43,'Уроки'!$A:$A,0)),"")</f>
        <v/>
      </c>
      <c r="K43" s="11">
        <f>IFERROR(INDEX('Уроки'!$J:$J,MATCH(F43,'Уроки'!$A:$A,0)),"")</f>
        <v/>
      </c>
      <c r="L43" s="11" t="inlineStr">
        <is>
          <t>Spotlight / 3 класс / Module 5 · Furry friends! / can (ability) / can (ability): вопросы и краткие ответы</t>
        </is>
      </c>
    </row>
    <row r="44">
      <c r="A44" s="32" t="n">
        <v>3</v>
      </c>
      <c r="B44" s="11" t="inlineStr">
        <is>
          <t>Module 5 · Furry friends!</t>
        </is>
      </c>
      <c r="C44" s="11" t="inlineStr"/>
      <c r="D44" s="11" t="inlineStr">
        <is>
          <t>have got</t>
        </is>
      </c>
      <c r="E44" s="33" t="inlineStr">
        <is>
          <t>have got: утверждение — have got / has got (полные и краткие формы)</t>
        </is>
      </c>
      <c r="F44" s="11" t="inlineStr">
        <is>
          <t>Мл-037</t>
        </is>
      </c>
      <c r="G44" s="38" t="inlineStr">
        <is>
          <t>новое</t>
        </is>
      </c>
      <c r="H44" s="11" t="inlineStr">
        <is>
          <t>все лица, полные и краткие (I've got, he's got)</t>
        </is>
      </c>
      <c r="I44" s="32" t="inlineStr">
        <is>
          <t>7–9</t>
        </is>
      </c>
      <c r="J44" s="11">
        <f>IFERROR(INDEX('Уроки'!$H:$H,MATCH(F44,'Уроки'!$A:$A,0)),"")</f>
        <v/>
      </c>
      <c r="K44" s="11">
        <f>IFERROR(INDEX('Уроки'!$J:$J,MATCH(F44,'Уроки'!$A:$A,0)),"")</f>
        <v/>
      </c>
      <c r="L44" s="11" t="inlineStr">
        <is>
          <t>Spotlight / 3 класс / Module 5 · Furry friends! / have got / have got: утверждение — have got / has got (полные и краткие формы)</t>
        </is>
      </c>
    </row>
    <row r="45">
      <c r="A45" s="32" t="n">
        <v>3</v>
      </c>
      <c r="B45" s="11" t="inlineStr">
        <is>
          <t>Module 5 · Furry friends!</t>
        </is>
      </c>
      <c r="C45" s="11" t="inlineStr"/>
      <c r="D45" s="11" t="inlineStr">
        <is>
          <t>have got</t>
        </is>
      </c>
      <c r="E45" s="33" t="inlineStr">
        <is>
          <t>have got: отрицание — haven't got / hasn't got</t>
        </is>
      </c>
      <c r="F45" s="11" t="inlineStr">
        <is>
          <t>Мл-038</t>
        </is>
      </c>
      <c r="G45" s="38" t="inlineStr">
        <is>
          <t>новое</t>
        </is>
      </c>
      <c r="H45" s="11" t="inlineStr">
        <is>
          <t>полные и краткие</t>
        </is>
      </c>
      <c r="I45" s="32" t="inlineStr">
        <is>
          <t>7–9</t>
        </is>
      </c>
      <c r="J45" s="11">
        <f>IFERROR(INDEX('Уроки'!$H:$H,MATCH(F45,'Уроки'!$A:$A,0)),"")</f>
        <v/>
      </c>
      <c r="K45" s="11">
        <f>IFERROR(INDEX('Уроки'!$J:$J,MATCH(F45,'Уроки'!$A:$A,0)),"")</f>
        <v/>
      </c>
      <c r="L45" s="11" t="inlineStr">
        <is>
          <t>Spotlight / 3 класс / Module 5 · Furry friends! / have got / have got: отрицание — haven't got / hasn't got</t>
        </is>
      </c>
    </row>
    <row r="46">
      <c r="A46" s="32" t="n">
        <v>3</v>
      </c>
      <c r="B46" s="11" t="inlineStr">
        <is>
          <t>Module 5 · Furry friends!</t>
        </is>
      </c>
      <c r="C46" s="11" t="inlineStr"/>
      <c r="D46" s="11" t="inlineStr">
        <is>
          <t>have got</t>
        </is>
      </c>
      <c r="E46" s="33" t="inlineStr">
        <is>
          <t>have got: вопросы и краткие ответы</t>
        </is>
      </c>
      <c r="F46" s="11" t="inlineStr">
        <is>
          <t>Мл-039</t>
        </is>
      </c>
      <c r="G46" s="38" t="inlineStr">
        <is>
          <t>новое</t>
        </is>
      </c>
      <c r="H46" s="11" t="inlineStr">
        <is>
          <t>Have you got…? Has he got…?; got в ответе опускается</t>
        </is>
      </c>
      <c r="I46" s="32" t="inlineStr">
        <is>
          <t>7–9</t>
        </is>
      </c>
      <c r="J46" s="11">
        <f>IFERROR(INDEX('Уроки'!$H:$H,MATCH(F46,'Уроки'!$A:$A,0)),"")</f>
        <v/>
      </c>
      <c r="K46" s="11">
        <f>IFERROR(INDEX('Уроки'!$J:$J,MATCH(F46,'Уроки'!$A:$A,0)),"")</f>
        <v/>
      </c>
      <c r="L46" s="11" t="inlineStr">
        <is>
          <t>Spotlight / 3 класс / Module 5 · Furry friends! / have got / have got: вопросы и краткие ответы</t>
        </is>
      </c>
    </row>
    <row r="47">
      <c r="A47" s="32" t="n">
        <v>3</v>
      </c>
      <c r="B47" s="11" t="inlineStr">
        <is>
          <t>Module 5 · Furry friends!</t>
        </is>
      </c>
      <c r="C47" s="11" t="inlineStr"/>
      <c r="D47" s="11" t="inlineStr">
        <is>
          <t>have got</t>
        </is>
      </c>
      <c r="E47" s="33" t="inlineStr">
        <is>
          <t>have got: значение — принадлежность (иметь)</t>
        </is>
      </c>
      <c r="F47" s="11" t="inlineStr">
        <is>
          <t>Мл-040</t>
        </is>
      </c>
      <c r="G47" s="38" t="inlineStr">
        <is>
          <t>новое</t>
        </is>
      </c>
      <c r="H47" s="11" t="inlineStr">
        <is>
          <t>She has got a rabbit</t>
        </is>
      </c>
      <c r="I47" s="32" t="inlineStr">
        <is>
          <t>7–9</t>
        </is>
      </c>
      <c r="J47" s="11">
        <f>IFERROR(INDEX('Уроки'!$H:$H,MATCH(F47,'Уроки'!$A:$A,0)),"")</f>
        <v/>
      </c>
      <c r="K47" s="11">
        <f>IFERROR(INDEX('Уроки'!$J:$J,MATCH(F47,'Уроки'!$A:$A,0)),"")</f>
        <v/>
      </c>
      <c r="L47" s="11" t="inlineStr">
        <is>
          <t>Spotlight / 3 класс / Module 5 · Furry friends! / have got / have got: значение — принадлежность (иметь)</t>
        </is>
      </c>
    </row>
    <row r="48">
      <c r="A48" s="32" t="n">
        <v>3</v>
      </c>
      <c r="B48" s="11" t="inlineStr">
        <is>
          <t>Module 5 · Furry friends!</t>
        </is>
      </c>
      <c r="C48" s="11" t="inlineStr"/>
      <c r="D48" s="11" t="inlineStr">
        <is>
          <t>have got</t>
        </is>
      </c>
      <c r="E48" s="33" t="inlineStr">
        <is>
          <t>have got: значение — описание внешности людей, животных, предметов</t>
        </is>
      </c>
      <c r="F48" s="11" t="inlineStr">
        <is>
          <t>Мл-041</t>
        </is>
      </c>
      <c r="G48" s="38" t="inlineStr">
        <is>
          <t>новое</t>
        </is>
      </c>
      <c r="H48" s="11" t="inlineStr">
        <is>
          <t>It's got a big mouth</t>
        </is>
      </c>
      <c r="I48" s="32" t="inlineStr">
        <is>
          <t>7–9</t>
        </is>
      </c>
      <c r="J48" s="11">
        <f>IFERROR(INDEX('Уроки'!$H:$H,MATCH(F48,'Уроки'!$A:$A,0)),"")</f>
        <v/>
      </c>
      <c r="K48" s="11">
        <f>IFERROR(INDEX('Уроки'!$J:$J,MATCH(F48,'Уроки'!$A:$A,0)),"")</f>
        <v/>
      </c>
      <c r="L48" s="11" t="inlineStr">
        <is>
          <t>Spotlight / 3 класс / Module 5 · Furry friends! / have got / have got: значение — описание внешности людей, животных, предметов</t>
        </is>
      </c>
    </row>
    <row r="49">
      <c r="A49" s="32" t="n">
        <v>3</v>
      </c>
      <c r="B49" s="11" t="inlineStr">
        <is>
          <t>Module 5 · Furry friends!</t>
        </is>
      </c>
      <c r="C49" s="11" t="inlineStr"/>
      <c r="D49" s="11" t="inlineStr">
        <is>
          <t>have got</t>
        </is>
      </c>
      <c r="E49" s="33" t="inlineStr">
        <is>
          <t>have got: It's got (= It has got) vs It's (= It is)</t>
        </is>
      </c>
      <c r="F49" s="11" t="inlineStr">
        <is>
          <t>Мл-042</t>
        </is>
      </c>
      <c r="G49" s="38" t="inlineStr">
        <is>
          <t>новое</t>
        </is>
      </c>
      <c r="H49" s="11" t="inlineStr">
        <is>
          <t>It's got = It has got; It's = It is</t>
        </is>
      </c>
      <c r="I49" s="32" t="inlineStr">
        <is>
          <t>7–9</t>
        </is>
      </c>
      <c r="J49" s="11">
        <f>IFERROR(INDEX('Уроки'!$H:$H,MATCH(F49,'Уроки'!$A:$A,0)),"")</f>
        <v/>
      </c>
      <c r="K49" s="11">
        <f>IFERROR(INDEX('Уроки'!$J:$J,MATCH(F49,'Уроки'!$A:$A,0)),"")</f>
        <v/>
      </c>
      <c r="L49" s="11" t="inlineStr">
        <is>
          <t>Spotlight / 3 класс / Module 5 · Furry friends! / have got / have got: It's got (= It has got) vs It's (= It is)</t>
        </is>
      </c>
    </row>
    <row r="50">
      <c r="A50" s="32" t="n">
        <v>3</v>
      </c>
      <c r="B50" s="11" t="inlineStr">
        <is>
          <t>Module 5 · Furry friends!</t>
        </is>
      </c>
      <c r="C50" s="11" t="inlineStr"/>
      <c r="D50" s="11" t="inlineStr">
        <is>
          <t>Plurals (irregular)</t>
        </is>
      </c>
      <c r="E50" s="33" t="inlineStr">
        <is>
          <t>Plurals (irregular): man — men, child — children, tooth — teeth, foot — feet, mouse — mice</t>
        </is>
      </c>
      <c r="F50" s="11" t="inlineStr">
        <is>
          <t>Мл-057</t>
        </is>
      </c>
      <c r="G50" s="38" t="inlineStr">
        <is>
          <t>новое</t>
        </is>
      </c>
      <c r="H50" s="11" t="inlineStr">
        <is>
          <t>+ woman — women</t>
        </is>
      </c>
      <c r="I50" s="32" t="inlineStr">
        <is>
          <t>7–9</t>
        </is>
      </c>
      <c r="J50" s="11">
        <f>IFERROR(INDEX('Уроки'!$H:$H,MATCH(F50,'Уроки'!$A:$A,0)),"")</f>
        <v/>
      </c>
      <c r="K50" s="11">
        <f>IFERROR(INDEX('Уроки'!$J:$J,MATCH(F50,'Уроки'!$A:$A,0)),"")</f>
        <v/>
      </c>
      <c r="L50" s="11" t="inlineStr">
        <is>
          <t>Spotlight / 3 класс / Module 5 · Furry friends! / Plurals (irregular) / Plurals (irregular): man — men, child — children, tooth — teeth, foot — feet, mouse — mice</t>
        </is>
      </c>
    </row>
    <row r="51">
      <c r="A51" s="32" t="n">
        <v>3</v>
      </c>
      <c r="B51" s="11" t="inlineStr">
        <is>
          <t>Module 5 · Furry friends!</t>
        </is>
      </c>
      <c r="C51" s="11" t="inlineStr"/>
      <c r="D51" s="11" t="inlineStr">
        <is>
          <t>Plurals (irregular)</t>
        </is>
      </c>
      <c r="E51" s="33" t="inlineStr">
        <is>
          <t>Plurals (irregular): одинаковая форма ед. и мн. ч. (fish, sheep)</t>
        </is>
      </c>
      <c r="F51" s="11" t="inlineStr">
        <is>
          <t>Мл-058</t>
        </is>
      </c>
      <c r="G51" s="38" t="inlineStr">
        <is>
          <t>новое</t>
        </is>
      </c>
      <c r="H51" s="11" t="inlineStr">
        <is>
          <t>fish — fish, sheep — sheep</t>
        </is>
      </c>
      <c r="I51" s="32" t="inlineStr">
        <is>
          <t>7–9</t>
        </is>
      </c>
      <c r="J51" s="11">
        <f>IFERROR(INDEX('Уроки'!$H:$H,MATCH(F51,'Уроки'!$A:$A,0)),"")</f>
        <v/>
      </c>
      <c r="K51" s="11">
        <f>IFERROR(INDEX('Уроки'!$J:$J,MATCH(F51,'Уроки'!$A:$A,0)),"")</f>
        <v/>
      </c>
      <c r="L51" s="11" t="inlineStr">
        <is>
          <t>Spotlight / 3 класс / Module 5 · Furry friends! / Plurals (irregular) / Plurals (irregular): одинаковая форма ед. и мн. ч. (fish, sheep)</t>
        </is>
      </c>
    </row>
    <row r="52">
      <c r="A52" s="32" t="n">
        <v>3</v>
      </c>
      <c r="B52" s="11" t="inlineStr">
        <is>
          <t>Module 6 · Home, sweet home!</t>
        </is>
      </c>
      <c r="C52" s="11" t="inlineStr"/>
      <c r="D52" s="11" t="inlineStr">
        <is>
          <t>Plurals (regular)</t>
        </is>
      </c>
      <c r="E52" s="33" t="inlineStr">
        <is>
          <t>Plurals (regular): основное правило — + -s</t>
        </is>
      </c>
      <c r="F52" s="11" t="inlineStr">
        <is>
          <t>Мл-059</t>
        </is>
      </c>
      <c r="G52" s="32" t="inlineStr">
        <is>
          <t>повторение</t>
        </is>
      </c>
      <c r="H52" s="11" t="inlineStr">
        <is>
          <t>chair — chairs</t>
        </is>
      </c>
      <c r="I52" s="32" t="inlineStr">
        <is>
          <t>7–9</t>
        </is>
      </c>
      <c r="J52" s="11">
        <f>IFERROR(INDEX('Уроки'!$H:$H,MATCH(F52,'Уроки'!$A:$A,0)),"")</f>
        <v/>
      </c>
      <c r="K52" s="11">
        <f>IFERROR(INDEX('Уроки'!$J:$J,MATCH(F52,'Уроки'!$A:$A,0)),"")</f>
        <v/>
      </c>
      <c r="L52" s="11" t="inlineStr">
        <is>
          <t>Spotlight / 3 класс / Module 6 · Home, sweet home! / Plurals (regular) / Plurals (regular): основное правило — + -s</t>
        </is>
      </c>
    </row>
    <row r="53">
      <c r="A53" s="32" t="n">
        <v>3</v>
      </c>
      <c r="B53" s="11" t="inlineStr">
        <is>
          <t>Module 6 · Home, sweet home!</t>
        </is>
      </c>
      <c r="C53" s="11" t="inlineStr"/>
      <c r="D53" s="11" t="inlineStr">
        <is>
          <t>Plurals (regular)</t>
        </is>
      </c>
      <c r="E53" s="33" t="inlineStr">
        <is>
          <t>Plurals (regular): орфография — + -es после -s, -ss, -sh, -ch, -x, -o</t>
        </is>
      </c>
      <c r="F53" s="11" t="inlineStr">
        <is>
          <t>Мл-060</t>
        </is>
      </c>
      <c r="G53" s="38" t="inlineStr">
        <is>
          <t>новое</t>
        </is>
      </c>
      <c r="H53" s="11" t="inlineStr">
        <is>
          <t>-s, -ss, -o, -x: buses, glasses, potatoes, boxes</t>
        </is>
      </c>
      <c r="I53" s="32" t="inlineStr">
        <is>
          <t>7–9</t>
        </is>
      </c>
      <c r="J53" s="11">
        <f>IFERROR(INDEX('Уроки'!$H:$H,MATCH(F53,'Уроки'!$A:$A,0)),"")</f>
        <v/>
      </c>
      <c r="K53" s="11">
        <f>IFERROR(INDEX('Уроки'!$J:$J,MATCH(F53,'Уроки'!$A:$A,0)),"")</f>
        <v/>
      </c>
      <c r="L53" s="11" t="inlineStr">
        <is>
          <t>Spotlight / 3 класс / Module 6 · Home, sweet home! / Plurals (regular) / Plurals (regular): орфография — + -es после -s, -ss, -sh, -ch, -x, -o</t>
        </is>
      </c>
    </row>
    <row r="54">
      <c r="A54" s="32" t="n">
        <v>3</v>
      </c>
      <c r="B54" s="11" t="inlineStr">
        <is>
          <t>Module 6 · Home, sweet home!</t>
        </is>
      </c>
      <c r="C54" s="11" t="inlineStr"/>
      <c r="D54" s="11" t="inlineStr">
        <is>
          <t>Plurals (regular)</t>
        </is>
      </c>
      <c r="E54" s="33" t="inlineStr">
        <is>
          <t>Plurals (regular): орфография — -y → -ies (но гласная + y → -s)</t>
        </is>
      </c>
      <c r="F54" s="11" t="inlineStr">
        <is>
          <t>Мл-061</t>
        </is>
      </c>
      <c r="G54" s="38" t="inlineStr">
        <is>
          <t>новое</t>
        </is>
      </c>
      <c r="H54" s="11" t="inlineStr">
        <is>
          <t>baby — babies, boy — boys</t>
        </is>
      </c>
      <c r="I54" s="32" t="inlineStr">
        <is>
          <t>7–9</t>
        </is>
      </c>
      <c r="J54" s="11">
        <f>IFERROR(INDEX('Уроки'!$H:$H,MATCH(F54,'Уроки'!$A:$A,0)),"")</f>
        <v/>
      </c>
      <c r="K54" s="11">
        <f>IFERROR(INDEX('Уроки'!$J:$J,MATCH(F54,'Уроки'!$A:$A,0)),"")</f>
        <v/>
      </c>
      <c r="L54" s="11" t="inlineStr">
        <is>
          <t>Spotlight / 3 класс / Module 6 · Home, sweet home! / Plurals (regular) / Plurals (regular): орфография — -y → -ies (но гласная + y → -s)</t>
        </is>
      </c>
    </row>
    <row r="55">
      <c r="A55" s="32" t="n">
        <v>3</v>
      </c>
      <c r="B55" s="11" t="inlineStr">
        <is>
          <t>Module 6 · Home, sweet home!</t>
        </is>
      </c>
      <c r="C55" s="11" t="inlineStr"/>
      <c r="D55" s="11" t="inlineStr">
        <is>
          <t>Plurals (regular)</t>
        </is>
      </c>
      <c r="E55" s="33" t="inlineStr">
        <is>
          <t>Plurals (regular): орфография — -f/-fe → -ves</t>
        </is>
      </c>
      <c r="F55" s="11" t="inlineStr">
        <is>
          <t>Мл-062</t>
        </is>
      </c>
      <c r="G55" s="38" t="inlineStr">
        <is>
          <t>новое</t>
        </is>
      </c>
      <c r="H55" s="11" t="inlineStr">
        <is>
          <t>shelf — shelves</t>
        </is>
      </c>
      <c r="I55" s="32" t="inlineStr">
        <is>
          <t>7–9</t>
        </is>
      </c>
      <c r="J55" s="11">
        <f>IFERROR(INDEX('Уроки'!$H:$H,MATCH(F55,'Уроки'!$A:$A,0)),"")</f>
        <v/>
      </c>
      <c r="K55" s="11">
        <f>IFERROR(INDEX('Уроки'!$J:$J,MATCH(F55,'Уроки'!$A:$A,0)),"")</f>
        <v/>
      </c>
      <c r="L55" s="11" t="inlineStr">
        <is>
          <t>Spotlight / 3 класс / Module 6 · Home, sweet home! / Plurals (regular) / Plurals (regular): орфография — -f/-fe → -ves</t>
        </is>
      </c>
    </row>
    <row r="56">
      <c r="A56" s="32" t="n">
        <v>3</v>
      </c>
      <c r="B56" s="11" t="inlineStr">
        <is>
          <t>Module 6 · Home, sweet home!</t>
        </is>
      </c>
      <c r="C56" s="11" t="inlineStr"/>
      <c r="D56" s="11" t="inlineStr">
        <is>
          <t>Prepositions of place</t>
        </is>
      </c>
      <c r="E56" s="33" t="inlineStr">
        <is>
          <t>Prepositions of place: in, on, under</t>
        </is>
      </c>
      <c r="F56" s="11" t="inlineStr">
        <is>
          <t>Мл-093</t>
        </is>
      </c>
      <c r="G56" s="38" t="inlineStr">
        <is>
          <t>новое</t>
        </is>
      </c>
      <c r="H56" s="11" t="inlineStr">
        <is>
          <t>схемами</t>
        </is>
      </c>
      <c r="I56" s="32" t="inlineStr">
        <is>
          <t>7–9</t>
        </is>
      </c>
      <c r="J56" s="11">
        <f>IFERROR(INDEX('Уроки'!$H:$H,MATCH(F56,'Уроки'!$A:$A,0)),"")</f>
        <v/>
      </c>
      <c r="K56" s="11">
        <f>IFERROR(INDEX('Уроки'!$J:$J,MATCH(F56,'Уроки'!$A:$A,0)),"")</f>
        <v/>
      </c>
      <c r="L56" s="11" t="inlineStr">
        <is>
          <t>Spotlight / 3 класс / Module 6 · Home, sweet home! / Prepositions of place / Prepositions of place: in, on, under</t>
        </is>
      </c>
    </row>
    <row r="57">
      <c r="A57" s="32" t="n">
        <v>3</v>
      </c>
      <c r="B57" s="11" t="inlineStr">
        <is>
          <t>Module 6 · Home, sweet home!</t>
        </is>
      </c>
      <c r="C57" s="11" t="inlineStr"/>
      <c r="D57" s="11" t="inlineStr">
        <is>
          <t>Prepositions of place</t>
        </is>
      </c>
      <c r="E57" s="33" t="inlineStr">
        <is>
          <t>Prepositions of place: next to, in front of, behind</t>
        </is>
      </c>
      <c r="F57" s="11" t="inlineStr">
        <is>
          <t>Мл-094</t>
        </is>
      </c>
      <c r="G57" s="38" t="inlineStr">
        <is>
          <t>новое</t>
        </is>
      </c>
      <c r="H57" s="11" t="inlineStr"/>
      <c r="I57" s="32" t="inlineStr">
        <is>
          <t>7–9</t>
        </is>
      </c>
      <c r="J57" s="11">
        <f>IFERROR(INDEX('Уроки'!$H:$H,MATCH(F57,'Уроки'!$A:$A,0)),"")</f>
        <v/>
      </c>
      <c r="K57" s="11">
        <f>IFERROR(INDEX('Уроки'!$J:$J,MATCH(F57,'Уроки'!$A:$A,0)),"")</f>
        <v/>
      </c>
      <c r="L57" s="11" t="inlineStr">
        <is>
          <t>Spotlight / 3 класс / Module 6 · Home, sweet home! / Prepositions of place / Prepositions of place: next to, in front of, behind</t>
        </is>
      </c>
    </row>
    <row r="58">
      <c r="A58" s="32" t="n">
        <v>3</v>
      </c>
      <c r="B58" s="11" t="inlineStr">
        <is>
          <t>Module 6 · Home, sweet home!</t>
        </is>
      </c>
      <c r="C58" s="11" t="inlineStr"/>
      <c r="D58" s="11" t="inlineStr">
        <is>
          <t>There is / There are</t>
        </is>
      </c>
      <c r="E58" s="33" t="inlineStr">
        <is>
          <t>There is / There are: there is — утверждение (ед. ч.)</t>
        </is>
      </c>
      <c r="F58" s="11" t="inlineStr">
        <is>
          <t>Мл-102</t>
        </is>
      </c>
      <c r="G58" s="38" t="inlineStr">
        <is>
          <t>новое</t>
        </is>
      </c>
      <c r="H58" s="11" t="inlineStr">
        <is>
          <t>there's — краткая форма</t>
        </is>
      </c>
      <c r="I58" s="32" t="inlineStr">
        <is>
          <t>7–9</t>
        </is>
      </c>
      <c r="J58" s="11">
        <f>IFERROR(INDEX('Уроки'!$H:$H,MATCH(F58,'Уроки'!$A:$A,0)),"")</f>
        <v/>
      </c>
      <c r="K58" s="11">
        <f>IFERROR(INDEX('Уроки'!$J:$J,MATCH(F58,'Уроки'!$A:$A,0)),"")</f>
        <v/>
      </c>
      <c r="L58" s="11" t="inlineStr">
        <is>
          <t>Spotlight / 3 класс / Module 6 · Home, sweet home! / There is / There are / There is / There are: there is — утверждение (ед. ч.)</t>
        </is>
      </c>
    </row>
    <row r="59">
      <c r="A59" s="32" t="n">
        <v>3</v>
      </c>
      <c r="B59" s="11" t="inlineStr">
        <is>
          <t>Module 6 · Home, sweet home!</t>
        </is>
      </c>
      <c r="C59" s="11" t="inlineStr"/>
      <c r="D59" s="11" t="inlineStr">
        <is>
          <t>There is / There are</t>
        </is>
      </c>
      <c r="E59" s="33" t="inlineStr">
        <is>
          <t>There is / There are: there are — утверждение (мн. ч.)</t>
        </is>
      </c>
      <c r="F59" s="11" t="inlineStr">
        <is>
          <t>Мл-103</t>
        </is>
      </c>
      <c r="G59" s="38" t="inlineStr">
        <is>
          <t>новое</t>
        </is>
      </c>
      <c r="H59" s="11" t="inlineStr">
        <is>
          <t>There are two beds…</t>
        </is>
      </c>
      <c r="I59" s="32" t="inlineStr">
        <is>
          <t>7–9</t>
        </is>
      </c>
      <c r="J59" s="11">
        <f>IFERROR(INDEX('Уроки'!$H:$H,MATCH(F59,'Уроки'!$A:$A,0)),"")</f>
        <v/>
      </c>
      <c r="K59" s="11">
        <f>IFERROR(INDEX('Уроки'!$J:$J,MATCH(F59,'Уроки'!$A:$A,0)),"")</f>
        <v/>
      </c>
      <c r="L59" s="11" t="inlineStr">
        <is>
          <t>Spotlight / 3 класс / Module 6 · Home, sweet home! / There is / There are / There is / There are: there are — утверждение (мн. ч.)</t>
        </is>
      </c>
    </row>
    <row r="60">
      <c r="A60" s="32" t="n">
        <v>3</v>
      </c>
      <c r="B60" s="11" t="inlineStr">
        <is>
          <t>Module 6 · Home, sweet home!</t>
        </is>
      </c>
      <c r="C60" s="11" t="inlineStr"/>
      <c r="D60" s="11" t="inlineStr">
        <is>
          <t>There is / There are</t>
        </is>
      </c>
      <c r="E60" s="33" t="inlineStr">
        <is>
          <t>There is / There are: отрицание — there isn't / there aren't</t>
        </is>
      </c>
      <c r="F60" s="11" t="inlineStr">
        <is>
          <t>Мл-104</t>
        </is>
      </c>
      <c r="G60" s="38" t="inlineStr">
        <is>
          <t>новое</t>
        </is>
      </c>
      <c r="H60" s="11" t="inlineStr">
        <is>
          <t>There isn't / There aren't</t>
        </is>
      </c>
      <c r="I60" s="32" t="inlineStr">
        <is>
          <t>7–9</t>
        </is>
      </c>
      <c r="J60" s="11">
        <f>IFERROR(INDEX('Уроки'!$H:$H,MATCH(F60,'Уроки'!$A:$A,0)),"")</f>
        <v/>
      </c>
      <c r="K60" s="11">
        <f>IFERROR(INDEX('Уроки'!$J:$J,MATCH(F60,'Уроки'!$A:$A,0)),"")</f>
        <v/>
      </c>
      <c r="L60" s="11" t="inlineStr">
        <is>
          <t>Spotlight / 3 класс / Module 6 · Home, sweet home! / There is / There are / There is / There are: отрицание — there isn't / there aren't</t>
        </is>
      </c>
    </row>
    <row r="61">
      <c r="A61" s="32" t="n">
        <v>3</v>
      </c>
      <c r="B61" s="11" t="inlineStr">
        <is>
          <t>Module 6 · Home, sweet home!</t>
        </is>
      </c>
      <c r="C61" s="11" t="inlineStr"/>
      <c r="D61" s="11" t="inlineStr">
        <is>
          <t>There is / There are</t>
        </is>
      </c>
      <c r="E61" s="35" t="inlineStr">
        <is>
          <t>There is / There are: вопросы — Is there…? / Are there…?</t>
        </is>
      </c>
      <c r="F61" s="11" t="inlineStr">
        <is>
          <t>Мл-105</t>
        </is>
      </c>
      <c r="G61" s="38" t="inlineStr">
        <is>
          <t>новое</t>
        </is>
      </c>
      <c r="H61" s="11" t="inlineStr">
        <is>
          <t>Is there…? / Are there…? (кратких ответов нет)</t>
        </is>
      </c>
      <c r="I61" s="32" t="inlineStr">
        <is>
          <t>7–9</t>
        </is>
      </c>
      <c r="J61" s="11">
        <f>IFERROR(INDEX('Уроки'!$H:$H,MATCH(F61,'Уроки'!$A:$A,0)),"")</f>
        <v/>
      </c>
      <c r="K61" s="11">
        <f>IFERROR(INDEX('Уроки'!$J:$J,MATCH(F61,'Уроки'!$A:$A,0)),"")</f>
        <v/>
      </c>
      <c r="L61" s="11" t="inlineStr">
        <is>
          <t>Spotlight / 3 класс / Module 6 · Home, sweet home! / There is / There are / There is / There are: вопросы — Is there…? / Are there…?</t>
        </is>
      </c>
    </row>
    <row r="62">
      <c r="A62" s="32" t="n">
        <v>3</v>
      </c>
      <c r="B62" s="11" t="inlineStr">
        <is>
          <t>Module 7 · A day off!</t>
        </is>
      </c>
      <c r="C62" s="11" t="inlineStr"/>
      <c r="D62" s="11" t="inlineStr">
        <is>
          <t>Present Continuous</t>
        </is>
      </c>
      <c r="E62" s="33" t="inlineStr">
        <is>
          <t>Present Continuous: утверждение (am/is/are + V-ing)</t>
        </is>
      </c>
      <c r="F62" s="11" t="inlineStr">
        <is>
          <t>Мл-011</t>
        </is>
      </c>
      <c r="G62" s="38" t="inlineStr">
        <is>
          <t>новое</t>
        </is>
      </c>
      <c r="H62" s="11" t="inlineStr">
        <is>
          <t>полная и краткая: I am/I'm playing</t>
        </is>
      </c>
      <c r="I62" s="32" t="inlineStr">
        <is>
          <t>7–9</t>
        </is>
      </c>
      <c r="J62" s="11">
        <f>IFERROR(INDEX('Уроки'!$H:$H,MATCH(F62,'Уроки'!$A:$A,0)),"")</f>
        <v/>
      </c>
      <c r="K62" s="11">
        <f>IFERROR(INDEX('Уроки'!$J:$J,MATCH(F62,'Уроки'!$A:$A,0)),"")</f>
        <v/>
      </c>
      <c r="L62" s="11" t="inlineStr">
        <is>
          <t>Spotlight / 3 класс / Module 7 · A day off! / Present Continuous / Present Continuous: утверждение (am/is/are + V-ing)</t>
        </is>
      </c>
    </row>
    <row r="63">
      <c r="A63" s="32" t="n">
        <v>3</v>
      </c>
      <c r="B63" s="11" t="inlineStr">
        <is>
          <t>Module 7 · A day off!</t>
        </is>
      </c>
      <c r="C63" s="11" t="inlineStr"/>
      <c r="D63" s="11" t="inlineStr">
        <is>
          <t>Present Continuous</t>
        </is>
      </c>
      <c r="E63" s="34" t="inlineStr">
        <is>
          <t>Present Continuous: отрицание (I'm not / isn't / aren't)</t>
        </is>
      </c>
      <c r="F63" s="11" t="inlineStr">
        <is>
          <t>Мл-012</t>
        </is>
      </c>
      <c r="G63" s="38" t="inlineStr">
        <is>
          <t>новое</t>
        </is>
      </c>
      <c r="H63" s="11" t="inlineStr">
        <is>
          <t>am not, isn't, aren't</t>
        </is>
      </c>
      <c r="I63" s="32" t="inlineStr">
        <is>
          <t>7–9</t>
        </is>
      </c>
      <c r="J63" s="11">
        <f>IFERROR(INDEX('Уроки'!$H:$H,MATCH(F63,'Уроки'!$A:$A,0)),"")</f>
        <v/>
      </c>
      <c r="K63" s="11">
        <f>IFERROR(INDEX('Уроки'!$J:$J,MATCH(F63,'Уроки'!$A:$A,0)),"")</f>
        <v/>
      </c>
      <c r="L63" s="11" t="inlineStr">
        <is>
          <t>Spotlight / 3 класс / Module 7 · A day off! / Present Continuous / Present Continuous: отрицание (I'm not / isn't / aren't)</t>
        </is>
      </c>
    </row>
    <row r="64">
      <c r="A64" s="32" t="n">
        <v>3</v>
      </c>
      <c r="B64" s="11" t="inlineStr">
        <is>
          <t>Module 7 · A day off!</t>
        </is>
      </c>
      <c r="C64" s="11" t="inlineStr"/>
      <c r="D64" s="11" t="inlineStr">
        <is>
          <t>Present Continuous</t>
        </is>
      </c>
      <c r="E64" s="34" t="inlineStr">
        <is>
          <t>Present Continuous: общие вопросы (Am/Is/Are …?)</t>
        </is>
      </c>
      <c r="F64" s="11" t="inlineStr">
        <is>
          <t>Мл-013</t>
        </is>
      </c>
      <c r="G64" s="38" t="inlineStr">
        <is>
          <t>новое</t>
        </is>
      </c>
      <c r="H64" s="11" t="inlineStr">
        <is>
          <t>Am I / Is he / Are you …?</t>
        </is>
      </c>
      <c r="I64" s="32" t="inlineStr">
        <is>
          <t>7–9</t>
        </is>
      </c>
      <c r="J64" s="11">
        <f>IFERROR(INDEX('Уроки'!$H:$H,MATCH(F64,'Уроки'!$A:$A,0)),"")</f>
        <v/>
      </c>
      <c r="K64" s="11">
        <f>IFERROR(INDEX('Уроки'!$J:$J,MATCH(F64,'Уроки'!$A:$A,0)),"")</f>
        <v/>
      </c>
      <c r="L64" s="11" t="inlineStr">
        <is>
          <t>Spotlight / 3 класс / Module 7 · A day off! / Present Continuous / Present Continuous: общие вопросы (Am/Is/Are …?)</t>
        </is>
      </c>
    </row>
    <row r="65">
      <c r="A65" s="32" t="n">
        <v>3</v>
      </c>
      <c r="B65" s="11" t="inlineStr">
        <is>
          <t>Module 7 · A day off!</t>
        </is>
      </c>
      <c r="C65" s="11" t="inlineStr"/>
      <c r="D65" s="11" t="inlineStr">
        <is>
          <t>Present Continuous</t>
        </is>
      </c>
      <c r="E65" s="34" t="inlineStr">
        <is>
          <t>Present Continuous: краткие ответы (Yes, I am / No, he isn't)</t>
        </is>
      </c>
      <c r="F65" s="11" t="inlineStr">
        <is>
          <t>Мл-014</t>
        </is>
      </c>
      <c r="G65" s="38" t="inlineStr">
        <is>
          <t>новое</t>
        </is>
      </c>
      <c r="H65" s="11" t="inlineStr">
        <is>
          <t>все лица; -ing-глагол опускается</t>
        </is>
      </c>
      <c r="I65" s="32" t="inlineStr">
        <is>
          <t>7–9</t>
        </is>
      </c>
      <c r="J65" s="11">
        <f>IFERROR(INDEX('Уроки'!$H:$H,MATCH(F65,'Уроки'!$A:$A,0)),"")</f>
        <v/>
      </c>
      <c r="K65" s="11">
        <f>IFERROR(INDEX('Уроки'!$J:$J,MATCH(F65,'Уроки'!$A:$A,0)),"")</f>
        <v/>
      </c>
      <c r="L65" s="11" t="inlineStr">
        <is>
          <t>Spotlight / 3 класс / Module 7 · A day off! / Present Continuous / Present Continuous: краткие ответы (Yes, I am / No, he isn't)</t>
        </is>
      </c>
    </row>
    <row r="66">
      <c r="A66" s="32" t="n">
        <v>3</v>
      </c>
      <c r="B66" s="11" t="inlineStr">
        <is>
          <t>Module 7 · A day off!</t>
        </is>
      </c>
      <c r="C66" s="11" t="inlineStr"/>
      <c r="D66" s="11" t="inlineStr">
        <is>
          <t>Present Continuous</t>
        </is>
      </c>
      <c r="E66" s="33" t="inlineStr">
        <is>
          <t>Present Continuous: значение — действие сейчас (now)</t>
        </is>
      </c>
      <c r="F66" s="11" t="inlineStr">
        <is>
          <t>Мл-015</t>
        </is>
      </c>
      <c r="G66" s="38" t="inlineStr">
        <is>
          <t>новое</t>
        </is>
      </c>
      <c r="H66" s="11" t="inlineStr">
        <is>
          <t>now, at the moment</t>
        </is>
      </c>
      <c r="I66" s="32" t="inlineStr">
        <is>
          <t>7–9</t>
        </is>
      </c>
      <c r="J66" s="11">
        <f>IFERROR(INDEX('Уроки'!$H:$H,MATCH(F66,'Уроки'!$A:$A,0)),"")</f>
        <v/>
      </c>
      <c r="K66" s="11">
        <f>IFERROR(INDEX('Уроки'!$J:$J,MATCH(F66,'Уроки'!$A:$A,0)),"")</f>
        <v/>
      </c>
      <c r="L66" s="11" t="inlineStr">
        <is>
          <t>Spotlight / 3 класс / Module 7 · A day off! / Present Continuous / Present Continuous: значение — действие сейчас (now)</t>
        </is>
      </c>
    </row>
    <row r="67">
      <c r="A67" s="32" t="n">
        <v>3</v>
      </c>
      <c r="B67" s="11" t="inlineStr">
        <is>
          <t>Module 8 · Day by day</t>
        </is>
      </c>
      <c r="C67" s="11" t="inlineStr"/>
      <c r="D67" s="11" t="inlineStr">
        <is>
          <t>Present Simple</t>
        </is>
      </c>
      <c r="E67" s="34" t="inlineStr">
        <is>
          <t>Present Simple: орфография окончания -s/-es (3 л. ед. ч.)</t>
        </is>
      </c>
      <c r="F67" s="11" t="inlineStr">
        <is>
          <t>Мл-020</t>
        </is>
      </c>
      <c r="G67" s="38" t="inlineStr">
        <is>
          <t>новое</t>
        </is>
      </c>
      <c r="H67" s="11" t="inlineStr">
        <is>
          <t>+s; -ss/-sh/-ch/-x/-o +es; согласная+y → -ies; play – plays</t>
        </is>
      </c>
      <c r="I67" s="32" t="inlineStr">
        <is>
          <t>7–9</t>
        </is>
      </c>
      <c r="J67" s="11">
        <f>IFERROR(INDEX('Уроки'!$H:$H,MATCH(F67,'Уроки'!$A:$A,0)),"")</f>
        <v/>
      </c>
      <c r="K67" s="11">
        <f>IFERROR(INDEX('Уроки'!$J:$J,MATCH(F67,'Уроки'!$A:$A,0)),"")</f>
        <v/>
      </c>
      <c r="L67" s="11" t="inlineStr">
        <is>
          <t>Spotlight / 3 класс / Module 8 · Day by day / Present Simple / Present Simple: орфография окончания -s/-es (3 л. ед. ч.)</t>
        </is>
      </c>
    </row>
    <row r="68">
      <c r="A68" s="32" t="n">
        <v>3</v>
      </c>
      <c r="B68" s="11" t="inlineStr">
        <is>
          <t>Module 8 · Day by day</t>
        </is>
      </c>
      <c r="C68" s="11" t="inlineStr"/>
      <c r="D68" s="11" t="inlineStr">
        <is>
          <t>Present Simple</t>
        </is>
      </c>
      <c r="E68" s="35" t="inlineStr">
        <is>
          <t>Present Simple: произношение окончания -s/-es (/s/, /z/, /ɪz/)</t>
        </is>
      </c>
      <c r="F68" s="11" t="inlineStr">
        <is>
          <t>Мл-021</t>
        </is>
      </c>
      <c r="G68" s="38" t="inlineStr">
        <is>
          <t>новое</t>
        </is>
      </c>
      <c r="H68" s="11" t="inlineStr">
        <is>
          <t>/s/ eats, /ɪz/ watches, /z/ swims</t>
        </is>
      </c>
      <c r="I68" s="32" t="inlineStr">
        <is>
          <t>7–9</t>
        </is>
      </c>
      <c r="J68" s="11">
        <f>IFERROR(INDEX('Уроки'!$H:$H,MATCH(F68,'Уроки'!$A:$A,0)),"")</f>
        <v/>
      </c>
      <c r="K68" s="11">
        <f>IFERROR(INDEX('Уроки'!$J:$J,MATCH(F68,'Уроки'!$A:$A,0)),"")</f>
        <v/>
      </c>
      <c r="L68" s="11" t="inlineStr">
        <is>
          <t>Spotlight / 3 класс / Module 8 · Day by day / Present Simple / Present Simple: произношение окончания -s/-es (/s/, /z/, /ɪz/)</t>
        </is>
      </c>
    </row>
    <row r="69">
      <c r="A69" s="32" t="n">
        <v>3</v>
      </c>
      <c r="B69" s="11" t="inlineStr">
        <is>
          <t>Module 8 · Day by day</t>
        </is>
      </c>
      <c r="C69" s="11" t="inlineStr"/>
      <c r="D69" s="11" t="inlineStr">
        <is>
          <t>Present Simple</t>
        </is>
      </c>
      <c r="E69" s="33" t="inlineStr">
        <is>
          <t>Present Simple: значение — регулярные действия, распорядок дня, привычки</t>
        </is>
      </c>
      <c r="F69" s="11" t="inlineStr">
        <is>
          <t>Мл-022</t>
        </is>
      </c>
      <c r="G69" s="32" t="inlineStr">
        <is>
          <t>повторение</t>
        </is>
      </c>
      <c r="H69" s="11" t="inlineStr">
        <is>
          <t>I get up at 8 every day</t>
        </is>
      </c>
      <c r="I69" s="32" t="inlineStr">
        <is>
          <t>7–9</t>
        </is>
      </c>
      <c r="J69" s="11">
        <f>IFERROR(INDEX('Уроки'!$H:$H,MATCH(F69,'Уроки'!$A:$A,0)),"")</f>
        <v/>
      </c>
      <c r="K69" s="11">
        <f>IFERROR(INDEX('Уроки'!$J:$J,MATCH(F69,'Уроки'!$A:$A,0)),"")</f>
        <v/>
      </c>
      <c r="L69" s="11" t="inlineStr">
        <is>
          <t>Spotlight / 3 класс / Module 8 · Day by day / Present Simple / Present Simple: значение — регулярные действия, распорядок дня, привычки</t>
        </is>
      </c>
    </row>
    <row r="70">
      <c r="A70" s="32" t="n">
        <v>3</v>
      </c>
      <c r="B70" s="11" t="inlineStr">
        <is>
          <t>Module 8 · Day by day</t>
        </is>
      </c>
      <c r="C70" s="11" t="inlineStr"/>
      <c r="D70" s="11" t="inlineStr">
        <is>
          <t>Prepositions of time</t>
        </is>
      </c>
      <c r="E70" s="33" t="inlineStr">
        <is>
          <t>Prepositions of time: at — время, праздники, at night/at noon/at the weekend</t>
        </is>
      </c>
      <c r="F70" s="11" t="inlineStr">
        <is>
          <t>Мл-096</t>
        </is>
      </c>
      <c r="G70" s="38" t="inlineStr">
        <is>
          <t>новое</t>
        </is>
      </c>
      <c r="H70" s="11" t="inlineStr">
        <is>
          <t>at 4 o'clock, at Christmas, at noon, at night, at the weekend</t>
        </is>
      </c>
      <c r="I70" s="32" t="inlineStr">
        <is>
          <t>7–9</t>
        </is>
      </c>
      <c r="J70" s="11">
        <f>IFERROR(INDEX('Уроки'!$H:$H,MATCH(F70,'Уроки'!$A:$A,0)),"")</f>
        <v/>
      </c>
      <c r="K70" s="11">
        <f>IFERROR(INDEX('Уроки'!$J:$J,MATCH(F70,'Уроки'!$A:$A,0)),"")</f>
        <v/>
      </c>
      <c r="L70" s="11" t="inlineStr">
        <is>
          <t>Spotlight / 3 класс / Module 8 · Day by day / Prepositions of time / Prepositions of time: at — время, праздники, at night/at noon/at the weekend</t>
        </is>
      </c>
    </row>
    <row r="71">
      <c r="A71" s="32" t="n">
        <v>3</v>
      </c>
      <c r="B71" s="11" t="inlineStr">
        <is>
          <t>Module 8 · Day by day</t>
        </is>
      </c>
      <c r="C71" s="11" t="inlineStr"/>
      <c r="D71" s="11" t="inlineStr">
        <is>
          <t>Prepositions of time</t>
        </is>
      </c>
      <c r="E71" s="33" t="inlineStr">
        <is>
          <t>Prepositions of time: on — дни недели и праздничные дни</t>
        </is>
      </c>
      <c r="F71" s="11" t="inlineStr">
        <is>
          <t>Мл-097</t>
        </is>
      </c>
      <c r="G71" s="38" t="inlineStr">
        <is>
          <t>новое</t>
        </is>
      </c>
      <c r="H71" s="11" t="inlineStr">
        <is>
          <t>on Monday</t>
        </is>
      </c>
      <c r="I71" s="32" t="inlineStr">
        <is>
          <t>7–9</t>
        </is>
      </c>
      <c r="J71" s="11">
        <f>IFERROR(INDEX('Уроки'!$H:$H,MATCH(F71,'Уроки'!$A:$A,0)),"")</f>
        <v/>
      </c>
      <c r="K71" s="11">
        <f>IFERROR(INDEX('Уроки'!$J:$J,MATCH(F71,'Уроки'!$A:$A,0)),"")</f>
        <v/>
      </c>
      <c r="L71" s="11" t="inlineStr">
        <is>
          <t>Spotlight / 3 класс / Module 8 · Day by day / Prepositions of time / Prepositions of time: on — дни недели и праздничные дни</t>
        </is>
      </c>
    </row>
    <row r="72">
      <c r="A72" s="32" t="n">
        <v>3</v>
      </c>
      <c r="B72" s="11" t="inlineStr">
        <is>
          <t>Module 8 · Day by day</t>
        </is>
      </c>
      <c r="C72" s="11" t="inlineStr"/>
      <c r="D72" s="11" t="inlineStr">
        <is>
          <t>Prepositions of time</t>
        </is>
      </c>
      <c r="E72" s="33" t="inlineStr">
        <is>
          <t>Prepositions of time: in — части суток (in the morning/afternoon/evening)</t>
        </is>
      </c>
      <c r="F72" s="11" t="inlineStr">
        <is>
          <t>Мл-098</t>
        </is>
      </c>
      <c r="G72" s="38" t="inlineStr">
        <is>
          <t>новое</t>
        </is>
      </c>
      <c r="H72" s="11" t="inlineStr"/>
      <c r="I72" s="32" t="inlineStr">
        <is>
          <t>7–9</t>
        </is>
      </c>
      <c r="J72" s="11">
        <f>IFERROR(INDEX('Уроки'!$H:$H,MATCH(F72,'Уроки'!$A:$A,0)),"")</f>
        <v/>
      </c>
      <c r="K72" s="11">
        <f>IFERROR(INDEX('Уроки'!$J:$J,MATCH(F72,'Уроки'!$A:$A,0)),"")</f>
        <v/>
      </c>
      <c r="L72" s="11" t="inlineStr">
        <is>
          <t>Spotlight / 3 класс / Module 8 · Day by day / Prepositions of time / Prepositions of time: in — части суток (in the morning/afternoon/evening)</t>
        </is>
      </c>
    </row>
    <row r="73">
      <c r="A73" s="32" t="n">
        <v>4</v>
      </c>
      <c r="B73" s="11" t="inlineStr">
        <is>
          <t>Module 1 · Family and friends</t>
        </is>
      </c>
      <c r="C73" s="11" t="inlineStr"/>
      <c r="D73" s="11" t="inlineStr">
        <is>
          <t>Present Continuous</t>
        </is>
      </c>
      <c r="E73" s="33" t="inlineStr">
        <is>
          <t>Present Continuous: утверждение (am/is/are + V-ing)</t>
        </is>
      </c>
      <c r="F73" s="11" t="inlineStr">
        <is>
          <t>Мл-011</t>
        </is>
      </c>
      <c r="G73" s="32" t="inlineStr">
        <is>
          <t>повторение</t>
        </is>
      </c>
      <c r="H73" s="11" t="inlineStr"/>
      <c r="I73" s="32" t="inlineStr">
        <is>
          <t>7–9</t>
        </is>
      </c>
      <c r="J73" s="11">
        <f>IFERROR(INDEX('Уроки'!$H:$H,MATCH(F73,'Уроки'!$A:$A,0)),"")</f>
        <v/>
      </c>
      <c r="K73" s="11">
        <f>IFERROR(INDEX('Уроки'!$J:$J,MATCH(F73,'Уроки'!$A:$A,0)),"")</f>
        <v/>
      </c>
      <c r="L73" s="11" t="inlineStr">
        <is>
          <t>Spotlight / 4 класс / Module 1 · Family and friends / Present Continuous / Present Continuous: утверждение (am/is/are + V-ing)</t>
        </is>
      </c>
    </row>
    <row r="74">
      <c r="A74" s="32" t="n">
        <v>4</v>
      </c>
      <c r="B74" s="11" t="inlineStr">
        <is>
          <t>Module 1 · Family and friends</t>
        </is>
      </c>
      <c r="C74" s="11" t="inlineStr"/>
      <c r="D74" s="11" t="inlineStr">
        <is>
          <t>Present Continuous</t>
        </is>
      </c>
      <c r="E74" s="34" t="inlineStr">
        <is>
          <t>Present Continuous: отрицание (I'm not / isn't / aren't)</t>
        </is>
      </c>
      <c r="F74" s="11" t="inlineStr">
        <is>
          <t>Мл-012</t>
        </is>
      </c>
      <c r="G74" s="32" t="inlineStr">
        <is>
          <t>повторение</t>
        </is>
      </c>
      <c r="H74" s="11" t="inlineStr"/>
      <c r="I74" s="32" t="inlineStr">
        <is>
          <t>7–9</t>
        </is>
      </c>
      <c r="J74" s="11">
        <f>IFERROR(INDEX('Уроки'!$H:$H,MATCH(F74,'Уроки'!$A:$A,0)),"")</f>
        <v/>
      </c>
      <c r="K74" s="11">
        <f>IFERROR(INDEX('Уроки'!$J:$J,MATCH(F74,'Уроки'!$A:$A,0)),"")</f>
        <v/>
      </c>
      <c r="L74" s="11" t="inlineStr">
        <is>
          <t>Spotlight / 4 класс / Module 1 · Family and friends / Present Continuous / Present Continuous: отрицание (I'm not / isn't / aren't)</t>
        </is>
      </c>
    </row>
    <row r="75">
      <c r="A75" s="32" t="n">
        <v>4</v>
      </c>
      <c r="B75" s="11" t="inlineStr">
        <is>
          <t>Module 1 · Family and friends</t>
        </is>
      </c>
      <c r="C75" s="11" t="inlineStr"/>
      <c r="D75" s="11" t="inlineStr">
        <is>
          <t>Present Continuous</t>
        </is>
      </c>
      <c r="E75" s="34" t="inlineStr">
        <is>
          <t>Present Continuous: общие вопросы (Am/Is/Are …?)</t>
        </is>
      </c>
      <c r="F75" s="11" t="inlineStr">
        <is>
          <t>Мл-013</t>
        </is>
      </c>
      <c r="G75" s="32" t="inlineStr">
        <is>
          <t>повторение</t>
        </is>
      </c>
      <c r="H75" s="11" t="inlineStr"/>
      <c r="I75" s="32" t="inlineStr">
        <is>
          <t>7–9</t>
        </is>
      </c>
      <c r="J75" s="11">
        <f>IFERROR(INDEX('Уроки'!$H:$H,MATCH(F75,'Уроки'!$A:$A,0)),"")</f>
        <v/>
      </c>
      <c r="K75" s="11">
        <f>IFERROR(INDEX('Уроки'!$J:$J,MATCH(F75,'Уроки'!$A:$A,0)),"")</f>
        <v/>
      </c>
      <c r="L75" s="11" t="inlineStr">
        <is>
          <t>Spotlight / 4 класс / Module 1 · Family and friends / Present Continuous / Present Continuous: общие вопросы (Am/Is/Are …?)</t>
        </is>
      </c>
    </row>
    <row r="76">
      <c r="A76" s="32" t="n">
        <v>4</v>
      </c>
      <c r="B76" s="11" t="inlineStr">
        <is>
          <t>Module 1 · Family and friends</t>
        </is>
      </c>
      <c r="C76" s="11" t="inlineStr"/>
      <c r="D76" s="11" t="inlineStr">
        <is>
          <t>Present Continuous</t>
        </is>
      </c>
      <c r="E76" s="34" t="inlineStr">
        <is>
          <t>Present Continuous: краткие ответы (Yes, I am / No, he isn't)</t>
        </is>
      </c>
      <c r="F76" s="11" t="inlineStr">
        <is>
          <t>Мл-014</t>
        </is>
      </c>
      <c r="G76" s="32" t="inlineStr">
        <is>
          <t>повторение</t>
        </is>
      </c>
      <c r="H76" s="11" t="inlineStr"/>
      <c r="I76" s="32" t="inlineStr">
        <is>
          <t>7–9</t>
        </is>
      </c>
      <c r="J76" s="11">
        <f>IFERROR(INDEX('Уроки'!$H:$H,MATCH(F76,'Уроки'!$A:$A,0)),"")</f>
        <v/>
      </c>
      <c r="K76" s="11">
        <f>IFERROR(INDEX('Уроки'!$J:$J,MATCH(F76,'Уроки'!$A:$A,0)),"")</f>
        <v/>
      </c>
      <c r="L76" s="11" t="inlineStr">
        <is>
          <t>Spotlight / 4 класс / Module 1 · Family and friends / Present Continuous / Present Continuous: краткие ответы (Yes, I am / No, he isn't)</t>
        </is>
      </c>
    </row>
    <row r="77">
      <c r="A77" s="32" t="n">
        <v>4</v>
      </c>
      <c r="B77" s="11" t="inlineStr">
        <is>
          <t>Module 1 · Family and friends</t>
        </is>
      </c>
      <c r="C77" s="11" t="inlineStr"/>
      <c r="D77" s="11" t="inlineStr">
        <is>
          <t>Present Continuous</t>
        </is>
      </c>
      <c r="E77" s="33" t="inlineStr">
        <is>
          <t>Present Continuous: значение — действие сейчас (now)</t>
        </is>
      </c>
      <c r="F77" s="11" t="inlineStr">
        <is>
          <t>Мл-015</t>
        </is>
      </c>
      <c r="G77" s="32" t="inlineStr">
        <is>
          <t>повторение</t>
        </is>
      </c>
      <c r="H77" s="11" t="inlineStr">
        <is>
          <t>now, at the moment</t>
        </is>
      </c>
      <c r="I77" s="32" t="inlineStr">
        <is>
          <t>7–9</t>
        </is>
      </c>
      <c r="J77" s="11">
        <f>IFERROR(INDEX('Уроки'!$H:$H,MATCH(F77,'Уроки'!$A:$A,0)),"")</f>
        <v/>
      </c>
      <c r="K77" s="11">
        <f>IFERROR(INDEX('Уроки'!$J:$J,MATCH(F77,'Уроки'!$A:$A,0)),"")</f>
        <v/>
      </c>
      <c r="L77" s="11" t="inlineStr">
        <is>
          <t>Spotlight / 4 класс / Module 1 · Family and friends / Present Continuous / Present Continuous: значение — действие сейчас (now)</t>
        </is>
      </c>
    </row>
    <row r="78">
      <c r="A78" s="32" t="n">
        <v>4</v>
      </c>
      <c r="B78" s="11" t="inlineStr">
        <is>
          <t>Module 1 · Family and friends</t>
        </is>
      </c>
      <c r="C78" s="11" t="inlineStr"/>
      <c r="D78" s="11" t="inlineStr">
        <is>
          <t>Prepositions of place</t>
        </is>
      </c>
      <c r="E78" s="33" t="inlineStr">
        <is>
          <t>Prepositions of place: in, on, under</t>
        </is>
      </c>
      <c r="F78" s="11" t="inlineStr">
        <is>
          <t>Мл-093</t>
        </is>
      </c>
      <c r="G78" s="32" t="inlineStr">
        <is>
          <t>повторение</t>
        </is>
      </c>
      <c r="H78" s="11" t="inlineStr"/>
      <c r="I78" s="32" t="inlineStr">
        <is>
          <t>7–9</t>
        </is>
      </c>
      <c r="J78" s="11">
        <f>IFERROR(INDEX('Уроки'!$H:$H,MATCH(F78,'Уроки'!$A:$A,0)),"")</f>
        <v/>
      </c>
      <c r="K78" s="11">
        <f>IFERROR(INDEX('Уроки'!$J:$J,MATCH(F78,'Уроки'!$A:$A,0)),"")</f>
        <v/>
      </c>
      <c r="L78" s="11" t="inlineStr">
        <is>
          <t>Spotlight / 4 класс / Module 1 · Family and friends / Prepositions of place / Prepositions of place: in, on, under</t>
        </is>
      </c>
    </row>
    <row r="79">
      <c r="A79" s="32" t="n">
        <v>4</v>
      </c>
      <c r="B79" s="11" t="inlineStr">
        <is>
          <t>Module 1 · Family and friends</t>
        </is>
      </c>
      <c r="C79" s="11" t="inlineStr"/>
      <c r="D79" s="11" t="inlineStr">
        <is>
          <t>Prepositions of place</t>
        </is>
      </c>
      <c r="E79" s="33" t="inlineStr">
        <is>
          <t>Prepositions of place: next to, in front of, behind</t>
        </is>
      </c>
      <c r="F79" s="11" t="inlineStr">
        <is>
          <t>Мл-094</t>
        </is>
      </c>
      <c r="G79" s="32" t="inlineStr">
        <is>
          <t>повторение</t>
        </is>
      </c>
      <c r="H79" s="11" t="inlineStr"/>
      <c r="I79" s="32" t="inlineStr">
        <is>
          <t>7–9</t>
        </is>
      </c>
      <c r="J79" s="11">
        <f>IFERROR(INDEX('Уроки'!$H:$H,MATCH(F79,'Уроки'!$A:$A,0)),"")</f>
        <v/>
      </c>
      <c r="K79" s="11">
        <f>IFERROR(INDEX('Уроки'!$J:$J,MATCH(F79,'Уроки'!$A:$A,0)),"")</f>
        <v/>
      </c>
      <c r="L79" s="11" t="inlineStr">
        <is>
          <t>Spotlight / 4 класс / Module 1 · Family and friends / Prepositions of place / Prepositions of place: next to, in front of, behind</t>
        </is>
      </c>
    </row>
    <row r="80">
      <c r="A80" s="32" t="n">
        <v>4</v>
      </c>
      <c r="B80" s="11" t="inlineStr">
        <is>
          <t>Module 1 · Family and friends</t>
        </is>
      </c>
      <c r="C80" s="11" t="inlineStr"/>
      <c r="D80" s="11" t="inlineStr">
        <is>
          <t>Prepositions of place</t>
        </is>
      </c>
      <c r="E80" s="35" t="inlineStr">
        <is>
          <t>Prepositions of place: opposite, between</t>
        </is>
      </c>
      <c r="F80" s="11" t="inlineStr">
        <is>
          <t>Мл-095</t>
        </is>
      </c>
      <c r="G80" s="38" t="inlineStr">
        <is>
          <t>новое</t>
        </is>
      </c>
      <c r="H80" s="11" t="inlineStr">
        <is>
          <t>новые в 4 кл.</t>
        </is>
      </c>
      <c r="I80" s="32" t="inlineStr">
        <is>
          <t>7–9</t>
        </is>
      </c>
      <c r="J80" s="11">
        <f>IFERROR(INDEX('Уроки'!$H:$H,MATCH(F80,'Уроки'!$A:$A,0)),"")</f>
        <v/>
      </c>
      <c r="K80" s="11">
        <f>IFERROR(INDEX('Уроки'!$J:$J,MATCH(F80,'Уроки'!$A:$A,0)),"")</f>
        <v/>
      </c>
      <c r="L80" s="11" t="inlineStr">
        <is>
          <t>Spotlight / 4 класс / Module 1 · Family and friends / Prepositions of place / Prepositions of place: opposite, between</t>
        </is>
      </c>
    </row>
    <row r="81">
      <c r="A81" s="32" t="n">
        <v>4</v>
      </c>
      <c r="B81" s="11" t="inlineStr">
        <is>
          <t>Module 2 · A working day</t>
        </is>
      </c>
      <c r="C81" s="11" t="inlineStr"/>
      <c r="D81" s="11" t="inlineStr">
        <is>
          <t>Present Simple</t>
        </is>
      </c>
      <c r="E81" s="33" t="inlineStr">
        <is>
          <t>Present Simple: утверждение (I/you/we/they V, he/she/it V-s)</t>
        </is>
      </c>
      <c r="F81" s="11" t="inlineStr">
        <is>
          <t>Мл-016</t>
        </is>
      </c>
      <c r="G81" s="32" t="inlineStr">
        <is>
          <t>повторение</t>
        </is>
      </c>
      <c r="H81" s="11" t="inlineStr">
        <is>
          <t>все лица</t>
        </is>
      </c>
      <c r="I81" s="32" t="inlineStr">
        <is>
          <t>7–9</t>
        </is>
      </c>
      <c r="J81" s="11">
        <f>IFERROR(INDEX('Уроки'!$H:$H,MATCH(F81,'Уроки'!$A:$A,0)),"")</f>
        <v/>
      </c>
      <c r="K81" s="11">
        <f>IFERROR(INDEX('Уроки'!$J:$J,MATCH(F81,'Уроки'!$A:$A,0)),"")</f>
        <v/>
      </c>
      <c r="L81" s="11" t="inlineStr">
        <is>
          <t>Spotlight / 4 класс / Module 2 · A working day / Present Simple / Present Simple: утверждение (I/you/we/they V, he/she/it V-s)</t>
        </is>
      </c>
    </row>
    <row r="82">
      <c r="A82" s="32" t="n">
        <v>4</v>
      </c>
      <c r="B82" s="11" t="inlineStr">
        <is>
          <t>Module 2 · A working day</t>
        </is>
      </c>
      <c r="C82" s="11" t="inlineStr"/>
      <c r="D82" s="11" t="inlineStr">
        <is>
          <t>Present Simple</t>
        </is>
      </c>
      <c r="E82" s="33" t="inlineStr">
        <is>
          <t>Present Simple: отрицание (don't/doesn't)</t>
        </is>
      </c>
      <c r="F82" s="11" t="inlineStr">
        <is>
          <t>Мл-017</t>
        </is>
      </c>
      <c r="G82" s="32" t="inlineStr">
        <is>
          <t>повторение</t>
        </is>
      </c>
      <c r="H82" s="11" t="inlineStr">
        <is>
          <t>все лица</t>
        </is>
      </c>
      <c r="I82" s="32" t="inlineStr">
        <is>
          <t>7–9</t>
        </is>
      </c>
      <c r="J82" s="11">
        <f>IFERROR(INDEX('Уроки'!$H:$H,MATCH(F82,'Уроки'!$A:$A,0)),"")</f>
        <v/>
      </c>
      <c r="K82" s="11">
        <f>IFERROR(INDEX('Уроки'!$J:$J,MATCH(F82,'Уроки'!$A:$A,0)),"")</f>
        <v/>
      </c>
      <c r="L82" s="11" t="inlineStr">
        <is>
          <t>Spotlight / 4 класс / Module 2 · A working day / Present Simple / Present Simple: отрицание (don't/doesn't)</t>
        </is>
      </c>
    </row>
    <row r="83">
      <c r="A83" s="32" t="n">
        <v>4</v>
      </c>
      <c r="B83" s="11" t="inlineStr">
        <is>
          <t>Module 2 · A working day</t>
        </is>
      </c>
      <c r="C83" s="11" t="inlineStr"/>
      <c r="D83" s="11" t="inlineStr">
        <is>
          <t>Present Simple</t>
        </is>
      </c>
      <c r="E83" s="34" t="inlineStr">
        <is>
          <t>Present Simple: общие вопросы (Do/Does …?)</t>
        </is>
      </c>
      <c r="F83" s="11" t="inlineStr">
        <is>
          <t>Мл-018</t>
        </is>
      </c>
      <c r="G83" s="32" t="inlineStr">
        <is>
          <t>повторение</t>
        </is>
      </c>
      <c r="H83" s="11" t="inlineStr">
        <is>
          <t>все лица</t>
        </is>
      </c>
      <c r="I83" s="32" t="inlineStr">
        <is>
          <t>7–9</t>
        </is>
      </c>
      <c r="J83" s="11">
        <f>IFERROR(INDEX('Уроки'!$H:$H,MATCH(F83,'Уроки'!$A:$A,0)),"")</f>
        <v/>
      </c>
      <c r="K83" s="11">
        <f>IFERROR(INDEX('Уроки'!$J:$J,MATCH(F83,'Уроки'!$A:$A,0)),"")</f>
        <v/>
      </c>
      <c r="L83" s="11" t="inlineStr">
        <is>
          <t>Spotlight / 4 класс / Module 2 · A working day / Present Simple / Present Simple: общие вопросы (Do/Does …?)</t>
        </is>
      </c>
    </row>
    <row r="84">
      <c r="A84" s="32" t="n">
        <v>4</v>
      </c>
      <c r="B84" s="11" t="inlineStr">
        <is>
          <t>Module 2 · A working day</t>
        </is>
      </c>
      <c r="C84" s="11" t="inlineStr"/>
      <c r="D84" s="11" t="inlineStr">
        <is>
          <t>Present Simple</t>
        </is>
      </c>
      <c r="E84" s="34" t="inlineStr">
        <is>
          <t>Present Simple: краткие ответы (Yes, I do / No, he doesn't)</t>
        </is>
      </c>
      <c r="F84" s="11" t="inlineStr">
        <is>
          <t>Мл-019</t>
        </is>
      </c>
      <c r="G84" s="32" t="inlineStr">
        <is>
          <t>повторение</t>
        </is>
      </c>
      <c r="H84" s="11" t="inlineStr">
        <is>
          <t>все лица</t>
        </is>
      </c>
      <c r="I84" s="32" t="inlineStr">
        <is>
          <t>7–9</t>
        </is>
      </c>
      <c r="J84" s="11">
        <f>IFERROR(INDEX('Уроки'!$H:$H,MATCH(F84,'Уроки'!$A:$A,0)),"")</f>
        <v/>
      </c>
      <c r="K84" s="11">
        <f>IFERROR(INDEX('Уроки'!$J:$J,MATCH(F84,'Уроки'!$A:$A,0)),"")</f>
        <v/>
      </c>
      <c r="L84" s="11" t="inlineStr">
        <is>
          <t>Spotlight / 4 класс / Module 2 · A working day / Present Simple / Present Simple: краткие ответы (Yes, I do / No, he doesn't)</t>
        </is>
      </c>
    </row>
    <row r="85">
      <c r="A85" s="32" t="n">
        <v>4</v>
      </c>
      <c r="B85" s="11" t="inlineStr">
        <is>
          <t>Module 2 · A working day</t>
        </is>
      </c>
      <c r="C85" s="11" t="inlineStr"/>
      <c r="D85" s="11" t="inlineStr">
        <is>
          <t>Present Simple</t>
        </is>
      </c>
      <c r="E85" s="34" t="inlineStr">
        <is>
          <t>Present Simple: орфография окончания -s/-es (3 л. ед. ч.)</t>
        </is>
      </c>
      <c r="F85" s="11" t="inlineStr">
        <is>
          <t>Мл-020</t>
        </is>
      </c>
      <c r="G85" s="32" t="inlineStr">
        <is>
          <t>повторение</t>
        </is>
      </c>
      <c r="H85" s="11" t="inlineStr"/>
      <c r="I85" s="32" t="inlineStr">
        <is>
          <t>7–9</t>
        </is>
      </c>
      <c r="J85" s="11">
        <f>IFERROR(INDEX('Уроки'!$H:$H,MATCH(F85,'Уроки'!$A:$A,0)),"")</f>
        <v/>
      </c>
      <c r="K85" s="11">
        <f>IFERROR(INDEX('Уроки'!$J:$J,MATCH(F85,'Уроки'!$A:$A,0)),"")</f>
        <v/>
      </c>
      <c r="L85" s="11" t="inlineStr">
        <is>
          <t>Spotlight / 4 класс / Module 2 · A working day / Present Simple / Present Simple: орфография окончания -s/-es (3 л. ед. ч.)</t>
        </is>
      </c>
    </row>
    <row r="86">
      <c r="A86" s="32" t="n">
        <v>4</v>
      </c>
      <c r="B86" s="11" t="inlineStr">
        <is>
          <t>Module 2 · A working day</t>
        </is>
      </c>
      <c r="C86" s="11" t="inlineStr"/>
      <c r="D86" s="11" t="inlineStr">
        <is>
          <t>Present Simple</t>
        </is>
      </c>
      <c r="E86" s="35" t="inlineStr">
        <is>
          <t>Present Simple: произношение окончания -s/-es (/s/, /z/, /ɪz/)</t>
        </is>
      </c>
      <c r="F86" s="11" t="inlineStr">
        <is>
          <t>Мл-021</t>
        </is>
      </c>
      <c r="G86" s="32" t="inlineStr">
        <is>
          <t>повторение</t>
        </is>
      </c>
      <c r="H86" s="11" t="inlineStr"/>
      <c r="I86" s="32" t="inlineStr">
        <is>
          <t>7–9</t>
        </is>
      </c>
      <c r="J86" s="11">
        <f>IFERROR(INDEX('Уроки'!$H:$H,MATCH(F86,'Уроки'!$A:$A,0)),"")</f>
        <v/>
      </c>
      <c r="K86" s="11">
        <f>IFERROR(INDEX('Уроки'!$J:$J,MATCH(F86,'Уроки'!$A:$A,0)),"")</f>
        <v/>
      </c>
      <c r="L86" s="11" t="inlineStr">
        <is>
          <t>Spotlight / 4 класс / Module 2 · A working day / Present Simple / Present Simple: произношение окончания -s/-es (/s/, /z/, /ɪz/)</t>
        </is>
      </c>
    </row>
    <row r="87">
      <c r="A87" s="32" t="n">
        <v>4</v>
      </c>
      <c r="B87" s="11" t="inlineStr">
        <is>
          <t>Module 2 · A working day</t>
        </is>
      </c>
      <c r="C87" s="11" t="inlineStr"/>
      <c r="D87" s="11" t="inlineStr">
        <is>
          <t>Present Simple</t>
        </is>
      </c>
      <c r="E87" s="33" t="inlineStr">
        <is>
          <t>Present Simple: значение — регулярные действия, распорядок дня, привычки</t>
        </is>
      </c>
      <c r="F87" s="11" t="inlineStr">
        <is>
          <t>Мл-022</t>
        </is>
      </c>
      <c r="G87" s="39" t="inlineStr">
        <is>
          <t>расширение</t>
        </is>
      </c>
      <c r="H87" s="11" t="inlineStr">
        <is>
          <t>сигнальные слова: every day/week…, in the morning, on Monday, once/twice a week</t>
        </is>
      </c>
      <c r="I87" s="32" t="inlineStr">
        <is>
          <t>7–9</t>
        </is>
      </c>
      <c r="J87" s="11">
        <f>IFERROR(INDEX('Уроки'!$H:$H,MATCH(F87,'Уроки'!$A:$A,0)),"")</f>
        <v/>
      </c>
      <c r="K87" s="11">
        <f>IFERROR(INDEX('Уроки'!$J:$J,MATCH(F87,'Уроки'!$A:$A,0)),"")</f>
        <v/>
      </c>
      <c r="L87" s="11" t="inlineStr">
        <is>
          <t>Spotlight / 4 класс / Module 2 · A working day / Present Simple / Present Simple: значение — регулярные действия, распорядок дня, привычки</t>
        </is>
      </c>
    </row>
    <row r="88">
      <c r="A88" s="32" t="n">
        <v>4</v>
      </c>
      <c r="B88" s="11" t="inlineStr">
        <is>
          <t>Module 2 · A working day</t>
        </is>
      </c>
      <c r="C88" s="11" t="inlineStr"/>
      <c r="D88" s="11" t="inlineStr">
        <is>
          <t>have to</t>
        </is>
      </c>
      <c r="E88" s="33" t="inlineStr">
        <is>
          <t>have to: значение — необходимость из-за обстоятельств (утверждение)</t>
        </is>
      </c>
      <c r="F88" s="11" t="inlineStr">
        <is>
          <t>Мл-050</t>
        </is>
      </c>
      <c r="G88" s="38" t="inlineStr">
        <is>
          <t>новое</t>
        </is>
      </c>
      <c r="H88" s="11" t="inlineStr">
        <is>
          <t>I have to be at school at 9</t>
        </is>
      </c>
      <c r="I88" s="32" t="inlineStr">
        <is>
          <t>7–9</t>
        </is>
      </c>
      <c r="J88" s="11">
        <f>IFERROR(INDEX('Уроки'!$H:$H,MATCH(F88,'Уроки'!$A:$A,0)),"")</f>
        <v/>
      </c>
      <c r="K88" s="11">
        <f>IFERROR(INDEX('Уроки'!$J:$J,MATCH(F88,'Уроки'!$A:$A,0)),"")</f>
        <v/>
      </c>
      <c r="L88" s="11" t="inlineStr">
        <is>
          <t>Spotlight / 4 класс / Module 2 · A working day / have to / have to: значение — необходимость из-за обстоятельств (утверждение)</t>
        </is>
      </c>
    </row>
    <row r="89">
      <c r="A89" s="32" t="n">
        <v>4</v>
      </c>
      <c r="B89" s="11" t="inlineStr">
        <is>
          <t>Module 2 · A working day</t>
        </is>
      </c>
      <c r="C89" s="11" t="inlineStr"/>
      <c r="D89" s="11" t="inlineStr">
        <is>
          <t>have to</t>
        </is>
      </c>
      <c r="E89" s="33" t="inlineStr">
        <is>
          <t>have to: don't / doesn't have to — отсутствие необходимости</t>
        </is>
      </c>
      <c r="F89" s="11" t="inlineStr">
        <is>
          <t>Мл-051</t>
        </is>
      </c>
      <c r="G89" s="38" t="inlineStr">
        <is>
          <t>новое</t>
        </is>
      </c>
      <c r="H89" s="11" t="inlineStr">
        <is>
          <t>don't / doesn't have to</t>
        </is>
      </c>
      <c r="I89" s="32" t="inlineStr">
        <is>
          <t>7–9</t>
        </is>
      </c>
      <c r="J89" s="11">
        <f>IFERROR(INDEX('Уроки'!$H:$H,MATCH(F89,'Уроки'!$A:$A,0)),"")</f>
        <v/>
      </c>
      <c r="K89" s="11">
        <f>IFERROR(INDEX('Уроки'!$J:$J,MATCH(F89,'Уроки'!$A:$A,0)),"")</f>
        <v/>
      </c>
      <c r="L89" s="11" t="inlineStr">
        <is>
          <t>Spotlight / 4 класс / Module 2 · A working day / have to / have to: don't / doesn't have to — отсутствие необходимости</t>
        </is>
      </c>
    </row>
    <row r="90">
      <c r="A90" s="32" t="n">
        <v>4</v>
      </c>
      <c r="B90" s="11" t="inlineStr">
        <is>
          <t>Module 2 · A working day</t>
        </is>
      </c>
      <c r="C90" s="11" t="inlineStr"/>
      <c r="D90" s="11" t="inlineStr">
        <is>
          <t>have to</t>
        </is>
      </c>
      <c r="E90" s="35" t="inlineStr">
        <is>
          <t>have to: вопросы и краткие ответы — Do you have to…?</t>
        </is>
      </c>
      <c r="F90" s="11" t="inlineStr">
        <is>
          <t>Мл-052</t>
        </is>
      </c>
      <c r="G90" s="38" t="inlineStr">
        <is>
          <t>новое</t>
        </is>
      </c>
      <c r="H90" s="11" t="inlineStr">
        <is>
          <t>Do you have to…? — Yes, I do</t>
        </is>
      </c>
      <c r="I90" s="32" t="inlineStr">
        <is>
          <t>7–9</t>
        </is>
      </c>
      <c r="J90" s="11">
        <f>IFERROR(INDEX('Уроки'!$H:$H,MATCH(F90,'Уроки'!$A:$A,0)),"")</f>
        <v/>
      </c>
      <c r="K90" s="11">
        <f>IFERROR(INDEX('Уроки'!$J:$J,MATCH(F90,'Уроки'!$A:$A,0)),"")</f>
        <v/>
      </c>
      <c r="L90" s="11" t="inlineStr">
        <is>
          <t>Spotlight / 4 класс / Module 2 · A working day / have to / have to: вопросы и краткие ответы — Do you have to…?</t>
        </is>
      </c>
    </row>
    <row r="91">
      <c r="A91" s="32" t="n">
        <v>4</v>
      </c>
      <c r="B91" s="11" t="inlineStr">
        <is>
          <t>Module 2 · A working day</t>
        </is>
      </c>
      <c r="C91" s="11" t="inlineStr"/>
      <c r="D91" s="11" t="inlineStr">
        <is>
          <t>Adverbs of frequency</t>
        </is>
      </c>
      <c r="E91" s="33" t="inlineStr">
        <is>
          <t>Adverbs of frequency: значение — never, sometimes, usually, often, always</t>
        </is>
      </c>
      <c r="F91" s="11" t="inlineStr">
        <is>
          <t>Мл-081</t>
        </is>
      </c>
      <c r="G91" s="38" t="inlineStr">
        <is>
          <t>новое</t>
        </is>
      </c>
      <c r="H91" s="11" t="inlineStr">
        <is>
          <t>never, sometimes, usually, often, always; с Present Simple</t>
        </is>
      </c>
      <c r="I91" s="32" t="inlineStr">
        <is>
          <t>7–9</t>
        </is>
      </c>
      <c r="J91" s="11">
        <f>IFERROR(INDEX('Уроки'!$H:$H,MATCH(F91,'Уроки'!$A:$A,0)),"")</f>
        <v/>
      </c>
      <c r="K91" s="11">
        <f>IFERROR(INDEX('Уроки'!$J:$J,MATCH(F91,'Уроки'!$A:$A,0)),"")</f>
        <v/>
      </c>
      <c r="L91" s="11" t="inlineStr">
        <is>
          <t>Spotlight / 4 класс / Module 2 · A working day / Adverbs of frequency / Adverbs of frequency: значение — never, sometimes, usually, often, always</t>
        </is>
      </c>
    </row>
    <row r="92">
      <c r="A92" s="32" t="n">
        <v>4</v>
      </c>
      <c r="B92" s="11" t="inlineStr">
        <is>
          <t>Module 2 · A working day</t>
        </is>
      </c>
      <c r="C92" s="11" t="inlineStr"/>
      <c r="D92" s="11" t="inlineStr">
        <is>
          <t>Adverbs of frequency</t>
        </is>
      </c>
      <c r="E92" s="33" t="inlineStr">
        <is>
          <t>Adverbs of frequency: место — перед смысловым глаголом, после be</t>
        </is>
      </c>
      <c r="F92" s="11" t="inlineStr">
        <is>
          <t>Мл-082</t>
        </is>
      </c>
      <c r="G92" s="38" t="inlineStr">
        <is>
          <t>новое</t>
        </is>
      </c>
      <c r="H92" s="11" t="inlineStr">
        <is>
          <t>только примерами: перед смысловым глаголом и после is; правило не сформулировано</t>
        </is>
      </c>
      <c r="I92" s="32" t="inlineStr">
        <is>
          <t>7–9</t>
        </is>
      </c>
      <c r="J92" s="11">
        <f>IFERROR(INDEX('Уроки'!$H:$H,MATCH(F92,'Уроки'!$A:$A,0)),"")</f>
        <v/>
      </c>
      <c r="K92" s="11">
        <f>IFERROR(INDEX('Уроки'!$J:$J,MATCH(F92,'Уроки'!$A:$A,0)),"")</f>
        <v/>
      </c>
      <c r="L92" s="11" t="inlineStr">
        <is>
          <t>Spotlight / 4 класс / Module 2 · A working day / Adverbs of frequency / Adverbs of frequency: место — перед смысловым глаголом, после be</t>
        </is>
      </c>
    </row>
    <row r="93">
      <c r="A93" s="32" t="n">
        <v>4</v>
      </c>
      <c r="B93" s="11" t="inlineStr">
        <is>
          <t>Module 3 · Tasty treats</t>
        </is>
      </c>
      <c r="C93" s="11" t="inlineStr"/>
      <c r="D93" s="11" t="inlineStr">
        <is>
          <t>may/might</t>
        </is>
      </c>
      <c r="E93" s="33" t="inlineStr">
        <is>
          <t>may/might: may — спросить разрешения (May I…?) и ответы</t>
        </is>
      </c>
      <c r="F93" s="11" t="inlineStr">
        <is>
          <t>Мл-053</t>
        </is>
      </c>
      <c r="G93" s="38" t="inlineStr">
        <is>
          <t>новое</t>
        </is>
      </c>
      <c r="H93" s="11" t="inlineStr">
        <is>
          <t>официально; Certainly./Of course you may. / No, you may not.</t>
        </is>
      </c>
      <c r="I93" s="32" t="inlineStr">
        <is>
          <t>7–9</t>
        </is>
      </c>
      <c r="J93" s="11">
        <f>IFERROR(INDEX('Уроки'!$H:$H,MATCH(F93,'Уроки'!$A:$A,0)),"")</f>
        <v/>
      </c>
      <c r="K93" s="11">
        <f>IFERROR(INDEX('Уроки'!$J:$J,MATCH(F93,'Уроки'!$A:$A,0)),"")</f>
        <v/>
      </c>
      <c r="L93" s="11" t="inlineStr">
        <is>
          <t>Spotlight / 4 класс / Module 3 · Tasty treats / may/might / may/might: may — спросить разрешения (May I…?) и ответы</t>
        </is>
      </c>
    </row>
    <row r="94">
      <c r="A94" s="32" t="n">
        <v>4</v>
      </c>
      <c r="B94" s="11" t="inlineStr">
        <is>
          <t>Module 3 · Tasty treats</t>
        </is>
      </c>
      <c r="C94" s="11" t="inlineStr"/>
      <c r="D94" s="11" t="inlineStr">
        <is>
          <t>Countable / Uncountable nouns</t>
        </is>
      </c>
      <c r="E94" s="33" t="inlineStr">
        <is>
          <t>Countable / Uncountable: различие исчисляемых и неисчисляемых</t>
        </is>
      </c>
      <c r="F94" s="11" t="inlineStr">
        <is>
          <t>Мл-056</t>
        </is>
      </c>
      <c r="G94" s="32" t="inlineStr">
        <is>
          <t>повторение</t>
        </is>
      </c>
      <c r="H94" s="11" t="inlineStr">
        <is>
          <t>только в рамках much/many и how much/how many</t>
        </is>
      </c>
      <c r="I94" s="32" t="inlineStr">
        <is>
          <t>7–9</t>
        </is>
      </c>
      <c r="J94" s="11">
        <f>IFERROR(INDEX('Уроки'!$H:$H,MATCH(F94,'Уроки'!$A:$A,0)),"")</f>
        <v/>
      </c>
      <c r="K94" s="11">
        <f>IFERROR(INDEX('Уроки'!$J:$J,MATCH(F94,'Уроки'!$A:$A,0)),"")</f>
        <v/>
      </c>
      <c r="L94" s="11" t="inlineStr">
        <is>
          <t>Spotlight / 4 класс / Module 3 · Tasty treats / Countable / Uncountable nouns / Countable / Uncountable: различие исчисляемых и неисчисляемых</t>
        </is>
      </c>
    </row>
    <row r="95">
      <c r="A95" s="32" t="n">
        <v>4</v>
      </c>
      <c r="B95" s="11" t="inlineStr">
        <is>
          <t>Module 3 · Tasty treats</t>
        </is>
      </c>
      <c r="C95" s="11" t="inlineStr"/>
      <c r="D95" s="11" t="inlineStr">
        <is>
          <t>much/many/a lot of</t>
        </is>
      </c>
      <c r="E95" s="33" t="inlineStr">
        <is>
          <t>much/many/a lot of: a lot of / lots of — в утверждениях (исчисляемые и неисчисляемые)</t>
        </is>
      </c>
      <c r="F95" s="11" t="inlineStr">
        <is>
          <t>Мл-071</t>
        </is>
      </c>
      <c r="G95" s="38" t="inlineStr">
        <is>
          <t>новое</t>
        </is>
      </c>
      <c r="H95" s="11" t="inlineStr">
        <is>
          <t>She's got a lot of friends. There is a lot of cheese</t>
        </is>
      </c>
      <c r="I95" s="32" t="inlineStr">
        <is>
          <t>7–9</t>
        </is>
      </c>
      <c r="J95" s="11">
        <f>IFERROR(INDEX('Уроки'!$H:$H,MATCH(F95,'Уроки'!$A:$A,0)),"")</f>
        <v/>
      </c>
      <c r="K95" s="11">
        <f>IFERROR(INDEX('Уроки'!$J:$J,MATCH(F95,'Уроки'!$A:$A,0)),"")</f>
        <v/>
      </c>
      <c r="L95" s="11" t="inlineStr">
        <is>
          <t>Spotlight / 4 класс / Module 3 · Tasty treats / much/many/a lot of / much/many/a lot of: a lot of / lots of — в утверждениях (исчисляемые и неисчисляемые)</t>
        </is>
      </c>
    </row>
    <row r="96">
      <c r="A96" s="32" t="n">
        <v>4</v>
      </c>
      <c r="B96" s="11" t="inlineStr">
        <is>
          <t>Module 3 · Tasty treats</t>
        </is>
      </c>
      <c r="C96" s="11" t="inlineStr"/>
      <c r="D96" s="11" t="inlineStr">
        <is>
          <t>much/many/a lot of</t>
        </is>
      </c>
      <c r="E96" s="33" t="inlineStr">
        <is>
          <t>much/many/a lot of: much/many — отрицание</t>
        </is>
      </c>
      <c r="F96" s="11" t="inlineStr">
        <is>
          <t>Мл-072</t>
        </is>
      </c>
      <c r="G96" s="38" t="inlineStr">
        <is>
          <t>новое</t>
        </is>
      </c>
      <c r="H96" s="11" t="inlineStr">
        <is>
          <t>There isn't much butter / aren't many apples</t>
        </is>
      </c>
      <c r="I96" s="32" t="inlineStr">
        <is>
          <t>7–9</t>
        </is>
      </c>
      <c r="J96" s="11">
        <f>IFERROR(INDEX('Уроки'!$H:$H,MATCH(F96,'Уроки'!$A:$A,0)),"")</f>
        <v/>
      </c>
      <c r="K96" s="11">
        <f>IFERROR(INDEX('Уроки'!$J:$J,MATCH(F96,'Уроки'!$A:$A,0)),"")</f>
        <v/>
      </c>
      <c r="L96" s="11" t="inlineStr">
        <is>
          <t>Spotlight / 4 класс / Module 3 · Tasty treats / much/many/a lot of / much/many/a lot of: much/many — отрицание</t>
        </is>
      </c>
    </row>
    <row r="97">
      <c r="A97" s="32" t="n">
        <v>4</v>
      </c>
      <c r="B97" s="11" t="inlineStr">
        <is>
          <t>Module 3 · Tasty treats</t>
        </is>
      </c>
      <c r="C97" s="11" t="inlineStr"/>
      <c r="D97" s="11" t="inlineStr">
        <is>
          <t>much/many/a lot of</t>
        </is>
      </c>
      <c r="E97" s="33" t="inlineStr">
        <is>
          <t>much/many/a lot of: much/many — вопросы</t>
        </is>
      </c>
      <c r="F97" s="11" t="inlineStr">
        <is>
          <t>Мл-073</t>
        </is>
      </c>
      <c r="G97" s="38" t="inlineStr">
        <is>
          <t>новое</t>
        </is>
      </c>
      <c r="H97" s="11" t="inlineStr">
        <is>
          <t>Is there much sugar? Are there many girls?</t>
        </is>
      </c>
      <c r="I97" s="32" t="inlineStr">
        <is>
          <t>7–9</t>
        </is>
      </c>
      <c r="J97" s="11">
        <f>IFERROR(INDEX('Уроки'!$H:$H,MATCH(F97,'Уроки'!$A:$A,0)),"")</f>
        <v/>
      </c>
      <c r="K97" s="11">
        <f>IFERROR(INDEX('Уроки'!$J:$J,MATCH(F97,'Уроки'!$A:$A,0)),"")</f>
        <v/>
      </c>
      <c r="L97" s="11" t="inlineStr">
        <is>
          <t>Spotlight / 4 класс / Module 3 · Tasty treats / much/many/a lot of / much/many/a lot of: much/many — вопросы</t>
        </is>
      </c>
    </row>
    <row r="98">
      <c r="A98" s="32" t="n">
        <v>4</v>
      </c>
      <c r="B98" s="11" t="inlineStr">
        <is>
          <t>Module 3 · Tasty treats</t>
        </is>
      </c>
      <c r="C98" s="11" t="inlineStr"/>
      <c r="D98" s="11" t="inlineStr">
        <is>
          <t>much/many/a lot of</t>
        </is>
      </c>
      <c r="E98" s="33" t="inlineStr">
        <is>
          <t>much/many/a lot of: How much? / How many?</t>
        </is>
      </c>
      <c r="F98" s="11" t="inlineStr">
        <is>
          <t>Мл-074</t>
        </is>
      </c>
      <c r="G98" s="38" t="inlineStr">
        <is>
          <t>новое</t>
        </is>
      </c>
      <c r="H98" s="11" t="inlineStr"/>
      <c r="I98" s="32" t="inlineStr">
        <is>
          <t>7–9</t>
        </is>
      </c>
      <c r="J98" s="11">
        <f>IFERROR(INDEX('Уроки'!$H:$H,MATCH(F98,'Уроки'!$A:$A,0)),"")</f>
        <v/>
      </c>
      <c r="K98" s="11">
        <f>IFERROR(INDEX('Уроки'!$J:$J,MATCH(F98,'Уроки'!$A:$A,0)),"")</f>
        <v/>
      </c>
      <c r="L98" s="11" t="inlineStr">
        <is>
          <t>Spotlight / 4 класс / Module 3 · Tasty treats / much/many/a lot of / much/many/a lot of: How much? / How many?</t>
        </is>
      </c>
    </row>
    <row r="99">
      <c r="A99" s="32" t="n">
        <v>4</v>
      </c>
      <c r="B99" s="11" t="inlineStr">
        <is>
          <t>Module 3 · Tasty treats</t>
        </is>
      </c>
      <c r="C99" s="11" t="inlineStr"/>
      <c r="D99" s="11" t="inlineStr">
        <is>
          <t>much/many/a lot of</t>
        </is>
      </c>
      <c r="E99" s="33" t="inlineStr">
        <is>
          <t>much/many/a lot of: краткие ответы и a lot / lots без существительного</t>
        </is>
      </c>
      <c r="F99" s="11" t="inlineStr">
        <is>
          <t>Мл-075</t>
        </is>
      </c>
      <c r="G99" s="38" t="inlineStr">
        <is>
          <t>новое</t>
        </is>
      </c>
      <c r="H99" s="11" t="inlineStr">
        <is>
          <t>Not much. / Not many. / A lot.</t>
        </is>
      </c>
      <c r="I99" s="32" t="inlineStr">
        <is>
          <t>7–9</t>
        </is>
      </c>
      <c r="J99" s="11">
        <f>IFERROR(INDEX('Уроки'!$H:$H,MATCH(F99,'Уроки'!$A:$A,0)),"")</f>
        <v/>
      </c>
      <c r="K99" s="11">
        <f>IFERROR(INDEX('Уроки'!$J:$J,MATCH(F99,'Уроки'!$A:$A,0)),"")</f>
        <v/>
      </c>
      <c r="L99" s="11" t="inlineStr">
        <is>
          <t>Spotlight / 4 класс / Module 3 · Tasty treats / much/many/a lot of / much/many/a lot of: краткие ответы и a lot / lots без существительного</t>
        </is>
      </c>
    </row>
    <row r="100">
      <c r="A100" s="32" t="n">
        <v>4</v>
      </c>
      <c r="B100" s="11" t="inlineStr">
        <is>
          <t>Module 3 · Tasty treats</t>
        </is>
      </c>
      <c r="C100" s="11" t="inlineStr"/>
      <c r="D100" s="11" t="inlineStr">
        <is>
          <t>Question words</t>
        </is>
      </c>
      <c r="E100" s="33" t="inlineStr">
        <is>
          <t>Question words: How much? / How many?</t>
        </is>
      </c>
      <c r="F100" s="11" t="inlineStr">
        <is>
          <t>Мл-100</t>
        </is>
      </c>
      <c r="G100" s="38" t="inlineStr">
        <is>
          <t>новое</t>
        </is>
      </c>
      <c r="H100" s="11" t="inlineStr">
        <is>
          <t>How much — неисчисляемые, How many — исчисляемые; в разделе Much/Many/A lot of</t>
        </is>
      </c>
      <c r="I100" s="32" t="inlineStr">
        <is>
          <t>7–9</t>
        </is>
      </c>
      <c r="J100" s="11">
        <f>IFERROR(INDEX('Уроки'!$H:$H,MATCH(F100,'Уроки'!$A:$A,0)),"")</f>
        <v/>
      </c>
      <c r="K100" s="11">
        <f>IFERROR(INDEX('Уроки'!$J:$J,MATCH(F100,'Уроки'!$A:$A,0)),"")</f>
        <v/>
      </c>
      <c r="L100" s="11" t="inlineStr">
        <is>
          <t>Spotlight / 4 класс / Module 3 · Tasty treats / Question words / Question words: How much? / How many?</t>
        </is>
      </c>
    </row>
    <row r="101">
      <c r="A101" s="32" t="n">
        <v>4</v>
      </c>
      <c r="B101" s="11" t="inlineStr">
        <is>
          <t>Module 4 · At the zoo!</t>
        </is>
      </c>
      <c r="C101" s="11" t="inlineStr"/>
      <c r="D101" s="11" t="inlineStr">
        <is>
          <t>Present Simple vs Present Continuous</t>
        </is>
      </c>
      <c r="E101" s="33" t="inlineStr">
        <is>
          <t>Present Simple vs Present Continuous: привычка vs сейчас</t>
        </is>
      </c>
      <c r="F101" s="11" t="inlineStr">
        <is>
          <t>Мл-029</t>
        </is>
      </c>
      <c r="G101" s="38" t="inlineStr">
        <is>
          <t>новое</t>
        </is>
      </c>
      <c r="H101" s="11" t="inlineStr">
        <is>
          <t>регулярные действия vs момент речи</t>
        </is>
      </c>
      <c r="I101" s="32" t="inlineStr">
        <is>
          <t>7–9</t>
        </is>
      </c>
      <c r="J101" s="11">
        <f>IFERROR(INDEX('Уроки'!$H:$H,MATCH(F101,'Уроки'!$A:$A,0)),"")</f>
        <v/>
      </c>
      <c r="K101" s="11">
        <f>IFERROR(INDEX('Уроки'!$J:$J,MATCH(F101,'Уроки'!$A:$A,0)),"")</f>
        <v/>
      </c>
      <c r="L101" s="11" t="inlineStr">
        <is>
          <t>Spotlight / 4 класс / Module 4 · At the zoo! / Present Simple vs Present Continuous / Present Simple vs Present Continuous: привычка vs сейчас</t>
        </is>
      </c>
    </row>
    <row r="102">
      <c r="A102" s="32" t="n">
        <v>4</v>
      </c>
      <c r="B102" s="11" t="inlineStr">
        <is>
          <t>Module 4 · At the zoo!</t>
        </is>
      </c>
      <c r="C102" s="11" t="inlineStr"/>
      <c r="D102" s="11" t="inlineStr">
        <is>
          <t>must/mustn't</t>
        </is>
      </c>
      <c r="E102" s="34" t="inlineStr">
        <is>
          <t>must/mustn't: must — обязанность, необходимость</t>
        </is>
      </c>
      <c r="F102" s="11" t="inlineStr">
        <is>
          <t>Мл-054</t>
        </is>
      </c>
      <c r="G102" s="38" t="inlineStr">
        <is>
          <t>новое</t>
        </is>
      </c>
      <c r="H102" s="11" t="inlineStr">
        <is>
          <t>I must put my rubbish in the bin</t>
        </is>
      </c>
      <c r="I102" s="32" t="inlineStr">
        <is>
          <t>7–9</t>
        </is>
      </c>
      <c r="J102" s="11">
        <f>IFERROR(INDEX('Уроки'!$H:$H,MATCH(F102,'Уроки'!$A:$A,0)),"")</f>
        <v/>
      </c>
      <c r="K102" s="11">
        <f>IFERROR(INDEX('Уроки'!$J:$J,MATCH(F102,'Уроки'!$A:$A,0)),"")</f>
        <v/>
      </c>
      <c r="L102" s="11" t="inlineStr">
        <is>
          <t>Spotlight / 4 класс / Module 4 · At the zoo! / must/mustn't / must/mustn't: must — обязанность, необходимость</t>
        </is>
      </c>
    </row>
    <row r="103">
      <c r="A103" s="32" t="n">
        <v>4</v>
      </c>
      <c r="B103" s="11" t="inlineStr">
        <is>
          <t>Module 4 · At the zoo!</t>
        </is>
      </c>
      <c r="C103" s="11" t="inlineStr"/>
      <c r="D103" s="11" t="inlineStr">
        <is>
          <t>must/mustn't</t>
        </is>
      </c>
      <c r="E103" s="34" t="inlineStr">
        <is>
          <t>must/mustn't: mustn't — запрет</t>
        </is>
      </c>
      <c r="F103" s="11" t="inlineStr">
        <is>
          <t>Мл-055</t>
        </is>
      </c>
      <c r="G103" s="38" t="inlineStr">
        <is>
          <t>новое</t>
        </is>
      </c>
      <c r="H103" s="11" t="inlineStr">
        <is>
          <t>must not (mustn't — только в заголовке); вопросов нет</t>
        </is>
      </c>
      <c r="I103" s="32" t="inlineStr">
        <is>
          <t>7–9</t>
        </is>
      </c>
      <c r="J103" s="11">
        <f>IFERROR(INDEX('Уроки'!$H:$H,MATCH(F103,'Уроки'!$A:$A,0)),"")</f>
        <v/>
      </c>
      <c r="K103" s="11">
        <f>IFERROR(INDEX('Уроки'!$J:$J,MATCH(F103,'Уроки'!$A:$A,0)),"")</f>
        <v/>
      </c>
      <c r="L103" s="11" t="inlineStr">
        <is>
          <t>Spotlight / 4 класс / Module 4 · At the zoo! / must/mustn't / must/mustn't: mustn't — запрет</t>
        </is>
      </c>
    </row>
    <row r="104">
      <c r="A104" s="32" t="n">
        <v>4</v>
      </c>
      <c r="B104" s="11" t="inlineStr">
        <is>
          <t>Module 4 · At the zoo!</t>
        </is>
      </c>
      <c r="C104" s="11" t="inlineStr"/>
      <c r="D104" s="11" t="inlineStr">
        <is>
          <t>Comparatives &amp; Superlatives</t>
        </is>
      </c>
      <c r="E104" s="33" t="inlineStr">
        <is>
          <t>Comparatives &amp; Superlatives: сравнительная степень — -er + than</t>
        </is>
      </c>
      <c r="F104" s="11" t="inlineStr">
        <is>
          <t>Мл-083</t>
        </is>
      </c>
      <c r="G104" s="38" t="inlineStr">
        <is>
          <t>новое</t>
        </is>
      </c>
      <c r="H104" s="11" t="inlineStr">
        <is>
          <t>small — smaller; + than при сравнении</t>
        </is>
      </c>
      <c r="I104" s="32" t="inlineStr">
        <is>
          <t>7–9</t>
        </is>
      </c>
      <c r="J104" s="11">
        <f>IFERROR(INDEX('Уроки'!$H:$H,MATCH(F104,'Уроки'!$A:$A,0)),"")</f>
        <v/>
      </c>
      <c r="K104" s="11">
        <f>IFERROR(INDEX('Уроки'!$J:$J,MATCH(F104,'Уроки'!$A:$A,0)),"")</f>
        <v/>
      </c>
      <c r="L104" s="11" t="inlineStr">
        <is>
          <t>Spotlight / 4 класс / Module 4 · At the zoo! / Comparatives &amp; Superlatives / Comparatives &amp; Superlatives: сравнительная степень — -er + than</t>
        </is>
      </c>
    </row>
    <row r="105">
      <c r="A105" s="32" t="n">
        <v>4</v>
      </c>
      <c r="B105" s="11" t="inlineStr">
        <is>
          <t>Module 4 · At the zoo!</t>
        </is>
      </c>
      <c r="C105" s="11" t="inlineStr"/>
      <c r="D105" s="11" t="inlineStr">
        <is>
          <t>Comparatives &amp; Superlatives</t>
        </is>
      </c>
      <c r="E105" s="33" t="inlineStr">
        <is>
          <t>Comparatives &amp; Superlatives: сравнительная степень — more (многосложные)</t>
        </is>
      </c>
      <c r="F105" s="11" t="inlineStr">
        <is>
          <t>Мл-084</t>
        </is>
      </c>
      <c r="G105" s="38" t="inlineStr">
        <is>
          <t>новое</t>
        </is>
      </c>
      <c r="H105" s="11" t="inlineStr">
        <is>
          <t>beautiful — more beautiful</t>
        </is>
      </c>
      <c r="I105" s="32" t="inlineStr">
        <is>
          <t>7–9</t>
        </is>
      </c>
      <c r="J105" s="11">
        <f>IFERROR(INDEX('Уроки'!$H:$H,MATCH(F105,'Уроки'!$A:$A,0)),"")</f>
        <v/>
      </c>
      <c r="K105" s="11">
        <f>IFERROR(INDEX('Уроки'!$J:$J,MATCH(F105,'Уроки'!$A:$A,0)),"")</f>
        <v/>
      </c>
      <c r="L105" s="11" t="inlineStr">
        <is>
          <t>Spotlight / 4 класс / Module 4 · At the zoo! / Comparatives &amp; Superlatives / Comparatives &amp; Superlatives: сравнительная степень — more (многосложные)</t>
        </is>
      </c>
    </row>
    <row r="106">
      <c r="A106" s="32" t="n">
        <v>4</v>
      </c>
      <c r="B106" s="11" t="inlineStr">
        <is>
          <t>Module 4 · At the zoo!</t>
        </is>
      </c>
      <c r="C106" s="11" t="inlineStr"/>
      <c r="D106" s="11" t="inlineStr">
        <is>
          <t>Comparatives &amp; Superlatives</t>
        </is>
      </c>
      <c r="E106" s="33" t="inlineStr">
        <is>
          <t>Comparatives &amp; Superlatives: орфография -er/-est (удвоение, -e, y → i)</t>
        </is>
      </c>
      <c r="F106" s="11" t="inlineStr">
        <is>
          <t>Мл-085</t>
        </is>
      </c>
      <c r="G106" s="38" t="inlineStr">
        <is>
          <t>новое</t>
        </is>
      </c>
      <c r="H106" s="11" t="inlineStr">
        <is>
          <t>nice — nicer, thin — thinner, funny — funnier; только для -er</t>
        </is>
      </c>
      <c r="I106" s="32" t="inlineStr">
        <is>
          <t>7–9</t>
        </is>
      </c>
      <c r="J106" s="11">
        <f>IFERROR(INDEX('Уроки'!$H:$H,MATCH(F106,'Уроки'!$A:$A,0)),"")</f>
        <v/>
      </c>
      <c r="K106" s="11">
        <f>IFERROR(INDEX('Уроки'!$J:$J,MATCH(F106,'Уроки'!$A:$A,0)),"")</f>
        <v/>
      </c>
      <c r="L106" s="11" t="inlineStr">
        <is>
          <t>Spotlight / 4 класс / Module 4 · At the zoo! / Comparatives &amp; Superlatives / Comparatives &amp; Superlatives: орфография -er/-est (удвоение, -e, y → i)</t>
        </is>
      </c>
    </row>
    <row r="107">
      <c r="A107" s="32" t="n">
        <v>4</v>
      </c>
      <c r="B107" s="11" t="inlineStr">
        <is>
          <t>Module 4 · At the zoo!</t>
        </is>
      </c>
      <c r="C107" s="11" t="inlineStr"/>
      <c r="D107" s="11" t="inlineStr">
        <is>
          <t>Comparatives &amp; Superlatives</t>
        </is>
      </c>
      <c r="E107" s="35" t="inlineStr">
        <is>
          <t>Comparatives &amp; Superlatives: двусложные на -y/-er/-ow — -er/-est</t>
        </is>
      </c>
      <c r="F107" s="11" t="inlineStr">
        <is>
          <t>Мл-089</t>
        </is>
      </c>
      <c r="G107" s="38" t="inlineStr">
        <is>
          <t>новое</t>
        </is>
      </c>
      <c r="H107" s="11" t="inlineStr">
        <is>
          <t>только на -y: busy — busier</t>
        </is>
      </c>
      <c r="I107" s="32" t="inlineStr">
        <is>
          <t>7–9</t>
        </is>
      </c>
      <c r="J107" s="11">
        <f>IFERROR(INDEX('Уроки'!$H:$H,MATCH(F107,'Уроки'!$A:$A,0)),"")</f>
        <v/>
      </c>
      <c r="K107" s="11">
        <f>IFERROR(INDEX('Уроки'!$J:$J,MATCH(F107,'Уроки'!$A:$A,0)),"")</f>
        <v/>
      </c>
      <c r="L107" s="11" t="inlineStr">
        <is>
          <t>Spotlight / 4 класс / Module 4 · At the zoo! / Comparatives &amp; Superlatives / Comparatives &amp; Superlatives: двусложные на -y/-er/-ow — -er/-est</t>
        </is>
      </c>
    </row>
    <row r="108">
      <c r="A108" s="32" t="n">
        <v>4</v>
      </c>
      <c r="B108" s="11" t="inlineStr">
        <is>
          <t>Module 5 · Where were you yesterday?</t>
        </is>
      </c>
      <c r="C108" s="11" t="inlineStr"/>
      <c r="D108" s="11" t="inlineStr">
        <is>
          <t>to be (Past: was/were)</t>
        </is>
      </c>
      <c r="E108" s="33" t="inlineStr">
        <is>
          <t>to be (Past): утверждение — was / were</t>
        </is>
      </c>
      <c r="F108" s="11" t="inlineStr">
        <is>
          <t>Мл-043</t>
        </is>
      </c>
      <c r="G108" s="32" t="inlineStr">
        <is>
          <t>повторение</t>
        </is>
      </c>
      <c r="H108" s="11" t="inlineStr"/>
      <c r="I108" s="32" t="inlineStr">
        <is>
          <t>7–9</t>
        </is>
      </c>
      <c r="J108" s="11">
        <f>IFERROR(INDEX('Уроки'!$H:$H,MATCH(F108,'Уроки'!$A:$A,0)),"")</f>
        <v/>
      </c>
      <c r="K108" s="11">
        <f>IFERROR(INDEX('Уроки'!$J:$J,MATCH(F108,'Уроки'!$A:$A,0)),"")</f>
        <v/>
      </c>
      <c r="L108" s="11" t="inlineStr">
        <is>
          <t>Spotlight / 4 класс / Module 5 · Where were you yesterday? / to be (Past: was/were) / to be (Past): утверждение — was / were</t>
        </is>
      </c>
    </row>
    <row r="109">
      <c r="A109" s="32" t="n">
        <v>4</v>
      </c>
      <c r="B109" s="11" t="inlineStr">
        <is>
          <t>Module 5 · Where were you yesterday?</t>
        </is>
      </c>
      <c r="C109" s="11" t="inlineStr"/>
      <c r="D109" s="11" t="inlineStr">
        <is>
          <t>to be (Past: was/were)</t>
        </is>
      </c>
      <c r="E109" s="34" t="inlineStr">
        <is>
          <t>to be (Past): отрицание — wasn't / weren't</t>
        </is>
      </c>
      <c r="F109" s="11" t="inlineStr">
        <is>
          <t>Мл-044</t>
        </is>
      </c>
      <c r="G109" s="32" t="inlineStr">
        <is>
          <t>повторение</t>
        </is>
      </c>
      <c r="H109" s="11" t="inlineStr"/>
      <c r="I109" s="32" t="inlineStr">
        <is>
          <t>7–9</t>
        </is>
      </c>
      <c r="J109" s="11">
        <f>IFERROR(INDEX('Уроки'!$H:$H,MATCH(F109,'Уроки'!$A:$A,0)),"")</f>
        <v/>
      </c>
      <c r="K109" s="11">
        <f>IFERROR(INDEX('Уроки'!$J:$J,MATCH(F109,'Уроки'!$A:$A,0)),"")</f>
        <v/>
      </c>
      <c r="L109" s="11" t="inlineStr">
        <is>
          <t>Spotlight / 4 класс / Module 5 · Where were you yesterday? / to be (Past: was/were) / to be (Past): отрицание — wasn't / weren't</t>
        </is>
      </c>
    </row>
    <row r="110">
      <c r="A110" s="32" t="n">
        <v>4</v>
      </c>
      <c r="B110" s="11" t="inlineStr">
        <is>
          <t>Module 5 · Where were you yesterday?</t>
        </is>
      </c>
      <c r="C110" s="11" t="inlineStr"/>
      <c r="D110" s="11" t="inlineStr">
        <is>
          <t>to be (Past: was/were)</t>
        </is>
      </c>
      <c r="E110" s="34" t="inlineStr">
        <is>
          <t>to be (Past): вопросы и краткие ответы</t>
        </is>
      </c>
      <c r="F110" s="11" t="inlineStr">
        <is>
          <t>Мл-045</t>
        </is>
      </c>
      <c r="G110" s="32" t="inlineStr">
        <is>
          <t>повторение</t>
        </is>
      </c>
      <c r="H110" s="11" t="inlineStr"/>
      <c r="I110" s="32" t="inlineStr">
        <is>
          <t>7–9</t>
        </is>
      </c>
      <c r="J110" s="11">
        <f>IFERROR(INDEX('Уроки'!$H:$H,MATCH(F110,'Уроки'!$A:$A,0)),"")</f>
        <v/>
      </c>
      <c r="K110" s="11">
        <f>IFERROR(INDEX('Уроки'!$J:$J,MATCH(F110,'Уроки'!$A:$A,0)),"")</f>
        <v/>
      </c>
      <c r="L110" s="11" t="inlineStr">
        <is>
          <t>Spotlight / 4 класс / Module 5 · Where were you yesterday? / to be (Past: was/were) / to be (Past): вопросы и краткие ответы</t>
        </is>
      </c>
    </row>
    <row r="111">
      <c r="A111" s="32" t="n">
        <v>4</v>
      </c>
      <c r="B111" s="11" t="inlineStr">
        <is>
          <t>Module 5 · Where were you yesterday?</t>
        </is>
      </c>
      <c r="C111" s="11" t="inlineStr"/>
      <c r="D111" s="11" t="inlineStr">
        <is>
          <t>to be (Past: was/were)</t>
        </is>
      </c>
      <c r="E111" s="33" t="inlineStr">
        <is>
          <t>to be (Past): слова-указатели прошедшего времени</t>
        </is>
      </c>
      <c r="F111" s="11" t="inlineStr">
        <is>
          <t>Мл-046</t>
        </is>
      </c>
      <c r="G111" s="32" t="inlineStr">
        <is>
          <t>повторение</t>
        </is>
      </c>
      <c r="H111" s="11" t="inlineStr">
        <is>
          <t>yesterday, last…, …ago, in 1975</t>
        </is>
      </c>
      <c r="I111" s="32" t="inlineStr">
        <is>
          <t>7–9</t>
        </is>
      </c>
      <c r="J111" s="11">
        <f>IFERROR(INDEX('Уроки'!$H:$H,MATCH(F111,'Уроки'!$A:$A,0)),"")</f>
        <v/>
      </c>
      <c r="K111" s="11">
        <f>IFERROR(INDEX('Уроки'!$J:$J,MATCH(F111,'Уроки'!$A:$A,0)),"")</f>
        <v/>
      </c>
      <c r="L111" s="11" t="inlineStr">
        <is>
          <t>Spotlight / 4 класс / Module 5 · Where were you yesterday? / to be (Past: was/were) / to be (Past): слова-указатели прошедшего времени</t>
        </is>
      </c>
    </row>
    <row r="112">
      <c r="A112" s="32" t="n">
        <v>4</v>
      </c>
      <c r="B112" s="11" t="inlineStr">
        <is>
          <t>Module 5 · Where were you yesterday?</t>
        </is>
      </c>
      <c r="C112" s="11" t="inlineStr"/>
      <c r="D112" s="11" t="inlineStr">
        <is>
          <t>Ordinal numbers</t>
        </is>
      </c>
      <c r="E112" s="33" t="inlineStr">
        <is>
          <t>Ordinal numbers: first, second, third и составные (21st, 22nd)</t>
        </is>
      </c>
      <c r="F112" s="11" t="inlineStr">
        <is>
          <t>Мл-090</t>
        </is>
      </c>
      <c r="G112" s="38" t="inlineStr">
        <is>
          <t>новое</t>
        </is>
      </c>
      <c r="H112" s="11" t="inlineStr">
        <is>
          <t>1–31 с сокращениями 1st, 2nd, 3rd</t>
        </is>
      </c>
      <c r="I112" s="32" t="inlineStr">
        <is>
          <t>7–9</t>
        </is>
      </c>
      <c r="J112" s="11">
        <f>IFERROR(INDEX('Уроки'!$H:$H,MATCH(F112,'Уроки'!$A:$A,0)),"")</f>
        <v/>
      </c>
      <c r="K112" s="11">
        <f>IFERROR(INDEX('Уроки'!$J:$J,MATCH(F112,'Уроки'!$A:$A,0)),"")</f>
        <v/>
      </c>
      <c r="L112" s="11" t="inlineStr">
        <is>
          <t>Spotlight / 4 класс / Module 5 · Where were you yesterday? / Ordinal numbers / Ordinal numbers: first, second, third и составные (21st, 22nd)</t>
        </is>
      </c>
    </row>
    <row r="113">
      <c r="A113" s="32" t="n">
        <v>4</v>
      </c>
      <c r="B113" s="11" t="inlineStr">
        <is>
          <t>Module 5 · Where were you yesterday?</t>
        </is>
      </c>
      <c r="C113" s="11" t="inlineStr"/>
      <c r="D113" s="11" t="inlineStr">
        <is>
          <t>Ordinal numbers</t>
        </is>
      </c>
      <c r="E113" s="33" t="inlineStr">
        <is>
          <t>Ordinal numbers: образование с -th и орфография (fifth, ninth, twelfth, twentieth)</t>
        </is>
      </c>
      <c r="F113" s="11" t="inlineStr">
        <is>
          <t>Мл-091</t>
        </is>
      </c>
      <c r="G113" s="38" t="inlineStr">
        <is>
          <t>новое</t>
        </is>
      </c>
      <c r="H113" s="11" t="inlineStr">
        <is>
          <t>список до thirty-first</t>
        </is>
      </c>
      <c r="I113" s="32" t="inlineStr">
        <is>
          <t>7–9</t>
        </is>
      </c>
      <c r="J113" s="11">
        <f>IFERROR(INDEX('Уроки'!$H:$H,MATCH(F113,'Уроки'!$A:$A,0)),"")</f>
        <v/>
      </c>
      <c r="K113" s="11">
        <f>IFERROR(INDEX('Уроки'!$J:$J,MATCH(F113,'Уроки'!$A:$A,0)),"")</f>
        <v/>
      </c>
      <c r="L113" s="11" t="inlineStr">
        <is>
          <t>Spotlight / 4 класс / Module 5 · Where were you yesterday? / Ordinal numbers / Ordinal numbers: образование с -th и орфография (fifth, ninth, twelfth, twentieth)</t>
        </is>
      </c>
    </row>
    <row r="114">
      <c r="A114" s="32" t="n">
        <v>4</v>
      </c>
      <c r="B114" s="11" t="inlineStr">
        <is>
          <t>Module 5 · Where were you yesterday?</t>
        </is>
      </c>
      <c r="C114" s="11" t="inlineStr"/>
      <c r="D114" s="11" t="inlineStr">
        <is>
          <t>Ordinal numbers</t>
        </is>
      </c>
      <c r="E114" s="35" t="inlineStr">
        <is>
          <t>Ordinal numbers: с артиклем the и даты</t>
        </is>
      </c>
      <c r="F114" s="11" t="inlineStr">
        <is>
          <t>Мл-092</t>
        </is>
      </c>
      <c r="G114" s="38" t="inlineStr">
        <is>
          <t>новое</t>
        </is>
      </c>
      <c r="H114" s="11" t="inlineStr">
        <is>
          <t>fifteen — the fifteenth; даты</t>
        </is>
      </c>
      <c r="I114" s="32" t="inlineStr">
        <is>
          <t>7–9</t>
        </is>
      </c>
      <c r="J114" s="11">
        <f>IFERROR(INDEX('Уроки'!$H:$H,MATCH(F114,'Уроки'!$A:$A,0)),"")</f>
        <v/>
      </c>
      <c r="K114" s="11">
        <f>IFERROR(INDEX('Уроки'!$J:$J,MATCH(F114,'Уроки'!$A:$A,0)),"")</f>
        <v/>
      </c>
      <c r="L114" s="11" t="inlineStr">
        <is>
          <t>Spotlight / 4 класс / Module 5 · Where were you yesterday? / Ordinal numbers / Ordinal numbers: с артиклем the и даты</t>
        </is>
      </c>
    </row>
    <row r="115">
      <c r="A115" s="32" t="n">
        <v>4</v>
      </c>
      <c r="B115" s="11" t="inlineStr">
        <is>
          <t>Module 6 · Tell the tale!</t>
        </is>
      </c>
      <c r="C115" s="11" t="inlineStr"/>
      <c r="D115" s="11" t="inlineStr">
        <is>
          <t>Past Simple</t>
        </is>
      </c>
      <c r="E115" s="33" t="inlineStr">
        <is>
          <t>Past Simple: правильные глаголы — утверждение (-ed)</t>
        </is>
      </c>
      <c r="F115" s="11" t="inlineStr">
        <is>
          <t>Мл-001</t>
        </is>
      </c>
      <c r="G115" s="32" t="inlineStr">
        <is>
          <t>повторение</t>
        </is>
      </c>
      <c r="H115" s="11" t="inlineStr"/>
      <c r="I115" s="32" t="inlineStr">
        <is>
          <t>7–9</t>
        </is>
      </c>
      <c r="J115" s="11">
        <f>IFERROR(INDEX('Уроки'!$H:$H,MATCH(F115,'Уроки'!$A:$A,0)),"")</f>
        <v/>
      </c>
      <c r="K115" s="11">
        <f>IFERROR(INDEX('Уроки'!$J:$J,MATCH(F115,'Уроки'!$A:$A,0)),"")</f>
        <v/>
      </c>
      <c r="L115" s="11" t="inlineStr">
        <is>
          <t>Spotlight / 4 класс / Module 6 · Tell the tale! / Past Simple / Past Simple: правильные глаголы — утверждение (-ed)</t>
        </is>
      </c>
    </row>
    <row r="116">
      <c r="A116" s="32" t="n">
        <v>4</v>
      </c>
      <c r="B116" s="11" t="inlineStr">
        <is>
          <t>Module 6 · Tell the tale!</t>
        </is>
      </c>
      <c r="C116" s="11" t="inlineStr"/>
      <c r="D116" s="11" t="inlineStr">
        <is>
          <t>Past Simple</t>
        </is>
      </c>
      <c r="E116" s="33" t="inlineStr">
        <is>
          <t>Past Simple: правильные глаголы — отрицание (didn't + V)</t>
        </is>
      </c>
      <c r="F116" s="11" t="inlineStr">
        <is>
          <t>Мл-002</t>
        </is>
      </c>
      <c r="G116" s="32" t="inlineStr">
        <is>
          <t>повторение</t>
        </is>
      </c>
      <c r="H116" s="11" t="inlineStr"/>
      <c r="I116" s="32" t="inlineStr">
        <is>
          <t>7–9</t>
        </is>
      </c>
      <c r="J116" s="11">
        <f>IFERROR(INDEX('Уроки'!$H:$H,MATCH(F116,'Уроки'!$A:$A,0)),"")</f>
        <v/>
      </c>
      <c r="K116" s="11">
        <f>IFERROR(INDEX('Уроки'!$J:$J,MATCH(F116,'Уроки'!$A:$A,0)),"")</f>
        <v/>
      </c>
      <c r="L116" s="11" t="inlineStr">
        <is>
          <t>Spotlight / 4 класс / Module 6 · Tell the tale! / Past Simple / Past Simple: правильные глаголы — отрицание (didn't + V)</t>
        </is>
      </c>
    </row>
    <row r="117">
      <c r="A117" s="32" t="n">
        <v>4</v>
      </c>
      <c r="B117" s="11" t="inlineStr">
        <is>
          <t>Module 6 · Tell the tale!</t>
        </is>
      </c>
      <c r="C117" s="11" t="inlineStr"/>
      <c r="D117" s="11" t="inlineStr">
        <is>
          <t>Past Simple</t>
        </is>
      </c>
      <c r="E117" s="33" t="inlineStr">
        <is>
          <t>Past Simple: правильные глаголы — вопросы (Did …?)</t>
        </is>
      </c>
      <c r="F117" s="11" t="inlineStr">
        <is>
          <t>Мл-003</t>
        </is>
      </c>
      <c r="G117" s="32" t="inlineStr">
        <is>
          <t>повторение</t>
        </is>
      </c>
      <c r="H117" s="11" t="inlineStr"/>
      <c r="I117" s="32" t="inlineStr">
        <is>
          <t>7–9</t>
        </is>
      </c>
      <c r="J117" s="11">
        <f>IFERROR(INDEX('Уроки'!$H:$H,MATCH(F117,'Уроки'!$A:$A,0)),"")</f>
        <v/>
      </c>
      <c r="K117" s="11">
        <f>IFERROR(INDEX('Уроки'!$J:$J,MATCH(F117,'Уроки'!$A:$A,0)),"")</f>
        <v/>
      </c>
      <c r="L117" s="11" t="inlineStr">
        <is>
          <t>Spotlight / 4 класс / Module 6 · Tell the tale! / Past Simple / Past Simple: правильные глаголы — вопросы (Did …?)</t>
        </is>
      </c>
    </row>
    <row r="118">
      <c r="A118" s="32" t="n">
        <v>4</v>
      </c>
      <c r="B118" s="11" t="inlineStr">
        <is>
          <t>Module 6 · Tell the tale!</t>
        </is>
      </c>
      <c r="C118" s="11" t="inlineStr"/>
      <c r="D118" s="11" t="inlineStr">
        <is>
          <t>Past Simple</t>
        </is>
      </c>
      <c r="E118" s="33" t="inlineStr">
        <is>
          <t>Past Simple: краткие ответы (Yes, I did / No, I didn't)</t>
        </is>
      </c>
      <c r="F118" s="11" t="inlineStr">
        <is>
          <t>Мл-004</t>
        </is>
      </c>
      <c r="G118" s="32" t="inlineStr">
        <is>
          <t>повторение</t>
        </is>
      </c>
      <c r="H118" s="11" t="inlineStr"/>
      <c r="I118" s="32" t="inlineStr">
        <is>
          <t>7–9</t>
        </is>
      </c>
      <c r="J118" s="11">
        <f>IFERROR(INDEX('Уроки'!$H:$H,MATCH(F118,'Уроки'!$A:$A,0)),"")</f>
        <v/>
      </c>
      <c r="K118" s="11">
        <f>IFERROR(INDEX('Уроки'!$J:$J,MATCH(F118,'Уроки'!$A:$A,0)),"")</f>
        <v/>
      </c>
      <c r="L118" s="11" t="inlineStr">
        <is>
          <t>Spotlight / 4 класс / Module 6 · Tell the tale! / Past Simple / Past Simple: краткие ответы (Yes, I did / No, I didn't)</t>
        </is>
      </c>
    </row>
    <row r="119">
      <c r="A119" s="32" t="n">
        <v>4</v>
      </c>
      <c r="B119" s="11" t="inlineStr">
        <is>
          <t>Module 6 · Tell the tale!</t>
        </is>
      </c>
      <c r="C119" s="11" t="inlineStr"/>
      <c r="D119" s="11" t="inlineStr">
        <is>
          <t>Past Simple</t>
        </is>
      </c>
      <c r="E119" s="34" t="inlineStr">
        <is>
          <t>Past Simple: орфография -ed</t>
        </is>
      </c>
      <c r="F119" s="11" t="inlineStr">
        <is>
          <t>Мл-005</t>
        </is>
      </c>
      <c r="G119" s="32" t="inlineStr">
        <is>
          <t>повторение</t>
        </is>
      </c>
      <c r="H119" s="11" t="inlineStr"/>
      <c r="I119" s="32" t="inlineStr">
        <is>
          <t>7–9</t>
        </is>
      </c>
      <c r="J119" s="11">
        <f>IFERROR(INDEX('Уроки'!$H:$H,MATCH(F119,'Уроки'!$A:$A,0)),"")</f>
        <v/>
      </c>
      <c r="K119" s="11">
        <f>IFERROR(INDEX('Уроки'!$J:$J,MATCH(F119,'Уроки'!$A:$A,0)),"")</f>
        <v/>
      </c>
      <c r="L119" s="11" t="inlineStr">
        <is>
          <t>Spotlight / 4 класс / Module 6 · Tell the tale! / Past Simple / Past Simple: орфография -ed</t>
        </is>
      </c>
    </row>
    <row r="120">
      <c r="A120" s="32" t="n">
        <v>4</v>
      </c>
      <c r="B120" s="11" t="inlineStr">
        <is>
          <t>Module 6 · Tell the tale!</t>
        </is>
      </c>
      <c r="C120" s="11" t="inlineStr"/>
      <c r="D120" s="11" t="inlineStr">
        <is>
          <t>Past Simple</t>
        </is>
      </c>
      <c r="E120" s="34" t="inlineStr">
        <is>
          <t>Past Simple: произношение -ed (/t/, /d/, /ɪd/)</t>
        </is>
      </c>
      <c r="F120" s="11" t="inlineStr">
        <is>
          <t>Мл-006</t>
        </is>
      </c>
      <c r="G120" s="32" t="inlineStr">
        <is>
          <t>повторение</t>
        </is>
      </c>
      <c r="H120" s="11" t="inlineStr"/>
      <c r="I120" s="32" t="inlineStr">
        <is>
          <t>7–9</t>
        </is>
      </c>
      <c r="J120" s="11">
        <f>IFERROR(INDEX('Уроки'!$H:$H,MATCH(F120,'Уроки'!$A:$A,0)),"")</f>
        <v/>
      </c>
      <c r="K120" s="11">
        <f>IFERROR(INDEX('Уроки'!$J:$J,MATCH(F120,'Уроки'!$A:$A,0)),"")</f>
        <v/>
      </c>
      <c r="L120" s="11" t="inlineStr">
        <is>
          <t>Spotlight / 4 класс / Module 6 · Tell the tale! / Past Simple / Past Simple: произношение -ed (/t/, /d/, /ɪd/)</t>
        </is>
      </c>
    </row>
    <row r="121">
      <c r="A121" s="32" t="n">
        <v>4</v>
      </c>
      <c r="B121" s="11" t="inlineStr">
        <is>
          <t>Module 6 · Tell the tale!</t>
        </is>
      </c>
      <c r="C121" s="11" t="inlineStr"/>
      <c r="D121" s="11" t="inlineStr">
        <is>
          <t>Past Simple</t>
        </is>
      </c>
      <c r="E121" s="33" t="inlineStr">
        <is>
          <t>Past Simple: значение — действие в прошлом (yesterday, ago)</t>
        </is>
      </c>
      <c r="F121" s="11" t="inlineStr">
        <is>
          <t>Мл-010</t>
        </is>
      </c>
      <c r="G121" s="32" t="inlineStr">
        <is>
          <t>повторение</t>
        </is>
      </c>
      <c r="H121" s="11" t="inlineStr"/>
      <c r="I121" s="32" t="inlineStr">
        <is>
          <t>7–9</t>
        </is>
      </c>
      <c r="J121" s="11">
        <f>IFERROR(INDEX('Уроки'!$H:$H,MATCH(F121,'Уроки'!$A:$A,0)),"")</f>
        <v/>
      </c>
      <c r="K121" s="11">
        <f>IFERROR(INDEX('Уроки'!$J:$J,MATCH(F121,'Уроки'!$A:$A,0)),"")</f>
        <v/>
      </c>
      <c r="L121" s="11" t="inlineStr">
        <is>
          <t>Spotlight / 4 класс / Module 6 · Tell the tale! / Past Simple / Past Simple: значение — действие в прошлом (yesterday, ago)</t>
        </is>
      </c>
    </row>
    <row r="122">
      <c r="A122" s="32" t="n">
        <v>4</v>
      </c>
      <c r="B122" s="11" t="inlineStr">
        <is>
          <t>Module 7 · Days to remember</t>
        </is>
      </c>
      <c r="C122" s="11" t="inlineStr"/>
      <c r="D122" s="11" t="inlineStr">
        <is>
          <t>Past Simple</t>
        </is>
      </c>
      <c r="E122" s="33" t="inlineStr">
        <is>
          <t>Past Simple: неправильные глаголы — утверждение</t>
        </is>
      </c>
      <c r="F122" s="11" t="inlineStr">
        <is>
          <t>Мл-007</t>
        </is>
      </c>
      <c r="G122" s="32" t="inlineStr">
        <is>
          <t>повторение</t>
        </is>
      </c>
      <c r="H122" s="11" t="inlineStr">
        <is>
          <t>4 примера: go, see, make, have</t>
        </is>
      </c>
      <c r="I122" s="32" t="inlineStr">
        <is>
          <t>7–9</t>
        </is>
      </c>
      <c r="J122" s="11">
        <f>IFERROR(INDEX('Уроки'!$H:$H,MATCH(F122,'Уроки'!$A:$A,0)),"")</f>
        <v/>
      </c>
      <c r="K122" s="11">
        <f>IFERROR(INDEX('Уроки'!$J:$J,MATCH(F122,'Уроки'!$A:$A,0)),"")</f>
        <v/>
      </c>
      <c r="L122" s="11" t="inlineStr">
        <is>
          <t>Spotlight / 4 класс / Module 7 · Days to remember / Past Simple / Past Simple: неправильные глаголы — утверждение</t>
        </is>
      </c>
    </row>
    <row r="123">
      <c r="A123" s="32" t="n">
        <v>4</v>
      </c>
      <c r="B123" s="11" t="inlineStr">
        <is>
          <t>Module 7 · Days to remember</t>
        </is>
      </c>
      <c r="C123" s="11" t="inlineStr"/>
      <c r="D123" s="11" t="inlineStr">
        <is>
          <t>Past Simple</t>
        </is>
      </c>
      <c r="E123" s="34" t="inlineStr">
        <is>
          <t>Past Simple: неправильные глаголы — отрицание (didn't go)</t>
        </is>
      </c>
      <c r="F123" s="11" t="inlineStr">
        <is>
          <t>Мл-008</t>
        </is>
      </c>
      <c r="G123" s="32" t="inlineStr">
        <is>
          <t>повторение</t>
        </is>
      </c>
      <c r="H123" s="11" t="inlineStr"/>
      <c r="I123" s="32" t="inlineStr">
        <is>
          <t>7–9</t>
        </is>
      </c>
      <c r="J123" s="11">
        <f>IFERROR(INDEX('Уроки'!$H:$H,MATCH(F123,'Уроки'!$A:$A,0)),"")</f>
        <v/>
      </c>
      <c r="K123" s="11">
        <f>IFERROR(INDEX('Уроки'!$J:$J,MATCH(F123,'Уроки'!$A:$A,0)),"")</f>
        <v/>
      </c>
      <c r="L123" s="11" t="inlineStr">
        <is>
          <t>Spotlight / 4 класс / Module 7 · Days to remember / Past Simple / Past Simple: неправильные глаголы — отрицание (didn't go)</t>
        </is>
      </c>
    </row>
    <row r="124">
      <c r="A124" s="32" t="n">
        <v>4</v>
      </c>
      <c r="B124" s="11" t="inlineStr">
        <is>
          <t>Module 7 · Days to remember</t>
        </is>
      </c>
      <c r="C124" s="11" t="inlineStr"/>
      <c r="D124" s="11" t="inlineStr">
        <is>
          <t>Past Simple</t>
        </is>
      </c>
      <c r="E124" s="34" t="inlineStr">
        <is>
          <t>Past Simple: неправильные глаголы — вопросы (Did … go?)</t>
        </is>
      </c>
      <c r="F124" s="11" t="inlineStr">
        <is>
          <t>Мл-009</t>
        </is>
      </c>
      <c r="G124" s="32" t="inlineStr">
        <is>
          <t>повторение</t>
        </is>
      </c>
      <c r="H124" s="11" t="inlineStr"/>
      <c r="I124" s="32" t="inlineStr">
        <is>
          <t>7–9</t>
        </is>
      </c>
      <c r="J124" s="11">
        <f>IFERROR(INDEX('Уроки'!$H:$H,MATCH(F124,'Уроки'!$A:$A,0)),"")</f>
        <v/>
      </c>
      <c r="K124" s="11">
        <f>IFERROR(INDEX('Уроки'!$J:$J,MATCH(F124,'Уроки'!$A:$A,0)),"")</f>
        <v/>
      </c>
      <c r="L124" s="11" t="inlineStr">
        <is>
          <t>Spotlight / 4 класс / Module 7 · Days to remember / Past Simple / Past Simple: неправильные глаголы — вопросы (Did … go?)</t>
        </is>
      </c>
    </row>
    <row r="125">
      <c r="A125" s="32" t="n">
        <v>4</v>
      </c>
      <c r="B125" s="11" t="inlineStr">
        <is>
          <t>Module 7 · Days to remember</t>
        </is>
      </c>
      <c r="C125" s="11" t="inlineStr"/>
      <c r="D125" s="11" t="inlineStr">
        <is>
          <t>Comparatives &amp; Superlatives</t>
        </is>
      </c>
      <c r="E125" s="33" t="inlineStr">
        <is>
          <t>Comparatives &amp; Superlatives: орфография -er/-est (удвоение, -e, y → i)</t>
        </is>
      </c>
      <c r="F125" s="11" t="inlineStr">
        <is>
          <t>Мл-085</t>
        </is>
      </c>
      <c r="G125" s="39" t="inlineStr">
        <is>
          <t>расширение</t>
        </is>
      </c>
      <c r="H125" s="11" t="inlineStr">
        <is>
          <t>добавлено -est: nicest, happiest, biggest</t>
        </is>
      </c>
      <c r="I125" s="32" t="inlineStr">
        <is>
          <t>7–9</t>
        </is>
      </c>
      <c r="J125" s="11">
        <f>IFERROR(INDEX('Уроки'!$H:$H,MATCH(F125,'Уроки'!$A:$A,0)),"")</f>
        <v/>
      </c>
      <c r="K125" s="11">
        <f>IFERROR(INDEX('Уроки'!$J:$J,MATCH(F125,'Уроки'!$A:$A,0)),"")</f>
        <v/>
      </c>
      <c r="L125" s="11" t="inlineStr">
        <is>
          <t>Spotlight / 4 класс / Module 7 · Days to remember / Comparatives &amp; Superlatives / Comparatives &amp; Superlatives: орфография -er/-est (удвоение, -e, y → i)</t>
        </is>
      </c>
    </row>
    <row r="126">
      <c r="A126" s="32" t="n">
        <v>4</v>
      </c>
      <c r="B126" s="11" t="inlineStr">
        <is>
          <t>Module 7 · Days to remember</t>
        </is>
      </c>
      <c r="C126" s="11" t="inlineStr"/>
      <c r="D126" s="11" t="inlineStr">
        <is>
          <t>Comparatives &amp; Superlatives</t>
        </is>
      </c>
      <c r="E126" s="34" t="inlineStr">
        <is>
          <t>Comparatives &amp; Superlatives: превосходная степень — the -est + of/in</t>
        </is>
      </c>
      <c r="F126" s="11" t="inlineStr">
        <is>
          <t>Мл-086</t>
        </is>
      </c>
      <c r="G126" s="38" t="inlineStr">
        <is>
          <t>новое</t>
        </is>
      </c>
      <c r="H126" s="11" t="inlineStr">
        <is>
          <t>tall — tallest; the + … + of/in, сравнение 3+</t>
        </is>
      </c>
      <c r="I126" s="32" t="inlineStr">
        <is>
          <t>7–9</t>
        </is>
      </c>
      <c r="J126" s="11">
        <f>IFERROR(INDEX('Уроки'!$H:$H,MATCH(F126,'Уроки'!$A:$A,0)),"")</f>
        <v/>
      </c>
      <c r="K126" s="11">
        <f>IFERROR(INDEX('Уроки'!$J:$J,MATCH(F126,'Уроки'!$A:$A,0)),"")</f>
        <v/>
      </c>
      <c r="L126" s="11" t="inlineStr">
        <is>
          <t>Spotlight / 4 класс / Module 7 · Days to remember / Comparatives &amp; Superlatives / Comparatives &amp; Superlatives: превосходная степень — the -est + of/in</t>
        </is>
      </c>
    </row>
    <row r="127">
      <c r="A127" s="32" t="n">
        <v>4</v>
      </c>
      <c r="B127" s="11" t="inlineStr">
        <is>
          <t>Module 7 · Days to remember</t>
        </is>
      </c>
      <c r="C127" s="11" t="inlineStr"/>
      <c r="D127" s="11" t="inlineStr">
        <is>
          <t>Comparatives &amp; Superlatives</t>
        </is>
      </c>
      <c r="E127" s="35" t="inlineStr">
        <is>
          <t>Comparatives &amp; Superlatives: превосходная степень — the most</t>
        </is>
      </c>
      <c r="F127" s="11" t="inlineStr">
        <is>
          <t>Мл-087</t>
        </is>
      </c>
      <c r="G127" s="38" t="inlineStr">
        <is>
          <t>новое</t>
        </is>
      </c>
      <c r="H127" s="11" t="inlineStr">
        <is>
          <t>interesting — most interesting</t>
        </is>
      </c>
      <c r="I127" s="32" t="inlineStr">
        <is>
          <t>7–9</t>
        </is>
      </c>
      <c r="J127" s="11">
        <f>IFERROR(INDEX('Уроки'!$H:$H,MATCH(F127,'Уроки'!$A:$A,0)),"")</f>
        <v/>
      </c>
      <c r="K127" s="11">
        <f>IFERROR(INDEX('Уроки'!$J:$J,MATCH(F127,'Уроки'!$A:$A,0)),"")</f>
        <v/>
      </c>
      <c r="L127" s="11" t="inlineStr">
        <is>
          <t>Spotlight / 4 класс / Module 7 · Days to remember / Comparatives &amp; Superlatives / Comparatives &amp; Superlatives: превосходная степень — the most</t>
        </is>
      </c>
    </row>
    <row r="128">
      <c r="A128" s="32" t="n">
        <v>4</v>
      </c>
      <c r="B128" s="11" t="inlineStr">
        <is>
          <t>Module 7 · Days to remember</t>
        </is>
      </c>
      <c r="C128" s="11" t="inlineStr"/>
      <c r="D128" s="11" t="inlineStr">
        <is>
          <t>Comparatives &amp; Superlatives</t>
        </is>
      </c>
      <c r="E128" s="33" t="inlineStr">
        <is>
          <t>Comparatives &amp; Superlatives: неправильные прилагательные (good, bad, many/much, little)</t>
        </is>
      </c>
      <c r="F128" s="11" t="inlineStr">
        <is>
          <t>Мл-088</t>
        </is>
      </c>
      <c r="G128" s="38" t="inlineStr">
        <is>
          <t>новое</t>
        </is>
      </c>
      <c r="H128" s="11" t="inlineStr">
        <is>
          <t>только good — better — best, bad — worse — worst</t>
        </is>
      </c>
      <c r="I128" s="32" t="inlineStr">
        <is>
          <t>7–9</t>
        </is>
      </c>
      <c r="J128" s="11">
        <f>IFERROR(INDEX('Уроки'!$H:$H,MATCH(F128,'Уроки'!$A:$A,0)),"")</f>
        <v/>
      </c>
      <c r="K128" s="11">
        <f>IFERROR(INDEX('Уроки'!$J:$J,MATCH(F128,'Уроки'!$A:$A,0)),"")</f>
        <v/>
      </c>
      <c r="L128" s="11" t="inlineStr">
        <is>
          <t>Spotlight / 4 класс / Module 7 · Days to remember / Comparatives &amp; Superlatives / Comparatives &amp; Superlatives: неправильные прилагательные (good, bad, many/much, little)</t>
        </is>
      </c>
    </row>
    <row r="129">
      <c r="A129" s="32" t="n">
        <v>4</v>
      </c>
      <c r="B129" s="11" t="inlineStr">
        <is>
          <t>Module 7 · Days to remember</t>
        </is>
      </c>
      <c r="C129" s="11" t="inlineStr"/>
      <c r="D129" s="11" t="inlineStr">
        <is>
          <t>Comparatives &amp; Superlatives</t>
        </is>
      </c>
      <c r="E129" s="35" t="inlineStr">
        <is>
          <t>Comparatives &amp; Superlatives: двусложные на -y/-er/-ow — -er/-est</t>
        </is>
      </c>
      <c r="F129" s="11" t="inlineStr">
        <is>
          <t>Мл-089</t>
        </is>
      </c>
      <c r="G129" s="32" t="inlineStr">
        <is>
          <t>повторение</t>
        </is>
      </c>
      <c r="H129" s="11" t="inlineStr">
        <is>
          <t>tasty — tastiest</t>
        </is>
      </c>
      <c r="I129" s="32" t="inlineStr">
        <is>
          <t>7–9</t>
        </is>
      </c>
      <c r="J129" s="11">
        <f>IFERROR(INDEX('Уроки'!$H:$H,MATCH(F129,'Уроки'!$A:$A,0)),"")</f>
        <v/>
      </c>
      <c r="K129" s="11">
        <f>IFERROR(INDEX('Уроки'!$J:$J,MATCH(F129,'Уроки'!$A:$A,0)),"")</f>
        <v/>
      </c>
      <c r="L129" s="11" t="inlineStr">
        <is>
          <t>Spotlight / 4 класс / Module 7 · Days to remember / Comparatives &amp; Superlatives / Comparatives &amp; Superlatives: двусложные на -y/-er/-ow — -er/-est</t>
        </is>
      </c>
    </row>
    <row r="130">
      <c r="A130" s="32" t="n">
        <v>4</v>
      </c>
      <c r="B130" s="11" t="inlineStr">
        <is>
          <t>Module 8 · Places to go</t>
        </is>
      </c>
      <c r="C130" s="11" t="inlineStr"/>
      <c r="D130" s="11" t="inlineStr">
        <is>
          <t>Future Simple (will)</t>
        </is>
      </c>
      <c r="E130" s="33" t="inlineStr">
        <is>
          <t>Future Simple (will): утверждение (will/'ll + V)</t>
        </is>
      </c>
      <c r="F130" s="11" t="inlineStr">
        <is>
          <t>Мл-023</t>
        </is>
      </c>
      <c r="G130" s="38" t="inlineStr">
        <is>
          <t>новое</t>
        </is>
      </c>
      <c r="H130" s="11" t="inlineStr">
        <is>
          <t>все лица, полная и краткая (I'll)</t>
        </is>
      </c>
      <c r="I130" s="32" t="inlineStr">
        <is>
          <t>7–9</t>
        </is>
      </c>
      <c r="J130" s="11">
        <f>IFERROR(INDEX('Уроки'!$H:$H,MATCH(F130,'Уроки'!$A:$A,0)),"")</f>
        <v/>
      </c>
      <c r="K130" s="11">
        <f>IFERROR(INDEX('Уроки'!$J:$J,MATCH(F130,'Уроки'!$A:$A,0)),"")</f>
        <v/>
      </c>
      <c r="L130" s="11" t="inlineStr">
        <is>
          <t>Spotlight / 4 класс / Module 8 · Places to go / Future Simple (will) / Future Simple (will): утверждение (will/'ll + V)</t>
        </is>
      </c>
    </row>
    <row r="131">
      <c r="A131" s="32" t="n">
        <v>4</v>
      </c>
      <c r="B131" s="11" t="inlineStr">
        <is>
          <t>Module 8 · Places to go</t>
        </is>
      </c>
      <c r="C131" s="11" t="inlineStr"/>
      <c r="D131" s="11" t="inlineStr">
        <is>
          <t>Future Simple (will)</t>
        </is>
      </c>
      <c r="E131" s="34" t="inlineStr">
        <is>
          <t>Future Simple (will): отрицание (will not/won't)</t>
        </is>
      </c>
      <c r="F131" s="11" t="inlineStr">
        <is>
          <t>Мл-024</t>
        </is>
      </c>
      <c r="G131" s="38" t="inlineStr">
        <is>
          <t>новое</t>
        </is>
      </c>
      <c r="H131" s="11" t="inlineStr">
        <is>
          <t>will not / won't</t>
        </is>
      </c>
      <c r="I131" s="32" t="inlineStr">
        <is>
          <t>7–9</t>
        </is>
      </c>
      <c r="J131" s="11">
        <f>IFERROR(INDEX('Уроки'!$H:$H,MATCH(F131,'Уроки'!$A:$A,0)),"")</f>
        <v/>
      </c>
      <c r="K131" s="11">
        <f>IFERROR(INDEX('Уроки'!$J:$J,MATCH(F131,'Уроки'!$A:$A,0)),"")</f>
        <v/>
      </c>
      <c r="L131" s="11" t="inlineStr">
        <is>
          <t>Spotlight / 4 класс / Module 8 · Places to go / Future Simple (will) / Future Simple (will): отрицание (will not/won't)</t>
        </is>
      </c>
    </row>
    <row r="132">
      <c r="A132" s="32" t="n">
        <v>4</v>
      </c>
      <c r="B132" s="11" t="inlineStr">
        <is>
          <t>Module 8 · Places to go</t>
        </is>
      </c>
      <c r="C132" s="11" t="inlineStr"/>
      <c r="D132" s="11" t="inlineStr">
        <is>
          <t>Future Simple (will)</t>
        </is>
      </c>
      <c r="E132" s="34" t="inlineStr">
        <is>
          <t>Future Simple (will): вопросы и краткие ответы</t>
        </is>
      </c>
      <c r="F132" s="11" t="inlineStr">
        <is>
          <t>Мл-025</t>
        </is>
      </c>
      <c r="G132" s="38" t="inlineStr">
        <is>
          <t>новое</t>
        </is>
      </c>
      <c r="H132" s="11" t="inlineStr">
        <is>
          <t>Will I/you…? + Yes, I will / No, I won't</t>
        </is>
      </c>
      <c r="I132" s="32" t="inlineStr">
        <is>
          <t>7–9</t>
        </is>
      </c>
      <c r="J132" s="11">
        <f>IFERROR(INDEX('Уроки'!$H:$H,MATCH(F132,'Уроки'!$A:$A,0)),"")</f>
        <v/>
      </c>
      <c r="K132" s="11">
        <f>IFERROR(INDEX('Уроки'!$J:$J,MATCH(F132,'Уроки'!$A:$A,0)),"")</f>
        <v/>
      </c>
      <c r="L132" s="11" t="inlineStr">
        <is>
          <t>Spotlight / 4 класс / Module 8 · Places to go / Future Simple (will) / Future Simple (will): вопросы и краткие ответы</t>
        </is>
      </c>
    </row>
    <row r="133">
      <c r="A133" s="32" t="n">
        <v>4</v>
      </c>
      <c r="B133" s="11" t="inlineStr">
        <is>
          <t>Module 8 · Places to go</t>
        </is>
      </c>
      <c r="C133" s="11" t="inlineStr"/>
      <c r="D133" s="11" t="inlineStr">
        <is>
          <t>Future Simple (will)</t>
        </is>
      </c>
      <c r="E133" s="33" t="inlineStr">
        <is>
          <t>Future Simple (will): значение — предсказание/предположение</t>
        </is>
      </c>
      <c r="F133" s="11" t="inlineStr">
        <is>
          <t>Мл-026</t>
        </is>
      </c>
      <c r="G133" s="38" t="inlineStr">
        <is>
          <t>новое</t>
        </is>
      </c>
      <c r="H133" s="11" t="inlineStr">
        <is>
          <t>tomorrow, next week/month/year, soon</t>
        </is>
      </c>
      <c r="I133" s="32" t="inlineStr">
        <is>
          <t>7–9</t>
        </is>
      </c>
      <c r="J133" s="11">
        <f>IFERROR(INDEX('Уроки'!$H:$H,MATCH(F133,'Уроки'!$A:$A,0)),"")</f>
        <v/>
      </c>
      <c r="K133" s="11">
        <f>IFERROR(INDEX('Уроки'!$J:$J,MATCH(F133,'Уроки'!$A:$A,0)),"")</f>
        <v/>
      </c>
      <c r="L133" s="11" t="inlineStr">
        <is>
          <t>Spotlight / 4 класс / Module 8 · Places to go / Future Simple (will) / Future Simple (will): значение — предсказание/предположение</t>
        </is>
      </c>
    </row>
    <row r="134">
      <c r="A134" s="32" t="n">
        <v>4</v>
      </c>
      <c r="B134" s="11" t="inlineStr">
        <is>
          <t>Module 8 · Places to go</t>
        </is>
      </c>
      <c r="C134" s="11" t="inlineStr"/>
      <c r="D134" s="11" t="inlineStr">
        <is>
          <t>Future Simple (will)</t>
        </is>
      </c>
      <c r="E134" s="34" t="inlineStr">
        <is>
          <t>Future Simple (will): значение — решение в момент речи</t>
        </is>
      </c>
      <c r="F134" s="11" t="inlineStr">
        <is>
          <t>Мл-027</t>
        </is>
      </c>
      <c r="G134" s="38" t="inlineStr">
        <is>
          <t>новое</t>
        </is>
      </c>
      <c r="H134" s="11" t="inlineStr"/>
      <c r="I134" s="32" t="inlineStr">
        <is>
          <t>7–9</t>
        </is>
      </c>
      <c r="J134" s="11">
        <f>IFERROR(INDEX('Уроки'!$H:$H,MATCH(F134,'Уроки'!$A:$A,0)),"")</f>
        <v/>
      </c>
      <c r="K134" s="11">
        <f>IFERROR(INDEX('Уроки'!$J:$J,MATCH(F134,'Уроки'!$A:$A,0)),"")</f>
        <v/>
      </c>
      <c r="L134" s="11" t="inlineStr">
        <is>
          <t>Spotlight / 4 класс / Module 8 · Places to go / Future Simple (will) / Future Simple (will): значение — решение в момент речи</t>
        </is>
      </c>
    </row>
    <row r="135">
      <c r="A135" s="32" t="n">
        <v>4</v>
      </c>
      <c r="B135" s="11" t="inlineStr">
        <is>
          <t>Module 8 · Places to go</t>
        </is>
      </c>
      <c r="C135" s="11" t="inlineStr"/>
      <c r="D135" s="11" t="inlineStr">
        <is>
          <t>Future Simple (will)</t>
        </is>
      </c>
      <c r="E135" s="34" t="inlineStr">
        <is>
          <t>Future Simple (will): значение — обещания</t>
        </is>
      </c>
      <c r="F135" s="11" t="inlineStr">
        <is>
          <t>Мл-028</t>
        </is>
      </c>
      <c r="G135" s="38" t="inlineStr">
        <is>
          <t>новое</t>
        </is>
      </c>
      <c r="H135" s="11" t="inlineStr"/>
      <c r="I135" s="32" t="inlineStr">
        <is>
          <t>7–9</t>
        </is>
      </c>
      <c r="J135" s="11">
        <f>IFERROR(INDEX('Уроки'!$H:$H,MATCH(F135,'Уроки'!$A:$A,0)),"")</f>
        <v/>
      </c>
      <c r="K135" s="11">
        <f>IFERROR(INDEX('Уроки'!$J:$J,MATCH(F135,'Уроки'!$A:$A,0)),"")</f>
        <v/>
      </c>
      <c r="L135" s="11" t="inlineStr">
        <is>
          <t>Spotlight / 4 класс / Module 8 · Places to go / Future Simple (will) / Future Simple (will): значение — обещания</t>
        </is>
      </c>
    </row>
    <row r="136">
      <c r="A136" s="32" t="n">
        <v>4</v>
      </c>
      <c r="B136" s="11" t="inlineStr">
        <is>
          <t>Module 8 · Places to go</t>
        </is>
      </c>
      <c r="C136" s="11" t="inlineStr"/>
      <c r="D136" s="11" t="inlineStr">
        <is>
          <t>be going to</t>
        </is>
      </c>
      <c r="E136" s="33" t="inlineStr">
        <is>
          <t>be going to: утверждение (am/is/are going to + V)</t>
        </is>
      </c>
      <c r="F136" s="11" t="inlineStr">
        <is>
          <t>Мл-030</t>
        </is>
      </c>
      <c r="G136" s="38" t="inlineStr">
        <is>
          <t>новое</t>
        </is>
      </c>
      <c r="H136" s="11" t="inlineStr">
        <is>
          <t>все лица (swim); am/is/are going to</t>
        </is>
      </c>
      <c r="I136" s="32" t="inlineStr">
        <is>
          <t>7–9</t>
        </is>
      </c>
      <c r="J136" s="11">
        <f>IFERROR(INDEX('Уроки'!$H:$H,MATCH(F136,'Уроки'!$A:$A,0)),"")</f>
        <v/>
      </c>
      <c r="K136" s="11">
        <f>IFERROR(INDEX('Уроки'!$J:$J,MATCH(F136,'Уроки'!$A:$A,0)),"")</f>
        <v/>
      </c>
      <c r="L136" s="11" t="inlineStr">
        <is>
          <t>Spotlight / 4 класс / Module 8 · Places to go / be going to / be going to: утверждение (am/is/are going to + V)</t>
        </is>
      </c>
    </row>
    <row r="137">
      <c r="A137" s="32" t="n">
        <v>4</v>
      </c>
      <c r="B137" s="11" t="inlineStr">
        <is>
          <t>Module 8 · Places to go</t>
        </is>
      </c>
      <c r="C137" s="11" t="inlineStr"/>
      <c r="D137" s="11" t="inlineStr">
        <is>
          <t>be going to</t>
        </is>
      </c>
      <c r="E137" s="34" t="inlineStr">
        <is>
          <t>be going to: отрицание</t>
        </is>
      </c>
      <c r="F137" s="11" t="inlineStr">
        <is>
          <t>Мл-031</t>
        </is>
      </c>
      <c r="G137" s="38" t="inlineStr">
        <is>
          <t>новое</t>
        </is>
      </c>
      <c r="H137" s="11" t="inlineStr">
        <is>
          <t>полная и краткая форма (isn't, aren't)</t>
        </is>
      </c>
      <c r="I137" s="32" t="inlineStr">
        <is>
          <t>7–9</t>
        </is>
      </c>
      <c r="J137" s="11">
        <f>IFERROR(INDEX('Уроки'!$H:$H,MATCH(F137,'Уроки'!$A:$A,0)),"")</f>
        <v/>
      </c>
      <c r="K137" s="11">
        <f>IFERROR(INDEX('Уроки'!$J:$J,MATCH(F137,'Уроки'!$A:$A,0)),"")</f>
        <v/>
      </c>
      <c r="L137" s="11" t="inlineStr">
        <is>
          <t>Spotlight / 4 класс / Module 8 · Places to go / be going to / be going to: отрицание</t>
        </is>
      </c>
    </row>
    <row r="138">
      <c r="A138" s="32" t="n">
        <v>4</v>
      </c>
      <c r="B138" s="11" t="inlineStr">
        <is>
          <t>Module 8 · Places to go</t>
        </is>
      </c>
      <c r="C138" s="11" t="inlineStr"/>
      <c r="D138" s="11" t="inlineStr">
        <is>
          <t>be going to</t>
        </is>
      </c>
      <c r="E138" s="34" t="inlineStr">
        <is>
          <t>be going to: вопросы и краткие ответы</t>
        </is>
      </c>
      <c r="F138" s="11" t="inlineStr">
        <is>
          <t>Мл-032</t>
        </is>
      </c>
      <c r="G138" s="38" t="inlineStr">
        <is>
          <t>новое</t>
        </is>
      </c>
      <c r="H138" s="11" t="inlineStr">
        <is>
          <t>Am I/Are you/Is he…; кратких ответов нет</t>
        </is>
      </c>
      <c r="I138" s="32" t="inlineStr">
        <is>
          <t>7–9</t>
        </is>
      </c>
      <c r="J138" s="11">
        <f>IFERROR(INDEX('Уроки'!$H:$H,MATCH(F138,'Уроки'!$A:$A,0)),"")</f>
        <v/>
      </c>
      <c r="K138" s="11">
        <f>IFERROR(INDEX('Уроки'!$J:$J,MATCH(F138,'Уроки'!$A:$A,0)),"")</f>
        <v/>
      </c>
      <c r="L138" s="11" t="inlineStr">
        <is>
          <t>Spotlight / 4 класс / Module 8 · Places to go / be going to / be going to: вопросы и краткие ответы</t>
        </is>
      </c>
    </row>
    <row r="139">
      <c r="A139" s="32" t="n">
        <v>4</v>
      </c>
      <c r="B139" s="11" t="inlineStr">
        <is>
          <t>Module 8 · Places to go</t>
        </is>
      </c>
      <c r="C139" s="11" t="inlineStr"/>
      <c r="D139" s="11" t="inlineStr">
        <is>
          <t>be going to</t>
        </is>
      </c>
      <c r="E139" s="33" t="inlineStr">
        <is>
          <t>be going to: значение — планы и намерения</t>
        </is>
      </c>
      <c r="F139" s="11" t="inlineStr">
        <is>
          <t>Мл-033</t>
        </is>
      </c>
      <c r="G139" s="38" t="inlineStr">
        <is>
          <t>новое</t>
        </is>
      </c>
      <c r="H139" s="11" t="inlineStr">
        <is>
          <t>ближайшее будущее</t>
        </is>
      </c>
      <c r="I139" s="32" t="inlineStr">
        <is>
          <t>7–9</t>
        </is>
      </c>
      <c r="J139" s="11">
        <f>IFERROR(INDEX('Уроки'!$H:$H,MATCH(F139,'Уроки'!$A:$A,0)),"")</f>
        <v/>
      </c>
      <c r="K139" s="11">
        <f>IFERROR(INDEX('Уроки'!$J:$J,MATCH(F139,'Уроки'!$A:$A,0)),"")</f>
        <v/>
      </c>
      <c r="L139" s="11" t="inlineStr">
        <is>
          <t>Spotlight / 4 класс / Module 8 · Places to go / be going to / be going to: значение — планы и намерения</t>
        </is>
      </c>
    </row>
    <row r="140">
      <c r="A140" s="32" t="n">
        <v>4</v>
      </c>
      <c r="B140" s="11" t="inlineStr">
        <is>
          <t>Module 8 · Places to go</t>
        </is>
      </c>
      <c r="C140" s="11" t="inlineStr"/>
      <c r="D140" s="11" t="inlineStr">
        <is>
          <t>Question words</t>
        </is>
      </c>
      <c r="E140" s="33" t="inlineStr">
        <is>
          <t>Question words: who / what / where / when / why / how</t>
        </is>
      </c>
      <c r="F140" s="11" t="inlineStr">
        <is>
          <t>Мл-101</t>
        </is>
      </c>
      <c r="G140" s="38" t="inlineStr">
        <is>
          <t>новое</t>
        </is>
      </c>
      <c r="H140" s="11" t="inlineStr">
        <is>
          <t>who, what, where, when, why, how — впервые как раздел</t>
        </is>
      </c>
      <c r="I140" s="32" t="inlineStr">
        <is>
          <t>7–9</t>
        </is>
      </c>
      <c r="J140" s="11">
        <f>IFERROR(INDEX('Уроки'!$H:$H,MATCH(F140,'Уроки'!$A:$A,0)),"")</f>
        <v/>
      </c>
      <c r="K140" s="11">
        <f>IFERROR(INDEX('Уроки'!$J:$J,MATCH(F140,'Уроки'!$A:$A,0)),"")</f>
        <v/>
      </c>
      <c r="L140" s="11" t="inlineStr">
        <is>
          <t>Spotlight / 4 класс / Module 8 · Places to go / Question words / Question words: who / what / where / when / why / how</t>
        </is>
      </c>
    </row>
    <row r="141">
      <c r="A141" s="37" t="n">
        <v>5</v>
      </c>
      <c r="B141" s="11" t="inlineStr">
        <is>
          <t>Module 1 · School days</t>
        </is>
      </c>
      <c r="C141" s="11" t="inlineStr">
        <is>
          <t>1b</t>
        </is>
      </c>
      <c r="D141" s="11" t="inlineStr">
        <is>
          <t>to be (Present)</t>
        </is>
      </c>
      <c r="E141" s="35" t="inlineStr">
        <is>
          <t>to be (Present): утверждение — am/is/are, полные и краткие формы</t>
        </is>
      </c>
      <c r="F141" s="11" t="inlineStr">
        <is>
          <t>Ст-134</t>
        </is>
      </c>
      <c r="G141" s="37" t="inlineStr">
        <is>
          <t>повторение</t>
        </is>
      </c>
      <c r="H141" s="11" t="inlineStr">
        <is>
          <t>все лица, полные и краткие; значения быть/находиться/являться</t>
        </is>
      </c>
      <c r="I141" s="37" t="inlineStr">
        <is>
          <t>10+</t>
        </is>
      </c>
      <c r="J141" s="11">
        <f>IFERROR(INDEX('Уроки'!$H:$H,MATCH(F141,'Уроки'!$A:$A,0)),"")</f>
        <v/>
      </c>
      <c r="K141" s="11">
        <f>IFERROR(INDEX('Уроки'!$J:$J,MATCH(F141,'Уроки'!$A:$A,0)),"")</f>
        <v/>
      </c>
      <c r="L141" s="11" t="inlineStr">
        <is>
          <t>Spotlight / 5 класс / Module 1 · School days / to be (Present) / to be (Present): утверждение — am/is/are, полные и краткие формы</t>
        </is>
      </c>
    </row>
    <row r="142">
      <c r="A142" s="37" t="n">
        <v>5</v>
      </c>
      <c r="B142" s="11" t="inlineStr">
        <is>
          <t>Module 1 · School days</t>
        </is>
      </c>
      <c r="C142" s="11" t="inlineStr">
        <is>
          <t>1b</t>
        </is>
      </c>
      <c r="D142" s="11" t="inlineStr">
        <is>
          <t>to be (Present)</t>
        </is>
      </c>
      <c r="E142" s="35" t="inlineStr">
        <is>
          <t>to be (Present): отрицание — am not / isn't / aren't</t>
        </is>
      </c>
      <c r="F142" s="11" t="inlineStr">
        <is>
          <t>Ст-135</t>
        </is>
      </c>
      <c r="G142" s="37" t="inlineStr">
        <is>
          <t>повторение</t>
        </is>
      </c>
      <c r="H142" s="11" t="inlineStr">
        <is>
          <t>I'm not, aren't, isn't</t>
        </is>
      </c>
      <c r="I142" s="37" t="inlineStr">
        <is>
          <t>10+</t>
        </is>
      </c>
      <c r="J142" s="11">
        <f>IFERROR(INDEX('Уроки'!$H:$H,MATCH(F142,'Уроки'!$A:$A,0)),"")</f>
        <v/>
      </c>
      <c r="K142" s="11">
        <f>IFERROR(INDEX('Уроки'!$J:$J,MATCH(F142,'Уроки'!$A:$A,0)),"")</f>
        <v/>
      </c>
      <c r="L142" s="11" t="inlineStr">
        <is>
          <t>Spotlight / 5 класс / Module 1 · School days / to be (Present) / to be (Present): отрицание — am not / isn't / aren't</t>
        </is>
      </c>
    </row>
    <row r="143">
      <c r="A143" s="37" t="n">
        <v>5</v>
      </c>
      <c r="B143" s="11" t="inlineStr">
        <is>
          <t>Module 1 · School days</t>
        </is>
      </c>
      <c r="C143" s="11" t="inlineStr">
        <is>
          <t>1b</t>
        </is>
      </c>
      <c r="D143" s="11" t="inlineStr">
        <is>
          <t>to be (Present)</t>
        </is>
      </c>
      <c r="E143" s="35" t="inlineStr">
        <is>
          <t>to be (Present): вопросы и краткие ответы</t>
        </is>
      </c>
      <c r="F143" s="11" t="inlineStr">
        <is>
          <t>Ст-136</t>
        </is>
      </c>
      <c r="G143" s="37" t="inlineStr">
        <is>
          <t>повторение</t>
        </is>
      </c>
      <c r="H143" s="11" t="inlineStr">
        <is>
          <t>Yes, I am / No, I'm not; Yes, he is…</t>
        </is>
      </c>
      <c r="I143" s="37" t="inlineStr">
        <is>
          <t>10+</t>
        </is>
      </c>
      <c r="J143" s="11">
        <f>IFERROR(INDEX('Уроки'!$H:$H,MATCH(F143,'Уроки'!$A:$A,0)),"")</f>
        <v/>
      </c>
      <c r="K143" s="11">
        <f>IFERROR(INDEX('Уроки'!$J:$J,MATCH(F143,'Уроки'!$A:$A,0)),"")</f>
        <v/>
      </c>
      <c r="L143" s="11" t="inlineStr">
        <is>
          <t>Spotlight / 5 класс / Module 1 · School days / to be (Present) / to be (Present): вопросы и краткие ответы</t>
        </is>
      </c>
    </row>
    <row r="144">
      <c r="A144" s="37" t="n">
        <v>5</v>
      </c>
      <c r="B144" s="11" t="inlineStr">
        <is>
          <t>Module 1 · School days</t>
        </is>
      </c>
      <c r="C144" s="11" t="inlineStr">
        <is>
          <t>1a</t>
        </is>
      </c>
      <c r="D144" s="11" t="inlineStr">
        <is>
          <t>a/an</t>
        </is>
      </c>
      <c r="E144" s="33" t="inlineStr">
        <is>
          <t>a/an: неопределённый артикль — только с исчисляемыми в ед. ч.</t>
        </is>
      </c>
      <c r="F144" s="11" t="inlineStr">
        <is>
          <t>Ст-351</t>
        </is>
      </c>
      <c r="G144" s="37" t="inlineStr">
        <is>
          <t>повторение</t>
        </is>
      </c>
      <c r="H144" s="11" t="inlineStr"/>
      <c r="I144" s="37" t="inlineStr">
        <is>
          <t>10+</t>
        </is>
      </c>
      <c r="J144" s="11">
        <f>IFERROR(INDEX('Уроки'!$H:$H,MATCH(F144,'Уроки'!$A:$A,0)),"")</f>
        <v/>
      </c>
      <c r="K144" s="11">
        <f>IFERROR(INDEX('Уроки'!$J:$J,MATCH(F144,'Уроки'!$A:$A,0)),"")</f>
        <v/>
      </c>
      <c r="L144" s="11" t="inlineStr">
        <is>
          <t>Spotlight / 5 класс / Module 1 · School days / a/an / a/an: неопределённый артикль — только с исчисляемыми в ед. ч.</t>
        </is>
      </c>
    </row>
    <row r="145">
      <c r="A145" s="37" t="n">
        <v>5</v>
      </c>
      <c r="B145" s="11" t="inlineStr">
        <is>
          <t>Module 1 · School days</t>
        </is>
      </c>
      <c r="C145" s="11" t="inlineStr">
        <is>
          <t>1a</t>
        </is>
      </c>
      <c r="D145" s="11" t="inlineStr">
        <is>
          <t>a/an</t>
        </is>
      </c>
      <c r="E145" s="33" t="inlineStr">
        <is>
          <t>a/an: a перед согласной, an перед гласной</t>
        </is>
      </c>
      <c r="F145" s="11" t="inlineStr">
        <is>
          <t>Ст-352</t>
        </is>
      </c>
      <c r="G145" s="37" t="inlineStr">
        <is>
          <t>повторение</t>
        </is>
      </c>
      <c r="H145" s="11" t="inlineStr">
        <is>
          <t>правило по букве (a, e, i, o, u)</t>
        </is>
      </c>
      <c r="I145" s="37" t="inlineStr">
        <is>
          <t>10+</t>
        </is>
      </c>
      <c r="J145" s="11">
        <f>IFERROR(INDEX('Уроки'!$H:$H,MATCH(F145,'Уроки'!$A:$A,0)),"")</f>
        <v/>
      </c>
      <c r="K145" s="11">
        <f>IFERROR(INDEX('Уроки'!$J:$J,MATCH(F145,'Уроки'!$A:$A,0)),"")</f>
        <v/>
      </c>
      <c r="L145" s="11" t="inlineStr">
        <is>
          <t>Spotlight / 5 класс / Module 1 · School days / a/an / a/an: a перед согласной, an перед гласной</t>
        </is>
      </c>
    </row>
    <row r="146">
      <c r="A146" s="37" t="n">
        <v>5</v>
      </c>
      <c r="B146" s="11" t="inlineStr">
        <is>
          <t>Module 1 · School days</t>
        </is>
      </c>
      <c r="C146" s="11" t="inlineStr">
        <is>
          <t>1b</t>
        </is>
      </c>
      <c r="D146" s="11" t="inlineStr">
        <is>
          <t>Personal pronouns (subject)</t>
        </is>
      </c>
      <c r="E146" s="35" t="inlineStr">
        <is>
          <t>Personal pronouns: формы I, you, he, she, it, we, you, they</t>
        </is>
      </c>
      <c r="F146" s="11" t="inlineStr">
        <is>
          <t>Ст-402</t>
        </is>
      </c>
      <c r="G146" s="40" t="inlineStr">
        <is>
          <t>новое</t>
        </is>
      </c>
      <c r="H146" s="11" t="inlineStr"/>
      <c r="I146" s="37" t="inlineStr">
        <is>
          <t>10+</t>
        </is>
      </c>
      <c r="J146" s="11">
        <f>IFERROR(INDEX('Уроки'!$H:$H,MATCH(F146,'Уроки'!$A:$A,0)),"")</f>
        <v/>
      </c>
      <c r="K146" s="11">
        <f>IFERROR(INDEX('Уроки'!$J:$J,MATCH(F146,'Уроки'!$A:$A,0)),"")</f>
        <v/>
      </c>
      <c r="L146" s="11" t="inlineStr">
        <is>
          <t>Spotlight / 5 класс / Module 1 · School days / Personal pronouns (subject) / Personal pronouns: формы I, you, he, she, it, we, you, they</t>
        </is>
      </c>
    </row>
    <row r="147">
      <c r="A147" s="37" t="n">
        <v>5</v>
      </c>
      <c r="B147" s="11" t="inlineStr">
        <is>
          <t>Module 1 · School days</t>
        </is>
      </c>
      <c r="C147" s="11" t="inlineStr">
        <is>
          <t>1b</t>
        </is>
      </c>
      <c r="D147" s="11" t="inlineStr">
        <is>
          <t>Personal pronouns (subject)</t>
        </is>
      </c>
      <c r="E147" s="35" t="inlineStr">
        <is>
          <t>Personal pronouns: употребление — подлежащее вместо существительного</t>
        </is>
      </c>
      <c r="F147" s="11" t="inlineStr">
        <is>
          <t>Ст-403</t>
        </is>
      </c>
      <c r="G147" s="40" t="inlineStr">
        <is>
          <t>новое</t>
        </is>
      </c>
      <c r="H147" s="11" t="inlineStr">
        <is>
          <t>I — с прописной; you — ед. и мн. ч.</t>
        </is>
      </c>
      <c r="I147" s="37" t="inlineStr">
        <is>
          <t>10+</t>
        </is>
      </c>
      <c r="J147" s="11">
        <f>IFERROR(INDEX('Уроки'!$H:$H,MATCH(F147,'Уроки'!$A:$A,0)),"")</f>
        <v/>
      </c>
      <c r="K147" s="11">
        <f>IFERROR(INDEX('Уроки'!$J:$J,MATCH(F147,'Уроки'!$A:$A,0)),"")</f>
        <v/>
      </c>
      <c r="L147" s="11" t="inlineStr">
        <is>
          <t>Spotlight / 5 класс / Module 1 · School days / Personal pronouns (subject) / Personal pronouns: употребление — подлежащее вместо существительного</t>
        </is>
      </c>
    </row>
    <row r="148">
      <c r="A148" s="37" t="n">
        <v>5</v>
      </c>
      <c r="B148" s="11" t="inlineStr">
        <is>
          <t>Module 1 · School days</t>
        </is>
      </c>
      <c r="C148" s="11" t="inlineStr">
        <is>
          <t>1b</t>
        </is>
      </c>
      <c r="D148" s="11" t="inlineStr">
        <is>
          <t>Personal pronouns (subject)</t>
        </is>
      </c>
      <c r="E148" s="35" t="inlineStr">
        <is>
          <t>Personal pronouns: he/she vs it vs they — выбор местоимения</t>
        </is>
      </c>
      <c r="F148" s="11" t="inlineStr">
        <is>
          <t>Ст-404</t>
        </is>
      </c>
      <c r="G148" s="40" t="inlineStr">
        <is>
          <t>новое</t>
        </is>
      </c>
      <c r="H148" s="11" t="inlineStr">
        <is>
          <t>it — неодушевлённые, абстрактные, животные</t>
        </is>
      </c>
      <c r="I148" s="37" t="inlineStr">
        <is>
          <t>10+</t>
        </is>
      </c>
      <c r="J148" s="11">
        <f>IFERROR(INDEX('Уроки'!$H:$H,MATCH(F148,'Уроки'!$A:$A,0)),"")</f>
        <v/>
      </c>
      <c r="K148" s="11">
        <f>IFERROR(INDEX('Уроки'!$J:$J,MATCH(F148,'Уроки'!$A:$A,0)),"")</f>
        <v/>
      </c>
      <c r="L148" s="11" t="inlineStr">
        <is>
          <t>Spotlight / 5 класс / Module 1 · School days / Personal pronouns (subject) / Personal pronouns: he/she vs it vs they — выбор местоимения</t>
        </is>
      </c>
    </row>
    <row r="149">
      <c r="A149" s="37" t="n">
        <v>5</v>
      </c>
      <c r="B149" s="11" t="inlineStr">
        <is>
          <t>Module 1 · School days</t>
        </is>
      </c>
      <c r="C149" s="11" t="inlineStr">
        <is>
          <t>1b</t>
        </is>
      </c>
      <c r="D149" s="11" t="inlineStr">
        <is>
          <t>Alternative questions</t>
        </is>
      </c>
      <c r="E149" s="33" t="inlineStr">
        <is>
          <t>Alternative questions: образование (общий вопрос + or) — be, have got</t>
        </is>
      </c>
      <c r="F149" s="11" t="inlineStr">
        <is>
          <t>Ст-505</t>
        </is>
      </c>
      <c r="G149" s="40" t="inlineStr">
        <is>
          <t>новое</t>
        </is>
      </c>
      <c r="H149" s="11" t="inlineStr">
        <is>
          <t>to be, have got (Are you a teacher or a doctor?)</t>
        </is>
      </c>
      <c r="I149" s="37" t="inlineStr">
        <is>
          <t>10+</t>
        </is>
      </c>
      <c r="J149" s="11">
        <f>IFERROR(INDEX('Уроки'!$H:$H,MATCH(F149,'Уроки'!$A:$A,0)),"")</f>
        <v/>
      </c>
      <c r="K149" s="11">
        <f>IFERROR(INDEX('Уроки'!$J:$J,MATCH(F149,'Уроки'!$A:$A,0)),"")</f>
        <v/>
      </c>
      <c r="L149" s="11" t="inlineStr">
        <is>
          <t>Spotlight / 5 класс / Module 1 · School days / Alternative questions / Alternative questions: образование (общий вопрос + or) — be, have got</t>
        </is>
      </c>
    </row>
    <row r="150">
      <c r="A150" s="37" t="n">
        <v>5</v>
      </c>
      <c r="B150" s="11" t="inlineStr">
        <is>
          <t>Module 1 · School days</t>
        </is>
      </c>
      <c r="C150" s="11" t="inlineStr">
        <is>
          <t>1b</t>
        </is>
      </c>
      <c r="D150" s="11" t="inlineStr">
        <is>
          <t>Alternative questions</t>
        </is>
      </c>
      <c r="E150" s="33" t="inlineStr">
        <is>
          <t>Alternative questions: в Present Simple (do/does … or …)</t>
        </is>
      </c>
      <c r="F150" s="11" t="inlineStr">
        <is>
          <t>Ст-506</t>
        </is>
      </c>
      <c r="G150" s="40" t="inlineStr">
        <is>
          <t>новое</t>
        </is>
      </c>
      <c r="H150" s="11" t="inlineStr">
        <is>
          <t>Does he work or does he go to school?</t>
        </is>
      </c>
      <c r="I150" s="37" t="inlineStr">
        <is>
          <t>10+</t>
        </is>
      </c>
      <c r="J150" s="11">
        <f>IFERROR(INDEX('Уроки'!$H:$H,MATCH(F150,'Уроки'!$A:$A,0)),"")</f>
        <v/>
      </c>
      <c r="K150" s="11">
        <f>IFERROR(INDEX('Уроки'!$J:$J,MATCH(F150,'Уроки'!$A:$A,0)),"")</f>
        <v/>
      </c>
      <c r="L150" s="11" t="inlineStr">
        <is>
          <t>Spotlight / 5 класс / Module 1 · School days / Alternative questions / Alternative questions: в Present Simple (do/does … or …)</t>
        </is>
      </c>
    </row>
    <row r="151">
      <c r="A151" s="37" t="n">
        <v>5</v>
      </c>
      <c r="B151" s="11" t="inlineStr">
        <is>
          <t>Module 1 · School days</t>
        </is>
      </c>
      <c r="C151" s="11" t="inlineStr">
        <is>
          <t>1a</t>
        </is>
      </c>
      <c r="D151" s="11" t="inlineStr">
        <is>
          <t>Imperative</t>
        </is>
      </c>
      <c r="E151" s="33" t="inlineStr">
        <is>
          <t>Imperative: утверждение — инфинитив без to</t>
        </is>
      </c>
      <c r="F151" s="11" t="inlineStr">
        <is>
          <t>Ст-507</t>
        </is>
      </c>
      <c r="G151" s="40" t="inlineStr">
        <is>
          <t>новое</t>
        </is>
      </c>
      <c r="H151" s="11" t="inlineStr">
        <is>
          <t>Stand up! Open your books.</t>
        </is>
      </c>
      <c r="I151" s="37" t="inlineStr">
        <is>
          <t>10+</t>
        </is>
      </c>
      <c r="J151" s="11">
        <f>IFERROR(INDEX('Уроки'!$H:$H,MATCH(F151,'Уроки'!$A:$A,0)),"")</f>
        <v/>
      </c>
      <c r="K151" s="11">
        <f>IFERROR(INDEX('Уроки'!$J:$J,MATCH(F151,'Уроки'!$A:$A,0)),"")</f>
        <v/>
      </c>
      <c r="L151" s="11" t="inlineStr">
        <is>
          <t>Spotlight / 5 класс / Module 1 · School days / Imperative / Imperative: утверждение — инфинитив без to</t>
        </is>
      </c>
    </row>
    <row r="152">
      <c r="A152" s="37" t="n">
        <v>5</v>
      </c>
      <c r="B152" s="11" t="inlineStr">
        <is>
          <t>Module 1 · School days</t>
        </is>
      </c>
      <c r="C152" s="11" t="inlineStr">
        <is>
          <t>1a</t>
        </is>
      </c>
      <c r="D152" s="11" t="inlineStr">
        <is>
          <t>Imperative</t>
        </is>
      </c>
      <c r="E152" s="33" t="inlineStr">
        <is>
          <t>Imperative: отрицание — Don't + инфинитив</t>
        </is>
      </c>
      <c r="F152" s="11" t="inlineStr">
        <is>
          <t>Ст-508</t>
        </is>
      </c>
      <c r="G152" s="40" t="inlineStr">
        <is>
          <t>новое</t>
        </is>
      </c>
      <c r="H152" s="11" t="inlineStr">
        <is>
          <t>Don't come in!</t>
        </is>
      </c>
      <c r="I152" s="37" t="inlineStr">
        <is>
          <t>10+</t>
        </is>
      </c>
      <c r="J152" s="11">
        <f>IFERROR(INDEX('Уроки'!$H:$H,MATCH(F152,'Уроки'!$A:$A,0)),"")</f>
        <v/>
      </c>
      <c r="K152" s="11">
        <f>IFERROR(INDEX('Уроки'!$J:$J,MATCH(F152,'Уроки'!$A:$A,0)),"")</f>
        <v/>
      </c>
      <c r="L152" s="11" t="inlineStr">
        <is>
          <t>Spotlight / 5 класс / Module 1 · School days / Imperative / Imperative: отрицание — Don't + инфинитив</t>
        </is>
      </c>
    </row>
    <row r="153">
      <c r="A153" s="37" t="n">
        <v>5</v>
      </c>
      <c r="B153" s="11" t="inlineStr">
        <is>
          <t>Module 2 · That's me!</t>
        </is>
      </c>
      <c r="C153" s="11" t="inlineStr">
        <is>
          <t>2a</t>
        </is>
      </c>
      <c r="D153" s="11" t="inlineStr">
        <is>
          <t>have got</t>
        </is>
      </c>
      <c r="E153" s="35" t="inlineStr">
        <is>
          <t>have got: утверждение — have got / has got (полные и краткие формы)</t>
        </is>
      </c>
      <c r="F153" s="11" t="inlineStr">
        <is>
          <t>Ст-125</t>
        </is>
      </c>
      <c r="G153" s="37" t="inlineStr">
        <is>
          <t>повторение</t>
        </is>
      </c>
      <c r="H153" s="11" t="inlineStr">
        <is>
          <t>все лица; 've got / 's got</t>
        </is>
      </c>
      <c r="I153" s="37" t="inlineStr">
        <is>
          <t>10+</t>
        </is>
      </c>
      <c r="J153" s="11">
        <f>IFERROR(INDEX('Уроки'!$H:$H,MATCH(F153,'Уроки'!$A:$A,0)),"")</f>
        <v/>
      </c>
      <c r="K153" s="11">
        <f>IFERROR(INDEX('Уроки'!$J:$J,MATCH(F153,'Уроки'!$A:$A,0)),"")</f>
        <v/>
      </c>
      <c r="L153" s="11" t="inlineStr">
        <is>
          <t>Spotlight / 5 класс / Module 2 · That's me! / have got / have got: утверждение — have got / has got (полные и краткие формы)</t>
        </is>
      </c>
    </row>
    <row r="154">
      <c r="A154" s="37" t="n">
        <v>5</v>
      </c>
      <c r="B154" s="11" t="inlineStr">
        <is>
          <t>Module 2 · That's me!</t>
        </is>
      </c>
      <c r="C154" s="11" t="inlineStr">
        <is>
          <t>2a</t>
        </is>
      </c>
      <c r="D154" s="11" t="inlineStr">
        <is>
          <t>have got</t>
        </is>
      </c>
      <c r="E154" s="35" t="inlineStr">
        <is>
          <t>have got: отрицание — haven't got / hasn't got</t>
        </is>
      </c>
      <c r="F154" s="11" t="inlineStr">
        <is>
          <t>Ст-126</t>
        </is>
      </c>
      <c r="G154" s="37" t="inlineStr">
        <is>
          <t>повторение</t>
        </is>
      </c>
      <c r="H154" s="11" t="inlineStr"/>
      <c r="I154" s="37" t="inlineStr">
        <is>
          <t>10+</t>
        </is>
      </c>
      <c r="J154" s="11">
        <f>IFERROR(INDEX('Уроки'!$H:$H,MATCH(F154,'Уроки'!$A:$A,0)),"")</f>
        <v/>
      </c>
      <c r="K154" s="11">
        <f>IFERROR(INDEX('Уроки'!$J:$J,MATCH(F154,'Уроки'!$A:$A,0)),"")</f>
        <v/>
      </c>
      <c r="L154" s="11" t="inlineStr">
        <is>
          <t>Spotlight / 5 класс / Module 2 · That's me! / have got / have got: отрицание — haven't got / hasn't got</t>
        </is>
      </c>
    </row>
    <row r="155">
      <c r="A155" s="37" t="n">
        <v>5</v>
      </c>
      <c r="B155" s="11" t="inlineStr">
        <is>
          <t>Module 2 · That's me!</t>
        </is>
      </c>
      <c r="C155" s="11" t="inlineStr">
        <is>
          <t>2a</t>
        </is>
      </c>
      <c r="D155" s="11" t="inlineStr">
        <is>
          <t>have got</t>
        </is>
      </c>
      <c r="E155" s="35" t="inlineStr">
        <is>
          <t>have got: вопросы и краткие ответы</t>
        </is>
      </c>
      <c r="F155" s="11" t="inlineStr">
        <is>
          <t>Ст-127</t>
        </is>
      </c>
      <c r="G155" s="37" t="inlineStr">
        <is>
          <t>повторение</t>
        </is>
      </c>
      <c r="H155" s="11" t="inlineStr"/>
      <c r="I155" s="37" t="inlineStr">
        <is>
          <t>10+</t>
        </is>
      </c>
      <c r="J155" s="11">
        <f>IFERROR(INDEX('Уроки'!$H:$H,MATCH(F155,'Уроки'!$A:$A,0)),"")</f>
        <v/>
      </c>
      <c r="K155" s="11">
        <f>IFERROR(INDEX('Уроки'!$J:$J,MATCH(F155,'Уроки'!$A:$A,0)),"")</f>
        <v/>
      </c>
      <c r="L155" s="11" t="inlineStr">
        <is>
          <t>Spotlight / 5 класс / Module 2 · That's me! / have got / have got: вопросы и краткие ответы</t>
        </is>
      </c>
    </row>
    <row r="156">
      <c r="A156" s="37" t="n">
        <v>5</v>
      </c>
      <c r="B156" s="11" t="inlineStr">
        <is>
          <t>Module 2 · That's me!</t>
        </is>
      </c>
      <c r="C156" s="11" t="inlineStr">
        <is>
          <t>2a</t>
        </is>
      </c>
      <c r="D156" s="11" t="inlineStr">
        <is>
          <t>have got</t>
        </is>
      </c>
      <c r="E156" s="35" t="inlineStr">
        <is>
          <t>have got: значение — принадлежность (иметь)</t>
        </is>
      </c>
      <c r="F156" s="11" t="inlineStr">
        <is>
          <t>Ст-128</t>
        </is>
      </c>
      <c r="G156" s="37" t="inlineStr">
        <is>
          <t>повторение</t>
        </is>
      </c>
      <c r="H156" s="11" t="inlineStr">
        <is>
          <t>иметь, владеть, обладать</t>
        </is>
      </c>
      <c r="I156" s="37" t="inlineStr">
        <is>
          <t>10+</t>
        </is>
      </c>
      <c r="J156" s="11">
        <f>IFERROR(INDEX('Уроки'!$H:$H,MATCH(F156,'Уроки'!$A:$A,0)),"")</f>
        <v/>
      </c>
      <c r="K156" s="11">
        <f>IFERROR(INDEX('Уроки'!$J:$J,MATCH(F156,'Уроки'!$A:$A,0)),"")</f>
        <v/>
      </c>
      <c r="L156" s="11" t="inlineStr">
        <is>
          <t>Spotlight / 5 класс / Module 2 · That's me! / have got / have got: значение — принадлежность (иметь)</t>
        </is>
      </c>
    </row>
    <row r="157">
      <c r="A157" s="37" t="n">
        <v>5</v>
      </c>
      <c r="B157" s="11" t="inlineStr">
        <is>
          <t>Module 2 · That's me!</t>
        </is>
      </c>
      <c r="C157" s="11" t="inlineStr">
        <is>
          <t>2b</t>
        </is>
      </c>
      <c r="D157" s="11" t="inlineStr">
        <is>
          <t>Plurals (irregular)</t>
        </is>
      </c>
      <c r="E157" s="33" t="inlineStr">
        <is>
          <t>Plurals (irregular): man — men, child — children, tooth — teeth, foot — feet, mouse — mice</t>
        </is>
      </c>
      <c r="F157" s="11" t="inlineStr">
        <is>
          <t>Ст-336</t>
        </is>
      </c>
      <c r="G157" s="37" t="inlineStr">
        <is>
          <t>повторение</t>
        </is>
      </c>
      <c r="H157" s="11" t="inlineStr">
        <is>
          <t>6 слов</t>
        </is>
      </c>
      <c r="I157" s="37" t="inlineStr">
        <is>
          <t>10+</t>
        </is>
      </c>
      <c r="J157" s="11">
        <f>IFERROR(INDEX('Уроки'!$H:$H,MATCH(F157,'Уроки'!$A:$A,0)),"")</f>
        <v/>
      </c>
      <c r="K157" s="11">
        <f>IFERROR(INDEX('Уроки'!$J:$J,MATCH(F157,'Уроки'!$A:$A,0)),"")</f>
        <v/>
      </c>
      <c r="L157" s="11" t="inlineStr">
        <is>
          <t>Spotlight / 5 класс / Module 2 · That's me! / Plurals (irregular) / Plurals (irregular): man — men, child — children, tooth — teeth, foot — feet, mouse — mice</t>
        </is>
      </c>
    </row>
    <row r="158">
      <c r="A158" s="37" t="n">
        <v>5</v>
      </c>
      <c r="B158" s="11" t="inlineStr">
        <is>
          <t>Module 2 · That's me!</t>
        </is>
      </c>
      <c r="C158" s="11" t="inlineStr">
        <is>
          <t>2b</t>
        </is>
      </c>
      <c r="D158" s="11" t="inlineStr">
        <is>
          <t>Plurals (irregular)</t>
        </is>
      </c>
      <c r="E158" s="33" t="inlineStr">
        <is>
          <t>Plurals (irregular): существительные только во мн. ч. (jeans, scissors)</t>
        </is>
      </c>
      <c r="F158" s="11" t="inlineStr">
        <is>
          <t>Ст-337</t>
        </is>
      </c>
      <c r="G158" s="40" t="inlineStr">
        <is>
          <t>новое</t>
        </is>
      </c>
      <c r="H158" s="11" t="inlineStr">
        <is>
          <t>shorts, jeans, pyjamas, scissors, clothes, glasses</t>
        </is>
      </c>
      <c r="I158" s="37" t="inlineStr">
        <is>
          <t>10+</t>
        </is>
      </c>
      <c r="J158" s="11">
        <f>IFERROR(INDEX('Уроки'!$H:$H,MATCH(F158,'Уроки'!$A:$A,0)),"")</f>
        <v/>
      </c>
      <c r="K158" s="11">
        <f>IFERROR(INDEX('Уроки'!$J:$J,MATCH(F158,'Уроки'!$A:$A,0)),"")</f>
        <v/>
      </c>
      <c r="L158" s="11" t="inlineStr">
        <is>
          <t>Spotlight / 5 класс / Module 2 · That's me! / Plurals (irregular) / Plurals (irregular): существительные только во мн. ч. (jeans, scissors)</t>
        </is>
      </c>
    </row>
    <row r="159">
      <c r="A159" s="37" t="n">
        <v>5</v>
      </c>
      <c r="B159" s="11" t="inlineStr">
        <is>
          <t>Module 2 · That's me!</t>
        </is>
      </c>
      <c r="C159" s="11" t="inlineStr">
        <is>
          <t>2b</t>
        </is>
      </c>
      <c r="D159" s="11" t="inlineStr">
        <is>
          <t>Plurals (regular)</t>
        </is>
      </c>
      <c r="E159" s="35" t="inlineStr">
        <is>
          <t>Plurals (regular): основное правило — + -s</t>
        </is>
      </c>
      <c r="F159" s="11" t="inlineStr">
        <is>
          <t>Ст-338</t>
        </is>
      </c>
      <c r="G159" s="37" t="inlineStr">
        <is>
          <t>повторение</t>
        </is>
      </c>
      <c r="H159" s="11" t="inlineStr">
        <is>
          <t>a doll – two dolls</t>
        </is>
      </c>
      <c r="I159" s="37" t="inlineStr">
        <is>
          <t>10+</t>
        </is>
      </c>
      <c r="J159" s="11">
        <f>IFERROR(INDEX('Уроки'!$H:$H,MATCH(F159,'Уроки'!$A:$A,0)),"")</f>
        <v/>
      </c>
      <c r="K159" s="11">
        <f>IFERROR(INDEX('Уроки'!$J:$J,MATCH(F159,'Уроки'!$A:$A,0)),"")</f>
        <v/>
      </c>
      <c r="L159" s="11" t="inlineStr">
        <is>
          <t>Spotlight / 5 класс / Module 2 · That's me! / Plurals (regular) / Plurals (regular): основное правило — + -s</t>
        </is>
      </c>
    </row>
    <row r="160">
      <c r="A160" s="37" t="n">
        <v>5</v>
      </c>
      <c r="B160" s="11" t="inlineStr">
        <is>
          <t>Module 2 · That's me!</t>
        </is>
      </c>
      <c r="C160" s="11" t="inlineStr">
        <is>
          <t>2b</t>
        </is>
      </c>
      <c r="D160" s="11" t="inlineStr">
        <is>
          <t>Plurals (regular)</t>
        </is>
      </c>
      <c r="E160" s="35" t="inlineStr">
        <is>
          <t>Plurals (regular): орфография — + -es после -s, -ss, -sh, -ch, -x, -o</t>
        </is>
      </c>
      <c r="F160" s="11" t="inlineStr">
        <is>
          <t>Ст-339</t>
        </is>
      </c>
      <c r="G160" s="41" t="inlineStr">
        <is>
          <t>расширение</t>
        </is>
      </c>
      <c r="H160" s="11" t="inlineStr">
        <is>
          <t>добавлены -sh, -ch: toothbrushes, matches</t>
        </is>
      </c>
      <c r="I160" s="37" t="inlineStr">
        <is>
          <t>10+</t>
        </is>
      </c>
      <c r="J160" s="11">
        <f>IFERROR(INDEX('Уроки'!$H:$H,MATCH(F160,'Уроки'!$A:$A,0)),"")</f>
        <v/>
      </c>
      <c r="K160" s="11">
        <f>IFERROR(INDEX('Уроки'!$J:$J,MATCH(F160,'Уроки'!$A:$A,0)),"")</f>
        <v/>
      </c>
      <c r="L160" s="11" t="inlineStr">
        <is>
          <t>Spotlight / 5 класс / Module 2 · That's me! / Plurals (regular) / Plurals (regular): орфография — + -es после -s, -ss, -sh, -ch, -x, -o</t>
        </is>
      </c>
    </row>
    <row r="161">
      <c r="A161" s="37" t="n">
        <v>5</v>
      </c>
      <c r="B161" s="11" t="inlineStr">
        <is>
          <t>Module 2 · That's me!</t>
        </is>
      </c>
      <c r="C161" s="11" t="inlineStr">
        <is>
          <t>2b</t>
        </is>
      </c>
      <c r="D161" s="11" t="inlineStr">
        <is>
          <t>Plurals (regular)</t>
        </is>
      </c>
      <c r="E161" s="35" t="inlineStr">
        <is>
          <t>Plurals (regular): орфография — -y → -ies (но гласная + y → -s)</t>
        </is>
      </c>
      <c r="F161" s="11" t="inlineStr">
        <is>
          <t>Ст-340</t>
        </is>
      </c>
      <c r="G161" s="37" t="inlineStr">
        <is>
          <t>повторение</t>
        </is>
      </c>
      <c r="H161" s="11" t="inlineStr">
        <is>
          <t>lady – ladies, toy – toys</t>
        </is>
      </c>
      <c r="I161" s="37" t="inlineStr">
        <is>
          <t>10+</t>
        </is>
      </c>
      <c r="J161" s="11">
        <f>IFERROR(INDEX('Уроки'!$H:$H,MATCH(F161,'Уроки'!$A:$A,0)),"")</f>
        <v/>
      </c>
      <c r="K161" s="11">
        <f>IFERROR(INDEX('Уроки'!$J:$J,MATCH(F161,'Уроки'!$A:$A,0)),"")</f>
        <v/>
      </c>
      <c r="L161" s="11" t="inlineStr">
        <is>
          <t>Spotlight / 5 класс / Module 2 · That's me! / Plurals (regular) / Plurals (regular): орфография — -y → -ies (но гласная + y → -s)</t>
        </is>
      </c>
    </row>
    <row r="162">
      <c r="A162" s="37" t="n">
        <v>5</v>
      </c>
      <c r="B162" s="11" t="inlineStr">
        <is>
          <t>Module 2 · That's me!</t>
        </is>
      </c>
      <c r="C162" s="11" t="inlineStr">
        <is>
          <t>2b</t>
        </is>
      </c>
      <c r="D162" s="11" t="inlineStr">
        <is>
          <t>Plurals (regular)</t>
        </is>
      </c>
      <c r="E162" s="35" t="inlineStr">
        <is>
          <t>Plurals (regular): орфография — -f/-fe → -ves</t>
        </is>
      </c>
      <c r="F162" s="11" t="inlineStr">
        <is>
          <t>Ст-341</t>
        </is>
      </c>
      <c r="G162" s="37" t="inlineStr">
        <is>
          <t>повторение</t>
        </is>
      </c>
      <c r="H162" s="11" t="inlineStr">
        <is>
          <t>life – lives, scarf – scarves</t>
        </is>
      </c>
      <c r="I162" s="37" t="inlineStr">
        <is>
          <t>10+</t>
        </is>
      </c>
      <c r="J162" s="11">
        <f>IFERROR(INDEX('Уроки'!$H:$H,MATCH(F162,'Уроки'!$A:$A,0)),"")</f>
        <v/>
      </c>
      <c r="K162" s="11">
        <f>IFERROR(INDEX('Уроки'!$J:$J,MATCH(F162,'Уроки'!$A:$A,0)),"")</f>
        <v/>
      </c>
      <c r="L162" s="11" t="inlineStr">
        <is>
          <t>Spotlight / 5 класс / Module 2 · That's me! / Plurals (regular) / Plurals (regular): орфография — -f/-fe → -ves</t>
        </is>
      </c>
    </row>
    <row r="163">
      <c r="A163" s="37" t="n">
        <v>5</v>
      </c>
      <c r="B163" s="11" t="inlineStr">
        <is>
          <t>Module 2 · That's me!</t>
        </is>
      </c>
      <c r="C163" s="11" t="inlineStr">
        <is>
          <t>2b</t>
        </is>
      </c>
      <c r="D163" s="11" t="inlineStr">
        <is>
          <t>Plurals (regular)</t>
        </is>
      </c>
      <c r="E163" s="35" t="inlineStr">
        <is>
          <t>Plurals (regular): произношение окончания -(e)s</t>
        </is>
      </c>
      <c r="F163" s="11" t="inlineStr">
        <is>
          <t>Ст-343</t>
        </is>
      </c>
      <c r="G163" s="40" t="inlineStr">
        <is>
          <t>новое</t>
        </is>
      </c>
      <c r="H163" s="11" t="inlineStr">
        <is>
          <t>только в оглавлении (Listening &amp; Pronunciation 2b), в справочнике правила нет</t>
        </is>
      </c>
      <c r="I163" s="37" t="inlineStr">
        <is>
          <t>10+</t>
        </is>
      </c>
      <c r="J163" s="11">
        <f>IFERROR(INDEX('Уроки'!$H:$H,MATCH(F163,'Уроки'!$A:$A,0)),"")</f>
        <v/>
      </c>
      <c r="K163" s="11">
        <f>IFERROR(INDEX('Уроки'!$J:$J,MATCH(F163,'Уроки'!$A:$A,0)),"")</f>
        <v/>
      </c>
      <c r="L163" s="11" t="inlineStr">
        <is>
          <t>Spotlight / 5 класс / Module 2 · That's me! / Plurals (regular) / Plurals (regular): произношение окончания -(e)s</t>
        </is>
      </c>
    </row>
    <row r="164">
      <c r="A164" s="37" t="n">
        <v>5</v>
      </c>
      <c r="B164" s="11" t="inlineStr">
        <is>
          <t>Module 2 · That's me!</t>
        </is>
      </c>
      <c r="C164" s="11" t="inlineStr">
        <is>
          <t>2b</t>
        </is>
      </c>
      <c r="D164" s="11" t="inlineStr">
        <is>
          <t>Demonstratives (this/that/these/those)</t>
        </is>
      </c>
      <c r="E164" s="35" t="inlineStr">
        <is>
          <t>Demonstratives: this — these (ед. и мн. ч.)</t>
        </is>
      </c>
      <c r="F164" s="11" t="inlineStr">
        <is>
          <t>Ст-394</t>
        </is>
      </c>
      <c r="G164" s="37" t="inlineStr">
        <is>
          <t>повторение</t>
        </is>
      </c>
      <c r="H164" s="11" t="inlineStr">
        <is>
          <t>This is a ball. / These are balls.</t>
        </is>
      </c>
      <c r="I164" s="37" t="inlineStr">
        <is>
          <t>10+</t>
        </is>
      </c>
      <c r="J164" s="11">
        <f>IFERROR(INDEX('Уроки'!$H:$H,MATCH(F164,'Уроки'!$A:$A,0)),"")</f>
        <v/>
      </c>
      <c r="K164" s="11">
        <f>IFERROR(INDEX('Уроки'!$J:$J,MATCH(F164,'Уроки'!$A:$A,0)),"")</f>
        <v/>
      </c>
      <c r="L164" s="11" t="inlineStr">
        <is>
          <t>Spotlight / 5 класс / Module 2 · That's me! / Demonstratives (this/that/these/those) / Demonstratives: this — these (ед. и мн. ч.)</t>
        </is>
      </c>
    </row>
    <row r="165">
      <c r="A165" s="37" t="n">
        <v>5</v>
      </c>
      <c r="B165" s="11" t="inlineStr">
        <is>
          <t>Module 2 · That's me!</t>
        </is>
      </c>
      <c r="C165" s="11" t="inlineStr">
        <is>
          <t>2b</t>
        </is>
      </c>
      <c r="D165" s="11" t="inlineStr">
        <is>
          <t>Demonstratives (this/that/these/those)</t>
        </is>
      </c>
      <c r="E165" s="35" t="inlineStr">
        <is>
          <t>Demonstratives: that — those (ед. и мн. ч.)</t>
        </is>
      </c>
      <c r="F165" s="11" t="inlineStr">
        <is>
          <t>Ст-395</t>
        </is>
      </c>
      <c r="G165" s="37" t="inlineStr">
        <is>
          <t>повторение</t>
        </is>
      </c>
      <c r="H165" s="11" t="inlineStr">
        <is>
          <t>That is a ball. / Those are balls.</t>
        </is>
      </c>
      <c r="I165" s="37" t="inlineStr">
        <is>
          <t>10+</t>
        </is>
      </c>
      <c r="J165" s="11">
        <f>IFERROR(INDEX('Уроки'!$H:$H,MATCH(F165,'Уроки'!$A:$A,0)),"")</f>
        <v/>
      </c>
      <c r="K165" s="11">
        <f>IFERROR(INDEX('Уроки'!$J:$J,MATCH(F165,'Уроки'!$A:$A,0)),"")</f>
        <v/>
      </c>
      <c r="L165" s="11" t="inlineStr">
        <is>
          <t>Spotlight / 5 класс / Module 2 · That's me! / Demonstratives (this/that/these/those) / Demonstratives: that — those (ед. и мн. ч.)</t>
        </is>
      </c>
    </row>
    <row r="166">
      <c r="A166" s="37" t="n">
        <v>5</v>
      </c>
      <c r="B166" s="11" t="inlineStr">
        <is>
          <t>Module 2 · That's me!</t>
        </is>
      </c>
      <c r="C166" s="11" t="inlineStr">
        <is>
          <t>2a</t>
        </is>
      </c>
      <c r="D166" s="11" t="inlineStr">
        <is>
          <t>Word formation</t>
        </is>
      </c>
      <c r="E166" s="35" t="inlineStr">
        <is>
          <t>Word formation: nationalities -an/-ish/-ian/-ese</t>
        </is>
      </c>
      <c r="F166" s="11" t="inlineStr">
        <is>
          <t>Ст-613</t>
        </is>
      </c>
      <c r="G166" s="40" t="inlineStr">
        <is>
          <t>новое</t>
        </is>
      </c>
      <c r="H166" s="11" t="inlineStr">
        <is>
          <t>Существительные/прилагательные национальности с суффиксами -an, -ish, -ian, -ese (по оглавлению: word formation (-an, -ish, -ian, -ese)).</t>
        </is>
      </c>
      <c r="I166" s="37" t="inlineStr">
        <is>
          <t>10+</t>
        </is>
      </c>
      <c r="J166" s="11">
        <f>IFERROR(INDEX('Уроки'!$H:$H,MATCH(F166,'Уроки'!$A:$A,0)),"")</f>
        <v/>
      </c>
      <c r="K166" s="11">
        <f>IFERROR(INDEX('Уроки'!$J:$J,MATCH(F166,'Уроки'!$A:$A,0)),"")</f>
        <v/>
      </c>
      <c r="L166" s="11" t="inlineStr">
        <is>
          <t>Spotlight / 5 класс / Module 2 · That's me! / Word formation / Word formation: nationalities -an/-ish/-ian/-ese</t>
        </is>
      </c>
    </row>
    <row r="167">
      <c r="A167" s="37" t="n">
        <v>5</v>
      </c>
      <c r="B167" s="11" t="inlineStr">
        <is>
          <t>Module 3 · My home, my castle</t>
        </is>
      </c>
      <c r="C167" s="11" t="inlineStr">
        <is>
          <t>3b</t>
        </is>
      </c>
      <c r="D167" s="11" t="inlineStr">
        <is>
          <t>Possessive adjectives</t>
        </is>
      </c>
      <c r="E167" s="34" t="inlineStr">
        <is>
          <t>Possessive adjectives: формы my, your, his, her, its, our, their</t>
        </is>
      </c>
      <c r="F167" s="11" t="inlineStr">
        <is>
          <t>Ст-396</t>
        </is>
      </c>
      <c r="G167" s="37" t="inlineStr">
        <is>
          <t>повторение</t>
        </is>
      </c>
      <c r="H167" s="11" t="inlineStr">
        <is>
          <t>its — о неодушевлённом</t>
        </is>
      </c>
      <c r="I167" s="37" t="inlineStr">
        <is>
          <t>10+</t>
        </is>
      </c>
      <c r="J167" s="11">
        <f>IFERROR(INDEX('Уроки'!$H:$H,MATCH(F167,'Уроки'!$A:$A,0)),"")</f>
        <v/>
      </c>
      <c r="K167" s="11">
        <f>IFERROR(INDEX('Уроки'!$J:$J,MATCH(F167,'Уроки'!$A:$A,0)),"")</f>
        <v/>
      </c>
      <c r="L167" s="11" t="inlineStr">
        <is>
          <t>Spotlight / 5 класс / Module 3 · My home, my castle / Possessive adjectives / Possessive adjectives: формы my, your, his, her, its, our, their</t>
        </is>
      </c>
    </row>
    <row r="168">
      <c r="A168" s="37" t="n">
        <v>5</v>
      </c>
      <c r="B168" s="11" t="inlineStr">
        <is>
          <t>Module 3 · My home, my castle</t>
        </is>
      </c>
      <c r="C168" s="11" t="inlineStr">
        <is>
          <t>3b</t>
        </is>
      </c>
      <c r="D168" s="11" t="inlineStr">
        <is>
          <t>Possessive adjectives</t>
        </is>
      </c>
      <c r="E168" s="34" t="inlineStr">
        <is>
          <t>Possessive adjectives: значение — принадлежность и отношения между людьми</t>
        </is>
      </c>
      <c r="F168" s="11" t="inlineStr">
        <is>
          <t>Ст-397</t>
        </is>
      </c>
      <c r="G168" s="37" t="inlineStr">
        <is>
          <t>повторение</t>
        </is>
      </c>
      <c r="H168" s="11" t="inlineStr">
        <is>
          <t>This is my book / Peter is her father</t>
        </is>
      </c>
      <c r="I168" s="37" t="inlineStr">
        <is>
          <t>10+</t>
        </is>
      </c>
      <c r="J168" s="11">
        <f>IFERROR(INDEX('Уроки'!$H:$H,MATCH(F168,'Уроки'!$A:$A,0)),"")</f>
        <v/>
      </c>
      <c r="K168" s="11">
        <f>IFERROR(INDEX('Уроки'!$J:$J,MATCH(F168,'Уроки'!$A:$A,0)),"")</f>
        <v/>
      </c>
      <c r="L168" s="11" t="inlineStr">
        <is>
          <t>Spotlight / 5 класс / Module 3 · My home, my castle / Possessive adjectives / Possessive adjectives: значение — принадлежность и отношения между людьми</t>
        </is>
      </c>
    </row>
    <row r="169">
      <c r="A169" s="37" t="n">
        <v>5</v>
      </c>
      <c r="B169" s="11" t="inlineStr">
        <is>
          <t>Module 3 · My home, my castle</t>
        </is>
      </c>
      <c r="C169" s="11" t="inlineStr">
        <is>
          <t>3b</t>
        </is>
      </c>
      <c r="D169" s="11" t="inlineStr">
        <is>
          <t>Possessive adjectives</t>
        </is>
      </c>
      <c r="E169" s="34" t="inlineStr">
        <is>
          <t>Possessive adjectives: обязательны с частями тела, одеждой, родственниками (vs русский)</t>
        </is>
      </c>
      <c r="F169" s="11" t="inlineStr">
        <is>
          <t>Ст-398</t>
        </is>
      </c>
      <c r="G169" s="40" t="inlineStr">
        <is>
          <t>новое</t>
        </is>
      </c>
      <c r="H169" s="11" t="inlineStr">
        <is>
          <t>в английском употребляются чаще, чем в русском</t>
        </is>
      </c>
      <c r="I169" s="37" t="inlineStr">
        <is>
          <t>10+</t>
        </is>
      </c>
      <c r="J169" s="11">
        <f>IFERROR(INDEX('Уроки'!$H:$H,MATCH(F169,'Уроки'!$A:$A,0)),"")</f>
        <v/>
      </c>
      <c r="K169" s="11">
        <f>IFERROR(INDEX('Уроки'!$J:$J,MATCH(F169,'Уроки'!$A:$A,0)),"")</f>
        <v/>
      </c>
      <c r="L169" s="11" t="inlineStr">
        <is>
          <t>Spotlight / 5 класс / Module 3 · My home, my castle / Possessive adjectives / Possessive adjectives: обязательны с частями тела, одеждой, родственниками (vs русский)</t>
        </is>
      </c>
    </row>
    <row r="170">
      <c r="A170" s="37" t="n">
        <v>5</v>
      </c>
      <c r="B170" s="11" t="inlineStr">
        <is>
          <t>Module 3 · My home, my castle</t>
        </is>
      </c>
      <c r="C170" s="11" t="inlineStr">
        <is>
          <t>3c</t>
        </is>
      </c>
      <c r="D170" s="11" t="inlineStr">
        <is>
          <t>Prepositions of place</t>
        </is>
      </c>
      <c r="E170" s="35" t="inlineStr">
        <is>
          <t>Prepositions of place: in, on, under</t>
        </is>
      </c>
      <c r="F170" s="11" t="inlineStr">
        <is>
          <t>Ст-483</t>
        </is>
      </c>
      <c r="G170" s="37" t="inlineStr">
        <is>
          <t>повторение</t>
        </is>
      </c>
      <c r="H170" s="11" t="inlineStr"/>
      <c r="I170" s="37" t="inlineStr">
        <is>
          <t>10+</t>
        </is>
      </c>
      <c r="J170" s="11">
        <f>IFERROR(INDEX('Уроки'!$H:$H,MATCH(F170,'Уроки'!$A:$A,0)),"")</f>
        <v/>
      </c>
      <c r="K170" s="11">
        <f>IFERROR(INDEX('Уроки'!$J:$J,MATCH(F170,'Уроки'!$A:$A,0)),"")</f>
        <v/>
      </c>
      <c r="L170" s="11" t="inlineStr">
        <is>
          <t>Spotlight / 5 класс / Module 3 · My home, my castle / Prepositions of place / Prepositions of place: in, on, under</t>
        </is>
      </c>
    </row>
    <row r="171">
      <c r="A171" s="37" t="n">
        <v>5</v>
      </c>
      <c r="B171" s="11" t="inlineStr">
        <is>
          <t>Module 3 · My home, my castle</t>
        </is>
      </c>
      <c r="C171" s="11" t="inlineStr">
        <is>
          <t>3c</t>
        </is>
      </c>
      <c r="D171" s="11" t="inlineStr">
        <is>
          <t>Prepositions of place</t>
        </is>
      </c>
      <c r="E171" s="35" t="inlineStr">
        <is>
          <t>Prepositions of place: next to, in front of, behind</t>
        </is>
      </c>
      <c r="F171" s="11" t="inlineStr">
        <is>
          <t>Ст-484</t>
        </is>
      </c>
      <c r="G171" s="37" t="inlineStr">
        <is>
          <t>повторение</t>
        </is>
      </c>
      <c r="H171" s="11" t="inlineStr"/>
      <c r="I171" s="37" t="inlineStr">
        <is>
          <t>10+</t>
        </is>
      </c>
      <c r="J171" s="11">
        <f>IFERROR(INDEX('Уроки'!$H:$H,MATCH(F171,'Уроки'!$A:$A,0)),"")</f>
        <v/>
      </c>
      <c r="K171" s="11">
        <f>IFERROR(INDEX('Уроки'!$J:$J,MATCH(F171,'Уроки'!$A:$A,0)),"")</f>
        <v/>
      </c>
      <c r="L171" s="11" t="inlineStr">
        <is>
          <t>Spotlight / 5 класс / Module 3 · My home, my castle / Prepositions of place / Prepositions of place: next to, in front of, behind</t>
        </is>
      </c>
    </row>
    <row r="172">
      <c r="A172" s="37" t="n">
        <v>5</v>
      </c>
      <c r="B172" s="11" t="inlineStr">
        <is>
          <t>Module 3 · My home, my castle</t>
        </is>
      </c>
      <c r="C172" s="11" t="inlineStr">
        <is>
          <t>3c</t>
        </is>
      </c>
      <c r="D172" s="11" t="inlineStr">
        <is>
          <t>Prepositions of place</t>
        </is>
      </c>
      <c r="E172" s="35" t="inlineStr">
        <is>
          <t>Prepositions of place: at — at school/work/home, в адресах</t>
        </is>
      </c>
      <c r="F172" s="11" t="inlineStr">
        <is>
          <t>Ст-487</t>
        </is>
      </c>
      <c r="G172" s="40" t="inlineStr">
        <is>
          <t>новое</t>
        </is>
      </c>
      <c r="H172" s="11" t="inlineStr">
        <is>
          <t>at 20, Oxford Street</t>
        </is>
      </c>
      <c r="I172" s="37" t="inlineStr">
        <is>
          <t>10+</t>
        </is>
      </c>
      <c r="J172" s="11">
        <f>IFERROR(INDEX('Уроки'!$H:$H,MATCH(F172,'Уроки'!$A:$A,0)),"")</f>
        <v/>
      </c>
      <c r="K172" s="11">
        <f>IFERROR(INDEX('Уроки'!$J:$J,MATCH(F172,'Уроки'!$A:$A,0)),"")</f>
        <v/>
      </c>
      <c r="L172" s="11" t="inlineStr">
        <is>
          <t>Spotlight / 5 класс / Module 3 · My home, my castle / Prepositions of place / Prepositions of place: at — at school/work/home, в адресах</t>
        </is>
      </c>
    </row>
    <row r="173">
      <c r="A173" s="37" t="n">
        <v>5</v>
      </c>
      <c r="B173" s="11" t="inlineStr">
        <is>
          <t>Module 3 · My home, my castle</t>
        </is>
      </c>
      <c r="C173" s="11" t="inlineStr">
        <is>
          <t>3c</t>
        </is>
      </c>
      <c r="D173" s="11" t="inlineStr">
        <is>
          <t>Prepositions of place</t>
        </is>
      </c>
      <c r="E173" s="35" t="inlineStr">
        <is>
          <t>Prepositions of place: in — устойчивые выражения (in bed, in hospital, in the sky, in a picture)</t>
        </is>
      </c>
      <c r="F173" s="11" t="inlineStr">
        <is>
          <t>Ст-488</t>
        </is>
      </c>
      <c r="G173" s="40" t="inlineStr">
        <is>
          <t>новое</t>
        </is>
      </c>
      <c r="H173" s="11" t="inlineStr">
        <is>
          <t>in the middle, in the air, in prison, in a newspaper</t>
        </is>
      </c>
      <c r="I173" s="37" t="inlineStr">
        <is>
          <t>10+</t>
        </is>
      </c>
      <c r="J173" s="11">
        <f>IFERROR(INDEX('Уроки'!$H:$H,MATCH(F173,'Уроки'!$A:$A,0)),"")</f>
        <v/>
      </c>
      <c r="K173" s="11">
        <f>IFERROR(INDEX('Уроки'!$J:$J,MATCH(F173,'Уроки'!$A:$A,0)),"")</f>
        <v/>
      </c>
      <c r="L173" s="11" t="inlineStr">
        <is>
          <t>Spotlight / 5 класс / Module 3 · My home, my castle / Prepositions of place / Prepositions of place: in — устойчивые выражения (in bed, in hospital, in the sky, in a picture)</t>
        </is>
      </c>
    </row>
    <row r="174">
      <c r="A174" s="37" t="n">
        <v>5</v>
      </c>
      <c r="B174" s="11" t="inlineStr">
        <is>
          <t>Module 3 · My home, my castle</t>
        </is>
      </c>
      <c r="C174" s="11" t="inlineStr">
        <is>
          <t>3c</t>
        </is>
      </c>
      <c r="D174" s="11" t="inlineStr">
        <is>
          <t>Prepositions of place</t>
        </is>
      </c>
      <c r="E174" s="35" t="inlineStr">
        <is>
          <t>Prepositions of place: in — города, страны, континенты</t>
        </is>
      </c>
      <c r="F174" s="11" t="inlineStr">
        <is>
          <t>Ст-489</t>
        </is>
      </c>
      <c r="G174" s="40" t="inlineStr">
        <is>
          <t>новое</t>
        </is>
      </c>
      <c r="H174" s="11" t="inlineStr">
        <is>
          <t>in Athens, in England, in Europe</t>
        </is>
      </c>
      <c r="I174" s="37" t="inlineStr">
        <is>
          <t>10+</t>
        </is>
      </c>
      <c r="J174" s="11">
        <f>IFERROR(INDEX('Уроки'!$H:$H,MATCH(F174,'Уроки'!$A:$A,0)),"")</f>
        <v/>
      </c>
      <c r="K174" s="11">
        <f>IFERROR(INDEX('Уроки'!$J:$J,MATCH(F174,'Уроки'!$A:$A,0)),"")</f>
        <v/>
      </c>
      <c r="L174" s="11" t="inlineStr">
        <is>
          <t>Spotlight / 5 класс / Module 3 · My home, my castle / Prepositions of place / Prepositions of place: in — города, страны, континенты</t>
        </is>
      </c>
    </row>
    <row r="175">
      <c r="A175" s="37" t="n">
        <v>5</v>
      </c>
      <c r="B175" s="11" t="inlineStr">
        <is>
          <t>Module 3 · My home, my castle</t>
        </is>
      </c>
      <c r="C175" s="11" t="inlineStr">
        <is>
          <t>3c</t>
        </is>
      </c>
      <c r="D175" s="11" t="inlineStr">
        <is>
          <t>Prepositions of place</t>
        </is>
      </c>
      <c r="E175" s="35" t="inlineStr">
        <is>
          <t>Prepositions of place: on — on the left/right, on the first floor</t>
        </is>
      </c>
      <c r="F175" s="11" t="inlineStr">
        <is>
          <t>Ст-490</t>
        </is>
      </c>
      <c r="G175" s="40" t="inlineStr">
        <is>
          <t>новое</t>
        </is>
      </c>
      <c r="H175" s="11" t="inlineStr"/>
      <c r="I175" s="37" t="inlineStr">
        <is>
          <t>10+</t>
        </is>
      </c>
      <c r="J175" s="11">
        <f>IFERROR(INDEX('Уроки'!$H:$H,MATCH(F175,'Уроки'!$A:$A,0)),"")</f>
        <v/>
      </c>
      <c r="K175" s="11">
        <f>IFERROR(INDEX('Уроки'!$J:$J,MATCH(F175,'Уроки'!$A:$A,0)),"")</f>
        <v/>
      </c>
      <c r="L175" s="11" t="inlineStr">
        <is>
          <t>Spotlight / 5 класс / Module 3 · My home, my castle / Prepositions of place / Prepositions of place: on — on the left/right, on the first floor</t>
        </is>
      </c>
    </row>
    <row r="176">
      <c r="A176" s="37" t="n">
        <v>5</v>
      </c>
      <c r="B176" s="11" t="inlineStr">
        <is>
          <t>Module 3 · My home, my castle</t>
        </is>
      </c>
      <c r="C176" s="11" t="inlineStr">
        <is>
          <t>3b</t>
        </is>
      </c>
      <c r="D176" s="11" t="inlineStr">
        <is>
          <t>There is / There are</t>
        </is>
      </c>
      <c r="E176" s="35" t="inlineStr">
        <is>
          <t>There is / There are: there is — утверждение (ед. ч.)</t>
        </is>
      </c>
      <c r="F176" s="11" t="inlineStr">
        <is>
          <t>Ст-500</t>
        </is>
      </c>
      <c r="G176" s="37" t="inlineStr">
        <is>
          <t>повторение</t>
        </is>
      </c>
      <c r="H176" s="11" t="inlineStr">
        <is>
          <t>перевод начинается с обстоятельства места</t>
        </is>
      </c>
      <c r="I176" s="37" t="inlineStr">
        <is>
          <t>10+</t>
        </is>
      </c>
      <c r="J176" s="11">
        <f>IFERROR(INDEX('Уроки'!$H:$H,MATCH(F176,'Уроки'!$A:$A,0)),"")</f>
        <v/>
      </c>
      <c r="K176" s="11">
        <f>IFERROR(INDEX('Уроки'!$J:$J,MATCH(F176,'Уроки'!$A:$A,0)),"")</f>
        <v/>
      </c>
      <c r="L176" s="11" t="inlineStr">
        <is>
          <t>Spotlight / 5 класс / Module 3 · My home, my castle / There is / There are / There is / There are: there is — утверждение (ед. ч.)</t>
        </is>
      </c>
    </row>
    <row r="177">
      <c r="A177" s="37" t="n">
        <v>5</v>
      </c>
      <c r="B177" s="11" t="inlineStr">
        <is>
          <t>Module 3 · My home, my castle</t>
        </is>
      </c>
      <c r="C177" s="11" t="inlineStr">
        <is>
          <t>3b</t>
        </is>
      </c>
      <c r="D177" s="11" t="inlineStr">
        <is>
          <t>There is / There are</t>
        </is>
      </c>
      <c r="E177" s="35" t="inlineStr">
        <is>
          <t>There is / There are: there are — утверждение (мн. ч.)</t>
        </is>
      </c>
      <c r="F177" s="11" t="inlineStr">
        <is>
          <t>Ст-501</t>
        </is>
      </c>
      <c r="G177" s="37" t="inlineStr">
        <is>
          <t>повторение</t>
        </is>
      </c>
      <c r="H177" s="11" t="inlineStr"/>
      <c r="I177" s="37" t="inlineStr">
        <is>
          <t>10+</t>
        </is>
      </c>
      <c r="J177" s="11">
        <f>IFERROR(INDEX('Уроки'!$H:$H,MATCH(F177,'Уроки'!$A:$A,0)),"")</f>
        <v/>
      </c>
      <c r="K177" s="11">
        <f>IFERROR(INDEX('Уроки'!$J:$J,MATCH(F177,'Уроки'!$A:$A,0)),"")</f>
        <v/>
      </c>
      <c r="L177" s="11" t="inlineStr">
        <is>
          <t>Spotlight / 5 класс / Module 3 · My home, my castle / There is / There are / There is / There are: there are — утверждение (мн. ч.)</t>
        </is>
      </c>
    </row>
    <row r="178">
      <c r="A178" s="37" t="n">
        <v>5</v>
      </c>
      <c r="B178" s="11" t="inlineStr">
        <is>
          <t>Module 3 · My home, my castle</t>
        </is>
      </c>
      <c r="C178" s="11" t="inlineStr">
        <is>
          <t>3b</t>
        </is>
      </c>
      <c r="D178" s="11" t="inlineStr">
        <is>
          <t>There is / There are</t>
        </is>
      </c>
      <c r="E178" s="35" t="inlineStr">
        <is>
          <t>There is / There are: отрицание — there isn't / there aren't</t>
        </is>
      </c>
      <c r="F178" s="11" t="inlineStr">
        <is>
          <t>Ст-502</t>
        </is>
      </c>
      <c r="G178" s="37" t="inlineStr">
        <is>
          <t>повторение</t>
        </is>
      </c>
      <c r="H178" s="11" t="inlineStr"/>
      <c r="I178" s="37" t="inlineStr">
        <is>
          <t>10+</t>
        </is>
      </c>
      <c r="J178" s="11">
        <f>IFERROR(INDEX('Уроки'!$H:$H,MATCH(F178,'Уроки'!$A:$A,0)),"")</f>
        <v/>
      </c>
      <c r="K178" s="11">
        <f>IFERROR(INDEX('Уроки'!$J:$J,MATCH(F178,'Уроки'!$A:$A,0)),"")</f>
        <v/>
      </c>
      <c r="L178" s="11" t="inlineStr">
        <is>
          <t>Spotlight / 5 класс / Module 3 · My home, my castle / There is / There are / There is / There are: отрицание — there isn't / there aren't</t>
        </is>
      </c>
    </row>
    <row r="179">
      <c r="A179" s="37" t="n">
        <v>5</v>
      </c>
      <c r="B179" s="11" t="inlineStr">
        <is>
          <t>Module 3 · My home, my castle</t>
        </is>
      </c>
      <c r="C179" s="11" t="inlineStr">
        <is>
          <t>3b</t>
        </is>
      </c>
      <c r="D179" s="11" t="inlineStr">
        <is>
          <t>There is / There are</t>
        </is>
      </c>
      <c r="E179" s="35" t="inlineStr">
        <is>
          <t>There is / There are: вопросы — Is there…? / Are there…?</t>
        </is>
      </c>
      <c r="F179" s="11" t="inlineStr">
        <is>
          <t>Ст-503</t>
        </is>
      </c>
      <c r="G179" s="37" t="inlineStr">
        <is>
          <t>повторение</t>
        </is>
      </c>
      <c r="H179" s="11" t="inlineStr">
        <is>
          <t>кратких ответов нет</t>
        </is>
      </c>
      <c r="I179" s="37" t="inlineStr">
        <is>
          <t>10+</t>
        </is>
      </c>
      <c r="J179" s="11">
        <f>IFERROR(INDEX('Уроки'!$H:$H,MATCH(F179,'Уроки'!$A:$A,0)),"")</f>
        <v/>
      </c>
      <c r="K179" s="11">
        <f>IFERROR(INDEX('Уроки'!$J:$J,MATCH(F179,'Уроки'!$A:$A,0)),"")</f>
        <v/>
      </c>
      <c r="L179" s="11" t="inlineStr">
        <is>
          <t>Spotlight / 5 класс / Module 3 · My home, my castle / There is / There are / There is / There are: вопросы — Is there…? / Are there…?</t>
        </is>
      </c>
    </row>
    <row r="180">
      <c r="A180" s="37" t="n">
        <v>5</v>
      </c>
      <c r="B180" s="11" t="inlineStr">
        <is>
          <t>Module 3 · My home, my castle</t>
        </is>
      </c>
      <c r="C180" s="11" t="inlineStr">
        <is>
          <t>3b</t>
        </is>
      </c>
      <c r="D180" s="11" t="inlineStr">
        <is>
          <t>There is / There are</t>
        </is>
      </c>
      <c r="E180" s="35" t="inlineStr">
        <is>
          <t>There is / There are: some / any в конструкции</t>
        </is>
      </c>
      <c r="F180" s="11" t="inlineStr">
        <is>
          <t>Ст-504</t>
        </is>
      </c>
      <c r="G180" s="40" t="inlineStr">
        <is>
          <t>новое</t>
        </is>
      </c>
      <c r="H180" s="11" t="inlineStr">
        <is>
          <t>There are some chairs / There aren't any / Are there any…?</t>
        </is>
      </c>
      <c r="I180" s="37" t="inlineStr">
        <is>
          <t>10+</t>
        </is>
      </c>
      <c r="J180" s="11">
        <f>IFERROR(INDEX('Уроки'!$H:$H,MATCH(F180,'Уроки'!$A:$A,0)),"")</f>
        <v/>
      </c>
      <c r="K180" s="11">
        <f>IFERROR(INDEX('Уроки'!$J:$J,MATCH(F180,'Уроки'!$A:$A,0)),"")</f>
        <v/>
      </c>
      <c r="L180" s="11" t="inlineStr">
        <is>
          <t>Spotlight / 5 класс / Module 3 · My home, my castle / There is / There are / There is / There are: some / any в конструкции</t>
        </is>
      </c>
    </row>
    <row r="181">
      <c r="A181" s="37" t="n">
        <v>5</v>
      </c>
      <c r="B181" s="11" t="inlineStr">
        <is>
          <t>Module 3 · My home, my castle</t>
        </is>
      </c>
      <c r="C181" s="11" t="inlineStr">
        <is>
          <t>3b</t>
        </is>
      </c>
      <c r="D181" s="11" t="inlineStr">
        <is>
          <t>Word formation</t>
        </is>
      </c>
      <c r="E181" s="33" t="inlineStr">
        <is>
          <t>Word formation: compound nouns</t>
        </is>
      </c>
      <c r="F181" s="11" t="inlineStr">
        <is>
          <t>Ст-611</t>
        </is>
      </c>
      <c r="G181" s="40" t="inlineStr">
        <is>
          <t>новое</t>
        </is>
      </c>
      <c r="H181" s="11" t="inlineStr">
        <is>
          <t>Сложные существительные (compound nouns).</t>
        </is>
      </c>
      <c r="I181" s="37" t="inlineStr">
        <is>
          <t>10+</t>
        </is>
      </c>
      <c r="J181" s="11">
        <f>IFERROR(INDEX('Уроки'!$H:$H,MATCH(F181,'Уроки'!$A:$A,0)),"")</f>
        <v/>
      </c>
      <c r="K181" s="11">
        <f>IFERROR(INDEX('Уроки'!$J:$J,MATCH(F181,'Уроки'!$A:$A,0)),"")</f>
        <v/>
      </c>
      <c r="L181" s="11" t="inlineStr">
        <is>
          <t>Spotlight / 5 класс / Module 3 · My home, my castle / Word formation / Word formation: compound nouns</t>
        </is>
      </c>
    </row>
    <row r="182">
      <c r="A182" s="37" t="n">
        <v>5</v>
      </c>
      <c r="B182" s="11" t="inlineStr">
        <is>
          <t>Module 4 · Family ties</t>
        </is>
      </c>
      <c r="C182" s="11" t="inlineStr">
        <is>
          <t>4a</t>
        </is>
      </c>
      <c r="D182" s="11" t="inlineStr">
        <is>
          <t>can (ability)</t>
        </is>
      </c>
      <c r="E182" s="35" t="inlineStr">
        <is>
          <t>can (ability): значение — умение; утверждение can + глагол без to</t>
        </is>
      </c>
      <c r="F182" s="11" t="inlineStr">
        <is>
          <t>Ст-122</t>
        </is>
      </c>
      <c r="G182" s="41" t="inlineStr">
        <is>
          <t>расширение</t>
        </is>
      </c>
      <c r="H182" s="11" t="inlineStr">
        <is>
          <t>can не меняется по лицам; после него глагол без to</t>
        </is>
      </c>
      <c r="I182" s="37" t="inlineStr">
        <is>
          <t>10+</t>
        </is>
      </c>
      <c r="J182" s="11">
        <f>IFERROR(INDEX('Уроки'!$H:$H,MATCH(F182,'Уроки'!$A:$A,0)),"")</f>
        <v/>
      </c>
      <c r="K182" s="11">
        <f>IFERROR(INDEX('Уроки'!$J:$J,MATCH(F182,'Уроки'!$A:$A,0)),"")</f>
        <v/>
      </c>
      <c r="L182" s="11" t="inlineStr">
        <is>
          <t>Spotlight / 5 класс / Module 4 · Family ties / can (ability) / can (ability): значение — умение; утверждение can + глагол без to</t>
        </is>
      </c>
    </row>
    <row r="183">
      <c r="A183" s="37" t="n">
        <v>5</v>
      </c>
      <c r="B183" s="11" t="inlineStr">
        <is>
          <t>Module 4 · Family ties</t>
        </is>
      </c>
      <c r="C183" s="11" t="inlineStr">
        <is>
          <t>4a</t>
        </is>
      </c>
      <c r="D183" s="11" t="inlineStr">
        <is>
          <t>can (ability)</t>
        </is>
      </c>
      <c r="E183" s="35" t="inlineStr">
        <is>
          <t>can (ability): отрицание — cannot / can't</t>
        </is>
      </c>
      <c r="F183" s="11" t="inlineStr">
        <is>
          <t>Ст-123</t>
        </is>
      </c>
      <c r="G183" s="37" t="inlineStr">
        <is>
          <t>повторение</t>
        </is>
      </c>
      <c r="H183" s="11" t="inlineStr"/>
      <c r="I183" s="37" t="inlineStr">
        <is>
          <t>10+</t>
        </is>
      </c>
      <c r="J183" s="11">
        <f>IFERROR(INDEX('Уроки'!$H:$H,MATCH(F183,'Уроки'!$A:$A,0)),"")</f>
        <v/>
      </c>
      <c r="K183" s="11">
        <f>IFERROR(INDEX('Уроки'!$J:$J,MATCH(F183,'Уроки'!$A:$A,0)),"")</f>
        <v/>
      </c>
      <c r="L183" s="11" t="inlineStr">
        <is>
          <t>Spotlight / 5 класс / Module 4 · Family ties / can (ability) / can (ability): отрицание — cannot / can't</t>
        </is>
      </c>
    </row>
    <row r="184">
      <c r="A184" s="37" t="n">
        <v>5</v>
      </c>
      <c r="B184" s="11" t="inlineStr">
        <is>
          <t>Module 4 · Family ties</t>
        </is>
      </c>
      <c r="C184" s="11" t="inlineStr">
        <is>
          <t>4a</t>
        </is>
      </c>
      <c r="D184" s="11" t="inlineStr">
        <is>
          <t>can (ability)</t>
        </is>
      </c>
      <c r="E184" s="35" t="inlineStr">
        <is>
          <t>can (ability): вопросы и краткие ответы</t>
        </is>
      </c>
      <c r="F184" s="11" t="inlineStr">
        <is>
          <t>Ст-124</t>
        </is>
      </c>
      <c r="G184" s="37" t="inlineStr">
        <is>
          <t>повторение</t>
        </is>
      </c>
      <c r="H184" s="11" t="inlineStr"/>
      <c r="I184" s="37" t="inlineStr">
        <is>
          <t>10+</t>
        </is>
      </c>
      <c r="J184" s="11">
        <f>IFERROR(INDEX('Уроки'!$H:$H,MATCH(F184,'Уроки'!$A:$A,0)),"")</f>
        <v/>
      </c>
      <c r="K184" s="11">
        <f>IFERROR(INDEX('Уроки'!$J:$J,MATCH(F184,'Уроки'!$A:$A,0)),"")</f>
        <v/>
      </c>
      <c r="L184" s="11" t="inlineStr">
        <is>
          <t>Spotlight / 5 класс / Module 4 · Family ties / can (ability) / can (ability): вопросы и краткие ответы</t>
        </is>
      </c>
    </row>
    <row r="185">
      <c r="A185" s="37" t="n">
        <v>5</v>
      </c>
      <c r="B185" s="11" t="inlineStr">
        <is>
          <t>Module 4 · Family ties</t>
        </is>
      </c>
      <c r="C185" s="11" t="inlineStr">
        <is>
          <t>4b</t>
        </is>
      </c>
      <c r="D185" s="11" t="inlineStr">
        <is>
          <t>Possessive case ('s)</t>
        </is>
      </c>
      <c r="E185" s="34" t="inlineStr">
        <is>
          <t>Possessive case ('s): 's в ед. ч. — принадлежность</t>
        </is>
      </c>
      <c r="F185" s="11" t="inlineStr">
        <is>
          <t>Ст-344</t>
        </is>
      </c>
      <c r="G185" s="37" t="inlineStr">
        <is>
          <t>повторение</t>
        </is>
      </c>
      <c r="H185" s="11" t="inlineStr">
        <is>
          <t>Jim's room, the girl's guitar; 's — для одушевлённых</t>
        </is>
      </c>
      <c r="I185" s="37" t="inlineStr">
        <is>
          <t>10+</t>
        </is>
      </c>
      <c r="J185" s="11">
        <f>IFERROR(INDEX('Уроки'!$H:$H,MATCH(F185,'Уроки'!$A:$A,0)),"")</f>
        <v/>
      </c>
      <c r="K185" s="11">
        <f>IFERROR(INDEX('Уроки'!$J:$J,MATCH(F185,'Уроки'!$A:$A,0)),"")</f>
        <v/>
      </c>
      <c r="L185" s="11" t="inlineStr">
        <is>
          <t>Spotlight / 5 класс / Module 4 · Family ties / Possessive case ('s) / Possessive case ('s): 's в ед. ч. — принадлежность</t>
        </is>
      </c>
    </row>
    <row r="186">
      <c r="A186" s="37" t="n">
        <v>5</v>
      </c>
      <c r="B186" s="11" t="inlineStr">
        <is>
          <t>Module 4 · Family ties</t>
        </is>
      </c>
      <c r="C186" s="11" t="inlineStr">
        <is>
          <t>4b</t>
        </is>
      </c>
      <c r="D186" s="11" t="inlineStr">
        <is>
          <t>Possessive case ('s)</t>
        </is>
      </c>
      <c r="E186" s="34" t="inlineStr">
        <is>
          <t>Possessive case ('s): вопрос Whose?</t>
        </is>
      </c>
      <c r="F186" s="11" t="inlineStr">
        <is>
          <t>Ст-345</t>
        </is>
      </c>
      <c r="G186" s="37" t="inlineStr">
        <is>
          <t>повторение</t>
        </is>
      </c>
      <c r="H186" s="11" t="inlineStr">
        <is>
          <t>Whose is the guitar? It's Peter's.</t>
        </is>
      </c>
      <c r="I186" s="37" t="inlineStr">
        <is>
          <t>10+</t>
        </is>
      </c>
      <c r="J186" s="11">
        <f>IFERROR(INDEX('Уроки'!$H:$H,MATCH(F186,'Уроки'!$A:$A,0)),"")</f>
        <v/>
      </c>
      <c r="K186" s="11">
        <f>IFERROR(INDEX('Уроки'!$J:$J,MATCH(F186,'Уроки'!$A:$A,0)),"")</f>
        <v/>
      </c>
      <c r="L186" s="11" t="inlineStr">
        <is>
          <t>Spotlight / 5 класс / Module 4 · Family ties / Possessive case ('s) / Possessive case ('s): вопрос Whose?</t>
        </is>
      </c>
    </row>
    <row r="187">
      <c r="A187" s="37" t="n">
        <v>5</v>
      </c>
      <c r="B187" s="11" t="inlineStr">
        <is>
          <t>Module 4 · Family ties</t>
        </is>
      </c>
      <c r="C187" s="11" t="inlineStr">
        <is>
          <t>4b</t>
        </is>
      </c>
      <c r="D187" s="11" t="inlineStr">
        <is>
          <t>Possessive case ('s)</t>
        </is>
      </c>
      <c r="E187" s="35" t="inlineStr">
        <is>
          <t>Possessive case ('s): значение — отношения между людьми</t>
        </is>
      </c>
      <c r="F187" s="11" t="inlineStr">
        <is>
          <t>Ст-346</t>
        </is>
      </c>
      <c r="G187" s="40" t="inlineStr">
        <is>
          <t>новое</t>
        </is>
      </c>
      <c r="H187" s="11" t="inlineStr">
        <is>
          <t>Linda's sister</t>
        </is>
      </c>
      <c r="I187" s="37" t="inlineStr">
        <is>
          <t>10+</t>
        </is>
      </c>
      <c r="J187" s="11">
        <f>IFERROR(INDEX('Уроки'!$H:$H,MATCH(F187,'Уроки'!$A:$A,0)),"")</f>
        <v/>
      </c>
      <c r="K187" s="11">
        <f>IFERROR(INDEX('Уроки'!$J:$J,MATCH(F187,'Уроки'!$A:$A,0)),"")</f>
        <v/>
      </c>
      <c r="L187" s="11" t="inlineStr">
        <is>
          <t>Spotlight / 5 класс / Module 4 · Family ties / Possessive case ('s) / Possessive case ('s): значение — отношения между людьми</t>
        </is>
      </c>
    </row>
    <row r="188">
      <c r="A188" s="37" t="n">
        <v>5</v>
      </c>
      <c r="B188" s="11" t="inlineStr">
        <is>
          <t>Module 4 · Family ties</t>
        </is>
      </c>
      <c r="C188" s="11" t="inlineStr">
        <is>
          <t>4b</t>
        </is>
      </c>
      <c r="D188" s="11" t="inlineStr">
        <is>
          <t>Possessive case ('s)</t>
        </is>
      </c>
      <c r="E188" s="35" t="inlineStr">
        <is>
          <t>Possessive case ('s): магазины, учреждения, чей-то дом (at the baker's)</t>
        </is>
      </c>
      <c r="F188" s="11" t="inlineStr">
        <is>
          <t>Ст-347</t>
        </is>
      </c>
      <c r="G188" s="40" t="inlineStr">
        <is>
          <t>новое</t>
        </is>
      </c>
      <c r="H188" s="11" t="inlineStr">
        <is>
          <t>at the chemist's</t>
        </is>
      </c>
      <c r="I188" s="37" t="inlineStr">
        <is>
          <t>10+</t>
        </is>
      </c>
      <c r="J188" s="11">
        <f>IFERROR(INDEX('Уроки'!$H:$H,MATCH(F188,'Уроки'!$A:$A,0)),"")</f>
        <v/>
      </c>
      <c r="K188" s="11">
        <f>IFERROR(INDEX('Уроки'!$J:$J,MATCH(F188,'Уроки'!$A:$A,0)),"")</f>
        <v/>
      </c>
      <c r="L188" s="11" t="inlineStr">
        <is>
          <t>Spotlight / 5 класс / Module 4 · Family ties / Possessive case ('s) / Possessive case ('s): магазины, учреждения, чей-то дом (at the baker's)</t>
        </is>
      </c>
    </row>
    <row r="189">
      <c r="A189" s="37" t="n">
        <v>5</v>
      </c>
      <c r="B189" s="11" t="inlineStr">
        <is>
          <t>Module 4 · Family ties</t>
        </is>
      </c>
      <c r="C189" s="11" t="inlineStr">
        <is>
          <t>4b</t>
        </is>
      </c>
      <c r="D189" s="11" t="inlineStr">
        <is>
          <t>Possessive case ('s)</t>
        </is>
      </c>
      <c r="E189" s="34" t="inlineStr">
        <is>
          <t>Possessive case ('s): имена на -s — 's или только апостроф</t>
        </is>
      </c>
      <c r="F189" s="11" t="inlineStr">
        <is>
          <t>Ст-348</t>
        </is>
      </c>
      <c r="G189" s="40" t="inlineStr">
        <is>
          <t>новое</t>
        </is>
      </c>
      <c r="H189" s="11" t="inlineStr">
        <is>
          <t>Doris's / Doris' dress</t>
        </is>
      </c>
      <c r="I189" s="37" t="inlineStr">
        <is>
          <t>10+</t>
        </is>
      </c>
      <c r="J189" s="11">
        <f>IFERROR(INDEX('Уроки'!$H:$H,MATCH(F189,'Уроки'!$A:$A,0)),"")</f>
        <v/>
      </c>
      <c r="K189" s="11">
        <f>IFERROR(INDEX('Уроки'!$J:$J,MATCH(F189,'Уроки'!$A:$A,0)),"")</f>
        <v/>
      </c>
      <c r="L189" s="11" t="inlineStr">
        <is>
          <t>Spotlight / 5 класс / Module 4 · Family ties / Possessive case ('s) / Possessive case ('s): имена на -s — 's или только апостроф</t>
        </is>
      </c>
    </row>
    <row r="190">
      <c r="A190" s="37" t="n">
        <v>5</v>
      </c>
      <c r="B190" s="11" t="inlineStr">
        <is>
          <t>Module 4 · Family ties</t>
        </is>
      </c>
      <c r="C190" s="11" t="inlineStr">
        <is>
          <t>4b</t>
        </is>
      </c>
      <c r="D190" s="11" t="inlineStr">
        <is>
          <t>Possessive case ('s)</t>
        </is>
      </c>
      <c r="E190" s="34" t="inlineStr">
        <is>
          <t>Possessive case ('s): мн. ч. — s' (the boys') и исключения 's (the children's)</t>
        </is>
      </c>
      <c r="F190" s="11" t="inlineStr">
        <is>
          <t>Ст-349</t>
        </is>
      </c>
      <c r="G190" s="40" t="inlineStr">
        <is>
          <t>новое</t>
        </is>
      </c>
      <c r="H190" s="11" t="inlineStr">
        <is>
          <t>the boys' toys, the women's dresses</t>
        </is>
      </c>
      <c r="I190" s="37" t="inlineStr">
        <is>
          <t>10+</t>
        </is>
      </c>
      <c r="J190" s="11">
        <f>IFERROR(INDEX('Уроки'!$H:$H,MATCH(F190,'Уроки'!$A:$A,0)),"")</f>
        <v/>
      </c>
      <c r="K190" s="11">
        <f>IFERROR(INDEX('Уроки'!$J:$J,MATCH(F190,'Уроки'!$A:$A,0)),"")</f>
        <v/>
      </c>
      <c r="L190" s="11" t="inlineStr">
        <is>
          <t>Spotlight / 5 класс / Module 4 · Family ties / Possessive case ('s) / Possessive case ('s): мн. ч. — s' (the boys') и исключения 's (the children's)</t>
        </is>
      </c>
    </row>
    <row r="191">
      <c r="A191" s="37" t="n">
        <v>5</v>
      </c>
      <c r="B191" s="11" t="inlineStr">
        <is>
          <t>Module 4 · Family ties</t>
        </is>
      </c>
      <c r="C191" s="11" t="inlineStr">
        <is>
          <t>4b</t>
        </is>
      </c>
      <c r="D191" s="11" t="inlineStr">
        <is>
          <t>Possessive case ('s)</t>
        </is>
      </c>
      <c r="E191" s="34" t="inlineStr">
        <is>
          <t>Possessive case ('s): of для неодушевлённых (the windows of the house)</t>
        </is>
      </c>
      <c r="F191" s="11" t="inlineStr">
        <is>
          <t>Ст-350</t>
        </is>
      </c>
      <c r="G191" s="40" t="inlineStr">
        <is>
          <t>новое</t>
        </is>
      </c>
      <c r="H191" s="11" t="inlineStr"/>
      <c r="I191" s="37" t="inlineStr">
        <is>
          <t>10+</t>
        </is>
      </c>
      <c r="J191" s="11">
        <f>IFERROR(INDEX('Уроки'!$H:$H,MATCH(F191,'Уроки'!$A:$A,0)),"")</f>
        <v/>
      </c>
      <c r="K191" s="11">
        <f>IFERROR(INDEX('Уроки'!$J:$J,MATCH(F191,'Уроки'!$A:$A,0)),"")</f>
        <v/>
      </c>
      <c r="L191" s="11" t="inlineStr">
        <is>
          <t>Spotlight / 5 класс / Module 4 · Family ties / Possessive case ('s) / Possessive case ('s): of для неодушевлённых (the windows of the house)</t>
        </is>
      </c>
    </row>
    <row r="192">
      <c r="A192" s="37" t="n">
        <v>5</v>
      </c>
      <c r="B192" s="11" t="inlineStr">
        <is>
          <t>Module 4 · Family ties</t>
        </is>
      </c>
      <c r="C192" s="11" t="inlineStr">
        <is>
          <t>4a</t>
        </is>
      </c>
      <c r="D192" s="11" t="inlineStr">
        <is>
          <t>Object pronouns</t>
        </is>
      </c>
      <c r="E192" s="33" t="inlineStr">
        <is>
          <t>Object pronouns: формы me, you, him, her, it, us, them</t>
        </is>
      </c>
      <c r="F192" s="11" t="inlineStr">
        <is>
          <t>Ст-399</t>
        </is>
      </c>
      <c r="G192" s="40" t="inlineStr">
        <is>
          <t>новое</t>
        </is>
      </c>
      <c r="H192" s="11" t="inlineStr"/>
      <c r="I192" s="37" t="inlineStr">
        <is>
          <t>10+</t>
        </is>
      </c>
      <c r="J192" s="11">
        <f>IFERROR(INDEX('Уроки'!$H:$H,MATCH(F192,'Уроки'!$A:$A,0)),"")</f>
        <v/>
      </c>
      <c r="K192" s="11">
        <f>IFERROR(INDEX('Уроки'!$J:$J,MATCH(F192,'Уроки'!$A:$A,0)),"")</f>
        <v/>
      </c>
      <c r="L192" s="11" t="inlineStr">
        <is>
          <t>Spotlight / 5 класс / Module 4 · Family ties / Object pronouns / Object pronouns: формы me, you, him, her, it, us, them</t>
        </is>
      </c>
    </row>
    <row r="193">
      <c r="A193" s="37" t="n">
        <v>5</v>
      </c>
      <c r="B193" s="11" t="inlineStr">
        <is>
          <t>Module 4 · Family ties</t>
        </is>
      </c>
      <c r="C193" s="11" t="inlineStr">
        <is>
          <t>4a</t>
        </is>
      </c>
      <c r="D193" s="11" t="inlineStr">
        <is>
          <t>Object pronouns</t>
        </is>
      </c>
      <c r="E193" s="33" t="inlineStr">
        <is>
          <t>Object pronouns: употребление — дополнение, после предлогов</t>
        </is>
      </c>
      <c r="F193" s="11" t="inlineStr">
        <is>
          <t>Ст-400</t>
        </is>
      </c>
      <c r="G193" s="40" t="inlineStr">
        <is>
          <t>новое</t>
        </is>
      </c>
      <c r="H193" s="11" t="inlineStr">
        <is>
          <t>Look at him! to me, about me</t>
        </is>
      </c>
      <c r="I193" s="37" t="inlineStr">
        <is>
          <t>10+</t>
        </is>
      </c>
      <c r="J193" s="11">
        <f>IFERROR(INDEX('Уроки'!$H:$H,MATCH(F193,'Уроки'!$A:$A,0)),"")</f>
        <v/>
      </c>
      <c r="K193" s="11">
        <f>IFERROR(INDEX('Уроки'!$J:$J,MATCH(F193,'Уроки'!$A:$A,0)),"")</f>
        <v/>
      </c>
      <c r="L193" s="11" t="inlineStr">
        <is>
          <t>Spotlight / 5 класс / Module 4 · Family ties / Object pronouns / Object pronouns: употребление — дополнение, после предлогов</t>
        </is>
      </c>
    </row>
    <row r="194">
      <c r="A194" s="37" t="n">
        <v>5</v>
      </c>
      <c r="B194" s="11" t="inlineStr">
        <is>
          <t>Module 4 · Family ties</t>
        </is>
      </c>
      <c r="C194" s="11" t="inlineStr">
        <is>
          <t>4a</t>
        </is>
      </c>
      <c r="D194" s="11" t="inlineStr">
        <is>
          <t>Object pronouns</t>
        </is>
      </c>
      <c r="E194" s="35" t="inlineStr">
        <is>
          <t>Object pronouns: личные vs объектные vs притяжательные — сопоставление</t>
        </is>
      </c>
      <c r="F194" s="11" t="inlineStr">
        <is>
          <t>Ст-401</t>
        </is>
      </c>
      <c r="G194" s="40" t="inlineStr">
        <is>
          <t>новое</t>
        </is>
      </c>
      <c r="H194" s="11" t="inlineStr">
        <is>
          <t>общая таблица I — me — my; функции: подлежащее / дополнение / определение</t>
        </is>
      </c>
      <c r="I194" s="37" t="inlineStr">
        <is>
          <t>10+</t>
        </is>
      </c>
      <c r="J194" s="11">
        <f>IFERROR(INDEX('Уроки'!$H:$H,MATCH(F194,'Уроки'!$A:$A,0)),"")</f>
        <v/>
      </c>
      <c r="K194" s="11">
        <f>IFERROR(INDEX('Уроки'!$J:$J,MATCH(F194,'Уроки'!$A:$A,0)),"")</f>
        <v/>
      </c>
      <c r="L194" s="11" t="inlineStr">
        <is>
          <t>Spotlight / 5 класс / Module 4 · Family ties / Object pronouns / Object pronouns: личные vs объектные vs притяжательные — сопоставление</t>
        </is>
      </c>
    </row>
    <row r="195">
      <c r="A195" s="37" t="n">
        <v>5</v>
      </c>
      <c r="B195" s="11" t="inlineStr">
        <is>
          <t>Module 4 · Family ties</t>
        </is>
      </c>
      <c r="C195" s="11" t="inlineStr">
        <is>
          <t>4b</t>
        </is>
      </c>
      <c r="D195" s="11" t="inlineStr">
        <is>
          <t>Imperative</t>
        </is>
      </c>
      <c r="E195" s="33" t="inlineStr">
        <is>
          <t>Imperative: утверждение — инфинитив без to</t>
        </is>
      </c>
      <c r="F195" s="11" t="inlineStr">
        <is>
          <t>Ст-507</t>
        </is>
      </c>
      <c r="G195" s="41" t="inlineStr">
        <is>
          <t>расширение</t>
        </is>
      </c>
      <c r="H195" s="11" t="inlineStr">
        <is>
          <t>всегда обращено ко 2 лицу ед./мн. ч.</t>
        </is>
      </c>
      <c r="I195" s="37" t="inlineStr">
        <is>
          <t>10+</t>
        </is>
      </c>
      <c r="J195" s="11">
        <f>IFERROR(INDEX('Уроки'!$H:$H,MATCH(F195,'Уроки'!$A:$A,0)),"")</f>
        <v/>
      </c>
      <c r="K195" s="11">
        <f>IFERROR(INDEX('Уроки'!$J:$J,MATCH(F195,'Уроки'!$A:$A,0)),"")</f>
        <v/>
      </c>
      <c r="L195" s="11" t="inlineStr">
        <is>
          <t>Spotlight / 5 класс / Module 4 · Family ties / Imperative / Imperative: утверждение — инфинитив без to</t>
        </is>
      </c>
    </row>
    <row r="196">
      <c r="A196" s="37" t="n">
        <v>5</v>
      </c>
      <c r="B196" s="11" t="inlineStr">
        <is>
          <t>Module 4 · Family ties</t>
        </is>
      </c>
      <c r="C196" s="11" t="inlineStr">
        <is>
          <t>4b</t>
        </is>
      </c>
      <c r="D196" s="11" t="inlineStr">
        <is>
          <t>Imperative</t>
        </is>
      </c>
      <c r="E196" s="33" t="inlineStr">
        <is>
          <t>Imperative: отрицание — Don't + инфинитив</t>
        </is>
      </c>
      <c r="F196" s="11" t="inlineStr">
        <is>
          <t>Ст-508</t>
        </is>
      </c>
      <c r="G196" s="37" t="inlineStr">
        <is>
          <t>повторение</t>
        </is>
      </c>
      <c r="H196" s="11" t="inlineStr"/>
      <c r="I196" s="37" t="inlineStr">
        <is>
          <t>10+</t>
        </is>
      </c>
      <c r="J196" s="11">
        <f>IFERROR(INDEX('Уроки'!$H:$H,MATCH(F196,'Уроки'!$A:$A,0)),"")</f>
        <v/>
      </c>
      <c r="K196" s="11">
        <f>IFERROR(INDEX('Уроки'!$J:$J,MATCH(F196,'Уроки'!$A:$A,0)),"")</f>
        <v/>
      </c>
      <c r="L196" s="11" t="inlineStr">
        <is>
          <t>Spotlight / 5 класс / Module 4 · Family ties / Imperative / Imperative: отрицание — Don't + инфинитив</t>
        </is>
      </c>
    </row>
    <row r="197">
      <c r="A197" s="37" t="n">
        <v>5</v>
      </c>
      <c r="B197" s="11" t="inlineStr">
        <is>
          <t>Module 4 · Family ties</t>
        </is>
      </c>
      <c r="C197" s="11" t="inlineStr">
        <is>
          <t>4b</t>
        </is>
      </c>
      <c r="D197" s="11" t="inlineStr">
        <is>
          <t>Imperative</t>
        </is>
      </c>
      <c r="E197" s="33" t="inlineStr">
        <is>
          <t>Imperative: значение — приказание</t>
        </is>
      </c>
      <c r="F197" s="11" t="inlineStr">
        <is>
          <t>Ст-509</t>
        </is>
      </c>
      <c r="G197" s="40" t="inlineStr">
        <is>
          <t>новое</t>
        </is>
      </c>
      <c r="H197" s="11" t="inlineStr">
        <is>
          <t>Be quiet!</t>
        </is>
      </c>
      <c r="I197" s="37" t="inlineStr">
        <is>
          <t>10+</t>
        </is>
      </c>
      <c r="J197" s="11">
        <f>IFERROR(INDEX('Уроки'!$H:$H,MATCH(F197,'Уроки'!$A:$A,0)),"")</f>
        <v/>
      </c>
      <c r="K197" s="11">
        <f>IFERROR(INDEX('Уроки'!$J:$J,MATCH(F197,'Уроки'!$A:$A,0)),"")</f>
        <v/>
      </c>
      <c r="L197" s="11" t="inlineStr">
        <is>
          <t>Spotlight / 5 класс / Module 4 · Family ties / Imperative / Imperative: значение — приказание</t>
        </is>
      </c>
    </row>
    <row r="198">
      <c r="A198" s="37" t="n">
        <v>5</v>
      </c>
      <c r="B198" s="11" t="inlineStr">
        <is>
          <t>Module 4 · Family ties</t>
        </is>
      </c>
      <c r="C198" s="11" t="inlineStr">
        <is>
          <t>4b</t>
        </is>
      </c>
      <c r="D198" s="11" t="inlineStr">
        <is>
          <t>Imperative</t>
        </is>
      </c>
      <c r="E198" s="35" t="inlineStr">
        <is>
          <t>Imperative: значение — инструкция, указание</t>
        </is>
      </c>
      <c r="F198" s="11" t="inlineStr">
        <is>
          <t>Ст-510</t>
        </is>
      </c>
      <c r="G198" s="40" t="inlineStr">
        <is>
          <t>новое</t>
        </is>
      </c>
      <c r="H198" s="11" t="inlineStr">
        <is>
          <t>Press the button on the left</t>
        </is>
      </c>
      <c r="I198" s="37" t="inlineStr">
        <is>
          <t>10+</t>
        </is>
      </c>
      <c r="J198" s="11">
        <f>IFERROR(INDEX('Уроки'!$H:$H,MATCH(F198,'Уроки'!$A:$A,0)),"")</f>
        <v/>
      </c>
      <c r="K198" s="11">
        <f>IFERROR(INDEX('Уроки'!$J:$J,MATCH(F198,'Уроки'!$A:$A,0)),"")</f>
        <v/>
      </c>
      <c r="L198" s="11" t="inlineStr">
        <is>
          <t>Spotlight / 5 класс / Module 4 · Family ties / Imperative / Imperative: значение — инструкция, указание</t>
        </is>
      </c>
    </row>
    <row r="199">
      <c r="A199" s="37" t="n">
        <v>5</v>
      </c>
      <c r="B199" s="11" t="inlineStr">
        <is>
          <t>Module 4 · Family ties</t>
        </is>
      </c>
      <c r="C199" s="11" t="inlineStr">
        <is>
          <t>4b</t>
        </is>
      </c>
      <c r="D199" s="11" t="inlineStr">
        <is>
          <t>Imperative</t>
        </is>
      </c>
      <c r="E199" s="35" t="inlineStr">
        <is>
          <t>Imperative: значение — предложение (Have some cake)</t>
        </is>
      </c>
      <c r="F199" s="11" t="inlineStr">
        <is>
          <t>Ст-511</t>
        </is>
      </c>
      <c r="G199" s="40" t="inlineStr">
        <is>
          <t>новое</t>
        </is>
      </c>
      <c r="H199" s="11" t="inlineStr">
        <is>
          <t>Have some orange juice</t>
        </is>
      </c>
      <c r="I199" s="37" t="inlineStr">
        <is>
          <t>10+</t>
        </is>
      </c>
      <c r="J199" s="11">
        <f>IFERROR(INDEX('Уроки'!$H:$H,MATCH(F199,'Уроки'!$A:$A,0)),"")</f>
        <v/>
      </c>
      <c r="K199" s="11">
        <f>IFERROR(INDEX('Уроки'!$J:$J,MATCH(F199,'Уроки'!$A:$A,0)),"")</f>
        <v/>
      </c>
      <c r="L199" s="11" t="inlineStr">
        <is>
          <t>Spotlight / 5 класс / Module 4 · Family ties / Imperative / Imperative: значение — предложение (Have some cake)</t>
        </is>
      </c>
    </row>
    <row r="200">
      <c r="A200" s="37" t="n">
        <v>5</v>
      </c>
      <c r="B200" s="11" t="inlineStr">
        <is>
          <t>Module 4 · Family ties</t>
        </is>
      </c>
      <c r="C200" s="11" t="inlineStr">
        <is>
          <t>4b</t>
        </is>
      </c>
      <c r="D200" s="11" t="inlineStr">
        <is>
          <t>Imperative</t>
        </is>
      </c>
      <c r="E200" s="35" t="inlineStr">
        <is>
          <t>Imperative: значение — просьба, вежливость с please</t>
        </is>
      </c>
      <c r="F200" s="11" t="inlineStr">
        <is>
          <t>Ст-512</t>
        </is>
      </c>
      <c r="G200" s="40" t="inlineStr">
        <is>
          <t>новое</t>
        </is>
      </c>
      <c r="H200" s="11" t="inlineStr">
        <is>
          <t>please в начале или в конце</t>
        </is>
      </c>
      <c r="I200" s="37" t="inlineStr">
        <is>
          <t>10+</t>
        </is>
      </c>
      <c r="J200" s="11">
        <f>IFERROR(INDEX('Уроки'!$H:$H,MATCH(F200,'Уроки'!$A:$A,0)),"")</f>
        <v/>
      </c>
      <c r="K200" s="11">
        <f>IFERROR(INDEX('Уроки'!$J:$J,MATCH(F200,'Уроки'!$A:$A,0)),"")</f>
        <v/>
      </c>
      <c r="L200" s="11" t="inlineStr">
        <is>
          <t>Spotlight / 5 класс / Module 4 · Family ties / Imperative / Imperative: значение — просьба, вежливость с please</t>
        </is>
      </c>
    </row>
    <row r="201">
      <c r="A201" s="37" t="n">
        <v>5</v>
      </c>
      <c r="B201" s="11" t="inlineStr">
        <is>
          <t>Module 4 · Family ties</t>
        </is>
      </c>
      <c r="C201" s="11" t="inlineStr"/>
      <c r="D201" s="11" t="inlineStr">
        <is>
          <t>Word formation</t>
        </is>
      </c>
      <c r="E201" s="33" t="inlineStr">
        <is>
          <t>Word formation: -ful</t>
        </is>
      </c>
      <c r="F201" s="11" t="inlineStr">
        <is>
          <t>Ст-608</t>
        </is>
      </c>
      <c r="G201" s="40" t="inlineStr">
        <is>
          <t>новое</t>
        </is>
      </c>
      <c r="H201" s="11" t="inlineStr">
        <is>
          <t>Прилагательные с суффиксом -ful.</t>
        </is>
      </c>
      <c r="I201" s="37" t="inlineStr">
        <is>
          <t>10+</t>
        </is>
      </c>
      <c r="J201" s="11">
        <f>IFERROR(INDEX('Уроки'!$H:$H,MATCH(F201,'Уроки'!$A:$A,0)),"")</f>
        <v/>
      </c>
      <c r="K201" s="11">
        <f>IFERROR(INDEX('Уроки'!$J:$J,MATCH(F201,'Уроки'!$A:$A,0)),"")</f>
        <v/>
      </c>
      <c r="L201" s="11" t="inlineStr">
        <is>
          <t>Spotlight / 5 класс / Module 4 · Family ties / Word formation / Word formation: -ful</t>
        </is>
      </c>
    </row>
    <row r="202">
      <c r="A202" s="37" t="n">
        <v>5</v>
      </c>
      <c r="B202" s="11" t="inlineStr">
        <is>
          <t>Module 5 · World animals</t>
        </is>
      </c>
      <c r="C202" s="11" t="inlineStr">
        <is>
          <t>5a</t>
        </is>
      </c>
      <c r="D202" s="11" t="inlineStr">
        <is>
          <t>Present Simple</t>
        </is>
      </c>
      <c r="E202" s="35" t="inlineStr">
        <is>
          <t>Present Simple: утверждение (I/you/we/they V, he/she/it V-s)</t>
        </is>
      </c>
      <c r="F202" s="11" t="inlineStr">
        <is>
          <t>Ст-026</t>
        </is>
      </c>
      <c r="G202" s="37" t="inlineStr">
        <is>
          <t>повторение</t>
        </is>
      </c>
      <c r="H202" s="11" t="inlineStr">
        <is>
          <t>+ правила 3 л.</t>
        </is>
      </c>
      <c r="I202" s="37" t="inlineStr">
        <is>
          <t>10+</t>
        </is>
      </c>
      <c r="J202" s="11">
        <f>IFERROR(INDEX('Уроки'!$H:$H,MATCH(F202,'Уроки'!$A:$A,0)),"")</f>
        <v/>
      </c>
      <c r="K202" s="11">
        <f>IFERROR(INDEX('Уроки'!$J:$J,MATCH(F202,'Уроки'!$A:$A,0)),"")</f>
        <v/>
      </c>
      <c r="L202" s="11" t="inlineStr">
        <is>
          <t>Spotlight / 5 класс / Module 5 · World animals / Present Simple / Present Simple: утверждение (I/you/we/they V, he/she/it V-s)</t>
        </is>
      </c>
    </row>
    <row r="203">
      <c r="A203" s="37" t="n">
        <v>5</v>
      </c>
      <c r="B203" s="11" t="inlineStr">
        <is>
          <t>Module 5 · World animals</t>
        </is>
      </c>
      <c r="C203" s="11" t="inlineStr">
        <is>
          <t>5b</t>
        </is>
      </c>
      <c r="D203" s="11" t="inlineStr">
        <is>
          <t>Present Simple</t>
        </is>
      </c>
      <c r="E203" s="35" t="inlineStr">
        <is>
          <t>Present Simple: отрицание (don't/doesn't)</t>
        </is>
      </c>
      <c r="F203" s="11" t="inlineStr">
        <is>
          <t>Ст-027</t>
        </is>
      </c>
      <c r="G203" s="37" t="inlineStr">
        <is>
          <t>повторение</t>
        </is>
      </c>
      <c r="H203" s="11" t="inlineStr">
        <is>
          <t>don't/doesn't, все лица</t>
        </is>
      </c>
      <c r="I203" s="37" t="inlineStr">
        <is>
          <t>10+</t>
        </is>
      </c>
      <c r="J203" s="11">
        <f>IFERROR(INDEX('Уроки'!$H:$H,MATCH(F203,'Уроки'!$A:$A,0)),"")</f>
        <v/>
      </c>
      <c r="K203" s="11">
        <f>IFERROR(INDEX('Уроки'!$J:$J,MATCH(F203,'Уроки'!$A:$A,0)),"")</f>
        <v/>
      </c>
      <c r="L203" s="11" t="inlineStr">
        <is>
          <t>Spotlight / 5 класс / Module 5 · World animals / Present Simple / Present Simple: отрицание (don't/doesn't)</t>
        </is>
      </c>
    </row>
    <row r="204">
      <c r="A204" s="37" t="n">
        <v>5</v>
      </c>
      <c r="B204" s="11" t="inlineStr">
        <is>
          <t>Module 5 · World animals</t>
        </is>
      </c>
      <c r="C204" s="11" t="inlineStr">
        <is>
          <t>5b</t>
        </is>
      </c>
      <c r="D204" s="11" t="inlineStr">
        <is>
          <t>Present Simple</t>
        </is>
      </c>
      <c r="E204" s="35" t="inlineStr">
        <is>
          <t>Present Simple: общие вопросы (Do/Does …?)</t>
        </is>
      </c>
      <c r="F204" s="11" t="inlineStr">
        <is>
          <t>Ст-028</t>
        </is>
      </c>
      <c r="G204" s="37" t="inlineStr">
        <is>
          <t>повторение</t>
        </is>
      </c>
      <c r="H204" s="11" t="inlineStr">
        <is>
          <t>Do/Does …?</t>
        </is>
      </c>
      <c r="I204" s="37" t="inlineStr">
        <is>
          <t>10+</t>
        </is>
      </c>
      <c r="J204" s="11">
        <f>IFERROR(INDEX('Уроки'!$H:$H,MATCH(F204,'Уроки'!$A:$A,0)),"")</f>
        <v/>
      </c>
      <c r="K204" s="11">
        <f>IFERROR(INDEX('Уроки'!$J:$J,MATCH(F204,'Уроки'!$A:$A,0)),"")</f>
        <v/>
      </c>
      <c r="L204" s="11" t="inlineStr">
        <is>
          <t>Spotlight / 5 класс / Module 5 · World animals / Present Simple / Present Simple: общие вопросы (Do/Does …?)</t>
        </is>
      </c>
    </row>
    <row r="205">
      <c r="A205" s="37" t="n">
        <v>5</v>
      </c>
      <c r="B205" s="11" t="inlineStr">
        <is>
          <t>Module 5 · World animals</t>
        </is>
      </c>
      <c r="C205" s="11" t="inlineStr">
        <is>
          <t>5b</t>
        </is>
      </c>
      <c r="D205" s="11" t="inlineStr">
        <is>
          <t>Present Simple</t>
        </is>
      </c>
      <c r="E205" s="35" t="inlineStr">
        <is>
          <t>Present Simple: краткие ответы (Yes, I do / No, he doesn't)</t>
        </is>
      </c>
      <c r="F205" s="11" t="inlineStr">
        <is>
          <t>Ст-029</t>
        </is>
      </c>
      <c r="G205" s="37" t="inlineStr">
        <is>
          <t>повторение</t>
        </is>
      </c>
      <c r="H205" s="11" t="inlineStr">
        <is>
          <t>все лица</t>
        </is>
      </c>
      <c r="I205" s="37" t="inlineStr">
        <is>
          <t>10+</t>
        </is>
      </c>
      <c r="J205" s="11">
        <f>IFERROR(INDEX('Уроки'!$H:$H,MATCH(F205,'Уроки'!$A:$A,0)),"")</f>
        <v/>
      </c>
      <c r="K205" s="11">
        <f>IFERROR(INDEX('Уроки'!$J:$J,MATCH(F205,'Уроки'!$A:$A,0)),"")</f>
        <v/>
      </c>
      <c r="L205" s="11" t="inlineStr">
        <is>
          <t>Spotlight / 5 класс / Module 5 · World animals / Present Simple / Present Simple: краткие ответы (Yes, I do / No, he doesn't)</t>
        </is>
      </c>
    </row>
    <row r="206">
      <c r="A206" s="37" t="n">
        <v>5</v>
      </c>
      <c r="B206" s="11" t="inlineStr">
        <is>
          <t>Module 5 · World animals</t>
        </is>
      </c>
      <c r="C206" s="11" t="inlineStr">
        <is>
          <t>5a</t>
        </is>
      </c>
      <c r="D206" s="11" t="inlineStr">
        <is>
          <t>Present Simple</t>
        </is>
      </c>
      <c r="E206" s="35" t="inlineStr">
        <is>
          <t>Present Simple: орфография окончания -s/-es (3 л. ед. ч.)</t>
        </is>
      </c>
      <c r="F206" s="11" t="inlineStr">
        <is>
          <t>Ст-030</t>
        </is>
      </c>
      <c r="G206" s="37" t="inlineStr">
        <is>
          <t>повторение</t>
        </is>
      </c>
      <c r="H206" s="11" t="inlineStr">
        <is>
          <t>carry – carries, play – plays</t>
        </is>
      </c>
      <c r="I206" s="37" t="inlineStr">
        <is>
          <t>10+</t>
        </is>
      </c>
      <c r="J206" s="11">
        <f>IFERROR(INDEX('Уроки'!$H:$H,MATCH(F206,'Уроки'!$A:$A,0)),"")</f>
        <v/>
      </c>
      <c r="K206" s="11">
        <f>IFERROR(INDEX('Уроки'!$J:$J,MATCH(F206,'Уроки'!$A:$A,0)),"")</f>
        <v/>
      </c>
      <c r="L206" s="11" t="inlineStr">
        <is>
          <t>Spotlight / 5 класс / Module 5 · World animals / Present Simple / Present Simple: орфография окончания -s/-es (3 л. ед. ч.)</t>
        </is>
      </c>
    </row>
    <row r="207">
      <c r="A207" s="37" t="n">
        <v>5</v>
      </c>
      <c r="B207" s="11" t="inlineStr">
        <is>
          <t>Module 5 · World animals</t>
        </is>
      </c>
      <c r="C207" s="11" t="inlineStr">
        <is>
          <t>5a</t>
        </is>
      </c>
      <c r="D207" s="11" t="inlineStr">
        <is>
          <t>Present Simple</t>
        </is>
      </c>
      <c r="E207" s="33" t="inlineStr">
        <is>
          <t>Present Simple: значение — регулярные действия, распорядок дня, привычки</t>
        </is>
      </c>
      <c r="F207" s="11" t="inlineStr">
        <is>
          <t>Ст-031</t>
        </is>
      </c>
      <c r="G207" s="41" t="inlineStr">
        <is>
          <t>расширение</t>
        </is>
      </c>
      <c r="H207" s="11" t="inlineStr">
        <is>
          <t>новое: наречия частотности never, sometimes, often, usually, always; at night</t>
        </is>
      </c>
      <c r="I207" s="37" t="inlineStr">
        <is>
          <t>10+</t>
        </is>
      </c>
      <c r="J207" s="11">
        <f>IFERROR(INDEX('Уроки'!$H:$H,MATCH(F207,'Уроки'!$A:$A,0)),"")</f>
        <v/>
      </c>
      <c r="K207" s="11">
        <f>IFERROR(INDEX('Уроки'!$J:$J,MATCH(F207,'Уроки'!$A:$A,0)),"")</f>
        <v/>
      </c>
      <c r="L207" s="11" t="inlineStr">
        <is>
          <t>Spotlight / 5 класс / Module 5 · World animals / Present Simple / Present Simple: значение — регулярные действия, распорядок дня, привычки</t>
        </is>
      </c>
    </row>
    <row r="208">
      <c r="A208" s="37" t="n">
        <v>5</v>
      </c>
      <c r="B208" s="11" t="inlineStr">
        <is>
          <t>Module 5 · World animals</t>
        </is>
      </c>
      <c r="C208" s="11" t="inlineStr">
        <is>
          <t>5a</t>
        </is>
      </c>
      <c r="D208" s="11" t="inlineStr">
        <is>
          <t>Present Simple</t>
        </is>
      </c>
      <c r="E208" s="33" t="inlineStr">
        <is>
          <t>Present Simple: значение — постоянные состояния и действия</t>
        </is>
      </c>
      <c r="F208" s="11" t="inlineStr">
        <is>
          <t>Ст-032</t>
        </is>
      </c>
      <c r="G208" s="40" t="inlineStr">
        <is>
          <t>новое</t>
        </is>
      </c>
      <c r="H208" s="11" t="inlineStr"/>
      <c r="I208" s="37" t="inlineStr">
        <is>
          <t>10+</t>
        </is>
      </c>
      <c r="J208" s="11">
        <f>IFERROR(INDEX('Уроки'!$H:$H,MATCH(F208,'Уроки'!$A:$A,0)),"")</f>
        <v/>
      </c>
      <c r="K208" s="11">
        <f>IFERROR(INDEX('Уроки'!$J:$J,MATCH(F208,'Уроки'!$A:$A,0)),"")</f>
        <v/>
      </c>
      <c r="L208" s="11" t="inlineStr">
        <is>
          <t>Spotlight / 5 класс / Module 5 · World animals / Present Simple / Present Simple: значение — постоянные состояния и действия</t>
        </is>
      </c>
    </row>
    <row r="209">
      <c r="A209" s="37" t="n">
        <v>5</v>
      </c>
      <c r="B209" s="11" t="inlineStr">
        <is>
          <t>Module 5 · World animals</t>
        </is>
      </c>
      <c r="C209" s="11" t="inlineStr">
        <is>
          <t>5a</t>
        </is>
      </c>
      <c r="D209" s="11" t="inlineStr">
        <is>
          <t>Present Simple</t>
        </is>
      </c>
      <c r="E209" s="35" t="inlineStr">
        <is>
          <t>Present Simple: значение — непреложные истины и законы природы</t>
        </is>
      </c>
      <c r="F209" s="11" t="inlineStr">
        <is>
          <t>Ст-033</t>
        </is>
      </c>
      <c r="G209" s="40" t="inlineStr">
        <is>
          <t>новое</t>
        </is>
      </c>
      <c r="H209" s="11" t="inlineStr">
        <is>
          <t>The sun rises in the east</t>
        </is>
      </c>
      <c r="I209" s="37" t="inlineStr">
        <is>
          <t>10+</t>
        </is>
      </c>
      <c r="J209" s="11">
        <f>IFERROR(INDEX('Уроки'!$H:$H,MATCH(F209,'Уроки'!$A:$A,0)),"")</f>
        <v/>
      </c>
      <c r="K209" s="11">
        <f>IFERROR(INDEX('Уроки'!$J:$J,MATCH(F209,'Уроки'!$A:$A,0)),"")</f>
        <v/>
      </c>
      <c r="L209" s="11" t="inlineStr">
        <is>
          <t>Spotlight / 5 класс / Module 5 · World animals / Present Simple / Present Simple: значение — непреложные истины и законы природы</t>
        </is>
      </c>
    </row>
    <row r="210">
      <c r="A210" s="37" t="n">
        <v>5</v>
      </c>
      <c r="B210" s="11" t="inlineStr">
        <is>
          <t>Module 5 · World animals</t>
        </is>
      </c>
      <c r="C210" s="11" t="inlineStr">
        <is>
          <t>5b</t>
        </is>
      </c>
      <c r="D210" s="11" t="inlineStr">
        <is>
          <t>Alternative questions</t>
        </is>
      </c>
      <c r="E210" s="33" t="inlineStr">
        <is>
          <t>Alternative questions: в Present Simple (do/does … or …)</t>
        </is>
      </c>
      <c r="F210" s="11" t="inlineStr">
        <is>
          <t>Ст-506</t>
        </is>
      </c>
      <c r="G210" s="37" t="inlineStr">
        <is>
          <t>повторение</t>
        </is>
      </c>
      <c r="H210" s="11" t="inlineStr">
        <is>
          <t>Does Ann walk her dog in the morning or in the afternoon?</t>
        </is>
      </c>
      <c r="I210" s="37" t="inlineStr">
        <is>
          <t>10+</t>
        </is>
      </c>
      <c r="J210" s="11">
        <f>IFERROR(INDEX('Уроки'!$H:$H,MATCH(F210,'Уроки'!$A:$A,0)),"")</f>
        <v/>
      </c>
      <c r="K210" s="11">
        <f>IFERROR(INDEX('Уроки'!$J:$J,MATCH(F210,'Уроки'!$A:$A,0)),"")</f>
        <v/>
      </c>
      <c r="L210" s="11" t="inlineStr">
        <is>
          <t>Spotlight / 5 класс / Module 5 · World animals / Alternative questions / Alternative questions: в Present Simple (do/does … or …)</t>
        </is>
      </c>
    </row>
    <row r="211">
      <c r="A211" s="37" t="n">
        <v>5</v>
      </c>
      <c r="B211" s="11" t="inlineStr">
        <is>
          <t>Module 5 · World animals</t>
        </is>
      </c>
      <c r="C211" s="11" t="inlineStr">
        <is>
          <t>5c</t>
        </is>
      </c>
      <c r="D211" s="11" t="inlineStr">
        <is>
          <t>Question tags</t>
        </is>
      </c>
      <c r="E211" s="33" t="inlineStr">
        <is>
          <t>Question tags: образование — вспомогательный глагол + местоимение (do/does)</t>
        </is>
      </c>
      <c r="F211" s="11" t="inlineStr">
        <is>
          <t>Ст-515</t>
        </is>
      </c>
      <c r="G211" s="40" t="inlineStr">
        <is>
          <t>новое</t>
        </is>
      </c>
      <c r="H211" s="11" t="inlineStr">
        <is>
          <t>Present Simple: don't you?</t>
        </is>
      </c>
      <c r="I211" s="37" t="inlineStr">
        <is>
          <t>10+</t>
        </is>
      </c>
      <c r="J211" s="11">
        <f>IFERROR(INDEX('Уроки'!$H:$H,MATCH(F211,'Уроки'!$A:$A,0)),"")</f>
        <v/>
      </c>
      <c r="K211" s="11">
        <f>IFERROR(INDEX('Уроки'!$J:$J,MATCH(F211,'Уроки'!$A:$A,0)),"")</f>
        <v/>
      </c>
      <c r="L211" s="11" t="inlineStr">
        <is>
          <t>Spotlight / 5 класс / Module 5 · World animals / Question tags / Question tags: образование — вспомогательный глагол + местоимение (do/does)</t>
        </is>
      </c>
    </row>
    <row r="212">
      <c r="A212" s="37" t="n">
        <v>5</v>
      </c>
      <c r="B212" s="11" t="inlineStr">
        <is>
          <t>Module 5 · World animals</t>
        </is>
      </c>
      <c r="C212" s="11" t="inlineStr">
        <is>
          <t>5c</t>
        </is>
      </c>
      <c r="D212" s="11" t="inlineStr">
        <is>
          <t>Question tags</t>
        </is>
      </c>
      <c r="E212" s="33" t="inlineStr">
        <is>
          <t>Question tags: с be и модальными глаголами (isn't she, can't she)</t>
        </is>
      </c>
      <c r="F212" s="11" t="inlineStr">
        <is>
          <t>Ст-516</t>
        </is>
      </c>
      <c r="G212" s="40" t="inlineStr">
        <is>
          <t>новое</t>
        </is>
      </c>
      <c r="H212" s="11" t="inlineStr">
        <is>
          <t>is / can: isn't she, can't she</t>
        </is>
      </c>
      <c r="I212" s="37" t="inlineStr">
        <is>
          <t>10+</t>
        </is>
      </c>
      <c r="J212" s="11">
        <f>IFERROR(INDEX('Уроки'!$H:$H,MATCH(F212,'Уроки'!$A:$A,0)),"")</f>
        <v/>
      </c>
      <c r="K212" s="11">
        <f>IFERROR(INDEX('Уроки'!$J:$J,MATCH(F212,'Уроки'!$A:$A,0)),"")</f>
        <v/>
      </c>
      <c r="L212" s="11" t="inlineStr">
        <is>
          <t>Spotlight / 5 класс / Module 5 · World animals / Question tags / Question tags: с be и модальными глаголами (isn't she, can't she)</t>
        </is>
      </c>
    </row>
    <row r="213">
      <c r="A213" s="37" t="n">
        <v>5</v>
      </c>
      <c r="B213" s="11" t="inlineStr">
        <is>
          <t>Module 5 · World animals</t>
        </is>
      </c>
      <c r="C213" s="11" t="inlineStr">
        <is>
          <t>5c</t>
        </is>
      </c>
      <c r="D213" s="11" t="inlineStr">
        <is>
          <t>Question tags</t>
        </is>
      </c>
      <c r="E213" s="33" t="inlineStr">
        <is>
          <t>Question tags: утверждение → отрицательный хвост, отрицание → утвердительный</t>
        </is>
      </c>
      <c r="F213" s="11" t="inlineStr">
        <is>
          <t>Ст-517</t>
        </is>
      </c>
      <c r="G213" s="40" t="inlineStr">
        <is>
          <t>новое</t>
        </is>
      </c>
      <c r="H213" s="11" t="inlineStr">
        <is>
          <t>This is…, isn't it? / He doesn't…, does he?</t>
        </is>
      </c>
      <c r="I213" s="37" t="inlineStr">
        <is>
          <t>10+</t>
        </is>
      </c>
      <c r="J213" s="11">
        <f>IFERROR(INDEX('Уроки'!$H:$H,MATCH(F213,'Уроки'!$A:$A,0)),"")</f>
        <v/>
      </c>
      <c r="K213" s="11">
        <f>IFERROR(INDEX('Уроки'!$J:$J,MATCH(F213,'Уроки'!$A:$A,0)),"")</f>
        <v/>
      </c>
      <c r="L213" s="11" t="inlineStr">
        <is>
          <t>Spotlight / 5 класс / Module 5 · World animals / Question tags / Question tags: утверждение → отрицательный хвост, отрицание → утвердительный</t>
        </is>
      </c>
    </row>
    <row r="214">
      <c r="A214" s="37" t="n">
        <v>5</v>
      </c>
      <c r="B214" s="11" t="inlineStr">
        <is>
          <t>Module 5 · World animals</t>
        </is>
      </c>
      <c r="C214" s="11" t="inlineStr">
        <is>
          <t>5c</t>
        </is>
      </c>
      <c r="D214" s="11" t="inlineStr">
        <is>
          <t>Question tags</t>
        </is>
      </c>
      <c r="E214" s="34" t="inlineStr">
        <is>
          <t>Question tags: there is → is there?</t>
        </is>
      </c>
      <c r="F214" s="11" t="inlineStr">
        <is>
          <t>Ст-518</t>
        </is>
      </c>
      <c r="G214" s="40" t="inlineStr">
        <is>
          <t>новое</t>
        </is>
      </c>
      <c r="H214" s="11" t="inlineStr">
        <is>
          <t>There is no TV…, is there?</t>
        </is>
      </c>
      <c r="I214" s="37" t="inlineStr">
        <is>
          <t>10+</t>
        </is>
      </c>
      <c r="J214" s="11">
        <f>IFERROR(INDEX('Уроки'!$H:$H,MATCH(F214,'Уроки'!$A:$A,0)),"")</f>
        <v/>
      </c>
      <c r="K214" s="11">
        <f>IFERROR(INDEX('Уроки'!$J:$J,MATCH(F214,'Уроки'!$A:$A,0)),"")</f>
        <v/>
      </c>
      <c r="L214" s="11" t="inlineStr">
        <is>
          <t>Spotlight / 5 класс / Module 5 · World animals / Question tags / Question tags: there is → is there?</t>
        </is>
      </c>
    </row>
    <row r="215">
      <c r="A215" s="37" t="n">
        <v>5</v>
      </c>
      <c r="B215" s="11" t="inlineStr">
        <is>
          <t>Module 5 · World animals</t>
        </is>
      </c>
      <c r="C215" s="11" t="inlineStr">
        <is>
          <t>5a</t>
        </is>
      </c>
      <c r="D215" s="11" t="inlineStr">
        <is>
          <t>Word formation</t>
        </is>
      </c>
      <c r="E215" s="35" t="inlineStr">
        <is>
          <t>Word formation: -al</t>
        </is>
      </c>
      <c r="F215" s="11" t="inlineStr">
        <is>
          <t>Ст-606</t>
        </is>
      </c>
      <c r="G215" s="40" t="inlineStr">
        <is>
          <t>новое</t>
        </is>
      </c>
      <c r="H215" s="11" t="inlineStr">
        <is>
          <t>Прилагательные с суффиксом -al.</t>
        </is>
      </c>
      <c r="I215" s="37" t="inlineStr">
        <is>
          <t>10+</t>
        </is>
      </c>
      <c r="J215" s="11">
        <f>IFERROR(INDEX('Уроки'!$H:$H,MATCH(F215,'Уроки'!$A:$A,0)),"")</f>
        <v/>
      </c>
      <c r="K215" s="11">
        <f>IFERROR(INDEX('Уроки'!$J:$J,MATCH(F215,'Уроки'!$A:$A,0)),"")</f>
        <v/>
      </c>
      <c r="L215" s="11" t="inlineStr">
        <is>
          <t>Spotlight / 5 класс / Module 5 · World animals / Word formation / Word formation: -al</t>
        </is>
      </c>
    </row>
    <row r="216">
      <c r="A216" s="37" t="n">
        <v>5</v>
      </c>
      <c r="B216" s="11" t="inlineStr">
        <is>
          <t>Module 6 · Round the clock</t>
        </is>
      </c>
      <c r="C216" s="11" t="inlineStr">
        <is>
          <t>6b</t>
        </is>
      </c>
      <c r="D216" s="11" t="inlineStr">
        <is>
          <t>Present Continuous</t>
        </is>
      </c>
      <c r="E216" s="35" t="inlineStr">
        <is>
          <t>Present Continuous: утверждение (am/is/are + V-ing)</t>
        </is>
      </c>
      <c r="F216" s="11" t="inlineStr">
        <is>
          <t>Ст-015</t>
        </is>
      </c>
      <c r="G216" s="37" t="inlineStr">
        <is>
          <t>повторение</t>
        </is>
      </c>
      <c r="H216" s="11" t="inlineStr"/>
      <c r="I216" s="37" t="inlineStr">
        <is>
          <t>10+</t>
        </is>
      </c>
      <c r="J216" s="11">
        <f>IFERROR(INDEX('Уроки'!$H:$H,MATCH(F216,'Уроки'!$A:$A,0)),"")</f>
        <v/>
      </c>
      <c r="K216" s="11">
        <f>IFERROR(INDEX('Уроки'!$J:$J,MATCH(F216,'Уроки'!$A:$A,0)),"")</f>
        <v/>
      </c>
      <c r="L216" s="11" t="inlineStr">
        <is>
          <t>Spotlight / 5 класс / Module 6 · Round the clock / Present Continuous / Present Continuous: утверждение (am/is/are + V-ing)</t>
        </is>
      </c>
    </row>
    <row r="217">
      <c r="A217" s="37" t="n">
        <v>5</v>
      </c>
      <c r="B217" s="11" t="inlineStr">
        <is>
          <t>Module 6 · Round the clock</t>
        </is>
      </c>
      <c r="C217" s="11" t="inlineStr">
        <is>
          <t>6b</t>
        </is>
      </c>
      <c r="D217" s="11" t="inlineStr">
        <is>
          <t>Present Continuous</t>
        </is>
      </c>
      <c r="E217" s="35" t="inlineStr">
        <is>
          <t>Present Continuous: отрицание (I'm not / isn't / aren't)</t>
        </is>
      </c>
      <c r="F217" s="11" t="inlineStr">
        <is>
          <t>Ст-016</t>
        </is>
      </c>
      <c r="G217" s="37" t="inlineStr">
        <is>
          <t>повторение</t>
        </is>
      </c>
      <c r="H217" s="11" t="inlineStr"/>
      <c r="I217" s="37" t="inlineStr">
        <is>
          <t>10+</t>
        </is>
      </c>
      <c r="J217" s="11">
        <f>IFERROR(INDEX('Уроки'!$H:$H,MATCH(F217,'Уроки'!$A:$A,0)),"")</f>
        <v/>
      </c>
      <c r="K217" s="11">
        <f>IFERROR(INDEX('Уроки'!$J:$J,MATCH(F217,'Уроки'!$A:$A,0)),"")</f>
        <v/>
      </c>
      <c r="L217" s="11" t="inlineStr">
        <is>
          <t>Spotlight / 5 класс / Module 6 · Round the clock / Present Continuous / Present Continuous: отрицание (I'm not / isn't / aren't)</t>
        </is>
      </c>
    </row>
    <row r="218">
      <c r="A218" s="37" t="n">
        <v>5</v>
      </c>
      <c r="B218" s="11" t="inlineStr">
        <is>
          <t>Module 6 · Round the clock</t>
        </is>
      </c>
      <c r="C218" s="11" t="inlineStr">
        <is>
          <t>6b</t>
        </is>
      </c>
      <c r="D218" s="11" t="inlineStr">
        <is>
          <t>Present Continuous</t>
        </is>
      </c>
      <c r="E218" s="35" t="inlineStr">
        <is>
          <t>Present Continuous: общие вопросы (Am/Is/Are …?)</t>
        </is>
      </c>
      <c r="F218" s="11" t="inlineStr">
        <is>
          <t>Ст-017</t>
        </is>
      </c>
      <c r="G218" s="37" t="inlineStr">
        <is>
          <t>повторение</t>
        </is>
      </c>
      <c r="H218" s="11" t="inlineStr"/>
      <c r="I218" s="37" t="inlineStr">
        <is>
          <t>10+</t>
        </is>
      </c>
      <c r="J218" s="11">
        <f>IFERROR(INDEX('Уроки'!$H:$H,MATCH(F218,'Уроки'!$A:$A,0)),"")</f>
        <v/>
      </c>
      <c r="K218" s="11">
        <f>IFERROR(INDEX('Уроки'!$J:$J,MATCH(F218,'Уроки'!$A:$A,0)),"")</f>
        <v/>
      </c>
      <c r="L218" s="11" t="inlineStr">
        <is>
          <t>Spotlight / 5 класс / Module 6 · Round the clock / Present Continuous / Present Continuous: общие вопросы (Am/Is/Are …?)</t>
        </is>
      </c>
    </row>
    <row r="219">
      <c r="A219" s="37" t="n">
        <v>5</v>
      </c>
      <c r="B219" s="11" t="inlineStr">
        <is>
          <t>Module 6 · Round the clock</t>
        </is>
      </c>
      <c r="C219" s="11" t="inlineStr">
        <is>
          <t>6b</t>
        </is>
      </c>
      <c r="D219" s="11" t="inlineStr">
        <is>
          <t>Present Continuous</t>
        </is>
      </c>
      <c r="E219" s="35" t="inlineStr">
        <is>
          <t>Present Continuous: краткие ответы (Yes, I am / No, he isn't)</t>
        </is>
      </c>
      <c r="F219" s="11" t="inlineStr">
        <is>
          <t>Ст-018</t>
        </is>
      </c>
      <c r="G219" s="37" t="inlineStr">
        <is>
          <t>повторение</t>
        </is>
      </c>
      <c r="H219" s="11" t="inlineStr">
        <is>
          <t>в т.ч. No, you're not</t>
        </is>
      </c>
      <c r="I219" s="37" t="inlineStr">
        <is>
          <t>10+</t>
        </is>
      </c>
      <c r="J219" s="11">
        <f>IFERROR(INDEX('Уроки'!$H:$H,MATCH(F219,'Уроки'!$A:$A,0)),"")</f>
        <v/>
      </c>
      <c r="K219" s="11">
        <f>IFERROR(INDEX('Уроки'!$J:$J,MATCH(F219,'Уроки'!$A:$A,0)),"")</f>
        <v/>
      </c>
      <c r="L219" s="11" t="inlineStr">
        <is>
          <t>Spotlight / 5 класс / Module 6 · Round the clock / Present Continuous / Present Continuous: краткие ответы (Yes, I am / No, he isn't)</t>
        </is>
      </c>
    </row>
    <row r="220">
      <c r="A220" s="37" t="n">
        <v>5</v>
      </c>
      <c r="B220" s="11" t="inlineStr">
        <is>
          <t>Module 6 · Round the clock</t>
        </is>
      </c>
      <c r="C220" s="11" t="inlineStr">
        <is>
          <t>6b</t>
        </is>
      </c>
      <c r="D220" s="11" t="inlineStr">
        <is>
          <t>Present Continuous</t>
        </is>
      </c>
      <c r="E220" s="35" t="inlineStr">
        <is>
          <t>Present Continuous: орфография -ing</t>
        </is>
      </c>
      <c r="F220" s="11" t="inlineStr">
        <is>
          <t>Ст-019</t>
        </is>
      </c>
      <c r="G220" s="40" t="inlineStr">
        <is>
          <t>новое</t>
        </is>
      </c>
      <c r="H220" s="11" t="inlineStr">
        <is>
          <t>-e опускается; удвоение (run – running); -l удваивается; -ie → y (lie – lying)</t>
        </is>
      </c>
      <c r="I220" s="37" t="inlineStr">
        <is>
          <t>10+</t>
        </is>
      </c>
      <c r="J220" s="11">
        <f>IFERROR(INDEX('Уроки'!$H:$H,MATCH(F220,'Уроки'!$A:$A,0)),"")</f>
        <v/>
      </c>
      <c r="K220" s="11">
        <f>IFERROR(INDEX('Уроки'!$J:$J,MATCH(F220,'Уроки'!$A:$A,0)),"")</f>
        <v/>
      </c>
      <c r="L220" s="11" t="inlineStr">
        <is>
          <t>Spotlight / 5 класс / Module 6 · Round the clock / Present Continuous / Present Continuous: орфография -ing</t>
        </is>
      </c>
    </row>
    <row r="221">
      <c r="A221" s="37" t="n">
        <v>5</v>
      </c>
      <c r="B221" s="11" t="inlineStr">
        <is>
          <t>Module 6 · Round the clock</t>
        </is>
      </c>
      <c r="C221" s="11" t="inlineStr">
        <is>
          <t>6b</t>
        </is>
      </c>
      <c r="D221" s="11" t="inlineStr">
        <is>
          <t>Present Continuous</t>
        </is>
      </c>
      <c r="E221" s="33" t="inlineStr">
        <is>
          <t>Present Continuous: значение — действие сейчас (now)</t>
        </is>
      </c>
      <c r="F221" s="11" t="inlineStr">
        <is>
          <t>Ст-020</t>
        </is>
      </c>
      <c r="G221" s="37" t="inlineStr">
        <is>
          <t>повторение</t>
        </is>
      </c>
      <c r="H221" s="11" t="inlineStr">
        <is>
          <t>now</t>
        </is>
      </c>
      <c r="I221" s="37" t="inlineStr">
        <is>
          <t>10+</t>
        </is>
      </c>
      <c r="J221" s="11">
        <f>IFERROR(INDEX('Уроки'!$H:$H,MATCH(F221,'Уроки'!$A:$A,0)),"")</f>
        <v/>
      </c>
      <c r="K221" s="11">
        <f>IFERROR(INDEX('Уроки'!$J:$J,MATCH(F221,'Уроки'!$A:$A,0)),"")</f>
        <v/>
      </c>
      <c r="L221" s="11" t="inlineStr">
        <is>
          <t>Spotlight / 5 класс / Module 6 · Round the clock / Present Continuous / Present Continuous: значение — действие сейчас (now)</t>
        </is>
      </c>
    </row>
    <row r="222">
      <c r="A222" s="37" t="n">
        <v>5</v>
      </c>
      <c r="B222" s="11" t="inlineStr">
        <is>
          <t>Module 6 · Round the clock</t>
        </is>
      </c>
      <c r="C222" s="11" t="inlineStr">
        <is>
          <t>6b</t>
        </is>
      </c>
      <c r="D222" s="11" t="inlineStr">
        <is>
          <t>Present Continuous</t>
        </is>
      </c>
      <c r="E222" s="33" t="inlineStr">
        <is>
          <t>Present Continuous: значение — действие в настоящий период (these days)</t>
        </is>
      </c>
      <c r="F222" s="11" t="inlineStr">
        <is>
          <t>Ст-021</t>
        </is>
      </c>
      <c r="G222" s="40" t="inlineStr">
        <is>
          <t>новое</t>
        </is>
      </c>
      <c r="H222" s="11" t="inlineStr">
        <is>
          <t>действие в настоящий период, не обязательно в момент речи</t>
        </is>
      </c>
      <c r="I222" s="37" t="inlineStr">
        <is>
          <t>10+</t>
        </is>
      </c>
      <c r="J222" s="11">
        <f>IFERROR(INDEX('Уроки'!$H:$H,MATCH(F222,'Уроки'!$A:$A,0)),"")</f>
        <v/>
      </c>
      <c r="K222" s="11">
        <f>IFERROR(INDEX('Уроки'!$J:$J,MATCH(F222,'Уроки'!$A:$A,0)),"")</f>
        <v/>
      </c>
      <c r="L222" s="11" t="inlineStr">
        <is>
          <t>Spotlight / 5 класс / Module 6 · Round the clock / Present Continuous / Present Continuous: значение — действие в настоящий период (these days)</t>
        </is>
      </c>
    </row>
    <row r="223">
      <c r="A223" s="37" t="n">
        <v>5</v>
      </c>
      <c r="B223" s="11" t="inlineStr">
        <is>
          <t>Module 6 · Round the clock</t>
        </is>
      </c>
      <c r="C223" s="11" t="inlineStr">
        <is>
          <t>6a</t>
        </is>
      </c>
      <c r="D223" s="11" t="inlineStr">
        <is>
          <t>Adverbs of frequency</t>
        </is>
      </c>
      <c r="E223" s="33" t="inlineStr">
        <is>
          <t>Adverbs of frequency: значение — never, sometimes, usually, often, always</t>
        </is>
      </c>
      <c r="F223" s="11" t="inlineStr">
        <is>
          <t>Ст-436</t>
        </is>
      </c>
      <c r="G223" s="37" t="inlineStr">
        <is>
          <t>повторение</t>
        </is>
      </c>
      <c r="H223" s="11" t="inlineStr">
        <is>
          <t>never, sometimes, often, usually, always</t>
        </is>
      </c>
      <c r="I223" s="37" t="inlineStr">
        <is>
          <t>10+</t>
        </is>
      </c>
      <c r="J223" s="11">
        <f>IFERROR(INDEX('Уроки'!$H:$H,MATCH(F223,'Уроки'!$A:$A,0)),"")</f>
        <v/>
      </c>
      <c r="K223" s="11">
        <f>IFERROR(INDEX('Уроки'!$J:$J,MATCH(F223,'Уроки'!$A:$A,0)),"")</f>
        <v/>
      </c>
      <c r="L223" s="11" t="inlineStr">
        <is>
          <t>Spotlight / 5 класс / Module 6 · Round the clock / Adverbs of frequency / Adverbs of frequency: значение — never, sometimes, usually, often, always</t>
        </is>
      </c>
    </row>
    <row r="224">
      <c r="A224" s="37" t="n">
        <v>5</v>
      </c>
      <c r="B224" s="11" t="inlineStr">
        <is>
          <t>Module 6 · Round the clock</t>
        </is>
      </c>
      <c r="C224" s="11" t="inlineStr">
        <is>
          <t>6a</t>
        </is>
      </c>
      <c r="D224" s="11" t="inlineStr">
        <is>
          <t>Adverbs of frequency</t>
        </is>
      </c>
      <c r="E224" s="33" t="inlineStr">
        <is>
          <t>Adverbs of frequency: место — перед смысловым глаголом, после be</t>
        </is>
      </c>
      <c r="F224" s="11" t="inlineStr">
        <is>
          <t>Ст-437</t>
        </is>
      </c>
      <c r="G224" s="41" t="inlineStr">
        <is>
          <t>расширение</t>
        </is>
      </c>
      <c r="H224" s="11" t="inlineStr">
        <is>
          <t>правило сформулировано: перед смысловым, после to be</t>
        </is>
      </c>
      <c r="I224" s="37" t="inlineStr">
        <is>
          <t>10+</t>
        </is>
      </c>
      <c r="J224" s="11">
        <f>IFERROR(INDEX('Уроки'!$H:$H,MATCH(F224,'Уроки'!$A:$A,0)),"")</f>
        <v/>
      </c>
      <c r="K224" s="11">
        <f>IFERROR(INDEX('Уроки'!$J:$J,MATCH(F224,'Уроки'!$A:$A,0)),"")</f>
        <v/>
      </c>
      <c r="L224" s="11" t="inlineStr">
        <is>
          <t>Spotlight / 5 класс / Module 6 · Round the clock / Adverbs of frequency / Adverbs of frequency: место — перед смысловым глаголом, после be</t>
        </is>
      </c>
    </row>
    <row r="225">
      <c r="A225" s="37" t="n">
        <v>5</v>
      </c>
      <c r="B225" s="11" t="inlineStr">
        <is>
          <t>Module 6 · Round the clock</t>
        </is>
      </c>
      <c r="C225" s="11" t="inlineStr">
        <is>
          <t>6a</t>
        </is>
      </c>
      <c r="D225" s="11" t="inlineStr">
        <is>
          <t>Adverbs of frequency</t>
        </is>
      </c>
      <c r="E225" s="35" t="inlineStr">
        <is>
          <t>Adverbs of frequency: место — после вспомогательных и модальных глаголов</t>
        </is>
      </c>
      <c r="F225" s="11" t="inlineStr">
        <is>
          <t>Ст-438</t>
        </is>
      </c>
      <c r="G225" s="40" t="inlineStr">
        <is>
          <t>новое</t>
        </is>
      </c>
      <c r="H225" s="11" t="inlineStr">
        <is>
          <t>He doesn't often read; He can never sleep</t>
        </is>
      </c>
      <c r="I225" s="37" t="inlineStr">
        <is>
          <t>10+</t>
        </is>
      </c>
      <c r="J225" s="11">
        <f>IFERROR(INDEX('Уроки'!$H:$H,MATCH(F225,'Уроки'!$A:$A,0)),"")</f>
        <v/>
      </c>
      <c r="K225" s="11">
        <f>IFERROR(INDEX('Уроки'!$J:$J,MATCH(F225,'Уроки'!$A:$A,0)),"")</f>
        <v/>
      </c>
      <c r="L225" s="11" t="inlineStr">
        <is>
          <t>Spotlight / 5 класс / Module 6 · Round the clock / Adverbs of frequency / Adverbs of frequency: место — после вспомогательных и модальных глаголов</t>
        </is>
      </c>
    </row>
    <row r="226">
      <c r="A226" s="37" t="n">
        <v>5</v>
      </c>
      <c r="B226" s="11" t="inlineStr">
        <is>
          <t>Module 6 · Round the clock</t>
        </is>
      </c>
      <c r="C226" s="11" t="inlineStr"/>
      <c r="D226" s="11" t="inlineStr">
        <is>
          <t>Comparatives &amp; Superlatives</t>
        </is>
      </c>
      <c r="E226" s="35" t="inlineStr">
        <is>
          <t>Comparatives &amp; Superlatives: неправильные прилагательные (good, bad, many/much, little)</t>
        </is>
      </c>
      <c r="F226" s="11" t="inlineStr">
        <is>
          <t>Ст-446</t>
        </is>
      </c>
      <c r="G226" s="41" t="inlineStr">
        <is>
          <t>расширение</t>
        </is>
      </c>
      <c r="H226" s="11" t="inlineStr">
        <is>
          <t>добавлены much/many/lots – more – most, little – less – least</t>
        </is>
      </c>
      <c r="I226" s="37" t="inlineStr">
        <is>
          <t>10+</t>
        </is>
      </c>
      <c r="J226" s="11">
        <f>IFERROR(INDEX('Уроки'!$H:$H,MATCH(F226,'Уроки'!$A:$A,0)),"")</f>
        <v/>
      </c>
      <c r="K226" s="11">
        <f>IFERROR(INDEX('Уроки'!$J:$J,MATCH(F226,'Уроки'!$A:$A,0)),"")</f>
        <v/>
      </c>
      <c r="L226" s="11" t="inlineStr">
        <is>
          <t>Spotlight / 5 класс / Module 6 · Round the clock / Comparatives &amp; Superlatives / Comparatives &amp; Superlatives: неправильные прилагательные (good, bad, many/much, little)</t>
        </is>
      </c>
    </row>
    <row r="227">
      <c r="A227" s="37" t="n">
        <v>5</v>
      </c>
      <c r="B227" s="11" t="inlineStr">
        <is>
          <t>Module 6 · Round the clock</t>
        </is>
      </c>
      <c r="C227" s="11" t="inlineStr"/>
      <c r="D227" s="11" t="inlineStr">
        <is>
          <t>Comparatives &amp; Superlatives</t>
        </is>
      </c>
      <c r="E227" s="33" t="inlineStr">
        <is>
          <t>Comparatives &amp; Superlatives: наречия — -er/-est (hard, fast, early)</t>
        </is>
      </c>
      <c r="F227" s="11" t="inlineStr">
        <is>
          <t>Ст-450</t>
        </is>
      </c>
      <c r="G227" s="40" t="inlineStr">
        <is>
          <t>новое</t>
        </is>
      </c>
      <c r="H227" s="11" t="inlineStr">
        <is>
          <t>fast, early, late, high, near: hard – harder – hardest</t>
        </is>
      </c>
      <c r="I227" s="37" t="inlineStr">
        <is>
          <t>10+</t>
        </is>
      </c>
      <c r="J227" s="11">
        <f>IFERROR(INDEX('Уроки'!$H:$H,MATCH(F227,'Уроки'!$A:$A,0)),"")</f>
        <v/>
      </c>
      <c r="K227" s="11">
        <f>IFERROR(INDEX('Уроки'!$J:$J,MATCH(F227,'Уроки'!$A:$A,0)),"")</f>
        <v/>
      </c>
      <c r="L227" s="11" t="inlineStr">
        <is>
          <t>Spotlight / 5 класс / Module 6 · Round the clock / Comparatives &amp; Superlatives / Comparatives &amp; Superlatives: наречия — -er/-est (hard, fast, early)</t>
        </is>
      </c>
    </row>
    <row r="228">
      <c r="A228" s="37" t="n">
        <v>5</v>
      </c>
      <c r="B228" s="11" t="inlineStr">
        <is>
          <t>Module 6 · Round the clock</t>
        </is>
      </c>
      <c r="C228" s="11" t="inlineStr"/>
      <c r="D228" s="11" t="inlineStr">
        <is>
          <t>Comparatives &amp; Superlatives</t>
        </is>
      </c>
      <c r="E228" s="33" t="inlineStr">
        <is>
          <t>Comparatives &amp; Superlatives: наречия — more/most (slowly)</t>
        </is>
      </c>
      <c r="F228" s="11" t="inlineStr">
        <is>
          <t>Ст-451</t>
        </is>
      </c>
      <c r="G228" s="40" t="inlineStr">
        <is>
          <t>новое</t>
        </is>
      </c>
      <c r="H228" s="11" t="inlineStr">
        <is>
          <t>slowly – more slowly – most slowly</t>
        </is>
      </c>
      <c r="I228" s="37" t="inlineStr">
        <is>
          <t>10+</t>
        </is>
      </c>
      <c r="J228" s="11">
        <f>IFERROR(INDEX('Уроки'!$H:$H,MATCH(F228,'Уроки'!$A:$A,0)),"")</f>
        <v/>
      </c>
      <c r="K228" s="11">
        <f>IFERROR(INDEX('Уроки'!$J:$J,MATCH(F228,'Уроки'!$A:$A,0)),"")</f>
        <v/>
      </c>
      <c r="L228" s="11" t="inlineStr">
        <is>
          <t>Spotlight / 5 класс / Module 6 · Round the clock / Comparatives &amp; Superlatives / Comparatives &amp; Superlatives: наречия — more/most (slowly)</t>
        </is>
      </c>
    </row>
    <row r="229">
      <c r="A229" s="37" t="n">
        <v>5</v>
      </c>
      <c r="B229" s="11" t="inlineStr">
        <is>
          <t>Module 6 · Round the clock</t>
        </is>
      </c>
      <c r="C229" s="11" t="inlineStr"/>
      <c r="D229" s="11" t="inlineStr">
        <is>
          <t>Comparatives &amp; Superlatives</t>
        </is>
      </c>
      <c r="E229" s="33" t="inlineStr">
        <is>
          <t>Comparatives &amp; Superlatives: неправильные наречия (well, badly)</t>
        </is>
      </c>
      <c r="F229" s="11" t="inlineStr">
        <is>
          <t>Ст-452</t>
        </is>
      </c>
      <c r="G229" s="40" t="inlineStr">
        <is>
          <t>новое</t>
        </is>
      </c>
      <c r="H229" s="11" t="inlineStr">
        <is>
          <t>well – better – best, badly – worse – worst</t>
        </is>
      </c>
      <c r="I229" s="37" t="inlineStr">
        <is>
          <t>10+</t>
        </is>
      </c>
      <c r="J229" s="11">
        <f>IFERROR(INDEX('Уроки'!$H:$H,MATCH(F229,'Уроки'!$A:$A,0)),"")</f>
        <v/>
      </c>
      <c r="K229" s="11">
        <f>IFERROR(INDEX('Уроки'!$J:$J,MATCH(F229,'Уроки'!$A:$A,0)),"")</f>
        <v/>
      </c>
      <c r="L229" s="11" t="inlineStr">
        <is>
          <t>Spotlight / 5 класс / Module 6 · Round the clock / Comparatives &amp; Superlatives / Comparatives &amp; Superlatives: неправильные наречия (well, badly)</t>
        </is>
      </c>
    </row>
    <row r="230">
      <c r="A230" s="37" t="n">
        <v>5</v>
      </c>
      <c r="B230" s="11" t="inlineStr">
        <is>
          <t>Module 6 · Round the clock</t>
        </is>
      </c>
      <c r="C230" s="11" t="inlineStr">
        <is>
          <t>6a</t>
        </is>
      </c>
      <c r="D230" s="11" t="inlineStr">
        <is>
          <t>Prepositions of time</t>
        </is>
      </c>
      <c r="E230" s="35" t="inlineStr">
        <is>
          <t>Prepositions of time: at — время, праздники, at night/at noon/at the weekend</t>
        </is>
      </c>
      <c r="F230" s="11" t="inlineStr">
        <is>
          <t>Ст-491</t>
        </is>
      </c>
      <c r="G230" s="41" t="inlineStr">
        <is>
          <t>расширение</t>
        </is>
      </c>
      <c r="H230" s="11" t="inlineStr">
        <is>
          <t>добавлены at Easter, at the moment, at present, at dawn, at midnight</t>
        </is>
      </c>
      <c r="I230" s="37" t="inlineStr">
        <is>
          <t>10+</t>
        </is>
      </c>
      <c r="J230" s="11">
        <f>IFERROR(INDEX('Уроки'!$H:$H,MATCH(F230,'Уроки'!$A:$A,0)),"")</f>
        <v/>
      </c>
      <c r="K230" s="11">
        <f>IFERROR(INDEX('Уроки'!$J:$J,MATCH(F230,'Уроки'!$A:$A,0)),"")</f>
        <v/>
      </c>
      <c r="L230" s="11" t="inlineStr">
        <is>
          <t>Spotlight / 5 класс / Module 6 · Round the clock / Prepositions of time / Prepositions of time: at — время, праздники, at night/at noon/at the weekend</t>
        </is>
      </c>
    </row>
    <row r="231">
      <c r="A231" s="37" t="n">
        <v>5</v>
      </c>
      <c r="B231" s="11" t="inlineStr">
        <is>
          <t>Module 6 · Round the clock</t>
        </is>
      </c>
      <c r="C231" s="11" t="inlineStr">
        <is>
          <t>6a</t>
        </is>
      </c>
      <c r="D231" s="11" t="inlineStr">
        <is>
          <t>Prepositions of time</t>
        </is>
      </c>
      <c r="E231" s="35" t="inlineStr">
        <is>
          <t>Prepositions of time: on — дни недели и праздничные дни</t>
        </is>
      </c>
      <c r="F231" s="11" t="inlineStr">
        <is>
          <t>Ст-492</t>
        </is>
      </c>
      <c r="G231" s="37" t="inlineStr">
        <is>
          <t>повторение</t>
        </is>
      </c>
      <c r="H231" s="11" t="inlineStr">
        <is>
          <t>on Monday, on New Year's Day</t>
        </is>
      </c>
      <c r="I231" s="37" t="inlineStr">
        <is>
          <t>10+</t>
        </is>
      </c>
      <c r="J231" s="11">
        <f>IFERROR(INDEX('Уроки'!$H:$H,MATCH(F231,'Уроки'!$A:$A,0)),"")</f>
        <v/>
      </c>
      <c r="K231" s="11">
        <f>IFERROR(INDEX('Уроки'!$J:$J,MATCH(F231,'Уроки'!$A:$A,0)),"")</f>
        <v/>
      </c>
      <c r="L231" s="11" t="inlineStr">
        <is>
          <t>Spotlight / 5 класс / Module 6 · Round the clock / Prepositions of time / Prepositions of time: on — дни недели и праздничные дни</t>
        </is>
      </c>
    </row>
    <row r="232">
      <c r="A232" s="37" t="n">
        <v>5</v>
      </c>
      <c r="B232" s="11" t="inlineStr">
        <is>
          <t>Module 6 · Round the clock</t>
        </is>
      </c>
      <c r="C232" s="11" t="inlineStr">
        <is>
          <t>6a</t>
        </is>
      </c>
      <c r="D232" s="11" t="inlineStr">
        <is>
          <t>Prepositions of time</t>
        </is>
      </c>
      <c r="E232" s="35" t="inlineStr">
        <is>
          <t>Prepositions of time: on — даты, день недели + часть дня, on a hot day</t>
        </is>
      </c>
      <c r="F232" s="11" t="inlineStr">
        <is>
          <t>Ст-493</t>
        </is>
      </c>
      <c r="G232" s="40" t="inlineStr">
        <is>
          <t>новое</t>
        </is>
      </c>
      <c r="H232" s="11" t="inlineStr">
        <is>
          <t>on 6th May, on Tuesday evening, on a hot day</t>
        </is>
      </c>
      <c r="I232" s="37" t="inlineStr">
        <is>
          <t>10+</t>
        </is>
      </c>
      <c r="J232" s="11">
        <f>IFERROR(INDEX('Уроки'!$H:$H,MATCH(F232,'Уроки'!$A:$A,0)),"")</f>
        <v/>
      </c>
      <c r="K232" s="11">
        <f>IFERROR(INDEX('Уроки'!$J:$J,MATCH(F232,'Уроки'!$A:$A,0)),"")</f>
        <v/>
      </c>
      <c r="L232" s="11" t="inlineStr">
        <is>
          <t>Spotlight / 5 класс / Module 6 · Round the clock / Prepositions of time / Prepositions of time: on — даты, день недели + часть дня, on a hot day</t>
        </is>
      </c>
    </row>
    <row r="233">
      <c r="A233" s="37" t="n">
        <v>5</v>
      </c>
      <c r="B233" s="11" t="inlineStr">
        <is>
          <t>Module 6 · Round the clock</t>
        </is>
      </c>
      <c r="C233" s="11" t="inlineStr">
        <is>
          <t>6a</t>
        </is>
      </c>
      <c r="D233" s="11" t="inlineStr">
        <is>
          <t>Prepositions of time</t>
        </is>
      </c>
      <c r="E233" s="35" t="inlineStr">
        <is>
          <t>Prepositions of time: in — части суток (in the morning/afternoon/evening)</t>
        </is>
      </c>
      <c r="F233" s="11" t="inlineStr">
        <is>
          <t>Ст-494</t>
        </is>
      </c>
      <c r="G233" s="37" t="inlineStr">
        <is>
          <t>повторение</t>
        </is>
      </c>
      <c r="H233" s="11" t="inlineStr"/>
      <c r="I233" s="37" t="inlineStr">
        <is>
          <t>10+</t>
        </is>
      </c>
      <c r="J233" s="11">
        <f>IFERROR(INDEX('Уроки'!$H:$H,MATCH(F233,'Уроки'!$A:$A,0)),"")</f>
        <v/>
      </c>
      <c r="K233" s="11">
        <f>IFERROR(INDEX('Уроки'!$J:$J,MATCH(F233,'Уроки'!$A:$A,0)),"")</f>
        <v/>
      </c>
      <c r="L233" s="11" t="inlineStr">
        <is>
          <t>Spotlight / 5 класс / Module 6 · Round the clock / Prepositions of time / Prepositions of time: in — части суток (in the morning/afternoon/evening)</t>
        </is>
      </c>
    </row>
    <row r="234">
      <c r="A234" s="37" t="n">
        <v>5</v>
      </c>
      <c r="B234" s="11" t="inlineStr">
        <is>
          <t>Module 6 · Round the clock</t>
        </is>
      </c>
      <c r="C234" s="11" t="inlineStr">
        <is>
          <t>6a</t>
        </is>
      </c>
      <c r="D234" s="11" t="inlineStr">
        <is>
          <t>Prepositions of time</t>
        </is>
      </c>
      <c r="E234" s="35" t="inlineStr">
        <is>
          <t>Prepositions of time: in — месяцы, времена года, годы, века</t>
        </is>
      </c>
      <c r="F234" s="11" t="inlineStr">
        <is>
          <t>Ст-495</t>
        </is>
      </c>
      <c r="G234" s="40" t="inlineStr">
        <is>
          <t>новое</t>
        </is>
      </c>
      <c r="H234" s="11" t="inlineStr">
        <is>
          <t>in September, in the winter, in 1996, in the 20th century</t>
        </is>
      </c>
      <c r="I234" s="37" t="inlineStr">
        <is>
          <t>10+</t>
        </is>
      </c>
      <c r="J234" s="11">
        <f>IFERROR(INDEX('Уроки'!$H:$H,MATCH(F234,'Уроки'!$A:$A,0)),"")</f>
        <v/>
      </c>
      <c r="K234" s="11">
        <f>IFERROR(INDEX('Уроки'!$J:$J,MATCH(F234,'Уроки'!$A:$A,0)),"")</f>
        <v/>
      </c>
      <c r="L234" s="11" t="inlineStr">
        <is>
          <t>Spotlight / 5 класс / Module 6 · Round the clock / Prepositions of time / Prepositions of time: in — месяцы, времена года, годы, века</t>
        </is>
      </c>
    </row>
    <row r="235">
      <c r="A235" s="37" t="n">
        <v>5</v>
      </c>
      <c r="B235" s="11" t="inlineStr">
        <is>
          <t>Module 6 · Round the clock</t>
        </is>
      </c>
      <c r="C235" s="11" t="inlineStr">
        <is>
          <t>6a</t>
        </is>
      </c>
      <c r="D235" s="11" t="inlineStr">
        <is>
          <t>Prepositions of time</t>
        </is>
      </c>
      <c r="E235" s="35" t="inlineStr">
        <is>
          <t>Prepositions of time: in = «через» (in an hour, in a week)</t>
        </is>
      </c>
      <c r="F235" s="11" t="inlineStr">
        <is>
          <t>Ст-496</t>
        </is>
      </c>
      <c r="G235" s="40" t="inlineStr">
        <is>
          <t>новое</t>
        </is>
      </c>
      <c r="H235" s="11" t="inlineStr"/>
      <c r="I235" s="37" t="inlineStr">
        <is>
          <t>10+</t>
        </is>
      </c>
      <c r="J235" s="11">
        <f>IFERROR(INDEX('Уроки'!$H:$H,MATCH(F235,'Уроки'!$A:$A,0)),"")</f>
        <v/>
      </c>
      <c r="K235" s="11">
        <f>IFERROR(INDEX('Уроки'!$J:$J,MATCH(F235,'Уроки'!$A:$A,0)),"")</f>
        <v/>
      </c>
      <c r="L235" s="11" t="inlineStr">
        <is>
          <t>Spotlight / 5 класс / Module 6 · Round the clock / Prepositions of time / Prepositions of time: in = «через» (in an hour, in a week)</t>
        </is>
      </c>
    </row>
    <row r="236">
      <c r="A236" s="37" t="n">
        <v>5</v>
      </c>
      <c r="B236" s="11" t="inlineStr">
        <is>
          <t>Module 6 · Round the clock</t>
        </is>
      </c>
      <c r="C236" s="11" t="inlineStr">
        <is>
          <t>6b</t>
        </is>
      </c>
      <c r="D236" s="11" t="inlineStr">
        <is>
          <t>Word formation</t>
        </is>
      </c>
      <c r="E236" s="35" t="inlineStr">
        <is>
          <t>Word formation: -er, -or, -man, -ist, -ic</t>
        </is>
      </c>
      <c r="F236" s="11" t="inlineStr">
        <is>
          <t>Ст-607</t>
        </is>
      </c>
      <c r="G236" s="40" t="inlineStr">
        <is>
          <t>новое</t>
        </is>
      </c>
      <c r="H236" s="11" t="inlineStr">
        <is>
          <t>Существительные (названия профессий) с суффиксами -er/-or, -man, -ist, -ic.</t>
        </is>
      </c>
      <c r="I236" s="37" t="inlineStr">
        <is>
          <t>10+</t>
        </is>
      </c>
      <c r="J236" s="11">
        <f>IFERROR(INDEX('Уроки'!$H:$H,MATCH(F236,'Уроки'!$A:$A,0)),"")</f>
        <v/>
      </c>
      <c r="K236" s="11">
        <f>IFERROR(INDEX('Уроки'!$J:$J,MATCH(F236,'Уроки'!$A:$A,0)),"")</f>
        <v/>
      </c>
      <c r="L236" s="11" t="inlineStr">
        <is>
          <t>Spotlight / 5 класс / Module 6 · Round the clock / Word formation / Word formation: -er, -or, -man, -ist, -ic</t>
        </is>
      </c>
    </row>
    <row r="237">
      <c r="A237" s="37" t="n">
        <v>5</v>
      </c>
      <c r="B237" s="11" t="inlineStr">
        <is>
          <t>Module 6 · Round the clock</t>
        </is>
      </c>
      <c r="C237" s="11" t="inlineStr">
        <is>
          <t>6a</t>
        </is>
      </c>
      <c r="D237" s="11" t="inlineStr">
        <is>
          <t>Word formation</t>
        </is>
      </c>
      <c r="E237" s="35" t="inlineStr">
        <is>
          <t>Word formation: -ly</t>
        </is>
      </c>
      <c r="F237" s="11" t="inlineStr">
        <is>
          <t>Ст-609</t>
        </is>
      </c>
      <c r="G237" s="40" t="inlineStr">
        <is>
          <t>новое</t>
        </is>
      </c>
      <c r="H237" s="11" t="inlineStr">
        <is>
          <t>Наречия с суффиксом -ly.</t>
        </is>
      </c>
      <c r="I237" s="37" t="inlineStr">
        <is>
          <t>10+</t>
        </is>
      </c>
      <c r="J237" s="11">
        <f>IFERROR(INDEX('Уроки'!$H:$H,MATCH(F237,'Уроки'!$A:$A,0)),"")</f>
        <v/>
      </c>
      <c r="K237" s="11">
        <f>IFERROR(INDEX('Уроки'!$J:$J,MATCH(F237,'Уроки'!$A:$A,0)),"")</f>
        <v/>
      </c>
      <c r="L237" s="11" t="inlineStr">
        <is>
          <t>Spotlight / 5 класс / Module 6 · Round the clock / Word formation / Word formation: -ly</t>
        </is>
      </c>
    </row>
    <row r="238">
      <c r="A238" s="37" t="n">
        <v>5</v>
      </c>
      <c r="B238" s="11" t="inlineStr">
        <is>
          <t>Module 7 · In all weathers</t>
        </is>
      </c>
      <c r="C238" s="11" t="inlineStr">
        <is>
          <t>7b</t>
        </is>
      </c>
      <c r="D238" s="11" t="inlineStr">
        <is>
          <t>Present Simple vs Present Continuous</t>
        </is>
      </c>
      <c r="E238" s="33" t="inlineStr">
        <is>
          <t>Present Simple vs Present Continuous: привычка vs сейчас</t>
        </is>
      </c>
      <c r="F238" s="11" t="inlineStr">
        <is>
          <t>Ст-051</t>
        </is>
      </c>
      <c r="G238" s="37" t="inlineStr">
        <is>
          <t>повторение</t>
        </is>
      </c>
      <c r="H238" s="11" t="inlineStr">
        <is>
          <t>+ привычки</t>
        </is>
      </c>
      <c r="I238" s="37" t="inlineStr">
        <is>
          <t>10+</t>
        </is>
      </c>
      <c r="J238" s="11">
        <f>IFERROR(INDEX('Уроки'!$H:$H,MATCH(F238,'Уроки'!$A:$A,0)),"")</f>
        <v/>
      </c>
      <c r="K238" s="11">
        <f>IFERROR(INDEX('Уроки'!$J:$J,MATCH(F238,'Уроки'!$A:$A,0)),"")</f>
        <v/>
      </c>
      <c r="L238" s="11" t="inlineStr">
        <is>
          <t>Spotlight / 5 класс / Module 7 · In all weathers / Present Simple vs Present Continuous / Present Simple vs Present Continuous: привычка vs сейчас</t>
        </is>
      </c>
    </row>
    <row r="239">
      <c r="A239" s="37" t="n">
        <v>5</v>
      </c>
      <c r="B239" s="11" t="inlineStr">
        <is>
          <t>Module 7 · In all weathers</t>
        </is>
      </c>
      <c r="C239" s="11" t="inlineStr">
        <is>
          <t>7b</t>
        </is>
      </c>
      <c r="D239" s="11" t="inlineStr">
        <is>
          <t>Present Simple vs Present Continuous</t>
        </is>
      </c>
      <c r="E239" s="35" t="inlineStr">
        <is>
          <t>Present Simple vs Present Continuous: постоянное состояние vs временная ситуация</t>
        </is>
      </c>
      <c r="F239" s="11" t="inlineStr">
        <is>
          <t>Ст-052</t>
        </is>
      </c>
      <c r="G239" s="40" t="inlineStr">
        <is>
          <t>новое</t>
        </is>
      </c>
      <c r="H239" s="11" t="inlineStr">
        <is>
          <t>состояния/постоянные действия vs действия временного характера</t>
        </is>
      </c>
      <c r="I239" s="37" t="inlineStr">
        <is>
          <t>10+</t>
        </is>
      </c>
      <c r="J239" s="11">
        <f>IFERROR(INDEX('Уроки'!$H:$H,MATCH(F239,'Уроки'!$A:$A,0)),"")</f>
        <v/>
      </c>
      <c r="K239" s="11">
        <f>IFERROR(INDEX('Уроки'!$J:$J,MATCH(F239,'Уроки'!$A:$A,0)),"")</f>
        <v/>
      </c>
      <c r="L239" s="11" t="inlineStr">
        <is>
          <t>Spotlight / 5 класс / Module 7 · In all weathers / Present Simple vs Present Continuous / Present Simple vs Present Continuous: постоянное состояние vs временная ситуация</t>
        </is>
      </c>
    </row>
    <row r="240">
      <c r="A240" s="37" t="n">
        <v>5</v>
      </c>
      <c r="B240" s="11" t="inlineStr">
        <is>
          <t>Module 7 · In all weathers</t>
        </is>
      </c>
      <c r="C240" s="11" t="inlineStr"/>
      <c r="D240" s="11" t="inlineStr">
        <is>
          <t>Comparatives &amp; Superlatives</t>
        </is>
      </c>
      <c r="E240" s="33" t="inlineStr">
        <is>
          <t>Comparatives &amp; Superlatives: сравнительная степень — -er + than</t>
        </is>
      </c>
      <c r="F240" s="11" t="inlineStr">
        <is>
          <t>Ст-441</t>
        </is>
      </c>
      <c r="G240" s="37" t="inlineStr">
        <is>
          <t>повторение</t>
        </is>
      </c>
      <c r="H240" s="11" t="inlineStr">
        <is>
          <t>Ben is taller than Emma</t>
        </is>
      </c>
      <c r="I240" s="37" t="inlineStr">
        <is>
          <t>10+</t>
        </is>
      </c>
      <c r="J240" s="11">
        <f>IFERROR(INDEX('Уроки'!$H:$H,MATCH(F240,'Уроки'!$A:$A,0)),"")</f>
        <v/>
      </c>
      <c r="K240" s="11">
        <f>IFERROR(INDEX('Уроки'!$J:$J,MATCH(F240,'Уроки'!$A:$A,0)),"")</f>
        <v/>
      </c>
      <c r="L240" s="11" t="inlineStr">
        <is>
          <t>Spotlight / 5 класс / Module 7 · In all weathers / Comparatives &amp; Superlatives / Comparatives &amp; Superlatives: сравнительная степень — -er + than</t>
        </is>
      </c>
    </row>
    <row r="241">
      <c r="A241" s="37" t="n">
        <v>5</v>
      </c>
      <c r="B241" s="11" t="inlineStr">
        <is>
          <t>Module 7 · In all weathers</t>
        </is>
      </c>
      <c r="C241" s="11" t="inlineStr"/>
      <c r="D241" s="11" t="inlineStr">
        <is>
          <t>Comparatives &amp; Superlatives</t>
        </is>
      </c>
      <c r="E241" s="33" t="inlineStr">
        <is>
          <t>Comparatives &amp; Superlatives: сравнительная степень — more (многосложные)</t>
        </is>
      </c>
      <c r="F241" s="11" t="inlineStr">
        <is>
          <t>Ст-442</t>
        </is>
      </c>
      <c r="G241" s="37" t="inlineStr">
        <is>
          <t>повторение</t>
        </is>
      </c>
      <c r="H241" s="11" t="inlineStr">
        <is>
          <t>more beautiful</t>
        </is>
      </c>
      <c r="I241" s="37" t="inlineStr">
        <is>
          <t>10+</t>
        </is>
      </c>
      <c r="J241" s="11">
        <f>IFERROR(INDEX('Уроки'!$H:$H,MATCH(F241,'Уроки'!$A:$A,0)),"")</f>
        <v/>
      </c>
      <c r="K241" s="11">
        <f>IFERROR(INDEX('Уроки'!$J:$J,MATCH(F241,'Уроки'!$A:$A,0)),"")</f>
        <v/>
      </c>
      <c r="L241" s="11" t="inlineStr">
        <is>
          <t>Spotlight / 5 класс / Module 7 · In all weathers / Comparatives &amp; Superlatives / Comparatives &amp; Superlatives: сравнительная степень — more (многосложные)</t>
        </is>
      </c>
    </row>
    <row r="242">
      <c r="A242" s="37" t="n">
        <v>5</v>
      </c>
      <c r="B242" s="11" t="inlineStr">
        <is>
          <t>Module 7 · In all weathers</t>
        </is>
      </c>
      <c r="C242" s="11" t="inlineStr"/>
      <c r="D242" s="11" t="inlineStr">
        <is>
          <t>Comparatives &amp; Superlatives</t>
        </is>
      </c>
      <c r="E242" s="35" t="inlineStr">
        <is>
          <t>Comparatives &amp; Superlatives: орфография -er/-est (удвоение, -e, y → i)</t>
        </is>
      </c>
      <c r="F242" s="11" t="inlineStr">
        <is>
          <t>Ст-443</t>
        </is>
      </c>
      <c r="G242" s="37" t="inlineStr">
        <is>
          <t>повторение</t>
        </is>
      </c>
      <c r="H242" s="11" t="inlineStr">
        <is>
          <t>big – bigger, wise – wiser, sunny – sunnier</t>
        </is>
      </c>
      <c r="I242" s="37" t="inlineStr">
        <is>
          <t>10+</t>
        </is>
      </c>
      <c r="J242" s="11">
        <f>IFERROR(INDEX('Уроки'!$H:$H,MATCH(F242,'Уроки'!$A:$A,0)),"")</f>
        <v/>
      </c>
      <c r="K242" s="11">
        <f>IFERROR(INDEX('Уроки'!$J:$J,MATCH(F242,'Уроки'!$A:$A,0)),"")</f>
        <v/>
      </c>
      <c r="L242" s="11" t="inlineStr">
        <is>
          <t>Spotlight / 5 класс / Module 7 · In all weathers / Comparatives &amp; Superlatives / Comparatives &amp; Superlatives: орфография -er/-est (удвоение, -e, y → i)</t>
        </is>
      </c>
    </row>
    <row r="243">
      <c r="A243" s="37" t="n">
        <v>5</v>
      </c>
      <c r="B243" s="11" t="inlineStr">
        <is>
          <t>Module 7 · In all weathers</t>
        </is>
      </c>
      <c r="C243" s="11" t="inlineStr"/>
      <c r="D243" s="11" t="inlineStr">
        <is>
          <t>Comparatives &amp; Superlatives</t>
        </is>
      </c>
      <c r="E243" s="33" t="inlineStr">
        <is>
          <t>Comparatives &amp; Superlatives: превосходная степень — the -est + of/in</t>
        </is>
      </c>
      <c r="F243" s="11" t="inlineStr">
        <is>
          <t>Ст-444</t>
        </is>
      </c>
      <c r="G243" s="37" t="inlineStr">
        <is>
          <t>повторение</t>
        </is>
      </c>
      <c r="H243" s="11" t="inlineStr">
        <is>
          <t>the + -est + of/in; артикль относится к существительному</t>
        </is>
      </c>
      <c r="I243" s="37" t="inlineStr">
        <is>
          <t>10+</t>
        </is>
      </c>
      <c r="J243" s="11">
        <f>IFERROR(INDEX('Уроки'!$H:$H,MATCH(F243,'Уроки'!$A:$A,0)),"")</f>
        <v/>
      </c>
      <c r="K243" s="11">
        <f>IFERROR(INDEX('Уроки'!$J:$J,MATCH(F243,'Уроки'!$A:$A,0)),"")</f>
        <v/>
      </c>
      <c r="L243" s="11" t="inlineStr">
        <is>
          <t>Spotlight / 5 класс / Module 7 · In all weathers / Comparatives &amp; Superlatives / Comparatives &amp; Superlatives: превосходная степень — the -est + of/in</t>
        </is>
      </c>
    </row>
    <row r="244">
      <c r="A244" s="37" t="n">
        <v>5</v>
      </c>
      <c r="B244" s="11" t="inlineStr">
        <is>
          <t>Module 7 · In all weathers</t>
        </is>
      </c>
      <c r="C244" s="11" t="inlineStr"/>
      <c r="D244" s="11" t="inlineStr">
        <is>
          <t>Comparatives &amp; Superlatives</t>
        </is>
      </c>
      <c r="E244" s="33" t="inlineStr">
        <is>
          <t>Comparatives &amp; Superlatives: превосходная степень — the most</t>
        </is>
      </c>
      <c r="F244" s="11" t="inlineStr">
        <is>
          <t>Ст-445</t>
        </is>
      </c>
      <c r="G244" s="37" t="inlineStr">
        <is>
          <t>повторение</t>
        </is>
      </c>
      <c r="H244" s="11" t="inlineStr">
        <is>
          <t>the most beautiful</t>
        </is>
      </c>
      <c r="I244" s="37" t="inlineStr">
        <is>
          <t>10+</t>
        </is>
      </c>
      <c r="J244" s="11">
        <f>IFERROR(INDEX('Уроки'!$H:$H,MATCH(F244,'Уроки'!$A:$A,0)),"")</f>
        <v/>
      </c>
      <c r="K244" s="11">
        <f>IFERROR(INDEX('Уроки'!$J:$J,MATCH(F244,'Уроки'!$A:$A,0)),"")</f>
        <v/>
      </c>
      <c r="L244" s="11" t="inlineStr">
        <is>
          <t>Spotlight / 5 класс / Module 7 · In all weathers / Comparatives &amp; Superlatives / Comparatives &amp; Superlatives: превосходная степень — the most</t>
        </is>
      </c>
    </row>
    <row r="245">
      <c r="A245" s="37" t="n">
        <v>5</v>
      </c>
      <c r="B245" s="11" t="inlineStr">
        <is>
          <t>Module 7 · In all weathers</t>
        </is>
      </c>
      <c r="C245" s="11" t="inlineStr"/>
      <c r="D245" s="11" t="inlineStr">
        <is>
          <t>Comparatives &amp; Superlatives</t>
        </is>
      </c>
      <c r="E245" s="35" t="inlineStr">
        <is>
          <t>Comparatives &amp; Superlatives: неправильные прилагательные (good, bad, many/much, little)</t>
        </is>
      </c>
      <c r="F245" s="11" t="inlineStr">
        <is>
          <t>Ст-446</t>
        </is>
      </c>
      <c r="G245" s="37" t="inlineStr">
        <is>
          <t>повторение</t>
        </is>
      </c>
      <c r="H245" s="11" t="inlineStr">
        <is>
          <t>good, bad, many/much, little</t>
        </is>
      </c>
      <c r="I245" s="37" t="inlineStr">
        <is>
          <t>10+</t>
        </is>
      </c>
      <c r="J245" s="11">
        <f>IFERROR(INDEX('Уроки'!$H:$H,MATCH(F245,'Уроки'!$A:$A,0)),"")</f>
        <v/>
      </c>
      <c r="K245" s="11">
        <f>IFERROR(INDEX('Уроки'!$J:$J,MATCH(F245,'Уроки'!$A:$A,0)),"")</f>
        <v/>
      </c>
      <c r="L245" s="11" t="inlineStr">
        <is>
          <t>Spotlight / 5 класс / Module 7 · In all weathers / Comparatives &amp; Superlatives / Comparatives &amp; Superlatives: неправильные прилагательные (good, bad, many/much, little)</t>
        </is>
      </c>
    </row>
    <row r="246">
      <c r="A246" s="37" t="n">
        <v>5</v>
      </c>
      <c r="B246" s="11" t="inlineStr">
        <is>
          <t>Module 7 · In all weathers</t>
        </is>
      </c>
      <c r="C246" s="11" t="inlineStr">
        <is>
          <t>7a</t>
        </is>
      </c>
      <c r="D246" s="11" t="inlineStr">
        <is>
          <t>Impersonal it</t>
        </is>
      </c>
      <c r="E246" s="33" t="inlineStr">
        <is>
          <t>Impersonal it: время и расстояние</t>
        </is>
      </c>
      <c r="F246" s="11" t="inlineStr">
        <is>
          <t>Ст-513</t>
        </is>
      </c>
      <c r="G246" s="40" t="inlineStr">
        <is>
          <t>новое</t>
        </is>
      </c>
      <c r="H246" s="11" t="inlineStr">
        <is>
          <t>It is 6 o'clock. It's late. It is five miles from here.</t>
        </is>
      </c>
      <c r="I246" s="37" t="inlineStr">
        <is>
          <t>10+</t>
        </is>
      </c>
      <c r="J246" s="11">
        <f>IFERROR(INDEX('Уроки'!$H:$H,MATCH(F246,'Уроки'!$A:$A,0)),"")</f>
        <v/>
      </c>
      <c r="K246" s="11">
        <f>IFERROR(INDEX('Уроки'!$J:$J,MATCH(F246,'Уроки'!$A:$A,0)),"")</f>
        <v/>
      </c>
      <c r="L246" s="11" t="inlineStr">
        <is>
          <t>Spotlight / 5 класс / Module 7 · In all weathers / Impersonal it / Impersonal it: время и расстояние</t>
        </is>
      </c>
    </row>
    <row r="247">
      <c r="A247" s="37" t="n">
        <v>5</v>
      </c>
      <c r="B247" s="11" t="inlineStr">
        <is>
          <t>Module 7 · In all weathers</t>
        </is>
      </c>
      <c r="C247" s="11" t="inlineStr">
        <is>
          <t>7a</t>
        </is>
      </c>
      <c r="D247" s="11" t="inlineStr">
        <is>
          <t>Impersonal it</t>
        </is>
      </c>
      <c r="E247" s="33" t="inlineStr">
        <is>
          <t>Impersonal it: погода и явления природы</t>
        </is>
      </c>
      <c r="F247" s="11" t="inlineStr">
        <is>
          <t>Ст-514</t>
        </is>
      </c>
      <c r="G247" s="40" t="inlineStr">
        <is>
          <t>новое</t>
        </is>
      </c>
      <c r="H247" s="11" t="inlineStr">
        <is>
          <t>It's freezing.</t>
        </is>
      </c>
      <c r="I247" s="37" t="inlineStr">
        <is>
          <t>10+</t>
        </is>
      </c>
      <c r="J247" s="11">
        <f>IFERROR(INDEX('Уроки'!$H:$H,MATCH(F247,'Уроки'!$A:$A,0)),"")</f>
        <v/>
      </c>
      <c r="K247" s="11">
        <f>IFERROR(INDEX('Уроки'!$J:$J,MATCH(F247,'Уроки'!$A:$A,0)),"")</f>
        <v/>
      </c>
      <c r="L247" s="11" t="inlineStr">
        <is>
          <t>Spotlight / 5 класс / Module 7 · In all weathers / Impersonal it / Impersonal it: погода и явления природы</t>
        </is>
      </c>
    </row>
    <row r="248">
      <c r="A248" s="37" t="n">
        <v>5</v>
      </c>
      <c r="B248" s="11" t="inlineStr">
        <is>
          <t>Module 7 · In all weathers</t>
        </is>
      </c>
      <c r="C248" s="11" t="inlineStr">
        <is>
          <t>7a</t>
        </is>
      </c>
      <c r="D248" s="11" t="inlineStr">
        <is>
          <t>Question tags</t>
        </is>
      </c>
      <c r="E248" s="33" t="inlineStr">
        <is>
          <t>Question tags: образование — вспомогательный глагол + местоимение (do/does)</t>
        </is>
      </c>
      <c r="F248" s="11" t="inlineStr">
        <is>
          <t>Ст-515</t>
        </is>
      </c>
      <c r="G248" s="37" t="inlineStr">
        <is>
          <t>повторение</t>
        </is>
      </c>
      <c r="H248" s="11" t="inlineStr"/>
      <c r="I248" s="37" t="inlineStr">
        <is>
          <t>10+</t>
        </is>
      </c>
      <c r="J248" s="11">
        <f>IFERROR(INDEX('Уроки'!$H:$H,MATCH(F248,'Уроки'!$A:$A,0)),"")</f>
        <v/>
      </c>
      <c r="K248" s="11">
        <f>IFERROR(INDEX('Уроки'!$J:$J,MATCH(F248,'Уроки'!$A:$A,0)),"")</f>
        <v/>
      </c>
      <c r="L248" s="11" t="inlineStr">
        <is>
          <t>Spotlight / 5 класс / Module 7 · In all weathers / Question tags / Question tags: образование — вспомогательный глагол + местоимение (do/does)</t>
        </is>
      </c>
    </row>
    <row r="249">
      <c r="A249" s="37" t="n">
        <v>5</v>
      </c>
      <c r="B249" s="11" t="inlineStr">
        <is>
          <t>Module 7 · In all weathers</t>
        </is>
      </c>
      <c r="C249" s="11" t="inlineStr">
        <is>
          <t>7a</t>
        </is>
      </c>
      <c r="D249" s="11" t="inlineStr">
        <is>
          <t>Question tags</t>
        </is>
      </c>
      <c r="E249" s="33" t="inlineStr">
        <is>
          <t>Question tags: с be и модальными глаголами (isn't she, can't she)</t>
        </is>
      </c>
      <c r="F249" s="11" t="inlineStr">
        <is>
          <t>Ст-516</t>
        </is>
      </c>
      <c r="G249" s="37" t="inlineStr">
        <is>
          <t>повторение</t>
        </is>
      </c>
      <c r="H249" s="11" t="inlineStr"/>
      <c r="I249" s="37" t="inlineStr">
        <is>
          <t>10+</t>
        </is>
      </c>
      <c r="J249" s="11">
        <f>IFERROR(INDEX('Уроки'!$H:$H,MATCH(F249,'Уроки'!$A:$A,0)),"")</f>
        <v/>
      </c>
      <c r="K249" s="11">
        <f>IFERROR(INDEX('Уроки'!$J:$J,MATCH(F249,'Уроки'!$A:$A,0)),"")</f>
        <v/>
      </c>
      <c r="L249" s="11" t="inlineStr">
        <is>
          <t>Spotlight / 5 класс / Module 7 · In all weathers / Question tags / Question tags: с be и модальными глаголами (isn't she, can't she)</t>
        </is>
      </c>
    </row>
    <row r="250">
      <c r="A250" s="37" t="n">
        <v>5</v>
      </c>
      <c r="B250" s="11" t="inlineStr">
        <is>
          <t>Module 7 · In all weathers</t>
        </is>
      </c>
      <c r="C250" s="11" t="inlineStr">
        <is>
          <t>7a</t>
        </is>
      </c>
      <c r="D250" s="11" t="inlineStr">
        <is>
          <t>Question tags</t>
        </is>
      </c>
      <c r="E250" s="33" t="inlineStr">
        <is>
          <t>Question tags: утверждение → отрицательный хвост, отрицание → утвердительный</t>
        </is>
      </c>
      <c r="F250" s="11" t="inlineStr">
        <is>
          <t>Ст-517</t>
        </is>
      </c>
      <c r="G250" s="37" t="inlineStr">
        <is>
          <t>повторение</t>
        </is>
      </c>
      <c r="H250" s="11" t="inlineStr">
        <is>
          <t>повторение правил 5c, нового нет</t>
        </is>
      </c>
      <c r="I250" s="37" t="inlineStr">
        <is>
          <t>10+</t>
        </is>
      </c>
      <c r="J250" s="11">
        <f>IFERROR(INDEX('Уроки'!$H:$H,MATCH(F250,'Уроки'!$A:$A,0)),"")</f>
        <v/>
      </c>
      <c r="K250" s="11">
        <f>IFERROR(INDEX('Уроки'!$J:$J,MATCH(F250,'Уроки'!$A:$A,0)),"")</f>
        <v/>
      </c>
      <c r="L250" s="11" t="inlineStr">
        <is>
          <t>Spotlight / 5 класс / Module 7 · In all weathers / Question tags / Question tags: утверждение → отрицательный хвост, отрицание → утвердительный</t>
        </is>
      </c>
    </row>
    <row r="251">
      <c r="A251" s="37" t="n">
        <v>5</v>
      </c>
      <c r="B251" s="11" t="inlineStr">
        <is>
          <t>Module 8 · Special days</t>
        </is>
      </c>
      <c r="C251" s="11" t="inlineStr">
        <is>
          <t>8a</t>
        </is>
      </c>
      <c r="D251" s="11" t="inlineStr">
        <is>
          <t>Countable / Uncountable nouns</t>
        </is>
      </c>
      <c r="E251" s="33" t="inlineStr">
        <is>
          <t>Countable / Uncountable: различие исчисляемых и неисчисляемых</t>
        </is>
      </c>
      <c r="F251" s="11" t="inlineStr">
        <is>
          <t>Ст-323</t>
        </is>
      </c>
      <c r="G251" s="41" t="inlineStr">
        <is>
          <t>расширение</t>
        </is>
      </c>
      <c r="H251" s="11" t="inlineStr">
        <is>
          <t>определение: у исчисляемых ед. и мн. ч., у неисчисляемых мн. ч. нет</t>
        </is>
      </c>
      <c r="I251" s="37" t="inlineStr">
        <is>
          <t>10+</t>
        </is>
      </c>
      <c r="J251" s="11">
        <f>IFERROR(INDEX('Уроки'!$H:$H,MATCH(F251,'Уроки'!$A:$A,0)),"")</f>
        <v/>
      </c>
      <c r="K251" s="11">
        <f>IFERROR(INDEX('Уроки'!$J:$J,MATCH(F251,'Уроки'!$A:$A,0)),"")</f>
        <v/>
      </c>
      <c r="L251" s="11" t="inlineStr">
        <is>
          <t>Spotlight / 5 класс / Module 8 · Special days / Countable / Uncountable nouns / Countable / Uncountable: различие исчисляемых и неисчисляемых</t>
        </is>
      </c>
    </row>
    <row r="252">
      <c r="A252" s="37" t="n">
        <v>5</v>
      </c>
      <c r="B252" s="11" t="inlineStr">
        <is>
          <t>Module 8 · Special days</t>
        </is>
      </c>
      <c r="C252" s="11" t="inlineStr">
        <is>
          <t>8a</t>
        </is>
      </c>
      <c r="D252" s="11" t="inlineStr">
        <is>
          <t>Countable / Uncountable nouns</t>
        </is>
      </c>
      <c r="E252" s="33" t="inlineStr">
        <is>
          <t>Countable / Uncountable: неисчисляемые — еда и жидкости</t>
        </is>
      </c>
      <c r="F252" s="11" t="inlineStr">
        <is>
          <t>Ст-324</t>
        </is>
      </c>
      <c r="G252" s="40" t="inlineStr">
        <is>
          <t>новое</t>
        </is>
      </c>
      <c r="H252" s="11" t="inlineStr">
        <is>
          <t>cheese, sugar, butter, salt, rice, flour; water, tea, milk…</t>
        </is>
      </c>
      <c r="I252" s="37" t="inlineStr">
        <is>
          <t>10+</t>
        </is>
      </c>
      <c r="J252" s="11">
        <f>IFERROR(INDEX('Уроки'!$H:$H,MATCH(F252,'Уроки'!$A:$A,0)),"")</f>
        <v/>
      </c>
      <c r="K252" s="11">
        <f>IFERROR(INDEX('Уроки'!$J:$J,MATCH(F252,'Уроки'!$A:$A,0)),"")</f>
        <v/>
      </c>
      <c r="L252" s="11" t="inlineStr">
        <is>
          <t>Spotlight / 5 класс / Module 8 · Special days / Countable / Uncountable nouns / Countable / Uncountable: неисчисляемые — еда и жидкости</t>
        </is>
      </c>
    </row>
    <row r="253">
      <c r="A253" s="37" t="n">
        <v>5</v>
      </c>
      <c r="B253" s="11" t="inlineStr">
        <is>
          <t>Module 8 · Special days</t>
        </is>
      </c>
      <c r="C253" s="11" t="inlineStr">
        <is>
          <t>8a</t>
        </is>
      </c>
      <c r="D253" s="11" t="inlineStr">
        <is>
          <t>Countable / Uncountable nouns</t>
        </is>
      </c>
      <c r="E253" s="33" t="inlineStr">
        <is>
          <t>Countable / Uncountable: количество с неисчисляемыми (a jar of, a bottle of)</t>
        </is>
      </c>
      <c r="F253" s="11" t="inlineStr">
        <is>
          <t>Ст-325</t>
        </is>
      </c>
      <c r="G253" s="40" t="inlineStr">
        <is>
          <t>новое</t>
        </is>
      </c>
      <c r="H253" s="11" t="inlineStr">
        <is>
          <t>15 слов: jar, bottle, piece, loaf, cup, bar, glass, kilo…</t>
        </is>
      </c>
      <c r="I253" s="37" t="inlineStr">
        <is>
          <t>10+</t>
        </is>
      </c>
      <c r="J253" s="11">
        <f>IFERROR(INDEX('Уроки'!$H:$H,MATCH(F253,'Уроки'!$A:$A,0)),"")</f>
        <v/>
      </c>
      <c r="K253" s="11">
        <f>IFERROR(INDEX('Уроки'!$J:$J,MATCH(F253,'Уроки'!$A:$A,0)),"")</f>
        <v/>
      </c>
      <c r="L253" s="11" t="inlineStr">
        <is>
          <t>Spotlight / 5 класс / Module 8 · Special days / Countable / Uncountable nouns / Countable / Uncountable: количество с неисчисляемыми (a jar of, a bottle of)</t>
        </is>
      </c>
    </row>
    <row r="254">
      <c r="A254" s="37" t="n">
        <v>5</v>
      </c>
      <c r="B254" s="11" t="inlineStr">
        <is>
          <t>Module 8 · Special days</t>
        </is>
      </c>
      <c r="C254" s="11" t="inlineStr">
        <is>
          <t>8a</t>
        </is>
      </c>
      <c r="D254" s="11" t="inlineStr">
        <is>
          <t>Countable / Uncountable nouns</t>
        </is>
      </c>
      <c r="E254" s="33" t="inlineStr">
        <is>
          <t>Countable / Uncountable: существительные без ед. числа (clothes, jeans)</t>
        </is>
      </c>
      <c r="F254" s="11" t="inlineStr">
        <is>
          <t>Ст-326</t>
        </is>
      </c>
      <c r="G254" s="40" t="inlineStr">
        <is>
          <t>новое</t>
        </is>
      </c>
      <c r="H254" s="11" t="inlineStr">
        <is>
          <t>clothes, shorts, jeans, trousers, stairs, scissors</t>
        </is>
      </c>
      <c r="I254" s="37" t="inlineStr">
        <is>
          <t>10+</t>
        </is>
      </c>
      <c r="J254" s="11">
        <f>IFERROR(INDEX('Уроки'!$H:$H,MATCH(F254,'Уроки'!$A:$A,0)),"")</f>
        <v/>
      </c>
      <c r="K254" s="11">
        <f>IFERROR(INDEX('Уроки'!$J:$J,MATCH(F254,'Уроки'!$A:$A,0)),"")</f>
        <v/>
      </c>
      <c r="L254" s="11" t="inlineStr">
        <is>
          <t>Spotlight / 5 класс / Module 8 · Special days / Countable / Uncountable nouns / Countable / Uncountable: существительные без ед. числа (clothes, jeans)</t>
        </is>
      </c>
    </row>
    <row r="255">
      <c r="A255" s="37" t="n">
        <v>5</v>
      </c>
      <c r="B255" s="11" t="inlineStr">
        <is>
          <t>Module 8 · Special days</t>
        </is>
      </c>
      <c r="C255" s="11" t="inlineStr">
        <is>
          <t>8b</t>
        </is>
      </c>
      <c r="D255" s="11" t="inlineStr">
        <is>
          <t>a/an/some/any</t>
        </is>
      </c>
      <c r="E255" s="33" t="inlineStr">
        <is>
          <t>a/an/some/any: some — в утверждениях (неисчисляемые и мн. ч.)</t>
        </is>
      </c>
      <c r="F255" s="11" t="inlineStr">
        <is>
          <t>Ст-353</t>
        </is>
      </c>
      <c r="G255" s="37" t="inlineStr">
        <is>
          <t>повторение</t>
        </is>
      </c>
      <c r="H255" s="11" t="inlineStr">
        <is>
          <t>There are some pencils / There is some jam</t>
        </is>
      </c>
      <c r="I255" s="37" t="inlineStr">
        <is>
          <t>10+</t>
        </is>
      </c>
      <c r="J255" s="11">
        <f>IFERROR(INDEX('Уроки'!$H:$H,MATCH(F255,'Уроки'!$A:$A,0)),"")</f>
        <v/>
      </c>
      <c r="K255" s="11">
        <f>IFERROR(INDEX('Уроки'!$J:$J,MATCH(F255,'Уроки'!$A:$A,0)),"")</f>
        <v/>
      </c>
      <c r="L255" s="11" t="inlineStr">
        <is>
          <t>Spotlight / 5 класс / Module 8 · Special days / a/an/some/any / a/an/some/any: some — в утверждениях (неисчисляемые и мн. ч.)</t>
        </is>
      </c>
    </row>
    <row r="256">
      <c r="A256" s="37" t="n">
        <v>5</v>
      </c>
      <c r="B256" s="11" t="inlineStr">
        <is>
          <t>Module 8 · Special days</t>
        </is>
      </c>
      <c r="C256" s="11" t="inlineStr">
        <is>
          <t>8b</t>
        </is>
      </c>
      <c r="D256" s="11" t="inlineStr">
        <is>
          <t>a/an/some/any</t>
        </is>
      </c>
      <c r="E256" s="33" t="inlineStr">
        <is>
          <t>a/an/some/any: any — в отрицаниях</t>
        </is>
      </c>
      <c r="F256" s="11" t="inlineStr">
        <is>
          <t>Ст-354</t>
        </is>
      </c>
      <c r="G256" s="37" t="inlineStr">
        <is>
          <t>повторение</t>
        </is>
      </c>
      <c r="H256" s="11" t="inlineStr">
        <is>
          <t>There aren't any pencils / isn't any jam</t>
        </is>
      </c>
      <c r="I256" s="37" t="inlineStr">
        <is>
          <t>10+</t>
        </is>
      </c>
      <c r="J256" s="11">
        <f>IFERROR(INDEX('Уроки'!$H:$H,MATCH(F256,'Уроки'!$A:$A,0)),"")</f>
        <v/>
      </c>
      <c r="K256" s="11">
        <f>IFERROR(INDEX('Уроки'!$J:$J,MATCH(F256,'Уроки'!$A:$A,0)),"")</f>
        <v/>
      </c>
      <c r="L256" s="11" t="inlineStr">
        <is>
          <t>Spotlight / 5 класс / Module 8 · Special days / a/an/some/any / a/an/some/any: any — в отрицаниях</t>
        </is>
      </c>
    </row>
    <row r="257">
      <c r="A257" s="37" t="n">
        <v>5</v>
      </c>
      <c r="B257" s="11" t="inlineStr">
        <is>
          <t>Module 8 · Special days</t>
        </is>
      </c>
      <c r="C257" s="11" t="inlineStr">
        <is>
          <t>8b</t>
        </is>
      </c>
      <c r="D257" s="11" t="inlineStr">
        <is>
          <t>a/an/some/any</t>
        </is>
      </c>
      <c r="E257" s="33" t="inlineStr">
        <is>
          <t>a/an/some/any: any — в вопросах</t>
        </is>
      </c>
      <c r="F257" s="11" t="inlineStr">
        <is>
          <t>Ст-355</t>
        </is>
      </c>
      <c r="G257" s="37" t="inlineStr">
        <is>
          <t>повторение</t>
        </is>
      </c>
      <c r="H257" s="11" t="inlineStr">
        <is>
          <t>Are there any pencils? Is there any jam?</t>
        </is>
      </c>
      <c r="I257" s="37" t="inlineStr">
        <is>
          <t>10+</t>
        </is>
      </c>
      <c r="J257" s="11">
        <f>IFERROR(INDEX('Уроки'!$H:$H,MATCH(F257,'Уроки'!$A:$A,0)),"")</f>
        <v/>
      </c>
      <c r="K257" s="11">
        <f>IFERROR(INDEX('Уроки'!$J:$J,MATCH(F257,'Уроки'!$A:$A,0)),"")</f>
        <v/>
      </c>
      <c r="L257" s="11" t="inlineStr">
        <is>
          <t>Spotlight / 5 класс / Module 8 · Special days / a/an/some/any / a/an/some/any: any — в вопросах</t>
        </is>
      </c>
    </row>
    <row r="258">
      <c r="A258" s="37" t="n">
        <v>5</v>
      </c>
      <c r="B258" s="11" t="inlineStr">
        <is>
          <t>Module 8 · Special days</t>
        </is>
      </c>
      <c r="C258" s="11" t="inlineStr">
        <is>
          <t>8b</t>
        </is>
      </c>
      <c r="D258" s="11" t="inlineStr">
        <is>
          <t>a/an/some/any</t>
        </is>
      </c>
      <c r="E258" s="35" t="inlineStr">
        <is>
          <t>a/an/some/any: some в вопросах — просьба и предложение</t>
        </is>
      </c>
      <c r="F258" s="11" t="inlineStr">
        <is>
          <t>Ст-356</t>
        </is>
      </c>
      <c r="G258" s="37" t="inlineStr">
        <is>
          <t>повторение</t>
        </is>
      </c>
      <c r="H258" s="11" t="inlineStr">
        <is>
          <t>только в примере: Can I have some water, please?</t>
        </is>
      </c>
      <c r="I258" s="37" t="inlineStr">
        <is>
          <t>10+</t>
        </is>
      </c>
      <c r="J258" s="11">
        <f>IFERROR(INDEX('Уроки'!$H:$H,MATCH(F258,'Уроки'!$A:$A,0)),"")</f>
        <v/>
      </c>
      <c r="K258" s="11">
        <f>IFERROR(INDEX('Уроки'!$J:$J,MATCH(F258,'Уроки'!$A:$A,0)),"")</f>
        <v/>
      </c>
      <c r="L258" s="11" t="inlineStr">
        <is>
          <t>Spotlight / 5 класс / Module 8 · Special days / a/an/some/any / a/an/some/any: some в вопросах — просьба и предложение</t>
        </is>
      </c>
    </row>
    <row r="259">
      <c r="A259" s="37" t="n">
        <v>5</v>
      </c>
      <c r="B259" s="11" t="inlineStr">
        <is>
          <t>Module 8 · Special days</t>
        </is>
      </c>
      <c r="C259" s="11" t="inlineStr">
        <is>
          <t>8b</t>
        </is>
      </c>
      <c r="D259" s="11" t="inlineStr">
        <is>
          <t>a/an/some/any</t>
        </is>
      </c>
      <c r="E259" s="35" t="inlineStr">
        <is>
          <t>a/an/some/any: a/an vs some/any — исчисляемые ед. ч. во всех типах предложений</t>
        </is>
      </c>
      <c r="F259" s="11" t="inlineStr">
        <is>
          <t>Ст-357</t>
        </is>
      </c>
      <c r="G259" s="40" t="inlineStr">
        <is>
          <t>новое</t>
        </is>
      </c>
      <c r="H259" s="11" t="inlineStr">
        <is>
          <t>There is an apple / There isn't an apple / Is there an apple?</t>
        </is>
      </c>
      <c r="I259" s="37" t="inlineStr">
        <is>
          <t>10+</t>
        </is>
      </c>
      <c r="J259" s="11">
        <f>IFERROR(INDEX('Уроки'!$H:$H,MATCH(F259,'Уроки'!$A:$A,0)),"")</f>
        <v/>
      </c>
      <c r="K259" s="11">
        <f>IFERROR(INDEX('Уроки'!$J:$J,MATCH(F259,'Уроки'!$A:$A,0)),"")</f>
        <v/>
      </c>
      <c r="L259" s="11" t="inlineStr">
        <is>
          <t>Spotlight / 5 класс / Module 8 · Special days / a/an/some/any / a/an/some/any: a/an vs some/any — исчисляемые ед. ч. во всех типах предложений</t>
        </is>
      </c>
    </row>
    <row r="260">
      <c r="A260" s="37" t="n">
        <v>5</v>
      </c>
      <c r="B260" s="11" t="inlineStr">
        <is>
          <t>Module 8 · Special days</t>
        </is>
      </c>
      <c r="C260" s="11" t="inlineStr">
        <is>
          <t>8b</t>
        </is>
      </c>
      <c r="D260" s="11" t="inlineStr">
        <is>
          <t>a/an/some/any</t>
        </is>
      </c>
      <c r="E260" s="35" t="inlineStr">
        <is>
          <t>a/an/some/any: перевод some — «несколько» / «немного» / не переводится</t>
        </is>
      </c>
      <c r="F260" s="11" t="inlineStr">
        <is>
          <t>Ст-358</t>
        </is>
      </c>
      <c r="G260" s="40" t="inlineStr">
        <is>
          <t>новое</t>
        </is>
      </c>
      <c r="H260" s="11" t="inlineStr">
        <is>
          <t>перед неисч. не переводится, перед исч. — «несколько»</t>
        </is>
      </c>
      <c r="I260" s="37" t="inlineStr">
        <is>
          <t>10+</t>
        </is>
      </c>
      <c r="J260" s="11">
        <f>IFERROR(INDEX('Уроки'!$H:$H,MATCH(F260,'Уроки'!$A:$A,0)),"")</f>
        <v/>
      </c>
      <c r="K260" s="11">
        <f>IFERROR(INDEX('Уроки'!$J:$J,MATCH(F260,'Уроки'!$A:$A,0)),"")</f>
        <v/>
      </c>
      <c r="L260" s="11" t="inlineStr">
        <is>
          <t>Spotlight / 5 класс / Module 8 · Special days / a/an/some/any / a/an/some/any: перевод some — «несколько» / «немного» / не переводится</t>
        </is>
      </c>
    </row>
    <row r="261">
      <c r="A261" s="37" t="n">
        <v>5</v>
      </c>
      <c r="B261" s="11" t="inlineStr">
        <is>
          <t>Module 8 · Special days</t>
        </is>
      </c>
      <c r="C261" s="11" t="inlineStr">
        <is>
          <t>8b</t>
        </is>
      </c>
      <c r="D261" s="11" t="inlineStr">
        <is>
          <t>much/many/a lot of</t>
        </is>
      </c>
      <c r="E261" s="33" t="inlineStr">
        <is>
          <t>much/many/a lot of: a lot of / lots of — в утверждениях (исчисляемые и неисчисляемые)</t>
        </is>
      </c>
      <c r="F261" s="11" t="inlineStr">
        <is>
          <t>Ст-359</t>
        </is>
      </c>
      <c r="G261" s="37" t="inlineStr">
        <is>
          <t>повторение</t>
        </is>
      </c>
      <c r="H261" s="11" t="inlineStr"/>
      <c r="I261" s="37" t="inlineStr">
        <is>
          <t>10+</t>
        </is>
      </c>
      <c r="J261" s="11">
        <f>IFERROR(INDEX('Уроки'!$H:$H,MATCH(F261,'Уроки'!$A:$A,0)),"")</f>
        <v/>
      </c>
      <c r="K261" s="11">
        <f>IFERROR(INDEX('Уроки'!$J:$J,MATCH(F261,'Уроки'!$A:$A,0)),"")</f>
        <v/>
      </c>
      <c r="L261" s="11" t="inlineStr">
        <is>
          <t>Spotlight / 5 класс / Module 8 · Special days / much/many/a lot of / much/many/a lot of: a lot of / lots of — в утверждениях (исчисляемые и неисчисляемые)</t>
        </is>
      </c>
    </row>
    <row r="262">
      <c r="A262" s="37" t="n">
        <v>5</v>
      </c>
      <c r="B262" s="11" t="inlineStr">
        <is>
          <t>Module 8 · Special days</t>
        </is>
      </c>
      <c r="C262" s="11" t="inlineStr">
        <is>
          <t>8b</t>
        </is>
      </c>
      <c r="D262" s="11" t="inlineStr">
        <is>
          <t>much/many/a lot of</t>
        </is>
      </c>
      <c r="E262" s="33" t="inlineStr">
        <is>
          <t>much/many/a lot of: much/many — отрицание</t>
        </is>
      </c>
      <c r="F262" s="11" t="inlineStr">
        <is>
          <t>Ст-360</t>
        </is>
      </c>
      <c r="G262" s="37" t="inlineStr">
        <is>
          <t>повторение</t>
        </is>
      </c>
      <c r="H262" s="11" t="inlineStr"/>
      <c r="I262" s="37" t="inlineStr">
        <is>
          <t>10+</t>
        </is>
      </c>
      <c r="J262" s="11">
        <f>IFERROR(INDEX('Уроки'!$H:$H,MATCH(F262,'Уроки'!$A:$A,0)),"")</f>
        <v/>
      </c>
      <c r="K262" s="11">
        <f>IFERROR(INDEX('Уроки'!$J:$J,MATCH(F262,'Уроки'!$A:$A,0)),"")</f>
        <v/>
      </c>
      <c r="L262" s="11" t="inlineStr">
        <is>
          <t>Spotlight / 5 класс / Module 8 · Special days / much/many/a lot of / much/many/a lot of: much/many — отрицание</t>
        </is>
      </c>
    </row>
    <row r="263">
      <c r="A263" s="37" t="n">
        <v>5</v>
      </c>
      <c r="B263" s="11" t="inlineStr">
        <is>
          <t>Module 8 · Special days</t>
        </is>
      </c>
      <c r="C263" s="11" t="inlineStr">
        <is>
          <t>8b</t>
        </is>
      </c>
      <c r="D263" s="11" t="inlineStr">
        <is>
          <t>much/many/a lot of</t>
        </is>
      </c>
      <c r="E263" s="33" t="inlineStr">
        <is>
          <t>much/many/a lot of: much/many — вопросы</t>
        </is>
      </c>
      <c r="F263" s="11" t="inlineStr">
        <is>
          <t>Ст-361</t>
        </is>
      </c>
      <c r="G263" s="37" t="inlineStr">
        <is>
          <t>повторение</t>
        </is>
      </c>
      <c r="H263" s="11" t="inlineStr"/>
      <c r="I263" s="37" t="inlineStr">
        <is>
          <t>10+</t>
        </is>
      </c>
      <c r="J263" s="11">
        <f>IFERROR(INDEX('Уроки'!$H:$H,MATCH(F263,'Уроки'!$A:$A,0)),"")</f>
        <v/>
      </c>
      <c r="K263" s="11">
        <f>IFERROR(INDEX('Уроки'!$J:$J,MATCH(F263,'Уроки'!$A:$A,0)),"")</f>
        <v/>
      </c>
      <c r="L263" s="11" t="inlineStr">
        <is>
          <t>Spotlight / 5 класс / Module 8 · Special days / much/many/a lot of / much/many/a lot of: much/many — вопросы</t>
        </is>
      </c>
    </row>
    <row r="264">
      <c r="A264" s="37" t="n">
        <v>5</v>
      </c>
      <c r="B264" s="11" t="inlineStr">
        <is>
          <t>Module 8 · Special days</t>
        </is>
      </c>
      <c r="C264" s="11" t="inlineStr">
        <is>
          <t>8b</t>
        </is>
      </c>
      <c r="D264" s="11" t="inlineStr">
        <is>
          <t>much/many/a lot of</t>
        </is>
      </c>
      <c r="E264" s="33" t="inlineStr">
        <is>
          <t>much/many/a lot of: How much? / How many?</t>
        </is>
      </c>
      <c r="F264" s="11" t="inlineStr">
        <is>
          <t>Ст-362</t>
        </is>
      </c>
      <c r="G264" s="37" t="inlineStr">
        <is>
          <t>повторение</t>
        </is>
      </c>
      <c r="H264" s="11" t="inlineStr">
        <is>
          <t>How much sugar have you got?</t>
        </is>
      </c>
      <c r="I264" s="37" t="inlineStr">
        <is>
          <t>10+</t>
        </is>
      </c>
      <c r="J264" s="11">
        <f>IFERROR(INDEX('Уроки'!$H:$H,MATCH(F264,'Уроки'!$A:$A,0)),"")</f>
        <v/>
      </c>
      <c r="K264" s="11">
        <f>IFERROR(INDEX('Уроки'!$J:$J,MATCH(F264,'Уроки'!$A:$A,0)),"")</f>
        <v/>
      </c>
      <c r="L264" s="11" t="inlineStr">
        <is>
          <t>Spotlight / 5 класс / Module 8 · Special days / much/many/a lot of / much/many/a lot of: How much? / How many?</t>
        </is>
      </c>
    </row>
    <row r="265">
      <c r="A265" s="37" t="n">
        <v>5</v>
      </c>
      <c r="B265" s="11" t="inlineStr">
        <is>
          <t>Module 8 · Special days</t>
        </is>
      </c>
      <c r="C265" s="11" t="inlineStr">
        <is>
          <t>8b</t>
        </is>
      </c>
      <c r="D265" s="11" t="inlineStr">
        <is>
          <t>a few/a little</t>
        </is>
      </c>
      <c r="E265" s="33" t="inlineStr">
        <is>
          <t>a few/a little: a few — с исчисляемыми мн. ч. («несколько»)</t>
        </is>
      </c>
      <c r="F265" s="11" t="inlineStr">
        <is>
          <t>Ст-377</t>
        </is>
      </c>
      <c r="G265" s="40" t="inlineStr">
        <is>
          <t>новое</t>
        </is>
      </c>
      <c r="H265" s="11" t="inlineStr">
        <is>
          <t>There are a few eggs</t>
        </is>
      </c>
      <c r="I265" s="37" t="inlineStr">
        <is>
          <t>10+</t>
        </is>
      </c>
      <c r="J265" s="11">
        <f>IFERROR(INDEX('Уроки'!$H:$H,MATCH(F265,'Уроки'!$A:$A,0)),"")</f>
        <v/>
      </c>
      <c r="K265" s="11">
        <f>IFERROR(INDEX('Уроки'!$J:$J,MATCH(F265,'Уроки'!$A:$A,0)),"")</f>
        <v/>
      </c>
      <c r="L265" s="11" t="inlineStr">
        <is>
          <t>Spotlight / 5 класс / Module 8 · Special days / a few/a little / a few/a little: a few — с исчисляемыми мн. ч. («несколько»)</t>
        </is>
      </c>
    </row>
    <row r="266">
      <c r="A266" s="37" t="n">
        <v>5</v>
      </c>
      <c r="B266" s="11" t="inlineStr">
        <is>
          <t>Module 8 · Special days</t>
        </is>
      </c>
      <c r="C266" s="11" t="inlineStr">
        <is>
          <t>8b</t>
        </is>
      </c>
      <c r="D266" s="11" t="inlineStr">
        <is>
          <t>a few/a little</t>
        </is>
      </c>
      <c r="E266" s="33" t="inlineStr">
        <is>
          <t>a few/a little: a little — с неисчисляемыми («немного»)</t>
        </is>
      </c>
      <c r="F266" s="11" t="inlineStr">
        <is>
          <t>Ст-378</t>
        </is>
      </c>
      <c r="G266" s="40" t="inlineStr">
        <is>
          <t>новое</t>
        </is>
      </c>
      <c r="H266" s="11" t="inlineStr">
        <is>
          <t>Put a little sugar</t>
        </is>
      </c>
      <c r="I266" s="37" t="inlineStr">
        <is>
          <t>10+</t>
        </is>
      </c>
      <c r="J266" s="11">
        <f>IFERROR(INDEX('Уроки'!$H:$H,MATCH(F266,'Уроки'!$A:$A,0)),"")</f>
        <v/>
      </c>
      <c r="K266" s="11">
        <f>IFERROR(INDEX('Уроки'!$J:$J,MATCH(F266,'Уроки'!$A:$A,0)),"")</f>
        <v/>
      </c>
      <c r="L266" s="11" t="inlineStr">
        <is>
          <t>Spotlight / 5 класс / Module 8 · Special days / a few/a little / a few/a little: a little — с неисчисляемыми («немного»)</t>
        </is>
      </c>
    </row>
    <row r="267">
      <c r="A267" s="37" t="n">
        <v>5</v>
      </c>
      <c r="B267" s="11" t="inlineStr">
        <is>
          <t>Module 8 · Special days</t>
        </is>
      </c>
      <c r="C267" s="11" t="inlineStr">
        <is>
          <t>8b</t>
        </is>
      </c>
      <c r="D267" s="11" t="inlineStr">
        <is>
          <t>a few/a little</t>
        </is>
      </c>
      <c r="E267" s="33" t="inlineStr">
        <is>
          <t>a few/a little: few / little — «мало»</t>
        </is>
      </c>
      <c r="F267" s="11" t="inlineStr">
        <is>
          <t>Ст-379</t>
        </is>
      </c>
      <c r="G267" s="40" t="inlineStr">
        <is>
          <t>новое</t>
        </is>
      </c>
      <c r="H267" s="11" t="inlineStr">
        <is>
          <t>We have got few tomatoes. There is little milk.</t>
        </is>
      </c>
      <c r="I267" s="37" t="inlineStr">
        <is>
          <t>10+</t>
        </is>
      </c>
      <c r="J267" s="11">
        <f>IFERROR(INDEX('Уроки'!$H:$H,MATCH(F267,'Уроки'!$A:$A,0)),"")</f>
        <v/>
      </c>
      <c r="K267" s="11">
        <f>IFERROR(INDEX('Уроки'!$J:$J,MATCH(F267,'Уроки'!$A:$A,0)),"")</f>
        <v/>
      </c>
      <c r="L267" s="11" t="inlineStr">
        <is>
          <t>Spotlight / 5 класс / Module 8 · Special days / a few/a little / a few/a little: few / little — «мало»</t>
        </is>
      </c>
    </row>
    <row r="268">
      <c r="A268" s="37" t="n">
        <v>5</v>
      </c>
      <c r="B268" s="11" t="inlineStr">
        <is>
          <t>Module 8 · Special days</t>
        </is>
      </c>
      <c r="C268" s="11" t="inlineStr">
        <is>
          <t>8b</t>
        </is>
      </c>
      <c r="D268" s="11" t="inlineStr">
        <is>
          <t>a few/a little</t>
        </is>
      </c>
      <c r="E268" s="33" t="inlineStr">
        <is>
          <t>a few/a little: a few vs few, a little vs little — «немного, но достаточно» vs «почти нет»</t>
        </is>
      </c>
      <c r="F268" s="11" t="inlineStr">
        <is>
          <t>Ст-380</t>
        </is>
      </c>
      <c r="G268" s="40" t="inlineStr">
        <is>
          <t>новое</t>
        </is>
      </c>
      <c r="H268" s="11" t="inlineStr">
        <is>
          <t>противопоставление по значению</t>
        </is>
      </c>
      <c r="I268" s="37" t="inlineStr">
        <is>
          <t>10+</t>
        </is>
      </c>
      <c r="J268" s="11">
        <f>IFERROR(INDEX('Уроки'!$H:$H,MATCH(F268,'Уроки'!$A:$A,0)),"")</f>
        <v/>
      </c>
      <c r="K268" s="11">
        <f>IFERROR(INDEX('Уроки'!$J:$J,MATCH(F268,'Уроки'!$A:$A,0)),"")</f>
        <v/>
      </c>
      <c r="L268" s="11" t="inlineStr">
        <is>
          <t>Spotlight / 5 класс / Module 8 · Special days / a few/a little / a few/a little: a few vs few, a little vs little — «немного, но достаточно» vs «почти нет»</t>
        </is>
      </c>
    </row>
    <row r="269">
      <c r="A269" s="37" t="n">
        <v>5</v>
      </c>
      <c r="B269" s="11" t="inlineStr">
        <is>
          <t>Module 8 · Special days</t>
        </is>
      </c>
      <c r="C269" s="11" t="inlineStr">
        <is>
          <t>8a</t>
        </is>
      </c>
      <c r="D269" s="11" t="inlineStr">
        <is>
          <t>Word formation</t>
        </is>
      </c>
      <c r="E269" s="35" t="inlineStr">
        <is>
          <t>Word formation: conversion (a dress – to dress)</t>
        </is>
      </c>
      <c r="F269" s="11" t="inlineStr">
        <is>
          <t>Ст-612</t>
        </is>
      </c>
      <c r="G269" s="40" t="inlineStr">
        <is>
          <t>новое</t>
        </is>
      </c>
      <c r="H269" s="11" t="inlineStr">
        <is>
          <t>Конверсия: глагол от существительного без изменения формы (a dress – to dress).</t>
        </is>
      </c>
      <c r="I269" s="37" t="inlineStr">
        <is>
          <t>10+</t>
        </is>
      </c>
      <c r="J269" s="11">
        <f>IFERROR(INDEX('Уроки'!$H:$H,MATCH(F269,'Уроки'!$A:$A,0)),"")</f>
        <v/>
      </c>
      <c r="K269" s="11">
        <f>IFERROR(INDEX('Уроки'!$J:$J,MATCH(F269,'Уроки'!$A:$A,0)),"")</f>
        <v/>
      </c>
      <c r="L269" s="11" t="inlineStr">
        <is>
          <t>Spotlight / 5 класс / Module 8 · Special days / Word formation / Word formation: conversion (a dress – to dress)</t>
        </is>
      </c>
    </row>
    <row r="270">
      <c r="A270" s="37" t="n">
        <v>5</v>
      </c>
      <c r="B270" s="11" t="inlineStr">
        <is>
          <t>Module 8 · Special days</t>
        </is>
      </c>
      <c r="C270" s="11" t="inlineStr">
        <is>
          <t>8c</t>
        </is>
      </c>
      <c r="D270" s="11" t="inlineStr">
        <is>
          <t>Word formation</t>
        </is>
      </c>
      <c r="E270" s="35" t="inlineStr">
        <is>
          <t>Word formation: un-</t>
        </is>
      </c>
      <c r="F270" s="11" t="inlineStr">
        <is>
          <t>Ст-614</t>
        </is>
      </c>
      <c r="G270" s="40" t="inlineStr">
        <is>
          <t>новое</t>
        </is>
      </c>
      <c r="H270" s="11" t="inlineStr">
        <is>
          <t>Прилагательные с приставкой un-.</t>
        </is>
      </c>
      <c r="I270" s="37" t="inlineStr">
        <is>
          <t>10+</t>
        </is>
      </c>
      <c r="J270" s="11">
        <f>IFERROR(INDEX('Уроки'!$H:$H,MATCH(F270,'Уроки'!$A:$A,0)),"")</f>
        <v/>
      </c>
      <c r="K270" s="11">
        <f>IFERROR(INDEX('Уроки'!$J:$J,MATCH(F270,'Уроки'!$A:$A,0)),"")</f>
        <v/>
      </c>
      <c r="L270" s="11" t="inlineStr">
        <is>
          <t>Spotlight / 5 класс / Module 8 · Special days / Word formation / Word formation: un-</t>
        </is>
      </c>
    </row>
    <row r="271">
      <c r="A271" s="37" t="n">
        <v>5</v>
      </c>
      <c r="B271" s="11" t="inlineStr">
        <is>
          <t>Module 9 · Modern living</t>
        </is>
      </c>
      <c r="C271" s="11" t="inlineStr">
        <is>
          <t>9b</t>
        </is>
      </c>
      <c r="D271" s="11" t="inlineStr">
        <is>
          <t>Past Simple</t>
        </is>
      </c>
      <c r="E271" s="33" t="inlineStr">
        <is>
          <t>Past Simple: правильные глаголы — утверждение (-ed)</t>
        </is>
      </c>
      <c r="F271" s="11" t="inlineStr">
        <is>
          <t>Ст-001</t>
        </is>
      </c>
      <c r="G271" s="37" t="inlineStr">
        <is>
          <t>повторение</t>
        </is>
      </c>
      <c r="H271" s="11" t="inlineStr"/>
      <c r="I271" s="37" t="inlineStr">
        <is>
          <t>10+</t>
        </is>
      </c>
      <c r="J271" s="11">
        <f>IFERROR(INDEX('Уроки'!$H:$H,MATCH(F271,'Уроки'!$A:$A,0)),"")</f>
        <v/>
      </c>
      <c r="K271" s="11">
        <f>IFERROR(INDEX('Уроки'!$J:$J,MATCH(F271,'Уроки'!$A:$A,0)),"")</f>
        <v/>
      </c>
      <c r="L271" s="11" t="inlineStr">
        <is>
          <t>Spotlight / 5 класс / Module 9 · Modern living / Past Simple / Past Simple: правильные глаголы — утверждение (-ed)</t>
        </is>
      </c>
    </row>
    <row r="272">
      <c r="A272" s="37" t="n">
        <v>5</v>
      </c>
      <c r="B272" s="11" t="inlineStr">
        <is>
          <t>Module 9 · Modern living</t>
        </is>
      </c>
      <c r="C272" s="11" t="inlineStr">
        <is>
          <t>9b</t>
        </is>
      </c>
      <c r="D272" s="11" t="inlineStr">
        <is>
          <t>Past Simple</t>
        </is>
      </c>
      <c r="E272" s="35" t="inlineStr">
        <is>
          <t>Past Simple: правильные глаголы — отрицание (didn't + V)</t>
        </is>
      </c>
      <c r="F272" s="11" t="inlineStr">
        <is>
          <t>Ст-002</t>
        </is>
      </c>
      <c r="G272" s="37" t="inlineStr">
        <is>
          <t>повторение</t>
        </is>
      </c>
      <c r="H272" s="11" t="inlineStr"/>
      <c r="I272" s="37" t="inlineStr">
        <is>
          <t>10+</t>
        </is>
      </c>
      <c r="J272" s="11">
        <f>IFERROR(INDEX('Уроки'!$H:$H,MATCH(F272,'Уроки'!$A:$A,0)),"")</f>
        <v/>
      </c>
      <c r="K272" s="11">
        <f>IFERROR(INDEX('Уроки'!$J:$J,MATCH(F272,'Уроки'!$A:$A,0)),"")</f>
        <v/>
      </c>
      <c r="L272" s="11" t="inlineStr">
        <is>
          <t>Spotlight / 5 класс / Module 9 · Modern living / Past Simple / Past Simple: правильные глаголы — отрицание (didn't + V)</t>
        </is>
      </c>
    </row>
    <row r="273">
      <c r="A273" s="37" t="n">
        <v>5</v>
      </c>
      <c r="B273" s="11" t="inlineStr">
        <is>
          <t>Module 9 · Modern living</t>
        </is>
      </c>
      <c r="C273" s="11" t="inlineStr">
        <is>
          <t>9b</t>
        </is>
      </c>
      <c r="D273" s="11" t="inlineStr">
        <is>
          <t>Past Simple</t>
        </is>
      </c>
      <c r="E273" s="35" t="inlineStr">
        <is>
          <t>Past Simple: правильные глаголы — вопросы (Did …?)</t>
        </is>
      </c>
      <c r="F273" s="11" t="inlineStr">
        <is>
          <t>Ст-003</t>
        </is>
      </c>
      <c r="G273" s="37" t="inlineStr">
        <is>
          <t>повторение</t>
        </is>
      </c>
      <c r="H273" s="11" t="inlineStr"/>
      <c r="I273" s="37" t="inlineStr">
        <is>
          <t>10+</t>
        </is>
      </c>
      <c r="J273" s="11">
        <f>IFERROR(INDEX('Уроки'!$H:$H,MATCH(F273,'Уроки'!$A:$A,0)),"")</f>
        <v/>
      </c>
      <c r="K273" s="11">
        <f>IFERROR(INDEX('Уроки'!$J:$J,MATCH(F273,'Уроки'!$A:$A,0)),"")</f>
        <v/>
      </c>
      <c r="L273" s="11" t="inlineStr">
        <is>
          <t>Spotlight / 5 класс / Module 9 · Modern living / Past Simple / Past Simple: правильные глаголы — вопросы (Did …?)</t>
        </is>
      </c>
    </row>
    <row r="274">
      <c r="A274" s="37" t="n">
        <v>5</v>
      </c>
      <c r="B274" s="11" t="inlineStr">
        <is>
          <t>Module 9 · Modern living</t>
        </is>
      </c>
      <c r="C274" s="11" t="inlineStr">
        <is>
          <t>9b, 9c</t>
        </is>
      </c>
      <c r="D274" s="11" t="inlineStr">
        <is>
          <t>Past Simple</t>
        </is>
      </c>
      <c r="E274" s="35" t="inlineStr">
        <is>
          <t>Past Simple: краткие ответы (Yes, I did / No, I didn't)</t>
        </is>
      </c>
      <c r="F274" s="11" t="inlineStr">
        <is>
          <t>Ст-004</t>
        </is>
      </c>
      <c r="G274" s="37" t="inlineStr">
        <is>
          <t>повторение</t>
        </is>
      </c>
      <c r="H274" s="11" t="inlineStr"/>
      <c r="I274" s="37" t="inlineStr">
        <is>
          <t>10+</t>
        </is>
      </c>
      <c r="J274" s="11">
        <f>IFERROR(INDEX('Уроки'!$H:$H,MATCH(F274,'Уроки'!$A:$A,0)),"")</f>
        <v/>
      </c>
      <c r="K274" s="11">
        <f>IFERROR(INDEX('Уроки'!$J:$J,MATCH(F274,'Уроки'!$A:$A,0)),"")</f>
        <v/>
      </c>
      <c r="L274" s="11" t="inlineStr">
        <is>
          <t>Spotlight / 5 класс / Module 9 · Modern living / Past Simple / Past Simple: краткие ответы (Yes, I did / No, I didn't)</t>
        </is>
      </c>
    </row>
    <row r="275">
      <c r="A275" s="37" t="n">
        <v>5</v>
      </c>
      <c r="B275" s="11" t="inlineStr">
        <is>
          <t>Module 9 · Modern living</t>
        </is>
      </c>
      <c r="C275" s="11" t="inlineStr">
        <is>
          <t>9b</t>
        </is>
      </c>
      <c r="D275" s="11" t="inlineStr">
        <is>
          <t>Past Simple</t>
        </is>
      </c>
      <c r="E275" s="33" t="inlineStr">
        <is>
          <t>Past Simple: орфография -ed</t>
        </is>
      </c>
      <c r="F275" s="11" t="inlineStr">
        <is>
          <t>Ст-005</t>
        </is>
      </c>
      <c r="G275" s="37" t="inlineStr">
        <is>
          <t>повторение</t>
        </is>
      </c>
      <c r="H275" s="11" t="inlineStr">
        <is>
          <t>liked, studied, stopped</t>
        </is>
      </c>
      <c r="I275" s="37" t="inlineStr">
        <is>
          <t>10+</t>
        </is>
      </c>
      <c r="J275" s="11">
        <f>IFERROR(INDEX('Уроки'!$H:$H,MATCH(F275,'Уроки'!$A:$A,0)),"")</f>
        <v/>
      </c>
      <c r="K275" s="11">
        <f>IFERROR(INDEX('Уроки'!$J:$J,MATCH(F275,'Уроки'!$A:$A,0)),"")</f>
        <v/>
      </c>
      <c r="L275" s="11" t="inlineStr">
        <is>
          <t>Spotlight / 5 класс / Module 9 · Modern living / Past Simple / Past Simple: орфография -ed</t>
        </is>
      </c>
    </row>
    <row r="276">
      <c r="A276" s="37" t="n">
        <v>5</v>
      </c>
      <c r="B276" s="11" t="inlineStr">
        <is>
          <t>Module 9 · Modern living</t>
        </is>
      </c>
      <c r="C276" s="11" t="inlineStr">
        <is>
          <t>9c</t>
        </is>
      </c>
      <c r="D276" s="11" t="inlineStr">
        <is>
          <t>Past Simple</t>
        </is>
      </c>
      <c r="E276" s="33" t="inlineStr">
        <is>
          <t>Past Simple: неправильные глаголы — утверждение</t>
        </is>
      </c>
      <c r="F276" s="11" t="inlineStr">
        <is>
          <t>Ст-006</t>
        </is>
      </c>
      <c r="G276" s="41" t="inlineStr">
        <is>
          <t>расширение</t>
        </is>
      </c>
      <c r="H276" s="11" t="inlineStr">
        <is>
          <t>таблица ≈70 глаголов (V1–V2–V3)</t>
        </is>
      </c>
      <c r="I276" s="37" t="inlineStr">
        <is>
          <t>10+</t>
        </is>
      </c>
      <c r="J276" s="11">
        <f>IFERROR(INDEX('Уроки'!$H:$H,MATCH(F276,'Уроки'!$A:$A,0)),"")</f>
        <v/>
      </c>
      <c r="K276" s="11">
        <f>IFERROR(INDEX('Уроки'!$J:$J,MATCH(F276,'Уроки'!$A:$A,0)),"")</f>
        <v/>
      </c>
      <c r="L276" s="11" t="inlineStr">
        <is>
          <t>Spotlight / 5 класс / Module 9 · Modern living / Past Simple / Past Simple: неправильные глаголы — утверждение</t>
        </is>
      </c>
    </row>
    <row r="277">
      <c r="A277" s="37" t="n">
        <v>5</v>
      </c>
      <c r="B277" s="11" t="inlineStr">
        <is>
          <t>Module 9 · Modern living</t>
        </is>
      </c>
      <c r="C277" s="11" t="inlineStr">
        <is>
          <t>9c</t>
        </is>
      </c>
      <c r="D277" s="11" t="inlineStr">
        <is>
          <t>Past Simple</t>
        </is>
      </c>
      <c r="E277" s="35" t="inlineStr">
        <is>
          <t>Past Simple: неправильные глаголы — отрицание (didn't go)</t>
        </is>
      </c>
      <c r="F277" s="11" t="inlineStr">
        <is>
          <t>Ст-007</t>
        </is>
      </c>
      <c r="G277" s="37" t="inlineStr">
        <is>
          <t>повторение</t>
        </is>
      </c>
      <c r="H277" s="11" t="inlineStr"/>
      <c r="I277" s="37" t="inlineStr">
        <is>
          <t>10+</t>
        </is>
      </c>
      <c r="J277" s="11">
        <f>IFERROR(INDEX('Уроки'!$H:$H,MATCH(F277,'Уроки'!$A:$A,0)),"")</f>
        <v/>
      </c>
      <c r="K277" s="11">
        <f>IFERROR(INDEX('Уроки'!$J:$J,MATCH(F277,'Уроки'!$A:$A,0)),"")</f>
        <v/>
      </c>
      <c r="L277" s="11" t="inlineStr">
        <is>
          <t>Spotlight / 5 класс / Module 9 · Modern living / Past Simple / Past Simple: неправильные глаголы — отрицание (didn't go)</t>
        </is>
      </c>
    </row>
    <row r="278">
      <c r="A278" s="37" t="n">
        <v>5</v>
      </c>
      <c r="B278" s="11" t="inlineStr">
        <is>
          <t>Module 9 · Modern living</t>
        </is>
      </c>
      <c r="C278" s="11" t="inlineStr">
        <is>
          <t>9c</t>
        </is>
      </c>
      <c r="D278" s="11" t="inlineStr">
        <is>
          <t>Past Simple</t>
        </is>
      </c>
      <c r="E278" s="35" t="inlineStr">
        <is>
          <t>Past Simple: неправильные глаголы — вопросы (Did … go?)</t>
        </is>
      </c>
      <c r="F278" s="11" t="inlineStr">
        <is>
          <t>Ст-008</t>
        </is>
      </c>
      <c r="G278" s="37" t="inlineStr">
        <is>
          <t>повторение</t>
        </is>
      </c>
      <c r="H278" s="11" t="inlineStr"/>
      <c r="I278" s="37" t="inlineStr">
        <is>
          <t>10+</t>
        </is>
      </c>
      <c r="J278" s="11">
        <f>IFERROR(INDEX('Уроки'!$H:$H,MATCH(F278,'Уроки'!$A:$A,0)),"")</f>
        <v/>
      </c>
      <c r="K278" s="11">
        <f>IFERROR(INDEX('Уроки'!$J:$J,MATCH(F278,'Уроки'!$A:$A,0)),"")</f>
        <v/>
      </c>
      <c r="L278" s="11" t="inlineStr">
        <is>
          <t>Spotlight / 5 класс / Module 9 · Modern living / Past Simple / Past Simple: неправильные глаголы — вопросы (Did … go?)</t>
        </is>
      </c>
    </row>
    <row r="279">
      <c r="A279" s="37" t="n">
        <v>5</v>
      </c>
      <c r="B279" s="11" t="inlineStr">
        <is>
          <t>Module 9 · Modern living</t>
        </is>
      </c>
      <c r="C279" s="11" t="inlineStr">
        <is>
          <t>9b</t>
        </is>
      </c>
      <c r="D279" s="11" t="inlineStr">
        <is>
          <t>Past Simple</t>
        </is>
      </c>
      <c r="E279" s="33" t="inlineStr">
        <is>
          <t>Past Simple: значение — действие в прошлом (yesterday, ago)</t>
        </is>
      </c>
      <c r="F279" s="11" t="inlineStr">
        <is>
          <t>Ст-010</t>
        </is>
      </c>
      <c r="G279" s="37" t="inlineStr">
        <is>
          <t>повторение</t>
        </is>
      </c>
      <c r="H279" s="11" t="inlineStr">
        <is>
          <t>yesterday, last Monday, two days ago</t>
        </is>
      </c>
      <c r="I279" s="37" t="inlineStr">
        <is>
          <t>10+</t>
        </is>
      </c>
      <c r="J279" s="11">
        <f>IFERROR(INDEX('Уроки'!$H:$H,MATCH(F279,'Уроки'!$A:$A,0)),"")</f>
        <v/>
      </c>
      <c r="K279" s="11">
        <f>IFERROR(INDEX('Уроки'!$J:$J,MATCH(F279,'Уроки'!$A:$A,0)),"")</f>
        <v/>
      </c>
      <c r="L279" s="11" t="inlineStr">
        <is>
          <t>Spotlight / 5 класс / Module 9 · Modern living / Past Simple / Past Simple: значение — действие в прошлом (yesterday, ago)</t>
        </is>
      </c>
    </row>
    <row r="280">
      <c r="A280" s="37" t="n">
        <v>5</v>
      </c>
      <c r="B280" s="11" t="inlineStr">
        <is>
          <t>Module 9 · Modern living</t>
        </is>
      </c>
      <c r="C280" s="11" t="inlineStr">
        <is>
          <t>9a</t>
        </is>
      </c>
      <c r="D280" s="11" t="inlineStr">
        <is>
          <t>to be (Past: was/were)</t>
        </is>
      </c>
      <c r="E280" s="35" t="inlineStr">
        <is>
          <t>to be (Past): утверждение — was / were</t>
        </is>
      </c>
      <c r="F280" s="11" t="inlineStr">
        <is>
          <t>Ст-131</t>
        </is>
      </c>
      <c r="G280" s="37" t="inlineStr">
        <is>
          <t>повторение</t>
        </is>
      </c>
      <c r="H280" s="11" t="inlineStr"/>
      <c r="I280" s="37" t="inlineStr">
        <is>
          <t>10+</t>
        </is>
      </c>
      <c r="J280" s="11">
        <f>IFERROR(INDEX('Уроки'!$H:$H,MATCH(F280,'Уроки'!$A:$A,0)),"")</f>
        <v/>
      </c>
      <c r="K280" s="11">
        <f>IFERROR(INDEX('Уроки'!$J:$J,MATCH(F280,'Уроки'!$A:$A,0)),"")</f>
        <v/>
      </c>
      <c r="L280" s="11" t="inlineStr">
        <is>
          <t>Spotlight / 5 класс / Module 9 · Modern living / to be (Past: was/were) / to be (Past): утверждение — was / were</t>
        </is>
      </c>
    </row>
    <row r="281">
      <c r="A281" s="37" t="n">
        <v>5</v>
      </c>
      <c r="B281" s="11" t="inlineStr">
        <is>
          <t>Module 9 · Modern living</t>
        </is>
      </c>
      <c r="C281" s="11" t="inlineStr">
        <is>
          <t>9a</t>
        </is>
      </c>
      <c r="D281" s="11" t="inlineStr">
        <is>
          <t>to be (Past: was/were)</t>
        </is>
      </c>
      <c r="E281" s="35" t="inlineStr">
        <is>
          <t>to be (Past): отрицание — wasn't / weren't</t>
        </is>
      </c>
      <c r="F281" s="11" t="inlineStr">
        <is>
          <t>Ст-132</t>
        </is>
      </c>
      <c r="G281" s="37" t="inlineStr">
        <is>
          <t>повторение</t>
        </is>
      </c>
      <c r="H281" s="11" t="inlineStr">
        <is>
          <t>wasn't / weren't</t>
        </is>
      </c>
      <c r="I281" s="37" t="inlineStr">
        <is>
          <t>10+</t>
        </is>
      </c>
      <c r="J281" s="11">
        <f>IFERROR(INDEX('Уроки'!$H:$H,MATCH(F281,'Уроки'!$A:$A,0)),"")</f>
        <v/>
      </c>
      <c r="K281" s="11">
        <f>IFERROR(INDEX('Уроки'!$J:$J,MATCH(F281,'Уроки'!$A:$A,0)),"")</f>
        <v/>
      </c>
      <c r="L281" s="11" t="inlineStr">
        <is>
          <t>Spotlight / 5 класс / Module 9 · Modern living / to be (Past: was/were) / to be (Past): отрицание — wasn't / weren't</t>
        </is>
      </c>
    </row>
    <row r="282">
      <c r="A282" s="37" t="n">
        <v>5</v>
      </c>
      <c r="B282" s="11" t="inlineStr">
        <is>
          <t>Module 9 · Modern living</t>
        </is>
      </c>
      <c r="C282" s="11" t="inlineStr">
        <is>
          <t>9a</t>
        </is>
      </c>
      <c r="D282" s="11" t="inlineStr">
        <is>
          <t>to be (Past: was/were)</t>
        </is>
      </c>
      <c r="E282" s="35" t="inlineStr">
        <is>
          <t>to be (Past): вопросы и краткие ответы</t>
        </is>
      </c>
      <c r="F282" s="11" t="inlineStr">
        <is>
          <t>Ст-133</t>
        </is>
      </c>
      <c r="G282" s="37" t="inlineStr">
        <is>
          <t>повторение</t>
        </is>
      </c>
      <c r="H282" s="11" t="inlineStr"/>
      <c r="I282" s="37" t="inlineStr">
        <is>
          <t>10+</t>
        </is>
      </c>
      <c r="J282" s="11">
        <f>IFERROR(INDEX('Уроки'!$H:$H,MATCH(F282,'Уроки'!$A:$A,0)),"")</f>
        <v/>
      </c>
      <c r="K282" s="11">
        <f>IFERROR(INDEX('Уроки'!$J:$J,MATCH(F282,'Уроки'!$A:$A,0)),"")</f>
        <v/>
      </c>
      <c r="L282" s="11" t="inlineStr">
        <is>
          <t>Spotlight / 5 класс / Module 9 · Modern living / to be (Past: was/were) / to be (Past): вопросы и краткие ответы</t>
        </is>
      </c>
    </row>
    <row r="283">
      <c r="A283" s="37" t="n">
        <v>5</v>
      </c>
      <c r="B283" s="11" t="inlineStr">
        <is>
          <t>Module 9 · Modern living</t>
        </is>
      </c>
      <c r="C283" s="11" t="inlineStr"/>
      <c r="D283" s="11" t="inlineStr">
        <is>
          <t>must/mustn't</t>
        </is>
      </c>
      <c r="E283" s="33" t="inlineStr">
        <is>
          <t>must/mustn't: must — обязанность, необходимость</t>
        </is>
      </c>
      <c r="F283" s="11" t="inlineStr">
        <is>
          <t>Ст-146</t>
        </is>
      </c>
      <c r="G283" s="37" t="inlineStr">
        <is>
          <t>повторение</t>
        </is>
      </c>
      <c r="H283" s="11" t="inlineStr">
        <is>
          <t>обязанность и необходимость</t>
        </is>
      </c>
      <c r="I283" s="37" t="inlineStr">
        <is>
          <t>10+</t>
        </is>
      </c>
      <c r="J283" s="11">
        <f>IFERROR(INDEX('Уроки'!$H:$H,MATCH(F283,'Уроки'!$A:$A,0)),"")</f>
        <v/>
      </c>
      <c r="K283" s="11">
        <f>IFERROR(INDEX('Уроки'!$J:$J,MATCH(F283,'Уроки'!$A:$A,0)),"")</f>
        <v/>
      </c>
      <c r="L283" s="11" t="inlineStr">
        <is>
          <t>Spotlight / 5 класс / Module 9 · Modern living / must/mustn't / must/mustn't: must — обязанность, необходимость</t>
        </is>
      </c>
    </row>
    <row r="284">
      <c r="A284" s="37" t="n">
        <v>5</v>
      </c>
      <c r="B284" s="11" t="inlineStr">
        <is>
          <t>Module 9 · Modern living</t>
        </is>
      </c>
      <c r="C284" s="11" t="inlineStr"/>
      <c r="D284" s="11" t="inlineStr">
        <is>
          <t>must/mustn't</t>
        </is>
      </c>
      <c r="E284" s="33" t="inlineStr">
        <is>
          <t>must/mustn't: mustn't — запрет</t>
        </is>
      </c>
      <c r="F284" s="11" t="inlineStr">
        <is>
          <t>Ст-147</t>
        </is>
      </c>
      <c r="G284" s="37" t="inlineStr">
        <is>
          <t>повторение</t>
        </is>
      </c>
      <c r="H284" s="11" t="inlineStr">
        <is>
          <t>You mustn't speak loudly in here</t>
        </is>
      </c>
      <c r="I284" s="37" t="inlineStr">
        <is>
          <t>10+</t>
        </is>
      </c>
      <c r="J284" s="11">
        <f>IFERROR(INDEX('Уроки'!$H:$H,MATCH(F284,'Уроки'!$A:$A,0)),"")</f>
        <v/>
      </c>
      <c r="K284" s="11">
        <f>IFERROR(INDEX('Уроки'!$J:$J,MATCH(F284,'Уроки'!$A:$A,0)),"")</f>
        <v/>
      </c>
      <c r="L284" s="11" t="inlineStr">
        <is>
          <t>Spotlight / 5 класс / Module 9 · Modern living / must/mustn't / must/mustn't: mustn't — запрет</t>
        </is>
      </c>
    </row>
    <row r="285">
      <c r="A285" s="37" t="n">
        <v>5</v>
      </c>
      <c r="B285" s="11" t="inlineStr">
        <is>
          <t>Module 9 · Modern living</t>
        </is>
      </c>
      <c r="C285" s="11" t="inlineStr">
        <is>
          <t>9a</t>
        </is>
      </c>
      <c r="D285" s="11" t="inlineStr">
        <is>
          <t>Articles (a/an/the/zero)</t>
        </is>
      </c>
      <c r="E285" s="33" t="inlineStr">
        <is>
          <t>Articles: a/an — первое упоминание, значение «один»</t>
        </is>
      </c>
      <c r="F285" s="11" t="inlineStr">
        <is>
          <t>Ст-364</t>
        </is>
      </c>
      <c r="G285" s="40" t="inlineStr">
        <is>
          <t>новое</t>
        </is>
      </c>
      <c r="H285" s="11" t="inlineStr">
        <is>
          <t>I can see a white cat</t>
        </is>
      </c>
      <c r="I285" s="37" t="inlineStr">
        <is>
          <t>10+</t>
        </is>
      </c>
      <c r="J285" s="11">
        <f>IFERROR(INDEX('Уроки'!$H:$H,MATCH(F285,'Уроки'!$A:$A,0)),"")</f>
        <v/>
      </c>
      <c r="K285" s="11">
        <f>IFERROR(INDEX('Уроки'!$J:$J,MATCH(F285,'Уроки'!$A:$A,0)),"")</f>
        <v/>
      </c>
      <c r="L285" s="11" t="inlineStr">
        <is>
          <t>Spotlight / 5 класс / Module 9 · Modern living / Articles (a/an/the/zero) / Articles: a/an — первое упоминание, значение «один»</t>
        </is>
      </c>
    </row>
    <row r="286">
      <c r="A286" s="37" t="n">
        <v>5</v>
      </c>
      <c r="B286" s="11" t="inlineStr">
        <is>
          <t>Module 9 · Modern living</t>
        </is>
      </c>
      <c r="C286" s="11" t="inlineStr">
        <is>
          <t>9a</t>
        </is>
      </c>
      <c r="D286" s="11" t="inlineStr">
        <is>
          <t>Articles (a/an/the/zero)</t>
        </is>
      </c>
      <c r="E286" s="33" t="inlineStr">
        <is>
          <t>Articles: the — известный, упомянутый ранее предмет</t>
        </is>
      </c>
      <c r="F286" s="11" t="inlineStr">
        <is>
          <t>Ст-365</t>
        </is>
      </c>
      <c r="G286" s="40" t="inlineStr">
        <is>
          <t>новое</t>
        </is>
      </c>
      <c r="H286" s="11" t="inlineStr">
        <is>
          <t>The cat on the sofa is black</t>
        </is>
      </c>
      <c r="I286" s="37" t="inlineStr">
        <is>
          <t>10+</t>
        </is>
      </c>
      <c r="J286" s="11">
        <f>IFERROR(INDEX('Уроки'!$H:$H,MATCH(F286,'Уроки'!$A:$A,0)),"")</f>
        <v/>
      </c>
      <c r="K286" s="11">
        <f>IFERROR(INDEX('Уроки'!$J:$J,MATCH(F286,'Уроки'!$A:$A,0)),"")</f>
        <v/>
      </c>
      <c r="L286" s="11" t="inlineStr">
        <is>
          <t>Spotlight / 5 класс / Module 9 · Modern living / Articles (a/an/the/zero) / Articles: the — известный, упомянутый ранее предмет</t>
        </is>
      </c>
    </row>
    <row r="287">
      <c r="A287" s="37" t="n">
        <v>5</v>
      </c>
      <c r="B287" s="11" t="inlineStr">
        <is>
          <t>Module 9 · Modern living</t>
        </is>
      </c>
      <c r="C287" s="11" t="inlineStr">
        <is>
          <t>9a</t>
        </is>
      </c>
      <c r="D287" s="11" t="inlineStr">
        <is>
          <t>Articles (a/an/the/zero)</t>
        </is>
      </c>
      <c r="E287" s="33" t="inlineStr">
        <is>
          <t>Articles: нулевой артикль — мн. ч. и неисчисляемые в общем значении</t>
        </is>
      </c>
      <c r="F287" s="11" t="inlineStr">
        <is>
          <t>Ст-366</t>
        </is>
      </c>
      <c r="G287" s="40" t="inlineStr">
        <is>
          <t>новое</t>
        </is>
      </c>
      <c r="H287" s="11" t="inlineStr">
        <is>
          <t>They sell toys… Do you like milk?</t>
        </is>
      </c>
      <c r="I287" s="37" t="inlineStr">
        <is>
          <t>10+</t>
        </is>
      </c>
      <c r="J287" s="11">
        <f>IFERROR(INDEX('Уроки'!$H:$H,MATCH(F287,'Уроки'!$A:$A,0)),"")</f>
        <v/>
      </c>
      <c r="K287" s="11">
        <f>IFERROR(INDEX('Уроки'!$J:$J,MATCH(F287,'Уроки'!$A:$A,0)),"")</f>
        <v/>
      </c>
      <c r="L287" s="11" t="inlineStr">
        <is>
          <t>Spotlight / 5 класс / Module 9 · Modern living / Articles (a/an/the/zero) / Articles: нулевой артикль — мн. ч. и неисчисляемые в общем значении</t>
        </is>
      </c>
    </row>
    <row r="288">
      <c r="A288" s="37" t="n">
        <v>5</v>
      </c>
      <c r="B288" s="11" t="inlineStr">
        <is>
          <t>Module 9 · Modern living</t>
        </is>
      </c>
      <c r="C288" s="11" t="inlineStr">
        <is>
          <t>9a</t>
        </is>
      </c>
      <c r="D288" s="11" t="inlineStr">
        <is>
          <t>Articles (a/an/the/zero)</t>
        </is>
      </c>
      <c r="E288" s="35" t="inlineStr">
        <is>
          <t>Articles: нулевой артикль — при другом определителе (my, this, some, числительное, 's)</t>
        </is>
      </c>
      <c r="F288" s="11" t="inlineStr">
        <is>
          <t>Ст-367</t>
        </is>
      </c>
      <c r="G288" s="40" t="inlineStr">
        <is>
          <t>новое</t>
        </is>
      </c>
      <c r="H288" s="11" t="inlineStr">
        <is>
          <t>my, this, some/any/no, every/each, whose/which, three, my granny's</t>
        </is>
      </c>
      <c r="I288" s="37" t="inlineStr">
        <is>
          <t>10+</t>
        </is>
      </c>
      <c r="J288" s="11">
        <f>IFERROR(INDEX('Уроки'!$H:$H,MATCH(F288,'Уроки'!$A:$A,0)),"")</f>
        <v/>
      </c>
      <c r="K288" s="11">
        <f>IFERROR(INDEX('Уроки'!$J:$J,MATCH(F288,'Уроки'!$A:$A,0)),"")</f>
        <v/>
      </c>
      <c r="L288" s="11" t="inlineStr">
        <is>
          <t>Spotlight / 5 класс / Module 9 · Modern living / Articles (a/an/the/zero) / Articles: нулевой артикль — при другом определителе (my, this, some, числительное, 's)</t>
        </is>
      </c>
    </row>
    <row r="289">
      <c r="A289" s="37" t="n">
        <v>5</v>
      </c>
      <c r="B289" s="11" t="inlineStr">
        <is>
          <t>Module 10 · Holidays</t>
        </is>
      </c>
      <c r="C289" s="11" t="inlineStr">
        <is>
          <t>10b</t>
        </is>
      </c>
      <c r="D289" s="11" t="inlineStr">
        <is>
          <t>Future Simple (will)</t>
        </is>
      </c>
      <c r="E289" s="34" t="inlineStr">
        <is>
          <t>Future Simple (will): утверждение (will/'ll + V)</t>
        </is>
      </c>
      <c r="F289" s="11" t="inlineStr">
        <is>
          <t>Ст-039</t>
        </is>
      </c>
      <c r="G289" s="37" t="inlineStr">
        <is>
          <t>повторение</t>
        </is>
      </c>
      <c r="H289" s="11" t="inlineStr">
        <is>
          <t>все лица, 'll</t>
        </is>
      </c>
      <c r="I289" s="37" t="inlineStr">
        <is>
          <t>10+</t>
        </is>
      </c>
      <c r="J289" s="11">
        <f>IFERROR(INDEX('Уроки'!$H:$H,MATCH(F289,'Уроки'!$A:$A,0)),"")</f>
        <v/>
      </c>
      <c r="K289" s="11">
        <f>IFERROR(INDEX('Уроки'!$J:$J,MATCH(F289,'Уроки'!$A:$A,0)),"")</f>
        <v/>
      </c>
      <c r="L289" s="11" t="inlineStr">
        <is>
          <t>Spotlight / 5 класс / Module 10 · Holidays / Future Simple (will) / Future Simple (will): утверждение (will/'ll + V)</t>
        </is>
      </c>
    </row>
    <row r="290">
      <c r="A290" s="37" t="n">
        <v>5</v>
      </c>
      <c r="B290" s="11" t="inlineStr">
        <is>
          <t>Module 10 · Holidays</t>
        </is>
      </c>
      <c r="C290" s="11" t="inlineStr">
        <is>
          <t>10b</t>
        </is>
      </c>
      <c r="D290" s="11" t="inlineStr">
        <is>
          <t>Future Simple (will)</t>
        </is>
      </c>
      <c r="E290" s="34" t="inlineStr">
        <is>
          <t>Future Simple (will): отрицание (will not/won't)</t>
        </is>
      </c>
      <c r="F290" s="11" t="inlineStr">
        <is>
          <t>Ст-040</t>
        </is>
      </c>
      <c r="G290" s="37" t="inlineStr">
        <is>
          <t>повторение</t>
        </is>
      </c>
      <c r="H290" s="11" t="inlineStr">
        <is>
          <t>won't</t>
        </is>
      </c>
      <c r="I290" s="37" t="inlineStr">
        <is>
          <t>10+</t>
        </is>
      </c>
      <c r="J290" s="11">
        <f>IFERROR(INDEX('Уроки'!$H:$H,MATCH(F290,'Уроки'!$A:$A,0)),"")</f>
        <v/>
      </c>
      <c r="K290" s="11">
        <f>IFERROR(INDEX('Уроки'!$J:$J,MATCH(F290,'Уроки'!$A:$A,0)),"")</f>
        <v/>
      </c>
      <c r="L290" s="11" t="inlineStr">
        <is>
          <t>Spotlight / 5 класс / Module 10 · Holidays / Future Simple (will) / Future Simple (will): отрицание (will not/won't)</t>
        </is>
      </c>
    </row>
    <row r="291">
      <c r="A291" s="37" t="n">
        <v>5</v>
      </c>
      <c r="B291" s="11" t="inlineStr">
        <is>
          <t>Module 10 · Holidays</t>
        </is>
      </c>
      <c r="C291" s="11" t="inlineStr">
        <is>
          <t>10b</t>
        </is>
      </c>
      <c r="D291" s="11" t="inlineStr">
        <is>
          <t>Future Simple (will)</t>
        </is>
      </c>
      <c r="E291" s="34" t="inlineStr">
        <is>
          <t>Future Simple (will): вопросы и краткие ответы</t>
        </is>
      </c>
      <c r="F291" s="11" t="inlineStr">
        <is>
          <t>Ст-041</t>
        </is>
      </c>
      <c r="G291" s="37" t="inlineStr">
        <is>
          <t>повторение</t>
        </is>
      </c>
      <c r="H291" s="11" t="inlineStr">
        <is>
          <t>краткие ответы для всех лиц</t>
        </is>
      </c>
      <c r="I291" s="37" t="inlineStr">
        <is>
          <t>10+</t>
        </is>
      </c>
      <c r="J291" s="11">
        <f>IFERROR(INDEX('Уроки'!$H:$H,MATCH(F291,'Уроки'!$A:$A,0)),"")</f>
        <v/>
      </c>
      <c r="K291" s="11">
        <f>IFERROR(INDEX('Уроки'!$J:$J,MATCH(F291,'Уроки'!$A:$A,0)),"")</f>
        <v/>
      </c>
      <c r="L291" s="11" t="inlineStr">
        <is>
          <t>Spotlight / 5 класс / Module 10 · Holidays / Future Simple (will) / Future Simple (will): вопросы и краткие ответы</t>
        </is>
      </c>
    </row>
    <row r="292">
      <c r="A292" s="37" t="n">
        <v>5</v>
      </c>
      <c r="B292" s="11" t="inlineStr">
        <is>
          <t>Module 10 · Holidays</t>
        </is>
      </c>
      <c r="C292" s="11" t="inlineStr">
        <is>
          <t>10b</t>
        </is>
      </c>
      <c r="D292" s="11" t="inlineStr">
        <is>
          <t>Future Simple (will)</t>
        </is>
      </c>
      <c r="E292" s="33" t="inlineStr">
        <is>
          <t>Future Simple (will): значение — предсказание/предположение</t>
        </is>
      </c>
      <c r="F292" s="11" t="inlineStr">
        <is>
          <t>Ст-042</t>
        </is>
      </c>
      <c r="G292" s="41" t="inlineStr">
        <is>
          <t>расширение</t>
        </is>
      </c>
      <c r="H292" s="11" t="inlineStr">
        <is>
          <t>добавлены think, believe, expect, be sure, be afraid</t>
        </is>
      </c>
      <c r="I292" s="37" t="inlineStr">
        <is>
          <t>10+</t>
        </is>
      </c>
      <c r="J292" s="11">
        <f>IFERROR(INDEX('Уроки'!$H:$H,MATCH(F292,'Уроки'!$A:$A,0)),"")</f>
        <v/>
      </c>
      <c r="K292" s="11">
        <f>IFERROR(INDEX('Уроки'!$J:$J,MATCH(F292,'Уроки'!$A:$A,0)),"")</f>
        <v/>
      </c>
      <c r="L292" s="11" t="inlineStr">
        <is>
          <t>Spotlight / 5 класс / Module 10 · Holidays / Future Simple (will) / Future Simple (will): значение — предсказание/предположение</t>
        </is>
      </c>
    </row>
    <row r="293">
      <c r="A293" s="37" t="n">
        <v>5</v>
      </c>
      <c r="B293" s="11" t="inlineStr">
        <is>
          <t>Module 10 · Holidays</t>
        </is>
      </c>
      <c r="C293" s="11" t="inlineStr">
        <is>
          <t>10b</t>
        </is>
      </c>
      <c r="D293" s="11" t="inlineStr">
        <is>
          <t>Future Simple (will)</t>
        </is>
      </c>
      <c r="E293" s="33" t="inlineStr">
        <is>
          <t>Future Simple (will): значение — решение в момент речи</t>
        </is>
      </c>
      <c r="F293" s="11" t="inlineStr">
        <is>
          <t>Ст-043</t>
        </is>
      </c>
      <c r="G293" s="37" t="inlineStr">
        <is>
          <t>повторение</t>
        </is>
      </c>
      <c r="H293" s="11" t="inlineStr">
        <is>
          <t>I'll go to sleep</t>
        </is>
      </c>
      <c r="I293" s="37" t="inlineStr">
        <is>
          <t>10+</t>
        </is>
      </c>
      <c r="J293" s="11">
        <f>IFERROR(INDEX('Уроки'!$H:$H,MATCH(F293,'Уроки'!$A:$A,0)),"")</f>
        <v/>
      </c>
      <c r="K293" s="11">
        <f>IFERROR(INDEX('Уроки'!$J:$J,MATCH(F293,'Уроки'!$A:$A,0)),"")</f>
        <v/>
      </c>
      <c r="L293" s="11" t="inlineStr">
        <is>
          <t>Spotlight / 5 класс / Module 10 · Holidays / Future Simple (will) / Future Simple (will): значение — решение в момент речи</t>
        </is>
      </c>
    </row>
    <row r="294">
      <c r="A294" s="37" t="n">
        <v>5</v>
      </c>
      <c r="B294" s="11" t="inlineStr">
        <is>
          <t>Module 10 · Holidays</t>
        </is>
      </c>
      <c r="C294" s="11" t="inlineStr">
        <is>
          <t>10b</t>
        </is>
      </c>
      <c r="D294" s="11" t="inlineStr">
        <is>
          <t>Future Simple (will)</t>
        </is>
      </c>
      <c r="E294" s="34" t="inlineStr">
        <is>
          <t>Future Simple (will): значение — просьбы (Will you…?)</t>
        </is>
      </c>
      <c r="F294" s="11" t="inlineStr">
        <is>
          <t>Ст-045</t>
        </is>
      </c>
      <c r="G294" s="40" t="inlineStr">
        <is>
          <t>новое</t>
        </is>
      </c>
      <c r="H294" s="11" t="inlineStr">
        <is>
          <t>Will you open the door…?</t>
        </is>
      </c>
      <c r="I294" s="37" t="inlineStr">
        <is>
          <t>10+</t>
        </is>
      </c>
      <c r="J294" s="11">
        <f>IFERROR(INDEX('Уроки'!$H:$H,MATCH(F294,'Уроки'!$A:$A,0)),"")</f>
        <v/>
      </c>
      <c r="K294" s="11">
        <f>IFERROR(INDEX('Уроки'!$J:$J,MATCH(F294,'Уроки'!$A:$A,0)),"")</f>
        <v/>
      </c>
      <c r="L294" s="11" t="inlineStr">
        <is>
          <t>Spotlight / 5 класс / Module 10 · Holidays / Future Simple (will) / Future Simple (will): значение — просьбы (Will you…?)</t>
        </is>
      </c>
    </row>
    <row r="295">
      <c r="A295" s="37" t="n">
        <v>5</v>
      </c>
      <c r="B295" s="11" t="inlineStr">
        <is>
          <t>Module 10 · Holidays</t>
        </is>
      </c>
      <c r="C295" s="11" t="inlineStr">
        <is>
          <t>10b</t>
        </is>
      </c>
      <c r="D295" s="11" t="inlineStr">
        <is>
          <t>be going to</t>
        </is>
      </c>
      <c r="E295" s="33" t="inlineStr">
        <is>
          <t>be going to: значение — планы и намерения</t>
        </is>
      </c>
      <c r="F295" s="11" t="inlineStr">
        <is>
          <t>Ст-058</t>
        </is>
      </c>
      <c r="G295" s="37" t="inlineStr">
        <is>
          <t>повторение</t>
        </is>
      </c>
      <c r="H295" s="11" t="inlineStr">
        <is>
          <t>только значение и пример, форм нет</t>
        </is>
      </c>
      <c r="I295" s="37" t="inlineStr">
        <is>
          <t>10+</t>
        </is>
      </c>
      <c r="J295" s="11">
        <f>IFERROR(INDEX('Уроки'!$H:$H,MATCH(F295,'Уроки'!$A:$A,0)),"")</f>
        <v/>
      </c>
      <c r="K295" s="11">
        <f>IFERROR(INDEX('Уроки'!$J:$J,MATCH(F295,'Уроки'!$A:$A,0)),"")</f>
        <v/>
      </c>
      <c r="L295" s="11" t="inlineStr">
        <is>
          <t>Spotlight / 5 класс / Module 10 · Holidays / be going to / be going to: значение — планы и намерения</t>
        </is>
      </c>
    </row>
    <row r="296">
      <c r="A296" s="37" t="n">
        <v>5</v>
      </c>
      <c r="B296" s="11" t="inlineStr">
        <is>
          <t>Module 10 · Holidays</t>
        </is>
      </c>
      <c r="C296" s="11" t="inlineStr">
        <is>
          <t>10a</t>
        </is>
      </c>
      <c r="D296" s="11" t="inlineStr">
        <is>
          <t>Present Perfect</t>
        </is>
      </c>
      <c r="E296" s="33" t="inlineStr">
        <is>
          <t>Present Perfect: утверждение (have/has + V3)</t>
        </is>
      </c>
      <c r="F296" s="11" t="inlineStr">
        <is>
          <t>Ст-062</t>
        </is>
      </c>
      <c r="G296" s="40" t="inlineStr">
        <is>
          <t>новое</t>
        </is>
      </c>
      <c r="H296" s="11" t="inlineStr">
        <is>
          <t>только примеры have/has, без таблицы</t>
        </is>
      </c>
      <c r="I296" s="37" t="inlineStr">
        <is>
          <t>10+</t>
        </is>
      </c>
      <c r="J296" s="11">
        <f>IFERROR(INDEX('Уроки'!$H:$H,MATCH(F296,'Уроки'!$A:$A,0)),"")</f>
        <v/>
      </c>
      <c r="K296" s="11">
        <f>IFERROR(INDEX('Уроки'!$J:$J,MATCH(F296,'Уроки'!$A:$A,0)),"")</f>
        <v/>
      </c>
      <c r="L296" s="11" t="inlineStr">
        <is>
          <t>Spotlight / 5 класс / Module 10 · Holidays / Present Perfect / Present Perfect: утверждение (have/has + V3)</t>
        </is>
      </c>
    </row>
    <row r="297">
      <c r="A297" s="37" t="n">
        <v>5</v>
      </c>
      <c r="B297" s="11" t="inlineStr">
        <is>
          <t>Module 10 · Holidays</t>
        </is>
      </c>
      <c r="C297" s="11" t="inlineStr">
        <is>
          <t>10a</t>
        </is>
      </c>
      <c r="D297" s="11" t="inlineStr">
        <is>
          <t>Present Perfect</t>
        </is>
      </c>
      <c r="E297" s="33" t="inlineStr">
        <is>
          <t>Present Perfect: отрицание (haven't/hasn't)</t>
        </is>
      </c>
      <c r="F297" s="11" t="inlineStr">
        <is>
          <t>Ст-063</t>
        </is>
      </c>
      <c r="G297" s="40" t="inlineStr">
        <is>
          <t>новое</t>
        </is>
      </c>
      <c r="H297" s="11" t="inlineStr">
        <is>
          <t>только в примерах (haven't, hasn't)</t>
        </is>
      </c>
      <c r="I297" s="37" t="inlineStr">
        <is>
          <t>10+</t>
        </is>
      </c>
      <c r="J297" s="11">
        <f>IFERROR(INDEX('Уроки'!$H:$H,MATCH(F297,'Уроки'!$A:$A,0)),"")</f>
        <v/>
      </c>
      <c r="K297" s="11">
        <f>IFERROR(INDEX('Уроки'!$J:$J,MATCH(F297,'Уроки'!$A:$A,0)),"")</f>
        <v/>
      </c>
      <c r="L297" s="11" t="inlineStr">
        <is>
          <t>Spotlight / 5 класс / Module 10 · Holidays / Present Perfect / Present Perfect: отрицание (haven't/hasn't)</t>
        </is>
      </c>
    </row>
    <row r="298">
      <c r="A298" s="37" t="n">
        <v>5</v>
      </c>
      <c r="B298" s="11" t="inlineStr">
        <is>
          <t>Module 10 · Holidays</t>
        </is>
      </c>
      <c r="C298" s="11" t="inlineStr">
        <is>
          <t>10a</t>
        </is>
      </c>
      <c r="D298" s="11" t="inlineStr">
        <is>
          <t>Present Perfect</t>
        </is>
      </c>
      <c r="E298" s="33" t="inlineStr">
        <is>
          <t>Present Perfect: вопросы и краткие ответы</t>
        </is>
      </c>
      <c r="F298" s="11" t="inlineStr">
        <is>
          <t>Ст-064</t>
        </is>
      </c>
      <c r="G298" s="40" t="inlineStr">
        <is>
          <t>новое</t>
        </is>
      </c>
      <c r="H298" s="11" t="inlineStr">
        <is>
          <t>только в примерах (Have you ever…? – No, I haven't)</t>
        </is>
      </c>
      <c r="I298" s="37" t="inlineStr">
        <is>
          <t>10+</t>
        </is>
      </c>
      <c r="J298" s="11">
        <f>IFERROR(INDEX('Уроки'!$H:$H,MATCH(F298,'Уроки'!$A:$A,0)),"")</f>
        <v/>
      </c>
      <c r="K298" s="11">
        <f>IFERROR(INDEX('Уроки'!$J:$J,MATCH(F298,'Уроки'!$A:$A,0)),"")</f>
        <v/>
      </c>
      <c r="L298" s="11" t="inlineStr">
        <is>
          <t>Spotlight / 5 класс / Module 10 · Holidays / Present Perfect / Present Perfect: вопросы и краткие ответы</t>
        </is>
      </c>
    </row>
    <row r="299">
      <c r="A299" s="37" t="n">
        <v>5</v>
      </c>
      <c r="B299" s="11" t="inlineStr">
        <is>
          <t>Module 10 · Holidays</t>
        </is>
      </c>
      <c r="C299" s="11" t="inlineStr">
        <is>
          <t>10a</t>
        </is>
      </c>
      <c r="D299" s="11" t="inlineStr">
        <is>
          <t>Present Perfect</t>
        </is>
      </c>
      <c r="E299" s="34" t="inlineStr">
        <is>
          <t>Present Perfect: V3 правильных глаголов (-ed, орфография)</t>
        </is>
      </c>
      <c r="F299" s="11" t="inlineStr">
        <is>
          <t>Ст-065</t>
        </is>
      </c>
      <c r="G299" s="40" t="inlineStr">
        <is>
          <t>новое</t>
        </is>
      </c>
      <c r="H299" s="11" t="inlineStr">
        <is>
          <t>finish – finished, plan – planned; орфография как в Past Simple</t>
        </is>
      </c>
      <c r="I299" s="37" t="inlineStr">
        <is>
          <t>10+</t>
        </is>
      </c>
      <c r="J299" s="11">
        <f>IFERROR(INDEX('Уроки'!$H:$H,MATCH(F299,'Уроки'!$A:$A,0)),"")</f>
        <v/>
      </c>
      <c r="K299" s="11">
        <f>IFERROR(INDEX('Уроки'!$J:$J,MATCH(F299,'Уроки'!$A:$A,0)),"")</f>
        <v/>
      </c>
      <c r="L299" s="11" t="inlineStr">
        <is>
          <t>Spotlight / 5 класс / Module 10 · Holidays / Present Perfect / Present Perfect: V3 правильных глаголов (-ed, орфография)</t>
        </is>
      </c>
    </row>
    <row r="300">
      <c r="A300" s="37" t="n">
        <v>5</v>
      </c>
      <c r="B300" s="11" t="inlineStr">
        <is>
          <t>Module 10 · Holidays</t>
        </is>
      </c>
      <c r="C300" s="11" t="inlineStr">
        <is>
          <t>10a</t>
        </is>
      </c>
      <c r="D300" s="11" t="inlineStr">
        <is>
          <t>Present Perfect</t>
        </is>
      </c>
      <c r="E300" s="34" t="inlineStr">
        <is>
          <t>Present Perfect: V3 неправильных глаголов</t>
        </is>
      </c>
      <c r="F300" s="11" t="inlineStr">
        <is>
          <t>Ст-066</t>
        </is>
      </c>
      <c r="G300" s="40" t="inlineStr">
        <is>
          <t>новое</t>
        </is>
      </c>
      <c r="H300" s="11" t="inlineStr">
        <is>
          <t>be – been, go – gone, see – seen</t>
        </is>
      </c>
      <c r="I300" s="37" t="inlineStr">
        <is>
          <t>10+</t>
        </is>
      </c>
      <c r="J300" s="11">
        <f>IFERROR(INDEX('Уроки'!$H:$H,MATCH(F300,'Уроки'!$A:$A,0)),"")</f>
        <v/>
      </c>
      <c r="K300" s="11">
        <f>IFERROR(INDEX('Уроки'!$J:$J,MATCH(F300,'Уроки'!$A:$A,0)),"")</f>
        <v/>
      </c>
      <c r="L300" s="11" t="inlineStr">
        <is>
          <t>Spotlight / 5 класс / Module 10 · Holidays / Present Perfect / Present Perfect: V3 неправильных глаголов</t>
        </is>
      </c>
    </row>
    <row r="301">
      <c r="A301" s="37" t="n">
        <v>5</v>
      </c>
      <c r="B301" s="11" t="inlineStr">
        <is>
          <t>Module 10 · Holidays</t>
        </is>
      </c>
      <c r="C301" s="11" t="inlineStr">
        <is>
          <t>10a</t>
        </is>
      </c>
      <c r="D301" s="11" t="inlineStr">
        <is>
          <t>Present Perfect</t>
        </is>
      </c>
      <c r="E301" s="33" t="inlineStr">
        <is>
          <t>Present Perfect: значение — жизненный опыт, перемены (ever/never)</t>
        </is>
      </c>
      <c r="F301" s="11" t="inlineStr">
        <is>
          <t>Ст-067</t>
        </is>
      </c>
      <c r="G301" s="40" t="inlineStr">
        <is>
          <t>новое</t>
        </is>
      </c>
      <c r="H301" s="11" t="inlineStr">
        <is>
          <t>I have been to London; ever</t>
        </is>
      </c>
      <c r="I301" s="37" t="inlineStr">
        <is>
          <t>10+</t>
        </is>
      </c>
      <c r="J301" s="11">
        <f>IFERROR(INDEX('Уроки'!$H:$H,MATCH(F301,'Уроки'!$A:$A,0)),"")</f>
        <v/>
      </c>
      <c r="K301" s="11">
        <f>IFERROR(INDEX('Уроки'!$J:$J,MATCH(F301,'Уроки'!$A:$A,0)),"")</f>
        <v/>
      </c>
      <c r="L301" s="11" t="inlineStr">
        <is>
          <t>Spotlight / 5 класс / Module 10 · Holidays / Present Perfect / Present Perfect: значение — жизненный опыт, перемены (ever/never)</t>
        </is>
      </c>
    </row>
    <row r="302">
      <c r="A302" s="37" t="n">
        <v>5</v>
      </c>
      <c r="B302" s="11" t="inlineStr">
        <is>
          <t>Module 10 · Holidays</t>
        </is>
      </c>
      <c r="C302" s="11" t="inlineStr">
        <is>
          <t>10a</t>
        </is>
      </c>
      <c r="D302" s="11" t="inlineStr">
        <is>
          <t>Present Perfect</t>
        </is>
      </c>
      <c r="E302" s="33" t="inlineStr">
        <is>
          <t>Present Perfect: значение — результат в настоящем</t>
        </is>
      </c>
      <c r="F302" s="11" t="inlineStr">
        <is>
          <t>Ст-068</t>
        </is>
      </c>
      <c r="G302" s="40" t="inlineStr">
        <is>
          <t>новое</t>
        </is>
      </c>
      <c r="H302" s="11" t="inlineStr">
        <is>
          <t>действие завершилось к моменту речи (already planned)</t>
        </is>
      </c>
      <c r="I302" s="37" t="inlineStr">
        <is>
          <t>10+</t>
        </is>
      </c>
      <c r="J302" s="11">
        <f>IFERROR(INDEX('Уроки'!$H:$H,MATCH(F302,'Уроки'!$A:$A,0)),"")</f>
        <v/>
      </c>
      <c r="K302" s="11">
        <f>IFERROR(INDEX('Уроки'!$J:$J,MATCH(F302,'Уроки'!$A:$A,0)),"")</f>
        <v/>
      </c>
      <c r="L302" s="11" t="inlineStr">
        <is>
          <t>Spotlight / 5 класс / Module 10 · Holidays / Present Perfect / Present Perfect: значение — результат в настоящем</t>
        </is>
      </c>
    </row>
    <row r="303">
      <c r="A303" s="37" t="n">
        <v>5</v>
      </c>
      <c r="B303" s="11" t="inlineStr">
        <is>
          <t>Module 10 · Holidays</t>
        </is>
      </c>
      <c r="C303" s="11" t="inlineStr">
        <is>
          <t>10a</t>
        </is>
      </c>
      <c r="D303" s="11" t="inlineStr">
        <is>
          <t>Present Perfect</t>
        </is>
      </c>
      <c r="E303" s="33" t="inlineStr">
        <is>
          <t>Present Perfect: слова-маркеры already / yet / just / ever / never</t>
        </is>
      </c>
      <c r="F303" s="11" t="inlineStr">
        <is>
          <t>Ст-074</t>
        </is>
      </c>
      <c r="G303" s="40" t="inlineStr">
        <is>
          <t>новое</t>
        </is>
      </c>
      <c r="H303" s="11" t="inlineStr">
        <is>
          <t>ever, never, just, yet, already — с примерами</t>
        </is>
      </c>
      <c r="I303" s="37" t="inlineStr">
        <is>
          <t>10+</t>
        </is>
      </c>
      <c r="J303" s="11">
        <f>IFERROR(INDEX('Уроки'!$H:$H,MATCH(F303,'Уроки'!$A:$A,0)),"")</f>
        <v/>
      </c>
      <c r="K303" s="11">
        <f>IFERROR(INDEX('Уроки'!$J:$J,MATCH(F303,'Уроки'!$A:$A,0)),"")</f>
        <v/>
      </c>
      <c r="L303" s="11" t="inlineStr">
        <is>
          <t>Spotlight / 5 класс / Module 10 · Holidays / Present Perfect / Present Perfect: слова-маркеры already / yet / just / ever / never</t>
        </is>
      </c>
    </row>
    <row r="304">
      <c r="A304" s="37" t="n">
        <v>5</v>
      </c>
      <c r="B304" s="11" t="inlineStr">
        <is>
          <t>Module 10 · Holidays</t>
        </is>
      </c>
      <c r="C304" s="11" t="inlineStr">
        <is>
          <t>10a</t>
        </is>
      </c>
      <c r="D304" s="11" t="inlineStr">
        <is>
          <t>can (permission/request)</t>
        </is>
      </c>
      <c r="E304" s="33" t="inlineStr">
        <is>
          <t>can (permission/request): спросить разрешения — Can I…?</t>
        </is>
      </c>
      <c r="F304" s="11" t="inlineStr">
        <is>
          <t>Ст-152</t>
        </is>
      </c>
      <c r="G304" s="40" t="inlineStr">
        <is>
          <t>новое</t>
        </is>
      </c>
      <c r="H304" s="11" t="inlineStr">
        <is>
          <t>Can I borrow your book?</t>
        </is>
      </c>
      <c r="I304" s="37" t="inlineStr">
        <is>
          <t>10+</t>
        </is>
      </c>
      <c r="J304" s="11">
        <f>IFERROR(INDEX('Уроки'!$H:$H,MATCH(F304,'Уроки'!$A:$A,0)),"")</f>
        <v/>
      </c>
      <c r="K304" s="11">
        <f>IFERROR(INDEX('Уроки'!$J:$J,MATCH(F304,'Уроки'!$A:$A,0)),"")</f>
        <v/>
      </c>
      <c r="L304" s="11" t="inlineStr">
        <is>
          <t>Spotlight / 5 класс / Module 10 · Holidays / can (permission/request) / can (permission/request): спросить разрешения — Can I…?</t>
        </is>
      </c>
    </row>
    <row r="305">
      <c r="A305" s="37" t="n">
        <v>5</v>
      </c>
      <c r="B305" s="11" t="inlineStr">
        <is>
          <t>Module 10 · Holidays</t>
        </is>
      </c>
      <c r="C305" s="11" t="inlineStr">
        <is>
          <t>10a</t>
        </is>
      </c>
      <c r="D305" s="11" t="inlineStr">
        <is>
          <t>can (permission/request)</t>
        </is>
      </c>
      <c r="E305" s="35" t="inlineStr">
        <is>
          <t>can (permission/request): просьба — Can you…? / Can I have…?</t>
        </is>
      </c>
      <c r="F305" s="11" t="inlineStr">
        <is>
          <t>Ст-153</t>
        </is>
      </c>
      <c r="G305" s="40" t="inlineStr">
        <is>
          <t>новое</t>
        </is>
      </c>
      <c r="H305" s="11" t="inlineStr">
        <is>
          <t>Can you pass me the salt, please?</t>
        </is>
      </c>
      <c r="I305" s="37" t="inlineStr">
        <is>
          <t>10+</t>
        </is>
      </c>
      <c r="J305" s="11">
        <f>IFERROR(INDEX('Уроки'!$H:$H,MATCH(F305,'Уроки'!$A:$A,0)),"")</f>
        <v/>
      </c>
      <c r="K305" s="11">
        <f>IFERROR(INDEX('Уроки'!$J:$J,MATCH(F305,'Уроки'!$A:$A,0)),"")</f>
        <v/>
      </c>
      <c r="L305" s="11" t="inlineStr">
        <is>
          <t>Spotlight / 5 класс / Module 10 · Holidays / can (permission/request) / can (permission/request): просьба — Can you…? / Can I have…?</t>
        </is>
      </c>
    </row>
    <row r="306">
      <c r="A306" s="37" t="n">
        <v>5</v>
      </c>
      <c r="B306" s="11" t="inlineStr">
        <is>
          <t>Module 10 · Holidays</t>
        </is>
      </c>
      <c r="C306" s="11" t="inlineStr">
        <is>
          <t>10a</t>
        </is>
      </c>
      <c r="D306" s="11" t="inlineStr">
        <is>
          <t>can (permission/request)</t>
        </is>
      </c>
      <c r="E306" s="35" t="inlineStr">
        <is>
          <t>can (permission/request): предложение помощи — Can I…?</t>
        </is>
      </c>
      <c r="F306" s="11" t="inlineStr">
        <is>
          <t>Ст-154</t>
        </is>
      </c>
      <c r="G306" s="40" t="inlineStr">
        <is>
          <t>новое</t>
        </is>
      </c>
      <c r="H306" s="11" t="inlineStr">
        <is>
          <t>Can I give you a lift?</t>
        </is>
      </c>
      <c r="I306" s="37" t="inlineStr">
        <is>
          <t>10+</t>
        </is>
      </c>
      <c r="J306" s="11">
        <f>IFERROR(INDEX('Уроки'!$H:$H,MATCH(F306,'Уроки'!$A:$A,0)),"")</f>
        <v/>
      </c>
      <c r="K306" s="11">
        <f>IFERROR(INDEX('Уроки'!$J:$J,MATCH(F306,'Уроки'!$A:$A,0)),"")</f>
        <v/>
      </c>
      <c r="L306" s="11" t="inlineStr">
        <is>
          <t>Spotlight / 5 класс / Module 10 · Holidays / can (permission/request) / can (permission/request): предложение помощи — Can I…?</t>
        </is>
      </c>
    </row>
    <row r="307">
      <c r="A307" s="37" t="n">
        <v>5</v>
      </c>
      <c r="B307" s="11" t="inlineStr">
        <is>
          <t>Module 10 · Holidays</t>
        </is>
      </c>
      <c r="C307" s="11" t="inlineStr">
        <is>
          <t>10a</t>
        </is>
      </c>
      <c r="D307" s="11" t="inlineStr">
        <is>
          <t>can (permission/request)</t>
        </is>
      </c>
      <c r="E307" s="33" t="inlineStr">
        <is>
          <t>can (permission/request): can't — запрет</t>
        </is>
      </c>
      <c r="F307" s="11" t="inlineStr">
        <is>
          <t>Ст-155</t>
        </is>
      </c>
      <c r="G307" s="40" t="inlineStr">
        <is>
          <t>новое</t>
        </is>
      </c>
      <c r="H307" s="11" t="inlineStr">
        <is>
          <t>You can't park here</t>
        </is>
      </c>
      <c r="I307" s="37" t="inlineStr">
        <is>
          <t>10+</t>
        </is>
      </c>
      <c r="J307" s="11">
        <f>IFERROR(INDEX('Уроки'!$H:$H,MATCH(F307,'Уроки'!$A:$A,0)),"")</f>
        <v/>
      </c>
      <c r="K307" s="11">
        <f>IFERROR(INDEX('Уроки'!$J:$J,MATCH(F307,'Уроки'!$A:$A,0)),"")</f>
        <v/>
      </c>
      <c r="L307" s="11" t="inlineStr">
        <is>
          <t>Spotlight / 5 класс / Module 10 · Holidays / can (permission/request) / can (permission/request): can't — запрет</t>
        </is>
      </c>
    </row>
    <row r="308">
      <c r="A308" s="37" t="n">
        <v>5</v>
      </c>
      <c r="B308" s="11" t="inlineStr">
        <is>
          <t>Module 10 · Holidays</t>
        </is>
      </c>
      <c r="C308" s="11" t="inlineStr">
        <is>
          <t>10b</t>
        </is>
      </c>
      <c r="D308" s="11" t="inlineStr">
        <is>
          <t>Word formation</t>
        </is>
      </c>
      <c r="E308" s="35" t="inlineStr">
        <is>
          <t>Word formation: -able, -ous, -ing</t>
        </is>
      </c>
      <c r="F308" s="11" t="inlineStr">
        <is>
          <t>Ст-605</t>
        </is>
      </c>
      <c r="G308" s="40" t="inlineStr">
        <is>
          <t>новое</t>
        </is>
      </c>
      <c r="H308" s="11" t="inlineStr">
        <is>
          <t>Прилагательные с суффиксами -able, -ous, -ing.</t>
        </is>
      </c>
      <c r="I308" s="37" t="inlineStr">
        <is>
          <t>10+</t>
        </is>
      </c>
      <c r="J308" s="11">
        <f>IFERROR(INDEX('Уроки'!$H:$H,MATCH(F308,'Уроки'!$A:$A,0)),"")</f>
        <v/>
      </c>
      <c r="K308" s="11">
        <f>IFERROR(INDEX('Уроки'!$J:$J,MATCH(F308,'Уроки'!$A:$A,0)),"")</f>
        <v/>
      </c>
      <c r="L308" s="11" t="inlineStr">
        <is>
          <t>Spotlight / 5 класс / Module 10 · Holidays / Word formation / Word formation: -able, -ous, -ing</t>
        </is>
      </c>
    </row>
    <row r="309">
      <c r="A309" s="37" t="n">
        <v>5</v>
      </c>
      <c r="B309" s="11" t="inlineStr">
        <is>
          <t>Module 10 · Holidays</t>
        </is>
      </c>
      <c r="C309" s="11" t="inlineStr">
        <is>
          <t>10c</t>
        </is>
      </c>
      <c r="D309" s="11" t="inlineStr">
        <is>
          <t>Word formation</t>
        </is>
      </c>
      <c r="E309" s="35" t="inlineStr">
        <is>
          <t>Word formation: -tion, -sion</t>
        </is>
      </c>
      <c r="F309" s="11" t="inlineStr">
        <is>
          <t>Ст-610</t>
        </is>
      </c>
      <c r="G309" s="40" t="inlineStr">
        <is>
          <t>новое</t>
        </is>
      </c>
      <c r="H309" s="11" t="inlineStr">
        <is>
          <t>Существительные с суффиксами -tion/-sion.</t>
        </is>
      </c>
      <c r="I309" s="37" t="inlineStr">
        <is>
          <t>10+</t>
        </is>
      </c>
      <c r="J309" s="11">
        <f>IFERROR(INDEX('Уроки'!$H:$H,MATCH(F309,'Уроки'!$A:$A,0)),"")</f>
        <v/>
      </c>
      <c r="K309" s="11">
        <f>IFERROR(INDEX('Уроки'!$J:$J,MATCH(F309,'Уроки'!$A:$A,0)),"")</f>
        <v/>
      </c>
      <c r="L309" s="11" t="inlineStr">
        <is>
          <t>Spotlight / 5 класс / Module 10 · Holidays / Word formation / Word formation: -tion, -sion</t>
        </is>
      </c>
    </row>
    <row r="310">
      <c r="A310" s="37" t="n">
        <v>6</v>
      </c>
      <c r="B310" s="11" t="inlineStr">
        <is>
          <t>Module 1 · Who's who?</t>
        </is>
      </c>
      <c r="C310" s="11" t="inlineStr"/>
      <c r="D310" s="11" t="inlineStr">
        <is>
          <t>have got</t>
        </is>
      </c>
      <c r="E310" s="35" t="inlineStr">
        <is>
          <t>have got: утверждение — have got / has got (полные и краткие формы)</t>
        </is>
      </c>
      <c r="F310" s="11" t="inlineStr">
        <is>
          <t>Ст-125</t>
        </is>
      </c>
      <c r="G310" s="37" t="inlineStr">
        <is>
          <t>повторение</t>
        </is>
      </c>
      <c r="H310" s="11" t="inlineStr">
        <is>
          <t>в разговорной речи — в основном краткие формы</t>
        </is>
      </c>
      <c r="I310" s="37" t="inlineStr">
        <is>
          <t>10+</t>
        </is>
      </c>
      <c r="J310" s="11">
        <f>IFERROR(INDEX('Уроки'!$H:$H,MATCH(F310,'Уроки'!$A:$A,0)),"")</f>
        <v/>
      </c>
      <c r="K310" s="11">
        <f>IFERROR(INDEX('Уроки'!$J:$J,MATCH(F310,'Уроки'!$A:$A,0)),"")</f>
        <v/>
      </c>
      <c r="L310" s="11" t="inlineStr">
        <is>
          <t>Spotlight / 6 класс / Module 1 · Who's who? / have got / have got: утверждение — have got / has got (полные и краткие формы)</t>
        </is>
      </c>
    </row>
    <row r="311">
      <c r="A311" s="37" t="n">
        <v>6</v>
      </c>
      <c r="B311" s="11" t="inlineStr">
        <is>
          <t>Module 1 · Who's who?</t>
        </is>
      </c>
      <c r="C311" s="11" t="inlineStr"/>
      <c r="D311" s="11" t="inlineStr">
        <is>
          <t>have got</t>
        </is>
      </c>
      <c r="E311" s="35" t="inlineStr">
        <is>
          <t>have got: отрицание — haven't got / hasn't got</t>
        </is>
      </c>
      <c r="F311" s="11" t="inlineStr">
        <is>
          <t>Ст-126</t>
        </is>
      </c>
      <c r="G311" s="37" t="inlineStr">
        <is>
          <t>повторение</t>
        </is>
      </c>
      <c r="H311" s="11" t="inlineStr"/>
      <c r="I311" s="37" t="inlineStr">
        <is>
          <t>10+</t>
        </is>
      </c>
      <c r="J311" s="11">
        <f>IFERROR(INDEX('Уроки'!$H:$H,MATCH(F311,'Уроки'!$A:$A,0)),"")</f>
        <v/>
      </c>
      <c r="K311" s="11">
        <f>IFERROR(INDEX('Уроки'!$J:$J,MATCH(F311,'Уроки'!$A:$A,0)),"")</f>
        <v/>
      </c>
      <c r="L311" s="11" t="inlineStr">
        <is>
          <t>Spotlight / 6 класс / Module 1 · Who's who? / have got / have got: отрицание — haven't got / hasn't got</t>
        </is>
      </c>
    </row>
    <row r="312">
      <c r="A312" s="37" t="n">
        <v>6</v>
      </c>
      <c r="B312" s="11" t="inlineStr">
        <is>
          <t>Module 1 · Who's who?</t>
        </is>
      </c>
      <c r="C312" s="11" t="inlineStr"/>
      <c r="D312" s="11" t="inlineStr">
        <is>
          <t>have got</t>
        </is>
      </c>
      <c r="E312" s="35" t="inlineStr">
        <is>
          <t>have got: вопросы и краткие ответы</t>
        </is>
      </c>
      <c r="F312" s="11" t="inlineStr">
        <is>
          <t>Ст-127</t>
        </is>
      </c>
      <c r="G312" s="37" t="inlineStr">
        <is>
          <t>повторение</t>
        </is>
      </c>
      <c r="H312" s="11" t="inlineStr"/>
      <c r="I312" s="37" t="inlineStr">
        <is>
          <t>10+</t>
        </is>
      </c>
      <c r="J312" s="11">
        <f>IFERROR(INDEX('Уроки'!$H:$H,MATCH(F312,'Уроки'!$A:$A,0)),"")</f>
        <v/>
      </c>
      <c r="K312" s="11">
        <f>IFERROR(INDEX('Уроки'!$J:$J,MATCH(F312,'Уроки'!$A:$A,0)),"")</f>
        <v/>
      </c>
      <c r="L312" s="11" t="inlineStr">
        <is>
          <t>Spotlight / 6 класс / Module 1 · Who's who? / have got / have got: вопросы и краткие ответы</t>
        </is>
      </c>
    </row>
    <row r="313">
      <c r="A313" s="37" t="n">
        <v>6</v>
      </c>
      <c r="B313" s="11" t="inlineStr">
        <is>
          <t>Module 1 · Who's who?</t>
        </is>
      </c>
      <c r="C313" s="11" t="inlineStr"/>
      <c r="D313" s="11" t="inlineStr">
        <is>
          <t>have got</t>
        </is>
      </c>
      <c r="E313" s="35" t="inlineStr">
        <is>
          <t>have got: значение — принадлежность (иметь)</t>
        </is>
      </c>
      <c r="F313" s="11" t="inlineStr">
        <is>
          <t>Ст-128</t>
        </is>
      </c>
      <c r="G313" s="37" t="inlineStr">
        <is>
          <t>повторение</t>
        </is>
      </c>
      <c r="H313" s="11" t="inlineStr">
        <is>
          <t>He has got a ball</t>
        </is>
      </c>
      <c r="I313" s="37" t="inlineStr">
        <is>
          <t>10+</t>
        </is>
      </c>
      <c r="J313" s="11">
        <f>IFERROR(INDEX('Уроки'!$H:$H,MATCH(F313,'Уроки'!$A:$A,0)),"")</f>
        <v/>
      </c>
      <c r="K313" s="11">
        <f>IFERROR(INDEX('Уроки'!$J:$J,MATCH(F313,'Уроки'!$A:$A,0)),"")</f>
        <v/>
      </c>
      <c r="L313" s="11" t="inlineStr">
        <is>
          <t>Spotlight / 6 класс / Module 1 · Who's who? / have got / have got: значение — принадлежность (иметь)</t>
        </is>
      </c>
    </row>
    <row r="314">
      <c r="A314" s="37" t="n">
        <v>6</v>
      </c>
      <c r="B314" s="11" t="inlineStr">
        <is>
          <t>Module 1 · Who's who?</t>
        </is>
      </c>
      <c r="C314" s="11" t="inlineStr"/>
      <c r="D314" s="11" t="inlineStr">
        <is>
          <t>have got</t>
        </is>
      </c>
      <c r="E314" s="35" t="inlineStr">
        <is>
          <t>have got: значение — описание внешности людей, животных, предметов</t>
        </is>
      </c>
      <c r="F314" s="11" t="inlineStr">
        <is>
          <t>Ст-129</t>
        </is>
      </c>
      <c r="G314" s="37" t="inlineStr">
        <is>
          <t>повторение</t>
        </is>
      </c>
      <c r="H314" s="11" t="inlineStr">
        <is>
          <t>She has got blue eyes</t>
        </is>
      </c>
      <c r="I314" s="37" t="inlineStr">
        <is>
          <t>10+</t>
        </is>
      </c>
      <c r="J314" s="11">
        <f>IFERROR(INDEX('Уроки'!$H:$H,MATCH(F314,'Уроки'!$A:$A,0)),"")</f>
        <v/>
      </c>
      <c r="K314" s="11">
        <f>IFERROR(INDEX('Уроки'!$J:$J,MATCH(F314,'Уроки'!$A:$A,0)),"")</f>
        <v/>
      </c>
      <c r="L314" s="11" t="inlineStr">
        <is>
          <t>Spotlight / 6 класс / Module 1 · Who's who? / have got / have got: значение — описание внешности людей, животных, предметов</t>
        </is>
      </c>
    </row>
    <row r="315">
      <c r="A315" s="37" t="n">
        <v>6</v>
      </c>
      <c r="B315" s="11" t="inlineStr">
        <is>
          <t>Module 1 · Who's who?</t>
        </is>
      </c>
      <c r="C315" s="11" t="inlineStr"/>
      <c r="D315" s="11" t="inlineStr">
        <is>
          <t>have got</t>
        </is>
      </c>
      <c r="E315" s="35" t="inlineStr">
        <is>
          <t>have got: значение — родственные отношения</t>
        </is>
      </c>
      <c r="F315" s="11" t="inlineStr">
        <is>
          <t>Ст-130</t>
        </is>
      </c>
      <c r="G315" s="40" t="inlineStr">
        <is>
          <t>новое</t>
        </is>
      </c>
      <c r="H315" s="11" t="inlineStr">
        <is>
          <t>I have got two sisters</t>
        </is>
      </c>
      <c r="I315" s="37" t="inlineStr">
        <is>
          <t>10+</t>
        </is>
      </c>
      <c r="J315" s="11">
        <f>IFERROR(INDEX('Уроки'!$H:$H,MATCH(F315,'Уроки'!$A:$A,0)),"")</f>
        <v/>
      </c>
      <c r="K315" s="11">
        <f>IFERROR(INDEX('Уроки'!$J:$J,MATCH(F315,'Уроки'!$A:$A,0)),"")</f>
        <v/>
      </c>
      <c r="L315" s="11" t="inlineStr">
        <is>
          <t>Spotlight / 6 класс / Module 1 · Who's who? / have got / have got: значение — родственные отношения</t>
        </is>
      </c>
    </row>
    <row r="316">
      <c r="A316" s="37" t="n">
        <v>6</v>
      </c>
      <c r="B316" s="11" t="inlineStr">
        <is>
          <t>Module 1 · Who's who?</t>
        </is>
      </c>
      <c r="C316" s="11" t="inlineStr"/>
      <c r="D316" s="11" t="inlineStr">
        <is>
          <t>to be (Present)</t>
        </is>
      </c>
      <c r="E316" s="35" t="inlineStr">
        <is>
          <t>to be (Present): утверждение — am/is/are, полные и краткие формы</t>
        </is>
      </c>
      <c r="F316" s="11" t="inlineStr">
        <is>
          <t>Ст-134</t>
        </is>
      </c>
      <c r="G316" s="37" t="inlineStr">
        <is>
          <t>повторение</t>
        </is>
      </c>
      <c r="H316" s="11" t="inlineStr">
        <is>
          <t>все лица; to be — единственный глагол, меняющийся по лицам; при переводе часто опускается</t>
        </is>
      </c>
      <c r="I316" s="37" t="inlineStr">
        <is>
          <t>10+</t>
        </is>
      </c>
      <c r="J316" s="11">
        <f>IFERROR(INDEX('Уроки'!$H:$H,MATCH(F316,'Уроки'!$A:$A,0)),"")</f>
        <v/>
      </c>
      <c r="K316" s="11">
        <f>IFERROR(INDEX('Уроки'!$J:$J,MATCH(F316,'Уроки'!$A:$A,0)),"")</f>
        <v/>
      </c>
      <c r="L316" s="11" t="inlineStr">
        <is>
          <t>Spotlight / 6 класс / Module 1 · Who's who? / to be (Present) / to be (Present): утверждение — am/is/are, полные и краткие формы</t>
        </is>
      </c>
    </row>
    <row r="317">
      <c r="A317" s="37" t="n">
        <v>6</v>
      </c>
      <c r="B317" s="11" t="inlineStr">
        <is>
          <t>Module 1 · Who's who?</t>
        </is>
      </c>
      <c r="C317" s="11" t="inlineStr"/>
      <c r="D317" s="11" t="inlineStr">
        <is>
          <t>to be (Present)</t>
        </is>
      </c>
      <c r="E317" s="35" t="inlineStr">
        <is>
          <t>to be (Present): отрицание — am not / isn't / aren't</t>
        </is>
      </c>
      <c r="F317" s="11" t="inlineStr">
        <is>
          <t>Ст-135</t>
        </is>
      </c>
      <c r="G317" s="37" t="inlineStr">
        <is>
          <t>повторение</t>
        </is>
      </c>
      <c r="H317" s="11" t="inlineStr"/>
      <c r="I317" s="37" t="inlineStr">
        <is>
          <t>10+</t>
        </is>
      </c>
      <c r="J317" s="11">
        <f>IFERROR(INDEX('Уроки'!$H:$H,MATCH(F317,'Уроки'!$A:$A,0)),"")</f>
        <v/>
      </c>
      <c r="K317" s="11">
        <f>IFERROR(INDEX('Уроки'!$J:$J,MATCH(F317,'Уроки'!$A:$A,0)),"")</f>
        <v/>
      </c>
      <c r="L317" s="11" t="inlineStr">
        <is>
          <t>Spotlight / 6 класс / Module 1 · Who's who? / to be (Present) / to be (Present): отрицание — am not / isn't / aren't</t>
        </is>
      </c>
    </row>
    <row r="318">
      <c r="A318" s="37" t="n">
        <v>6</v>
      </c>
      <c r="B318" s="11" t="inlineStr">
        <is>
          <t>Module 1 · Who's who?</t>
        </is>
      </c>
      <c r="C318" s="11" t="inlineStr"/>
      <c r="D318" s="11" t="inlineStr">
        <is>
          <t>to be (Present)</t>
        </is>
      </c>
      <c r="E318" s="35" t="inlineStr">
        <is>
          <t>to be (Present): вопросы и краткие ответы</t>
        </is>
      </c>
      <c r="F318" s="11" t="inlineStr">
        <is>
          <t>Ст-136</t>
        </is>
      </c>
      <c r="G318" s="37" t="inlineStr">
        <is>
          <t>повторение</t>
        </is>
      </c>
      <c r="H318" s="11" t="inlineStr"/>
      <c r="I318" s="37" t="inlineStr">
        <is>
          <t>10+</t>
        </is>
      </c>
      <c r="J318" s="11">
        <f>IFERROR(INDEX('Уроки'!$H:$H,MATCH(F318,'Уроки'!$A:$A,0)),"")</f>
        <v/>
      </c>
      <c r="K318" s="11">
        <f>IFERROR(INDEX('Уроки'!$J:$J,MATCH(F318,'Уроки'!$A:$A,0)),"")</f>
        <v/>
      </c>
      <c r="L318" s="11" t="inlineStr">
        <is>
          <t>Spotlight / 6 класс / Module 1 · Who's who? / to be (Present) / to be (Present): вопросы и краткие ответы</t>
        </is>
      </c>
    </row>
    <row r="319">
      <c r="A319" s="37" t="n">
        <v>6</v>
      </c>
      <c r="B319" s="11" t="inlineStr">
        <is>
          <t>Module 1 · Who's who?</t>
        </is>
      </c>
      <c r="C319" s="11" t="inlineStr"/>
      <c r="D319" s="11" t="inlineStr">
        <is>
          <t>Plurals (irregular)</t>
        </is>
      </c>
      <c r="E319" s="33" t="inlineStr">
        <is>
          <t>Plurals (irregular): man — men, child — children, tooth — teeth, foot — feet, mouse — mice</t>
        </is>
      </c>
      <c r="F319" s="11" t="inlineStr">
        <is>
          <t>Ст-336</t>
        </is>
      </c>
      <c r="G319" s="37" t="inlineStr">
        <is>
          <t>повторение</t>
        </is>
      </c>
      <c r="H319" s="11" t="inlineStr">
        <is>
          <t>6 слов</t>
        </is>
      </c>
      <c r="I319" s="37" t="inlineStr">
        <is>
          <t>10+</t>
        </is>
      </c>
      <c r="J319" s="11">
        <f>IFERROR(INDEX('Уроки'!$H:$H,MATCH(F319,'Уроки'!$A:$A,0)),"")</f>
        <v/>
      </c>
      <c r="K319" s="11">
        <f>IFERROR(INDEX('Уроки'!$J:$J,MATCH(F319,'Уроки'!$A:$A,0)),"")</f>
        <v/>
      </c>
      <c r="L319" s="11" t="inlineStr">
        <is>
          <t>Spotlight / 6 класс / Module 1 · Who's who? / Plurals (irregular) / Plurals (irregular): man — men, child — children, tooth — teeth, foot — feet, mouse — mice</t>
        </is>
      </c>
    </row>
    <row r="320">
      <c r="A320" s="37" t="n">
        <v>6</v>
      </c>
      <c r="B320" s="11" t="inlineStr">
        <is>
          <t>Module 1 · Who's who?</t>
        </is>
      </c>
      <c r="C320" s="11" t="inlineStr"/>
      <c r="D320" s="11" t="inlineStr">
        <is>
          <t>Plurals (regular)</t>
        </is>
      </c>
      <c r="E320" s="35" t="inlineStr">
        <is>
          <t>Plurals (regular): основное правило — + -s</t>
        </is>
      </c>
      <c r="F320" s="11" t="inlineStr">
        <is>
          <t>Ст-338</t>
        </is>
      </c>
      <c r="G320" s="37" t="inlineStr">
        <is>
          <t>повторение</t>
        </is>
      </c>
      <c r="H320" s="11" t="inlineStr">
        <is>
          <t>a car – two cars</t>
        </is>
      </c>
      <c r="I320" s="37" t="inlineStr">
        <is>
          <t>10+</t>
        </is>
      </c>
      <c r="J320" s="11">
        <f>IFERROR(INDEX('Уроки'!$H:$H,MATCH(F320,'Уроки'!$A:$A,0)),"")</f>
        <v/>
      </c>
      <c r="K320" s="11">
        <f>IFERROR(INDEX('Уроки'!$J:$J,MATCH(F320,'Уроки'!$A:$A,0)),"")</f>
        <v/>
      </c>
      <c r="L320" s="11" t="inlineStr">
        <is>
          <t>Spotlight / 6 класс / Module 1 · Who's who? / Plurals (regular) / Plurals (regular): основное правило — + -s</t>
        </is>
      </c>
    </row>
    <row r="321">
      <c r="A321" s="37" t="n">
        <v>6</v>
      </c>
      <c r="B321" s="11" t="inlineStr">
        <is>
          <t>Module 1 · Who's who?</t>
        </is>
      </c>
      <c r="C321" s="11" t="inlineStr"/>
      <c r="D321" s="11" t="inlineStr">
        <is>
          <t>Plurals (regular)</t>
        </is>
      </c>
      <c r="E321" s="35" t="inlineStr">
        <is>
          <t>Plurals (regular): орфография — + -es после -s, -ss, -sh, -ch, -x, -o</t>
        </is>
      </c>
      <c r="F321" s="11" t="inlineStr">
        <is>
          <t>Ст-339</t>
        </is>
      </c>
      <c r="G321" s="37" t="inlineStr">
        <is>
          <t>повторение</t>
        </is>
      </c>
      <c r="H321" s="11" t="inlineStr">
        <is>
          <t>buses, dresses, brushes, benches, boxes, tomatoes</t>
        </is>
      </c>
      <c r="I321" s="37" t="inlineStr">
        <is>
          <t>10+</t>
        </is>
      </c>
      <c r="J321" s="11">
        <f>IFERROR(INDEX('Уроки'!$H:$H,MATCH(F321,'Уроки'!$A:$A,0)),"")</f>
        <v/>
      </c>
      <c r="K321" s="11">
        <f>IFERROR(INDEX('Уроки'!$J:$J,MATCH(F321,'Уроки'!$A:$A,0)),"")</f>
        <v/>
      </c>
      <c r="L321" s="11" t="inlineStr">
        <is>
          <t>Spotlight / 6 класс / Module 1 · Who's who? / Plurals (regular) / Plurals (regular): орфография — + -es после -s, -ss, -sh, -ch, -x, -o</t>
        </is>
      </c>
    </row>
    <row r="322">
      <c r="A322" s="37" t="n">
        <v>6</v>
      </c>
      <c r="B322" s="11" t="inlineStr">
        <is>
          <t>Module 1 · Who's who?</t>
        </is>
      </c>
      <c r="C322" s="11" t="inlineStr"/>
      <c r="D322" s="11" t="inlineStr">
        <is>
          <t>Plurals (regular)</t>
        </is>
      </c>
      <c r="E322" s="35" t="inlineStr">
        <is>
          <t>Plurals (regular): орфография — -y → -ies (но гласная + y → -s)</t>
        </is>
      </c>
      <c r="F322" s="11" t="inlineStr">
        <is>
          <t>Ст-340</t>
        </is>
      </c>
      <c r="G322" s="37" t="inlineStr">
        <is>
          <t>повторение</t>
        </is>
      </c>
      <c r="H322" s="11" t="inlineStr">
        <is>
          <t>berry – berries, boy – boys</t>
        </is>
      </c>
      <c r="I322" s="37" t="inlineStr">
        <is>
          <t>10+</t>
        </is>
      </c>
      <c r="J322" s="11">
        <f>IFERROR(INDEX('Уроки'!$H:$H,MATCH(F322,'Уроки'!$A:$A,0)),"")</f>
        <v/>
      </c>
      <c r="K322" s="11">
        <f>IFERROR(INDEX('Уроки'!$J:$J,MATCH(F322,'Уроки'!$A:$A,0)),"")</f>
        <v/>
      </c>
      <c r="L322" s="11" t="inlineStr">
        <is>
          <t>Spotlight / 6 класс / Module 1 · Who's who? / Plurals (regular) / Plurals (regular): орфография — -y → -ies (но гласная + y → -s)</t>
        </is>
      </c>
    </row>
    <row r="323">
      <c r="A323" s="37" t="n">
        <v>6</v>
      </c>
      <c r="B323" s="11" t="inlineStr">
        <is>
          <t>Module 1 · Who's who?</t>
        </is>
      </c>
      <c r="C323" s="11" t="inlineStr"/>
      <c r="D323" s="11" t="inlineStr">
        <is>
          <t>Plurals (regular)</t>
        </is>
      </c>
      <c r="E323" s="35" t="inlineStr">
        <is>
          <t>Plurals (regular): орфография — -f/-fe → -ves</t>
        </is>
      </c>
      <c r="F323" s="11" t="inlineStr">
        <is>
          <t>Ст-341</t>
        </is>
      </c>
      <c r="G323" s="37" t="inlineStr">
        <is>
          <t>повторение</t>
        </is>
      </c>
      <c r="H323" s="11" t="inlineStr">
        <is>
          <t>leaf – leaves, knife – knives</t>
        </is>
      </c>
      <c r="I323" s="37" t="inlineStr">
        <is>
          <t>10+</t>
        </is>
      </c>
      <c r="J323" s="11">
        <f>IFERROR(INDEX('Уроки'!$H:$H,MATCH(F323,'Уроки'!$A:$A,0)),"")</f>
        <v/>
      </c>
      <c r="K323" s="11">
        <f>IFERROR(INDEX('Уроки'!$J:$J,MATCH(F323,'Уроки'!$A:$A,0)),"")</f>
        <v/>
      </c>
      <c r="L323" s="11" t="inlineStr">
        <is>
          <t>Spotlight / 6 класс / Module 1 · Who's who? / Plurals (regular) / Plurals (regular): орфография — -f/-fe → -ves</t>
        </is>
      </c>
    </row>
    <row r="324">
      <c r="A324" s="37" t="n">
        <v>6</v>
      </c>
      <c r="B324" s="11" t="inlineStr">
        <is>
          <t>Module 1 · Who's who?</t>
        </is>
      </c>
      <c r="C324" s="11" t="inlineStr"/>
      <c r="D324" s="11" t="inlineStr">
        <is>
          <t>Plurals (regular)</t>
        </is>
      </c>
      <c r="E324" s="35" t="inlineStr">
        <is>
          <t>Plurals (regular): исключения на -o — только -s (photos, videos)</t>
        </is>
      </c>
      <c r="F324" s="11" t="inlineStr">
        <is>
          <t>Ст-342</t>
        </is>
      </c>
      <c r="G324" s="40" t="inlineStr">
        <is>
          <t>новое</t>
        </is>
      </c>
      <c r="H324" s="11" t="inlineStr">
        <is>
          <t>videos, photos</t>
        </is>
      </c>
      <c r="I324" s="37" t="inlineStr">
        <is>
          <t>10+</t>
        </is>
      </c>
      <c r="J324" s="11">
        <f>IFERROR(INDEX('Уроки'!$H:$H,MATCH(F324,'Уроки'!$A:$A,0)),"")</f>
        <v/>
      </c>
      <c r="K324" s="11">
        <f>IFERROR(INDEX('Уроки'!$J:$J,MATCH(F324,'Уроки'!$A:$A,0)),"")</f>
        <v/>
      </c>
      <c r="L324" s="11" t="inlineStr">
        <is>
          <t>Spotlight / 6 класс / Module 1 · Who's who? / Plurals (regular) / Plurals (regular): исключения на -o — только -s (photos, videos)</t>
        </is>
      </c>
    </row>
    <row r="325">
      <c r="A325" s="37" t="n">
        <v>6</v>
      </c>
      <c r="B325" s="11" t="inlineStr">
        <is>
          <t>Module 1 · Who's who?</t>
        </is>
      </c>
      <c r="C325" s="11" t="inlineStr">
        <is>
          <t>1a</t>
        </is>
      </c>
      <c r="D325" s="11" t="inlineStr">
        <is>
          <t>Possessive case ('s)</t>
        </is>
      </c>
      <c r="E325" s="34" t="inlineStr">
        <is>
          <t>Possessive case ('s): 's в ед. ч. — принадлежность</t>
        </is>
      </c>
      <c r="F325" s="11" t="inlineStr">
        <is>
          <t>Ст-344</t>
        </is>
      </c>
      <c r="G325" s="37" t="inlineStr">
        <is>
          <t>повторение</t>
        </is>
      </c>
      <c r="H325" s="11" t="inlineStr">
        <is>
          <t>Mary's bag; для людей и животных</t>
        </is>
      </c>
      <c r="I325" s="37" t="inlineStr">
        <is>
          <t>10+</t>
        </is>
      </c>
      <c r="J325" s="11">
        <f>IFERROR(INDEX('Уроки'!$H:$H,MATCH(F325,'Уроки'!$A:$A,0)),"")</f>
        <v/>
      </c>
      <c r="K325" s="11">
        <f>IFERROR(INDEX('Уроки'!$J:$J,MATCH(F325,'Уроки'!$A:$A,0)),"")</f>
        <v/>
      </c>
      <c r="L325" s="11" t="inlineStr">
        <is>
          <t>Spotlight / 6 класс / Module 1 · Who's who? / Possessive case ('s) / Possessive case ('s): 's в ед. ч. — принадлежность</t>
        </is>
      </c>
    </row>
    <row r="326">
      <c r="A326" s="37" t="n">
        <v>6</v>
      </c>
      <c r="B326" s="11" t="inlineStr">
        <is>
          <t>Module 1 · Who's who?</t>
        </is>
      </c>
      <c r="C326" s="11" t="inlineStr">
        <is>
          <t>1a</t>
        </is>
      </c>
      <c r="D326" s="11" t="inlineStr">
        <is>
          <t>Possessive case ('s)</t>
        </is>
      </c>
      <c r="E326" s="35" t="inlineStr">
        <is>
          <t>Possessive case ('s): значение — отношения между людьми</t>
        </is>
      </c>
      <c r="F326" s="11" t="inlineStr">
        <is>
          <t>Ст-346</t>
        </is>
      </c>
      <c r="G326" s="37" t="inlineStr">
        <is>
          <t>повторение</t>
        </is>
      </c>
      <c r="H326" s="11" t="inlineStr">
        <is>
          <t>Tom's uncle</t>
        </is>
      </c>
      <c r="I326" s="37" t="inlineStr">
        <is>
          <t>10+</t>
        </is>
      </c>
      <c r="J326" s="11">
        <f>IFERROR(INDEX('Уроки'!$H:$H,MATCH(F326,'Уроки'!$A:$A,0)),"")</f>
        <v/>
      </c>
      <c r="K326" s="11">
        <f>IFERROR(INDEX('Уроки'!$J:$J,MATCH(F326,'Уроки'!$A:$A,0)),"")</f>
        <v/>
      </c>
      <c r="L326" s="11" t="inlineStr">
        <is>
          <t>Spotlight / 6 класс / Module 1 · Who's who? / Possessive case ('s) / Possessive case ('s): значение — отношения между людьми</t>
        </is>
      </c>
    </row>
    <row r="327">
      <c r="A327" s="37" t="n">
        <v>6</v>
      </c>
      <c r="B327" s="11" t="inlineStr">
        <is>
          <t>Module 1 · Who's who?</t>
        </is>
      </c>
      <c r="C327" s="11" t="inlineStr">
        <is>
          <t>1a</t>
        </is>
      </c>
      <c r="D327" s="11" t="inlineStr">
        <is>
          <t>Possessive case ('s)</t>
        </is>
      </c>
      <c r="E327" s="35" t="inlineStr">
        <is>
          <t>Possessive case ('s): магазины, учреждения, чей-то дом (at the baker's)</t>
        </is>
      </c>
      <c r="F327" s="11" t="inlineStr">
        <is>
          <t>Ст-347</t>
        </is>
      </c>
      <c r="G327" s="41" t="inlineStr">
        <is>
          <t>расширение</t>
        </is>
      </c>
      <c r="H327" s="11" t="inlineStr">
        <is>
          <t>добавлено at Bob's — у Боба дома</t>
        </is>
      </c>
      <c r="I327" s="37" t="inlineStr">
        <is>
          <t>10+</t>
        </is>
      </c>
      <c r="J327" s="11">
        <f>IFERROR(INDEX('Уроки'!$H:$H,MATCH(F327,'Уроки'!$A:$A,0)),"")</f>
        <v/>
      </c>
      <c r="K327" s="11">
        <f>IFERROR(INDEX('Уроки'!$J:$J,MATCH(F327,'Уроки'!$A:$A,0)),"")</f>
        <v/>
      </c>
      <c r="L327" s="11" t="inlineStr">
        <is>
          <t>Spotlight / 6 класс / Module 1 · Who's who? / Possessive case ('s) / Possessive case ('s): магазины, учреждения, чей-то дом (at the baker's)</t>
        </is>
      </c>
    </row>
    <row r="328">
      <c r="A328" s="37" t="n">
        <v>6</v>
      </c>
      <c r="B328" s="11" t="inlineStr">
        <is>
          <t>Module 1 · Who's who?</t>
        </is>
      </c>
      <c r="C328" s="11" t="inlineStr">
        <is>
          <t>1a</t>
        </is>
      </c>
      <c r="D328" s="11" t="inlineStr">
        <is>
          <t>Possessive case ('s)</t>
        </is>
      </c>
      <c r="E328" s="34" t="inlineStr">
        <is>
          <t>Possessive case ('s): имена на -s — 's или только апостроф</t>
        </is>
      </c>
      <c r="F328" s="11" t="inlineStr">
        <is>
          <t>Ст-348</t>
        </is>
      </c>
      <c r="G328" s="37" t="inlineStr">
        <is>
          <t>повторение</t>
        </is>
      </c>
      <c r="H328" s="11" t="inlineStr">
        <is>
          <t>Doris's / Doris' hat</t>
        </is>
      </c>
      <c r="I328" s="37" t="inlineStr">
        <is>
          <t>10+</t>
        </is>
      </c>
      <c r="J328" s="11">
        <f>IFERROR(INDEX('Уроки'!$H:$H,MATCH(F328,'Уроки'!$A:$A,0)),"")</f>
        <v/>
      </c>
      <c r="K328" s="11">
        <f>IFERROR(INDEX('Уроки'!$J:$J,MATCH(F328,'Уроки'!$A:$A,0)),"")</f>
        <v/>
      </c>
      <c r="L328" s="11" t="inlineStr">
        <is>
          <t>Spotlight / 6 класс / Module 1 · Who's who? / Possessive case ('s) / Possessive case ('s): имена на -s — 's или только апостроф</t>
        </is>
      </c>
    </row>
    <row r="329">
      <c r="A329" s="37" t="n">
        <v>6</v>
      </c>
      <c r="B329" s="11" t="inlineStr">
        <is>
          <t>Module 1 · Who's who?</t>
        </is>
      </c>
      <c r="C329" s="11" t="inlineStr">
        <is>
          <t>1a</t>
        </is>
      </c>
      <c r="D329" s="11" t="inlineStr">
        <is>
          <t>Possessive case ('s)</t>
        </is>
      </c>
      <c r="E329" s="34" t="inlineStr">
        <is>
          <t>Possessive case ('s): мн. ч. — s' (the boys') и исключения 's (the children's)</t>
        </is>
      </c>
      <c r="F329" s="11" t="inlineStr">
        <is>
          <t>Ст-349</t>
        </is>
      </c>
      <c r="G329" s="37" t="inlineStr">
        <is>
          <t>повторение</t>
        </is>
      </c>
      <c r="H329" s="11" t="inlineStr">
        <is>
          <t>the girls' room, the children's books</t>
        </is>
      </c>
      <c r="I329" s="37" t="inlineStr">
        <is>
          <t>10+</t>
        </is>
      </c>
      <c r="J329" s="11">
        <f>IFERROR(INDEX('Уроки'!$H:$H,MATCH(F329,'Уроки'!$A:$A,0)),"")</f>
        <v/>
      </c>
      <c r="K329" s="11">
        <f>IFERROR(INDEX('Уроки'!$J:$J,MATCH(F329,'Уроки'!$A:$A,0)),"")</f>
        <v/>
      </c>
      <c r="L329" s="11" t="inlineStr">
        <is>
          <t>Spotlight / 6 класс / Module 1 · Who's who? / Possessive case ('s) / Possessive case ('s): мн. ч. — s' (the boys') и исключения 's (the children's)</t>
        </is>
      </c>
    </row>
    <row r="330">
      <c r="A330" s="37" t="n">
        <v>6</v>
      </c>
      <c r="B330" s="11" t="inlineStr">
        <is>
          <t>Module 1 · Who's who?</t>
        </is>
      </c>
      <c r="C330" s="11" t="inlineStr">
        <is>
          <t>1a</t>
        </is>
      </c>
      <c r="D330" s="11" t="inlineStr">
        <is>
          <t>Possessive adjectives</t>
        </is>
      </c>
      <c r="E330" s="34" t="inlineStr">
        <is>
          <t>Possessive adjectives: формы my, your, his, her, its, our, their</t>
        </is>
      </c>
      <c r="F330" s="11" t="inlineStr">
        <is>
          <t>Ст-396</t>
        </is>
      </c>
      <c r="G330" s="37" t="inlineStr">
        <is>
          <t>повторение</t>
        </is>
      </c>
      <c r="H330" s="11" t="inlineStr">
        <is>
          <t>«основная форма»</t>
        </is>
      </c>
      <c r="I330" s="37" t="inlineStr">
        <is>
          <t>10+</t>
        </is>
      </c>
      <c r="J330" s="11">
        <f>IFERROR(INDEX('Уроки'!$H:$H,MATCH(F330,'Уроки'!$A:$A,0)),"")</f>
        <v/>
      </c>
      <c r="K330" s="11">
        <f>IFERROR(INDEX('Уроки'!$J:$J,MATCH(F330,'Уроки'!$A:$A,0)),"")</f>
        <v/>
      </c>
      <c r="L330" s="11" t="inlineStr">
        <is>
          <t>Spotlight / 6 класс / Module 1 · Who's who? / Possessive adjectives / Possessive adjectives: формы my, your, his, her, its, our, their</t>
        </is>
      </c>
    </row>
    <row r="331">
      <c r="A331" s="37" t="n">
        <v>6</v>
      </c>
      <c r="B331" s="11" t="inlineStr">
        <is>
          <t>Module 1 · Who's who?</t>
        </is>
      </c>
      <c r="C331" s="11" t="inlineStr">
        <is>
          <t>1a</t>
        </is>
      </c>
      <c r="D331" s="11" t="inlineStr">
        <is>
          <t>Possessive adjectives</t>
        </is>
      </c>
      <c r="E331" s="34" t="inlineStr">
        <is>
          <t>Possessive adjectives: значение — принадлежность и отношения между людьми</t>
        </is>
      </c>
      <c r="F331" s="11" t="inlineStr">
        <is>
          <t>Ст-397</t>
        </is>
      </c>
      <c r="G331" s="37" t="inlineStr">
        <is>
          <t>повторение</t>
        </is>
      </c>
      <c r="H331" s="11" t="inlineStr">
        <is>
          <t>This is my bike / Derek is her brother</t>
        </is>
      </c>
      <c r="I331" s="37" t="inlineStr">
        <is>
          <t>10+</t>
        </is>
      </c>
      <c r="J331" s="11">
        <f>IFERROR(INDEX('Уроки'!$H:$H,MATCH(F331,'Уроки'!$A:$A,0)),"")</f>
        <v/>
      </c>
      <c r="K331" s="11">
        <f>IFERROR(INDEX('Уроки'!$J:$J,MATCH(F331,'Уроки'!$A:$A,0)),"")</f>
        <v/>
      </c>
      <c r="L331" s="11" t="inlineStr">
        <is>
          <t>Spotlight / 6 класс / Module 1 · Who's who? / Possessive adjectives / Possessive adjectives: значение — принадлежность и отношения между людьми</t>
        </is>
      </c>
    </row>
    <row r="332">
      <c r="A332" s="37" t="n">
        <v>6</v>
      </c>
      <c r="B332" s="11" t="inlineStr">
        <is>
          <t>Module 1 · Who's who?</t>
        </is>
      </c>
      <c r="C332" s="11" t="inlineStr"/>
      <c r="D332" s="11" t="inlineStr">
        <is>
          <t>Personal pronouns (subject)</t>
        </is>
      </c>
      <c r="E332" s="35" t="inlineStr">
        <is>
          <t>Personal pronouns: формы I, you, he, she, it, we, you, they</t>
        </is>
      </c>
      <c r="F332" s="11" t="inlineStr">
        <is>
          <t>Ст-402</t>
        </is>
      </c>
      <c r="G332" s="37" t="inlineStr">
        <is>
          <t>повторение</t>
        </is>
      </c>
      <c r="H332" s="11" t="inlineStr"/>
      <c r="I332" s="37" t="inlineStr">
        <is>
          <t>10+</t>
        </is>
      </c>
      <c r="J332" s="11">
        <f>IFERROR(INDEX('Уроки'!$H:$H,MATCH(F332,'Уроки'!$A:$A,0)),"")</f>
        <v/>
      </c>
      <c r="K332" s="11">
        <f>IFERROR(INDEX('Уроки'!$J:$J,MATCH(F332,'Уроки'!$A:$A,0)),"")</f>
        <v/>
      </c>
      <c r="L332" s="11" t="inlineStr">
        <is>
          <t>Spotlight / 6 класс / Module 1 · Who's who? / Personal pronouns (subject) / Personal pronouns: формы I, you, he, she, it, we, you, they</t>
        </is>
      </c>
    </row>
    <row r="333">
      <c r="A333" s="37" t="n">
        <v>6</v>
      </c>
      <c r="B333" s="11" t="inlineStr">
        <is>
          <t>Module 1 · Who's who?</t>
        </is>
      </c>
      <c r="C333" s="11" t="inlineStr"/>
      <c r="D333" s="11" t="inlineStr">
        <is>
          <t>Personal pronouns (subject)</t>
        </is>
      </c>
      <c r="E333" s="35" t="inlineStr">
        <is>
          <t>Personal pronouns: употребление — подлежащее вместо существительного</t>
        </is>
      </c>
      <c r="F333" s="11" t="inlineStr">
        <is>
          <t>Ст-403</t>
        </is>
      </c>
      <c r="G333" s="37" t="inlineStr">
        <is>
          <t>повторение</t>
        </is>
      </c>
      <c r="H333" s="11" t="inlineStr"/>
      <c r="I333" s="37" t="inlineStr">
        <is>
          <t>10+</t>
        </is>
      </c>
      <c r="J333" s="11">
        <f>IFERROR(INDEX('Уроки'!$H:$H,MATCH(F333,'Уроки'!$A:$A,0)),"")</f>
        <v/>
      </c>
      <c r="K333" s="11">
        <f>IFERROR(INDEX('Уроки'!$J:$J,MATCH(F333,'Уроки'!$A:$A,0)),"")</f>
        <v/>
      </c>
      <c r="L333" s="11" t="inlineStr">
        <is>
          <t>Spotlight / 6 класс / Module 1 · Who's who? / Personal pronouns (subject) / Personal pronouns: употребление — подлежащее вместо существительного</t>
        </is>
      </c>
    </row>
    <row r="334">
      <c r="A334" s="37" t="n">
        <v>6</v>
      </c>
      <c r="B334" s="11" t="inlineStr">
        <is>
          <t>Module 1 · Who's who?</t>
        </is>
      </c>
      <c r="C334" s="11" t="inlineStr"/>
      <c r="D334" s="11" t="inlineStr">
        <is>
          <t>Personal pronouns (subject)</t>
        </is>
      </c>
      <c r="E334" s="35" t="inlineStr">
        <is>
          <t>Personal pronouns: he/she vs it vs they — выбор местоимения</t>
        </is>
      </c>
      <c r="F334" s="11" t="inlineStr">
        <is>
          <t>Ст-404</t>
        </is>
      </c>
      <c r="G334" s="37" t="inlineStr">
        <is>
          <t>повторение</t>
        </is>
      </c>
      <c r="H334" s="11" t="inlineStr">
        <is>
          <t>it — предметы или животные</t>
        </is>
      </c>
      <c r="I334" s="37" t="inlineStr">
        <is>
          <t>10+</t>
        </is>
      </c>
      <c r="J334" s="11">
        <f>IFERROR(INDEX('Уроки'!$H:$H,MATCH(F334,'Уроки'!$A:$A,0)),"")</f>
        <v/>
      </c>
      <c r="K334" s="11">
        <f>IFERROR(INDEX('Уроки'!$J:$J,MATCH(F334,'Уроки'!$A:$A,0)),"")</f>
        <v/>
      </c>
      <c r="L334" s="11" t="inlineStr">
        <is>
          <t>Spotlight / 6 класс / Module 1 · Who's who? / Personal pronouns (subject) / Personal pronouns: he/she vs it vs they — выбор местоимения</t>
        </is>
      </c>
    </row>
    <row r="335">
      <c r="A335" s="37" t="n">
        <v>6</v>
      </c>
      <c r="B335" s="11" t="inlineStr">
        <is>
          <t>Module 1 · Who's who?</t>
        </is>
      </c>
      <c r="C335" s="11" t="inlineStr">
        <is>
          <t>1b</t>
        </is>
      </c>
      <c r="D335" s="11" t="inlineStr">
        <is>
          <t>Possessive pronouns</t>
        </is>
      </c>
      <c r="E335" s="33" t="inlineStr">
        <is>
          <t>Possessive pronouns: формы mine, yours, his, hers, its, ours, theirs — без существительного</t>
        </is>
      </c>
      <c r="F335" s="11" t="inlineStr">
        <is>
          <t>Ст-405</t>
        </is>
      </c>
      <c r="G335" s="40" t="inlineStr">
        <is>
          <t>новое</t>
        </is>
      </c>
      <c r="H335" s="11" t="inlineStr">
        <is>
          <t>This bike is mine</t>
        </is>
      </c>
      <c r="I335" s="37" t="inlineStr">
        <is>
          <t>10+</t>
        </is>
      </c>
      <c r="J335" s="11">
        <f>IFERROR(INDEX('Уроки'!$H:$H,MATCH(F335,'Уроки'!$A:$A,0)),"")</f>
        <v/>
      </c>
      <c r="K335" s="11">
        <f>IFERROR(INDEX('Уроки'!$J:$J,MATCH(F335,'Уроки'!$A:$A,0)),"")</f>
        <v/>
      </c>
      <c r="L335" s="11" t="inlineStr">
        <is>
          <t>Spotlight / 6 класс / Module 1 · Who's who? / Possessive pronouns / Possessive pronouns: формы mine, yours, his, hers, its, ours, theirs — без существительного</t>
        </is>
      </c>
    </row>
    <row r="336">
      <c r="A336" s="37" t="n">
        <v>6</v>
      </c>
      <c r="B336" s="11" t="inlineStr">
        <is>
          <t>Module 1 · Who's who?</t>
        </is>
      </c>
      <c r="C336" s="11" t="inlineStr">
        <is>
          <t>1b</t>
        </is>
      </c>
      <c r="D336" s="11" t="inlineStr">
        <is>
          <t>Possessive pronouns</t>
        </is>
      </c>
      <c r="E336" s="33" t="inlineStr">
        <is>
          <t>Possessive pronouns: my vs mine — сопоставление основной и абсолютной формы</t>
        </is>
      </c>
      <c r="F336" s="11" t="inlineStr">
        <is>
          <t>Ст-406</t>
        </is>
      </c>
      <c r="G336" s="40" t="inlineStr">
        <is>
          <t>новое</t>
        </is>
      </c>
      <c r="H336" s="11" t="inlineStr">
        <is>
          <t>my – mine … their – theirs</t>
        </is>
      </c>
      <c r="I336" s="37" t="inlineStr">
        <is>
          <t>10+</t>
        </is>
      </c>
      <c r="J336" s="11">
        <f>IFERROR(INDEX('Уроки'!$H:$H,MATCH(F336,'Уроки'!$A:$A,0)),"")</f>
        <v/>
      </c>
      <c r="K336" s="11">
        <f>IFERROR(INDEX('Уроки'!$J:$J,MATCH(F336,'Уроки'!$A:$A,0)),"")</f>
        <v/>
      </c>
      <c r="L336" s="11" t="inlineStr">
        <is>
          <t>Spotlight / 6 класс / Module 1 · Who's who? / Possessive pronouns / Possessive pronouns: my vs mine — сопоставление основной и абсолютной формы</t>
        </is>
      </c>
    </row>
    <row r="337">
      <c r="A337" s="37" t="n">
        <v>6</v>
      </c>
      <c r="B337" s="11" t="inlineStr">
        <is>
          <t>Module 2 · Here we are!</t>
        </is>
      </c>
      <c r="C337" s="11" t="inlineStr">
        <is>
          <t>2b</t>
        </is>
      </c>
      <c r="D337" s="11" t="inlineStr">
        <is>
          <t>a/an/some/any</t>
        </is>
      </c>
      <c r="E337" s="33" t="inlineStr">
        <is>
          <t>a/an/some/any: some — в утверждениях (неисчисляемые и мн. ч.)</t>
        </is>
      </c>
      <c r="F337" s="11" t="inlineStr">
        <is>
          <t>Ст-353</t>
        </is>
      </c>
      <c r="G337" s="37" t="inlineStr">
        <is>
          <t>повторение</t>
        </is>
      </c>
      <c r="H337" s="11" t="inlineStr">
        <is>
          <t>I've got some money / some books</t>
        </is>
      </c>
      <c r="I337" s="37" t="inlineStr">
        <is>
          <t>10+</t>
        </is>
      </c>
      <c r="J337" s="11">
        <f>IFERROR(INDEX('Уроки'!$H:$H,MATCH(F337,'Уроки'!$A:$A,0)),"")</f>
        <v/>
      </c>
      <c r="K337" s="11">
        <f>IFERROR(INDEX('Уроки'!$J:$J,MATCH(F337,'Уроки'!$A:$A,0)),"")</f>
        <v/>
      </c>
      <c r="L337" s="11" t="inlineStr">
        <is>
          <t>Spotlight / 6 класс / Module 2 · Here we are! / a/an/some/any / a/an/some/any: some — в утверждениях (неисчисляемые и мн. ч.)</t>
        </is>
      </c>
    </row>
    <row r="338">
      <c r="A338" s="37" t="n">
        <v>6</v>
      </c>
      <c r="B338" s="11" t="inlineStr">
        <is>
          <t>Module 2 · Here we are!</t>
        </is>
      </c>
      <c r="C338" s="11" t="inlineStr">
        <is>
          <t>2b</t>
        </is>
      </c>
      <c r="D338" s="11" t="inlineStr">
        <is>
          <t>a/an/some/any</t>
        </is>
      </c>
      <c r="E338" s="33" t="inlineStr">
        <is>
          <t>a/an/some/any: any — в отрицаниях</t>
        </is>
      </c>
      <c r="F338" s="11" t="inlineStr">
        <is>
          <t>Ст-354</t>
        </is>
      </c>
      <c r="G338" s="37" t="inlineStr">
        <is>
          <t>повторение</t>
        </is>
      </c>
      <c r="H338" s="11" t="inlineStr">
        <is>
          <t>No, I haven't got any money</t>
        </is>
      </c>
      <c r="I338" s="37" t="inlineStr">
        <is>
          <t>10+</t>
        </is>
      </c>
      <c r="J338" s="11">
        <f>IFERROR(INDEX('Уроки'!$H:$H,MATCH(F338,'Уроки'!$A:$A,0)),"")</f>
        <v/>
      </c>
      <c r="K338" s="11">
        <f>IFERROR(INDEX('Уроки'!$J:$J,MATCH(F338,'Уроки'!$A:$A,0)),"")</f>
        <v/>
      </c>
      <c r="L338" s="11" t="inlineStr">
        <is>
          <t>Spotlight / 6 класс / Module 2 · Here we are! / a/an/some/any / a/an/some/any: any — в отрицаниях</t>
        </is>
      </c>
    </row>
    <row r="339">
      <c r="A339" s="37" t="n">
        <v>6</v>
      </c>
      <c r="B339" s="11" t="inlineStr">
        <is>
          <t>Module 2 · Here we are!</t>
        </is>
      </c>
      <c r="C339" s="11" t="inlineStr">
        <is>
          <t>2b</t>
        </is>
      </c>
      <c r="D339" s="11" t="inlineStr">
        <is>
          <t>a/an/some/any</t>
        </is>
      </c>
      <c r="E339" s="33" t="inlineStr">
        <is>
          <t>a/an/some/any: any — в вопросах</t>
        </is>
      </c>
      <c r="F339" s="11" t="inlineStr">
        <is>
          <t>Ст-355</t>
        </is>
      </c>
      <c r="G339" s="37" t="inlineStr">
        <is>
          <t>повторение</t>
        </is>
      </c>
      <c r="H339" s="11" t="inlineStr">
        <is>
          <t>Have you got any money?</t>
        </is>
      </c>
      <c r="I339" s="37" t="inlineStr">
        <is>
          <t>10+</t>
        </is>
      </c>
      <c r="J339" s="11">
        <f>IFERROR(INDEX('Уроки'!$H:$H,MATCH(F339,'Уроки'!$A:$A,0)),"")</f>
        <v/>
      </c>
      <c r="K339" s="11">
        <f>IFERROR(INDEX('Уроки'!$J:$J,MATCH(F339,'Уроки'!$A:$A,0)),"")</f>
        <v/>
      </c>
      <c r="L339" s="11" t="inlineStr">
        <is>
          <t>Spotlight / 6 класс / Module 2 · Here we are! / a/an/some/any / a/an/some/any: any — в вопросах</t>
        </is>
      </c>
    </row>
    <row r="340">
      <c r="A340" s="37" t="n">
        <v>6</v>
      </c>
      <c r="B340" s="11" t="inlineStr">
        <is>
          <t>Module 2 · Here we are!</t>
        </is>
      </c>
      <c r="C340" s="11" t="inlineStr">
        <is>
          <t>2b</t>
        </is>
      </c>
      <c r="D340" s="11" t="inlineStr">
        <is>
          <t>a/an/some/any</t>
        </is>
      </c>
      <c r="E340" s="35" t="inlineStr">
        <is>
          <t>a/an/some/any: some в вопросах — просьба и предложение</t>
        </is>
      </c>
      <c r="F340" s="11" t="inlineStr">
        <is>
          <t>Ст-356</t>
        </is>
      </c>
      <c r="G340" s="41" t="inlineStr">
        <is>
          <t>расширение</t>
        </is>
      </c>
      <c r="H340" s="11" t="inlineStr">
        <is>
          <t>добавлено предложение: Would you like some coffee?</t>
        </is>
      </c>
      <c r="I340" s="37" t="inlineStr">
        <is>
          <t>10+</t>
        </is>
      </c>
      <c r="J340" s="11">
        <f>IFERROR(INDEX('Уроки'!$H:$H,MATCH(F340,'Уроки'!$A:$A,0)),"")</f>
        <v/>
      </c>
      <c r="K340" s="11">
        <f>IFERROR(INDEX('Уроки'!$J:$J,MATCH(F340,'Уроки'!$A:$A,0)),"")</f>
        <v/>
      </c>
      <c r="L340" s="11" t="inlineStr">
        <is>
          <t>Spotlight / 6 класс / Module 2 · Here we are! / a/an/some/any / a/an/some/any: some в вопросах — просьба и предложение</t>
        </is>
      </c>
    </row>
    <row r="341">
      <c r="A341" s="37" t="n">
        <v>6</v>
      </c>
      <c r="B341" s="11" t="inlineStr">
        <is>
          <t>Module 2 · Here we are!</t>
        </is>
      </c>
      <c r="C341" s="11" t="inlineStr">
        <is>
          <t>2b</t>
        </is>
      </c>
      <c r="D341" s="11" t="inlineStr">
        <is>
          <t>a/an/some/any</t>
        </is>
      </c>
      <c r="E341" s="35" t="inlineStr">
        <is>
          <t>a/an/some/any: перевод some — «несколько» / «немного» / не переводится</t>
        </is>
      </c>
      <c r="F341" s="11" t="inlineStr">
        <is>
          <t>Ст-358</t>
        </is>
      </c>
      <c r="G341" s="37" t="inlineStr">
        <is>
          <t>повторение</t>
        </is>
      </c>
      <c r="H341" s="11" t="inlineStr">
        <is>
          <t>some bread — немного хлеба, some apples — несколько яблок</t>
        </is>
      </c>
      <c r="I341" s="37" t="inlineStr">
        <is>
          <t>10+</t>
        </is>
      </c>
      <c r="J341" s="11">
        <f>IFERROR(INDEX('Уроки'!$H:$H,MATCH(F341,'Уроки'!$A:$A,0)),"")</f>
        <v/>
      </c>
      <c r="K341" s="11">
        <f>IFERROR(INDEX('Уроки'!$J:$J,MATCH(F341,'Уроки'!$A:$A,0)),"")</f>
        <v/>
      </c>
      <c r="L341" s="11" t="inlineStr">
        <is>
          <t>Spotlight / 6 класс / Module 2 · Here we are! / a/an/some/any / a/an/some/any: перевод some — «несколько» / «немного» / не переводится</t>
        </is>
      </c>
    </row>
    <row r="342">
      <c r="A342" s="37" t="n">
        <v>6</v>
      </c>
      <c r="B342" s="11" t="inlineStr">
        <is>
          <t>Module 2 · Here we are!</t>
        </is>
      </c>
      <c r="C342" s="11" t="inlineStr">
        <is>
          <t>2a</t>
        </is>
      </c>
      <c r="D342" s="11" t="inlineStr">
        <is>
          <t>Ordinal numbers</t>
        </is>
      </c>
      <c r="E342" s="35" t="inlineStr">
        <is>
          <t>Ordinal numbers: first, second, third и составные (21st, 22nd)</t>
        </is>
      </c>
      <c r="F342" s="11" t="inlineStr">
        <is>
          <t>Ст-480</t>
        </is>
      </c>
      <c r="G342" s="41" t="inlineStr">
        <is>
          <t>расширение</t>
        </is>
      </c>
      <c r="H342" s="11" t="inlineStr">
        <is>
          <t>добавлены большие числа: 51st, 101st, 382nd, 6503rd</t>
        </is>
      </c>
      <c r="I342" s="37" t="inlineStr">
        <is>
          <t>10+</t>
        </is>
      </c>
      <c r="J342" s="11">
        <f>IFERROR(INDEX('Уроки'!$H:$H,MATCH(F342,'Уроки'!$A:$A,0)),"")</f>
        <v/>
      </c>
      <c r="K342" s="11">
        <f>IFERROR(INDEX('Уроки'!$J:$J,MATCH(F342,'Уроки'!$A:$A,0)),"")</f>
        <v/>
      </c>
      <c r="L342" s="11" t="inlineStr">
        <is>
          <t>Spotlight / 6 класс / Module 2 · Here we are! / Ordinal numbers / Ordinal numbers: first, second, third и составные (21st, 22nd)</t>
        </is>
      </c>
    </row>
    <row r="343">
      <c r="A343" s="37" t="n">
        <v>6</v>
      </c>
      <c r="B343" s="11" t="inlineStr">
        <is>
          <t>Module 2 · Here we are!</t>
        </is>
      </c>
      <c r="C343" s="11" t="inlineStr">
        <is>
          <t>2a</t>
        </is>
      </c>
      <c r="D343" s="11" t="inlineStr">
        <is>
          <t>Ordinal numbers</t>
        </is>
      </c>
      <c r="E343" s="35" t="inlineStr">
        <is>
          <t>Ordinal numbers: образование с -th и орфография (fifth, ninth, twelfth, twentieth)</t>
        </is>
      </c>
      <c r="F343" s="11" t="inlineStr">
        <is>
          <t>Ст-481</t>
        </is>
      </c>
      <c r="G343" s="41" t="inlineStr">
        <is>
          <t>расширение</t>
        </is>
      </c>
      <c r="H343" s="11" t="inlineStr">
        <is>
          <t>правило сформулировано: seven – seventh, 56 – fifty-sixth</t>
        </is>
      </c>
      <c r="I343" s="37" t="inlineStr">
        <is>
          <t>10+</t>
        </is>
      </c>
      <c r="J343" s="11">
        <f>IFERROR(INDEX('Уроки'!$H:$H,MATCH(F343,'Уроки'!$A:$A,0)),"")</f>
        <v/>
      </c>
      <c r="K343" s="11">
        <f>IFERROR(INDEX('Уроки'!$J:$J,MATCH(F343,'Уроки'!$A:$A,0)),"")</f>
        <v/>
      </c>
      <c r="L343" s="11" t="inlineStr">
        <is>
          <t>Spotlight / 6 класс / Module 2 · Here we are! / Ordinal numbers / Ordinal numbers: образование с -th и орфография (fifth, ninth, twelfth, twentieth)</t>
        </is>
      </c>
    </row>
    <row r="344">
      <c r="A344" s="37" t="n">
        <v>6</v>
      </c>
      <c r="B344" s="11" t="inlineStr">
        <is>
          <t>Module 2 · Here we are!</t>
        </is>
      </c>
      <c r="C344" s="11" t="inlineStr">
        <is>
          <t>2a</t>
        </is>
      </c>
      <c r="D344" s="11" t="inlineStr">
        <is>
          <t>Ordinal numbers</t>
        </is>
      </c>
      <c r="E344" s="35" t="inlineStr">
        <is>
          <t>Ordinal numbers: с артиклем the и даты</t>
        </is>
      </c>
      <c r="F344" s="11" t="inlineStr">
        <is>
          <t>Ст-482</t>
        </is>
      </c>
      <c r="G344" s="41" t="inlineStr">
        <is>
          <t>расширение</t>
        </is>
      </c>
      <c r="H344" s="11" t="inlineStr">
        <is>
          <t>добавлено: пишется September 1 — читается the first of September; всегда с the</t>
        </is>
      </c>
      <c r="I344" s="37" t="inlineStr">
        <is>
          <t>10+</t>
        </is>
      </c>
      <c r="J344" s="11">
        <f>IFERROR(INDEX('Уроки'!$H:$H,MATCH(F344,'Уроки'!$A:$A,0)),"")</f>
        <v/>
      </c>
      <c r="K344" s="11">
        <f>IFERROR(INDEX('Уроки'!$J:$J,MATCH(F344,'Уроки'!$A:$A,0)),"")</f>
        <v/>
      </c>
      <c r="L344" s="11" t="inlineStr">
        <is>
          <t>Spotlight / 6 класс / Module 2 · Here we are! / Ordinal numbers / Ordinal numbers: с артиклем the и даты</t>
        </is>
      </c>
    </row>
    <row r="345">
      <c r="A345" s="37" t="n">
        <v>6</v>
      </c>
      <c r="B345" s="11" t="inlineStr">
        <is>
          <t>Module 2 · Here we are!</t>
        </is>
      </c>
      <c r="C345" s="11" t="inlineStr">
        <is>
          <t>2b</t>
        </is>
      </c>
      <c r="D345" s="11" t="inlineStr">
        <is>
          <t>Prepositions of place</t>
        </is>
      </c>
      <c r="E345" s="35" t="inlineStr">
        <is>
          <t>Prepositions of place: in, on, under</t>
        </is>
      </c>
      <c r="F345" s="11" t="inlineStr">
        <is>
          <t>Ст-483</t>
        </is>
      </c>
      <c r="G345" s="37" t="inlineStr">
        <is>
          <t>повторение</t>
        </is>
      </c>
      <c r="H345" s="11" t="inlineStr"/>
      <c r="I345" s="37" t="inlineStr">
        <is>
          <t>10+</t>
        </is>
      </c>
      <c r="J345" s="11">
        <f>IFERROR(INDEX('Уроки'!$H:$H,MATCH(F345,'Уроки'!$A:$A,0)),"")</f>
        <v/>
      </c>
      <c r="K345" s="11">
        <f>IFERROR(INDEX('Уроки'!$J:$J,MATCH(F345,'Уроки'!$A:$A,0)),"")</f>
        <v/>
      </c>
      <c r="L345" s="11" t="inlineStr">
        <is>
          <t>Spotlight / 6 класс / Module 2 · Here we are! / Prepositions of place / Prepositions of place: in, on, under</t>
        </is>
      </c>
    </row>
    <row r="346">
      <c r="A346" s="37" t="n">
        <v>6</v>
      </c>
      <c r="B346" s="11" t="inlineStr">
        <is>
          <t>Module 2 · Here we are!</t>
        </is>
      </c>
      <c r="C346" s="11" t="inlineStr">
        <is>
          <t>2b</t>
        </is>
      </c>
      <c r="D346" s="11" t="inlineStr">
        <is>
          <t>Prepositions of place</t>
        </is>
      </c>
      <c r="E346" s="35" t="inlineStr">
        <is>
          <t>Prepositions of place: next to, in front of, behind</t>
        </is>
      </c>
      <c r="F346" s="11" t="inlineStr">
        <is>
          <t>Ст-484</t>
        </is>
      </c>
      <c r="G346" s="37" t="inlineStr">
        <is>
          <t>повторение</t>
        </is>
      </c>
      <c r="H346" s="11" t="inlineStr">
        <is>
          <t>beside/next to</t>
        </is>
      </c>
      <c r="I346" s="37" t="inlineStr">
        <is>
          <t>10+</t>
        </is>
      </c>
      <c r="J346" s="11">
        <f>IFERROR(INDEX('Уроки'!$H:$H,MATCH(F346,'Уроки'!$A:$A,0)),"")</f>
        <v/>
      </c>
      <c r="K346" s="11">
        <f>IFERROR(INDEX('Уроки'!$J:$J,MATCH(F346,'Уроки'!$A:$A,0)),"")</f>
        <v/>
      </c>
      <c r="L346" s="11" t="inlineStr">
        <is>
          <t>Spotlight / 6 класс / Module 2 · Here we are! / Prepositions of place / Prepositions of place: next to, in front of, behind</t>
        </is>
      </c>
    </row>
    <row r="347">
      <c r="A347" s="37" t="n">
        <v>6</v>
      </c>
      <c r="B347" s="11" t="inlineStr">
        <is>
          <t>Module 2 · Here we are!</t>
        </is>
      </c>
      <c r="C347" s="11" t="inlineStr">
        <is>
          <t>2b</t>
        </is>
      </c>
      <c r="D347" s="11" t="inlineStr">
        <is>
          <t>Prepositions of place</t>
        </is>
      </c>
      <c r="E347" s="35" t="inlineStr">
        <is>
          <t>Prepositions of place: opposite, between</t>
        </is>
      </c>
      <c r="F347" s="11" t="inlineStr">
        <is>
          <t>Ст-485</t>
        </is>
      </c>
      <c r="G347" s="37" t="inlineStr">
        <is>
          <t>повторение</t>
        </is>
      </c>
      <c r="H347" s="11" t="inlineStr"/>
      <c r="I347" s="37" t="inlineStr">
        <is>
          <t>10+</t>
        </is>
      </c>
      <c r="J347" s="11">
        <f>IFERROR(INDEX('Уроки'!$H:$H,MATCH(F347,'Уроки'!$A:$A,0)),"")</f>
        <v/>
      </c>
      <c r="K347" s="11">
        <f>IFERROR(INDEX('Уроки'!$J:$J,MATCH(F347,'Уроки'!$A:$A,0)),"")</f>
        <v/>
      </c>
      <c r="L347" s="11" t="inlineStr">
        <is>
          <t>Spotlight / 6 класс / Module 2 · Here we are! / Prepositions of place / Prepositions of place: opposite, between</t>
        </is>
      </c>
    </row>
    <row r="348">
      <c r="A348" s="37" t="n">
        <v>6</v>
      </c>
      <c r="B348" s="11" t="inlineStr">
        <is>
          <t>Module 2 · Here we are!</t>
        </is>
      </c>
      <c r="C348" s="11" t="inlineStr">
        <is>
          <t>2b</t>
        </is>
      </c>
      <c r="D348" s="11" t="inlineStr">
        <is>
          <t>Prepositions of place</t>
        </is>
      </c>
      <c r="E348" s="35" t="inlineStr">
        <is>
          <t>Prepositions of place: near, beside</t>
        </is>
      </c>
      <c r="F348" s="11" t="inlineStr">
        <is>
          <t>Ст-486</t>
        </is>
      </c>
      <c r="G348" s="40" t="inlineStr">
        <is>
          <t>новое</t>
        </is>
      </c>
      <c r="H348" s="11" t="inlineStr"/>
      <c r="I348" s="37" t="inlineStr">
        <is>
          <t>10+</t>
        </is>
      </c>
      <c r="J348" s="11">
        <f>IFERROR(INDEX('Уроки'!$H:$H,MATCH(F348,'Уроки'!$A:$A,0)),"")</f>
        <v/>
      </c>
      <c r="K348" s="11">
        <f>IFERROR(INDEX('Уроки'!$J:$J,MATCH(F348,'Уроки'!$A:$A,0)),"")</f>
        <v/>
      </c>
      <c r="L348" s="11" t="inlineStr">
        <is>
          <t>Spotlight / 6 класс / Module 2 · Here we are! / Prepositions of place / Prepositions of place: near, beside</t>
        </is>
      </c>
    </row>
    <row r="349">
      <c r="A349" s="37" t="n">
        <v>6</v>
      </c>
      <c r="B349" s="11" t="inlineStr">
        <is>
          <t>Module 2 · Here we are!</t>
        </is>
      </c>
      <c r="C349" s="11" t="inlineStr">
        <is>
          <t>2b</t>
        </is>
      </c>
      <c r="D349" s="11" t="inlineStr">
        <is>
          <t>Prepositions of place</t>
        </is>
      </c>
      <c r="E349" s="35" t="inlineStr">
        <is>
          <t>Prepositions of place: at — at school/work/home, в адресах</t>
        </is>
      </c>
      <c r="F349" s="11" t="inlineStr">
        <is>
          <t>Ст-487</t>
        </is>
      </c>
      <c r="G349" s="37" t="inlineStr">
        <is>
          <t>повторение</t>
        </is>
      </c>
      <c r="H349" s="11" t="inlineStr"/>
      <c r="I349" s="37" t="inlineStr">
        <is>
          <t>10+</t>
        </is>
      </c>
      <c r="J349" s="11">
        <f>IFERROR(INDEX('Уроки'!$H:$H,MATCH(F349,'Уроки'!$A:$A,0)),"")</f>
        <v/>
      </c>
      <c r="K349" s="11">
        <f>IFERROR(INDEX('Уроки'!$J:$J,MATCH(F349,'Уроки'!$A:$A,0)),"")</f>
        <v/>
      </c>
      <c r="L349" s="11" t="inlineStr">
        <is>
          <t>Spotlight / 6 класс / Module 2 · Here we are! / Prepositions of place / Prepositions of place: at — at school/work/home, в адресах</t>
        </is>
      </c>
    </row>
    <row r="350">
      <c r="A350" s="37" t="n">
        <v>6</v>
      </c>
      <c r="B350" s="11" t="inlineStr">
        <is>
          <t>Module 2 · Here we are!</t>
        </is>
      </c>
      <c r="C350" s="11" t="inlineStr">
        <is>
          <t>2b</t>
        </is>
      </c>
      <c r="D350" s="11" t="inlineStr">
        <is>
          <t>Prepositions of place</t>
        </is>
      </c>
      <c r="E350" s="35" t="inlineStr">
        <is>
          <t>Prepositions of place: in — устойчивые выражения (in bed, in hospital, in the sky, in a picture)</t>
        </is>
      </c>
      <c r="F350" s="11" t="inlineStr">
        <is>
          <t>Ст-488</t>
        </is>
      </c>
      <c r="G350" s="37" t="inlineStr">
        <is>
          <t>повторение</t>
        </is>
      </c>
      <c r="H350" s="11" t="inlineStr"/>
      <c r="I350" s="37" t="inlineStr">
        <is>
          <t>10+</t>
        </is>
      </c>
      <c r="J350" s="11">
        <f>IFERROR(INDEX('Уроки'!$H:$H,MATCH(F350,'Уроки'!$A:$A,0)),"")</f>
        <v/>
      </c>
      <c r="K350" s="11">
        <f>IFERROR(INDEX('Уроки'!$J:$J,MATCH(F350,'Уроки'!$A:$A,0)),"")</f>
        <v/>
      </c>
      <c r="L350" s="11" t="inlineStr">
        <is>
          <t>Spotlight / 6 класс / Module 2 · Here we are! / Prepositions of place / Prepositions of place: in — устойчивые выражения (in bed, in hospital, in the sky, in a picture)</t>
        </is>
      </c>
    </row>
    <row r="351">
      <c r="A351" s="37" t="n">
        <v>6</v>
      </c>
      <c r="B351" s="11" t="inlineStr">
        <is>
          <t>Module 2 · Here we are!</t>
        </is>
      </c>
      <c r="C351" s="11" t="inlineStr">
        <is>
          <t>2b</t>
        </is>
      </c>
      <c r="D351" s="11" t="inlineStr">
        <is>
          <t>Prepositions of place</t>
        </is>
      </c>
      <c r="E351" s="35" t="inlineStr">
        <is>
          <t>Prepositions of place: in — города, страны, континенты</t>
        </is>
      </c>
      <c r="F351" s="11" t="inlineStr">
        <is>
          <t>Ст-489</t>
        </is>
      </c>
      <c r="G351" s="37" t="inlineStr">
        <is>
          <t>повторение</t>
        </is>
      </c>
      <c r="H351" s="11" t="inlineStr"/>
      <c r="I351" s="37" t="inlineStr">
        <is>
          <t>10+</t>
        </is>
      </c>
      <c r="J351" s="11">
        <f>IFERROR(INDEX('Уроки'!$H:$H,MATCH(F351,'Уроки'!$A:$A,0)),"")</f>
        <v/>
      </c>
      <c r="K351" s="11">
        <f>IFERROR(INDEX('Уроки'!$J:$J,MATCH(F351,'Уроки'!$A:$A,0)),"")</f>
        <v/>
      </c>
      <c r="L351" s="11" t="inlineStr">
        <is>
          <t>Spotlight / 6 класс / Module 2 · Here we are! / Prepositions of place / Prepositions of place: in — города, страны, континенты</t>
        </is>
      </c>
    </row>
    <row r="352">
      <c r="A352" s="37" t="n">
        <v>6</v>
      </c>
      <c r="B352" s="11" t="inlineStr">
        <is>
          <t>Module 2 · Here we are!</t>
        </is>
      </c>
      <c r="C352" s="11" t="inlineStr">
        <is>
          <t>2b</t>
        </is>
      </c>
      <c r="D352" s="11" t="inlineStr">
        <is>
          <t>Prepositions of place</t>
        </is>
      </c>
      <c r="E352" s="35" t="inlineStr">
        <is>
          <t>Prepositions of place: on — on the left/right, on the first floor</t>
        </is>
      </c>
      <c r="F352" s="11" t="inlineStr">
        <is>
          <t>Ст-490</t>
        </is>
      </c>
      <c r="G352" s="37" t="inlineStr">
        <is>
          <t>повторение</t>
        </is>
      </c>
      <c r="H352" s="11" t="inlineStr"/>
      <c r="I352" s="37" t="inlineStr">
        <is>
          <t>10+</t>
        </is>
      </c>
      <c r="J352" s="11">
        <f>IFERROR(INDEX('Уроки'!$H:$H,MATCH(F352,'Уроки'!$A:$A,0)),"")</f>
        <v/>
      </c>
      <c r="K352" s="11">
        <f>IFERROR(INDEX('Уроки'!$J:$J,MATCH(F352,'Уроки'!$A:$A,0)),"")</f>
        <v/>
      </c>
      <c r="L352" s="11" t="inlineStr">
        <is>
          <t>Spotlight / 6 класс / Module 2 · Here we are! / Prepositions of place / Prepositions of place: on — on the left/right, on the first floor</t>
        </is>
      </c>
    </row>
    <row r="353">
      <c r="A353" s="37" t="n">
        <v>6</v>
      </c>
      <c r="B353" s="11" t="inlineStr">
        <is>
          <t>Module 2 · Here we are!</t>
        </is>
      </c>
      <c r="C353" s="11" t="inlineStr">
        <is>
          <t>2a</t>
        </is>
      </c>
      <c r="D353" s="11" t="inlineStr">
        <is>
          <t>Prepositions of time</t>
        </is>
      </c>
      <c r="E353" s="35" t="inlineStr">
        <is>
          <t>Prepositions of time: at — время, праздники, at night/at noon/at the weekend</t>
        </is>
      </c>
      <c r="F353" s="11" t="inlineStr">
        <is>
          <t>Ст-491</t>
        </is>
      </c>
      <c r="G353" s="37" t="inlineStr">
        <is>
          <t>повторение</t>
        </is>
      </c>
      <c r="H353" s="11" t="inlineStr"/>
      <c r="I353" s="37" t="inlineStr">
        <is>
          <t>10+</t>
        </is>
      </c>
      <c r="J353" s="11">
        <f>IFERROR(INDEX('Уроки'!$H:$H,MATCH(F353,'Уроки'!$A:$A,0)),"")</f>
        <v/>
      </c>
      <c r="K353" s="11">
        <f>IFERROR(INDEX('Уроки'!$J:$J,MATCH(F353,'Уроки'!$A:$A,0)),"")</f>
        <v/>
      </c>
      <c r="L353" s="11" t="inlineStr">
        <is>
          <t>Spotlight / 6 класс / Module 2 · Here we are! / Prepositions of time / Prepositions of time: at — время, праздники, at night/at noon/at the weekend</t>
        </is>
      </c>
    </row>
    <row r="354">
      <c r="A354" s="37" t="n">
        <v>6</v>
      </c>
      <c r="B354" s="11" t="inlineStr">
        <is>
          <t>Module 2 · Here we are!</t>
        </is>
      </c>
      <c r="C354" s="11" t="inlineStr">
        <is>
          <t>2a</t>
        </is>
      </c>
      <c r="D354" s="11" t="inlineStr">
        <is>
          <t>Prepositions of time</t>
        </is>
      </c>
      <c r="E354" s="35" t="inlineStr">
        <is>
          <t>Prepositions of time: on — дни недели и праздничные дни</t>
        </is>
      </c>
      <c r="F354" s="11" t="inlineStr">
        <is>
          <t>Ст-492</t>
        </is>
      </c>
      <c r="G354" s="37" t="inlineStr">
        <is>
          <t>повторение</t>
        </is>
      </c>
      <c r="H354" s="11" t="inlineStr"/>
      <c r="I354" s="37" t="inlineStr">
        <is>
          <t>10+</t>
        </is>
      </c>
      <c r="J354" s="11">
        <f>IFERROR(INDEX('Уроки'!$H:$H,MATCH(F354,'Уроки'!$A:$A,0)),"")</f>
        <v/>
      </c>
      <c r="K354" s="11">
        <f>IFERROR(INDEX('Уроки'!$J:$J,MATCH(F354,'Уроки'!$A:$A,0)),"")</f>
        <v/>
      </c>
      <c r="L354" s="11" t="inlineStr">
        <is>
          <t>Spotlight / 6 класс / Module 2 · Here we are! / Prepositions of time / Prepositions of time: on — дни недели и праздничные дни</t>
        </is>
      </c>
    </row>
    <row r="355">
      <c r="A355" s="37" t="n">
        <v>6</v>
      </c>
      <c r="B355" s="11" t="inlineStr">
        <is>
          <t>Module 2 · Here we are!</t>
        </is>
      </c>
      <c r="C355" s="11" t="inlineStr">
        <is>
          <t>2a</t>
        </is>
      </c>
      <c r="D355" s="11" t="inlineStr">
        <is>
          <t>Prepositions of time</t>
        </is>
      </c>
      <c r="E355" s="35" t="inlineStr">
        <is>
          <t>Prepositions of time: on — даты, день недели + часть дня, on a hot day</t>
        </is>
      </c>
      <c r="F355" s="11" t="inlineStr">
        <is>
          <t>Ст-493</t>
        </is>
      </c>
      <c r="G355" s="37" t="inlineStr">
        <is>
          <t>повторение</t>
        </is>
      </c>
      <c r="H355" s="11" t="inlineStr"/>
      <c r="I355" s="37" t="inlineStr">
        <is>
          <t>10+</t>
        </is>
      </c>
      <c r="J355" s="11">
        <f>IFERROR(INDEX('Уроки'!$H:$H,MATCH(F355,'Уроки'!$A:$A,0)),"")</f>
        <v/>
      </c>
      <c r="K355" s="11">
        <f>IFERROR(INDEX('Уроки'!$J:$J,MATCH(F355,'Уроки'!$A:$A,0)),"")</f>
        <v/>
      </c>
      <c r="L355" s="11" t="inlineStr">
        <is>
          <t>Spotlight / 6 класс / Module 2 · Here we are! / Prepositions of time / Prepositions of time: on — даты, день недели + часть дня, on a hot day</t>
        </is>
      </c>
    </row>
    <row r="356">
      <c r="A356" s="37" t="n">
        <v>6</v>
      </c>
      <c r="B356" s="11" t="inlineStr">
        <is>
          <t>Module 2 · Here we are!</t>
        </is>
      </c>
      <c r="C356" s="11" t="inlineStr">
        <is>
          <t>2a</t>
        </is>
      </c>
      <c r="D356" s="11" t="inlineStr">
        <is>
          <t>Prepositions of time</t>
        </is>
      </c>
      <c r="E356" s="35" t="inlineStr">
        <is>
          <t>Prepositions of time: in — части суток (in the morning/afternoon/evening)</t>
        </is>
      </c>
      <c r="F356" s="11" t="inlineStr">
        <is>
          <t>Ст-494</t>
        </is>
      </c>
      <c r="G356" s="37" t="inlineStr">
        <is>
          <t>повторение</t>
        </is>
      </c>
      <c r="H356" s="11" t="inlineStr"/>
      <c r="I356" s="37" t="inlineStr">
        <is>
          <t>10+</t>
        </is>
      </c>
      <c r="J356" s="11">
        <f>IFERROR(INDEX('Уроки'!$H:$H,MATCH(F356,'Уроки'!$A:$A,0)),"")</f>
        <v/>
      </c>
      <c r="K356" s="11">
        <f>IFERROR(INDEX('Уроки'!$J:$J,MATCH(F356,'Уроки'!$A:$A,0)),"")</f>
        <v/>
      </c>
      <c r="L356" s="11" t="inlineStr">
        <is>
          <t>Spotlight / 6 класс / Module 2 · Here we are! / Prepositions of time / Prepositions of time: in — части суток (in the morning/afternoon/evening)</t>
        </is>
      </c>
    </row>
    <row r="357">
      <c r="A357" s="37" t="n">
        <v>6</v>
      </c>
      <c r="B357" s="11" t="inlineStr">
        <is>
          <t>Module 2 · Here we are!</t>
        </is>
      </c>
      <c r="C357" s="11" t="inlineStr">
        <is>
          <t>2a</t>
        </is>
      </c>
      <c r="D357" s="11" t="inlineStr">
        <is>
          <t>Prepositions of time</t>
        </is>
      </c>
      <c r="E357" s="35" t="inlineStr">
        <is>
          <t>Prepositions of time: in — месяцы, времена года, годы, века</t>
        </is>
      </c>
      <c r="F357" s="11" t="inlineStr">
        <is>
          <t>Ст-495</t>
        </is>
      </c>
      <c r="G357" s="37" t="inlineStr">
        <is>
          <t>повторение</t>
        </is>
      </c>
      <c r="H357" s="11" t="inlineStr"/>
      <c r="I357" s="37" t="inlineStr">
        <is>
          <t>10+</t>
        </is>
      </c>
      <c r="J357" s="11">
        <f>IFERROR(INDEX('Уроки'!$H:$H,MATCH(F357,'Уроки'!$A:$A,0)),"")</f>
        <v/>
      </c>
      <c r="K357" s="11">
        <f>IFERROR(INDEX('Уроки'!$J:$J,MATCH(F357,'Уроки'!$A:$A,0)),"")</f>
        <v/>
      </c>
      <c r="L357" s="11" t="inlineStr">
        <is>
          <t>Spotlight / 6 класс / Module 2 · Here we are! / Prepositions of time / Prepositions of time: in — месяцы, времена года, годы, века</t>
        </is>
      </c>
    </row>
    <row r="358">
      <c r="A358" s="37" t="n">
        <v>6</v>
      </c>
      <c r="B358" s="11" t="inlineStr">
        <is>
          <t>Module 2 · Here we are!</t>
        </is>
      </c>
      <c r="C358" s="11" t="inlineStr">
        <is>
          <t>2a</t>
        </is>
      </c>
      <c r="D358" s="11" t="inlineStr">
        <is>
          <t>Prepositions of time</t>
        </is>
      </c>
      <c r="E358" s="35" t="inlineStr">
        <is>
          <t>Prepositions of time: in = «через» (in an hour, in a week)</t>
        </is>
      </c>
      <c r="F358" s="11" t="inlineStr">
        <is>
          <t>Ст-496</t>
        </is>
      </c>
      <c r="G358" s="37" t="inlineStr">
        <is>
          <t>повторение</t>
        </is>
      </c>
      <c r="H358" s="11" t="inlineStr"/>
      <c r="I358" s="37" t="inlineStr">
        <is>
          <t>10+</t>
        </is>
      </c>
      <c r="J358" s="11">
        <f>IFERROR(INDEX('Уроки'!$H:$H,MATCH(F358,'Уроки'!$A:$A,0)),"")</f>
        <v/>
      </c>
      <c r="K358" s="11">
        <f>IFERROR(INDEX('Уроки'!$J:$J,MATCH(F358,'Уроки'!$A:$A,0)),"")</f>
        <v/>
      </c>
      <c r="L358" s="11" t="inlineStr">
        <is>
          <t>Spotlight / 6 класс / Module 2 · Here we are! / Prepositions of time / Prepositions of time: in = «через» (in an hour, in a week)</t>
        </is>
      </c>
    </row>
    <row r="359">
      <c r="A359" s="37" t="n">
        <v>6</v>
      </c>
      <c r="B359" s="11" t="inlineStr">
        <is>
          <t>Module 3 · Getting around</t>
        </is>
      </c>
      <c r="C359" s="11" t="inlineStr">
        <is>
          <t>3b</t>
        </is>
      </c>
      <c r="D359" s="11" t="inlineStr">
        <is>
          <t>can (ability)</t>
        </is>
      </c>
      <c r="E359" s="35" t="inlineStr">
        <is>
          <t>can (ability): значение — умение; утверждение can + глагол без to</t>
        </is>
      </c>
      <c r="F359" s="11" t="inlineStr">
        <is>
          <t>Ст-122</t>
        </is>
      </c>
      <c r="G359" s="37" t="inlineStr">
        <is>
          <t>повторение</t>
        </is>
      </c>
      <c r="H359" s="11" t="inlineStr"/>
      <c r="I359" s="37" t="inlineStr">
        <is>
          <t>10+</t>
        </is>
      </c>
      <c r="J359" s="11">
        <f>IFERROR(INDEX('Уроки'!$H:$H,MATCH(F359,'Уроки'!$A:$A,0)),"")</f>
        <v/>
      </c>
      <c r="K359" s="11">
        <f>IFERROR(INDEX('Уроки'!$J:$J,MATCH(F359,'Уроки'!$A:$A,0)),"")</f>
        <v/>
      </c>
      <c r="L359" s="11" t="inlineStr">
        <is>
          <t>Spotlight / 6 класс / Module 3 · Getting around / can (ability) / can (ability): значение — умение; утверждение can + глагол без to</t>
        </is>
      </c>
    </row>
    <row r="360">
      <c r="A360" s="37" t="n">
        <v>6</v>
      </c>
      <c r="B360" s="11" t="inlineStr">
        <is>
          <t>Module 3 · Getting around</t>
        </is>
      </c>
      <c r="C360" s="11" t="inlineStr">
        <is>
          <t>3b</t>
        </is>
      </c>
      <c r="D360" s="11" t="inlineStr">
        <is>
          <t>can (ability)</t>
        </is>
      </c>
      <c r="E360" s="35" t="inlineStr">
        <is>
          <t>can (ability): отрицание — cannot / can't</t>
        </is>
      </c>
      <c r="F360" s="11" t="inlineStr">
        <is>
          <t>Ст-123</t>
        </is>
      </c>
      <c r="G360" s="37" t="inlineStr">
        <is>
          <t>повторение</t>
        </is>
      </c>
      <c r="H360" s="11" t="inlineStr"/>
      <c r="I360" s="37" t="inlineStr">
        <is>
          <t>10+</t>
        </is>
      </c>
      <c r="J360" s="11">
        <f>IFERROR(INDEX('Уроки'!$H:$H,MATCH(F360,'Уроки'!$A:$A,0)),"")</f>
        <v/>
      </c>
      <c r="K360" s="11">
        <f>IFERROR(INDEX('Уроки'!$J:$J,MATCH(F360,'Уроки'!$A:$A,0)),"")</f>
        <v/>
      </c>
      <c r="L360" s="11" t="inlineStr">
        <is>
          <t>Spotlight / 6 класс / Module 3 · Getting around / can (ability) / can (ability): отрицание — cannot / can't</t>
        </is>
      </c>
    </row>
    <row r="361">
      <c r="A361" s="37" t="n">
        <v>6</v>
      </c>
      <c r="B361" s="11" t="inlineStr">
        <is>
          <t>Module 3 · Getting around</t>
        </is>
      </c>
      <c r="C361" s="11" t="inlineStr">
        <is>
          <t>3b</t>
        </is>
      </c>
      <c r="D361" s="11" t="inlineStr">
        <is>
          <t>can (ability)</t>
        </is>
      </c>
      <c r="E361" s="35" t="inlineStr">
        <is>
          <t>can (ability): вопросы и краткие ответы</t>
        </is>
      </c>
      <c r="F361" s="11" t="inlineStr">
        <is>
          <t>Ст-124</t>
        </is>
      </c>
      <c r="G361" s="37" t="inlineStr">
        <is>
          <t>повторение</t>
        </is>
      </c>
      <c r="H361" s="11" t="inlineStr"/>
      <c r="I361" s="37" t="inlineStr">
        <is>
          <t>10+</t>
        </is>
      </c>
      <c r="J361" s="11">
        <f>IFERROR(INDEX('Уроки'!$H:$H,MATCH(F361,'Уроки'!$A:$A,0)),"")</f>
        <v/>
      </c>
      <c r="K361" s="11">
        <f>IFERROR(INDEX('Уроки'!$J:$J,MATCH(F361,'Уроки'!$A:$A,0)),"")</f>
        <v/>
      </c>
      <c r="L361" s="11" t="inlineStr">
        <is>
          <t>Spotlight / 6 класс / Module 3 · Getting around / can (ability) / can (ability): вопросы и краткие ответы</t>
        </is>
      </c>
    </row>
    <row r="362">
      <c r="A362" s="37" t="n">
        <v>6</v>
      </c>
      <c r="B362" s="11" t="inlineStr">
        <is>
          <t>Module 3 · Getting around</t>
        </is>
      </c>
      <c r="C362" s="11" t="inlineStr">
        <is>
          <t>3b</t>
        </is>
      </c>
      <c r="D362" s="11" t="inlineStr">
        <is>
          <t>can (permission/request)</t>
        </is>
      </c>
      <c r="E362" s="33" t="inlineStr">
        <is>
          <t>can (permission/request): спросить разрешения — Can I…?</t>
        </is>
      </c>
      <c r="F362" s="11" t="inlineStr">
        <is>
          <t>Ст-152</t>
        </is>
      </c>
      <c r="G362" s="37" t="inlineStr">
        <is>
          <t>повторение</t>
        </is>
      </c>
      <c r="H362" s="11" t="inlineStr">
        <is>
          <t>Can we play on the computer, please?</t>
        </is>
      </c>
      <c r="I362" s="37" t="inlineStr">
        <is>
          <t>10+</t>
        </is>
      </c>
      <c r="J362" s="11">
        <f>IFERROR(INDEX('Уроки'!$H:$H,MATCH(F362,'Уроки'!$A:$A,0)),"")</f>
        <v/>
      </c>
      <c r="K362" s="11">
        <f>IFERROR(INDEX('Уроки'!$J:$J,MATCH(F362,'Уроки'!$A:$A,0)),"")</f>
        <v/>
      </c>
      <c r="L362" s="11" t="inlineStr">
        <is>
          <t>Spotlight / 6 класс / Module 3 · Getting around / can (permission/request) / can (permission/request): спросить разрешения — Can I…?</t>
        </is>
      </c>
    </row>
    <row r="363">
      <c r="A363" s="37" t="n">
        <v>6</v>
      </c>
      <c r="B363" s="11" t="inlineStr">
        <is>
          <t>Module 3 · Getting around</t>
        </is>
      </c>
      <c r="C363" s="11" t="inlineStr">
        <is>
          <t>3b</t>
        </is>
      </c>
      <c r="D363" s="11" t="inlineStr">
        <is>
          <t>can (permission/request)</t>
        </is>
      </c>
      <c r="E363" s="35" t="inlineStr">
        <is>
          <t>can (permission/request): просьба — Can you…? / Can I have…?</t>
        </is>
      </c>
      <c r="F363" s="11" t="inlineStr">
        <is>
          <t>Ст-153</t>
        </is>
      </c>
      <c r="G363" s="37" t="inlineStr">
        <is>
          <t>повторение</t>
        </is>
      </c>
      <c r="H363" s="11" t="inlineStr">
        <is>
          <t>Can you open the door? Can I have a piece of cake?</t>
        </is>
      </c>
      <c r="I363" s="37" t="inlineStr">
        <is>
          <t>10+</t>
        </is>
      </c>
      <c r="J363" s="11">
        <f>IFERROR(INDEX('Уроки'!$H:$H,MATCH(F363,'Уроки'!$A:$A,0)),"")</f>
        <v/>
      </c>
      <c r="K363" s="11">
        <f>IFERROR(INDEX('Уроки'!$J:$J,MATCH(F363,'Уроки'!$A:$A,0)),"")</f>
        <v/>
      </c>
      <c r="L363" s="11" t="inlineStr">
        <is>
          <t>Spotlight / 6 класс / Module 3 · Getting around / can (permission/request) / can (permission/request): просьба — Can you…? / Can I have…?</t>
        </is>
      </c>
    </row>
    <row r="364">
      <c r="A364" s="37" t="n">
        <v>6</v>
      </c>
      <c r="B364" s="11" t="inlineStr">
        <is>
          <t>Module 3 · Getting around</t>
        </is>
      </c>
      <c r="C364" s="11" t="inlineStr">
        <is>
          <t>3b</t>
        </is>
      </c>
      <c r="D364" s="11" t="inlineStr">
        <is>
          <t>can (permission/request)</t>
        </is>
      </c>
      <c r="E364" s="33" t="inlineStr">
        <is>
          <t>can (permission/request): can't — запрет</t>
        </is>
      </c>
      <c r="F364" s="11" t="inlineStr">
        <is>
          <t>Ст-155</t>
        </is>
      </c>
      <c r="G364" s="37" t="inlineStr">
        <is>
          <t>повторение</t>
        </is>
      </c>
      <c r="H364" s="11" t="inlineStr">
        <is>
          <t>You can't turn left here!</t>
        </is>
      </c>
      <c r="I364" s="37" t="inlineStr">
        <is>
          <t>10+</t>
        </is>
      </c>
      <c r="J364" s="11">
        <f>IFERROR(INDEX('Уроки'!$H:$H,MATCH(F364,'Уроки'!$A:$A,0)),"")</f>
        <v/>
      </c>
      <c r="K364" s="11">
        <f>IFERROR(INDEX('Уроки'!$J:$J,MATCH(F364,'Уроки'!$A:$A,0)),"")</f>
        <v/>
      </c>
      <c r="L364" s="11" t="inlineStr">
        <is>
          <t>Spotlight / 6 класс / Module 3 · Getting around / can (permission/request) / can (permission/request): can't — запрет</t>
        </is>
      </c>
    </row>
    <row r="365">
      <c r="A365" s="37" t="n">
        <v>6</v>
      </c>
      <c r="B365" s="11" t="inlineStr">
        <is>
          <t>Module 3 · Getting around</t>
        </is>
      </c>
      <c r="C365" s="11" t="inlineStr">
        <is>
          <t>3a</t>
        </is>
      </c>
      <c r="D365" s="11" t="inlineStr">
        <is>
          <t>Imperative</t>
        </is>
      </c>
      <c r="E365" s="33" t="inlineStr">
        <is>
          <t>Imperative: утверждение — инфинитив без to</t>
        </is>
      </c>
      <c r="F365" s="11" t="inlineStr">
        <is>
          <t>Ст-507</t>
        </is>
      </c>
      <c r="G365" s="37" t="inlineStr">
        <is>
          <t>повторение</t>
        </is>
      </c>
      <c r="H365" s="11" t="inlineStr"/>
      <c r="I365" s="37" t="inlineStr">
        <is>
          <t>10+</t>
        </is>
      </c>
      <c r="J365" s="11">
        <f>IFERROR(INDEX('Уроки'!$H:$H,MATCH(F365,'Уроки'!$A:$A,0)),"")</f>
        <v/>
      </c>
      <c r="K365" s="11">
        <f>IFERROR(INDEX('Уроки'!$J:$J,MATCH(F365,'Уроки'!$A:$A,0)),"")</f>
        <v/>
      </c>
      <c r="L365" s="11" t="inlineStr">
        <is>
          <t>Spotlight / 6 класс / Module 3 · Getting around / Imperative / Imperative: утверждение — инфинитив без to</t>
        </is>
      </c>
    </row>
    <row r="366">
      <c r="A366" s="37" t="n">
        <v>6</v>
      </c>
      <c r="B366" s="11" t="inlineStr">
        <is>
          <t>Module 3 · Getting around</t>
        </is>
      </c>
      <c r="C366" s="11" t="inlineStr">
        <is>
          <t>3a</t>
        </is>
      </c>
      <c r="D366" s="11" t="inlineStr">
        <is>
          <t>Imperative</t>
        </is>
      </c>
      <c r="E366" s="33" t="inlineStr">
        <is>
          <t>Imperative: отрицание — Don't + инфинитив</t>
        </is>
      </c>
      <c r="F366" s="11" t="inlineStr">
        <is>
          <t>Ст-508</t>
        </is>
      </c>
      <c r="G366" s="37" t="inlineStr">
        <is>
          <t>повторение</t>
        </is>
      </c>
      <c r="H366" s="11" t="inlineStr"/>
      <c r="I366" s="37" t="inlineStr">
        <is>
          <t>10+</t>
        </is>
      </c>
      <c r="J366" s="11">
        <f>IFERROR(INDEX('Уроки'!$H:$H,MATCH(F366,'Уроки'!$A:$A,0)),"")</f>
        <v/>
      </c>
      <c r="K366" s="11">
        <f>IFERROR(INDEX('Уроки'!$J:$J,MATCH(F366,'Уроки'!$A:$A,0)),"")</f>
        <v/>
      </c>
      <c r="L366" s="11" t="inlineStr">
        <is>
          <t>Spotlight / 6 класс / Module 3 · Getting around / Imperative / Imperative: отрицание — Don't + инфинитив</t>
        </is>
      </c>
    </row>
    <row r="367">
      <c r="A367" s="37" t="n">
        <v>6</v>
      </c>
      <c r="B367" s="11" t="inlineStr">
        <is>
          <t>Module 3 · Getting around</t>
        </is>
      </c>
      <c r="C367" s="11" t="inlineStr">
        <is>
          <t>3a</t>
        </is>
      </c>
      <c r="D367" s="11" t="inlineStr">
        <is>
          <t>Imperative</t>
        </is>
      </c>
      <c r="E367" s="33" t="inlineStr">
        <is>
          <t>Imperative: значение — приказание</t>
        </is>
      </c>
      <c r="F367" s="11" t="inlineStr">
        <is>
          <t>Ст-509</t>
        </is>
      </c>
      <c r="G367" s="37" t="inlineStr">
        <is>
          <t>повторение</t>
        </is>
      </c>
      <c r="H367" s="11" t="inlineStr"/>
      <c r="I367" s="37" t="inlineStr">
        <is>
          <t>10+</t>
        </is>
      </c>
      <c r="J367" s="11">
        <f>IFERROR(INDEX('Уроки'!$H:$H,MATCH(F367,'Уроки'!$A:$A,0)),"")</f>
        <v/>
      </c>
      <c r="K367" s="11">
        <f>IFERROR(INDEX('Уроки'!$J:$J,MATCH(F367,'Уроки'!$A:$A,0)),"")</f>
        <v/>
      </c>
      <c r="L367" s="11" t="inlineStr">
        <is>
          <t>Spotlight / 6 класс / Module 3 · Getting around / Imperative / Imperative: значение — приказание</t>
        </is>
      </c>
    </row>
    <row r="368">
      <c r="A368" s="37" t="n">
        <v>6</v>
      </c>
      <c r="B368" s="11" t="inlineStr">
        <is>
          <t>Module 3 · Getting around</t>
        </is>
      </c>
      <c r="C368" s="11" t="inlineStr">
        <is>
          <t>3a</t>
        </is>
      </c>
      <c r="D368" s="11" t="inlineStr">
        <is>
          <t>Imperative</t>
        </is>
      </c>
      <c r="E368" s="35" t="inlineStr">
        <is>
          <t>Imperative: значение — инструкция, указание</t>
        </is>
      </c>
      <c r="F368" s="11" t="inlineStr">
        <is>
          <t>Ст-510</t>
        </is>
      </c>
      <c r="G368" s="37" t="inlineStr">
        <is>
          <t>повторение</t>
        </is>
      </c>
      <c r="H368" s="11" t="inlineStr"/>
      <c r="I368" s="37" t="inlineStr">
        <is>
          <t>10+</t>
        </is>
      </c>
      <c r="J368" s="11">
        <f>IFERROR(INDEX('Уроки'!$H:$H,MATCH(F368,'Уроки'!$A:$A,0)),"")</f>
        <v/>
      </c>
      <c r="K368" s="11">
        <f>IFERROR(INDEX('Уроки'!$J:$J,MATCH(F368,'Уроки'!$A:$A,0)),"")</f>
        <v/>
      </c>
      <c r="L368" s="11" t="inlineStr">
        <is>
          <t>Spotlight / 6 класс / Module 3 · Getting around / Imperative / Imperative: значение — инструкция, указание</t>
        </is>
      </c>
    </row>
    <row r="369">
      <c r="A369" s="37" t="n">
        <v>6</v>
      </c>
      <c r="B369" s="11" t="inlineStr">
        <is>
          <t>Module 3 · Getting around</t>
        </is>
      </c>
      <c r="C369" s="11" t="inlineStr">
        <is>
          <t>3a</t>
        </is>
      </c>
      <c r="D369" s="11" t="inlineStr">
        <is>
          <t>Imperative</t>
        </is>
      </c>
      <c r="E369" s="35" t="inlineStr">
        <is>
          <t>Imperative: значение — предложение (Have some cake)</t>
        </is>
      </c>
      <c r="F369" s="11" t="inlineStr">
        <is>
          <t>Ст-511</t>
        </is>
      </c>
      <c r="G369" s="37" t="inlineStr">
        <is>
          <t>повторение</t>
        </is>
      </c>
      <c r="H369" s="11" t="inlineStr"/>
      <c r="I369" s="37" t="inlineStr">
        <is>
          <t>10+</t>
        </is>
      </c>
      <c r="J369" s="11">
        <f>IFERROR(INDEX('Уроки'!$H:$H,MATCH(F369,'Уроки'!$A:$A,0)),"")</f>
        <v/>
      </c>
      <c r="K369" s="11">
        <f>IFERROR(INDEX('Уроки'!$J:$J,MATCH(F369,'Уроки'!$A:$A,0)),"")</f>
        <v/>
      </c>
      <c r="L369" s="11" t="inlineStr">
        <is>
          <t>Spotlight / 6 класс / Module 3 · Getting around / Imperative / Imperative: значение — предложение (Have some cake)</t>
        </is>
      </c>
    </row>
    <row r="370">
      <c r="A370" s="37" t="n">
        <v>6</v>
      </c>
      <c r="B370" s="11" t="inlineStr">
        <is>
          <t>Module 3 · Getting around</t>
        </is>
      </c>
      <c r="C370" s="11" t="inlineStr">
        <is>
          <t>3a</t>
        </is>
      </c>
      <c r="D370" s="11" t="inlineStr">
        <is>
          <t>Imperative</t>
        </is>
      </c>
      <c r="E370" s="35" t="inlineStr">
        <is>
          <t>Imperative: значение — просьба, вежливость с please</t>
        </is>
      </c>
      <c r="F370" s="11" t="inlineStr">
        <is>
          <t>Ст-512</t>
        </is>
      </c>
      <c r="G370" s="37" t="inlineStr">
        <is>
          <t>повторение</t>
        </is>
      </c>
      <c r="H370" s="11" t="inlineStr"/>
      <c r="I370" s="37" t="inlineStr">
        <is>
          <t>10+</t>
        </is>
      </c>
      <c r="J370" s="11">
        <f>IFERROR(INDEX('Уроки'!$H:$H,MATCH(F370,'Уроки'!$A:$A,0)),"")</f>
        <v/>
      </c>
      <c r="K370" s="11">
        <f>IFERROR(INDEX('Уроки'!$J:$J,MATCH(F370,'Уроки'!$A:$A,0)),"")</f>
        <v/>
      </c>
      <c r="L370" s="11" t="inlineStr">
        <is>
          <t>Spotlight / 6 класс / Module 3 · Getting around / Imperative / Imperative: значение — просьба, вежливость с please</t>
        </is>
      </c>
    </row>
    <row r="371">
      <c r="A371" s="37" t="n">
        <v>6</v>
      </c>
      <c r="B371" s="11" t="inlineStr">
        <is>
          <t>Module 4 · Day after day</t>
        </is>
      </c>
      <c r="C371" s="11" t="inlineStr">
        <is>
          <t>4a</t>
        </is>
      </c>
      <c r="D371" s="11" t="inlineStr">
        <is>
          <t>Present Simple</t>
        </is>
      </c>
      <c r="E371" s="35" t="inlineStr">
        <is>
          <t>Present Simple: утверждение (I/you/we/they V, he/she/it V-s)</t>
        </is>
      </c>
      <c r="F371" s="11" t="inlineStr">
        <is>
          <t>Ст-026</t>
        </is>
      </c>
      <c r="G371" s="37" t="inlineStr">
        <is>
          <t>повторение</t>
        </is>
      </c>
      <c r="H371" s="11" t="inlineStr"/>
      <c r="I371" s="37" t="inlineStr">
        <is>
          <t>10+</t>
        </is>
      </c>
      <c r="J371" s="11">
        <f>IFERROR(INDEX('Уроки'!$H:$H,MATCH(F371,'Уроки'!$A:$A,0)),"")</f>
        <v/>
      </c>
      <c r="K371" s="11">
        <f>IFERROR(INDEX('Уроки'!$J:$J,MATCH(F371,'Уроки'!$A:$A,0)),"")</f>
        <v/>
      </c>
      <c r="L371" s="11" t="inlineStr">
        <is>
          <t>Spotlight / 6 класс / Module 4 · Day after day / Present Simple / Present Simple: утверждение (I/you/we/they V, he/she/it V-s)</t>
        </is>
      </c>
    </row>
    <row r="372">
      <c r="A372" s="37" t="n">
        <v>6</v>
      </c>
      <c r="B372" s="11" t="inlineStr">
        <is>
          <t>Module 4 · Day after day</t>
        </is>
      </c>
      <c r="C372" s="11" t="inlineStr">
        <is>
          <t>4a</t>
        </is>
      </c>
      <c r="D372" s="11" t="inlineStr">
        <is>
          <t>Present Simple</t>
        </is>
      </c>
      <c r="E372" s="35" t="inlineStr">
        <is>
          <t>Present Simple: отрицание (don't/doesn't)</t>
        </is>
      </c>
      <c r="F372" s="11" t="inlineStr">
        <is>
          <t>Ст-027</t>
        </is>
      </c>
      <c r="G372" s="37" t="inlineStr">
        <is>
          <t>повторение</t>
        </is>
      </c>
      <c r="H372" s="11" t="inlineStr"/>
      <c r="I372" s="37" t="inlineStr">
        <is>
          <t>10+</t>
        </is>
      </c>
      <c r="J372" s="11">
        <f>IFERROR(INDEX('Уроки'!$H:$H,MATCH(F372,'Уроки'!$A:$A,0)),"")</f>
        <v/>
      </c>
      <c r="K372" s="11">
        <f>IFERROR(INDEX('Уроки'!$J:$J,MATCH(F372,'Уроки'!$A:$A,0)),"")</f>
        <v/>
      </c>
      <c r="L372" s="11" t="inlineStr">
        <is>
          <t>Spotlight / 6 класс / Module 4 · Day after day / Present Simple / Present Simple: отрицание (don't/doesn't)</t>
        </is>
      </c>
    </row>
    <row r="373">
      <c r="A373" s="37" t="n">
        <v>6</v>
      </c>
      <c r="B373" s="11" t="inlineStr">
        <is>
          <t>Module 4 · Day after day</t>
        </is>
      </c>
      <c r="C373" s="11" t="inlineStr">
        <is>
          <t>4a</t>
        </is>
      </c>
      <c r="D373" s="11" t="inlineStr">
        <is>
          <t>Present Simple</t>
        </is>
      </c>
      <c r="E373" s="35" t="inlineStr">
        <is>
          <t>Present Simple: общие вопросы (Do/Does …?)</t>
        </is>
      </c>
      <c r="F373" s="11" t="inlineStr">
        <is>
          <t>Ст-028</t>
        </is>
      </c>
      <c r="G373" s="37" t="inlineStr">
        <is>
          <t>повторение</t>
        </is>
      </c>
      <c r="H373" s="11" t="inlineStr"/>
      <c r="I373" s="37" t="inlineStr">
        <is>
          <t>10+</t>
        </is>
      </c>
      <c r="J373" s="11">
        <f>IFERROR(INDEX('Уроки'!$H:$H,MATCH(F373,'Уроки'!$A:$A,0)),"")</f>
        <v/>
      </c>
      <c r="K373" s="11">
        <f>IFERROR(INDEX('Уроки'!$J:$J,MATCH(F373,'Уроки'!$A:$A,0)),"")</f>
        <v/>
      </c>
      <c r="L373" s="11" t="inlineStr">
        <is>
          <t>Spotlight / 6 класс / Module 4 · Day after day / Present Simple / Present Simple: общие вопросы (Do/Does …?)</t>
        </is>
      </c>
    </row>
    <row r="374">
      <c r="A374" s="37" t="n">
        <v>6</v>
      </c>
      <c r="B374" s="11" t="inlineStr">
        <is>
          <t>Module 4 · Day after day</t>
        </is>
      </c>
      <c r="C374" s="11" t="inlineStr">
        <is>
          <t>4b</t>
        </is>
      </c>
      <c r="D374" s="11" t="inlineStr">
        <is>
          <t>Present Simple</t>
        </is>
      </c>
      <c r="E374" s="35" t="inlineStr">
        <is>
          <t>Present Simple: краткие ответы (Yes, I do / No, he doesn't)</t>
        </is>
      </c>
      <c r="F374" s="11" t="inlineStr">
        <is>
          <t>Ст-029</t>
        </is>
      </c>
      <c r="G374" s="37" t="inlineStr">
        <is>
          <t>повторение</t>
        </is>
      </c>
      <c r="H374" s="11" t="inlineStr">
        <is>
          <t>все лица</t>
        </is>
      </c>
      <c r="I374" s="37" t="inlineStr">
        <is>
          <t>10+</t>
        </is>
      </c>
      <c r="J374" s="11">
        <f>IFERROR(INDEX('Уроки'!$H:$H,MATCH(F374,'Уроки'!$A:$A,0)),"")</f>
        <v/>
      </c>
      <c r="K374" s="11">
        <f>IFERROR(INDEX('Уроки'!$J:$J,MATCH(F374,'Уроки'!$A:$A,0)),"")</f>
        <v/>
      </c>
      <c r="L374" s="11" t="inlineStr">
        <is>
          <t>Spotlight / 6 класс / Module 4 · Day after day / Present Simple / Present Simple: краткие ответы (Yes, I do / No, he doesn't)</t>
        </is>
      </c>
    </row>
    <row r="375">
      <c r="A375" s="37" t="n">
        <v>6</v>
      </c>
      <c r="B375" s="11" t="inlineStr">
        <is>
          <t>Module 4 · Day after day</t>
        </is>
      </c>
      <c r="C375" s="11" t="inlineStr">
        <is>
          <t>4a</t>
        </is>
      </c>
      <c r="D375" s="11" t="inlineStr">
        <is>
          <t>Present Simple</t>
        </is>
      </c>
      <c r="E375" s="35" t="inlineStr">
        <is>
          <t>Present Simple: орфография окончания -s/-es (3 л. ед. ч.)</t>
        </is>
      </c>
      <c r="F375" s="11" t="inlineStr">
        <is>
          <t>Ст-030</t>
        </is>
      </c>
      <c r="G375" s="37" t="inlineStr">
        <is>
          <t>повторение</t>
        </is>
      </c>
      <c r="H375" s="11" t="inlineStr"/>
      <c r="I375" s="37" t="inlineStr">
        <is>
          <t>10+</t>
        </is>
      </c>
      <c r="J375" s="11">
        <f>IFERROR(INDEX('Уроки'!$H:$H,MATCH(F375,'Уроки'!$A:$A,0)),"")</f>
        <v/>
      </c>
      <c r="K375" s="11">
        <f>IFERROR(INDEX('Уроки'!$J:$J,MATCH(F375,'Уроки'!$A:$A,0)),"")</f>
        <v/>
      </c>
      <c r="L375" s="11" t="inlineStr">
        <is>
          <t>Spotlight / 6 класс / Module 4 · Day after day / Present Simple / Present Simple: орфография окончания -s/-es (3 л. ед. ч.)</t>
        </is>
      </c>
    </row>
    <row r="376">
      <c r="A376" s="37" t="n">
        <v>6</v>
      </c>
      <c r="B376" s="11" t="inlineStr">
        <is>
          <t>Module 4 · Day after day</t>
        </is>
      </c>
      <c r="C376" s="11" t="inlineStr">
        <is>
          <t>4a</t>
        </is>
      </c>
      <c r="D376" s="11" t="inlineStr">
        <is>
          <t>Present Simple</t>
        </is>
      </c>
      <c r="E376" s="33" t="inlineStr">
        <is>
          <t>Present Simple: значение — регулярные действия, распорядок дня, привычки</t>
        </is>
      </c>
      <c r="F376" s="11" t="inlineStr">
        <is>
          <t>Ст-031</t>
        </is>
      </c>
      <c r="G376" s="41" t="inlineStr">
        <is>
          <t>расширение</t>
        </is>
      </c>
      <c r="H376" s="11" t="inlineStr">
        <is>
          <t>новые сигнальные слова: seldom, rarely</t>
        </is>
      </c>
      <c r="I376" s="37" t="inlineStr">
        <is>
          <t>10+</t>
        </is>
      </c>
      <c r="J376" s="11">
        <f>IFERROR(INDEX('Уроки'!$H:$H,MATCH(F376,'Уроки'!$A:$A,0)),"")</f>
        <v/>
      </c>
      <c r="K376" s="11">
        <f>IFERROR(INDEX('Уроки'!$J:$J,MATCH(F376,'Уроки'!$A:$A,0)),"")</f>
        <v/>
      </c>
      <c r="L376" s="11" t="inlineStr">
        <is>
          <t>Spotlight / 6 класс / Module 4 · Day after day / Present Simple / Present Simple: значение — регулярные действия, распорядок дня, привычки</t>
        </is>
      </c>
    </row>
    <row r="377">
      <c r="A377" s="37" t="n">
        <v>6</v>
      </c>
      <c r="B377" s="11" t="inlineStr">
        <is>
          <t>Module 4 · Day after day</t>
        </is>
      </c>
      <c r="C377" s="11" t="inlineStr">
        <is>
          <t>4a</t>
        </is>
      </c>
      <c r="D377" s="11" t="inlineStr">
        <is>
          <t>Present Simple</t>
        </is>
      </c>
      <c r="E377" s="33" t="inlineStr">
        <is>
          <t>Present Simple: значение — постоянные состояния и действия</t>
        </is>
      </c>
      <c r="F377" s="11" t="inlineStr">
        <is>
          <t>Ст-032</t>
        </is>
      </c>
      <c r="G377" s="37" t="inlineStr">
        <is>
          <t>повторение</t>
        </is>
      </c>
      <c r="H377" s="11" t="inlineStr">
        <is>
          <t>She likes sweets</t>
        </is>
      </c>
      <c r="I377" s="37" t="inlineStr">
        <is>
          <t>10+</t>
        </is>
      </c>
      <c r="J377" s="11">
        <f>IFERROR(INDEX('Уроки'!$H:$H,MATCH(F377,'Уроки'!$A:$A,0)),"")</f>
        <v/>
      </c>
      <c r="K377" s="11">
        <f>IFERROR(INDEX('Уроки'!$J:$J,MATCH(F377,'Уроки'!$A:$A,0)),"")</f>
        <v/>
      </c>
      <c r="L377" s="11" t="inlineStr">
        <is>
          <t>Spotlight / 6 класс / Module 4 · Day after day / Present Simple / Present Simple: значение — постоянные состояния и действия</t>
        </is>
      </c>
    </row>
    <row r="378">
      <c r="A378" s="37" t="n">
        <v>6</v>
      </c>
      <c r="B378" s="11" t="inlineStr">
        <is>
          <t>Module 4 · Day after day</t>
        </is>
      </c>
      <c r="C378" s="11" t="inlineStr">
        <is>
          <t>4a</t>
        </is>
      </c>
      <c r="D378" s="11" t="inlineStr">
        <is>
          <t>Present Simple</t>
        </is>
      </c>
      <c r="E378" s="35" t="inlineStr">
        <is>
          <t>Present Simple: значение — непреложные истины и законы природы</t>
        </is>
      </c>
      <c r="F378" s="11" t="inlineStr">
        <is>
          <t>Ст-033</t>
        </is>
      </c>
      <c r="G378" s="37" t="inlineStr">
        <is>
          <t>повторение</t>
        </is>
      </c>
      <c r="H378" s="11" t="inlineStr">
        <is>
          <t>The sun sets in the west</t>
        </is>
      </c>
      <c r="I378" s="37" t="inlineStr">
        <is>
          <t>10+</t>
        </is>
      </c>
      <c r="J378" s="11">
        <f>IFERROR(INDEX('Уроки'!$H:$H,MATCH(F378,'Уроки'!$A:$A,0)),"")</f>
        <v/>
      </c>
      <c r="K378" s="11">
        <f>IFERROR(INDEX('Уроки'!$J:$J,MATCH(F378,'Уроки'!$A:$A,0)),"")</f>
        <v/>
      </c>
      <c r="L378" s="11" t="inlineStr">
        <is>
          <t>Spotlight / 6 класс / Module 4 · Day after day / Present Simple / Present Simple: значение — непреложные истины и законы природы</t>
        </is>
      </c>
    </row>
    <row r="379">
      <c r="A379" s="37" t="n">
        <v>6</v>
      </c>
      <c r="B379" s="11" t="inlineStr">
        <is>
          <t>Module 4 · Day after day</t>
        </is>
      </c>
      <c r="C379" s="11" t="inlineStr">
        <is>
          <t>4a</t>
        </is>
      </c>
      <c r="D379" s="11" t="inlineStr">
        <is>
          <t>Adverbs of frequency</t>
        </is>
      </c>
      <c r="E379" s="33" t="inlineStr">
        <is>
          <t>Adverbs of frequency: значение — never, sometimes, usually, often, always</t>
        </is>
      </c>
      <c r="F379" s="11" t="inlineStr">
        <is>
          <t>Ст-436</t>
        </is>
      </c>
      <c r="G379" s="37" t="inlineStr">
        <is>
          <t>повторение</t>
        </is>
      </c>
      <c r="H379" s="11" t="inlineStr"/>
      <c r="I379" s="37" t="inlineStr">
        <is>
          <t>10+</t>
        </is>
      </c>
      <c r="J379" s="11">
        <f>IFERROR(INDEX('Уроки'!$H:$H,MATCH(F379,'Уроки'!$A:$A,0)),"")</f>
        <v/>
      </c>
      <c r="K379" s="11">
        <f>IFERROR(INDEX('Уроки'!$J:$J,MATCH(F379,'Уроки'!$A:$A,0)),"")</f>
        <v/>
      </c>
      <c r="L379" s="11" t="inlineStr">
        <is>
          <t>Spotlight / 6 класс / Module 4 · Day after day / Adverbs of frequency / Adverbs of frequency: значение — never, sometimes, usually, often, always</t>
        </is>
      </c>
    </row>
    <row r="380">
      <c r="A380" s="37" t="n">
        <v>6</v>
      </c>
      <c r="B380" s="11" t="inlineStr">
        <is>
          <t>Module 4 · Day after day</t>
        </is>
      </c>
      <c r="C380" s="11" t="inlineStr">
        <is>
          <t>4a</t>
        </is>
      </c>
      <c r="D380" s="11" t="inlineStr">
        <is>
          <t>Adverbs of frequency</t>
        </is>
      </c>
      <c r="E380" s="33" t="inlineStr">
        <is>
          <t>Adverbs of frequency: место — перед смысловым глаголом, после be</t>
        </is>
      </c>
      <c r="F380" s="11" t="inlineStr">
        <is>
          <t>Ст-437</t>
        </is>
      </c>
      <c r="G380" s="37" t="inlineStr">
        <is>
          <t>повторение</t>
        </is>
      </c>
      <c r="H380" s="11" t="inlineStr"/>
      <c r="I380" s="37" t="inlineStr">
        <is>
          <t>10+</t>
        </is>
      </c>
      <c r="J380" s="11">
        <f>IFERROR(INDEX('Уроки'!$H:$H,MATCH(F380,'Уроки'!$A:$A,0)),"")</f>
        <v/>
      </c>
      <c r="K380" s="11">
        <f>IFERROR(INDEX('Уроки'!$J:$J,MATCH(F380,'Уроки'!$A:$A,0)),"")</f>
        <v/>
      </c>
      <c r="L380" s="11" t="inlineStr">
        <is>
          <t>Spotlight / 6 класс / Module 4 · Day after day / Adverbs of frequency / Adverbs of frequency: место — перед смысловым глаголом, после be</t>
        </is>
      </c>
    </row>
    <row r="381">
      <c r="A381" s="37" t="n">
        <v>6</v>
      </c>
      <c r="B381" s="11" t="inlineStr">
        <is>
          <t>Module 4 · Day after day</t>
        </is>
      </c>
      <c r="C381" s="11" t="inlineStr">
        <is>
          <t>4a</t>
        </is>
      </c>
      <c r="D381" s="11" t="inlineStr">
        <is>
          <t>Adverbs of frequency</t>
        </is>
      </c>
      <c r="E381" s="35" t="inlineStr">
        <is>
          <t>Adverbs of frequency: место — после вспомогательных и модальных глаголов</t>
        </is>
      </c>
      <c r="F381" s="11" t="inlineStr">
        <is>
          <t>Ст-438</t>
        </is>
      </c>
      <c r="G381" s="37" t="inlineStr">
        <is>
          <t>повторение</t>
        </is>
      </c>
      <c r="H381" s="11" t="inlineStr">
        <is>
          <t>He can never wake up…</t>
        </is>
      </c>
      <c r="I381" s="37" t="inlineStr">
        <is>
          <t>10+</t>
        </is>
      </c>
      <c r="J381" s="11">
        <f>IFERROR(INDEX('Уроки'!$H:$H,MATCH(F381,'Уроки'!$A:$A,0)),"")</f>
        <v/>
      </c>
      <c r="K381" s="11">
        <f>IFERROR(INDEX('Уроки'!$J:$J,MATCH(F381,'Уроки'!$A:$A,0)),"")</f>
        <v/>
      </c>
      <c r="L381" s="11" t="inlineStr">
        <is>
          <t>Spotlight / 6 класс / Module 4 · Day after day / Adverbs of frequency / Adverbs of frequency: место — после вспомогательных и модальных глаголов</t>
        </is>
      </c>
    </row>
    <row r="382">
      <c r="A382" s="37" t="n">
        <v>6</v>
      </c>
      <c r="B382" s="11" t="inlineStr">
        <is>
          <t>Module 4 · Day after day</t>
        </is>
      </c>
      <c r="C382" s="11" t="inlineStr">
        <is>
          <t>4a</t>
        </is>
      </c>
      <c r="D382" s="11" t="inlineStr">
        <is>
          <t>Adverbs of frequency</t>
        </is>
      </c>
      <c r="E382" s="35" t="inlineStr">
        <is>
          <t>Adverbs of frequency: seldom / rarely</t>
        </is>
      </c>
      <c r="F382" s="11" t="inlineStr">
        <is>
          <t>Ст-439</t>
        </is>
      </c>
      <c r="G382" s="40" t="inlineStr">
        <is>
          <t>новое</t>
        </is>
      </c>
      <c r="H382" s="11" t="inlineStr">
        <is>
          <t>seldom, rarely</t>
        </is>
      </c>
      <c r="I382" s="37" t="inlineStr">
        <is>
          <t>10+</t>
        </is>
      </c>
      <c r="J382" s="11">
        <f>IFERROR(INDEX('Уроки'!$H:$H,MATCH(F382,'Уроки'!$A:$A,0)),"")</f>
        <v/>
      </c>
      <c r="K382" s="11">
        <f>IFERROR(INDEX('Уроки'!$J:$J,MATCH(F382,'Уроки'!$A:$A,0)),"")</f>
        <v/>
      </c>
      <c r="L382" s="11" t="inlineStr">
        <is>
          <t>Spotlight / 6 класс / Module 4 · Day after day / Adverbs of frequency / Adverbs of frequency: seldom / rarely</t>
        </is>
      </c>
    </row>
    <row r="383">
      <c r="A383" s="37" t="n">
        <v>6</v>
      </c>
      <c r="B383" s="11" t="inlineStr">
        <is>
          <t>Module 4 · Day after day</t>
        </is>
      </c>
      <c r="C383" s="11" t="inlineStr">
        <is>
          <t>4c</t>
        </is>
      </c>
      <c r="D383" s="11" t="inlineStr">
        <is>
          <t>Linkers</t>
        </is>
      </c>
      <c r="E383" s="33" t="inlineStr">
        <is>
          <t>Linkers: слова-связки времени (and, then, after that, when, before, later)</t>
        </is>
      </c>
      <c r="F383" s="11" t="inlineStr">
        <is>
          <t>Ст-525</t>
        </is>
      </c>
      <c r="G383" s="40" t="inlineStr">
        <is>
          <t>новое</t>
        </is>
      </c>
      <c r="H383" s="11" t="inlineStr">
        <is>
          <t>and, then, after that, when, before, later; because/so в справочнике нет</t>
        </is>
      </c>
      <c r="I383" s="37" t="inlineStr">
        <is>
          <t>10+</t>
        </is>
      </c>
      <c r="J383" s="11">
        <f>IFERROR(INDEX('Уроки'!$H:$H,MATCH(F383,'Уроки'!$A:$A,0)),"")</f>
        <v/>
      </c>
      <c r="K383" s="11">
        <f>IFERROR(INDEX('Уроки'!$J:$J,MATCH(F383,'Уроки'!$A:$A,0)),"")</f>
        <v/>
      </c>
      <c r="L383" s="11" t="inlineStr">
        <is>
          <t>Spotlight / 6 класс / Module 4 · Day after day / Linkers / Linkers: слова-связки времени (and, then, after that, when, before, later)</t>
        </is>
      </c>
    </row>
    <row r="384">
      <c r="A384" s="37" t="n">
        <v>6</v>
      </c>
      <c r="B384" s="11" t="inlineStr">
        <is>
          <t>Module 5 · Feasts</t>
        </is>
      </c>
      <c r="C384" s="11" t="inlineStr">
        <is>
          <t>5a</t>
        </is>
      </c>
      <c r="D384" s="11" t="inlineStr">
        <is>
          <t>Present Continuous</t>
        </is>
      </c>
      <c r="E384" s="35" t="inlineStr">
        <is>
          <t>Present Continuous: утверждение (am/is/are + V-ing)</t>
        </is>
      </c>
      <c r="F384" s="11" t="inlineStr">
        <is>
          <t>Ст-015</t>
        </is>
      </c>
      <c r="G384" s="37" t="inlineStr">
        <is>
          <t>повторение</t>
        </is>
      </c>
      <c r="H384" s="11" t="inlineStr">
        <is>
          <t>сокращённые формы I'm, you're, he's…</t>
        </is>
      </c>
      <c r="I384" s="37" t="inlineStr">
        <is>
          <t>10+</t>
        </is>
      </c>
      <c r="J384" s="11">
        <f>IFERROR(INDEX('Уроки'!$H:$H,MATCH(F384,'Уроки'!$A:$A,0)),"")</f>
        <v/>
      </c>
      <c r="K384" s="11">
        <f>IFERROR(INDEX('Уроки'!$J:$J,MATCH(F384,'Уроки'!$A:$A,0)),"")</f>
        <v/>
      </c>
      <c r="L384" s="11" t="inlineStr">
        <is>
          <t>Spotlight / 6 класс / Module 5 · Feasts / Present Continuous / Present Continuous: утверждение (am/is/are + V-ing)</t>
        </is>
      </c>
    </row>
    <row r="385">
      <c r="A385" s="37" t="n">
        <v>6</v>
      </c>
      <c r="B385" s="11" t="inlineStr">
        <is>
          <t>Module 5 · Feasts</t>
        </is>
      </c>
      <c r="C385" s="11" t="inlineStr">
        <is>
          <t>5b</t>
        </is>
      </c>
      <c r="D385" s="11" t="inlineStr">
        <is>
          <t>Present Continuous</t>
        </is>
      </c>
      <c r="E385" s="35" t="inlineStr">
        <is>
          <t>Present Continuous: отрицание (I'm not / isn't / aren't)</t>
        </is>
      </c>
      <c r="F385" s="11" t="inlineStr">
        <is>
          <t>Ст-016</t>
        </is>
      </c>
      <c r="G385" s="37" t="inlineStr">
        <is>
          <t>повторение</t>
        </is>
      </c>
      <c r="H385" s="11" t="inlineStr"/>
      <c r="I385" s="37" t="inlineStr">
        <is>
          <t>10+</t>
        </is>
      </c>
      <c r="J385" s="11">
        <f>IFERROR(INDEX('Уроки'!$H:$H,MATCH(F385,'Уроки'!$A:$A,0)),"")</f>
        <v/>
      </c>
      <c r="K385" s="11">
        <f>IFERROR(INDEX('Уроки'!$J:$J,MATCH(F385,'Уроки'!$A:$A,0)),"")</f>
        <v/>
      </c>
      <c r="L385" s="11" t="inlineStr">
        <is>
          <t>Spotlight / 6 класс / Module 5 · Feasts / Present Continuous / Present Continuous: отрицание (I'm not / isn't / aren't)</t>
        </is>
      </c>
    </row>
    <row r="386">
      <c r="A386" s="37" t="n">
        <v>6</v>
      </c>
      <c r="B386" s="11" t="inlineStr">
        <is>
          <t>Module 5 · Feasts</t>
        </is>
      </c>
      <c r="C386" s="11" t="inlineStr">
        <is>
          <t>5b</t>
        </is>
      </c>
      <c r="D386" s="11" t="inlineStr">
        <is>
          <t>Present Continuous</t>
        </is>
      </c>
      <c r="E386" s="35" t="inlineStr">
        <is>
          <t>Present Continuous: общие вопросы (Am/Is/Are …?)</t>
        </is>
      </c>
      <c r="F386" s="11" t="inlineStr">
        <is>
          <t>Ст-017</t>
        </is>
      </c>
      <c r="G386" s="37" t="inlineStr">
        <is>
          <t>повторение</t>
        </is>
      </c>
      <c r="H386" s="11" t="inlineStr"/>
      <c r="I386" s="37" t="inlineStr">
        <is>
          <t>10+</t>
        </is>
      </c>
      <c r="J386" s="11">
        <f>IFERROR(INDEX('Уроки'!$H:$H,MATCH(F386,'Уроки'!$A:$A,0)),"")</f>
        <v/>
      </c>
      <c r="K386" s="11">
        <f>IFERROR(INDEX('Уроки'!$J:$J,MATCH(F386,'Уроки'!$A:$A,0)),"")</f>
        <v/>
      </c>
      <c r="L386" s="11" t="inlineStr">
        <is>
          <t>Spotlight / 6 класс / Module 5 · Feasts / Present Continuous / Present Continuous: общие вопросы (Am/Is/Are …?)</t>
        </is>
      </c>
    </row>
    <row r="387">
      <c r="A387" s="37" t="n">
        <v>6</v>
      </c>
      <c r="B387" s="11" t="inlineStr">
        <is>
          <t>Module 5 · Feasts</t>
        </is>
      </c>
      <c r="C387" s="11" t="inlineStr">
        <is>
          <t>5b</t>
        </is>
      </c>
      <c r="D387" s="11" t="inlineStr">
        <is>
          <t>Present Continuous</t>
        </is>
      </c>
      <c r="E387" s="35" t="inlineStr">
        <is>
          <t>Present Continuous: краткие ответы (Yes, I am / No, he isn't)</t>
        </is>
      </c>
      <c r="F387" s="11" t="inlineStr">
        <is>
          <t>Ст-018</t>
        </is>
      </c>
      <c r="G387" s="37" t="inlineStr">
        <is>
          <t>повторение</t>
        </is>
      </c>
      <c r="H387" s="11" t="inlineStr"/>
      <c r="I387" s="37" t="inlineStr">
        <is>
          <t>10+</t>
        </is>
      </c>
      <c r="J387" s="11">
        <f>IFERROR(INDEX('Уроки'!$H:$H,MATCH(F387,'Уроки'!$A:$A,0)),"")</f>
        <v/>
      </c>
      <c r="K387" s="11">
        <f>IFERROR(INDEX('Уроки'!$J:$J,MATCH(F387,'Уроки'!$A:$A,0)),"")</f>
        <v/>
      </c>
      <c r="L387" s="11" t="inlineStr">
        <is>
          <t>Spotlight / 6 класс / Module 5 · Feasts / Present Continuous / Present Continuous: краткие ответы (Yes, I am / No, he isn't)</t>
        </is>
      </c>
    </row>
    <row r="388">
      <c r="A388" s="37" t="n">
        <v>6</v>
      </c>
      <c r="B388" s="11" t="inlineStr">
        <is>
          <t>Module 5 · Feasts</t>
        </is>
      </c>
      <c r="C388" s="11" t="inlineStr">
        <is>
          <t>5b</t>
        </is>
      </c>
      <c r="D388" s="11" t="inlineStr">
        <is>
          <t>Present Continuous</t>
        </is>
      </c>
      <c r="E388" s="35" t="inlineStr">
        <is>
          <t>Present Continuous: орфография -ing</t>
        </is>
      </c>
      <c r="F388" s="11" t="inlineStr">
        <is>
          <t>Ст-019</t>
        </is>
      </c>
      <c r="G388" s="37" t="inlineStr">
        <is>
          <t>повторение</t>
        </is>
      </c>
      <c r="H388" s="11" t="inlineStr"/>
      <c r="I388" s="37" t="inlineStr">
        <is>
          <t>10+</t>
        </is>
      </c>
      <c r="J388" s="11">
        <f>IFERROR(INDEX('Уроки'!$H:$H,MATCH(F388,'Уроки'!$A:$A,0)),"")</f>
        <v/>
      </c>
      <c r="K388" s="11">
        <f>IFERROR(INDEX('Уроки'!$J:$J,MATCH(F388,'Уроки'!$A:$A,0)),"")</f>
        <v/>
      </c>
      <c r="L388" s="11" t="inlineStr">
        <is>
          <t>Spotlight / 6 класс / Module 5 · Feasts / Present Continuous / Present Continuous: орфография -ing</t>
        </is>
      </c>
    </row>
    <row r="389">
      <c r="A389" s="37" t="n">
        <v>6</v>
      </c>
      <c r="B389" s="11" t="inlineStr">
        <is>
          <t>Module 5 · Feasts</t>
        </is>
      </c>
      <c r="C389" s="11" t="inlineStr">
        <is>
          <t>5b</t>
        </is>
      </c>
      <c r="D389" s="11" t="inlineStr">
        <is>
          <t>Present Continuous</t>
        </is>
      </c>
      <c r="E389" s="33" t="inlineStr">
        <is>
          <t>Present Continuous: значение — действие сейчас (now)</t>
        </is>
      </c>
      <c r="F389" s="11" t="inlineStr">
        <is>
          <t>Ст-020</t>
        </is>
      </c>
      <c r="G389" s="37" t="inlineStr">
        <is>
          <t>повторение</t>
        </is>
      </c>
      <c r="H389" s="11" t="inlineStr">
        <is>
          <t>now, at the moment, still</t>
        </is>
      </c>
      <c r="I389" s="37" t="inlineStr">
        <is>
          <t>10+</t>
        </is>
      </c>
      <c r="J389" s="11">
        <f>IFERROR(INDEX('Уроки'!$H:$H,MATCH(F389,'Уроки'!$A:$A,0)),"")</f>
        <v/>
      </c>
      <c r="K389" s="11">
        <f>IFERROR(INDEX('Уроки'!$J:$J,MATCH(F389,'Уроки'!$A:$A,0)),"")</f>
        <v/>
      </c>
      <c r="L389" s="11" t="inlineStr">
        <is>
          <t>Spotlight / 6 класс / Module 5 · Feasts / Present Continuous / Present Continuous: значение — действие сейчас (now)</t>
        </is>
      </c>
    </row>
    <row r="390">
      <c r="A390" s="37" t="n">
        <v>6</v>
      </c>
      <c r="B390" s="11" t="inlineStr">
        <is>
          <t>Module 5 · Feasts</t>
        </is>
      </c>
      <c r="C390" s="11" t="inlineStr">
        <is>
          <t>5b</t>
        </is>
      </c>
      <c r="D390" s="11" t="inlineStr">
        <is>
          <t>Present Continuous</t>
        </is>
      </c>
      <c r="E390" s="33" t="inlineStr">
        <is>
          <t>Present Continuous: значение — действие в настоящий период (these days)</t>
        </is>
      </c>
      <c r="F390" s="11" t="inlineStr">
        <is>
          <t>Ст-021</t>
        </is>
      </c>
      <c r="G390" s="41" t="inlineStr">
        <is>
          <t>расширение</t>
        </is>
      </c>
      <c r="H390" s="11" t="inlineStr">
        <is>
          <t>сигнальные слова: these days, at present</t>
        </is>
      </c>
      <c r="I390" s="37" t="inlineStr">
        <is>
          <t>10+</t>
        </is>
      </c>
      <c r="J390" s="11">
        <f>IFERROR(INDEX('Уроки'!$H:$H,MATCH(F390,'Уроки'!$A:$A,0)),"")</f>
        <v/>
      </c>
      <c r="K390" s="11">
        <f>IFERROR(INDEX('Уроки'!$J:$J,MATCH(F390,'Уроки'!$A:$A,0)),"")</f>
        <v/>
      </c>
      <c r="L390" s="11" t="inlineStr">
        <is>
          <t>Spotlight / 6 класс / Module 5 · Feasts / Present Continuous / Present Continuous: значение — действие в настоящий период (these days)</t>
        </is>
      </c>
    </row>
    <row r="391">
      <c r="A391" s="37" t="n">
        <v>6</v>
      </c>
      <c r="B391" s="11" t="inlineStr">
        <is>
          <t>Module 5 · Feasts</t>
        </is>
      </c>
      <c r="C391" s="11" t="inlineStr">
        <is>
          <t>5b</t>
        </is>
      </c>
      <c r="D391" s="11" t="inlineStr">
        <is>
          <t>Present Continuous</t>
        </is>
      </c>
      <c r="E391" s="33" t="inlineStr">
        <is>
          <t>Present Continuous: значение — запланированное будущее</t>
        </is>
      </c>
      <c r="F391" s="11" t="inlineStr">
        <is>
          <t>Ст-022</t>
        </is>
      </c>
      <c r="G391" s="40" t="inlineStr">
        <is>
          <t>новое</t>
        </is>
      </c>
      <c r="H391" s="11" t="inlineStr">
        <is>
          <t>I'm playing tennis on Saturday; tonight</t>
        </is>
      </c>
      <c r="I391" s="37" t="inlineStr">
        <is>
          <t>10+</t>
        </is>
      </c>
      <c r="J391" s="11">
        <f>IFERROR(INDEX('Уроки'!$H:$H,MATCH(F391,'Уроки'!$A:$A,0)),"")</f>
        <v/>
      </c>
      <c r="K391" s="11">
        <f>IFERROR(INDEX('Уроки'!$J:$J,MATCH(F391,'Уроки'!$A:$A,0)),"")</f>
        <v/>
      </c>
      <c r="L391" s="11" t="inlineStr">
        <is>
          <t>Spotlight / 6 класс / Module 5 · Feasts / Present Continuous / Present Continuous: значение — запланированное будущее</t>
        </is>
      </c>
    </row>
    <row r="392">
      <c r="A392" s="37" t="n">
        <v>6</v>
      </c>
      <c r="B392" s="11" t="inlineStr">
        <is>
          <t>Module 6 · Leisure activities</t>
        </is>
      </c>
      <c r="C392" s="11" t="inlineStr">
        <is>
          <t>6b</t>
        </is>
      </c>
      <c r="D392" s="11" t="inlineStr">
        <is>
          <t>Present Simple vs Present Continuous</t>
        </is>
      </c>
      <c r="E392" s="33" t="inlineStr">
        <is>
          <t>Present Simple vs Present Continuous: привычка vs сейчас</t>
        </is>
      </c>
      <c r="F392" s="11" t="inlineStr">
        <is>
          <t>Ст-051</t>
        </is>
      </c>
      <c r="G392" s="37" t="inlineStr">
        <is>
          <t>повторение</t>
        </is>
      </c>
      <c r="H392" s="11" t="inlineStr"/>
      <c r="I392" s="37" t="inlineStr">
        <is>
          <t>10+</t>
        </is>
      </c>
      <c r="J392" s="11">
        <f>IFERROR(INDEX('Уроки'!$H:$H,MATCH(F392,'Уроки'!$A:$A,0)),"")</f>
        <v/>
      </c>
      <c r="K392" s="11">
        <f>IFERROR(INDEX('Уроки'!$J:$J,MATCH(F392,'Уроки'!$A:$A,0)),"")</f>
        <v/>
      </c>
      <c r="L392" s="11" t="inlineStr">
        <is>
          <t>Spotlight / 6 класс / Module 6 · Leisure activities / Present Simple vs Present Continuous / Present Simple vs Present Continuous: привычка vs сейчас</t>
        </is>
      </c>
    </row>
    <row r="393">
      <c r="A393" s="37" t="n">
        <v>6</v>
      </c>
      <c r="B393" s="11" t="inlineStr">
        <is>
          <t>Module 6 · Leisure activities</t>
        </is>
      </c>
      <c r="C393" s="11" t="inlineStr">
        <is>
          <t>6b</t>
        </is>
      </c>
      <c r="D393" s="11" t="inlineStr">
        <is>
          <t>Present Simple vs Present Continuous</t>
        </is>
      </c>
      <c r="E393" s="35" t="inlineStr">
        <is>
          <t>Present Simple vs Present Continuous: постоянное состояние vs временная ситуация</t>
        </is>
      </c>
      <c r="F393" s="11" t="inlineStr">
        <is>
          <t>Ст-052</t>
        </is>
      </c>
      <c r="G393" s="37" t="inlineStr">
        <is>
          <t>повторение</t>
        </is>
      </c>
      <c r="H393" s="11" t="inlineStr"/>
      <c r="I393" s="37" t="inlineStr">
        <is>
          <t>10+</t>
        </is>
      </c>
      <c r="J393" s="11">
        <f>IFERROR(INDEX('Уроки'!$H:$H,MATCH(F393,'Уроки'!$A:$A,0)),"")</f>
        <v/>
      </c>
      <c r="K393" s="11">
        <f>IFERROR(INDEX('Уроки'!$J:$J,MATCH(F393,'Уроки'!$A:$A,0)),"")</f>
        <v/>
      </c>
      <c r="L393" s="11" t="inlineStr">
        <is>
          <t>Spotlight / 6 класс / Module 6 · Leisure activities / Present Simple vs Present Continuous / Present Simple vs Present Continuous: постоянное состояние vs временная ситуация</t>
        </is>
      </c>
    </row>
    <row r="394">
      <c r="A394" s="37" t="n">
        <v>6</v>
      </c>
      <c r="B394" s="11" t="inlineStr">
        <is>
          <t>Module 6 · Leisure activities</t>
        </is>
      </c>
      <c r="C394" s="11" t="inlineStr"/>
      <c r="D394" s="11" t="inlineStr">
        <is>
          <t>Stative verbs</t>
        </is>
      </c>
      <c r="E394" s="33" t="inlineStr">
        <is>
          <t>Stative verbs: глаголы состояния не употребляются в Continuous</t>
        </is>
      </c>
      <c r="F394" s="11" t="inlineStr">
        <is>
          <t>Ст-075</t>
        </is>
      </c>
      <c r="G394" s="40" t="inlineStr">
        <is>
          <t>новое</t>
        </is>
      </c>
      <c r="H394" s="11" t="inlineStr">
        <is>
          <t>like, want, know, love</t>
        </is>
      </c>
      <c r="I394" s="37" t="inlineStr">
        <is>
          <t>10+</t>
        </is>
      </c>
      <c r="J394" s="11">
        <f>IFERROR(INDEX('Уроки'!$H:$H,MATCH(F394,'Уроки'!$A:$A,0)),"")</f>
        <v/>
      </c>
      <c r="K394" s="11">
        <f>IFERROR(INDEX('Уроки'!$J:$J,MATCH(F394,'Уроки'!$A:$A,0)),"")</f>
        <v/>
      </c>
      <c r="L394" s="11" t="inlineStr">
        <is>
          <t>Spotlight / 6 класс / Module 6 · Leisure activities / Stative verbs / Stative verbs: глаголы состояния не употребляются в Continuous</t>
        </is>
      </c>
    </row>
    <row r="395">
      <c r="A395" s="37" t="n">
        <v>6</v>
      </c>
      <c r="B395" s="11" t="inlineStr">
        <is>
          <t>Module 6 · Leisure activities</t>
        </is>
      </c>
      <c r="C395" s="11" t="inlineStr">
        <is>
          <t>6a</t>
        </is>
      </c>
      <c r="D395" s="11" t="inlineStr">
        <is>
          <t>Word formation</t>
        </is>
      </c>
      <c r="E395" s="33" t="inlineStr">
        <is>
          <t>Word formation: compound nouns</t>
        </is>
      </c>
      <c r="F395" s="11" t="inlineStr">
        <is>
          <t>Ст-611</t>
        </is>
      </c>
      <c r="G395" s="37" t="inlineStr">
        <is>
          <t>повторение</t>
        </is>
      </c>
      <c r="H395" s="11" t="inlineStr">
        <is>
          <t>Сложные существительные (compound nouns).</t>
        </is>
      </c>
      <c r="I395" s="37" t="inlineStr">
        <is>
          <t>10+</t>
        </is>
      </c>
      <c r="J395" s="11">
        <f>IFERROR(INDEX('Уроки'!$H:$H,MATCH(F395,'Уроки'!$A:$A,0)),"")</f>
        <v/>
      </c>
      <c r="K395" s="11">
        <f>IFERROR(INDEX('Уроки'!$J:$J,MATCH(F395,'Уроки'!$A:$A,0)),"")</f>
        <v/>
      </c>
      <c r="L395" s="11" t="inlineStr">
        <is>
          <t>Spotlight / 6 класс / Module 6 · Leisure activities / Word formation / Word formation: compound nouns</t>
        </is>
      </c>
    </row>
    <row r="396">
      <c r="A396" s="37" t="n">
        <v>6</v>
      </c>
      <c r="B396" s="11" t="inlineStr">
        <is>
          <t>Module 7 · Now and then</t>
        </is>
      </c>
      <c r="C396" s="11" t="inlineStr">
        <is>
          <t>7a</t>
        </is>
      </c>
      <c r="D396" s="11" t="inlineStr">
        <is>
          <t>Past Simple</t>
        </is>
      </c>
      <c r="E396" s="33" t="inlineStr">
        <is>
          <t>Past Simple: правильные глаголы — утверждение (-ed)</t>
        </is>
      </c>
      <c r="F396" s="11" t="inlineStr">
        <is>
          <t>Ст-001</t>
        </is>
      </c>
      <c r="G396" s="37" t="inlineStr">
        <is>
          <t>повторение</t>
        </is>
      </c>
      <c r="H396" s="11" t="inlineStr"/>
      <c r="I396" s="37" t="inlineStr">
        <is>
          <t>10+</t>
        </is>
      </c>
      <c r="J396" s="11">
        <f>IFERROR(INDEX('Уроки'!$H:$H,MATCH(F396,'Уроки'!$A:$A,0)),"")</f>
        <v/>
      </c>
      <c r="K396" s="11">
        <f>IFERROR(INDEX('Уроки'!$J:$J,MATCH(F396,'Уроки'!$A:$A,0)),"")</f>
        <v/>
      </c>
      <c r="L396" s="11" t="inlineStr">
        <is>
          <t>Spotlight / 6 класс / Module 7 · Now and then / Past Simple / Past Simple: правильные глаголы — утверждение (-ed)</t>
        </is>
      </c>
    </row>
    <row r="397">
      <c r="A397" s="37" t="n">
        <v>6</v>
      </c>
      <c r="B397" s="11" t="inlineStr">
        <is>
          <t>Module 7 · Now and then</t>
        </is>
      </c>
      <c r="C397" s="11" t="inlineStr">
        <is>
          <t>7a</t>
        </is>
      </c>
      <c r="D397" s="11" t="inlineStr">
        <is>
          <t>Past Simple</t>
        </is>
      </c>
      <c r="E397" s="35" t="inlineStr">
        <is>
          <t>Past Simple: правильные глаголы — отрицание (didn't + V)</t>
        </is>
      </c>
      <c r="F397" s="11" t="inlineStr">
        <is>
          <t>Ст-002</t>
        </is>
      </c>
      <c r="G397" s="37" t="inlineStr">
        <is>
          <t>повторение</t>
        </is>
      </c>
      <c r="H397" s="11" t="inlineStr"/>
      <c r="I397" s="37" t="inlineStr">
        <is>
          <t>10+</t>
        </is>
      </c>
      <c r="J397" s="11">
        <f>IFERROR(INDEX('Уроки'!$H:$H,MATCH(F397,'Уроки'!$A:$A,0)),"")</f>
        <v/>
      </c>
      <c r="K397" s="11">
        <f>IFERROR(INDEX('Уроки'!$J:$J,MATCH(F397,'Уроки'!$A:$A,0)),"")</f>
        <v/>
      </c>
      <c r="L397" s="11" t="inlineStr">
        <is>
          <t>Spotlight / 6 класс / Module 7 · Now and then / Past Simple / Past Simple: правильные глаголы — отрицание (didn't + V)</t>
        </is>
      </c>
    </row>
    <row r="398">
      <c r="A398" s="37" t="n">
        <v>6</v>
      </c>
      <c r="B398" s="11" t="inlineStr">
        <is>
          <t>Module 7 · Now and then</t>
        </is>
      </c>
      <c r="C398" s="11" t="inlineStr">
        <is>
          <t>7a</t>
        </is>
      </c>
      <c r="D398" s="11" t="inlineStr">
        <is>
          <t>Past Simple</t>
        </is>
      </c>
      <c r="E398" s="35" t="inlineStr">
        <is>
          <t>Past Simple: правильные глаголы — вопросы (Did …?)</t>
        </is>
      </c>
      <c r="F398" s="11" t="inlineStr">
        <is>
          <t>Ст-003</t>
        </is>
      </c>
      <c r="G398" s="37" t="inlineStr">
        <is>
          <t>повторение</t>
        </is>
      </c>
      <c r="H398" s="11" t="inlineStr"/>
      <c r="I398" s="37" t="inlineStr">
        <is>
          <t>10+</t>
        </is>
      </c>
      <c r="J398" s="11">
        <f>IFERROR(INDEX('Уроки'!$H:$H,MATCH(F398,'Уроки'!$A:$A,0)),"")</f>
        <v/>
      </c>
      <c r="K398" s="11">
        <f>IFERROR(INDEX('Уроки'!$J:$J,MATCH(F398,'Уроки'!$A:$A,0)),"")</f>
        <v/>
      </c>
      <c r="L398" s="11" t="inlineStr">
        <is>
          <t>Spotlight / 6 класс / Module 7 · Now and then / Past Simple / Past Simple: правильные глаголы — вопросы (Did …?)</t>
        </is>
      </c>
    </row>
    <row r="399">
      <c r="A399" s="37" t="n">
        <v>6</v>
      </c>
      <c r="B399" s="11" t="inlineStr">
        <is>
          <t>Module 7 · Now and then</t>
        </is>
      </c>
      <c r="C399" s="11" t="inlineStr">
        <is>
          <t>7a, 7b</t>
        </is>
      </c>
      <c r="D399" s="11" t="inlineStr">
        <is>
          <t>Past Simple</t>
        </is>
      </c>
      <c r="E399" s="35" t="inlineStr">
        <is>
          <t>Past Simple: краткие ответы (Yes, I did / No, I didn't)</t>
        </is>
      </c>
      <c r="F399" s="11" t="inlineStr">
        <is>
          <t>Ст-004</t>
        </is>
      </c>
      <c r="G399" s="37" t="inlineStr">
        <is>
          <t>повторение</t>
        </is>
      </c>
      <c r="H399" s="11" t="inlineStr"/>
      <c r="I399" s="37" t="inlineStr">
        <is>
          <t>10+</t>
        </is>
      </c>
      <c r="J399" s="11">
        <f>IFERROR(INDEX('Уроки'!$H:$H,MATCH(F399,'Уроки'!$A:$A,0)),"")</f>
        <v/>
      </c>
      <c r="K399" s="11">
        <f>IFERROR(INDEX('Уроки'!$J:$J,MATCH(F399,'Уроки'!$A:$A,0)),"")</f>
        <v/>
      </c>
      <c r="L399" s="11" t="inlineStr">
        <is>
          <t>Spotlight / 6 класс / Module 7 · Now and then / Past Simple / Past Simple: краткие ответы (Yes, I did / No, I didn't)</t>
        </is>
      </c>
    </row>
    <row r="400">
      <c r="A400" s="37" t="n">
        <v>6</v>
      </c>
      <c r="B400" s="11" t="inlineStr">
        <is>
          <t>Module 7 · Now and then</t>
        </is>
      </c>
      <c r="C400" s="11" t="inlineStr">
        <is>
          <t>7a</t>
        </is>
      </c>
      <c r="D400" s="11" t="inlineStr">
        <is>
          <t>Past Simple</t>
        </is>
      </c>
      <c r="E400" s="33" t="inlineStr">
        <is>
          <t>Past Simple: орфография -ed</t>
        </is>
      </c>
      <c r="F400" s="11" t="inlineStr">
        <is>
          <t>Ст-005</t>
        </is>
      </c>
      <c r="G400" s="37" t="inlineStr">
        <is>
          <t>повторение</t>
        </is>
      </c>
      <c r="H400" s="11" t="inlineStr">
        <is>
          <t>+ travel – travelled</t>
        </is>
      </c>
      <c r="I400" s="37" t="inlineStr">
        <is>
          <t>10+</t>
        </is>
      </c>
      <c r="J400" s="11">
        <f>IFERROR(INDEX('Уроки'!$H:$H,MATCH(F400,'Уроки'!$A:$A,0)),"")</f>
        <v/>
      </c>
      <c r="K400" s="11">
        <f>IFERROR(INDEX('Уроки'!$J:$J,MATCH(F400,'Уроки'!$A:$A,0)),"")</f>
        <v/>
      </c>
      <c r="L400" s="11" t="inlineStr">
        <is>
          <t>Spotlight / 6 класс / Module 7 · Now and then / Past Simple / Past Simple: орфография -ed</t>
        </is>
      </c>
    </row>
    <row r="401">
      <c r="A401" s="37" t="n">
        <v>6</v>
      </c>
      <c r="B401" s="11" t="inlineStr">
        <is>
          <t>Module 7 · Now and then</t>
        </is>
      </c>
      <c r="C401" s="11" t="inlineStr">
        <is>
          <t>7b</t>
        </is>
      </c>
      <c r="D401" s="11" t="inlineStr">
        <is>
          <t>Past Simple</t>
        </is>
      </c>
      <c r="E401" s="33" t="inlineStr">
        <is>
          <t>Past Simple: неправильные глаголы — утверждение</t>
        </is>
      </c>
      <c r="F401" s="11" t="inlineStr">
        <is>
          <t>Ст-006</t>
        </is>
      </c>
      <c r="G401" s="41" t="inlineStr">
        <is>
          <t>расширение</t>
        </is>
      </c>
      <c r="H401" s="11" t="inlineStr">
        <is>
          <t>таблица ≈80 глаголов (V1–V2), новые: beat, bite, blow, burn, fight, grow, hit, hold, throw…</t>
        </is>
      </c>
      <c r="I401" s="37" t="inlineStr">
        <is>
          <t>10+</t>
        </is>
      </c>
      <c r="J401" s="11">
        <f>IFERROR(INDEX('Уроки'!$H:$H,MATCH(F401,'Уроки'!$A:$A,0)),"")</f>
        <v/>
      </c>
      <c r="K401" s="11">
        <f>IFERROR(INDEX('Уроки'!$J:$J,MATCH(F401,'Уроки'!$A:$A,0)),"")</f>
        <v/>
      </c>
      <c r="L401" s="11" t="inlineStr">
        <is>
          <t>Spotlight / 6 класс / Module 7 · Now and then / Past Simple / Past Simple: неправильные глаголы — утверждение</t>
        </is>
      </c>
    </row>
    <row r="402">
      <c r="A402" s="37" t="n">
        <v>6</v>
      </c>
      <c r="B402" s="11" t="inlineStr">
        <is>
          <t>Module 7 · Now and then</t>
        </is>
      </c>
      <c r="C402" s="11" t="inlineStr">
        <is>
          <t>7b</t>
        </is>
      </c>
      <c r="D402" s="11" t="inlineStr">
        <is>
          <t>Past Simple</t>
        </is>
      </c>
      <c r="E402" s="35" t="inlineStr">
        <is>
          <t>Past Simple: неправильные глаголы — отрицание (didn't go)</t>
        </is>
      </c>
      <c r="F402" s="11" t="inlineStr">
        <is>
          <t>Ст-007</t>
        </is>
      </c>
      <c r="G402" s="37" t="inlineStr">
        <is>
          <t>повторение</t>
        </is>
      </c>
      <c r="H402" s="11" t="inlineStr"/>
      <c r="I402" s="37" t="inlineStr">
        <is>
          <t>10+</t>
        </is>
      </c>
      <c r="J402" s="11">
        <f>IFERROR(INDEX('Уроки'!$H:$H,MATCH(F402,'Уроки'!$A:$A,0)),"")</f>
        <v/>
      </c>
      <c r="K402" s="11">
        <f>IFERROR(INDEX('Уроки'!$J:$J,MATCH(F402,'Уроки'!$A:$A,0)),"")</f>
        <v/>
      </c>
      <c r="L402" s="11" t="inlineStr">
        <is>
          <t>Spotlight / 6 класс / Module 7 · Now and then / Past Simple / Past Simple: неправильные глаголы — отрицание (didn't go)</t>
        </is>
      </c>
    </row>
    <row r="403">
      <c r="A403" s="37" t="n">
        <v>6</v>
      </c>
      <c r="B403" s="11" t="inlineStr">
        <is>
          <t>Module 7 · Now and then</t>
        </is>
      </c>
      <c r="C403" s="11" t="inlineStr">
        <is>
          <t>7b</t>
        </is>
      </c>
      <c r="D403" s="11" t="inlineStr">
        <is>
          <t>Past Simple</t>
        </is>
      </c>
      <c r="E403" s="35" t="inlineStr">
        <is>
          <t>Past Simple: неправильные глаголы — вопросы (Did … go?)</t>
        </is>
      </c>
      <c r="F403" s="11" t="inlineStr">
        <is>
          <t>Ст-008</t>
        </is>
      </c>
      <c r="G403" s="37" t="inlineStr">
        <is>
          <t>повторение</t>
        </is>
      </c>
      <c r="H403" s="11" t="inlineStr"/>
      <c r="I403" s="37" t="inlineStr">
        <is>
          <t>10+</t>
        </is>
      </c>
      <c r="J403" s="11">
        <f>IFERROR(INDEX('Уроки'!$H:$H,MATCH(F403,'Уроки'!$A:$A,0)),"")</f>
        <v/>
      </c>
      <c r="K403" s="11">
        <f>IFERROR(INDEX('Уроки'!$J:$J,MATCH(F403,'Уроки'!$A:$A,0)),"")</f>
        <v/>
      </c>
      <c r="L403" s="11" t="inlineStr">
        <is>
          <t>Spotlight / 6 класс / Module 7 · Now and then / Past Simple / Past Simple: неправильные глаголы — вопросы (Did … go?)</t>
        </is>
      </c>
    </row>
    <row r="404">
      <c r="A404" s="37" t="n">
        <v>6</v>
      </c>
      <c r="B404" s="11" t="inlineStr">
        <is>
          <t>Module 7 · Now and then</t>
        </is>
      </c>
      <c r="C404" s="11" t="inlineStr">
        <is>
          <t>7a</t>
        </is>
      </c>
      <c r="D404" s="11" t="inlineStr">
        <is>
          <t>Past Simple</t>
        </is>
      </c>
      <c r="E404" s="33" t="inlineStr">
        <is>
          <t>Past Simple: значение — действие в прошлом (yesterday, ago)</t>
        </is>
      </c>
      <c r="F404" s="11" t="inlineStr">
        <is>
          <t>Ст-010</t>
        </is>
      </c>
      <c r="G404" s="37" t="inlineStr">
        <is>
          <t>повторение</t>
        </is>
      </c>
      <c r="H404" s="11" t="inlineStr">
        <is>
          <t>мы знаем, когда: He left yesterday</t>
        </is>
      </c>
      <c r="I404" s="37" t="inlineStr">
        <is>
          <t>10+</t>
        </is>
      </c>
      <c r="J404" s="11">
        <f>IFERROR(INDEX('Уроки'!$H:$H,MATCH(F404,'Уроки'!$A:$A,0)),"")</f>
        <v/>
      </c>
      <c r="K404" s="11">
        <f>IFERROR(INDEX('Уроки'!$J:$J,MATCH(F404,'Уроки'!$A:$A,0)),"")</f>
        <v/>
      </c>
      <c r="L404" s="11" t="inlineStr">
        <is>
          <t>Spotlight / 6 класс / Module 7 · Now and then / Past Simple / Past Simple: значение — действие в прошлом (yesterday, ago)</t>
        </is>
      </c>
    </row>
    <row r="405">
      <c r="A405" s="37" t="n">
        <v>6</v>
      </c>
      <c r="B405" s="11" t="inlineStr">
        <is>
          <t>Module 7 · Now and then</t>
        </is>
      </c>
      <c r="C405" s="11" t="inlineStr">
        <is>
          <t>7a</t>
        </is>
      </c>
      <c r="D405" s="11" t="inlineStr">
        <is>
          <t>to be (Past: was/were)</t>
        </is>
      </c>
      <c r="E405" s="35" t="inlineStr">
        <is>
          <t>to be (Past): утверждение — was / were</t>
        </is>
      </c>
      <c r="F405" s="11" t="inlineStr">
        <is>
          <t>Ст-131</t>
        </is>
      </c>
      <c r="G405" s="37" t="inlineStr">
        <is>
          <t>повторение</t>
        </is>
      </c>
      <c r="H405" s="11" t="inlineStr"/>
      <c r="I405" s="37" t="inlineStr">
        <is>
          <t>10+</t>
        </is>
      </c>
      <c r="J405" s="11">
        <f>IFERROR(INDEX('Уроки'!$H:$H,MATCH(F405,'Уроки'!$A:$A,0)),"")</f>
        <v/>
      </c>
      <c r="K405" s="11">
        <f>IFERROR(INDEX('Уроки'!$J:$J,MATCH(F405,'Уроки'!$A:$A,0)),"")</f>
        <v/>
      </c>
      <c r="L405" s="11" t="inlineStr">
        <is>
          <t>Spotlight / 6 класс / Module 7 · Now and then / to be (Past: was/were) / to be (Past): утверждение — was / were</t>
        </is>
      </c>
    </row>
    <row r="406">
      <c r="A406" s="37" t="n">
        <v>6</v>
      </c>
      <c r="B406" s="11" t="inlineStr">
        <is>
          <t>Module 7 · Now and then</t>
        </is>
      </c>
      <c r="C406" s="11" t="inlineStr">
        <is>
          <t>7a</t>
        </is>
      </c>
      <c r="D406" s="11" t="inlineStr">
        <is>
          <t>to be (Past: was/were)</t>
        </is>
      </c>
      <c r="E406" s="35" t="inlineStr">
        <is>
          <t>to be (Past): отрицание — wasn't / weren't</t>
        </is>
      </c>
      <c r="F406" s="11" t="inlineStr">
        <is>
          <t>Ст-132</t>
        </is>
      </c>
      <c r="G406" s="37" t="inlineStr">
        <is>
          <t>повторение</t>
        </is>
      </c>
      <c r="H406" s="11" t="inlineStr"/>
      <c r="I406" s="37" t="inlineStr">
        <is>
          <t>10+</t>
        </is>
      </c>
      <c r="J406" s="11">
        <f>IFERROR(INDEX('Уроки'!$H:$H,MATCH(F406,'Уроки'!$A:$A,0)),"")</f>
        <v/>
      </c>
      <c r="K406" s="11">
        <f>IFERROR(INDEX('Уроки'!$J:$J,MATCH(F406,'Уроки'!$A:$A,0)),"")</f>
        <v/>
      </c>
      <c r="L406" s="11" t="inlineStr">
        <is>
          <t>Spotlight / 6 класс / Module 7 · Now and then / to be (Past: was/were) / to be (Past): отрицание — wasn't / weren't</t>
        </is>
      </c>
    </row>
    <row r="407">
      <c r="A407" s="37" t="n">
        <v>6</v>
      </c>
      <c r="B407" s="11" t="inlineStr">
        <is>
          <t>Module 7 · Now and then</t>
        </is>
      </c>
      <c r="C407" s="11" t="inlineStr">
        <is>
          <t>7a</t>
        </is>
      </c>
      <c r="D407" s="11" t="inlineStr">
        <is>
          <t>to be (Past: was/were)</t>
        </is>
      </c>
      <c r="E407" s="35" t="inlineStr">
        <is>
          <t>to be (Past): вопросы и краткие ответы</t>
        </is>
      </c>
      <c r="F407" s="11" t="inlineStr">
        <is>
          <t>Ст-133</t>
        </is>
      </c>
      <c r="G407" s="37" t="inlineStr">
        <is>
          <t>повторение</t>
        </is>
      </c>
      <c r="H407" s="11" t="inlineStr"/>
      <c r="I407" s="37" t="inlineStr">
        <is>
          <t>10+</t>
        </is>
      </c>
      <c r="J407" s="11">
        <f>IFERROR(INDEX('Уроки'!$H:$H,MATCH(F407,'Уроки'!$A:$A,0)),"")</f>
        <v/>
      </c>
      <c r="K407" s="11">
        <f>IFERROR(INDEX('Уроки'!$J:$J,MATCH(F407,'Уроки'!$A:$A,0)),"")</f>
        <v/>
      </c>
      <c r="L407" s="11" t="inlineStr">
        <is>
          <t>Spotlight / 6 класс / Module 7 · Now and then / to be (Past: was/were) / to be (Past): вопросы и краткие ответы</t>
        </is>
      </c>
    </row>
    <row r="408">
      <c r="A408" s="37" t="n">
        <v>6</v>
      </c>
      <c r="B408" s="11" t="inlineStr">
        <is>
          <t>Module 8 · Rules &amp; regulations</t>
        </is>
      </c>
      <c r="C408" s="11" t="inlineStr">
        <is>
          <t>8c</t>
        </is>
      </c>
      <c r="D408" s="11" t="inlineStr">
        <is>
          <t>have to</t>
        </is>
      </c>
      <c r="E408" s="33" t="inlineStr">
        <is>
          <t>have to: значение — необходимость из-за обстоятельств (утверждение)</t>
        </is>
      </c>
      <c r="F408" s="11" t="inlineStr">
        <is>
          <t>Ст-137</t>
        </is>
      </c>
      <c r="G408" s="41" t="inlineStr">
        <is>
          <t>расширение</t>
        </is>
      </c>
      <c r="H408" s="11" t="inlineStr">
        <is>
          <t>вынужденность согласно обстоятельствам</t>
        </is>
      </c>
      <c r="I408" s="37" t="inlineStr">
        <is>
          <t>10+</t>
        </is>
      </c>
      <c r="J408" s="11">
        <f>IFERROR(INDEX('Уроки'!$H:$H,MATCH(F408,'Уроки'!$A:$A,0)),"")</f>
        <v/>
      </c>
      <c r="K408" s="11">
        <f>IFERROR(INDEX('Уроки'!$J:$J,MATCH(F408,'Уроки'!$A:$A,0)),"")</f>
        <v/>
      </c>
      <c r="L408" s="11" t="inlineStr">
        <is>
          <t>Spotlight / 6 класс / Module 8 · Rules &amp; regulations / have to / have to: значение — необходимость из-за обстоятельств (утверждение)</t>
        </is>
      </c>
    </row>
    <row r="409">
      <c r="A409" s="37" t="n">
        <v>6</v>
      </c>
      <c r="B409" s="11" t="inlineStr">
        <is>
          <t>Module 8 · Rules &amp; regulations</t>
        </is>
      </c>
      <c r="C409" s="11" t="inlineStr">
        <is>
          <t>8c</t>
        </is>
      </c>
      <c r="D409" s="11" t="inlineStr">
        <is>
          <t>have to</t>
        </is>
      </c>
      <c r="E409" s="33" t="inlineStr">
        <is>
          <t>have to: don't / doesn't have to — отсутствие необходимости</t>
        </is>
      </c>
      <c r="F409" s="11" t="inlineStr">
        <is>
          <t>Ст-138</t>
        </is>
      </c>
      <c r="G409" s="37" t="inlineStr">
        <is>
          <t>повторение</t>
        </is>
      </c>
      <c r="H409" s="11" t="inlineStr">
        <is>
          <t>You don't have to wash the dishes</t>
        </is>
      </c>
      <c r="I409" s="37" t="inlineStr">
        <is>
          <t>10+</t>
        </is>
      </c>
      <c r="J409" s="11">
        <f>IFERROR(INDEX('Уроки'!$H:$H,MATCH(F409,'Уроки'!$A:$A,0)),"")</f>
        <v/>
      </c>
      <c r="K409" s="11">
        <f>IFERROR(INDEX('Уроки'!$J:$J,MATCH(F409,'Уроки'!$A:$A,0)),"")</f>
        <v/>
      </c>
      <c r="L409" s="11" t="inlineStr">
        <is>
          <t>Spotlight / 6 класс / Module 8 · Rules &amp; regulations / have to / have to: don't / doesn't have to — отсутствие необходимости</t>
        </is>
      </c>
    </row>
    <row r="410">
      <c r="A410" s="37" t="n">
        <v>6</v>
      </c>
      <c r="B410" s="11" t="inlineStr">
        <is>
          <t>Module 8 · Rules &amp; regulations</t>
        </is>
      </c>
      <c r="C410" s="11" t="inlineStr">
        <is>
          <t>8a</t>
        </is>
      </c>
      <c r="D410" s="11" t="inlineStr">
        <is>
          <t>must/mustn't</t>
        </is>
      </c>
      <c r="E410" s="33" t="inlineStr">
        <is>
          <t>must/mustn't: must — обязанность, необходимость</t>
        </is>
      </c>
      <c r="F410" s="11" t="inlineStr">
        <is>
          <t>Ст-146</t>
        </is>
      </c>
      <c r="G410" s="37" t="inlineStr">
        <is>
          <t>повторение</t>
        </is>
      </c>
      <c r="H410" s="11" t="inlineStr">
        <is>
          <t>You must listen to your teacher</t>
        </is>
      </c>
      <c r="I410" s="37" t="inlineStr">
        <is>
          <t>10+</t>
        </is>
      </c>
      <c r="J410" s="11">
        <f>IFERROR(INDEX('Уроки'!$H:$H,MATCH(F410,'Уроки'!$A:$A,0)),"")</f>
        <v/>
      </c>
      <c r="K410" s="11">
        <f>IFERROR(INDEX('Уроки'!$J:$J,MATCH(F410,'Уроки'!$A:$A,0)),"")</f>
        <v/>
      </c>
      <c r="L410" s="11" t="inlineStr">
        <is>
          <t>Spotlight / 6 класс / Module 8 · Rules &amp; regulations / must/mustn't / must/mustn't: must — обязанность, необходимость</t>
        </is>
      </c>
    </row>
    <row r="411">
      <c r="A411" s="37" t="n">
        <v>6</v>
      </c>
      <c r="B411" s="11" t="inlineStr">
        <is>
          <t>Module 8 · Rules &amp; regulations</t>
        </is>
      </c>
      <c r="C411" s="11" t="inlineStr">
        <is>
          <t>8a</t>
        </is>
      </c>
      <c r="D411" s="11" t="inlineStr">
        <is>
          <t>must/mustn't</t>
        </is>
      </c>
      <c r="E411" s="33" t="inlineStr">
        <is>
          <t>must/mustn't: mustn't — запрет</t>
        </is>
      </c>
      <c r="F411" s="11" t="inlineStr">
        <is>
          <t>Ст-147</t>
        </is>
      </c>
      <c r="G411" s="37" t="inlineStr">
        <is>
          <t>повторение</t>
        </is>
      </c>
      <c r="H411" s="11" t="inlineStr"/>
      <c r="I411" s="37" t="inlineStr">
        <is>
          <t>10+</t>
        </is>
      </c>
      <c r="J411" s="11">
        <f>IFERROR(INDEX('Уроки'!$H:$H,MATCH(F411,'Уроки'!$A:$A,0)),"")</f>
        <v/>
      </c>
      <c r="K411" s="11">
        <f>IFERROR(INDEX('Уроки'!$J:$J,MATCH(F411,'Уроки'!$A:$A,0)),"")</f>
        <v/>
      </c>
      <c r="L411" s="11" t="inlineStr">
        <is>
          <t>Spotlight / 6 класс / Module 8 · Rules &amp; regulations / must/mustn't / must/mustn't: mustn't — запрет</t>
        </is>
      </c>
    </row>
    <row r="412">
      <c r="A412" s="37" t="n">
        <v>6</v>
      </c>
      <c r="B412" s="11" t="inlineStr">
        <is>
          <t>Module 8 · Rules &amp; regulations</t>
        </is>
      </c>
      <c r="C412" s="11" t="inlineStr">
        <is>
          <t>8a</t>
        </is>
      </c>
      <c r="D412" s="11" t="inlineStr">
        <is>
          <t>must/mustn't</t>
        </is>
      </c>
      <c r="E412" s="35" t="inlineStr">
        <is>
          <t>must/mustn't: can't как запрет (= mustn't)</t>
        </is>
      </c>
      <c r="F412" s="11" t="inlineStr">
        <is>
          <t>Ст-148</t>
        </is>
      </c>
      <c r="G412" s="40" t="inlineStr">
        <is>
          <t>новое</t>
        </is>
      </c>
      <c r="H412" s="11" t="inlineStr">
        <is>
          <t>You can't enter the building after 8 pm</t>
        </is>
      </c>
      <c r="I412" s="37" t="inlineStr">
        <is>
          <t>10+</t>
        </is>
      </c>
      <c r="J412" s="11">
        <f>IFERROR(INDEX('Уроки'!$H:$H,MATCH(F412,'Уроки'!$A:$A,0)),"")</f>
        <v/>
      </c>
      <c r="K412" s="11">
        <f>IFERROR(INDEX('Уроки'!$J:$J,MATCH(F412,'Уроки'!$A:$A,0)),"")</f>
        <v/>
      </c>
      <c r="L412" s="11" t="inlineStr">
        <is>
          <t>Spotlight / 6 класс / Module 8 · Rules &amp; regulations / must/mustn't / must/mustn't: can't как запрет (= mustn't)</t>
        </is>
      </c>
    </row>
    <row r="413">
      <c r="A413" s="37" t="n">
        <v>6</v>
      </c>
      <c r="B413" s="11" t="inlineStr">
        <is>
          <t>Module 8 · Rules &amp; regulations</t>
        </is>
      </c>
      <c r="C413" s="11" t="inlineStr">
        <is>
          <t>8c</t>
        </is>
      </c>
      <c r="D413" s="11" t="inlineStr">
        <is>
          <t>need/needn't</t>
        </is>
      </c>
      <c r="E413" s="35" t="inlineStr">
        <is>
          <t>need/needn't: needn't / don't need to — нет необходимости (наст./буд.)</t>
        </is>
      </c>
      <c r="F413" s="11" t="inlineStr">
        <is>
          <t>Ст-158</t>
        </is>
      </c>
      <c r="G413" s="40" t="inlineStr">
        <is>
          <t>новое</t>
        </is>
      </c>
      <c r="H413" s="11" t="inlineStr">
        <is>
          <t>только needn't (как и don't have to)</t>
        </is>
      </c>
      <c r="I413" s="37" t="inlineStr">
        <is>
          <t>10+</t>
        </is>
      </c>
      <c r="J413" s="11">
        <f>IFERROR(INDEX('Уроки'!$H:$H,MATCH(F413,'Уроки'!$A:$A,0)),"")</f>
        <v/>
      </c>
      <c r="K413" s="11">
        <f>IFERROR(INDEX('Уроки'!$J:$J,MATCH(F413,'Уроки'!$A:$A,0)),"")</f>
        <v/>
      </c>
      <c r="L413" s="11" t="inlineStr">
        <is>
          <t>Spotlight / 6 класс / Module 8 · Rules &amp; regulations / need/needn't / need/needn't: needn't / don't need to — нет необходимости (наст./буд.)</t>
        </is>
      </c>
    </row>
    <row r="414">
      <c r="A414" s="37" t="n">
        <v>6</v>
      </c>
      <c r="B414" s="11" t="inlineStr">
        <is>
          <t>Module 8 · Rules &amp; regulations</t>
        </is>
      </c>
      <c r="C414" s="11" t="inlineStr">
        <is>
          <t>8b</t>
        </is>
      </c>
      <c r="D414" s="11" t="inlineStr">
        <is>
          <t>Comparatives &amp; Superlatives</t>
        </is>
      </c>
      <c r="E414" s="33" t="inlineStr">
        <is>
          <t>Comparatives &amp; Superlatives: сравнительная степень — -er + than</t>
        </is>
      </c>
      <c r="F414" s="11" t="inlineStr">
        <is>
          <t>Ст-441</t>
        </is>
      </c>
      <c r="G414" s="37" t="inlineStr">
        <is>
          <t>повторение</t>
        </is>
      </c>
      <c r="H414" s="11" t="inlineStr"/>
      <c r="I414" s="37" t="inlineStr">
        <is>
          <t>10+</t>
        </is>
      </c>
      <c r="J414" s="11">
        <f>IFERROR(INDEX('Уроки'!$H:$H,MATCH(F414,'Уроки'!$A:$A,0)),"")</f>
        <v/>
      </c>
      <c r="K414" s="11">
        <f>IFERROR(INDEX('Уроки'!$J:$J,MATCH(F414,'Уроки'!$A:$A,0)),"")</f>
        <v/>
      </c>
      <c r="L414" s="11" t="inlineStr">
        <is>
          <t>Spotlight / 6 класс / Module 8 · Rules &amp; regulations / Comparatives &amp; Superlatives / Comparatives &amp; Superlatives: сравнительная степень — -er + than</t>
        </is>
      </c>
    </row>
    <row r="415">
      <c r="A415" s="37" t="n">
        <v>6</v>
      </c>
      <c r="B415" s="11" t="inlineStr">
        <is>
          <t>Module 8 · Rules &amp; regulations</t>
        </is>
      </c>
      <c r="C415" s="11" t="inlineStr">
        <is>
          <t>8b</t>
        </is>
      </c>
      <c r="D415" s="11" t="inlineStr">
        <is>
          <t>Comparatives &amp; Superlatives</t>
        </is>
      </c>
      <c r="E415" s="33" t="inlineStr">
        <is>
          <t>Comparatives &amp; Superlatives: сравнительная степень — more (многосложные)</t>
        </is>
      </c>
      <c r="F415" s="11" t="inlineStr">
        <is>
          <t>Ст-442</t>
        </is>
      </c>
      <c r="G415" s="37" t="inlineStr">
        <is>
          <t>повторение</t>
        </is>
      </c>
      <c r="H415" s="11" t="inlineStr"/>
      <c r="I415" s="37" t="inlineStr">
        <is>
          <t>10+</t>
        </is>
      </c>
      <c r="J415" s="11">
        <f>IFERROR(INDEX('Уроки'!$H:$H,MATCH(F415,'Уроки'!$A:$A,0)),"")</f>
        <v/>
      </c>
      <c r="K415" s="11">
        <f>IFERROR(INDEX('Уроки'!$J:$J,MATCH(F415,'Уроки'!$A:$A,0)),"")</f>
        <v/>
      </c>
      <c r="L415" s="11" t="inlineStr">
        <is>
          <t>Spotlight / 6 класс / Module 8 · Rules &amp; regulations / Comparatives &amp; Superlatives / Comparatives &amp; Superlatives: сравнительная степень — more (многосложные)</t>
        </is>
      </c>
    </row>
    <row r="416">
      <c r="A416" s="37" t="n">
        <v>6</v>
      </c>
      <c r="B416" s="11" t="inlineStr">
        <is>
          <t>Module 8 · Rules &amp; regulations</t>
        </is>
      </c>
      <c r="C416" s="11" t="inlineStr">
        <is>
          <t>8b</t>
        </is>
      </c>
      <c r="D416" s="11" t="inlineStr">
        <is>
          <t>Comparatives &amp; Superlatives</t>
        </is>
      </c>
      <c r="E416" s="35" t="inlineStr">
        <is>
          <t>Comparatives &amp; Superlatives: орфография -er/-est (удвоение, -e, y → i)</t>
        </is>
      </c>
      <c r="F416" s="11" t="inlineStr">
        <is>
          <t>Ст-443</t>
        </is>
      </c>
      <c r="G416" s="37" t="inlineStr">
        <is>
          <t>повторение</t>
        </is>
      </c>
      <c r="H416" s="11" t="inlineStr">
        <is>
          <t>safe – safer, early – earlier, big – bigger</t>
        </is>
      </c>
      <c r="I416" s="37" t="inlineStr">
        <is>
          <t>10+</t>
        </is>
      </c>
      <c r="J416" s="11">
        <f>IFERROR(INDEX('Уроки'!$H:$H,MATCH(F416,'Уроки'!$A:$A,0)),"")</f>
        <v/>
      </c>
      <c r="K416" s="11">
        <f>IFERROR(INDEX('Уроки'!$J:$J,MATCH(F416,'Уроки'!$A:$A,0)),"")</f>
        <v/>
      </c>
      <c r="L416" s="11" t="inlineStr">
        <is>
          <t>Spotlight / 6 класс / Module 8 · Rules &amp; regulations / Comparatives &amp; Superlatives / Comparatives &amp; Superlatives: орфография -er/-est (удвоение, -e, y → i)</t>
        </is>
      </c>
    </row>
    <row r="417">
      <c r="A417" s="37" t="n">
        <v>6</v>
      </c>
      <c r="B417" s="11" t="inlineStr">
        <is>
          <t>Module 8 · Rules &amp; regulations</t>
        </is>
      </c>
      <c r="C417" s="11" t="inlineStr">
        <is>
          <t>8b</t>
        </is>
      </c>
      <c r="D417" s="11" t="inlineStr">
        <is>
          <t>Comparatives &amp; Superlatives</t>
        </is>
      </c>
      <c r="E417" s="33" t="inlineStr">
        <is>
          <t>Comparatives &amp; Superlatives: превосходная степень — the -est + of/in</t>
        </is>
      </c>
      <c r="F417" s="11" t="inlineStr">
        <is>
          <t>Ст-444</t>
        </is>
      </c>
      <c r="G417" s="37" t="inlineStr">
        <is>
          <t>повторение</t>
        </is>
      </c>
      <c r="H417" s="11" t="inlineStr"/>
      <c r="I417" s="37" t="inlineStr">
        <is>
          <t>10+</t>
        </is>
      </c>
      <c r="J417" s="11">
        <f>IFERROR(INDEX('Уроки'!$H:$H,MATCH(F417,'Уроки'!$A:$A,0)),"")</f>
        <v/>
      </c>
      <c r="K417" s="11">
        <f>IFERROR(INDEX('Уроки'!$J:$J,MATCH(F417,'Уроки'!$A:$A,0)),"")</f>
        <v/>
      </c>
      <c r="L417" s="11" t="inlineStr">
        <is>
          <t>Spotlight / 6 класс / Module 8 · Rules &amp; regulations / Comparatives &amp; Superlatives / Comparatives &amp; Superlatives: превосходная степень — the -est + of/in</t>
        </is>
      </c>
    </row>
    <row r="418">
      <c r="A418" s="37" t="n">
        <v>6</v>
      </c>
      <c r="B418" s="11" t="inlineStr">
        <is>
          <t>Module 8 · Rules &amp; regulations</t>
        </is>
      </c>
      <c r="C418" s="11" t="inlineStr">
        <is>
          <t>8b</t>
        </is>
      </c>
      <c r="D418" s="11" t="inlineStr">
        <is>
          <t>Comparatives &amp; Superlatives</t>
        </is>
      </c>
      <c r="E418" s="33" t="inlineStr">
        <is>
          <t>Comparatives &amp; Superlatives: превосходная степень — the most</t>
        </is>
      </c>
      <c r="F418" s="11" t="inlineStr">
        <is>
          <t>Ст-445</t>
        </is>
      </c>
      <c r="G418" s="37" t="inlineStr">
        <is>
          <t>повторение</t>
        </is>
      </c>
      <c r="H418" s="11" t="inlineStr"/>
      <c r="I418" s="37" t="inlineStr">
        <is>
          <t>10+</t>
        </is>
      </c>
      <c r="J418" s="11">
        <f>IFERROR(INDEX('Уроки'!$H:$H,MATCH(F418,'Уроки'!$A:$A,0)),"")</f>
        <v/>
      </c>
      <c r="K418" s="11">
        <f>IFERROR(INDEX('Уроки'!$J:$J,MATCH(F418,'Уроки'!$A:$A,0)),"")</f>
        <v/>
      </c>
      <c r="L418" s="11" t="inlineStr">
        <is>
          <t>Spotlight / 6 класс / Module 8 · Rules &amp; regulations / Comparatives &amp; Superlatives / Comparatives &amp; Superlatives: превосходная степень — the most</t>
        </is>
      </c>
    </row>
    <row r="419">
      <c r="A419" s="37" t="n">
        <v>6</v>
      </c>
      <c r="B419" s="11" t="inlineStr">
        <is>
          <t>Module 8 · Rules &amp; regulations</t>
        </is>
      </c>
      <c r="C419" s="11" t="inlineStr">
        <is>
          <t>8b</t>
        </is>
      </c>
      <c r="D419" s="11" t="inlineStr">
        <is>
          <t>Comparatives &amp; Superlatives</t>
        </is>
      </c>
      <c r="E419" s="35" t="inlineStr">
        <is>
          <t>Comparatives &amp; Superlatives: неправильные прилагательные (good, bad, many/much, little)</t>
        </is>
      </c>
      <c r="F419" s="11" t="inlineStr">
        <is>
          <t>Ст-446</t>
        </is>
      </c>
      <c r="G419" s="37" t="inlineStr">
        <is>
          <t>повторение</t>
        </is>
      </c>
      <c r="H419" s="11" t="inlineStr">
        <is>
          <t>good, bad, many/much, little</t>
        </is>
      </c>
      <c r="I419" s="37" t="inlineStr">
        <is>
          <t>10+</t>
        </is>
      </c>
      <c r="J419" s="11">
        <f>IFERROR(INDEX('Уроки'!$H:$H,MATCH(F419,'Уроки'!$A:$A,0)),"")</f>
        <v/>
      </c>
      <c r="K419" s="11">
        <f>IFERROR(INDEX('Уроки'!$J:$J,MATCH(F419,'Уроки'!$A:$A,0)),"")</f>
        <v/>
      </c>
      <c r="L419" s="11" t="inlineStr">
        <is>
          <t>Spotlight / 6 класс / Module 8 · Rules &amp; regulations / Comparatives &amp; Superlatives / Comparatives &amp; Superlatives: неправильные прилагательные (good, bad, many/much, little)</t>
        </is>
      </c>
    </row>
    <row r="420">
      <c r="A420" s="37" t="n">
        <v>6</v>
      </c>
      <c r="B420" s="11" t="inlineStr">
        <is>
          <t>Module 8 · Rules &amp; regulations</t>
        </is>
      </c>
      <c r="C420" s="11" t="inlineStr">
        <is>
          <t>8b</t>
        </is>
      </c>
      <c r="D420" s="11" t="inlineStr">
        <is>
          <t>Comparatives &amp; Superlatives</t>
        </is>
      </c>
      <c r="E420" s="35" t="inlineStr">
        <is>
          <t>Comparatives &amp; Superlatives: двусложные на -y/-er/-ow — -er/-est</t>
        </is>
      </c>
      <c r="F420" s="11" t="inlineStr">
        <is>
          <t>Ст-447</t>
        </is>
      </c>
      <c r="G420" s="41" t="inlineStr">
        <is>
          <t>расширение</t>
        </is>
      </c>
      <c r="H420" s="11" t="inlineStr">
        <is>
          <t>добавлены двусложные на -er (pretty, …-er)</t>
        </is>
      </c>
      <c r="I420" s="37" t="inlineStr">
        <is>
          <t>10+</t>
        </is>
      </c>
      <c r="J420" s="11">
        <f>IFERROR(INDEX('Уроки'!$H:$H,MATCH(F420,'Уроки'!$A:$A,0)),"")</f>
        <v/>
      </c>
      <c r="K420" s="11">
        <f>IFERROR(INDEX('Уроки'!$J:$J,MATCH(F420,'Уроки'!$A:$A,0)),"")</f>
        <v/>
      </c>
      <c r="L420" s="11" t="inlineStr">
        <is>
          <t>Spotlight / 6 класс / Module 8 · Rules &amp; regulations / Comparatives &amp; Superlatives / Comparatives &amp; Superlatives: двусложные на -y/-er/-ow — -er/-est</t>
        </is>
      </c>
    </row>
    <row r="421">
      <c r="A421" s="37" t="n">
        <v>6</v>
      </c>
      <c r="B421" s="11" t="inlineStr">
        <is>
          <t>Module 9 · Food &amp; refreshments</t>
        </is>
      </c>
      <c r="C421" s="11" t="inlineStr">
        <is>
          <t>9b</t>
        </is>
      </c>
      <c r="D421" s="11" t="inlineStr">
        <is>
          <t>Present Simple vs Present Continuous</t>
        </is>
      </c>
      <c r="E421" s="33" t="inlineStr">
        <is>
          <t>Present Simple vs Present Continuous: привычка vs сейчас</t>
        </is>
      </c>
      <c r="F421" s="11" t="inlineStr">
        <is>
          <t>Ст-051</t>
        </is>
      </c>
      <c r="G421" s="37" t="inlineStr">
        <is>
          <t>повторение</t>
        </is>
      </c>
      <c r="H421" s="11" t="inlineStr">
        <is>
          <t>повторение 6b</t>
        </is>
      </c>
      <c r="I421" s="37" t="inlineStr">
        <is>
          <t>10+</t>
        </is>
      </c>
      <c r="J421" s="11">
        <f>IFERROR(INDEX('Уроки'!$H:$H,MATCH(F421,'Уроки'!$A:$A,0)),"")</f>
        <v/>
      </c>
      <c r="K421" s="11">
        <f>IFERROR(INDEX('Уроки'!$J:$J,MATCH(F421,'Уроки'!$A:$A,0)),"")</f>
        <v/>
      </c>
      <c r="L421" s="11" t="inlineStr">
        <is>
          <t>Spotlight / 6 класс / Module 9 · Food &amp; refreshments / Present Simple vs Present Continuous / Present Simple vs Present Continuous: привычка vs сейчас</t>
        </is>
      </c>
    </row>
    <row r="422">
      <c r="A422" s="37" t="n">
        <v>6</v>
      </c>
      <c r="B422" s="11" t="inlineStr">
        <is>
          <t>Module 9 · Food &amp; refreshments</t>
        </is>
      </c>
      <c r="C422" s="11" t="inlineStr">
        <is>
          <t>9b</t>
        </is>
      </c>
      <c r="D422" s="11" t="inlineStr">
        <is>
          <t>Present Simple vs Present Continuous</t>
        </is>
      </c>
      <c r="E422" s="35" t="inlineStr">
        <is>
          <t>Present Simple vs Present Continuous: постоянное состояние vs временная ситуация</t>
        </is>
      </c>
      <c r="F422" s="11" t="inlineStr">
        <is>
          <t>Ст-052</t>
        </is>
      </c>
      <c r="G422" s="37" t="inlineStr">
        <is>
          <t>повторение</t>
        </is>
      </c>
      <c r="H422" s="11" t="inlineStr">
        <is>
          <t>повторение 6b</t>
        </is>
      </c>
      <c r="I422" s="37" t="inlineStr">
        <is>
          <t>10+</t>
        </is>
      </c>
      <c r="J422" s="11">
        <f>IFERROR(INDEX('Уроки'!$H:$H,MATCH(F422,'Уроки'!$A:$A,0)),"")</f>
        <v/>
      </c>
      <c r="K422" s="11">
        <f>IFERROR(INDEX('Уроки'!$J:$J,MATCH(F422,'Уроки'!$A:$A,0)),"")</f>
        <v/>
      </c>
      <c r="L422" s="11" t="inlineStr">
        <is>
          <t>Spotlight / 6 класс / Module 9 · Food &amp; refreshments / Present Simple vs Present Continuous / Present Simple vs Present Continuous: постоянное состояние vs временная ситуация</t>
        </is>
      </c>
    </row>
    <row r="423">
      <c r="A423" s="37" t="n">
        <v>6</v>
      </c>
      <c r="B423" s="11" t="inlineStr">
        <is>
          <t>Module 9 · Food &amp; refreshments</t>
        </is>
      </c>
      <c r="C423" s="11" t="inlineStr">
        <is>
          <t>9a</t>
        </is>
      </c>
      <c r="D423" s="11" t="inlineStr">
        <is>
          <t>Countable / Uncountable nouns</t>
        </is>
      </c>
      <c r="E423" s="33" t="inlineStr">
        <is>
          <t>Countable / Uncountable: различие исчисляемых и неисчисляемых</t>
        </is>
      </c>
      <c r="F423" s="11" t="inlineStr">
        <is>
          <t>Ст-323</t>
        </is>
      </c>
      <c r="G423" s="37" t="inlineStr">
        <is>
          <t>повторение</t>
        </is>
      </c>
      <c r="H423" s="11" t="inlineStr"/>
      <c r="I423" s="37" t="inlineStr">
        <is>
          <t>10+</t>
        </is>
      </c>
      <c r="J423" s="11">
        <f>IFERROR(INDEX('Уроки'!$H:$H,MATCH(F423,'Уроки'!$A:$A,0)),"")</f>
        <v/>
      </c>
      <c r="K423" s="11">
        <f>IFERROR(INDEX('Уроки'!$J:$J,MATCH(F423,'Уроки'!$A:$A,0)),"")</f>
        <v/>
      </c>
      <c r="L423" s="11" t="inlineStr">
        <is>
          <t>Spotlight / 6 класс / Module 9 · Food &amp; refreshments / Countable / Uncountable nouns / Countable / Uncountable: различие исчисляемых и неисчисляемых</t>
        </is>
      </c>
    </row>
    <row r="424">
      <c r="A424" s="37" t="n">
        <v>6</v>
      </c>
      <c r="B424" s="11" t="inlineStr">
        <is>
          <t>Module 9 · Food &amp; refreshments</t>
        </is>
      </c>
      <c r="C424" s="11" t="inlineStr">
        <is>
          <t>9a</t>
        </is>
      </c>
      <c r="D424" s="11" t="inlineStr">
        <is>
          <t>Countable / Uncountable nouns</t>
        </is>
      </c>
      <c r="E424" s="33" t="inlineStr">
        <is>
          <t>Countable / Uncountable: неисчисляемые — еда и жидкости</t>
        </is>
      </c>
      <c r="F424" s="11" t="inlineStr">
        <is>
          <t>Ст-324</t>
        </is>
      </c>
      <c r="G424" s="41" t="inlineStr">
        <is>
          <t>расширение</t>
        </is>
      </c>
      <c r="H424" s="11" t="inlineStr">
        <is>
          <t>добавлены rain, snow</t>
        </is>
      </c>
      <c r="I424" s="37" t="inlineStr">
        <is>
          <t>10+</t>
        </is>
      </c>
      <c r="J424" s="11">
        <f>IFERROR(INDEX('Уроки'!$H:$H,MATCH(F424,'Уроки'!$A:$A,0)),"")</f>
        <v/>
      </c>
      <c r="K424" s="11">
        <f>IFERROR(INDEX('Уроки'!$J:$J,MATCH(F424,'Уроки'!$A:$A,0)),"")</f>
        <v/>
      </c>
      <c r="L424" s="11" t="inlineStr">
        <is>
          <t>Spotlight / 6 класс / Module 9 · Food &amp; refreshments / Countable / Uncountable nouns / Countable / Uncountable: неисчисляемые — еда и жидкости</t>
        </is>
      </c>
    </row>
    <row r="425">
      <c r="A425" s="37" t="n">
        <v>6</v>
      </c>
      <c r="B425" s="11" t="inlineStr">
        <is>
          <t>Module 9 · Food &amp; refreshments</t>
        </is>
      </c>
      <c r="C425" s="11" t="inlineStr">
        <is>
          <t>9a</t>
        </is>
      </c>
      <c r="D425" s="11" t="inlineStr">
        <is>
          <t>Countable / Uncountable nouns</t>
        </is>
      </c>
      <c r="E425" s="33" t="inlineStr">
        <is>
          <t>Countable / Uncountable: количество с неисчисляемыми (a jar of, a bottle of)</t>
        </is>
      </c>
      <c r="F425" s="11" t="inlineStr">
        <is>
          <t>Ст-325</t>
        </is>
      </c>
      <c r="G425" s="37" t="inlineStr">
        <is>
          <t>повторение</t>
        </is>
      </c>
      <c r="H425" s="11" t="inlineStr">
        <is>
          <t>тот же список</t>
        </is>
      </c>
      <c r="I425" s="37" t="inlineStr">
        <is>
          <t>10+</t>
        </is>
      </c>
      <c r="J425" s="11">
        <f>IFERROR(INDEX('Уроки'!$H:$H,MATCH(F425,'Уроки'!$A:$A,0)),"")</f>
        <v/>
      </c>
      <c r="K425" s="11">
        <f>IFERROR(INDEX('Уроки'!$J:$J,MATCH(F425,'Уроки'!$A:$A,0)),"")</f>
        <v/>
      </c>
      <c r="L425" s="11" t="inlineStr">
        <is>
          <t>Spotlight / 6 класс / Module 9 · Food &amp; refreshments / Countable / Uncountable nouns / Countable / Uncountable: количество с неисчисляемыми (a jar of, a bottle of)</t>
        </is>
      </c>
    </row>
    <row r="426">
      <c r="A426" s="37" t="n">
        <v>6</v>
      </c>
      <c r="B426" s="11" t="inlineStr">
        <is>
          <t>Module 9 · Food &amp; refreshments</t>
        </is>
      </c>
      <c r="C426" s="11" t="inlineStr">
        <is>
          <t>9a</t>
        </is>
      </c>
      <c r="D426" s="11" t="inlineStr">
        <is>
          <t>much/many/a lot of</t>
        </is>
      </c>
      <c r="E426" s="33" t="inlineStr">
        <is>
          <t>much/many/a lot of: a lot of / lots of — в утверждениях (исчисляемые и неисчисляемые)</t>
        </is>
      </c>
      <c r="F426" s="11" t="inlineStr">
        <is>
          <t>Ст-359</t>
        </is>
      </c>
      <c r="G426" s="41" t="inlineStr">
        <is>
          <t>расширение</t>
        </is>
      </c>
      <c r="H426" s="11" t="inlineStr">
        <is>
          <t>добавлено lots of</t>
        </is>
      </c>
      <c r="I426" s="37" t="inlineStr">
        <is>
          <t>10+</t>
        </is>
      </c>
      <c r="J426" s="11">
        <f>IFERROR(INDEX('Уроки'!$H:$H,MATCH(F426,'Уроки'!$A:$A,0)),"")</f>
        <v/>
      </c>
      <c r="K426" s="11">
        <f>IFERROR(INDEX('Уроки'!$J:$J,MATCH(F426,'Уроки'!$A:$A,0)),"")</f>
        <v/>
      </c>
      <c r="L426" s="11" t="inlineStr">
        <is>
          <t>Spotlight / 6 класс / Module 9 · Food &amp; refreshments / much/many/a lot of / much/many/a lot of: a lot of / lots of — в утверждениях (исчисляемые и неисчисляемые)</t>
        </is>
      </c>
    </row>
    <row r="427">
      <c r="A427" s="37" t="n">
        <v>6</v>
      </c>
      <c r="B427" s="11" t="inlineStr">
        <is>
          <t>Module 9 · Food &amp; refreshments</t>
        </is>
      </c>
      <c r="C427" s="11" t="inlineStr">
        <is>
          <t>9a</t>
        </is>
      </c>
      <c r="D427" s="11" t="inlineStr">
        <is>
          <t>much/many/a lot of</t>
        </is>
      </c>
      <c r="E427" s="33" t="inlineStr">
        <is>
          <t>much/many/a lot of: much/many — отрицание</t>
        </is>
      </c>
      <c r="F427" s="11" t="inlineStr">
        <is>
          <t>Ст-360</t>
        </is>
      </c>
      <c r="G427" s="37" t="inlineStr">
        <is>
          <t>повторение</t>
        </is>
      </c>
      <c r="H427" s="11" t="inlineStr">
        <is>
          <t>There isn't much sugar / aren't many books</t>
        </is>
      </c>
      <c r="I427" s="37" t="inlineStr">
        <is>
          <t>10+</t>
        </is>
      </c>
      <c r="J427" s="11">
        <f>IFERROR(INDEX('Уроки'!$H:$H,MATCH(F427,'Уроки'!$A:$A,0)),"")</f>
        <v/>
      </c>
      <c r="K427" s="11">
        <f>IFERROR(INDEX('Уроки'!$J:$J,MATCH(F427,'Уроки'!$A:$A,0)),"")</f>
        <v/>
      </c>
      <c r="L427" s="11" t="inlineStr">
        <is>
          <t>Spotlight / 6 класс / Module 9 · Food &amp; refreshments / much/many/a lot of / much/many/a lot of: much/many — отрицание</t>
        </is>
      </c>
    </row>
    <row r="428">
      <c r="A428" s="37" t="n">
        <v>6</v>
      </c>
      <c r="B428" s="11" t="inlineStr">
        <is>
          <t>Module 9 · Food &amp; refreshments</t>
        </is>
      </c>
      <c r="C428" s="11" t="inlineStr">
        <is>
          <t>9a</t>
        </is>
      </c>
      <c r="D428" s="11" t="inlineStr">
        <is>
          <t>much/many/a lot of</t>
        </is>
      </c>
      <c r="E428" s="33" t="inlineStr">
        <is>
          <t>much/many/a lot of: much/many — вопросы</t>
        </is>
      </c>
      <c r="F428" s="11" t="inlineStr">
        <is>
          <t>Ст-361</t>
        </is>
      </c>
      <c r="G428" s="37" t="inlineStr">
        <is>
          <t>повторение</t>
        </is>
      </c>
      <c r="H428" s="11" t="inlineStr">
        <is>
          <t>Are there many books on the shelf?</t>
        </is>
      </c>
      <c r="I428" s="37" t="inlineStr">
        <is>
          <t>10+</t>
        </is>
      </c>
      <c r="J428" s="11">
        <f>IFERROR(INDEX('Уроки'!$H:$H,MATCH(F428,'Уроки'!$A:$A,0)),"")</f>
        <v/>
      </c>
      <c r="K428" s="11">
        <f>IFERROR(INDEX('Уроки'!$J:$J,MATCH(F428,'Уроки'!$A:$A,0)),"")</f>
        <v/>
      </c>
      <c r="L428" s="11" t="inlineStr">
        <is>
          <t>Spotlight / 6 класс / Module 9 · Food &amp; refreshments / much/many/a lot of / much/many/a lot of: much/many — вопросы</t>
        </is>
      </c>
    </row>
    <row r="429">
      <c r="A429" s="37" t="n">
        <v>6</v>
      </c>
      <c r="B429" s="11" t="inlineStr">
        <is>
          <t>Module 9 · Food &amp; refreshments</t>
        </is>
      </c>
      <c r="C429" s="11" t="inlineStr">
        <is>
          <t>9a</t>
        </is>
      </c>
      <c r="D429" s="11" t="inlineStr">
        <is>
          <t>much/many/a lot of</t>
        </is>
      </c>
      <c r="E429" s="33" t="inlineStr">
        <is>
          <t>much/many/a lot of: How much? / How many?</t>
        </is>
      </c>
      <c r="F429" s="11" t="inlineStr">
        <is>
          <t>Ст-362</t>
        </is>
      </c>
      <c r="G429" s="37" t="inlineStr">
        <is>
          <t>повторение</t>
        </is>
      </c>
      <c r="H429" s="11" t="inlineStr">
        <is>
          <t>How much money…? How many boys…?</t>
        </is>
      </c>
      <c r="I429" s="37" t="inlineStr">
        <is>
          <t>10+</t>
        </is>
      </c>
      <c r="J429" s="11">
        <f>IFERROR(INDEX('Уроки'!$H:$H,MATCH(F429,'Уроки'!$A:$A,0)),"")</f>
        <v/>
      </c>
      <c r="K429" s="11">
        <f>IFERROR(INDEX('Уроки'!$J:$J,MATCH(F429,'Уроки'!$A:$A,0)),"")</f>
        <v/>
      </c>
      <c r="L429" s="11" t="inlineStr">
        <is>
          <t>Spotlight / 6 класс / Module 9 · Food &amp; refreshments / much/many/a lot of / much/many/a lot of: How much? / How many?</t>
        </is>
      </c>
    </row>
    <row r="430">
      <c r="A430" s="37" t="n">
        <v>6</v>
      </c>
      <c r="B430" s="11" t="inlineStr">
        <is>
          <t>Module 9 · Food &amp; refreshments</t>
        </is>
      </c>
      <c r="C430" s="11" t="inlineStr">
        <is>
          <t>9a</t>
        </is>
      </c>
      <c r="D430" s="11" t="inlineStr">
        <is>
          <t>a few/a little</t>
        </is>
      </c>
      <c r="E430" s="33" t="inlineStr">
        <is>
          <t>a few/a little: a few — с исчисляемыми мн. ч. («несколько»)</t>
        </is>
      </c>
      <c r="F430" s="11" t="inlineStr">
        <is>
          <t>Ст-377</t>
        </is>
      </c>
      <c r="G430" s="37" t="inlineStr">
        <is>
          <t>повторение</t>
        </is>
      </c>
      <c r="H430" s="11" t="inlineStr">
        <is>
          <t>в утверждениях, вопросах и отрицаниях</t>
        </is>
      </c>
      <c r="I430" s="37" t="inlineStr">
        <is>
          <t>10+</t>
        </is>
      </c>
      <c r="J430" s="11">
        <f>IFERROR(INDEX('Уроки'!$H:$H,MATCH(F430,'Уроки'!$A:$A,0)),"")</f>
        <v/>
      </c>
      <c r="K430" s="11">
        <f>IFERROR(INDEX('Уроки'!$J:$J,MATCH(F430,'Уроки'!$A:$A,0)),"")</f>
        <v/>
      </c>
      <c r="L430" s="11" t="inlineStr">
        <is>
          <t>Spotlight / 6 класс / Module 9 · Food &amp; refreshments / a few/a little / a few/a little: a few — с исчисляемыми мн. ч. («несколько»)</t>
        </is>
      </c>
    </row>
    <row r="431">
      <c r="A431" s="37" t="n">
        <v>6</v>
      </c>
      <c r="B431" s="11" t="inlineStr">
        <is>
          <t>Module 9 · Food &amp; refreshments</t>
        </is>
      </c>
      <c r="C431" s="11" t="inlineStr">
        <is>
          <t>9a</t>
        </is>
      </c>
      <c r="D431" s="11" t="inlineStr">
        <is>
          <t>a few/a little</t>
        </is>
      </c>
      <c r="E431" s="33" t="inlineStr">
        <is>
          <t>a few/a little: a little — с неисчисляемыми («немного»)</t>
        </is>
      </c>
      <c r="F431" s="11" t="inlineStr">
        <is>
          <t>Ст-378</t>
        </is>
      </c>
      <c r="G431" s="37" t="inlineStr">
        <is>
          <t>повторение</t>
        </is>
      </c>
      <c r="H431" s="11" t="inlineStr">
        <is>
          <t>There is a little water</t>
        </is>
      </c>
      <c r="I431" s="37" t="inlineStr">
        <is>
          <t>10+</t>
        </is>
      </c>
      <c r="J431" s="11">
        <f>IFERROR(INDEX('Уроки'!$H:$H,MATCH(F431,'Уроки'!$A:$A,0)),"")</f>
        <v/>
      </c>
      <c r="K431" s="11">
        <f>IFERROR(INDEX('Уроки'!$J:$J,MATCH(F431,'Уроки'!$A:$A,0)),"")</f>
        <v/>
      </c>
      <c r="L431" s="11" t="inlineStr">
        <is>
          <t>Spotlight / 6 класс / Module 9 · Food &amp; refreshments / a few/a little / a few/a little: a little — с неисчисляемыми («немного»)</t>
        </is>
      </c>
    </row>
    <row r="432">
      <c r="A432" s="37" t="n">
        <v>6</v>
      </c>
      <c r="B432" s="11" t="inlineStr">
        <is>
          <t>Module 10 · Holiday time</t>
        </is>
      </c>
      <c r="C432" s="11" t="inlineStr">
        <is>
          <t>10b</t>
        </is>
      </c>
      <c r="D432" s="11" t="inlineStr">
        <is>
          <t>Present Continuous</t>
        </is>
      </c>
      <c r="E432" s="33" t="inlineStr">
        <is>
          <t>Present Continuous: значение — запланированное будущее</t>
        </is>
      </c>
      <c r="F432" s="11" t="inlineStr">
        <is>
          <t>Ст-022</t>
        </is>
      </c>
      <c r="G432" s="37" t="inlineStr">
        <is>
          <t>повторение</t>
        </is>
      </c>
      <c r="H432" s="11" t="inlineStr">
        <is>
          <t>tonight</t>
        </is>
      </c>
      <c r="I432" s="37" t="inlineStr">
        <is>
          <t>10+</t>
        </is>
      </c>
      <c r="J432" s="11">
        <f>IFERROR(INDEX('Уроки'!$H:$H,MATCH(F432,'Уроки'!$A:$A,0)),"")</f>
        <v/>
      </c>
      <c r="K432" s="11">
        <f>IFERROR(INDEX('Уроки'!$J:$J,MATCH(F432,'Уроки'!$A:$A,0)),"")</f>
        <v/>
      </c>
      <c r="L432" s="11" t="inlineStr">
        <is>
          <t>Spotlight / 6 класс / Module 10 · Holiday time / Present Continuous / Present Continuous: значение — запланированное будущее</t>
        </is>
      </c>
    </row>
    <row r="433">
      <c r="A433" s="37" t="n">
        <v>6</v>
      </c>
      <c r="B433" s="11" t="inlineStr">
        <is>
          <t>Module 10 · Holiday time</t>
        </is>
      </c>
      <c r="C433" s="11" t="inlineStr">
        <is>
          <t>10a</t>
        </is>
      </c>
      <c r="D433" s="11" t="inlineStr">
        <is>
          <t>be going to</t>
        </is>
      </c>
      <c r="E433" s="33" t="inlineStr">
        <is>
          <t>be going to: утверждение (am/is/are going to + V)</t>
        </is>
      </c>
      <c r="F433" s="11" t="inlineStr">
        <is>
          <t>Ст-055</t>
        </is>
      </c>
      <c r="G433" s="37" t="inlineStr">
        <is>
          <t>повторение</t>
        </is>
      </c>
      <c r="H433" s="11" t="inlineStr">
        <is>
          <t>все лица, краткие формы I'm/you're…</t>
        </is>
      </c>
      <c r="I433" s="37" t="inlineStr">
        <is>
          <t>10+</t>
        </is>
      </c>
      <c r="J433" s="11">
        <f>IFERROR(INDEX('Уроки'!$H:$H,MATCH(F433,'Уроки'!$A:$A,0)),"")</f>
        <v/>
      </c>
      <c r="K433" s="11">
        <f>IFERROR(INDEX('Уроки'!$J:$J,MATCH(F433,'Уроки'!$A:$A,0)),"")</f>
        <v/>
      </c>
      <c r="L433" s="11" t="inlineStr">
        <is>
          <t>Spotlight / 6 класс / Module 10 · Holiday time / be going to / be going to: утверждение (am/is/are going to + V)</t>
        </is>
      </c>
    </row>
    <row r="434">
      <c r="A434" s="37" t="n">
        <v>6</v>
      </c>
      <c r="B434" s="11" t="inlineStr">
        <is>
          <t>Module 10 · Holiday time</t>
        </is>
      </c>
      <c r="C434" s="11" t="inlineStr">
        <is>
          <t>10a</t>
        </is>
      </c>
      <c r="D434" s="11" t="inlineStr">
        <is>
          <t>be going to</t>
        </is>
      </c>
      <c r="E434" s="34" t="inlineStr">
        <is>
          <t>be going to: отрицание</t>
        </is>
      </c>
      <c r="F434" s="11" t="inlineStr">
        <is>
          <t>Ст-056</t>
        </is>
      </c>
      <c r="G434" s="37" t="inlineStr">
        <is>
          <t>повторение</t>
        </is>
      </c>
      <c r="H434" s="11" t="inlineStr">
        <is>
          <t>I'm not / aren't / isn't</t>
        </is>
      </c>
      <c r="I434" s="37" t="inlineStr">
        <is>
          <t>10+</t>
        </is>
      </c>
      <c r="J434" s="11">
        <f>IFERROR(INDEX('Уроки'!$H:$H,MATCH(F434,'Уроки'!$A:$A,0)),"")</f>
        <v/>
      </c>
      <c r="K434" s="11">
        <f>IFERROR(INDEX('Уроки'!$J:$J,MATCH(F434,'Уроки'!$A:$A,0)),"")</f>
        <v/>
      </c>
      <c r="L434" s="11" t="inlineStr">
        <is>
          <t>Spotlight / 6 класс / Module 10 · Holiday time / be going to / be going to: отрицание</t>
        </is>
      </c>
    </row>
    <row r="435">
      <c r="A435" s="37" t="n">
        <v>6</v>
      </c>
      <c r="B435" s="11" t="inlineStr">
        <is>
          <t>Module 10 · Holiday time</t>
        </is>
      </c>
      <c r="C435" s="11" t="inlineStr">
        <is>
          <t>10a</t>
        </is>
      </c>
      <c r="D435" s="11" t="inlineStr">
        <is>
          <t>be going to</t>
        </is>
      </c>
      <c r="E435" s="34" t="inlineStr">
        <is>
          <t>be going to: вопросы и краткие ответы</t>
        </is>
      </c>
      <c r="F435" s="11" t="inlineStr">
        <is>
          <t>Ст-057</t>
        </is>
      </c>
      <c r="G435" s="41" t="inlineStr">
        <is>
          <t>расширение</t>
        </is>
      </c>
      <c r="H435" s="11" t="inlineStr">
        <is>
          <t>добавлены краткие ответы Yes, I am / No, … isn't</t>
        </is>
      </c>
      <c r="I435" s="37" t="inlineStr">
        <is>
          <t>10+</t>
        </is>
      </c>
      <c r="J435" s="11">
        <f>IFERROR(INDEX('Уроки'!$H:$H,MATCH(F435,'Уроки'!$A:$A,0)),"")</f>
        <v/>
      </c>
      <c r="K435" s="11">
        <f>IFERROR(INDEX('Уроки'!$J:$J,MATCH(F435,'Уроки'!$A:$A,0)),"")</f>
        <v/>
      </c>
      <c r="L435" s="11" t="inlineStr">
        <is>
          <t>Spotlight / 6 класс / Module 10 · Holiday time / be going to / be going to: вопросы и краткие ответы</t>
        </is>
      </c>
    </row>
    <row r="436">
      <c r="A436" s="37" t="n">
        <v>6</v>
      </c>
      <c r="B436" s="11" t="inlineStr">
        <is>
          <t>Module 10 · Holiday time</t>
        </is>
      </c>
      <c r="C436" s="11" t="inlineStr">
        <is>
          <t>10a</t>
        </is>
      </c>
      <c r="D436" s="11" t="inlineStr">
        <is>
          <t>be going to</t>
        </is>
      </c>
      <c r="E436" s="33" t="inlineStr">
        <is>
          <t>be going to: значение — планы и намерения</t>
        </is>
      </c>
      <c r="F436" s="11" t="inlineStr">
        <is>
          <t>Ст-058</t>
        </is>
      </c>
      <c r="G436" s="37" t="inlineStr">
        <is>
          <t>повторение</t>
        </is>
      </c>
      <c r="H436" s="11" t="inlineStr">
        <is>
          <t>this afternoon</t>
        </is>
      </c>
      <c r="I436" s="37" t="inlineStr">
        <is>
          <t>10+</t>
        </is>
      </c>
      <c r="J436" s="11">
        <f>IFERROR(INDEX('Уроки'!$H:$H,MATCH(F436,'Уроки'!$A:$A,0)),"")</f>
        <v/>
      </c>
      <c r="K436" s="11">
        <f>IFERROR(INDEX('Уроки'!$J:$J,MATCH(F436,'Уроки'!$A:$A,0)),"")</f>
        <v/>
      </c>
      <c r="L436" s="11" t="inlineStr">
        <is>
          <t>Spotlight / 6 класс / Module 10 · Holiday time / be going to / be going to: значение — планы и намерения</t>
        </is>
      </c>
    </row>
    <row r="437">
      <c r="A437" s="37" t="n">
        <v>6</v>
      </c>
      <c r="B437" s="11" t="inlineStr">
        <is>
          <t>Module 10 · Holiday time</t>
        </is>
      </c>
      <c r="C437" s="11" t="inlineStr">
        <is>
          <t>10a</t>
        </is>
      </c>
      <c r="D437" s="11" t="inlineStr">
        <is>
          <t>be going to</t>
        </is>
      </c>
      <c r="E437" s="33" t="inlineStr">
        <is>
          <t>be going to: значение — предсказание по очевидным признакам</t>
        </is>
      </c>
      <c r="F437" s="11" t="inlineStr">
        <is>
          <t>Ст-060</t>
        </is>
      </c>
      <c r="G437" s="40" t="inlineStr">
        <is>
          <t>новое</t>
        </is>
      </c>
      <c r="H437" s="11" t="inlineStr">
        <is>
          <t>dark clouds → It is going to rain</t>
        </is>
      </c>
      <c r="I437" s="37" t="inlineStr">
        <is>
          <t>10+</t>
        </is>
      </c>
      <c r="J437" s="11">
        <f>IFERROR(INDEX('Уроки'!$H:$H,MATCH(F437,'Уроки'!$A:$A,0)),"")</f>
        <v/>
      </c>
      <c r="K437" s="11">
        <f>IFERROR(INDEX('Уроки'!$J:$J,MATCH(F437,'Уроки'!$A:$A,0)),"")</f>
        <v/>
      </c>
      <c r="L437" s="11" t="inlineStr">
        <is>
          <t>Spotlight / 6 класс / Module 10 · Holiday time / be going to / be going to: значение — предсказание по очевидным признакам</t>
        </is>
      </c>
    </row>
    <row r="438">
      <c r="A438" s="37" t="n">
        <v>7</v>
      </c>
      <c r="B438" s="11" t="inlineStr">
        <is>
          <t>Irregular Verbs</t>
        </is>
      </c>
      <c r="C438" s="11" t="inlineStr"/>
      <c r="D438" s="11" t="inlineStr">
        <is>
          <t>Irregular verbs (list)</t>
        </is>
      </c>
      <c r="E438" s="35" t="inlineStr">
        <is>
          <t>Irregular verbs: таблица Infinitive – Past – Past Participle</t>
        </is>
      </c>
      <c r="F438" s="11" t="inlineStr">
        <is>
          <t>Ст-214</t>
        </is>
      </c>
      <c r="G438" s="40" t="inlineStr">
        <is>
          <t>новое</t>
        </is>
      </c>
      <c r="H438" s="11" t="inlineStr">
        <is>
          <t>≈100 глаголов, с переводом; в 5–6 кл. таблица шла при Past Simple</t>
        </is>
      </c>
      <c r="I438" s="37" t="inlineStr">
        <is>
          <t>10+</t>
        </is>
      </c>
      <c r="J438" s="11">
        <f>IFERROR(INDEX('Уроки'!$H:$H,MATCH(F438,'Уроки'!$A:$A,0)),"")</f>
        <v/>
      </c>
      <c r="K438" s="11">
        <f>IFERROR(INDEX('Уроки'!$J:$J,MATCH(F438,'Уроки'!$A:$A,0)),"")</f>
        <v/>
      </c>
      <c r="L438" s="11" t="inlineStr">
        <is>
          <t>Spotlight / 7 класс / Irregular Verbs / Irregular verbs (list) / Irregular verbs: таблица Infinitive – Past – Past Participle</t>
        </is>
      </c>
    </row>
    <row r="439">
      <c r="A439" s="37" t="n">
        <v>7</v>
      </c>
      <c r="B439" s="11" t="inlineStr">
        <is>
          <t>Irregular Verbs</t>
        </is>
      </c>
      <c r="C439" s="11" t="inlineStr"/>
      <c r="D439" s="11" t="inlineStr">
        <is>
          <t>Irregular verbs (list)</t>
        </is>
      </c>
      <c r="E439" s="35" t="inlineStr">
        <is>
          <t>Irregular verbs: двойные и особые формы (burnt/burned, got/gotten, can – could)</t>
        </is>
      </c>
      <c r="F439" s="11" t="inlineStr">
        <is>
          <t>Ст-215</t>
        </is>
      </c>
      <c r="G439" s="40" t="inlineStr">
        <is>
          <t>новое</t>
        </is>
      </c>
      <c r="H439" s="11" t="inlineStr">
        <is>
          <t>burnt/burned, dreamt, learnt, smelt, spelt, hung/hanged, got/gotten, can – could</t>
        </is>
      </c>
      <c r="I439" s="37" t="inlineStr">
        <is>
          <t>10+</t>
        </is>
      </c>
      <c r="J439" s="11">
        <f>IFERROR(INDEX('Уроки'!$H:$H,MATCH(F439,'Уроки'!$A:$A,0)),"")</f>
        <v/>
      </c>
      <c r="K439" s="11">
        <f>IFERROR(INDEX('Уроки'!$J:$J,MATCH(F439,'Уроки'!$A:$A,0)),"")</f>
        <v/>
      </c>
      <c r="L439" s="11" t="inlineStr">
        <is>
          <t>Spotlight / 7 класс / Irregular Verbs / Irregular verbs (list) / Irregular verbs: двойные и особые формы (burnt/burned, got/gotten, can – could)</t>
        </is>
      </c>
    </row>
    <row r="440">
      <c r="A440" s="37" t="n">
        <v>7</v>
      </c>
      <c r="B440" s="11" t="inlineStr">
        <is>
          <t>Module 1 · Lifestyles</t>
        </is>
      </c>
      <c r="C440" s="11" t="inlineStr"/>
      <c r="D440" s="11" t="inlineStr">
        <is>
          <t>Present Continuous</t>
        </is>
      </c>
      <c r="E440" s="33" t="inlineStr">
        <is>
          <t>Present Continuous: значение — действие сейчас (now)</t>
        </is>
      </c>
      <c r="F440" s="11" t="inlineStr">
        <is>
          <t>Ст-020</t>
        </is>
      </c>
      <c r="G440" s="37" t="inlineStr">
        <is>
          <t>повторение</t>
        </is>
      </c>
      <c r="H440" s="11" t="inlineStr"/>
      <c r="I440" s="37" t="inlineStr">
        <is>
          <t>10+</t>
        </is>
      </c>
      <c r="J440" s="11">
        <f>IFERROR(INDEX('Уроки'!$H:$H,MATCH(F440,'Уроки'!$A:$A,0)),"")</f>
        <v/>
      </c>
      <c r="K440" s="11">
        <f>IFERROR(INDEX('Уроки'!$J:$J,MATCH(F440,'Уроки'!$A:$A,0)),"")</f>
        <v/>
      </c>
      <c r="L440" s="11" t="inlineStr">
        <is>
          <t>Spotlight / 7 класс / Module 1 · Lifestyles / Present Continuous / Present Continuous: значение — действие сейчас (now)</t>
        </is>
      </c>
    </row>
    <row r="441">
      <c r="A441" s="37" t="n">
        <v>7</v>
      </c>
      <c r="B441" s="11" t="inlineStr">
        <is>
          <t>Module 1 · Lifestyles</t>
        </is>
      </c>
      <c r="C441" s="11" t="inlineStr"/>
      <c r="D441" s="11" t="inlineStr">
        <is>
          <t>Present Continuous</t>
        </is>
      </c>
      <c r="E441" s="33" t="inlineStr">
        <is>
          <t>Present Continuous: значение — действие в настоящий период (these days)</t>
        </is>
      </c>
      <c r="F441" s="11" t="inlineStr">
        <is>
          <t>Ст-021</t>
        </is>
      </c>
      <c r="G441" s="37" t="inlineStr">
        <is>
          <t>повторение</t>
        </is>
      </c>
      <c r="H441" s="11" t="inlineStr">
        <is>
          <t>nowadays, today</t>
        </is>
      </c>
      <c r="I441" s="37" t="inlineStr">
        <is>
          <t>10+</t>
        </is>
      </c>
      <c r="J441" s="11">
        <f>IFERROR(INDEX('Уроки'!$H:$H,MATCH(F441,'Уроки'!$A:$A,0)),"")</f>
        <v/>
      </c>
      <c r="K441" s="11">
        <f>IFERROR(INDEX('Уроки'!$J:$J,MATCH(F441,'Уроки'!$A:$A,0)),"")</f>
        <v/>
      </c>
      <c r="L441" s="11" t="inlineStr">
        <is>
          <t>Spotlight / 7 класс / Module 1 · Lifestyles / Present Continuous / Present Continuous: значение — действие в настоящий период (these days)</t>
        </is>
      </c>
    </row>
    <row r="442">
      <c r="A442" s="37" t="n">
        <v>7</v>
      </c>
      <c r="B442" s="11" t="inlineStr">
        <is>
          <t>Module 1 · Lifestyles</t>
        </is>
      </c>
      <c r="C442" s="11" t="inlineStr"/>
      <c r="D442" s="11" t="inlineStr">
        <is>
          <t>Present Continuous</t>
        </is>
      </c>
      <c r="E442" s="33" t="inlineStr">
        <is>
          <t>Present Continuous: значение — запланированное будущее</t>
        </is>
      </c>
      <c r="F442" s="11" t="inlineStr">
        <is>
          <t>Ст-022</t>
        </is>
      </c>
      <c r="G442" s="37" t="inlineStr">
        <is>
          <t>повторение</t>
        </is>
      </c>
      <c r="H442" s="11" t="inlineStr">
        <is>
          <t>this afternoon</t>
        </is>
      </c>
      <c r="I442" s="37" t="inlineStr">
        <is>
          <t>10+</t>
        </is>
      </c>
      <c r="J442" s="11">
        <f>IFERROR(INDEX('Уроки'!$H:$H,MATCH(F442,'Уроки'!$A:$A,0)),"")</f>
        <v/>
      </c>
      <c r="K442" s="11">
        <f>IFERROR(INDEX('Уроки'!$J:$J,MATCH(F442,'Уроки'!$A:$A,0)),"")</f>
        <v/>
      </c>
      <c r="L442" s="11" t="inlineStr">
        <is>
          <t>Spotlight / 7 класс / Module 1 · Lifestyles / Present Continuous / Present Continuous: значение — запланированное будущее</t>
        </is>
      </c>
    </row>
    <row r="443">
      <c r="A443" s="37" t="n">
        <v>7</v>
      </c>
      <c r="B443" s="11" t="inlineStr">
        <is>
          <t>Module 1 · Lifestyles</t>
        </is>
      </c>
      <c r="C443" s="11" t="inlineStr"/>
      <c r="D443" s="11" t="inlineStr">
        <is>
          <t>Present Continuous</t>
        </is>
      </c>
      <c r="E443" s="35" t="inlineStr">
        <is>
          <t>Present Continuous: значение — меняющиеся и развивающиеся ситуации</t>
        </is>
      </c>
      <c r="F443" s="11" t="inlineStr">
        <is>
          <t>Ст-024</t>
        </is>
      </c>
      <c r="G443" s="40" t="inlineStr">
        <is>
          <t>новое</t>
        </is>
      </c>
      <c r="H443" s="11" t="inlineStr">
        <is>
          <t>getting more and more beautiful</t>
        </is>
      </c>
      <c r="I443" s="37" t="inlineStr">
        <is>
          <t>10+</t>
        </is>
      </c>
      <c r="J443" s="11">
        <f>IFERROR(INDEX('Уроки'!$H:$H,MATCH(F443,'Уроки'!$A:$A,0)),"")</f>
        <v/>
      </c>
      <c r="K443" s="11">
        <f>IFERROR(INDEX('Уроки'!$J:$J,MATCH(F443,'Уроки'!$A:$A,0)),"")</f>
        <v/>
      </c>
      <c r="L443" s="11" t="inlineStr">
        <is>
          <t>Spotlight / 7 класс / Module 1 · Lifestyles / Present Continuous / Present Continuous: значение — меняющиеся и развивающиеся ситуации</t>
        </is>
      </c>
    </row>
    <row r="444">
      <c r="A444" s="37" t="n">
        <v>7</v>
      </c>
      <c r="B444" s="11" t="inlineStr">
        <is>
          <t>Module 1 · Lifestyles</t>
        </is>
      </c>
      <c r="C444" s="11" t="inlineStr"/>
      <c r="D444" s="11" t="inlineStr">
        <is>
          <t>Present Continuous</t>
        </is>
      </c>
      <c r="E444" s="35" t="inlineStr">
        <is>
          <t>Present Continuous: значение — always + раздражение</t>
        </is>
      </c>
      <c r="F444" s="11" t="inlineStr">
        <is>
          <t>Ст-025</t>
        </is>
      </c>
      <c r="G444" s="40" t="inlineStr">
        <is>
          <t>новое</t>
        </is>
      </c>
      <c r="H444" s="11" t="inlineStr">
        <is>
          <t>She is always losing her keys</t>
        </is>
      </c>
      <c r="I444" s="37" t="inlineStr">
        <is>
          <t>10+</t>
        </is>
      </c>
      <c r="J444" s="11">
        <f>IFERROR(INDEX('Уроки'!$H:$H,MATCH(F444,'Уроки'!$A:$A,0)),"")</f>
        <v/>
      </c>
      <c r="K444" s="11">
        <f>IFERROR(INDEX('Уроки'!$J:$J,MATCH(F444,'Уроки'!$A:$A,0)),"")</f>
        <v/>
      </c>
      <c r="L444" s="11" t="inlineStr">
        <is>
          <t>Spotlight / 7 класс / Module 1 · Lifestyles / Present Continuous / Present Continuous: значение — always + раздражение</t>
        </is>
      </c>
    </row>
    <row r="445">
      <c r="A445" s="37" t="n">
        <v>7</v>
      </c>
      <c r="B445" s="11" t="inlineStr">
        <is>
          <t>Module 1 · Lifestyles</t>
        </is>
      </c>
      <c r="C445" s="11" t="inlineStr"/>
      <c r="D445" s="11" t="inlineStr">
        <is>
          <t>Present Simple</t>
        </is>
      </c>
      <c r="E445" s="33" t="inlineStr">
        <is>
          <t>Present Simple: значение — регулярные действия, распорядок дня, привычки</t>
        </is>
      </c>
      <c r="F445" s="11" t="inlineStr">
        <is>
          <t>Ст-031</t>
        </is>
      </c>
      <c r="G445" s="37" t="inlineStr">
        <is>
          <t>повторение</t>
        </is>
      </c>
      <c r="H445" s="11" t="inlineStr">
        <is>
          <t>always, usually, at the weekend, on Fridays</t>
        </is>
      </c>
      <c r="I445" s="37" t="inlineStr">
        <is>
          <t>10+</t>
        </is>
      </c>
      <c r="J445" s="11">
        <f>IFERROR(INDEX('Уроки'!$H:$H,MATCH(F445,'Уроки'!$A:$A,0)),"")</f>
        <v/>
      </c>
      <c r="K445" s="11">
        <f>IFERROR(INDEX('Уроки'!$J:$J,MATCH(F445,'Уроки'!$A:$A,0)),"")</f>
        <v/>
      </c>
      <c r="L445" s="11" t="inlineStr">
        <is>
          <t>Spotlight / 7 класс / Module 1 · Lifestyles / Present Simple / Present Simple: значение — регулярные действия, распорядок дня, привычки</t>
        </is>
      </c>
    </row>
    <row r="446">
      <c r="A446" s="37" t="n">
        <v>7</v>
      </c>
      <c r="B446" s="11" t="inlineStr">
        <is>
          <t>Module 1 · Lifestyles</t>
        </is>
      </c>
      <c r="C446" s="11" t="inlineStr"/>
      <c r="D446" s="11" t="inlineStr">
        <is>
          <t>Present Simple</t>
        </is>
      </c>
      <c r="E446" s="33" t="inlineStr">
        <is>
          <t>Present Simple: значение — постоянные состояния и действия</t>
        </is>
      </c>
      <c r="F446" s="11" t="inlineStr">
        <is>
          <t>Ст-032</t>
        </is>
      </c>
      <c r="G446" s="37" t="inlineStr">
        <is>
          <t>повторение</t>
        </is>
      </c>
      <c r="H446" s="11" t="inlineStr">
        <is>
          <t>Mark lives in New Zealand</t>
        </is>
      </c>
      <c r="I446" s="37" t="inlineStr">
        <is>
          <t>10+</t>
        </is>
      </c>
      <c r="J446" s="11">
        <f>IFERROR(INDEX('Уроки'!$H:$H,MATCH(F446,'Уроки'!$A:$A,0)),"")</f>
        <v/>
      </c>
      <c r="K446" s="11">
        <f>IFERROR(INDEX('Уроки'!$J:$J,MATCH(F446,'Уроки'!$A:$A,0)),"")</f>
        <v/>
      </c>
      <c r="L446" s="11" t="inlineStr">
        <is>
          <t>Spotlight / 7 класс / Module 1 · Lifestyles / Present Simple / Present Simple: значение — постоянные состояния и действия</t>
        </is>
      </c>
    </row>
    <row r="447">
      <c r="A447" s="37" t="n">
        <v>7</v>
      </c>
      <c r="B447" s="11" t="inlineStr">
        <is>
          <t>Module 1 · Lifestyles</t>
        </is>
      </c>
      <c r="C447" s="11" t="inlineStr"/>
      <c r="D447" s="11" t="inlineStr">
        <is>
          <t>Present Simple</t>
        </is>
      </c>
      <c r="E447" s="35" t="inlineStr">
        <is>
          <t>Present Simple: значение — непреложные истины и законы природы</t>
        </is>
      </c>
      <c r="F447" s="11" t="inlineStr">
        <is>
          <t>Ст-033</t>
        </is>
      </c>
      <c r="G447" s="37" t="inlineStr">
        <is>
          <t>повторение</t>
        </is>
      </c>
      <c r="H447" s="11" t="inlineStr">
        <is>
          <t>The Moon goes round the Earth</t>
        </is>
      </c>
      <c r="I447" s="37" t="inlineStr">
        <is>
          <t>10+</t>
        </is>
      </c>
      <c r="J447" s="11">
        <f>IFERROR(INDEX('Уроки'!$H:$H,MATCH(F447,'Уроки'!$A:$A,0)),"")</f>
        <v/>
      </c>
      <c r="K447" s="11">
        <f>IFERROR(INDEX('Уроки'!$J:$J,MATCH(F447,'Уроки'!$A:$A,0)),"")</f>
        <v/>
      </c>
      <c r="L447" s="11" t="inlineStr">
        <is>
          <t>Spotlight / 7 класс / Module 1 · Lifestyles / Present Simple / Present Simple: значение — непреложные истины и законы природы</t>
        </is>
      </c>
    </row>
    <row r="448">
      <c r="A448" s="37" t="n">
        <v>7</v>
      </c>
      <c r="B448" s="11" t="inlineStr">
        <is>
          <t>Module 1 · Lifestyles</t>
        </is>
      </c>
      <c r="C448" s="11" t="inlineStr"/>
      <c r="D448" s="11" t="inlineStr">
        <is>
          <t>Present Simple</t>
        </is>
      </c>
      <c r="E448" s="33" t="inlineStr">
        <is>
          <t>Present Simple: значение — расписания и программы (будущее по расписанию)</t>
        </is>
      </c>
      <c r="F448" s="11" t="inlineStr">
        <is>
          <t>Ст-034</t>
        </is>
      </c>
      <c r="G448" s="40" t="inlineStr">
        <is>
          <t>новое</t>
        </is>
      </c>
      <c r="H448" s="11" t="inlineStr">
        <is>
          <t>The train leaves at 6:00 am</t>
        </is>
      </c>
      <c r="I448" s="37" t="inlineStr">
        <is>
          <t>10+</t>
        </is>
      </c>
      <c r="J448" s="11">
        <f>IFERROR(INDEX('Уроки'!$H:$H,MATCH(F448,'Уроки'!$A:$A,0)),"")</f>
        <v/>
      </c>
      <c r="K448" s="11">
        <f>IFERROR(INDEX('Уроки'!$J:$J,MATCH(F448,'Уроки'!$A:$A,0)),"")</f>
        <v/>
      </c>
      <c r="L448" s="11" t="inlineStr">
        <is>
          <t>Spotlight / 7 класс / Module 1 · Lifestyles / Present Simple / Present Simple: значение — расписания и программы (будущее по расписанию)</t>
        </is>
      </c>
    </row>
    <row r="449">
      <c r="A449" s="37" t="n">
        <v>7</v>
      </c>
      <c r="B449" s="11" t="inlineStr">
        <is>
          <t>Module 1 · Lifestyles</t>
        </is>
      </c>
      <c r="C449" s="11" t="inlineStr"/>
      <c r="D449" s="11" t="inlineStr">
        <is>
          <t>Present Simple</t>
        </is>
      </c>
      <c r="E449" s="35" t="inlineStr">
        <is>
          <t>Present Simple: значение — чувства и эмоции</t>
        </is>
      </c>
      <c r="F449" s="11" t="inlineStr">
        <is>
          <t>Ст-035</t>
        </is>
      </c>
      <c r="G449" s="40" t="inlineStr">
        <is>
          <t>новое</t>
        </is>
      </c>
      <c r="H449" s="11" t="inlineStr">
        <is>
          <t>I love skiing</t>
        </is>
      </c>
      <c r="I449" s="37" t="inlineStr">
        <is>
          <t>10+</t>
        </is>
      </c>
      <c r="J449" s="11">
        <f>IFERROR(INDEX('Уроки'!$H:$H,MATCH(F449,'Уроки'!$A:$A,0)),"")</f>
        <v/>
      </c>
      <c r="K449" s="11">
        <f>IFERROR(INDEX('Уроки'!$J:$J,MATCH(F449,'Уроки'!$A:$A,0)),"")</f>
        <v/>
      </c>
      <c r="L449" s="11" t="inlineStr">
        <is>
          <t>Spotlight / 7 класс / Module 1 · Lifestyles / Present Simple / Present Simple: значение — чувства и эмоции</t>
        </is>
      </c>
    </row>
    <row r="450">
      <c r="A450" s="37" t="n">
        <v>7</v>
      </c>
      <c r="B450" s="11" t="inlineStr">
        <is>
          <t>Module 1 · Lifestyles</t>
        </is>
      </c>
      <c r="C450" s="11" t="inlineStr"/>
      <c r="D450" s="11" t="inlineStr">
        <is>
          <t>Present Simple</t>
        </is>
      </c>
      <c r="E450" s="35" t="inlineStr">
        <is>
          <t>Present Simple: значение — обзоры, спортивные комментарии, повествование</t>
        </is>
      </c>
      <c r="F450" s="11" t="inlineStr">
        <is>
          <t>Ст-036</t>
        </is>
      </c>
      <c r="G450" s="40" t="inlineStr">
        <is>
          <t>новое</t>
        </is>
      </c>
      <c r="H450" s="11" t="inlineStr">
        <is>
          <t>спортивные комментарии, обзоры, повествования</t>
        </is>
      </c>
      <c r="I450" s="37" t="inlineStr">
        <is>
          <t>10+</t>
        </is>
      </c>
      <c r="J450" s="11">
        <f>IFERROR(INDEX('Уроки'!$H:$H,MATCH(F450,'Уроки'!$A:$A,0)),"")</f>
        <v/>
      </c>
      <c r="K450" s="11">
        <f>IFERROR(INDEX('Уроки'!$J:$J,MATCH(F450,'Уроки'!$A:$A,0)),"")</f>
        <v/>
      </c>
      <c r="L450" s="11" t="inlineStr">
        <is>
          <t>Spotlight / 7 класс / Module 1 · Lifestyles / Present Simple / Present Simple: значение — обзоры, спортивные комментарии, повествование</t>
        </is>
      </c>
    </row>
    <row r="451">
      <c r="A451" s="37" t="n">
        <v>7</v>
      </c>
      <c r="B451" s="11" t="inlineStr">
        <is>
          <t>Module 1 · Lifestyles</t>
        </is>
      </c>
      <c r="C451" s="11" t="inlineStr"/>
      <c r="D451" s="11" t="inlineStr">
        <is>
          <t>Present Simple vs Present Continuous</t>
        </is>
      </c>
      <c r="E451" s="33" t="inlineStr">
        <is>
          <t>Present Simple vs Present Continuous: привычка vs сейчас</t>
        </is>
      </c>
      <c r="F451" s="11" t="inlineStr">
        <is>
          <t>Ст-051</t>
        </is>
      </c>
      <c r="G451" s="37" t="inlineStr">
        <is>
          <t>повторение</t>
        </is>
      </c>
      <c r="H451" s="11" t="inlineStr">
        <is>
          <t>через списки значений</t>
        </is>
      </c>
      <c r="I451" s="37" t="inlineStr">
        <is>
          <t>10+</t>
        </is>
      </c>
      <c r="J451" s="11">
        <f>IFERROR(INDEX('Уроки'!$H:$H,MATCH(F451,'Уроки'!$A:$A,0)),"")</f>
        <v/>
      </c>
      <c r="K451" s="11">
        <f>IFERROR(INDEX('Уроки'!$J:$J,MATCH(F451,'Уроки'!$A:$A,0)),"")</f>
        <v/>
      </c>
      <c r="L451" s="11" t="inlineStr">
        <is>
          <t>Spotlight / 7 класс / Module 1 · Lifestyles / Present Simple vs Present Continuous / Present Simple vs Present Continuous: привычка vs сейчас</t>
        </is>
      </c>
    </row>
    <row r="452">
      <c r="A452" s="37" t="n">
        <v>7</v>
      </c>
      <c r="B452" s="11" t="inlineStr">
        <is>
          <t>Module 1 · Lifestyles</t>
        </is>
      </c>
      <c r="C452" s="11" t="inlineStr"/>
      <c r="D452" s="11" t="inlineStr">
        <is>
          <t>Present Simple vs Present Continuous</t>
        </is>
      </c>
      <c r="E452" s="35" t="inlineStr">
        <is>
          <t>Present Simple vs Present Continuous: повторяющиеся действия vs настоящий период (these days)</t>
        </is>
      </c>
      <c r="F452" s="11" t="inlineStr">
        <is>
          <t>Ст-053</t>
        </is>
      </c>
      <c r="G452" s="40" t="inlineStr">
        <is>
          <t>новое</t>
        </is>
      </c>
      <c r="H452" s="11" t="inlineStr">
        <is>
          <t>через списки значений, без явного правила</t>
        </is>
      </c>
      <c r="I452" s="37" t="inlineStr">
        <is>
          <t>10+</t>
        </is>
      </c>
      <c r="J452" s="11">
        <f>IFERROR(INDEX('Уроки'!$H:$H,MATCH(F452,'Уроки'!$A:$A,0)),"")</f>
        <v/>
      </c>
      <c r="K452" s="11">
        <f>IFERROR(INDEX('Уроки'!$J:$J,MATCH(F452,'Уроки'!$A:$A,0)),"")</f>
        <v/>
      </c>
      <c r="L452" s="11" t="inlineStr">
        <is>
          <t>Spotlight / 7 класс / Module 1 · Lifestyles / Present Simple vs Present Continuous / Present Simple vs Present Continuous: повторяющиеся действия vs настоящий период (these days)</t>
        </is>
      </c>
    </row>
    <row r="453">
      <c r="A453" s="37" t="n">
        <v>7</v>
      </c>
      <c r="B453" s="11" t="inlineStr">
        <is>
          <t>Module 1 · Lifestyles</t>
        </is>
      </c>
      <c r="C453" s="11" t="inlineStr"/>
      <c r="D453" s="11" t="inlineStr">
        <is>
          <t>Stative verbs</t>
        </is>
      </c>
      <c r="E453" s="33" t="inlineStr">
        <is>
          <t>Stative verbs: глаголы состояния не употребляются в Continuous</t>
        </is>
      </c>
      <c r="F453" s="11" t="inlineStr">
        <is>
          <t>Ст-075</t>
        </is>
      </c>
      <c r="G453" s="37" t="inlineStr">
        <is>
          <t>повторение</t>
        </is>
      </c>
      <c r="H453" s="11" t="inlineStr"/>
      <c r="I453" s="37" t="inlineStr">
        <is>
          <t>10+</t>
        </is>
      </c>
      <c r="J453" s="11">
        <f>IFERROR(INDEX('Уроки'!$H:$H,MATCH(F453,'Уроки'!$A:$A,0)),"")</f>
        <v/>
      </c>
      <c r="K453" s="11">
        <f>IFERROR(INDEX('Уроки'!$J:$J,MATCH(F453,'Уроки'!$A:$A,0)),"")</f>
        <v/>
      </c>
      <c r="L453" s="11" t="inlineStr">
        <is>
          <t>Spotlight / 7 класс / Module 1 · Lifestyles / Stative verbs / Stative verbs: глаголы состояния не употребляются в Continuous</t>
        </is>
      </c>
    </row>
    <row r="454">
      <c r="A454" s="37" t="n">
        <v>7</v>
      </c>
      <c r="B454" s="11" t="inlineStr">
        <is>
          <t>Module 1 · Lifestyles</t>
        </is>
      </c>
      <c r="C454" s="11" t="inlineStr"/>
      <c r="D454" s="11" t="inlineStr">
        <is>
          <t>Stative verbs</t>
        </is>
      </c>
      <c r="E454" s="33" t="inlineStr">
        <is>
          <t>Stative verbs: группы глаголов (восприятие, мышление, чувства, прочие)</t>
        </is>
      </c>
      <c r="F454" s="11" t="inlineStr">
        <is>
          <t>Ст-076</t>
        </is>
      </c>
      <c r="G454" s="40" t="inlineStr">
        <is>
          <t>новое</t>
        </is>
      </c>
      <c r="H454" s="11" t="inlineStr"/>
      <c r="I454" s="37" t="inlineStr">
        <is>
          <t>10+</t>
        </is>
      </c>
      <c r="J454" s="11">
        <f>IFERROR(INDEX('Уроки'!$H:$H,MATCH(F454,'Уроки'!$A:$A,0)),"")</f>
        <v/>
      </c>
      <c r="K454" s="11">
        <f>IFERROR(INDEX('Уроки'!$J:$J,MATCH(F454,'Уроки'!$A:$A,0)),"")</f>
        <v/>
      </c>
      <c r="L454" s="11" t="inlineStr">
        <is>
          <t>Spotlight / 7 класс / Module 1 · Lifestyles / Stative verbs / Stative verbs: группы глаголов (восприятие, мышление, чувства, прочие)</t>
        </is>
      </c>
    </row>
    <row r="455">
      <c r="A455" s="37" t="n">
        <v>7</v>
      </c>
      <c r="B455" s="11" t="inlineStr">
        <is>
          <t>Module 1 · Lifestyles</t>
        </is>
      </c>
      <c r="C455" s="11" t="inlineStr"/>
      <c r="D455" s="11" t="inlineStr">
        <is>
          <t>Stative verbs</t>
        </is>
      </c>
      <c r="E455" s="33" t="inlineStr">
        <is>
          <t>Stative verbs: разное значение в Simple и Continuous (think, have, see, taste…)</t>
        </is>
      </c>
      <c r="F455" s="11" t="inlineStr">
        <is>
          <t>Ст-077</t>
        </is>
      </c>
      <c r="G455" s="40" t="inlineStr">
        <is>
          <t>новое</t>
        </is>
      </c>
      <c r="H455" s="11" t="inlineStr">
        <is>
          <t>think, have, see, taste, smell, appear, fit</t>
        </is>
      </c>
      <c r="I455" s="37" t="inlineStr">
        <is>
          <t>10+</t>
        </is>
      </c>
      <c r="J455" s="11">
        <f>IFERROR(INDEX('Уроки'!$H:$H,MATCH(F455,'Уроки'!$A:$A,0)),"")</f>
        <v/>
      </c>
      <c r="K455" s="11">
        <f>IFERROR(INDEX('Уроки'!$J:$J,MATCH(F455,'Уроки'!$A:$A,0)),"")</f>
        <v/>
      </c>
      <c r="L455" s="11" t="inlineStr">
        <is>
          <t>Spotlight / 7 класс / Module 1 · Lifestyles / Stative verbs / Stative verbs: разное значение в Simple и Continuous (think, have, see, taste…)</t>
        </is>
      </c>
    </row>
    <row r="456">
      <c r="A456" s="37" t="n">
        <v>7</v>
      </c>
      <c r="B456" s="11" t="inlineStr">
        <is>
          <t>Module 1 · Lifestyles</t>
        </is>
      </c>
      <c r="C456" s="11" t="inlineStr"/>
      <c r="D456" s="11" t="inlineStr">
        <is>
          <t>Stative verbs</t>
        </is>
      </c>
      <c r="E456" s="35" t="inlineStr">
        <is>
          <t>Stative verbs: look, feel, hurt, ache — Simple = Continuous</t>
        </is>
      </c>
      <c r="F456" s="11" t="inlineStr">
        <is>
          <t>Ст-078</t>
        </is>
      </c>
      <c r="G456" s="40" t="inlineStr">
        <is>
          <t>новое</t>
        </is>
      </c>
      <c r="H456" s="11" t="inlineStr">
        <is>
          <t>look, feel, ache</t>
        </is>
      </c>
      <c r="I456" s="37" t="inlineStr">
        <is>
          <t>10+</t>
        </is>
      </c>
      <c r="J456" s="11">
        <f>IFERROR(INDEX('Уроки'!$H:$H,MATCH(F456,'Уроки'!$A:$A,0)),"")</f>
        <v/>
      </c>
      <c r="K456" s="11">
        <f>IFERROR(INDEX('Уроки'!$J:$J,MATCH(F456,'Уроки'!$A:$A,0)),"")</f>
        <v/>
      </c>
      <c r="L456" s="11" t="inlineStr">
        <is>
          <t>Spotlight / 7 класс / Module 1 · Lifestyles / Stative verbs / Stative verbs: look, feel, hurt, ache — Simple = Continuous</t>
        </is>
      </c>
    </row>
    <row r="457">
      <c r="A457" s="37" t="n">
        <v>7</v>
      </c>
      <c r="B457" s="11" t="inlineStr">
        <is>
          <t>Module 1 · Lifestyles</t>
        </is>
      </c>
      <c r="C457" s="11" t="inlineStr"/>
      <c r="D457" s="11" t="inlineStr">
        <is>
          <t>should/shouldn't</t>
        </is>
      </c>
      <c r="E457" s="33" t="inlineStr">
        <is>
          <t>should/shouldn't: значение — совет, рекомендация; утверждение should + глагол без to</t>
        </is>
      </c>
      <c r="F457" s="11" t="inlineStr">
        <is>
          <t>Ст-162</t>
        </is>
      </c>
      <c r="G457" s="40" t="inlineStr">
        <is>
          <t>новое</t>
        </is>
      </c>
      <c r="H457" s="11" t="inlineStr">
        <is>
          <t>не меняется по временам; + bare infinitive</t>
        </is>
      </c>
      <c r="I457" s="37" t="inlineStr">
        <is>
          <t>10+</t>
        </is>
      </c>
      <c r="J457" s="11">
        <f>IFERROR(INDEX('Уроки'!$H:$H,MATCH(F457,'Уроки'!$A:$A,0)),"")</f>
        <v/>
      </c>
      <c r="K457" s="11">
        <f>IFERROR(INDEX('Уроки'!$J:$J,MATCH(F457,'Уроки'!$A:$A,0)),"")</f>
        <v/>
      </c>
      <c r="L457" s="11" t="inlineStr">
        <is>
          <t>Spotlight / 7 класс / Module 1 · Lifestyles / should/shouldn't / should/shouldn't: значение — совет, рекомендация; утверждение should + глагол без to</t>
        </is>
      </c>
    </row>
    <row r="458">
      <c r="A458" s="37" t="n">
        <v>7</v>
      </c>
      <c r="B458" s="11" t="inlineStr">
        <is>
          <t>Module 1 · Lifestyles</t>
        </is>
      </c>
      <c r="C458" s="11" t="inlineStr"/>
      <c r="D458" s="11" t="inlineStr">
        <is>
          <t>should/shouldn't</t>
        </is>
      </c>
      <c r="E458" s="33" t="inlineStr">
        <is>
          <t>should/shouldn't: отрицание — shouldn't</t>
        </is>
      </c>
      <c r="F458" s="11" t="inlineStr">
        <is>
          <t>Ст-163</t>
        </is>
      </c>
      <c r="G458" s="40" t="inlineStr">
        <is>
          <t>новое</t>
        </is>
      </c>
      <c r="H458" s="11" t="inlineStr">
        <is>
          <t>should not / shouldn't</t>
        </is>
      </c>
      <c r="I458" s="37" t="inlineStr">
        <is>
          <t>10+</t>
        </is>
      </c>
      <c r="J458" s="11">
        <f>IFERROR(INDEX('Уроки'!$H:$H,MATCH(F458,'Уроки'!$A:$A,0)),"")</f>
        <v/>
      </c>
      <c r="K458" s="11">
        <f>IFERROR(INDEX('Уроки'!$J:$J,MATCH(F458,'Уроки'!$A:$A,0)),"")</f>
        <v/>
      </c>
      <c r="L458" s="11" t="inlineStr">
        <is>
          <t>Spotlight / 7 класс / Module 1 · Lifestyles / should/shouldn't / should/shouldn't: отрицание — shouldn't</t>
        </is>
      </c>
    </row>
    <row r="459">
      <c r="A459" s="37" t="n">
        <v>7</v>
      </c>
      <c r="B459" s="11" t="inlineStr">
        <is>
          <t>Module 1 · Lifestyles</t>
        </is>
      </c>
      <c r="C459" s="11" t="inlineStr"/>
      <c r="D459" s="11" t="inlineStr">
        <is>
          <t>should/shouldn't</t>
        </is>
      </c>
      <c r="E459" s="33" t="inlineStr">
        <is>
          <t>should/shouldn't: вопросы — Should I…?</t>
        </is>
      </c>
      <c r="F459" s="11" t="inlineStr">
        <is>
          <t>Ст-164</t>
        </is>
      </c>
      <c r="G459" s="40" t="inlineStr">
        <is>
          <t>новое</t>
        </is>
      </c>
      <c r="H459" s="11" t="inlineStr">
        <is>
          <t>should перед подлежащим</t>
        </is>
      </c>
      <c r="I459" s="37" t="inlineStr">
        <is>
          <t>10+</t>
        </is>
      </c>
      <c r="J459" s="11">
        <f>IFERROR(INDEX('Уроки'!$H:$H,MATCH(F459,'Уроки'!$A:$A,0)),"")</f>
        <v/>
      </c>
      <c r="K459" s="11">
        <f>IFERROR(INDEX('Уроки'!$J:$J,MATCH(F459,'Уроки'!$A:$A,0)),"")</f>
        <v/>
      </c>
      <c r="L459" s="11" t="inlineStr">
        <is>
          <t>Spotlight / 7 класс / Module 1 · Lifestyles / should/shouldn't / should/shouldn't: вопросы — Should I…?</t>
        </is>
      </c>
    </row>
    <row r="460">
      <c r="A460" s="37" t="n">
        <v>7</v>
      </c>
      <c r="B460" s="11" t="inlineStr">
        <is>
          <t>Module 2 · Tale time</t>
        </is>
      </c>
      <c r="C460" s="11" t="inlineStr"/>
      <c r="D460" s="11" t="inlineStr">
        <is>
          <t>Past Simple</t>
        </is>
      </c>
      <c r="E460" s="33" t="inlineStr">
        <is>
          <t>Past Simple: правильные глаголы — утверждение (-ed)</t>
        </is>
      </c>
      <c r="F460" s="11" t="inlineStr">
        <is>
          <t>Ст-001</t>
        </is>
      </c>
      <c r="G460" s="37" t="inlineStr">
        <is>
          <t>повторение</t>
        </is>
      </c>
      <c r="H460" s="11" t="inlineStr"/>
      <c r="I460" s="37" t="inlineStr">
        <is>
          <t>10+</t>
        </is>
      </c>
      <c r="J460" s="11">
        <f>IFERROR(INDEX('Уроки'!$H:$H,MATCH(F460,'Уроки'!$A:$A,0)),"")</f>
        <v/>
      </c>
      <c r="K460" s="11">
        <f>IFERROR(INDEX('Уроки'!$J:$J,MATCH(F460,'Уроки'!$A:$A,0)),"")</f>
        <v/>
      </c>
      <c r="L460" s="11" t="inlineStr">
        <is>
          <t>Spotlight / 7 класс / Module 2 · Tale time / Past Simple / Past Simple: правильные глаголы — утверждение (-ed)</t>
        </is>
      </c>
    </row>
    <row r="461">
      <c r="A461" s="37" t="n">
        <v>7</v>
      </c>
      <c r="B461" s="11" t="inlineStr">
        <is>
          <t>Module 2 · Tale time</t>
        </is>
      </c>
      <c r="C461" s="11" t="inlineStr"/>
      <c r="D461" s="11" t="inlineStr">
        <is>
          <t>Past Simple</t>
        </is>
      </c>
      <c r="E461" s="35" t="inlineStr">
        <is>
          <t>Past Simple: правильные глаголы — отрицание (didn't + V)</t>
        </is>
      </c>
      <c r="F461" s="11" t="inlineStr">
        <is>
          <t>Ст-002</t>
        </is>
      </c>
      <c r="G461" s="37" t="inlineStr">
        <is>
          <t>повторение</t>
        </is>
      </c>
      <c r="H461" s="11" t="inlineStr"/>
      <c r="I461" s="37" t="inlineStr">
        <is>
          <t>10+</t>
        </is>
      </c>
      <c r="J461" s="11">
        <f>IFERROR(INDEX('Уроки'!$H:$H,MATCH(F461,'Уроки'!$A:$A,0)),"")</f>
        <v/>
      </c>
      <c r="K461" s="11">
        <f>IFERROR(INDEX('Уроки'!$J:$J,MATCH(F461,'Уроки'!$A:$A,0)),"")</f>
        <v/>
      </c>
      <c r="L461" s="11" t="inlineStr">
        <is>
          <t>Spotlight / 7 класс / Module 2 · Tale time / Past Simple / Past Simple: правильные глаголы — отрицание (didn't + V)</t>
        </is>
      </c>
    </row>
    <row r="462">
      <c r="A462" s="37" t="n">
        <v>7</v>
      </c>
      <c r="B462" s="11" t="inlineStr">
        <is>
          <t>Module 2 · Tale time</t>
        </is>
      </c>
      <c r="C462" s="11" t="inlineStr"/>
      <c r="D462" s="11" t="inlineStr">
        <is>
          <t>Past Simple</t>
        </is>
      </c>
      <c r="E462" s="35" t="inlineStr">
        <is>
          <t>Past Simple: правильные глаголы — вопросы (Did …?)</t>
        </is>
      </c>
      <c r="F462" s="11" t="inlineStr">
        <is>
          <t>Ст-003</t>
        </is>
      </c>
      <c r="G462" s="37" t="inlineStr">
        <is>
          <t>повторение</t>
        </is>
      </c>
      <c r="H462" s="11" t="inlineStr"/>
      <c r="I462" s="37" t="inlineStr">
        <is>
          <t>10+</t>
        </is>
      </c>
      <c r="J462" s="11">
        <f>IFERROR(INDEX('Уроки'!$H:$H,MATCH(F462,'Уроки'!$A:$A,0)),"")</f>
        <v/>
      </c>
      <c r="K462" s="11">
        <f>IFERROR(INDEX('Уроки'!$J:$J,MATCH(F462,'Уроки'!$A:$A,0)),"")</f>
        <v/>
      </c>
      <c r="L462" s="11" t="inlineStr">
        <is>
          <t>Spotlight / 7 класс / Module 2 · Tale time / Past Simple / Past Simple: правильные глаголы — вопросы (Did …?)</t>
        </is>
      </c>
    </row>
    <row r="463">
      <c r="A463" s="37" t="n">
        <v>7</v>
      </c>
      <c r="B463" s="11" t="inlineStr">
        <is>
          <t>Module 2 · Tale time</t>
        </is>
      </c>
      <c r="C463" s="11" t="inlineStr"/>
      <c r="D463" s="11" t="inlineStr">
        <is>
          <t>Past Simple</t>
        </is>
      </c>
      <c r="E463" s="35" t="inlineStr">
        <is>
          <t>Past Simple: краткие ответы (Yes, I did / No, I didn't)</t>
        </is>
      </c>
      <c r="F463" s="11" t="inlineStr">
        <is>
          <t>Ст-004</t>
        </is>
      </c>
      <c r="G463" s="37" t="inlineStr">
        <is>
          <t>повторение</t>
        </is>
      </c>
      <c r="H463" s="11" t="inlineStr"/>
      <c r="I463" s="37" t="inlineStr">
        <is>
          <t>10+</t>
        </is>
      </c>
      <c r="J463" s="11">
        <f>IFERROR(INDEX('Уроки'!$H:$H,MATCH(F463,'Уроки'!$A:$A,0)),"")</f>
        <v/>
      </c>
      <c r="K463" s="11">
        <f>IFERROR(INDEX('Уроки'!$J:$J,MATCH(F463,'Уроки'!$A:$A,0)),"")</f>
        <v/>
      </c>
      <c r="L463" s="11" t="inlineStr">
        <is>
          <t>Spotlight / 7 класс / Module 2 · Tale time / Past Simple / Past Simple: краткие ответы (Yes, I did / No, I didn't)</t>
        </is>
      </c>
    </row>
    <row r="464">
      <c r="A464" s="37" t="n">
        <v>7</v>
      </c>
      <c r="B464" s="11" t="inlineStr">
        <is>
          <t>Module 2 · Tale time</t>
        </is>
      </c>
      <c r="C464" s="11" t="inlineStr"/>
      <c r="D464" s="11" t="inlineStr">
        <is>
          <t>Past Simple</t>
        </is>
      </c>
      <c r="E464" s="33" t="inlineStr">
        <is>
          <t>Past Simple: орфография -ed</t>
        </is>
      </c>
      <c r="F464" s="11" t="inlineStr">
        <is>
          <t>Ст-005</t>
        </is>
      </c>
      <c r="G464" s="37" t="inlineStr">
        <is>
          <t>повторение</t>
        </is>
      </c>
      <c r="H464" s="11" t="inlineStr">
        <is>
          <t>loved, tried, dropped, cancelled</t>
        </is>
      </c>
      <c r="I464" s="37" t="inlineStr">
        <is>
          <t>10+</t>
        </is>
      </c>
      <c r="J464" s="11">
        <f>IFERROR(INDEX('Уроки'!$H:$H,MATCH(F464,'Уроки'!$A:$A,0)),"")</f>
        <v/>
      </c>
      <c r="K464" s="11">
        <f>IFERROR(INDEX('Уроки'!$J:$J,MATCH(F464,'Уроки'!$A:$A,0)),"")</f>
        <v/>
      </c>
      <c r="L464" s="11" t="inlineStr">
        <is>
          <t>Spotlight / 7 класс / Module 2 · Tale time / Past Simple / Past Simple: орфография -ed</t>
        </is>
      </c>
    </row>
    <row r="465">
      <c r="A465" s="37" t="n">
        <v>7</v>
      </c>
      <c r="B465" s="11" t="inlineStr">
        <is>
          <t>Module 2 · Tale time</t>
        </is>
      </c>
      <c r="C465" s="11" t="inlineStr"/>
      <c r="D465" s="11" t="inlineStr">
        <is>
          <t>Past Simple</t>
        </is>
      </c>
      <c r="E465" s="33" t="inlineStr">
        <is>
          <t>Past Simple: неправильные глаголы — утверждение</t>
        </is>
      </c>
      <c r="F465" s="11" t="inlineStr">
        <is>
          <t>Ст-006</t>
        </is>
      </c>
      <c r="G465" s="37" t="inlineStr">
        <is>
          <t>повторение</t>
        </is>
      </c>
      <c r="H465" s="11" t="inlineStr"/>
      <c r="I465" s="37" t="inlineStr">
        <is>
          <t>10+</t>
        </is>
      </c>
      <c r="J465" s="11">
        <f>IFERROR(INDEX('Уроки'!$H:$H,MATCH(F465,'Уроки'!$A:$A,0)),"")</f>
        <v/>
      </c>
      <c r="K465" s="11">
        <f>IFERROR(INDEX('Уроки'!$J:$J,MATCH(F465,'Уроки'!$A:$A,0)),"")</f>
        <v/>
      </c>
      <c r="L465" s="11" t="inlineStr">
        <is>
          <t>Spotlight / 7 класс / Module 2 · Tale time / Past Simple / Past Simple: неправильные глаголы — утверждение</t>
        </is>
      </c>
    </row>
    <row r="466">
      <c r="A466" s="37" t="n">
        <v>7</v>
      </c>
      <c r="B466" s="11" t="inlineStr">
        <is>
          <t>Module 2 · Tale time</t>
        </is>
      </c>
      <c r="C466" s="11" t="inlineStr"/>
      <c r="D466" s="11" t="inlineStr">
        <is>
          <t>Past Simple</t>
        </is>
      </c>
      <c r="E466" s="35" t="inlineStr">
        <is>
          <t>Past Simple: неправильные глаголы — отрицание (didn't go)</t>
        </is>
      </c>
      <c r="F466" s="11" t="inlineStr">
        <is>
          <t>Ст-007</t>
        </is>
      </c>
      <c r="G466" s="37" t="inlineStr">
        <is>
          <t>повторение</t>
        </is>
      </c>
      <c r="H466" s="11" t="inlineStr"/>
      <c r="I466" s="37" t="inlineStr">
        <is>
          <t>10+</t>
        </is>
      </c>
      <c r="J466" s="11">
        <f>IFERROR(INDEX('Уроки'!$H:$H,MATCH(F466,'Уроки'!$A:$A,0)),"")</f>
        <v/>
      </c>
      <c r="K466" s="11">
        <f>IFERROR(INDEX('Уроки'!$J:$J,MATCH(F466,'Уроки'!$A:$A,0)),"")</f>
        <v/>
      </c>
      <c r="L466" s="11" t="inlineStr">
        <is>
          <t>Spotlight / 7 класс / Module 2 · Tale time / Past Simple / Past Simple: неправильные глаголы — отрицание (didn't go)</t>
        </is>
      </c>
    </row>
    <row r="467">
      <c r="A467" s="37" t="n">
        <v>7</v>
      </c>
      <c r="B467" s="11" t="inlineStr">
        <is>
          <t>Module 2 · Tale time</t>
        </is>
      </c>
      <c r="C467" s="11" t="inlineStr"/>
      <c r="D467" s="11" t="inlineStr">
        <is>
          <t>Past Simple</t>
        </is>
      </c>
      <c r="E467" s="35" t="inlineStr">
        <is>
          <t>Past Simple: неправильные глаголы — вопросы (Did … go?)</t>
        </is>
      </c>
      <c r="F467" s="11" t="inlineStr">
        <is>
          <t>Ст-008</t>
        </is>
      </c>
      <c r="G467" s="37" t="inlineStr">
        <is>
          <t>повторение</t>
        </is>
      </c>
      <c r="H467" s="11" t="inlineStr"/>
      <c r="I467" s="37" t="inlineStr">
        <is>
          <t>10+</t>
        </is>
      </c>
      <c r="J467" s="11">
        <f>IFERROR(INDEX('Уроки'!$H:$H,MATCH(F467,'Уроки'!$A:$A,0)),"")</f>
        <v/>
      </c>
      <c r="K467" s="11">
        <f>IFERROR(INDEX('Уроки'!$J:$J,MATCH(F467,'Уроки'!$A:$A,0)),"")</f>
        <v/>
      </c>
      <c r="L467" s="11" t="inlineStr">
        <is>
          <t>Spotlight / 7 класс / Module 2 · Tale time / Past Simple / Past Simple: неправильные глаголы — вопросы (Did … go?)</t>
        </is>
      </c>
    </row>
    <row r="468">
      <c r="A468" s="37" t="n">
        <v>7</v>
      </c>
      <c r="B468" s="11" t="inlineStr">
        <is>
          <t>Module 2 · Tale time</t>
        </is>
      </c>
      <c r="C468" s="11" t="inlineStr"/>
      <c r="D468" s="11" t="inlineStr">
        <is>
          <t>Past Simple</t>
        </is>
      </c>
      <c r="E468" s="33" t="inlineStr">
        <is>
          <t>Past Simple: значение — действие в прошлом (yesterday, ago)</t>
        </is>
      </c>
      <c r="F468" s="11" t="inlineStr">
        <is>
          <t>Ст-010</t>
        </is>
      </c>
      <c r="G468" s="41" t="inlineStr">
        <is>
          <t>расширение</t>
        </is>
      </c>
      <c r="H468" s="11" t="inlineStr">
        <is>
          <t>новые сигнальные слова: the other day, in 2006</t>
        </is>
      </c>
      <c r="I468" s="37" t="inlineStr">
        <is>
          <t>10+</t>
        </is>
      </c>
      <c r="J468" s="11">
        <f>IFERROR(INDEX('Уроки'!$H:$H,MATCH(F468,'Уроки'!$A:$A,0)),"")</f>
        <v/>
      </c>
      <c r="K468" s="11">
        <f>IFERROR(INDEX('Уроки'!$J:$J,MATCH(F468,'Уроки'!$A:$A,0)),"")</f>
        <v/>
      </c>
      <c r="L468" s="11" t="inlineStr">
        <is>
          <t>Spotlight / 7 класс / Module 2 · Tale time / Past Simple / Past Simple: значение — действие в прошлом (yesterday, ago)</t>
        </is>
      </c>
    </row>
    <row r="469">
      <c r="A469" s="37" t="n">
        <v>7</v>
      </c>
      <c r="B469" s="11" t="inlineStr">
        <is>
          <t>Module 2 · Tale time</t>
        </is>
      </c>
      <c r="C469" s="11" t="inlineStr"/>
      <c r="D469" s="11" t="inlineStr">
        <is>
          <t>used to</t>
        </is>
      </c>
      <c r="E469" s="33" t="inlineStr">
        <is>
          <t>used to: значение — прошлые привычки и регулярные действия</t>
        </is>
      </c>
      <c r="F469" s="11" t="inlineStr">
        <is>
          <t>Ст-216</t>
        </is>
      </c>
      <c r="G469" s="40" t="inlineStr">
        <is>
          <t>новое</t>
        </is>
      </c>
      <c r="H469" s="11" t="inlineStr">
        <is>
          <t>used to + V; может заменяться Past Simple; −/? не даны</t>
        </is>
      </c>
      <c r="I469" s="37" t="inlineStr">
        <is>
          <t>10+</t>
        </is>
      </c>
      <c r="J469" s="11">
        <f>IFERROR(INDEX('Уроки'!$H:$H,MATCH(F469,'Уроки'!$A:$A,0)),"")</f>
        <v/>
      </c>
      <c r="K469" s="11">
        <f>IFERROR(INDEX('Уроки'!$J:$J,MATCH(F469,'Уроки'!$A:$A,0)),"")</f>
        <v/>
      </c>
      <c r="L469" s="11" t="inlineStr">
        <is>
          <t>Spotlight / 7 класс / Module 2 · Tale time / used to / used to: значение — прошлые привычки и регулярные действия</t>
        </is>
      </c>
    </row>
    <row r="470">
      <c r="A470" s="37" t="n">
        <v>7</v>
      </c>
      <c r="B470" s="11" t="inlineStr">
        <is>
          <t>Module 2 · Tale time</t>
        </is>
      </c>
      <c r="C470" s="11" t="inlineStr"/>
      <c r="D470" s="11" t="inlineStr">
        <is>
          <t>used to</t>
        </is>
      </c>
      <c r="E470" s="33" t="inlineStr">
        <is>
          <t>used to: значение — прошлые состояния, которых больше нет</t>
        </is>
      </c>
      <c r="F470" s="11" t="inlineStr">
        <is>
          <t>Ст-217</t>
        </is>
      </c>
      <c r="G470" s="40" t="inlineStr">
        <is>
          <t>новое</t>
        </is>
      </c>
      <c r="H470" s="11" t="inlineStr">
        <is>
          <t>He used to live in Spain</t>
        </is>
      </c>
      <c r="I470" s="37" t="inlineStr">
        <is>
          <t>10+</t>
        </is>
      </c>
      <c r="J470" s="11">
        <f>IFERROR(INDEX('Уроки'!$H:$H,MATCH(F470,'Уроки'!$A:$A,0)),"")</f>
        <v/>
      </c>
      <c r="K470" s="11">
        <f>IFERROR(INDEX('Уроки'!$J:$J,MATCH(F470,'Уроки'!$A:$A,0)),"")</f>
        <v/>
      </c>
      <c r="L470" s="11" t="inlineStr">
        <is>
          <t>Spotlight / 7 класс / Module 2 · Tale time / used to / used to: значение — прошлые состояния, которых больше нет</t>
        </is>
      </c>
    </row>
    <row r="471">
      <c r="A471" s="37" t="n">
        <v>7</v>
      </c>
      <c r="B471" s="11" t="inlineStr">
        <is>
          <t>Module 2 · Tale time</t>
        </is>
      </c>
      <c r="C471" s="11" t="inlineStr"/>
      <c r="D471" s="11" t="inlineStr">
        <is>
          <t>used to</t>
        </is>
      </c>
      <c r="E471" s="35" t="inlineStr">
        <is>
          <t>used to vs Past Simple: однократное действие — только Past Simple</t>
        </is>
      </c>
      <c r="F471" s="11" t="inlineStr">
        <is>
          <t>Ст-218</t>
        </is>
      </c>
      <c r="G471" s="40" t="inlineStr">
        <is>
          <t>новое</t>
        </is>
      </c>
      <c r="H471" s="11" t="inlineStr">
        <is>
          <t>NOT: He used to walk to work yesterday</t>
        </is>
      </c>
      <c r="I471" s="37" t="inlineStr">
        <is>
          <t>10+</t>
        </is>
      </c>
      <c r="J471" s="11">
        <f>IFERROR(INDEX('Уроки'!$H:$H,MATCH(F471,'Уроки'!$A:$A,0)),"")</f>
        <v/>
      </c>
      <c r="K471" s="11">
        <f>IFERROR(INDEX('Уроки'!$J:$J,MATCH(F471,'Уроки'!$A:$A,0)),"")</f>
        <v/>
      </c>
      <c r="L471" s="11" t="inlineStr">
        <is>
          <t>Spotlight / 7 класс / Module 2 · Tale time / used to / used to vs Past Simple: однократное действие — только Past Simple</t>
        </is>
      </c>
    </row>
    <row r="472">
      <c r="A472" s="37" t="n">
        <v>7</v>
      </c>
      <c r="B472" s="11" t="inlineStr">
        <is>
          <t>Module 3 · Profiles</t>
        </is>
      </c>
      <c r="C472" s="11" t="inlineStr"/>
      <c r="D472" s="11" t="inlineStr">
        <is>
          <t>Adjectives (general)</t>
        </is>
      </c>
      <c r="E472" s="35" t="inlineStr">
        <is>
          <t>Adjectives: не изменяются по числам</t>
        </is>
      </c>
      <c r="F472" s="11" t="inlineStr">
        <is>
          <t>Ст-453</t>
        </is>
      </c>
      <c r="G472" s="40" t="inlineStr">
        <is>
          <t>новое</t>
        </is>
      </c>
      <c r="H472" s="11" t="inlineStr">
        <is>
          <t>a small car – small cars</t>
        </is>
      </c>
      <c r="I472" s="37" t="inlineStr">
        <is>
          <t>10+</t>
        </is>
      </c>
      <c r="J472" s="11">
        <f>IFERROR(INDEX('Уроки'!$H:$H,MATCH(F472,'Уроки'!$A:$A,0)),"")</f>
        <v/>
      </c>
      <c r="K472" s="11">
        <f>IFERROR(INDEX('Уроки'!$J:$J,MATCH(F472,'Уроки'!$A:$A,0)),"")</f>
        <v/>
      </c>
      <c r="L472" s="11" t="inlineStr">
        <is>
          <t>Spotlight / 7 класс / Module 3 · Profiles / Adjectives (general) / Adjectives: не изменяются по числам</t>
        </is>
      </c>
    </row>
    <row r="473">
      <c r="A473" s="37" t="n">
        <v>7</v>
      </c>
      <c r="B473" s="11" t="inlineStr">
        <is>
          <t>Module 3 · Profiles</t>
        </is>
      </c>
      <c r="C473" s="11" t="inlineStr"/>
      <c r="D473" s="11" t="inlineStr">
        <is>
          <t>Adjectives (general)</t>
        </is>
      </c>
      <c r="E473" s="35" t="inlineStr">
        <is>
          <t>Adjectives: место — перед существительным, после be / look, smell, sound, feel, taste</t>
        </is>
      </c>
      <c r="F473" s="11" t="inlineStr">
        <is>
          <t>Ст-454</t>
        </is>
      </c>
      <c r="G473" s="40" t="inlineStr">
        <is>
          <t>новое</t>
        </is>
      </c>
      <c r="H473" s="11" t="inlineStr">
        <is>
          <t>Mary is young. You look tired.</t>
        </is>
      </c>
      <c r="I473" s="37" t="inlineStr">
        <is>
          <t>10+</t>
        </is>
      </c>
      <c r="J473" s="11">
        <f>IFERROR(INDEX('Уроки'!$H:$H,MATCH(F473,'Уроки'!$A:$A,0)),"")</f>
        <v/>
      </c>
      <c r="K473" s="11">
        <f>IFERROR(INDEX('Уроки'!$J:$J,MATCH(F473,'Уроки'!$A:$A,0)),"")</f>
        <v/>
      </c>
      <c r="L473" s="11" t="inlineStr">
        <is>
          <t>Spotlight / 7 класс / Module 3 · Profiles / Adjectives (general) / Adjectives: место — перед существительным, после be / look, smell, sound, feel, taste</t>
        </is>
      </c>
    </row>
    <row r="474">
      <c r="A474" s="37" t="n">
        <v>7</v>
      </c>
      <c r="B474" s="11" t="inlineStr">
        <is>
          <t>Module 3 · Profiles</t>
        </is>
      </c>
      <c r="C474" s="11" t="inlineStr"/>
      <c r="D474" s="11" t="inlineStr">
        <is>
          <t>Adjectives (general)</t>
        </is>
      </c>
      <c r="E474" s="35" t="inlineStr">
        <is>
          <t>Adjectives: мнение vs объективные характеристики</t>
        </is>
      </c>
      <c r="F474" s="11" t="inlineStr">
        <is>
          <t>Ст-455</t>
        </is>
      </c>
      <c r="G474" s="40" t="inlineStr">
        <is>
          <t>новое</t>
        </is>
      </c>
      <c r="H474" s="11" t="inlineStr">
        <is>
          <t>beautiful, good vs long, strong, young</t>
        </is>
      </c>
      <c r="I474" s="37" t="inlineStr">
        <is>
          <t>10+</t>
        </is>
      </c>
      <c r="J474" s="11">
        <f>IFERROR(INDEX('Уроки'!$H:$H,MATCH(F474,'Уроки'!$A:$A,0)),"")</f>
        <v/>
      </c>
      <c r="K474" s="11">
        <f>IFERROR(INDEX('Уроки'!$J:$J,MATCH(F474,'Уроки'!$A:$A,0)),"")</f>
        <v/>
      </c>
      <c r="L474" s="11" t="inlineStr">
        <is>
          <t>Spotlight / 7 класс / Module 3 · Profiles / Adjectives (general) / Adjectives: мнение vs объективные характеристики</t>
        </is>
      </c>
    </row>
    <row r="475">
      <c r="A475" s="37" t="n">
        <v>7</v>
      </c>
      <c r="B475" s="11" t="inlineStr">
        <is>
          <t>Module 3 · Profiles</t>
        </is>
      </c>
      <c r="C475" s="11" t="inlineStr"/>
      <c r="D475" s="11" t="inlineStr">
        <is>
          <t>Adjectives (order)</t>
        </is>
      </c>
      <c r="E475" s="33" t="inlineStr">
        <is>
          <t>Adjectives (order): мнение перед объективными характеристиками</t>
        </is>
      </c>
      <c r="F475" s="11" t="inlineStr">
        <is>
          <t>Ст-456</t>
        </is>
      </c>
      <c r="G475" s="40" t="inlineStr">
        <is>
          <t>новое</t>
        </is>
      </c>
      <c r="H475" s="11" t="inlineStr">
        <is>
          <t>a colourful summer dress; обычно не более трёх</t>
        </is>
      </c>
      <c r="I475" s="37" t="inlineStr">
        <is>
          <t>10+</t>
        </is>
      </c>
      <c r="J475" s="11">
        <f>IFERROR(INDEX('Уроки'!$H:$H,MATCH(F475,'Уроки'!$A:$A,0)),"")</f>
        <v/>
      </c>
      <c r="K475" s="11">
        <f>IFERROR(INDEX('Уроки'!$J:$J,MATCH(F475,'Уроки'!$A:$A,0)),"")</f>
        <v/>
      </c>
      <c r="L475" s="11" t="inlineStr">
        <is>
          <t>Spotlight / 7 класс / Module 3 · Profiles / Adjectives (order) / Adjectives (order): мнение перед объективными характеристиками</t>
        </is>
      </c>
    </row>
    <row r="476">
      <c r="A476" s="37" t="n">
        <v>7</v>
      </c>
      <c r="B476" s="11" t="inlineStr">
        <is>
          <t>Module 3 · Profiles</t>
        </is>
      </c>
      <c r="C476" s="11" t="inlineStr"/>
      <c r="D476" s="11" t="inlineStr">
        <is>
          <t>Adjectives (order)</t>
        </is>
      </c>
      <c r="E476" s="33" t="inlineStr">
        <is>
          <t>Adjectives (order): размер – возраст – форма – цвет – происхождение – материал</t>
        </is>
      </c>
      <c r="F476" s="11" t="inlineStr">
        <is>
          <t>Ст-457</t>
        </is>
      </c>
      <c r="G476" s="40" t="inlineStr">
        <is>
          <t>новое</t>
        </is>
      </c>
      <c r="H476" s="11" t="inlineStr">
        <is>
          <t>Size, Age, Shape, Colour, Origin, Material; узор не выделен</t>
        </is>
      </c>
      <c r="I476" s="37" t="inlineStr">
        <is>
          <t>10+</t>
        </is>
      </c>
      <c r="J476" s="11">
        <f>IFERROR(INDEX('Уроки'!$H:$H,MATCH(F476,'Уроки'!$A:$A,0)),"")</f>
        <v/>
      </c>
      <c r="K476" s="11">
        <f>IFERROR(INDEX('Уроки'!$J:$J,MATCH(F476,'Уроки'!$A:$A,0)),"")</f>
        <v/>
      </c>
      <c r="L476" s="11" t="inlineStr">
        <is>
          <t>Spotlight / 7 класс / Module 3 · Profiles / Adjectives (order) / Adjectives (order): размер – возраст – форма – цвет – происхождение – материал</t>
        </is>
      </c>
    </row>
    <row r="477">
      <c r="A477" s="37" t="n">
        <v>7</v>
      </c>
      <c r="B477" s="11" t="inlineStr">
        <is>
          <t>Module 3 · Profiles</t>
        </is>
      </c>
      <c r="C477" s="11" t="inlineStr"/>
      <c r="D477" s="11" t="inlineStr">
        <is>
          <t>Adjectives -ed/-ing</t>
        </is>
      </c>
      <c r="E477" s="33" t="inlineStr">
        <is>
          <t>Adjectives -ed/-ing: -ing — каков предмет/явление (amazing)</t>
        </is>
      </c>
      <c r="F477" s="11" t="inlineStr">
        <is>
          <t>Ст-459</t>
        </is>
      </c>
      <c r="G477" s="40" t="inlineStr">
        <is>
          <t>новое</t>
        </is>
      </c>
      <c r="H477" s="11" t="inlineStr">
        <is>
          <t>amazing</t>
        </is>
      </c>
      <c r="I477" s="37" t="inlineStr">
        <is>
          <t>10+</t>
        </is>
      </c>
      <c r="J477" s="11">
        <f>IFERROR(INDEX('Уроки'!$H:$H,MATCH(F477,'Уроки'!$A:$A,0)),"")</f>
        <v/>
      </c>
      <c r="K477" s="11">
        <f>IFERROR(INDEX('Уроки'!$J:$J,MATCH(F477,'Уроки'!$A:$A,0)),"")</f>
        <v/>
      </c>
      <c r="L477" s="11" t="inlineStr">
        <is>
          <t>Spotlight / 7 класс / Module 3 · Profiles / Adjectives -ed/-ing / Adjectives -ed/-ing: -ing — каков предмет/явление (amazing)</t>
        </is>
      </c>
    </row>
    <row r="478">
      <c r="A478" s="37" t="n">
        <v>7</v>
      </c>
      <c r="B478" s="11" t="inlineStr">
        <is>
          <t>Module 3 · Profiles</t>
        </is>
      </c>
      <c r="C478" s="11" t="inlineStr"/>
      <c r="D478" s="11" t="inlineStr">
        <is>
          <t>Adjectives -ed/-ing</t>
        </is>
      </c>
      <c r="E478" s="33" t="inlineStr">
        <is>
          <t>Adjectives -ed/-ing: -ed — что чувствует человек (amazed)</t>
        </is>
      </c>
      <c r="F478" s="11" t="inlineStr">
        <is>
          <t>Ст-460</t>
        </is>
      </c>
      <c r="G478" s="40" t="inlineStr">
        <is>
          <t>новое</t>
        </is>
      </c>
      <c r="H478" s="11" t="inlineStr">
        <is>
          <t>shocked, amazed</t>
        </is>
      </c>
      <c r="I478" s="37" t="inlineStr">
        <is>
          <t>10+</t>
        </is>
      </c>
      <c r="J478" s="11">
        <f>IFERROR(INDEX('Уроки'!$H:$H,MATCH(F478,'Уроки'!$A:$A,0)),"")</f>
        <v/>
      </c>
      <c r="K478" s="11">
        <f>IFERROR(INDEX('Уроки'!$J:$J,MATCH(F478,'Уроки'!$A:$A,0)),"")</f>
        <v/>
      </c>
      <c r="L478" s="11" t="inlineStr">
        <is>
          <t>Spotlight / 7 класс / Module 3 · Profiles / Adjectives -ed/-ing / Adjectives -ed/-ing: -ed — что чувствует человек (amazed)</t>
        </is>
      </c>
    </row>
    <row r="479">
      <c r="A479" s="37" t="n">
        <v>7</v>
      </c>
      <c r="B479" s="11" t="inlineStr">
        <is>
          <t>Module 3 · Profiles</t>
        </is>
      </c>
      <c r="C479" s="11" t="inlineStr"/>
      <c r="D479" s="11" t="inlineStr">
        <is>
          <t>Relative pronouns / Relative clauses</t>
        </is>
      </c>
      <c r="E479" s="34" t="inlineStr">
        <is>
          <t>Relative clauses: who(m) / which / that — люди и предметы</t>
        </is>
      </c>
      <c r="F479" s="11" t="inlineStr">
        <is>
          <t>Ст-526</t>
        </is>
      </c>
      <c r="G479" s="40" t="inlineStr">
        <is>
          <t>новое</t>
        </is>
      </c>
      <c r="H479" s="11" t="inlineStr">
        <is>
          <t>who(m)/that — люди, which/that — предметы</t>
        </is>
      </c>
      <c r="I479" s="37" t="inlineStr">
        <is>
          <t>10+</t>
        </is>
      </c>
      <c r="J479" s="11">
        <f>IFERROR(INDEX('Уроки'!$H:$H,MATCH(F479,'Уроки'!$A:$A,0)),"")</f>
        <v/>
      </c>
      <c r="K479" s="11">
        <f>IFERROR(INDEX('Уроки'!$J:$J,MATCH(F479,'Уроки'!$A:$A,0)),"")</f>
        <v/>
      </c>
      <c r="L479" s="11" t="inlineStr">
        <is>
          <t>Spotlight / 7 класс / Module 3 · Profiles / Relative pronouns / Relative clauses / Relative clauses: who(m) / which / that — люди и предметы</t>
        </is>
      </c>
    </row>
    <row r="480">
      <c r="A480" s="37" t="n">
        <v>7</v>
      </c>
      <c r="B480" s="11" t="inlineStr">
        <is>
          <t>Module 3 · Profiles</t>
        </is>
      </c>
      <c r="C480" s="11" t="inlineStr"/>
      <c r="D480" s="11" t="inlineStr">
        <is>
          <t>Relative pronouns / Relative clauses</t>
        </is>
      </c>
      <c r="E480" s="34" t="inlineStr">
        <is>
          <t>Relative clauses: whose — принадлежность</t>
        </is>
      </c>
      <c r="F480" s="11" t="inlineStr">
        <is>
          <t>Ст-527</t>
        </is>
      </c>
      <c r="G480" s="40" t="inlineStr">
        <is>
          <t>новое</t>
        </is>
      </c>
      <c r="H480" s="11" t="inlineStr">
        <is>
          <t>whose — люди, животные, предметы; не опускается</t>
        </is>
      </c>
      <c r="I480" s="37" t="inlineStr">
        <is>
          <t>10+</t>
        </is>
      </c>
      <c r="J480" s="11">
        <f>IFERROR(INDEX('Уроки'!$H:$H,MATCH(F480,'Уроки'!$A:$A,0)),"")</f>
        <v/>
      </c>
      <c r="K480" s="11">
        <f>IFERROR(INDEX('Уроки'!$J:$J,MATCH(F480,'Уроки'!$A:$A,0)),"")</f>
        <v/>
      </c>
      <c r="L480" s="11" t="inlineStr">
        <is>
          <t>Spotlight / 7 класс / Module 3 · Profiles / Relative pronouns / Relative clauses / Relative clauses: whose — принадлежность</t>
        </is>
      </c>
    </row>
    <row r="481">
      <c r="A481" s="37" t="n">
        <v>7</v>
      </c>
      <c r="B481" s="11" t="inlineStr">
        <is>
          <t>Module 3 · Profiles</t>
        </is>
      </c>
      <c r="C481" s="11" t="inlineStr"/>
      <c r="D481" s="11" t="inlineStr">
        <is>
          <t>Relative pronouns / Relative clauses</t>
        </is>
      </c>
      <c r="E481" s="34" t="inlineStr">
        <is>
          <t>Relative clauses: опущение who/which/that (дополнение vs подлежащее)</t>
        </is>
      </c>
      <c r="F481" s="11" t="inlineStr">
        <is>
          <t>Ст-528</t>
        </is>
      </c>
      <c r="G481" s="40" t="inlineStr">
        <is>
          <t>новое</t>
        </is>
      </c>
      <c r="H481" s="11" t="inlineStr">
        <is>
          <t>можно опустить, если дополнение; нельзя — если подлежащее</t>
        </is>
      </c>
      <c r="I481" s="37" t="inlineStr">
        <is>
          <t>10+</t>
        </is>
      </c>
      <c r="J481" s="11">
        <f>IFERROR(INDEX('Уроки'!$H:$H,MATCH(F481,'Уроки'!$A:$A,0)),"")</f>
        <v/>
      </c>
      <c r="K481" s="11">
        <f>IFERROR(INDEX('Уроки'!$J:$J,MATCH(F481,'Уроки'!$A:$A,0)),"")</f>
        <v/>
      </c>
      <c r="L481" s="11" t="inlineStr">
        <is>
          <t>Spotlight / 7 класс / Module 3 · Profiles / Relative pronouns / Relative clauses / Relative clauses: опущение who/which/that (дополнение vs подлежащее)</t>
        </is>
      </c>
    </row>
    <row r="482">
      <c r="A482" s="37" t="n">
        <v>7</v>
      </c>
      <c r="B482" s="11" t="inlineStr">
        <is>
          <t>Module 3 · Profiles</t>
        </is>
      </c>
      <c r="C482" s="11" t="inlineStr"/>
      <c r="D482" s="11" t="inlineStr">
        <is>
          <t>Relative pronouns / Relative clauses</t>
        </is>
      </c>
      <c r="E482" s="34" t="inlineStr">
        <is>
          <t>Relative clauses: относительные наречия when / where / why</t>
        </is>
      </c>
      <c r="F482" s="11" t="inlineStr">
        <is>
          <t>Ст-529</t>
        </is>
      </c>
      <c r="G482" s="40" t="inlineStr">
        <is>
          <t>новое</t>
        </is>
      </c>
      <c r="H482" s="11" t="inlineStr">
        <is>
          <t>when/that, where, why (после reason)</t>
        </is>
      </c>
      <c r="I482" s="37" t="inlineStr">
        <is>
          <t>10+</t>
        </is>
      </c>
      <c r="J482" s="11">
        <f>IFERROR(INDEX('Уроки'!$H:$H,MATCH(F482,'Уроки'!$A:$A,0)),"")</f>
        <v/>
      </c>
      <c r="K482" s="11">
        <f>IFERROR(INDEX('Уроки'!$J:$J,MATCH(F482,'Уроки'!$A:$A,0)),"")</f>
        <v/>
      </c>
      <c r="L482" s="11" t="inlineStr">
        <is>
          <t>Spotlight / 7 класс / Module 3 · Profiles / Relative pronouns / Relative clauses / Relative clauses: относительные наречия when / where / why</t>
        </is>
      </c>
    </row>
    <row r="483">
      <c r="A483" s="37" t="n">
        <v>7</v>
      </c>
      <c r="B483" s="11" t="inlineStr">
        <is>
          <t>Module 4 · In the news</t>
        </is>
      </c>
      <c r="C483" s="11" t="inlineStr"/>
      <c r="D483" s="11" t="inlineStr">
        <is>
          <t>Past Continuous</t>
        </is>
      </c>
      <c r="E483" s="33" t="inlineStr">
        <is>
          <t>Past Continuous: значение — действие в процессе в момент прошлого</t>
        </is>
      </c>
      <c r="F483" s="11" t="inlineStr">
        <is>
          <t>Ст-087</t>
        </is>
      </c>
      <c r="G483" s="40" t="inlineStr">
        <is>
          <t>новое</t>
        </is>
      </c>
      <c r="H483" s="11" t="inlineStr">
        <is>
          <t>at 8 o'clock, all morning</t>
        </is>
      </c>
      <c r="I483" s="37" t="inlineStr">
        <is>
          <t>10+</t>
        </is>
      </c>
      <c r="J483" s="11">
        <f>IFERROR(INDEX('Уроки'!$H:$H,MATCH(F483,'Уроки'!$A:$A,0)),"")</f>
        <v/>
      </c>
      <c r="K483" s="11">
        <f>IFERROR(INDEX('Уроки'!$J:$J,MATCH(F483,'Уроки'!$A:$A,0)),"")</f>
        <v/>
      </c>
      <c r="L483" s="11" t="inlineStr">
        <is>
          <t>Spotlight / 7 класс / Module 4 · In the news / Past Continuous / Past Continuous: значение — действие в процессе в момент прошлого</t>
        </is>
      </c>
    </row>
    <row r="484">
      <c r="A484" s="37" t="n">
        <v>7</v>
      </c>
      <c r="B484" s="11" t="inlineStr">
        <is>
          <t>Module 4 · In the news</t>
        </is>
      </c>
      <c r="C484" s="11" t="inlineStr"/>
      <c r="D484" s="11" t="inlineStr">
        <is>
          <t>Past Continuous</t>
        </is>
      </c>
      <c r="E484" s="33" t="inlineStr">
        <is>
          <t>Past Continuous: значение — длительное действие, прерванное другим (when)</t>
        </is>
      </c>
      <c r="F484" s="11" t="inlineStr">
        <is>
          <t>Ст-088</t>
        </is>
      </c>
      <c r="G484" s="40" t="inlineStr">
        <is>
          <t>новое</t>
        </is>
      </c>
      <c r="H484" s="11" t="inlineStr">
        <is>
          <t>when</t>
        </is>
      </c>
      <c r="I484" s="37" t="inlineStr">
        <is>
          <t>10+</t>
        </is>
      </c>
      <c r="J484" s="11">
        <f>IFERROR(INDEX('Уроки'!$H:$H,MATCH(F484,'Уроки'!$A:$A,0)),"")</f>
        <v/>
      </c>
      <c r="K484" s="11">
        <f>IFERROR(INDEX('Уроки'!$J:$J,MATCH(F484,'Уроки'!$A:$A,0)),"")</f>
        <v/>
      </c>
      <c r="L484" s="11" t="inlineStr">
        <is>
          <t>Spotlight / 7 класс / Module 4 · In the news / Past Continuous / Past Continuous: значение — длительное действие, прерванное другим (when)</t>
        </is>
      </c>
    </row>
    <row r="485">
      <c r="A485" s="37" t="n">
        <v>7</v>
      </c>
      <c r="B485" s="11" t="inlineStr">
        <is>
          <t>Module 4 · In the news</t>
        </is>
      </c>
      <c r="C485" s="11" t="inlineStr"/>
      <c r="D485" s="11" t="inlineStr">
        <is>
          <t>Past Continuous</t>
        </is>
      </c>
      <c r="E485" s="33" t="inlineStr">
        <is>
          <t>Past Continuous: значение — одновременные действия (while)</t>
        </is>
      </c>
      <c r="F485" s="11" t="inlineStr">
        <is>
          <t>Ст-089</t>
        </is>
      </c>
      <c r="G485" s="40" t="inlineStr">
        <is>
          <t>новое</t>
        </is>
      </c>
      <c r="H485" s="11" t="inlineStr">
        <is>
          <t>while, as</t>
        </is>
      </c>
      <c r="I485" s="37" t="inlineStr">
        <is>
          <t>10+</t>
        </is>
      </c>
      <c r="J485" s="11">
        <f>IFERROR(INDEX('Уроки'!$H:$H,MATCH(F485,'Уроки'!$A:$A,0)),"")</f>
        <v/>
      </c>
      <c r="K485" s="11">
        <f>IFERROR(INDEX('Уроки'!$J:$J,MATCH(F485,'Уроки'!$A:$A,0)),"")</f>
        <v/>
      </c>
      <c r="L485" s="11" t="inlineStr">
        <is>
          <t>Spotlight / 7 класс / Module 4 · In the news / Past Continuous / Past Continuous: значение — одновременные действия (while)</t>
        </is>
      </c>
    </row>
    <row r="486">
      <c r="A486" s="37" t="n">
        <v>7</v>
      </c>
      <c r="B486" s="11" t="inlineStr">
        <is>
          <t>Module 4 · In the news</t>
        </is>
      </c>
      <c r="C486" s="11" t="inlineStr"/>
      <c r="D486" s="11" t="inlineStr">
        <is>
          <t>Past Continuous</t>
        </is>
      </c>
      <c r="E486" s="33" t="inlineStr">
        <is>
          <t>Past Continuous: значение — фон и атмосфера в рассказе</t>
        </is>
      </c>
      <c r="F486" s="11" t="inlineStr">
        <is>
          <t>Ст-090</t>
        </is>
      </c>
      <c r="G486" s="40" t="inlineStr">
        <is>
          <t>новое</t>
        </is>
      </c>
      <c r="H486" s="11" t="inlineStr">
        <is>
          <t>вступление к рассказу</t>
        </is>
      </c>
      <c r="I486" s="37" t="inlineStr">
        <is>
          <t>10+</t>
        </is>
      </c>
      <c r="J486" s="11">
        <f>IFERROR(INDEX('Уроки'!$H:$H,MATCH(F486,'Уроки'!$A:$A,0)),"")</f>
        <v/>
      </c>
      <c r="K486" s="11">
        <f>IFERROR(INDEX('Уроки'!$J:$J,MATCH(F486,'Уроки'!$A:$A,0)),"")</f>
        <v/>
      </c>
      <c r="L486" s="11" t="inlineStr">
        <is>
          <t>Spotlight / 7 класс / Module 4 · In the news / Past Continuous / Past Continuous: значение — фон и атмосфера в рассказе</t>
        </is>
      </c>
    </row>
    <row r="487">
      <c r="A487" s="37" t="n">
        <v>7</v>
      </c>
      <c r="B487" s="11" t="inlineStr">
        <is>
          <t>Module 4 · In the news</t>
        </is>
      </c>
      <c r="C487" s="11" t="inlineStr"/>
      <c r="D487" s="11" t="inlineStr">
        <is>
          <t>Past Continuous</t>
        </is>
      </c>
      <c r="E487" s="35" t="inlineStr">
        <is>
          <t>Past Continuous: опущение второго was/were при одном подлежащем</t>
        </is>
      </c>
      <c r="F487" s="11" t="inlineStr">
        <is>
          <t>Ст-091</t>
        </is>
      </c>
      <c r="G487" s="40" t="inlineStr">
        <is>
          <t>новое</t>
        </is>
      </c>
      <c r="H487" s="11" t="inlineStr">
        <is>
          <t>He was walking along (and) talking…</t>
        </is>
      </c>
      <c r="I487" s="37" t="inlineStr">
        <is>
          <t>10+</t>
        </is>
      </c>
      <c r="J487" s="11">
        <f>IFERROR(INDEX('Уроки'!$H:$H,MATCH(F487,'Уроки'!$A:$A,0)),"")</f>
        <v/>
      </c>
      <c r="K487" s="11">
        <f>IFERROR(INDEX('Уроки'!$J:$J,MATCH(F487,'Уроки'!$A:$A,0)),"")</f>
        <v/>
      </c>
      <c r="L487" s="11" t="inlineStr">
        <is>
          <t>Spotlight / 7 класс / Module 4 · In the news / Past Continuous / Past Continuous: опущение второго was/were при одном подлежащем</t>
        </is>
      </c>
    </row>
    <row r="488">
      <c r="A488" s="37" t="n">
        <v>7</v>
      </c>
      <c r="B488" s="11" t="inlineStr">
        <is>
          <t>Module 4 · In the news</t>
        </is>
      </c>
      <c r="C488" s="11" t="inlineStr"/>
      <c r="D488" s="11" t="inlineStr">
        <is>
          <t>Past Simple vs Past Continuous</t>
        </is>
      </c>
      <c r="E488" s="35" t="inlineStr">
        <is>
          <t>Past Simple vs Past Continuous: указанное время — завершённое vs в процессе</t>
        </is>
      </c>
      <c r="F488" s="11" t="inlineStr">
        <is>
          <t>Ст-092</t>
        </is>
      </c>
      <c r="G488" s="40" t="inlineStr">
        <is>
          <t>новое</t>
        </is>
      </c>
      <c r="H488" s="11" t="inlineStr"/>
      <c r="I488" s="37" t="inlineStr">
        <is>
          <t>10+</t>
        </is>
      </c>
      <c r="J488" s="11">
        <f>IFERROR(INDEX('Уроки'!$H:$H,MATCH(F488,'Уроки'!$A:$A,0)),"")</f>
        <v/>
      </c>
      <c r="K488" s="11">
        <f>IFERROR(INDEX('Уроки'!$J:$J,MATCH(F488,'Уроки'!$A:$A,0)),"")</f>
        <v/>
      </c>
      <c r="L488" s="11" t="inlineStr">
        <is>
          <t>Spotlight / 7 класс / Module 4 · In the news / Past Simple vs Past Continuous / Past Simple vs Past Continuous: указанное время — завершённое vs в процессе</t>
        </is>
      </c>
    </row>
    <row r="489">
      <c r="A489" s="37" t="n">
        <v>7</v>
      </c>
      <c r="B489" s="11" t="inlineStr">
        <is>
          <t>Module 4 · In the news</t>
        </is>
      </c>
      <c r="C489" s="11" t="inlineStr"/>
      <c r="D489" s="11" t="inlineStr">
        <is>
          <t>Past Simple vs Past Continuous</t>
        </is>
      </c>
      <c r="E489" s="35" t="inlineStr">
        <is>
          <t>Past Simple vs Past Continuous: последовательные vs одновременные действия</t>
        </is>
      </c>
      <c r="F489" s="11" t="inlineStr">
        <is>
          <t>Ст-093</t>
        </is>
      </c>
      <c r="G489" s="40" t="inlineStr">
        <is>
          <t>новое</t>
        </is>
      </c>
      <c r="H489" s="11" t="inlineStr"/>
      <c r="I489" s="37" t="inlineStr">
        <is>
          <t>10+</t>
        </is>
      </c>
      <c r="J489" s="11">
        <f>IFERROR(INDEX('Уроки'!$H:$H,MATCH(F489,'Уроки'!$A:$A,0)),"")</f>
        <v/>
      </c>
      <c r="K489" s="11">
        <f>IFERROR(INDEX('Уроки'!$J:$J,MATCH(F489,'Уроки'!$A:$A,0)),"")</f>
        <v/>
      </c>
      <c r="L489" s="11" t="inlineStr">
        <is>
          <t>Spotlight / 7 класс / Module 4 · In the news / Past Simple vs Past Continuous / Past Simple vs Past Continuous: последовательные vs одновременные действия</t>
        </is>
      </c>
    </row>
    <row r="490">
      <c r="A490" s="37" t="n">
        <v>7</v>
      </c>
      <c r="B490" s="11" t="inlineStr">
        <is>
          <t>Module 4 · In the news</t>
        </is>
      </c>
      <c r="C490" s="11" t="inlineStr"/>
      <c r="D490" s="11" t="inlineStr">
        <is>
          <t>Past Simple vs Past Continuous</t>
        </is>
      </c>
      <c r="E490" s="34" t="inlineStr">
        <is>
          <t>Past Simple vs Past Continuous: прерванное (PC) и прерывающее (PS) действие</t>
        </is>
      </c>
      <c r="F490" s="11" t="inlineStr">
        <is>
          <t>Ст-094</t>
        </is>
      </c>
      <c r="G490" s="40" t="inlineStr">
        <is>
          <t>новое</t>
        </is>
      </c>
      <c r="H490" s="11" t="inlineStr">
        <is>
          <t>Joyce was walking her dog when it started to rain</t>
        </is>
      </c>
      <c r="I490" s="37" t="inlineStr">
        <is>
          <t>10+</t>
        </is>
      </c>
      <c r="J490" s="11">
        <f>IFERROR(INDEX('Уроки'!$H:$H,MATCH(F490,'Уроки'!$A:$A,0)),"")</f>
        <v/>
      </c>
      <c r="K490" s="11">
        <f>IFERROR(INDEX('Уроки'!$J:$J,MATCH(F490,'Уроки'!$A:$A,0)),"")</f>
        <v/>
      </c>
      <c r="L490" s="11" t="inlineStr">
        <is>
          <t>Spotlight / 7 класс / Module 4 · In the news / Past Simple vs Past Continuous / Past Simple vs Past Continuous: прерванное (PC) и прерывающее (PS) действие</t>
        </is>
      </c>
    </row>
    <row r="491">
      <c r="A491" s="37" t="n">
        <v>7</v>
      </c>
      <c r="B491" s="11" t="inlineStr">
        <is>
          <t>Module 5 · What the future holds</t>
        </is>
      </c>
      <c r="C491" s="11" t="inlineStr"/>
      <c r="D491" s="11" t="inlineStr">
        <is>
          <t>Future Simple (will)</t>
        </is>
      </c>
      <c r="E491" s="34" t="inlineStr">
        <is>
          <t>Future Simple (will): утверждение (will/'ll + V)</t>
        </is>
      </c>
      <c r="F491" s="11" t="inlineStr">
        <is>
          <t>Ст-039</t>
        </is>
      </c>
      <c r="G491" s="37" t="inlineStr">
        <is>
          <t>повторение</t>
        </is>
      </c>
      <c r="H491" s="11" t="inlineStr">
        <is>
          <t>will + инфинитив без to; формы −/? не даны</t>
        </is>
      </c>
      <c r="I491" s="37" t="inlineStr">
        <is>
          <t>10+</t>
        </is>
      </c>
      <c r="J491" s="11">
        <f>IFERROR(INDEX('Уроки'!$H:$H,MATCH(F491,'Уроки'!$A:$A,0)),"")</f>
        <v/>
      </c>
      <c r="K491" s="11">
        <f>IFERROR(INDEX('Уроки'!$J:$J,MATCH(F491,'Уроки'!$A:$A,0)),"")</f>
        <v/>
      </c>
      <c r="L491" s="11" t="inlineStr">
        <is>
          <t>Spotlight / 7 класс / Module 5 · What the future holds / Future Simple (will) / Future Simple (will): утверждение (will/'ll + V)</t>
        </is>
      </c>
    </row>
    <row r="492">
      <c r="A492" s="37" t="n">
        <v>7</v>
      </c>
      <c r="B492" s="11" t="inlineStr">
        <is>
          <t>Module 5 · What the future holds</t>
        </is>
      </c>
      <c r="C492" s="11" t="inlineStr"/>
      <c r="D492" s="11" t="inlineStr">
        <is>
          <t>Future Simple (will)</t>
        </is>
      </c>
      <c r="E492" s="33" t="inlineStr">
        <is>
          <t>Future Simple (will): значение — предсказание/предположение</t>
        </is>
      </c>
      <c r="F492" s="11" t="inlineStr">
        <is>
          <t>Ст-042</t>
        </is>
      </c>
      <c r="G492" s="41" t="inlineStr">
        <is>
          <t>расширение</t>
        </is>
      </c>
      <c r="H492" s="11" t="inlineStr">
        <is>
          <t>добавлены probably, certainly, perhaps</t>
        </is>
      </c>
      <c r="I492" s="37" t="inlineStr">
        <is>
          <t>10+</t>
        </is>
      </c>
      <c r="J492" s="11">
        <f>IFERROR(INDEX('Уроки'!$H:$H,MATCH(F492,'Уроки'!$A:$A,0)),"")</f>
        <v/>
      </c>
      <c r="K492" s="11">
        <f>IFERROR(INDEX('Уроки'!$J:$J,MATCH(F492,'Уроки'!$A:$A,0)),"")</f>
        <v/>
      </c>
      <c r="L492" s="11" t="inlineStr">
        <is>
          <t>Spotlight / 7 класс / Module 5 · What the future holds / Future Simple (will) / Future Simple (will): значение — предсказание/предположение</t>
        </is>
      </c>
    </row>
    <row r="493">
      <c r="A493" s="37" t="n">
        <v>7</v>
      </c>
      <c r="B493" s="11" t="inlineStr">
        <is>
          <t>Module 5 · What the future holds</t>
        </is>
      </c>
      <c r="C493" s="11" t="inlineStr"/>
      <c r="D493" s="11" t="inlineStr">
        <is>
          <t>Future Simple (will)</t>
        </is>
      </c>
      <c r="E493" s="33" t="inlineStr">
        <is>
          <t>Future Simple (will): значение — решение в момент речи</t>
        </is>
      </c>
      <c r="F493" s="11" t="inlineStr">
        <is>
          <t>Ст-043</t>
        </is>
      </c>
      <c r="G493" s="37" t="inlineStr">
        <is>
          <t>повторение</t>
        </is>
      </c>
      <c r="H493" s="11" t="inlineStr"/>
      <c r="I493" s="37" t="inlineStr">
        <is>
          <t>10+</t>
        </is>
      </c>
      <c r="J493" s="11">
        <f>IFERROR(INDEX('Уроки'!$H:$H,MATCH(F493,'Уроки'!$A:$A,0)),"")</f>
        <v/>
      </c>
      <c r="K493" s="11">
        <f>IFERROR(INDEX('Уроки'!$J:$J,MATCH(F493,'Уроки'!$A:$A,0)),"")</f>
        <v/>
      </c>
      <c r="L493" s="11" t="inlineStr">
        <is>
          <t>Spotlight / 7 класс / Module 5 · What the future holds / Future Simple (will) / Future Simple (will): значение — решение в момент речи</t>
        </is>
      </c>
    </row>
    <row r="494">
      <c r="A494" s="37" t="n">
        <v>7</v>
      </c>
      <c r="B494" s="11" t="inlineStr">
        <is>
          <t>Module 5 · What the future holds</t>
        </is>
      </c>
      <c r="C494" s="11" t="inlineStr"/>
      <c r="D494" s="11" t="inlineStr">
        <is>
          <t>Future Simple (will)</t>
        </is>
      </c>
      <c r="E494" s="34" t="inlineStr">
        <is>
          <t>Future Simple (will): значение — обещания</t>
        </is>
      </c>
      <c r="F494" s="11" t="inlineStr">
        <is>
          <t>Ст-044</t>
        </is>
      </c>
      <c r="G494" s="37" t="inlineStr">
        <is>
          <t>повторение</t>
        </is>
      </c>
      <c r="H494" s="11" t="inlineStr"/>
      <c r="I494" s="37" t="inlineStr">
        <is>
          <t>10+</t>
        </is>
      </c>
      <c r="J494" s="11">
        <f>IFERROR(INDEX('Уроки'!$H:$H,MATCH(F494,'Уроки'!$A:$A,0)),"")</f>
        <v/>
      </c>
      <c r="K494" s="11">
        <f>IFERROR(INDEX('Уроки'!$J:$J,MATCH(F494,'Уроки'!$A:$A,0)),"")</f>
        <v/>
      </c>
      <c r="L494" s="11" t="inlineStr">
        <is>
          <t>Spotlight / 7 класс / Module 5 · What the future holds / Future Simple (will) / Future Simple (will): значение — обещания</t>
        </is>
      </c>
    </row>
    <row r="495">
      <c r="A495" s="37" t="n">
        <v>7</v>
      </c>
      <c r="B495" s="11" t="inlineStr">
        <is>
          <t>Module 5 · What the future holds</t>
        </is>
      </c>
      <c r="C495" s="11" t="inlineStr"/>
      <c r="D495" s="11" t="inlineStr">
        <is>
          <t>Future Simple (will)</t>
        </is>
      </c>
      <c r="E495" s="34" t="inlineStr">
        <is>
          <t>Future Simple (will): значение — просьбы (Will you…?)</t>
        </is>
      </c>
      <c r="F495" s="11" t="inlineStr">
        <is>
          <t>Ст-045</t>
        </is>
      </c>
      <c r="G495" s="37" t="inlineStr">
        <is>
          <t>повторение</t>
        </is>
      </c>
      <c r="H495" s="11" t="inlineStr"/>
      <c r="I495" s="37" t="inlineStr">
        <is>
          <t>10+</t>
        </is>
      </c>
      <c r="J495" s="11">
        <f>IFERROR(INDEX('Уроки'!$H:$H,MATCH(F495,'Уроки'!$A:$A,0)),"")</f>
        <v/>
      </c>
      <c r="K495" s="11">
        <f>IFERROR(INDEX('Уроки'!$J:$J,MATCH(F495,'Уроки'!$A:$A,0)),"")</f>
        <v/>
      </c>
      <c r="L495" s="11" t="inlineStr">
        <is>
          <t>Spotlight / 7 класс / Module 5 · What the future holds / Future Simple (will) / Future Simple (will): значение — просьбы (Will you…?)</t>
        </is>
      </c>
    </row>
    <row r="496">
      <c r="A496" s="37" t="n">
        <v>7</v>
      </c>
      <c r="B496" s="11" t="inlineStr">
        <is>
          <t>Module 5 · What the future holds</t>
        </is>
      </c>
      <c r="C496" s="11" t="inlineStr"/>
      <c r="D496" s="11" t="inlineStr">
        <is>
          <t>Future Simple (will)</t>
        </is>
      </c>
      <c r="E496" s="34" t="inlineStr">
        <is>
          <t>Future Simple (will): значение — угрозы и предупреждения</t>
        </is>
      </c>
      <c r="F496" s="11" t="inlineStr">
        <is>
          <t>Ст-046</t>
        </is>
      </c>
      <c r="G496" s="40" t="inlineStr">
        <is>
          <t>новое</t>
        </is>
      </c>
      <c r="H496" s="11" t="inlineStr">
        <is>
          <t>угрозы, предупреждения</t>
        </is>
      </c>
      <c r="I496" s="37" t="inlineStr">
        <is>
          <t>10+</t>
        </is>
      </c>
      <c r="J496" s="11">
        <f>IFERROR(INDEX('Уроки'!$H:$H,MATCH(F496,'Уроки'!$A:$A,0)),"")</f>
        <v/>
      </c>
      <c r="K496" s="11">
        <f>IFERROR(INDEX('Уроки'!$J:$J,MATCH(F496,'Уроки'!$A:$A,0)),"")</f>
        <v/>
      </c>
      <c r="L496" s="11" t="inlineStr">
        <is>
          <t>Spotlight / 7 класс / Module 5 · What the future holds / Future Simple (will) / Future Simple (will): значение — угрозы и предупреждения</t>
        </is>
      </c>
    </row>
    <row r="497">
      <c r="A497" s="37" t="n">
        <v>7</v>
      </c>
      <c r="B497" s="11" t="inlineStr">
        <is>
          <t>Module 5 · What the future holds</t>
        </is>
      </c>
      <c r="C497" s="11" t="inlineStr"/>
      <c r="D497" s="11" t="inlineStr">
        <is>
          <t>Future Simple (will)</t>
        </is>
      </c>
      <c r="E497" s="35" t="inlineStr">
        <is>
          <t>Future Simple (will): значение — надежды, страхи, предложения, комментарии</t>
        </is>
      </c>
      <c r="F497" s="11" t="inlineStr">
        <is>
          <t>Ст-047</t>
        </is>
      </c>
      <c r="G497" s="40" t="inlineStr">
        <is>
          <t>новое</t>
        </is>
      </c>
      <c r="H497" s="11" t="inlineStr">
        <is>
          <t>надежды, предложения</t>
        </is>
      </c>
      <c r="I497" s="37" t="inlineStr">
        <is>
          <t>10+</t>
        </is>
      </c>
      <c r="J497" s="11">
        <f>IFERROR(INDEX('Уроки'!$H:$H,MATCH(F497,'Уроки'!$A:$A,0)),"")</f>
        <v/>
      </c>
      <c r="K497" s="11">
        <f>IFERROR(INDEX('Уроки'!$J:$J,MATCH(F497,'Уроки'!$A:$A,0)),"")</f>
        <v/>
      </c>
      <c r="L497" s="11" t="inlineStr">
        <is>
          <t>Spotlight / 7 класс / Module 5 · What the future holds / Future Simple (will) / Future Simple (will): значение — надежды, страхи, предложения, комментарии</t>
        </is>
      </c>
    </row>
    <row r="498">
      <c r="A498" s="37" t="n">
        <v>7</v>
      </c>
      <c r="B498" s="11" t="inlineStr">
        <is>
          <t>Module 5 · What the future holds</t>
        </is>
      </c>
      <c r="C498" s="11" t="inlineStr"/>
      <c r="D498" s="11" t="inlineStr">
        <is>
          <t>Future Simple (will)</t>
        </is>
      </c>
      <c r="E498" s="35" t="inlineStr">
        <is>
          <t>Future Simple (will): значение — неизбежные события (не зависят от нас)</t>
        </is>
      </c>
      <c r="F498" s="11" t="inlineStr">
        <is>
          <t>Ст-048</t>
        </is>
      </c>
      <c r="G498" s="40" t="inlineStr">
        <is>
          <t>новое</t>
        </is>
      </c>
      <c r="H498" s="11" t="inlineStr">
        <is>
          <t>Alex will be three years old in April; маркеры tomorrow, tonight, in a week…</t>
        </is>
      </c>
      <c r="I498" s="37" t="inlineStr">
        <is>
          <t>10+</t>
        </is>
      </c>
      <c r="J498" s="11">
        <f>IFERROR(INDEX('Уроки'!$H:$H,MATCH(F498,'Уроки'!$A:$A,0)),"")</f>
        <v/>
      </c>
      <c r="K498" s="11">
        <f>IFERROR(INDEX('Уроки'!$J:$J,MATCH(F498,'Уроки'!$A:$A,0)),"")</f>
        <v/>
      </c>
      <c r="L498" s="11" t="inlineStr">
        <is>
          <t>Spotlight / 7 класс / Module 5 · What the future holds / Future Simple (will) / Future Simple (will): значение — неизбежные события (не зависят от нас)</t>
        </is>
      </c>
    </row>
    <row r="499">
      <c r="A499" s="37" t="n">
        <v>7</v>
      </c>
      <c r="B499" s="11" t="inlineStr">
        <is>
          <t>Module 5 · What the future holds</t>
        </is>
      </c>
      <c r="C499" s="11" t="inlineStr"/>
      <c r="D499" s="11" t="inlineStr">
        <is>
          <t>be going to</t>
        </is>
      </c>
      <c r="E499" s="33" t="inlineStr">
        <is>
          <t>be going to: значение — планы и намерения</t>
        </is>
      </c>
      <c r="F499" s="11" t="inlineStr">
        <is>
          <t>Ст-058</t>
        </is>
      </c>
      <c r="G499" s="37" t="inlineStr">
        <is>
          <t>повторение</t>
        </is>
      </c>
      <c r="H499" s="11" t="inlineStr">
        <is>
          <t>формы не расписаны</t>
        </is>
      </c>
      <c r="I499" s="37" t="inlineStr">
        <is>
          <t>10+</t>
        </is>
      </c>
      <c r="J499" s="11">
        <f>IFERROR(INDEX('Уроки'!$H:$H,MATCH(F499,'Уроки'!$A:$A,0)),"")</f>
        <v/>
      </c>
      <c r="K499" s="11">
        <f>IFERROR(INDEX('Уроки'!$J:$J,MATCH(F499,'Уроки'!$A:$A,0)),"")</f>
        <v/>
      </c>
      <c r="L499" s="11" t="inlineStr">
        <is>
          <t>Spotlight / 7 класс / Module 5 · What the future holds / be going to / be going to: значение — планы и намерения</t>
        </is>
      </c>
    </row>
    <row r="500">
      <c r="A500" s="37" t="n">
        <v>7</v>
      </c>
      <c r="B500" s="11" t="inlineStr">
        <is>
          <t>Module 5 · What the future holds</t>
        </is>
      </c>
      <c r="C500" s="11" t="inlineStr"/>
      <c r="D500" s="11" t="inlineStr">
        <is>
          <t>be going to</t>
        </is>
      </c>
      <c r="E500" s="33" t="inlineStr">
        <is>
          <t>be going to: значение — предсказание по очевидным признакам</t>
        </is>
      </c>
      <c r="F500" s="11" t="inlineStr">
        <is>
          <t>Ст-060</t>
        </is>
      </c>
      <c r="G500" s="37" t="inlineStr">
        <is>
          <t>повторение</t>
        </is>
      </c>
      <c r="H500" s="11" t="inlineStr">
        <is>
          <t>It's cloudy; it's going to rain</t>
        </is>
      </c>
      <c r="I500" s="37" t="inlineStr">
        <is>
          <t>10+</t>
        </is>
      </c>
      <c r="J500" s="11">
        <f>IFERROR(INDEX('Уроки'!$H:$H,MATCH(F500,'Уроки'!$A:$A,0)),"")</f>
        <v/>
      </c>
      <c r="K500" s="11">
        <f>IFERROR(INDEX('Уроки'!$J:$J,MATCH(F500,'Уроки'!$A:$A,0)),"")</f>
        <v/>
      </c>
      <c r="L500" s="11" t="inlineStr">
        <is>
          <t>Spotlight / 7 класс / Module 5 · What the future holds / be going to / be going to: значение — предсказание по очевидным признакам</t>
        </is>
      </c>
    </row>
    <row r="501">
      <c r="A501" s="37" t="n">
        <v>7</v>
      </c>
      <c r="B501" s="11" t="inlineStr">
        <is>
          <t>Module 5 · What the future holds</t>
        </is>
      </c>
      <c r="C501" s="11" t="inlineStr"/>
      <c r="D501" s="11" t="inlineStr">
        <is>
          <t>Future forms (comparison)</t>
        </is>
      </c>
      <c r="E501" s="33" t="inlineStr">
        <is>
          <t>Future forms: Present Continuous — договорённости на ближайшее будущее</t>
        </is>
      </c>
      <c r="F501" s="11" t="inlineStr">
        <is>
          <t>Ст-080</t>
        </is>
      </c>
      <c r="G501" s="40" t="inlineStr">
        <is>
          <t>новое</t>
        </is>
      </c>
      <c r="H501" s="11" t="inlineStr">
        <is>
          <t>They're going on holiday next week</t>
        </is>
      </c>
      <c r="I501" s="37" t="inlineStr">
        <is>
          <t>10+</t>
        </is>
      </c>
      <c r="J501" s="11">
        <f>IFERROR(INDEX('Уроки'!$H:$H,MATCH(F501,'Уроки'!$A:$A,0)),"")</f>
        <v/>
      </c>
      <c r="K501" s="11">
        <f>IFERROR(INDEX('Уроки'!$J:$J,MATCH(F501,'Уроки'!$A:$A,0)),"")</f>
        <v/>
      </c>
      <c r="L501" s="11" t="inlineStr">
        <is>
          <t>Spotlight / 7 класс / Module 5 · What the future holds / Future forms (comparison) / Future forms: Present Continuous — договорённости на ближайшее будущее</t>
        </is>
      </c>
    </row>
    <row r="502">
      <c r="A502" s="37" t="n">
        <v>7</v>
      </c>
      <c r="B502" s="11" t="inlineStr">
        <is>
          <t>Module 5 · What the future holds</t>
        </is>
      </c>
      <c r="C502" s="11" t="inlineStr"/>
      <c r="D502" s="11" t="inlineStr">
        <is>
          <t>Future forms (comparison)</t>
        </is>
      </c>
      <c r="E502" s="33" t="inlineStr">
        <is>
          <t>Future forms: Present Simple — расписания и программы</t>
        </is>
      </c>
      <c r="F502" s="11" t="inlineStr">
        <is>
          <t>Ст-081</t>
        </is>
      </c>
      <c r="G502" s="40" t="inlineStr">
        <is>
          <t>новое</t>
        </is>
      </c>
      <c r="H502" s="11" t="inlineStr">
        <is>
          <t>My flight leaves at 6 o'clock</t>
        </is>
      </c>
      <c r="I502" s="37" t="inlineStr">
        <is>
          <t>10+</t>
        </is>
      </c>
      <c r="J502" s="11">
        <f>IFERROR(INDEX('Уроки'!$H:$H,MATCH(F502,'Уроки'!$A:$A,0)),"")</f>
        <v/>
      </c>
      <c r="K502" s="11">
        <f>IFERROR(INDEX('Уроки'!$J:$J,MATCH(F502,'Уроки'!$A:$A,0)),"")</f>
        <v/>
      </c>
      <c r="L502" s="11" t="inlineStr">
        <is>
          <t>Spotlight / 7 класс / Module 5 · What the future holds / Future forms (comparison) / Future forms: Present Simple — расписания и программы</t>
        </is>
      </c>
    </row>
    <row r="503">
      <c r="A503" s="37" t="n">
        <v>7</v>
      </c>
      <c r="B503" s="11" t="inlineStr">
        <is>
          <t>Module 5 · What the future holds</t>
        </is>
      </c>
      <c r="C503" s="11" t="inlineStr"/>
      <c r="D503" s="11" t="inlineStr">
        <is>
          <t>Future forms (comparison)</t>
        </is>
      </c>
      <c r="E503" s="33" t="inlineStr">
        <is>
          <t>Future forms: will vs be going to — решение в момент речи vs план</t>
        </is>
      </c>
      <c r="F503" s="11" t="inlineStr">
        <is>
          <t>Ст-082</t>
        </is>
      </c>
      <c r="G503" s="40" t="inlineStr">
        <is>
          <t>новое</t>
        </is>
      </c>
      <c r="H503" s="11" t="inlineStr">
        <is>
          <t>will — решения в момент речи; going to — планы</t>
        </is>
      </c>
      <c r="I503" s="37" t="inlineStr">
        <is>
          <t>10+</t>
        </is>
      </c>
      <c r="J503" s="11">
        <f>IFERROR(INDEX('Уроки'!$H:$H,MATCH(F503,'Уроки'!$A:$A,0)),"")</f>
        <v/>
      </c>
      <c r="K503" s="11">
        <f>IFERROR(INDEX('Уроки'!$J:$J,MATCH(F503,'Уроки'!$A:$A,0)),"")</f>
        <v/>
      </c>
      <c r="L503" s="11" t="inlineStr">
        <is>
          <t>Spotlight / 7 класс / Module 5 · What the future holds / Future forms (comparison) / Future forms: will vs be going to — решение в момент речи vs план</t>
        </is>
      </c>
    </row>
    <row r="504">
      <c r="A504" s="37" t="n">
        <v>7</v>
      </c>
      <c r="B504" s="11" t="inlineStr">
        <is>
          <t>Module 5 · What the future holds</t>
        </is>
      </c>
      <c r="C504" s="11" t="inlineStr"/>
      <c r="D504" s="11" t="inlineStr">
        <is>
          <t>Future forms (comparison)</t>
        </is>
      </c>
      <c r="E504" s="33" t="inlineStr">
        <is>
          <t>Future forms: will vs be going to — прогноз-мнение vs прогноз по признакам</t>
        </is>
      </c>
      <c r="F504" s="11" t="inlineStr">
        <is>
          <t>Ст-083</t>
        </is>
      </c>
      <c r="G504" s="40" t="inlineStr">
        <is>
          <t>новое</t>
        </is>
      </c>
      <c r="H504" s="11" t="inlineStr">
        <is>
          <t>will — предположения; going to — признаки</t>
        </is>
      </c>
      <c r="I504" s="37" t="inlineStr">
        <is>
          <t>10+</t>
        </is>
      </c>
      <c r="J504" s="11">
        <f>IFERROR(INDEX('Уроки'!$H:$H,MATCH(F504,'Уроки'!$A:$A,0)),"")</f>
        <v/>
      </c>
      <c r="K504" s="11">
        <f>IFERROR(INDEX('Уроки'!$J:$J,MATCH(F504,'Уроки'!$A:$A,0)),"")</f>
        <v/>
      </c>
      <c r="L504" s="11" t="inlineStr">
        <is>
          <t>Spotlight / 7 класс / Module 5 · What the future holds / Future forms (comparison) / Future forms: will vs be going to — прогноз-мнение vs прогноз по признакам</t>
        </is>
      </c>
    </row>
    <row r="505">
      <c r="A505" s="37" t="n">
        <v>7</v>
      </c>
      <c r="B505" s="11" t="inlineStr">
        <is>
          <t>Module 5 · What the future holds</t>
        </is>
      </c>
      <c r="C505" s="11" t="inlineStr"/>
      <c r="D505" s="11" t="inlineStr">
        <is>
          <t>Future forms (comparison)</t>
        </is>
      </c>
      <c r="E505" s="33" t="inlineStr">
        <is>
          <t>Future forms: обзор всех способов выражения будущего</t>
        </is>
      </c>
      <c r="F505" s="11" t="inlineStr">
        <is>
          <t>Ст-084</t>
        </is>
      </c>
      <c r="G505" s="40" t="inlineStr">
        <is>
          <t>новое</t>
        </is>
      </c>
      <c r="H505" s="11" t="inlineStr">
        <is>
          <t>4 способа: will, going to, Present Continuous, Present Simple</t>
        </is>
      </c>
      <c r="I505" s="37" t="inlineStr">
        <is>
          <t>10+</t>
        </is>
      </c>
      <c r="J505" s="11">
        <f>IFERROR(INDEX('Уроки'!$H:$H,MATCH(F505,'Уроки'!$A:$A,0)),"")</f>
        <v/>
      </c>
      <c r="K505" s="11">
        <f>IFERROR(INDEX('Уроки'!$J:$J,MATCH(F505,'Уроки'!$A:$A,0)),"")</f>
        <v/>
      </c>
      <c r="L505" s="11" t="inlineStr">
        <is>
          <t>Spotlight / 7 класс / Module 5 · What the future holds / Future forms (comparison) / Future forms: обзор всех способов выражения будущего</t>
        </is>
      </c>
    </row>
    <row r="506">
      <c r="A506" s="37" t="n">
        <v>7</v>
      </c>
      <c r="B506" s="11" t="inlineStr">
        <is>
          <t>Module 5 · What the future holds</t>
        </is>
      </c>
      <c r="C506" s="11" t="inlineStr"/>
      <c r="D506" s="11" t="inlineStr">
        <is>
          <t>Conditionals (Type 0)</t>
        </is>
      </c>
      <c r="E506" s="33" t="inlineStr">
        <is>
          <t>Conditionals Type 0: форма If/When + Present Simple — Present Simple</t>
        </is>
      </c>
      <c r="F506" s="11" t="inlineStr">
        <is>
          <t>Ст-206</t>
        </is>
      </c>
      <c r="G506" s="40" t="inlineStr">
        <is>
          <t>новое</t>
        </is>
      </c>
      <c r="H506" s="11" t="inlineStr"/>
      <c r="I506" s="37" t="inlineStr">
        <is>
          <t>10+</t>
        </is>
      </c>
      <c r="J506" s="11">
        <f>IFERROR(INDEX('Уроки'!$H:$H,MATCH(F506,'Уроки'!$A:$A,0)),"")</f>
        <v/>
      </c>
      <c r="K506" s="11">
        <f>IFERROR(INDEX('Уроки'!$J:$J,MATCH(F506,'Уроки'!$A:$A,0)),"")</f>
        <v/>
      </c>
      <c r="L506" s="11" t="inlineStr">
        <is>
          <t>Spotlight / 7 класс / Module 5 · What the future holds / Conditionals (Type 0) / Conditionals Type 0: форма If/When + Present Simple — Present Simple</t>
        </is>
      </c>
    </row>
    <row r="507">
      <c r="A507" s="37" t="n">
        <v>7</v>
      </c>
      <c r="B507" s="11" t="inlineStr">
        <is>
          <t>Module 5 · What the future holds</t>
        </is>
      </c>
      <c r="C507" s="11" t="inlineStr"/>
      <c r="D507" s="11" t="inlineStr">
        <is>
          <t>Conditionals (Type 0)</t>
        </is>
      </c>
      <c r="E507" s="33" t="inlineStr">
        <is>
          <t>Conditionals Type 0: значение — общие истины, научные факты</t>
        </is>
      </c>
      <c r="F507" s="11" t="inlineStr">
        <is>
          <t>Ст-207</t>
        </is>
      </c>
      <c r="G507" s="40" t="inlineStr">
        <is>
          <t>новое</t>
        </is>
      </c>
      <c r="H507" s="11" t="inlineStr"/>
      <c r="I507" s="37" t="inlineStr">
        <is>
          <t>10+</t>
        </is>
      </c>
      <c r="J507" s="11">
        <f>IFERROR(INDEX('Уроки'!$H:$H,MATCH(F507,'Уроки'!$A:$A,0)),"")</f>
        <v/>
      </c>
      <c r="K507" s="11">
        <f>IFERROR(INDEX('Уроки'!$J:$J,MATCH(F507,'Уроки'!$A:$A,0)),"")</f>
        <v/>
      </c>
      <c r="L507" s="11" t="inlineStr">
        <is>
          <t>Spotlight / 7 класс / Module 5 · What the future holds / Conditionals (Type 0) / Conditionals Type 0: значение — общие истины, научные факты</t>
        </is>
      </c>
    </row>
    <row r="508">
      <c r="A508" s="37" t="n">
        <v>7</v>
      </c>
      <c r="B508" s="11" t="inlineStr">
        <is>
          <t>Module 5 · What the future holds</t>
        </is>
      </c>
      <c r="C508" s="11" t="inlineStr"/>
      <c r="D508" s="11" t="inlineStr">
        <is>
          <t>Conditionals (Type 0)</t>
        </is>
      </c>
      <c r="E508" s="35" t="inlineStr">
        <is>
          <t>Conditionals Type 0: when вместо if</t>
        </is>
      </c>
      <c r="F508" s="11" t="inlineStr">
        <is>
          <t>Ст-208</t>
        </is>
      </c>
      <c r="G508" s="40" t="inlineStr">
        <is>
          <t>новое</t>
        </is>
      </c>
      <c r="H508" s="11" t="inlineStr"/>
      <c r="I508" s="37" t="inlineStr">
        <is>
          <t>10+</t>
        </is>
      </c>
      <c r="J508" s="11">
        <f>IFERROR(INDEX('Уроки'!$H:$H,MATCH(F508,'Уроки'!$A:$A,0)),"")</f>
        <v/>
      </c>
      <c r="K508" s="11">
        <f>IFERROR(INDEX('Уроки'!$J:$J,MATCH(F508,'Уроки'!$A:$A,0)),"")</f>
        <v/>
      </c>
      <c r="L508" s="11" t="inlineStr">
        <is>
          <t>Spotlight / 7 класс / Module 5 · What the future holds / Conditionals (Type 0) / Conditionals Type 0: when вместо if</t>
        </is>
      </c>
    </row>
    <row r="509">
      <c r="A509" s="37" t="n">
        <v>7</v>
      </c>
      <c r="B509" s="11" t="inlineStr">
        <is>
          <t>Module 5 · What the future holds</t>
        </is>
      </c>
      <c r="C509" s="11" t="inlineStr"/>
      <c r="D509" s="11" t="inlineStr">
        <is>
          <t>Conditionals (Type 1)</t>
        </is>
      </c>
      <c r="E509" s="33" t="inlineStr">
        <is>
          <t>Conditionals Type 1: форма If + Present Simple — will + V</t>
        </is>
      </c>
      <c r="F509" s="11" t="inlineStr">
        <is>
          <t>Ст-209</t>
        </is>
      </c>
      <c r="G509" s="40" t="inlineStr">
        <is>
          <t>новое</t>
        </is>
      </c>
      <c r="H509" s="11" t="inlineStr"/>
      <c r="I509" s="37" t="inlineStr">
        <is>
          <t>10+</t>
        </is>
      </c>
      <c r="J509" s="11">
        <f>IFERROR(INDEX('Уроки'!$H:$H,MATCH(F509,'Уроки'!$A:$A,0)),"")</f>
        <v/>
      </c>
      <c r="K509" s="11">
        <f>IFERROR(INDEX('Уроки'!$J:$J,MATCH(F509,'Уроки'!$A:$A,0)),"")</f>
        <v/>
      </c>
      <c r="L509" s="11" t="inlineStr">
        <is>
          <t>Spotlight / 7 класс / Module 5 · What the future holds / Conditionals (Type 1) / Conditionals Type 1: форма If + Present Simple — will + V</t>
        </is>
      </c>
    </row>
    <row r="510">
      <c r="A510" s="37" t="n">
        <v>7</v>
      </c>
      <c r="B510" s="11" t="inlineStr">
        <is>
          <t>Module 5 · What the future holds</t>
        </is>
      </c>
      <c r="C510" s="11" t="inlineStr"/>
      <c r="D510" s="11" t="inlineStr">
        <is>
          <t>Conditionals (Type 1)</t>
        </is>
      </c>
      <c r="E510" s="35" t="inlineStr">
        <is>
          <t>Conditionals Type 1: главная часть с Imperative / can, must, may</t>
        </is>
      </c>
      <c r="F510" s="11" t="inlineStr">
        <is>
          <t>Ст-210</t>
        </is>
      </c>
      <c r="G510" s="40" t="inlineStr">
        <is>
          <t>новое</t>
        </is>
      </c>
      <c r="H510" s="11" t="inlineStr">
        <is>
          <t>Imperative; can, must, may + bare inf</t>
        </is>
      </c>
      <c r="I510" s="37" t="inlineStr">
        <is>
          <t>10+</t>
        </is>
      </c>
      <c r="J510" s="11">
        <f>IFERROR(INDEX('Уроки'!$H:$H,MATCH(F510,'Уроки'!$A:$A,0)),"")</f>
        <v/>
      </c>
      <c r="K510" s="11">
        <f>IFERROR(INDEX('Уроки'!$J:$J,MATCH(F510,'Уроки'!$A:$A,0)),"")</f>
        <v/>
      </c>
      <c r="L510" s="11" t="inlineStr">
        <is>
          <t>Spotlight / 7 класс / Module 5 · What the future holds / Conditionals (Type 1) / Conditionals Type 1: главная часть с Imperative / can, must, may</t>
        </is>
      </c>
    </row>
    <row r="511">
      <c r="A511" s="37" t="n">
        <v>7</v>
      </c>
      <c r="B511" s="11" t="inlineStr">
        <is>
          <t>Module 5 · What the future holds</t>
        </is>
      </c>
      <c r="C511" s="11" t="inlineStr"/>
      <c r="D511" s="11" t="inlineStr">
        <is>
          <t>Conditionals (Type 1)</t>
        </is>
      </c>
      <c r="E511" s="33" t="inlineStr">
        <is>
          <t>Conditionals Type 1: значение — реальная/вероятная ситуация в настоящем/будущем</t>
        </is>
      </c>
      <c r="F511" s="11" t="inlineStr">
        <is>
          <t>Ст-211</t>
        </is>
      </c>
      <c r="G511" s="40" t="inlineStr">
        <is>
          <t>новое</t>
        </is>
      </c>
      <c r="H511" s="11" t="inlineStr">
        <is>
          <t>в будущем</t>
        </is>
      </c>
      <c r="I511" s="37" t="inlineStr">
        <is>
          <t>10+</t>
        </is>
      </c>
      <c r="J511" s="11">
        <f>IFERROR(INDEX('Уроки'!$H:$H,MATCH(F511,'Уроки'!$A:$A,0)),"")</f>
        <v/>
      </c>
      <c r="K511" s="11">
        <f>IFERROR(INDEX('Уроки'!$J:$J,MATCH(F511,'Уроки'!$A:$A,0)),"")</f>
        <v/>
      </c>
      <c r="L511" s="11" t="inlineStr">
        <is>
          <t>Spotlight / 7 класс / Module 5 · What the future holds / Conditionals (Type 1) / Conditionals Type 1: значение — реальная/вероятная ситуация в настоящем/будущем</t>
        </is>
      </c>
    </row>
    <row r="512">
      <c r="A512" s="37" t="n">
        <v>7</v>
      </c>
      <c r="B512" s="11" t="inlineStr">
        <is>
          <t>Module 5 · What the future holds</t>
        </is>
      </c>
      <c r="C512" s="11" t="inlineStr"/>
      <c r="D512" s="11" t="inlineStr">
        <is>
          <t>Conditionals (Type 1)</t>
        </is>
      </c>
      <c r="E512" s="35" t="inlineStr">
        <is>
          <t>Conditionals Type 1: запятая, если if-часть впереди</t>
        </is>
      </c>
      <c r="F512" s="11" t="inlineStr">
        <is>
          <t>Ст-212</t>
        </is>
      </c>
      <c r="G512" s="40" t="inlineStr">
        <is>
          <t>новое</t>
        </is>
      </c>
      <c r="H512" s="11" t="inlineStr">
        <is>
          <t>без запятой, если главное первым</t>
        </is>
      </c>
      <c r="I512" s="37" t="inlineStr">
        <is>
          <t>10+</t>
        </is>
      </c>
      <c r="J512" s="11">
        <f>IFERROR(INDEX('Уроки'!$H:$H,MATCH(F512,'Уроки'!$A:$A,0)),"")</f>
        <v/>
      </c>
      <c r="K512" s="11">
        <f>IFERROR(INDEX('Уроки'!$J:$J,MATCH(F512,'Уроки'!$A:$A,0)),"")</f>
        <v/>
      </c>
      <c r="L512" s="11" t="inlineStr">
        <is>
          <t>Spotlight / 7 класс / Module 5 · What the future holds / Conditionals (Type 1) / Conditionals Type 1: запятая, если if-часть впереди</t>
        </is>
      </c>
    </row>
    <row r="513">
      <c r="A513" s="37" t="n">
        <v>7</v>
      </c>
      <c r="B513" s="11" t="inlineStr">
        <is>
          <t>Module 5 · What the future holds</t>
        </is>
      </c>
      <c r="C513" s="11" t="inlineStr"/>
      <c r="D513" s="11" t="inlineStr">
        <is>
          <t>Conditionals (Type 1)</t>
        </is>
      </c>
      <c r="E513" s="35" t="inlineStr">
        <is>
          <t>Conditionals Type 1: unless = if not</t>
        </is>
      </c>
      <c r="F513" s="11" t="inlineStr">
        <is>
          <t>Ст-213</t>
        </is>
      </c>
      <c r="G513" s="40" t="inlineStr">
        <is>
          <t>новое</t>
        </is>
      </c>
      <c r="H513" s="11" t="inlineStr">
        <is>
          <t>unless + утвердительная форма</t>
        </is>
      </c>
      <c r="I513" s="37" t="inlineStr">
        <is>
          <t>10+</t>
        </is>
      </c>
      <c r="J513" s="11">
        <f>IFERROR(INDEX('Уроки'!$H:$H,MATCH(F513,'Уроки'!$A:$A,0)),"")</f>
        <v/>
      </c>
      <c r="K513" s="11">
        <f>IFERROR(INDEX('Уроки'!$J:$J,MATCH(F513,'Уроки'!$A:$A,0)),"")</f>
        <v/>
      </c>
      <c r="L513" s="11" t="inlineStr">
        <is>
          <t>Spotlight / 7 класс / Module 5 · What the future holds / Conditionals (Type 1) / Conditionals Type 1: unless = if not</t>
        </is>
      </c>
    </row>
    <row r="514">
      <c r="A514" s="37" t="n">
        <v>7</v>
      </c>
      <c r="B514" s="11" t="inlineStr">
        <is>
          <t>Module 5 · What the future holds</t>
        </is>
      </c>
      <c r="C514" s="11" t="inlineStr"/>
      <c r="D514" s="11" t="inlineStr">
        <is>
          <t>Time clauses</t>
        </is>
      </c>
      <c r="E514" s="34" t="inlineStr">
        <is>
          <t>Time clauses: Present Simple вместо будущего после when/before/after/until/as soon as…</t>
        </is>
      </c>
      <c r="F514" s="11" t="inlineStr">
        <is>
          <t>Ст-535</t>
        </is>
      </c>
      <c r="G514" s="40" t="inlineStr">
        <is>
          <t>новое</t>
        </is>
      </c>
      <c r="H514" s="11" t="inlineStr">
        <is>
          <t>while, before, after, until/till, as, when, whenever, once, as soon as, as long as, by the time</t>
        </is>
      </c>
      <c r="I514" s="37" t="inlineStr">
        <is>
          <t>10+</t>
        </is>
      </c>
      <c r="J514" s="11">
        <f>IFERROR(INDEX('Уроки'!$H:$H,MATCH(F514,'Уроки'!$A:$A,0)),"")</f>
        <v/>
      </c>
      <c r="K514" s="11">
        <f>IFERROR(INDEX('Уроки'!$J:$J,MATCH(F514,'Уроки'!$A:$A,0)),"")</f>
        <v/>
      </c>
      <c r="L514" s="11" t="inlineStr">
        <is>
          <t>Spotlight / 7 класс / Module 5 · What the future holds / Time clauses / Time clauses: Present Simple вместо будущего после when/before/after/until/as soon as…</t>
        </is>
      </c>
    </row>
    <row r="515">
      <c r="A515" s="37" t="n">
        <v>7</v>
      </c>
      <c r="B515" s="11" t="inlineStr">
        <is>
          <t>Module 5 · What the future holds</t>
        </is>
      </c>
      <c r="C515" s="11" t="inlineStr"/>
      <c r="D515" s="11" t="inlineStr">
        <is>
          <t>Time clauses</t>
        </is>
      </c>
      <c r="E515" s="34" t="inlineStr">
        <is>
          <t>Time clauses: Present Perfect в придаточном времени</t>
        </is>
      </c>
      <c r="F515" s="11" t="inlineStr">
        <is>
          <t>Ст-536</t>
        </is>
      </c>
      <c r="G515" s="40" t="inlineStr">
        <is>
          <t>новое</t>
        </is>
      </c>
      <c r="H515" s="11" t="inlineStr">
        <is>
          <t>Present Perfect вместо будущего</t>
        </is>
      </c>
      <c r="I515" s="37" t="inlineStr">
        <is>
          <t>10+</t>
        </is>
      </c>
      <c r="J515" s="11">
        <f>IFERROR(INDEX('Уроки'!$H:$H,MATCH(F515,'Уроки'!$A:$A,0)),"")</f>
        <v/>
      </c>
      <c r="K515" s="11">
        <f>IFERROR(INDEX('Уроки'!$J:$J,MATCH(F515,'Уроки'!$A:$A,0)),"")</f>
        <v/>
      </c>
      <c r="L515" s="11" t="inlineStr">
        <is>
          <t>Spotlight / 7 класс / Module 5 · What the future holds / Time clauses / Time clauses: Present Perfect в придаточном времени</t>
        </is>
      </c>
    </row>
    <row r="516">
      <c r="A516" s="37" t="n">
        <v>7</v>
      </c>
      <c r="B516" s="11" t="inlineStr">
        <is>
          <t>Module 6 · Having fun</t>
        </is>
      </c>
      <c r="C516" s="11" t="inlineStr"/>
      <c r="D516" s="11" t="inlineStr">
        <is>
          <t>Present Perfect</t>
        </is>
      </c>
      <c r="E516" s="33" t="inlineStr">
        <is>
          <t>Present Perfect: утверждение (have/has + V3)</t>
        </is>
      </c>
      <c r="F516" s="11" t="inlineStr">
        <is>
          <t>Ст-062</t>
        </is>
      </c>
      <c r="G516" s="37" t="inlineStr">
        <is>
          <t>повторение</t>
        </is>
      </c>
      <c r="H516" s="11" t="inlineStr"/>
      <c r="I516" s="37" t="inlineStr">
        <is>
          <t>10+</t>
        </is>
      </c>
      <c r="J516" s="11">
        <f>IFERROR(INDEX('Уроки'!$H:$H,MATCH(F516,'Уроки'!$A:$A,0)),"")</f>
        <v/>
      </c>
      <c r="K516" s="11">
        <f>IFERROR(INDEX('Уроки'!$J:$J,MATCH(F516,'Уроки'!$A:$A,0)),"")</f>
        <v/>
      </c>
      <c r="L516" s="11" t="inlineStr">
        <is>
          <t>Spotlight / 7 класс / Module 6 · Having fun / Present Perfect / Present Perfect: утверждение (have/has + V3)</t>
        </is>
      </c>
    </row>
    <row r="517">
      <c r="A517" s="37" t="n">
        <v>7</v>
      </c>
      <c r="B517" s="11" t="inlineStr">
        <is>
          <t>Module 6 · Having fun</t>
        </is>
      </c>
      <c r="C517" s="11" t="inlineStr"/>
      <c r="D517" s="11" t="inlineStr">
        <is>
          <t>Present Perfect</t>
        </is>
      </c>
      <c r="E517" s="33" t="inlineStr">
        <is>
          <t>Present Perfect: отрицание (haven't/hasn't)</t>
        </is>
      </c>
      <c r="F517" s="11" t="inlineStr">
        <is>
          <t>Ст-063</t>
        </is>
      </c>
      <c r="G517" s="37" t="inlineStr">
        <is>
          <t>повторение</t>
        </is>
      </c>
      <c r="H517" s="11" t="inlineStr">
        <is>
          <t>только в примерах (hasn't come)</t>
        </is>
      </c>
      <c r="I517" s="37" t="inlineStr">
        <is>
          <t>10+</t>
        </is>
      </c>
      <c r="J517" s="11">
        <f>IFERROR(INDEX('Уроки'!$H:$H,MATCH(F517,'Уроки'!$A:$A,0)),"")</f>
        <v/>
      </c>
      <c r="K517" s="11">
        <f>IFERROR(INDEX('Уроки'!$J:$J,MATCH(F517,'Уроки'!$A:$A,0)),"")</f>
        <v/>
      </c>
      <c r="L517" s="11" t="inlineStr">
        <is>
          <t>Spotlight / 7 класс / Module 6 · Having fun / Present Perfect / Present Perfect: отрицание (haven't/hasn't)</t>
        </is>
      </c>
    </row>
    <row r="518">
      <c r="A518" s="37" t="n">
        <v>7</v>
      </c>
      <c r="B518" s="11" t="inlineStr">
        <is>
          <t>Module 6 · Having fun</t>
        </is>
      </c>
      <c r="C518" s="11" t="inlineStr"/>
      <c r="D518" s="11" t="inlineStr">
        <is>
          <t>Present Perfect</t>
        </is>
      </c>
      <c r="E518" s="33" t="inlineStr">
        <is>
          <t>Present Perfect: вопросы и краткие ответы</t>
        </is>
      </c>
      <c r="F518" s="11" t="inlineStr">
        <is>
          <t>Ст-064</t>
        </is>
      </c>
      <c r="G518" s="37" t="inlineStr">
        <is>
          <t>повторение</t>
        </is>
      </c>
      <c r="H518" s="11" t="inlineStr">
        <is>
          <t>только в примерах (Have you joined…?)</t>
        </is>
      </c>
      <c r="I518" s="37" t="inlineStr">
        <is>
          <t>10+</t>
        </is>
      </c>
      <c r="J518" s="11">
        <f>IFERROR(INDEX('Уроки'!$H:$H,MATCH(F518,'Уроки'!$A:$A,0)),"")</f>
        <v/>
      </c>
      <c r="K518" s="11">
        <f>IFERROR(INDEX('Уроки'!$J:$J,MATCH(F518,'Уроки'!$A:$A,0)),"")</f>
        <v/>
      </c>
      <c r="L518" s="11" t="inlineStr">
        <is>
          <t>Spotlight / 7 класс / Module 6 · Having fun / Present Perfect / Present Perfect: вопросы и краткие ответы</t>
        </is>
      </c>
    </row>
    <row r="519">
      <c r="A519" s="37" t="n">
        <v>7</v>
      </c>
      <c r="B519" s="11" t="inlineStr">
        <is>
          <t>Module 6 · Having fun</t>
        </is>
      </c>
      <c r="C519" s="11" t="inlineStr"/>
      <c r="D519" s="11" t="inlineStr">
        <is>
          <t>Present Perfect</t>
        </is>
      </c>
      <c r="E519" s="33" t="inlineStr">
        <is>
          <t>Present Perfect: значение — жизненный опыт, перемены (ever/never)</t>
        </is>
      </c>
      <c r="F519" s="11" t="inlineStr">
        <is>
          <t>Ст-067</t>
        </is>
      </c>
      <c r="G519" s="37" t="inlineStr">
        <is>
          <t>повторение</t>
        </is>
      </c>
      <c r="H519" s="11" t="inlineStr">
        <is>
          <t>Natasha has been to the USA twice</t>
        </is>
      </c>
      <c r="I519" s="37" t="inlineStr">
        <is>
          <t>10+</t>
        </is>
      </c>
      <c r="J519" s="11">
        <f>IFERROR(INDEX('Уроки'!$H:$H,MATCH(F519,'Уроки'!$A:$A,0)),"")</f>
        <v/>
      </c>
      <c r="K519" s="11">
        <f>IFERROR(INDEX('Уроки'!$J:$J,MATCH(F519,'Уроки'!$A:$A,0)),"")</f>
        <v/>
      </c>
      <c r="L519" s="11" t="inlineStr">
        <is>
          <t>Spotlight / 7 класс / Module 6 · Having fun / Present Perfect / Present Perfect: значение — жизненный опыт, перемены (ever/never)</t>
        </is>
      </c>
    </row>
    <row r="520">
      <c r="A520" s="37" t="n">
        <v>7</v>
      </c>
      <c r="B520" s="11" t="inlineStr">
        <is>
          <t>Module 6 · Having fun</t>
        </is>
      </c>
      <c r="C520" s="11" t="inlineStr"/>
      <c r="D520" s="11" t="inlineStr">
        <is>
          <t>Present Perfect</t>
        </is>
      </c>
      <c r="E520" s="33" t="inlineStr">
        <is>
          <t>Present Perfect: значение — результат в настоящем</t>
        </is>
      </c>
      <c r="F520" s="11" t="inlineStr">
        <is>
          <t>Ст-068</t>
        </is>
      </c>
      <c r="G520" s="37" t="inlineStr">
        <is>
          <t>повторение</t>
        </is>
      </c>
      <c r="H520" s="11" t="inlineStr">
        <is>
          <t>связь с настоящим через результат</t>
        </is>
      </c>
      <c r="I520" s="37" t="inlineStr">
        <is>
          <t>10+</t>
        </is>
      </c>
      <c r="J520" s="11">
        <f>IFERROR(INDEX('Уроки'!$H:$H,MATCH(F520,'Уроки'!$A:$A,0)),"")</f>
        <v/>
      </c>
      <c r="K520" s="11">
        <f>IFERROR(INDEX('Уроки'!$J:$J,MATCH(F520,'Уроки'!$A:$A,0)),"")</f>
        <v/>
      </c>
      <c r="L520" s="11" t="inlineStr">
        <is>
          <t>Spotlight / 7 класс / Module 6 · Having fun / Present Perfect / Present Perfect: значение — результат в настоящем</t>
        </is>
      </c>
    </row>
    <row r="521">
      <c r="A521" s="37" t="n">
        <v>7</v>
      </c>
      <c r="B521" s="11" t="inlineStr">
        <is>
          <t>Module 6 · Having fun</t>
        </is>
      </c>
      <c r="C521" s="11" t="inlineStr"/>
      <c r="D521" s="11" t="inlineStr">
        <is>
          <t>Present Perfect</t>
        </is>
      </c>
      <c r="E521" s="35" t="inlineStr">
        <is>
          <t>Present Perfect: значение — неуказанное время в прошлом</t>
        </is>
      </c>
      <c r="F521" s="11" t="inlineStr">
        <is>
          <t>Ст-070</t>
        </is>
      </c>
      <c r="G521" s="40" t="inlineStr">
        <is>
          <t>новое</t>
        </is>
      </c>
      <c r="H521" s="11" t="inlineStr">
        <is>
          <t>I have seen this film</t>
        </is>
      </c>
      <c r="I521" s="37" t="inlineStr">
        <is>
          <t>10+</t>
        </is>
      </c>
      <c r="J521" s="11">
        <f>IFERROR(INDEX('Уроки'!$H:$H,MATCH(F521,'Уроки'!$A:$A,0)),"")</f>
        <v/>
      </c>
      <c r="K521" s="11">
        <f>IFERROR(INDEX('Уроки'!$J:$J,MATCH(F521,'Уроки'!$A:$A,0)),"")</f>
        <v/>
      </c>
      <c r="L521" s="11" t="inlineStr">
        <is>
          <t>Spotlight / 7 класс / Module 6 · Having fun / Present Perfect / Present Perfect: значение — неуказанное время в прошлом</t>
        </is>
      </c>
    </row>
    <row r="522">
      <c r="A522" s="37" t="n">
        <v>7</v>
      </c>
      <c r="B522" s="11" t="inlineStr">
        <is>
          <t>Module 6 · Having fun</t>
        </is>
      </c>
      <c r="C522" s="11" t="inlineStr"/>
      <c r="D522" s="11" t="inlineStr">
        <is>
          <t>Present Perfect</t>
        </is>
      </c>
      <c r="E522" s="33" t="inlineStr">
        <is>
          <t>Present Perfect: значение — с прошлого до настоящего (stative verbs, for/since)</t>
        </is>
      </c>
      <c r="F522" s="11" t="inlineStr">
        <is>
          <t>Ст-071</t>
        </is>
      </c>
      <c r="G522" s="40" t="inlineStr">
        <is>
          <t>новое</t>
        </is>
      </c>
      <c r="H522" s="11" t="inlineStr">
        <is>
          <t>be, have, like, know; for/since</t>
        </is>
      </c>
      <c r="I522" s="37" t="inlineStr">
        <is>
          <t>10+</t>
        </is>
      </c>
      <c r="J522" s="11">
        <f>IFERROR(INDEX('Уроки'!$H:$H,MATCH(F522,'Уроки'!$A:$A,0)),"")</f>
        <v/>
      </c>
      <c r="K522" s="11">
        <f>IFERROR(INDEX('Уроки'!$J:$J,MATCH(F522,'Уроки'!$A:$A,0)),"")</f>
        <v/>
      </c>
      <c r="L522" s="11" t="inlineStr">
        <is>
          <t>Spotlight / 7 класс / Module 6 · Having fun / Present Perfect / Present Perfect: значение — с прошлого до настоящего (stative verbs, for/since)</t>
        </is>
      </c>
    </row>
    <row r="523">
      <c r="A523" s="37" t="n">
        <v>7</v>
      </c>
      <c r="B523" s="11" t="inlineStr">
        <is>
          <t>Module 6 · Having fun</t>
        </is>
      </c>
      <c r="C523" s="11" t="inlineStr"/>
      <c r="D523" s="11" t="inlineStr">
        <is>
          <t>Present Perfect</t>
        </is>
      </c>
      <c r="E523" s="33" t="inlineStr">
        <is>
          <t>Present Perfect: слова-маркеры already / yet / just / ever / never</t>
        </is>
      </c>
      <c r="F523" s="11" t="inlineStr">
        <is>
          <t>Ст-074</t>
        </is>
      </c>
      <c r="G523" s="41" t="inlineStr">
        <is>
          <t>расширение</t>
        </is>
      </c>
      <c r="H523" s="11" t="inlineStr">
        <is>
          <t>already в утв./вопросе-удивлении, yet в вопр./отриц.; + always, so far, lately, recently, today, this week</t>
        </is>
      </c>
      <c r="I523" s="37" t="inlineStr">
        <is>
          <t>10+</t>
        </is>
      </c>
      <c r="J523" s="11">
        <f>IFERROR(INDEX('Уроки'!$H:$H,MATCH(F523,'Уроки'!$A:$A,0)),"")</f>
        <v/>
      </c>
      <c r="K523" s="11">
        <f>IFERROR(INDEX('Уроки'!$J:$J,MATCH(F523,'Уроки'!$A:$A,0)),"")</f>
        <v/>
      </c>
      <c r="L523" s="11" t="inlineStr">
        <is>
          <t>Spotlight / 7 класс / Module 6 · Having fun / Present Perfect / Present Perfect: слова-маркеры already / yet / just / ever / never</t>
        </is>
      </c>
    </row>
    <row r="524">
      <c r="A524" s="37" t="n">
        <v>7</v>
      </c>
      <c r="B524" s="11" t="inlineStr">
        <is>
          <t>Module 7 · In the spotlight</t>
        </is>
      </c>
      <c r="C524" s="11" t="inlineStr"/>
      <c r="D524" s="11" t="inlineStr">
        <is>
          <t>Present Perfect vs Past Simple</t>
        </is>
      </c>
      <c r="E524" s="33" t="inlineStr">
        <is>
          <t>Present Perfect vs Past Simple: указанное время vs неуказанное время</t>
        </is>
      </c>
      <c r="F524" s="11" t="inlineStr">
        <is>
          <t>Ст-101</t>
        </is>
      </c>
      <c r="G524" s="40" t="inlineStr">
        <is>
          <t>новое</t>
        </is>
      </c>
      <c r="H524" s="11" t="inlineStr">
        <is>
          <t>She wrote … in 1998 vs She has written lots of novels</t>
        </is>
      </c>
      <c r="I524" s="37" t="inlineStr">
        <is>
          <t>10+</t>
        </is>
      </c>
      <c r="J524" s="11">
        <f>IFERROR(INDEX('Уроки'!$H:$H,MATCH(F524,'Уроки'!$A:$A,0)),"")</f>
        <v/>
      </c>
      <c r="K524" s="11">
        <f>IFERROR(INDEX('Уроки'!$J:$J,MATCH(F524,'Уроки'!$A:$A,0)),"")</f>
        <v/>
      </c>
      <c r="L524" s="11" t="inlineStr">
        <is>
          <t>Spotlight / 7 класс / Module 7 · In the spotlight / Present Perfect vs Past Simple / Present Perfect vs Past Simple: указанное время vs неуказанное время</t>
        </is>
      </c>
    </row>
    <row r="525">
      <c r="A525" s="37" t="n">
        <v>7</v>
      </c>
      <c r="B525" s="11" t="inlineStr">
        <is>
          <t>Module 7 · In the spotlight</t>
        </is>
      </c>
      <c r="C525" s="11" t="inlineStr"/>
      <c r="D525" s="11" t="inlineStr">
        <is>
          <t>Present Perfect vs Past Simple</t>
        </is>
      </c>
      <c r="E525" s="35" t="inlineStr">
        <is>
          <t>Present Perfect vs Past Simple: закончилось в прошлом vs длится до сих пор</t>
        </is>
      </c>
      <c r="F525" s="11" t="inlineStr">
        <is>
          <t>Ст-102</t>
        </is>
      </c>
      <c r="G525" s="40" t="inlineStr">
        <is>
          <t>новое</t>
        </is>
      </c>
      <c r="H525" s="11" t="inlineStr">
        <is>
          <t>played for ten years vs have known her for five years (stative)</t>
        </is>
      </c>
      <c r="I525" s="37" t="inlineStr">
        <is>
          <t>10+</t>
        </is>
      </c>
      <c r="J525" s="11">
        <f>IFERROR(INDEX('Уроки'!$H:$H,MATCH(F525,'Уроки'!$A:$A,0)),"")</f>
        <v/>
      </c>
      <c r="K525" s="11">
        <f>IFERROR(INDEX('Уроки'!$J:$J,MATCH(F525,'Уроки'!$A:$A,0)),"")</f>
        <v/>
      </c>
      <c r="L525" s="11" t="inlineStr">
        <is>
          <t>Spotlight / 7 класс / Module 7 · In the spotlight / Present Perfect vs Past Simple / Present Perfect vs Past Simple: закончилось в прошлом vs длится до сих пор</t>
        </is>
      </c>
    </row>
    <row r="526">
      <c r="A526" s="37" t="n">
        <v>7</v>
      </c>
      <c r="B526" s="11" t="inlineStr">
        <is>
          <t>Module 7 · In the spotlight</t>
        </is>
      </c>
      <c r="C526" s="11" t="inlineStr"/>
      <c r="D526" s="11" t="inlineStr">
        <is>
          <t>Comparatives &amp; Superlatives</t>
        </is>
      </c>
      <c r="E526" s="33" t="inlineStr">
        <is>
          <t>Comparatives &amp; Superlatives: сравнительная степень — -er + than</t>
        </is>
      </c>
      <c r="F526" s="11" t="inlineStr">
        <is>
          <t>Ст-441</t>
        </is>
      </c>
      <c r="G526" s="37" t="inlineStr">
        <is>
          <t>повторение</t>
        </is>
      </c>
      <c r="H526" s="11" t="inlineStr"/>
      <c r="I526" s="37" t="inlineStr">
        <is>
          <t>10+</t>
        </is>
      </c>
      <c r="J526" s="11">
        <f>IFERROR(INDEX('Уроки'!$H:$H,MATCH(F526,'Уроки'!$A:$A,0)),"")</f>
        <v/>
      </c>
      <c r="K526" s="11">
        <f>IFERROR(INDEX('Уроки'!$J:$J,MATCH(F526,'Уроки'!$A:$A,0)),"")</f>
        <v/>
      </c>
      <c r="L526" s="11" t="inlineStr">
        <is>
          <t>Spotlight / 7 класс / Module 7 · In the spotlight / Comparatives &amp; Superlatives / Comparatives &amp; Superlatives: сравнительная степень — -er + than</t>
        </is>
      </c>
    </row>
    <row r="527">
      <c r="A527" s="37" t="n">
        <v>7</v>
      </c>
      <c r="B527" s="11" t="inlineStr">
        <is>
          <t>Module 7 · In the spotlight</t>
        </is>
      </c>
      <c r="C527" s="11" t="inlineStr"/>
      <c r="D527" s="11" t="inlineStr">
        <is>
          <t>Comparatives &amp; Superlatives</t>
        </is>
      </c>
      <c r="E527" s="33" t="inlineStr">
        <is>
          <t>Comparatives &amp; Superlatives: сравнительная степень — more (многосложные)</t>
        </is>
      </c>
      <c r="F527" s="11" t="inlineStr">
        <is>
          <t>Ст-442</t>
        </is>
      </c>
      <c r="G527" s="37" t="inlineStr">
        <is>
          <t>повторение</t>
        </is>
      </c>
      <c r="H527" s="11" t="inlineStr"/>
      <c r="I527" s="37" t="inlineStr">
        <is>
          <t>10+</t>
        </is>
      </c>
      <c r="J527" s="11">
        <f>IFERROR(INDEX('Уроки'!$H:$H,MATCH(F527,'Уроки'!$A:$A,0)),"")</f>
        <v/>
      </c>
      <c r="K527" s="11">
        <f>IFERROR(INDEX('Уроки'!$J:$J,MATCH(F527,'Уроки'!$A:$A,0)),"")</f>
        <v/>
      </c>
      <c r="L527" s="11" t="inlineStr">
        <is>
          <t>Spotlight / 7 класс / Module 7 · In the spotlight / Comparatives &amp; Superlatives / Comparatives &amp; Superlatives: сравнительная степень — more (многосложные)</t>
        </is>
      </c>
    </row>
    <row r="528">
      <c r="A528" s="37" t="n">
        <v>7</v>
      </c>
      <c r="B528" s="11" t="inlineStr">
        <is>
          <t>Module 7 · In the spotlight</t>
        </is>
      </c>
      <c r="C528" s="11" t="inlineStr"/>
      <c r="D528" s="11" t="inlineStr">
        <is>
          <t>Comparatives &amp; Superlatives</t>
        </is>
      </c>
      <c r="E528" s="35" t="inlineStr">
        <is>
          <t>Comparatives &amp; Superlatives: орфография -er/-est (удвоение, -e, y → i)</t>
        </is>
      </c>
      <c r="F528" s="11" t="inlineStr">
        <is>
          <t>Ст-443</t>
        </is>
      </c>
      <c r="G528" s="37" t="inlineStr">
        <is>
          <t>повторение</t>
        </is>
      </c>
      <c r="H528" s="11" t="inlineStr">
        <is>
          <t>wide – wider, big – bigger, ugly – uglier</t>
        </is>
      </c>
      <c r="I528" s="37" t="inlineStr">
        <is>
          <t>10+</t>
        </is>
      </c>
      <c r="J528" s="11">
        <f>IFERROR(INDEX('Уроки'!$H:$H,MATCH(F528,'Уроки'!$A:$A,0)),"")</f>
        <v/>
      </c>
      <c r="K528" s="11">
        <f>IFERROR(INDEX('Уроки'!$J:$J,MATCH(F528,'Уроки'!$A:$A,0)),"")</f>
        <v/>
      </c>
      <c r="L528" s="11" t="inlineStr">
        <is>
          <t>Spotlight / 7 класс / Module 7 · In the spotlight / Comparatives &amp; Superlatives / Comparatives &amp; Superlatives: орфография -er/-est (удвоение, -e, y → i)</t>
        </is>
      </c>
    </row>
    <row r="529">
      <c r="A529" s="37" t="n">
        <v>7</v>
      </c>
      <c r="B529" s="11" t="inlineStr">
        <is>
          <t>Module 7 · In the spotlight</t>
        </is>
      </c>
      <c r="C529" s="11" t="inlineStr"/>
      <c r="D529" s="11" t="inlineStr">
        <is>
          <t>Comparatives &amp; Superlatives</t>
        </is>
      </c>
      <c r="E529" s="33" t="inlineStr">
        <is>
          <t>Comparatives &amp; Superlatives: превосходная степень — the -est + of/in</t>
        </is>
      </c>
      <c r="F529" s="11" t="inlineStr">
        <is>
          <t>Ст-444</t>
        </is>
      </c>
      <c r="G529" s="37" t="inlineStr">
        <is>
          <t>повторение</t>
        </is>
      </c>
      <c r="H529" s="11" t="inlineStr"/>
      <c r="I529" s="37" t="inlineStr">
        <is>
          <t>10+</t>
        </is>
      </c>
      <c r="J529" s="11">
        <f>IFERROR(INDEX('Уроки'!$H:$H,MATCH(F529,'Уроки'!$A:$A,0)),"")</f>
        <v/>
      </c>
      <c r="K529" s="11">
        <f>IFERROR(INDEX('Уроки'!$J:$J,MATCH(F529,'Уроки'!$A:$A,0)),"")</f>
        <v/>
      </c>
      <c r="L529" s="11" t="inlineStr">
        <is>
          <t>Spotlight / 7 класс / Module 7 · In the spotlight / Comparatives &amp; Superlatives / Comparatives &amp; Superlatives: превосходная степень — the -est + of/in</t>
        </is>
      </c>
    </row>
    <row r="530">
      <c r="A530" s="37" t="n">
        <v>7</v>
      </c>
      <c r="B530" s="11" t="inlineStr">
        <is>
          <t>Module 7 · In the spotlight</t>
        </is>
      </c>
      <c r="C530" s="11" t="inlineStr"/>
      <c r="D530" s="11" t="inlineStr">
        <is>
          <t>Comparatives &amp; Superlatives</t>
        </is>
      </c>
      <c r="E530" s="33" t="inlineStr">
        <is>
          <t>Comparatives &amp; Superlatives: превосходная степень — the most</t>
        </is>
      </c>
      <c r="F530" s="11" t="inlineStr">
        <is>
          <t>Ст-445</t>
        </is>
      </c>
      <c r="G530" s="37" t="inlineStr">
        <is>
          <t>повторение</t>
        </is>
      </c>
      <c r="H530" s="11" t="inlineStr"/>
      <c r="I530" s="37" t="inlineStr">
        <is>
          <t>10+</t>
        </is>
      </c>
      <c r="J530" s="11">
        <f>IFERROR(INDEX('Уроки'!$H:$H,MATCH(F530,'Уроки'!$A:$A,0)),"")</f>
        <v/>
      </c>
      <c r="K530" s="11">
        <f>IFERROR(INDEX('Уроки'!$J:$J,MATCH(F530,'Уроки'!$A:$A,0)),"")</f>
        <v/>
      </c>
      <c r="L530" s="11" t="inlineStr">
        <is>
          <t>Spotlight / 7 класс / Module 7 · In the spotlight / Comparatives &amp; Superlatives / Comparatives &amp; Superlatives: превосходная степень — the most</t>
        </is>
      </c>
    </row>
    <row r="531">
      <c r="A531" s="37" t="n">
        <v>7</v>
      </c>
      <c r="B531" s="11" t="inlineStr">
        <is>
          <t>Module 7 · In the spotlight</t>
        </is>
      </c>
      <c r="C531" s="11" t="inlineStr"/>
      <c r="D531" s="11" t="inlineStr">
        <is>
          <t>Comparatives &amp; Superlatives</t>
        </is>
      </c>
      <c r="E531" s="35" t="inlineStr">
        <is>
          <t>Comparatives &amp; Superlatives: неправильные прилагательные (good, bad, many/much, little)</t>
        </is>
      </c>
      <c r="F531" s="11" t="inlineStr">
        <is>
          <t>Ст-446</t>
        </is>
      </c>
      <c r="G531" s="37" t="inlineStr">
        <is>
          <t>повторение</t>
        </is>
      </c>
      <c r="H531" s="11" t="inlineStr"/>
      <c r="I531" s="37" t="inlineStr">
        <is>
          <t>10+</t>
        </is>
      </c>
      <c r="J531" s="11">
        <f>IFERROR(INDEX('Уроки'!$H:$H,MATCH(F531,'Уроки'!$A:$A,0)),"")</f>
        <v/>
      </c>
      <c r="K531" s="11">
        <f>IFERROR(INDEX('Уроки'!$J:$J,MATCH(F531,'Уроки'!$A:$A,0)),"")</f>
        <v/>
      </c>
      <c r="L531" s="11" t="inlineStr">
        <is>
          <t>Spotlight / 7 класс / Module 7 · In the spotlight / Comparatives &amp; Superlatives / Comparatives &amp; Superlatives: неправильные прилагательные (good, bad, many/much, little)</t>
        </is>
      </c>
    </row>
    <row r="532">
      <c r="A532" s="37" t="n">
        <v>7</v>
      </c>
      <c r="B532" s="11" t="inlineStr">
        <is>
          <t>Module 7 · In the spotlight</t>
        </is>
      </c>
      <c r="C532" s="11" t="inlineStr"/>
      <c r="D532" s="11" t="inlineStr">
        <is>
          <t>Comparatives &amp; Superlatives</t>
        </is>
      </c>
      <c r="E532" s="35" t="inlineStr">
        <is>
          <t>Comparatives &amp; Superlatives: двусложные на -y/-er/-ow — -er/-est</t>
        </is>
      </c>
      <c r="F532" s="11" t="inlineStr">
        <is>
          <t>Ст-447</t>
        </is>
      </c>
      <c r="G532" s="41" t="inlineStr">
        <is>
          <t>расширение</t>
        </is>
      </c>
      <c r="H532" s="11" t="inlineStr">
        <is>
          <t>добавлены на -ow (narrow – narrower)</t>
        </is>
      </c>
      <c r="I532" s="37" t="inlineStr">
        <is>
          <t>10+</t>
        </is>
      </c>
      <c r="J532" s="11">
        <f>IFERROR(INDEX('Уроки'!$H:$H,MATCH(F532,'Уроки'!$A:$A,0)),"")</f>
        <v/>
      </c>
      <c r="K532" s="11">
        <f>IFERROR(INDEX('Уроки'!$J:$J,MATCH(F532,'Уроки'!$A:$A,0)),"")</f>
        <v/>
      </c>
      <c r="L532" s="11" t="inlineStr">
        <is>
          <t>Spotlight / 7 класс / Module 7 · In the spotlight / Comparatives &amp; Superlatives / Comparatives &amp; Superlatives: двусложные на -y/-er/-ow — -er/-est</t>
        </is>
      </c>
    </row>
    <row r="533">
      <c r="A533" s="37" t="n">
        <v>7</v>
      </c>
      <c r="B533" s="11" t="inlineStr">
        <is>
          <t>Module 7 · In the spotlight</t>
        </is>
      </c>
      <c r="C533" s="11" t="inlineStr"/>
      <c r="D533" s="11" t="inlineStr">
        <is>
          <t>Comparatives &amp; Superlatives</t>
        </is>
      </c>
      <c r="E533" s="35" t="inlineStr">
        <is>
          <t>Comparatives &amp; Superlatives: прилагательные с двумя способами (clever, quiet, friendly…)</t>
        </is>
      </c>
      <c r="F533" s="11" t="inlineStr">
        <is>
          <t>Ст-448</t>
        </is>
      </c>
      <c r="G533" s="40" t="inlineStr">
        <is>
          <t>новое</t>
        </is>
      </c>
      <c r="H533" s="11" t="inlineStr">
        <is>
          <t>clever, common, cruel, friendly, gentle, pleasant, polite, simple, stupid, quiet</t>
        </is>
      </c>
      <c r="I533" s="37" t="inlineStr">
        <is>
          <t>10+</t>
        </is>
      </c>
      <c r="J533" s="11">
        <f>IFERROR(INDEX('Уроки'!$H:$H,MATCH(F533,'Уроки'!$A:$A,0)),"")</f>
        <v/>
      </c>
      <c r="K533" s="11">
        <f>IFERROR(INDEX('Уроки'!$J:$J,MATCH(F533,'Уроки'!$A:$A,0)),"")</f>
        <v/>
      </c>
      <c r="L533" s="11" t="inlineStr">
        <is>
          <t>Spotlight / 7 класс / Module 7 · In the spotlight / Comparatives &amp; Superlatives / Comparatives &amp; Superlatives: прилагательные с двумя способами (clever, quiet, friendly…)</t>
        </is>
      </c>
    </row>
    <row r="534">
      <c r="A534" s="37" t="n">
        <v>7</v>
      </c>
      <c r="B534" s="11" t="inlineStr">
        <is>
          <t>Module 7 · In the spotlight</t>
        </is>
      </c>
      <c r="C534" s="11" t="inlineStr"/>
      <c r="D534" s="11" t="inlineStr">
        <is>
          <t>Comparatives &amp; Superlatives</t>
        </is>
      </c>
      <c r="E534" s="35" t="inlineStr">
        <is>
          <t>Comparatives &amp; Superlatives: far — farther/further, old — elder/eldest</t>
        </is>
      </c>
      <c r="F534" s="11" t="inlineStr">
        <is>
          <t>Ст-449</t>
        </is>
      </c>
      <c r="G534" s="40" t="inlineStr">
        <is>
          <t>новое</t>
        </is>
      </c>
      <c r="H534" s="11" t="inlineStr">
        <is>
          <t>far – farther/further; old – older/elder</t>
        </is>
      </c>
      <c r="I534" s="37" t="inlineStr">
        <is>
          <t>10+</t>
        </is>
      </c>
      <c r="J534" s="11">
        <f>IFERROR(INDEX('Уроки'!$H:$H,MATCH(F534,'Уроки'!$A:$A,0)),"")</f>
        <v/>
      </c>
      <c r="K534" s="11">
        <f>IFERROR(INDEX('Уроки'!$J:$J,MATCH(F534,'Уроки'!$A:$A,0)),"")</f>
        <v/>
      </c>
      <c r="L534" s="11" t="inlineStr">
        <is>
          <t>Spotlight / 7 класс / Module 7 · In the spotlight / Comparatives &amp; Superlatives / Comparatives &amp; Superlatives: far — farther/further, old — elder/eldest</t>
        </is>
      </c>
    </row>
    <row r="535">
      <c r="A535" s="37" t="n">
        <v>7</v>
      </c>
      <c r="B535" s="11" t="inlineStr">
        <is>
          <t>Module 7 · In the spotlight</t>
        </is>
      </c>
      <c r="C535" s="11" t="inlineStr"/>
      <c r="D535" s="11" t="inlineStr">
        <is>
          <t>Comparatives &amp; Superlatives</t>
        </is>
      </c>
      <c r="E535" s="33" t="inlineStr">
        <is>
          <t>Comparatives &amp; Superlatives: наречия — -er/-est (hard, fast, early)</t>
        </is>
      </c>
      <c r="F535" s="11" t="inlineStr">
        <is>
          <t>Ст-450</t>
        </is>
      </c>
      <c r="G535" s="41" t="inlineStr">
        <is>
          <t>расширение</t>
        </is>
      </c>
      <c r="H535" s="11" t="inlineStr">
        <is>
          <t>расширенный список: free, low, deep, long, right, wrong, straight</t>
        </is>
      </c>
      <c r="I535" s="37" t="inlineStr">
        <is>
          <t>10+</t>
        </is>
      </c>
      <c r="J535" s="11">
        <f>IFERROR(INDEX('Уроки'!$H:$H,MATCH(F535,'Уроки'!$A:$A,0)),"")</f>
        <v/>
      </c>
      <c r="K535" s="11">
        <f>IFERROR(INDEX('Уроки'!$J:$J,MATCH(F535,'Уроки'!$A:$A,0)),"")</f>
        <v/>
      </c>
      <c r="L535" s="11" t="inlineStr">
        <is>
          <t>Spotlight / 7 класс / Module 7 · In the spotlight / Comparatives &amp; Superlatives / Comparatives &amp; Superlatives: наречия — -er/-est (hard, fast, early)</t>
        </is>
      </c>
    </row>
    <row r="536">
      <c r="A536" s="37" t="n">
        <v>7</v>
      </c>
      <c r="B536" s="11" t="inlineStr">
        <is>
          <t>Module 7 · In the spotlight</t>
        </is>
      </c>
      <c r="C536" s="11" t="inlineStr"/>
      <c r="D536" s="11" t="inlineStr">
        <is>
          <t>Comparatives &amp; Superlatives</t>
        </is>
      </c>
      <c r="E536" s="33" t="inlineStr">
        <is>
          <t>Comparatives &amp; Superlatives: наречия — more/most (slowly)</t>
        </is>
      </c>
      <c r="F536" s="11" t="inlineStr">
        <is>
          <t>Ст-451</t>
        </is>
      </c>
      <c r="G536" s="37" t="inlineStr">
        <is>
          <t>повторение</t>
        </is>
      </c>
      <c r="H536" s="11" t="inlineStr">
        <is>
          <t>slowly</t>
        </is>
      </c>
      <c r="I536" s="37" t="inlineStr">
        <is>
          <t>10+</t>
        </is>
      </c>
      <c r="J536" s="11">
        <f>IFERROR(INDEX('Уроки'!$H:$H,MATCH(F536,'Уроки'!$A:$A,0)),"")</f>
        <v/>
      </c>
      <c r="K536" s="11">
        <f>IFERROR(INDEX('Уроки'!$J:$J,MATCH(F536,'Уроки'!$A:$A,0)),"")</f>
        <v/>
      </c>
      <c r="L536" s="11" t="inlineStr">
        <is>
          <t>Spotlight / 7 класс / Module 7 · In the spotlight / Comparatives &amp; Superlatives / Comparatives &amp; Superlatives: наречия — more/most (slowly)</t>
        </is>
      </c>
    </row>
    <row r="537">
      <c r="A537" s="37" t="n">
        <v>7</v>
      </c>
      <c r="B537" s="11" t="inlineStr">
        <is>
          <t>Module 7 · In the spotlight</t>
        </is>
      </c>
      <c r="C537" s="11" t="inlineStr"/>
      <c r="D537" s="11" t="inlineStr">
        <is>
          <t>Comparatives &amp; Superlatives</t>
        </is>
      </c>
      <c r="E537" s="33" t="inlineStr">
        <is>
          <t>Comparatives &amp; Superlatives: неправильные наречия (well, badly)</t>
        </is>
      </c>
      <c r="F537" s="11" t="inlineStr">
        <is>
          <t>Ст-452</t>
        </is>
      </c>
      <c r="G537" s="37" t="inlineStr">
        <is>
          <t>повторение</t>
        </is>
      </c>
      <c r="H537" s="11" t="inlineStr">
        <is>
          <t>good/well, bad/badly</t>
        </is>
      </c>
      <c r="I537" s="37" t="inlineStr">
        <is>
          <t>10+</t>
        </is>
      </c>
      <c r="J537" s="11">
        <f>IFERROR(INDEX('Уроки'!$H:$H,MATCH(F537,'Уроки'!$A:$A,0)),"")</f>
        <v/>
      </c>
      <c r="K537" s="11">
        <f>IFERROR(INDEX('Уроки'!$J:$J,MATCH(F537,'Уроки'!$A:$A,0)),"")</f>
        <v/>
      </c>
      <c r="L537" s="11" t="inlineStr">
        <is>
          <t>Spotlight / 7 класс / Module 7 · In the spotlight / Comparatives &amp; Superlatives / Comparatives &amp; Superlatives: неправильные наречия (well, badly)</t>
        </is>
      </c>
    </row>
    <row r="538">
      <c r="A538" s="37" t="n">
        <v>7</v>
      </c>
      <c r="B538" s="11" t="inlineStr">
        <is>
          <t>Module 7 · In the spotlight</t>
        </is>
      </c>
      <c r="C538" s="11" t="inlineStr"/>
      <c r="D538" s="11" t="inlineStr">
        <is>
          <t>Comparative structures</t>
        </is>
      </c>
      <c r="E538" s="33" t="inlineStr">
        <is>
          <t>Comparative structures: as … as / not as (so) … as</t>
        </is>
      </c>
      <c r="F538" s="11" t="inlineStr">
        <is>
          <t>Ст-461</t>
        </is>
      </c>
      <c r="G538" s="40" t="inlineStr">
        <is>
          <t>новое</t>
        </is>
      </c>
      <c r="H538" s="11" t="inlineStr">
        <is>
          <t>as … as, not as/so … as</t>
        </is>
      </c>
      <c r="I538" s="37" t="inlineStr">
        <is>
          <t>10+</t>
        </is>
      </c>
      <c r="J538" s="11">
        <f>IFERROR(INDEX('Уроки'!$H:$H,MATCH(F538,'Уроки'!$A:$A,0)),"")</f>
        <v/>
      </c>
      <c r="K538" s="11">
        <f>IFERROR(INDEX('Уроки'!$J:$J,MATCH(F538,'Уроки'!$A:$A,0)),"")</f>
        <v/>
      </c>
      <c r="L538" s="11" t="inlineStr">
        <is>
          <t>Spotlight / 7 класс / Module 7 · In the spotlight / Comparative structures / Comparative structures: as … as / not as (so) … as</t>
        </is>
      </c>
    </row>
    <row r="539">
      <c r="A539" s="37" t="n">
        <v>7</v>
      </c>
      <c r="B539" s="11" t="inlineStr">
        <is>
          <t>Module 7 · In the spotlight</t>
        </is>
      </c>
      <c r="C539" s="11" t="inlineStr"/>
      <c r="D539" s="11" t="inlineStr">
        <is>
          <t>Comparative structures</t>
        </is>
      </c>
      <c r="E539" s="33" t="inlineStr">
        <is>
          <t>Comparative structures: less … than / the least … of/in</t>
        </is>
      </c>
      <c r="F539" s="11" t="inlineStr">
        <is>
          <t>Ст-462</t>
        </is>
      </c>
      <c r="G539" s="40" t="inlineStr">
        <is>
          <t>новое</t>
        </is>
      </c>
      <c r="H539" s="11" t="inlineStr">
        <is>
          <t>less … than / more … than; the least / the most … of/in</t>
        </is>
      </c>
      <c r="I539" s="37" t="inlineStr">
        <is>
          <t>10+</t>
        </is>
      </c>
      <c r="J539" s="11">
        <f>IFERROR(INDEX('Уроки'!$H:$H,MATCH(F539,'Уроки'!$A:$A,0)),"")</f>
        <v/>
      </c>
      <c r="K539" s="11">
        <f>IFERROR(INDEX('Уроки'!$J:$J,MATCH(F539,'Уроки'!$A:$A,0)),"")</f>
        <v/>
      </c>
      <c r="L539" s="11" t="inlineStr">
        <is>
          <t>Spotlight / 7 класс / Module 7 · In the spotlight / Comparative structures / Comparative structures: less … than / the least … of/in</t>
        </is>
      </c>
    </row>
    <row r="540">
      <c r="A540" s="37" t="n">
        <v>7</v>
      </c>
      <c r="B540" s="11" t="inlineStr">
        <is>
          <t>Module 7 · In the spotlight</t>
        </is>
      </c>
      <c r="C540" s="11" t="inlineStr"/>
      <c r="D540" s="11" t="inlineStr">
        <is>
          <t>Comparative structures</t>
        </is>
      </c>
      <c r="E540" s="33" t="inlineStr">
        <is>
          <t>Comparative structures: much/a lot/far/a bit/slightly + comparative</t>
        </is>
      </c>
      <c r="F540" s="11" t="inlineStr">
        <is>
          <t>Ст-463</t>
        </is>
      </c>
      <c r="G540" s="40" t="inlineStr">
        <is>
          <t>новое</t>
        </is>
      </c>
      <c r="H540" s="11" t="inlineStr">
        <is>
          <t>much/a lot/far/a little/a bit/slightly</t>
        </is>
      </c>
      <c r="I540" s="37" t="inlineStr">
        <is>
          <t>10+</t>
        </is>
      </c>
      <c r="J540" s="11">
        <f>IFERROR(INDEX('Уроки'!$H:$H,MATCH(F540,'Уроки'!$A:$A,0)),"")</f>
        <v/>
      </c>
      <c r="K540" s="11">
        <f>IFERROR(INDEX('Уроки'!$J:$J,MATCH(F540,'Уроки'!$A:$A,0)),"")</f>
        <v/>
      </c>
      <c r="L540" s="11" t="inlineStr">
        <is>
          <t>Spotlight / 7 класс / Module 7 · In the spotlight / Comparative structures / Comparative structures: much/a lot/far/a bit/slightly + comparative</t>
        </is>
      </c>
    </row>
    <row r="541">
      <c r="A541" s="37" t="n">
        <v>7</v>
      </c>
      <c r="B541" s="11" t="inlineStr">
        <is>
          <t>Module 7 · In the spotlight</t>
        </is>
      </c>
      <c r="C541" s="11" t="inlineStr"/>
      <c r="D541" s="11" t="inlineStr">
        <is>
          <t>Comparative structures</t>
        </is>
      </c>
      <c r="E541" s="33" t="inlineStr">
        <is>
          <t>Comparative structures: the + comparative …, the + comparative</t>
        </is>
      </c>
      <c r="F541" s="11" t="inlineStr">
        <is>
          <t>Ст-464</t>
        </is>
      </c>
      <c r="G541" s="40" t="inlineStr">
        <is>
          <t>новое</t>
        </is>
      </c>
      <c r="H541" s="11" t="inlineStr">
        <is>
          <t>The harder she studies, the more easily…</t>
        </is>
      </c>
      <c r="I541" s="37" t="inlineStr">
        <is>
          <t>10+</t>
        </is>
      </c>
      <c r="J541" s="11">
        <f>IFERROR(INDEX('Уроки'!$H:$H,MATCH(F541,'Уроки'!$A:$A,0)),"")</f>
        <v/>
      </c>
      <c r="K541" s="11">
        <f>IFERROR(INDEX('Уроки'!$J:$J,MATCH(F541,'Уроки'!$A:$A,0)),"")</f>
        <v/>
      </c>
      <c r="L541" s="11" t="inlineStr">
        <is>
          <t>Spotlight / 7 класс / Module 7 · In the spotlight / Comparative structures / Comparative structures: the + comparative …, the + comparative</t>
        </is>
      </c>
    </row>
    <row r="542">
      <c r="A542" s="37" t="n">
        <v>7</v>
      </c>
      <c r="B542" s="11" t="inlineStr">
        <is>
          <t>Module 7 · In the spotlight</t>
        </is>
      </c>
      <c r="C542" s="11" t="inlineStr"/>
      <c r="D542" s="11" t="inlineStr">
        <is>
          <t>Comparative structures</t>
        </is>
      </c>
      <c r="E542" s="33" t="inlineStr">
        <is>
          <t>Comparative structures: comparative and comparative (shorter and shorter)</t>
        </is>
      </c>
      <c r="F542" s="11" t="inlineStr">
        <is>
          <t>Ст-465</t>
        </is>
      </c>
      <c r="G542" s="40" t="inlineStr">
        <is>
          <t>новое</t>
        </is>
      </c>
      <c r="H542" s="11" t="inlineStr">
        <is>
          <t>shorter and shorter</t>
        </is>
      </c>
      <c r="I542" s="37" t="inlineStr">
        <is>
          <t>10+</t>
        </is>
      </c>
      <c r="J542" s="11">
        <f>IFERROR(INDEX('Уроки'!$H:$H,MATCH(F542,'Уроки'!$A:$A,0)),"")</f>
        <v/>
      </c>
      <c r="K542" s="11">
        <f>IFERROR(INDEX('Уроки'!$J:$J,MATCH(F542,'Уроки'!$A:$A,0)),"")</f>
        <v/>
      </c>
      <c r="L542" s="11" t="inlineStr">
        <is>
          <t>Spotlight / 7 класс / Module 7 · In the spotlight / Comparative structures / Comparative structures: comparative and comparative (shorter and shorter)</t>
        </is>
      </c>
    </row>
    <row r="543">
      <c r="A543" s="37" t="n">
        <v>7</v>
      </c>
      <c r="B543" s="11" t="inlineStr">
        <is>
          <t>Module 7 · In the spotlight</t>
        </is>
      </c>
      <c r="C543" s="11" t="inlineStr"/>
      <c r="D543" s="11" t="inlineStr">
        <is>
          <t>Comparative structures</t>
        </is>
      </c>
      <c r="E543" s="33" t="inlineStr">
        <is>
          <t>Comparative structures: by far + the superlative</t>
        </is>
      </c>
      <c r="F543" s="11" t="inlineStr">
        <is>
          <t>Ст-466</t>
        </is>
      </c>
      <c r="G543" s="40" t="inlineStr">
        <is>
          <t>новое</t>
        </is>
      </c>
      <c r="H543" s="11" t="inlineStr">
        <is>
          <t>by far + the + superlative</t>
        </is>
      </c>
      <c r="I543" s="37" t="inlineStr">
        <is>
          <t>10+</t>
        </is>
      </c>
      <c r="J543" s="11">
        <f>IFERROR(INDEX('Уроки'!$H:$H,MATCH(F543,'Уроки'!$A:$A,0)),"")</f>
        <v/>
      </c>
      <c r="K543" s="11">
        <f>IFERROR(INDEX('Уроки'!$J:$J,MATCH(F543,'Уроки'!$A:$A,0)),"")</f>
        <v/>
      </c>
      <c r="L543" s="11" t="inlineStr">
        <is>
          <t>Spotlight / 7 класс / Module 7 · In the spotlight / Comparative structures / Comparative structures: by far + the superlative</t>
        </is>
      </c>
    </row>
    <row r="544">
      <c r="A544" s="37" t="n">
        <v>7</v>
      </c>
      <c r="B544" s="11" t="inlineStr">
        <is>
          <t>Module 8 · Green issues</t>
        </is>
      </c>
      <c r="C544" s="11" t="inlineStr"/>
      <c r="D544" s="11" t="inlineStr">
        <is>
          <t>Present Perfect Continuous</t>
        </is>
      </c>
      <c r="E544" s="33" t="inlineStr">
        <is>
          <t>Present Perfect Continuous: значение — длительность до настоящего (since/for/how long)</t>
        </is>
      </c>
      <c r="F544" s="11" t="inlineStr">
        <is>
          <t>Ст-096</t>
        </is>
      </c>
      <c r="G544" s="40" t="inlineStr">
        <is>
          <t>новое</t>
        </is>
      </c>
      <c r="H544" s="11" t="inlineStr">
        <is>
          <t>since, for, how long</t>
        </is>
      </c>
      <c r="I544" s="37" t="inlineStr">
        <is>
          <t>10+</t>
        </is>
      </c>
      <c r="J544" s="11">
        <f>IFERROR(INDEX('Уроки'!$H:$H,MATCH(F544,'Уроки'!$A:$A,0)),"")</f>
        <v/>
      </c>
      <c r="K544" s="11">
        <f>IFERROR(INDEX('Уроки'!$J:$J,MATCH(F544,'Уроки'!$A:$A,0)),"")</f>
        <v/>
      </c>
      <c r="L544" s="11" t="inlineStr">
        <is>
          <t>Spotlight / 7 класс / Module 8 · Green issues / Present Perfect Continuous / Present Perfect Continuous: значение — длительность до настоящего (since/for/how long)</t>
        </is>
      </c>
    </row>
    <row r="545">
      <c r="A545" s="37" t="n">
        <v>7</v>
      </c>
      <c r="B545" s="11" t="inlineStr">
        <is>
          <t>Module 8 · Green issues</t>
        </is>
      </c>
      <c r="C545" s="11" t="inlineStr"/>
      <c r="D545" s="11" t="inlineStr">
        <is>
          <t>Present Perfect Continuous</t>
        </is>
      </c>
      <c r="E545" s="33" t="inlineStr">
        <is>
          <t>Present Perfect Continuous: значение — видимый результат длительного действия</t>
        </is>
      </c>
      <c r="F545" s="11" t="inlineStr">
        <is>
          <t>Ст-097</t>
        </is>
      </c>
      <c r="G545" s="40" t="inlineStr">
        <is>
          <t>новое</t>
        </is>
      </c>
      <c r="H545" s="11" t="inlineStr">
        <is>
          <t>Your hands are dirty. Have you been painting?</t>
        </is>
      </c>
      <c r="I545" s="37" t="inlineStr">
        <is>
          <t>10+</t>
        </is>
      </c>
      <c r="J545" s="11">
        <f>IFERROR(INDEX('Уроки'!$H:$H,MATCH(F545,'Уроки'!$A:$A,0)),"")</f>
        <v/>
      </c>
      <c r="K545" s="11">
        <f>IFERROR(INDEX('Уроки'!$J:$J,MATCH(F545,'Уроки'!$A:$A,0)),"")</f>
        <v/>
      </c>
      <c r="L545" s="11" t="inlineStr">
        <is>
          <t>Spotlight / 7 класс / Module 8 · Green issues / Present Perfect Continuous / Present Perfect Continuous: значение — видимый результат длительного действия</t>
        </is>
      </c>
    </row>
    <row r="546">
      <c r="A546" s="37" t="n">
        <v>7</v>
      </c>
      <c r="B546" s="11" t="inlineStr">
        <is>
          <t>Module 8 · Green issues</t>
        </is>
      </c>
      <c r="C546" s="11" t="inlineStr"/>
      <c r="D546" s="11" t="inlineStr">
        <is>
          <t>Present Perfect Continuous</t>
        </is>
      </c>
      <c r="E546" s="35" t="inlineStr">
        <is>
          <t>Present Perfect Continuous: live/work/teach/feel — без разницы с Present Perfect</t>
        </is>
      </c>
      <c r="F546" s="11" t="inlineStr">
        <is>
          <t>Ст-100</t>
        </is>
      </c>
      <c r="G546" s="40" t="inlineStr">
        <is>
          <t>новое</t>
        </is>
      </c>
      <c r="H546" s="11" t="inlineStr">
        <is>
          <t>live, work, teach, feel; форма не расписана</t>
        </is>
      </c>
      <c r="I546" s="37" t="inlineStr">
        <is>
          <t>10+</t>
        </is>
      </c>
      <c r="J546" s="11">
        <f>IFERROR(INDEX('Уроки'!$H:$H,MATCH(F546,'Уроки'!$A:$A,0)),"")</f>
        <v/>
      </c>
      <c r="K546" s="11">
        <f>IFERROR(INDEX('Уроки'!$J:$J,MATCH(F546,'Уроки'!$A:$A,0)),"")</f>
        <v/>
      </c>
      <c r="L546" s="11" t="inlineStr">
        <is>
          <t>Spotlight / 7 класс / Module 8 · Green issues / Present Perfect Continuous / Present Perfect Continuous: live/work/teach/feel — без разницы с Present Perfect</t>
        </is>
      </c>
    </row>
    <row r="547">
      <c r="A547" s="37" t="n">
        <v>7</v>
      </c>
      <c r="B547" s="11" t="inlineStr">
        <is>
          <t>Module 8 · Green issues</t>
        </is>
      </c>
      <c r="C547" s="11" t="inlineStr"/>
      <c r="D547" s="11" t="inlineStr">
        <is>
          <t>have to</t>
        </is>
      </c>
      <c r="E547" s="33" t="inlineStr">
        <is>
          <t>have to: значение — необходимость из-за обстоятельств (утверждение)</t>
        </is>
      </c>
      <c r="F547" s="11" t="inlineStr">
        <is>
          <t>Ст-137</t>
        </is>
      </c>
      <c r="G547" s="37" t="inlineStr">
        <is>
          <t>повторение</t>
        </is>
      </c>
      <c r="H547" s="11" t="inlineStr">
        <is>
          <t>«приходится, нужно»</t>
        </is>
      </c>
      <c r="I547" s="37" t="inlineStr">
        <is>
          <t>10+</t>
        </is>
      </c>
      <c r="J547" s="11">
        <f>IFERROR(INDEX('Уроки'!$H:$H,MATCH(F547,'Уроки'!$A:$A,0)),"")</f>
        <v/>
      </c>
      <c r="K547" s="11">
        <f>IFERROR(INDEX('Уроки'!$J:$J,MATCH(F547,'Уроки'!$A:$A,0)),"")</f>
        <v/>
      </c>
      <c r="L547" s="11" t="inlineStr">
        <is>
          <t>Spotlight / 7 класс / Module 8 · Green issues / have to / have to: значение — необходимость из-за обстоятельств (утверждение)</t>
        </is>
      </c>
    </row>
    <row r="548">
      <c r="A548" s="37" t="n">
        <v>7</v>
      </c>
      <c r="B548" s="11" t="inlineStr">
        <is>
          <t>Module 8 · Green issues</t>
        </is>
      </c>
      <c r="C548" s="11" t="inlineStr"/>
      <c r="D548" s="11" t="inlineStr">
        <is>
          <t>have to</t>
        </is>
      </c>
      <c r="E548" s="33" t="inlineStr">
        <is>
          <t>have to: don't / doesn't have to — отсутствие необходимости</t>
        </is>
      </c>
      <c r="F548" s="11" t="inlineStr">
        <is>
          <t>Ст-138</t>
        </is>
      </c>
      <c r="G548" s="37" t="inlineStr">
        <is>
          <t>повторение</t>
        </is>
      </c>
      <c r="H548" s="11" t="inlineStr">
        <is>
          <t>don't/doesn't have to</t>
        </is>
      </c>
      <c r="I548" s="37" t="inlineStr">
        <is>
          <t>10+</t>
        </is>
      </c>
      <c r="J548" s="11">
        <f>IFERROR(INDEX('Уроки'!$H:$H,MATCH(F548,'Уроки'!$A:$A,0)),"")</f>
        <v/>
      </c>
      <c r="K548" s="11">
        <f>IFERROR(INDEX('Уроки'!$J:$J,MATCH(F548,'Уроки'!$A:$A,0)),"")</f>
        <v/>
      </c>
      <c r="L548" s="11" t="inlineStr">
        <is>
          <t>Spotlight / 7 класс / Module 8 · Green issues / have to / have to: don't / doesn't have to — отсутствие необходимости</t>
        </is>
      </c>
    </row>
    <row r="549">
      <c r="A549" s="37" t="n">
        <v>7</v>
      </c>
      <c r="B549" s="11" t="inlineStr">
        <is>
          <t>Module 8 · Green issues</t>
        </is>
      </c>
      <c r="C549" s="11" t="inlineStr"/>
      <c r="D549" s="11" t="inlineStr">
        <is>
          <t>have to</t>
        </is>
      </c>
      <c r="E549" s="35" t="inlineStr">
        <is>
          <t>have to: had to — прошедшее время</t>
        </is>
      </c>
      <c r="F549" s="11" t="inlineStr">
        <is>
          <t>Ст-139</t>
        </is>
      </c>
      <c r="G549" s="40" t="inlineStr">
        <is>
          <t>новое</t>
        </is>
      </c>
      <c r="H549" s="11" t="inlineStr">
        <is>
          <t>употребляется в разных временах (had to)</t>
        </is>
      </c>
      <c r="I549" s="37" t="inlineStr">
        <is>
          <t>10+</t>
        </is>
      </c>
      <c r="J549" s="11">
        <f>IFERROR(INDEX('Уроки'!$H:$H,MATCH(F549,'Уроки'!$A:$A,0)),"")</f>
        <v/>
      </c>
      <c r="K549" s="11">
        <f>IFERROR(INDEX('Уроки'!$J:$J,MATCH(F549,'Уроки'!$A:$A,0)),"")</f>
        <v/>
      </c>
      <c r="L549" s="11" t="inlineStr">
        <is>
          <t>Spotlight / 7 класс / Module 8 · Green issues / have to / have to: had to — прошедшее время</t>
        </is>
      </c>
    </row>
    <row r="550">
      <c r="A550" s="37" t="n">
        <v>7</v>
      </c>
      <c r="B550" s="11" t="inlineStr">
        <is>
          <t>Module 8 · Green issues</t>
        </is>
      </c>
      <c r="C550" s="11" t="inlineStr"/>
      <c r="D550" s="11" t="inlineStr">
        <is>
          <t>must/mustn't</t>
        </is>
      </c>
      <c r="E550" s="33" t="inlineStr">
        <is>
          <t>must/mustn't: must — обязанность, необходимость</t>
        </is>
      </c>
      <c r="F550" s="11" t="inlineStr">
        <is>
          <t>Ст-146</t>
        </is>
      </c>
      <c r="G550" s="37" t="inlineStr">
        <is>
          <t>повторение</t>
        </is>
      </c>
      <c r="H550" s="11" t="inlineStr">
        <is>
          <t>правила, обязанности, долг</t>
        </is>
      </c>
      <c r="I550" s="37" t="inlineStr">
        <is>
          <t>10+</t>
        </is>
      </c>
      <c r="J550" s="11">
        <f>IFERROR(INDEX('Уроки'!$H:$H,MATCH(F550,'Уроки'!$A:$A,0)),"")</f>
        <v/>
      </c>
      <c r="K550" s="11">
        <f>IFERROR(INDEX('Уроки'!$J:$J,MATCH(F550,'Уроки'!$A:$A,0)),"")</f>
        <v/>
      </c>
      <c r="L550" s="11" t="inlineStr">
        <is>
          <t>Spotlight / 7 класс / Module 8 · Green issues / must/mustn't / must/mustn't: must — обязанность, необходимость</t>
        </is>
      </c>
    </row>
    <row r="551">
      <c r="A551" s="37" t="n">
        <v>7</v>
      </c>
      <c r="B551" s="11" t="inlineStr">
        <is>
          <t>Module 8 · Green issues</t>
        </is>
      </c>
      <c r="C551" s="11" t="inlineStr"/>
      <c r="D551" s="11" t="inlineStr">
        <is>
          <t>must/mustn't</t>
        </is>
      </c>
      <c r="E551" s="33" t="inlineStr">
        <is>
          <t>must/mustn't: mustn't — запрет</t>
        </is>
      </c>
      <c r="F551" s="11" t="inlineStr">
        <is>
          <t>Ст-147</t>
        </is>
      </c>
      <c r="G551" s="37" t="inlineStr">
        <is>
          <t>повторение</t>
        </is>
      </c>
      <c r="H551" s="11" t="inlineStr"/>
      <c r="I551" s="37" t="inlineStr">
        <is>
          <t>10+</t>
        </is>
      </c>
      <c r="J551" s="11">
        <f>IFERROR(INDEX('Уроки'!$H:$H,MATCH(F551,'Уроки'!$A:$A,0)),"")</f>
        <v/>
      </c>
      <c r="K551" s="11">
        <f>IFERROR(INDEX('Уроки'!$J:$J,MATCH(F551,'Уроки'!$A:$A,0)),"")</f>
        <v/>
      </c>
      <c r="L551" s="11" t="inlineStr">
        <is>
          <t>Spotlight / 7 класс / Module 8 · Green issues / must/mustn't / must/mustn't: mustn't — запрет</t>
        </is>
      </c>
    </row>
    <row r="552">
      <c r="A552" s="37" t="n">
        <v>7</v>
      </c>
      <c r="B552" s="11" t="inlineStr">
        <is>
          <t>Module 8 · Green issues</t>
        </is>
      </c>
      <c r="C552" s="11" t="inlineStr"/>
      <c r="D552" s="11" t="inlineStr">
        <is>
          <t>must/mustn't</t>
        </is>
      </c>
      <c r="E552" s="35" t="inlineStr">
        <is>
          <t>must/mustn't: must — настойчивый совет</t>
        </is>
      </c>
      <c r="F552" s="11" t="inlineStr">
        <is>
          <t>Ст-149</t>
        </is>
      </c>
      <c r="G552" s="40" t="inlineStr">
        <is>
          <t>новое</t>
        </is>
      </c>
      <c r="H552" s="11" t="inlineStr">
        <is>
          <t>You must tell the truth</t>
        </is>
      </c>
      <c r="I552" s="37" t="inlineStr">
        <is>
          <t>10+</t>
        </is>
      </c>
      <c r="J552" s="11">
        <f>IFERROR(INDEX('Уроки'!$H:$H,MATCH(F552,'Уроки'!$A:$A,0)),"")</f>
        <v/>
      </c>
      <c r="K552" s="11">
        <f>IFERROR(INDEX('Уроки'!$J:$J,MATCH(F552,'Уроки'!$A:$A,0)),"")</f>
        <v/>
      </c>
      <c r="L552" s="11" t="inlineStr">
        <is>
          <t>Spotlight / 7 класс / Module 8 · Green issues / must/mustn't / must/mustn't: must — настойчивый совет</t>
        </is>
      </c>
    </row>
    <row r="553">
      <c r="A553" s="37" t="n">
        <v>7</v>
      </c>
      <c r="B553" s="11" t="inlineStr">
        <is>
          <t>Module 8 · Green issues</t>
        </is>
      </c>
      <c r="C553" s="11" t="inlineStr"/>
      <c r="D553" s="11" t="inlineStr">
        <is>
          <t>must/mustn't</t>
        </is>
      </c>
      <c r="E553" s="35" t="inlineStr">
        <is>
          <t>must/mustn't: must только в настоящем; в других временах — have to / had to</t>
        </is>
      </c>
      <c r="F553" s="11" t="inlineStr">
        <is>
          <t>Ст-150</t>
        </is>
      </c>
      <c r="G553" s="40" t="inlineStr">
        <is>
          <t>новое</t>
        </is>
      </c>
      <c r="H553" s="11" t="inlineStr">
        <is>
          <t>I had to go to the doctor yesterday</t>
        </is>
      </c>
      <c r="I553" s="37" t="inlineStr">
        <is>
          <t>10+</t>
        </is>
      </c>
      <c r="J553" s="11">
        <f>IFERROR(INDEX('Уроки'!$H:$H,MATCH(F553,'Уроки'!$A:$A,0)),"")</f>
        <v/>
      </c>
      <c r="K553" s="11">
        <f>IFERROR(INDEX('Уроки'!$J:$J,MATCH(F553,'Уроки'!$A:$A,0)),"")</f>
        <v/>
      </c>
      <c r="L553" s="11" t="inlineStr">
        <is>
          <t>Spotlight / 7 класс / Module 8 · Green issues / must/mustn't / must/mustn't: must только в настоящем; в других временах — have to / had to</t>
        </is>
      </c>
    </row>
    <row r="554">
      <c r="A554" s="37" t="n">
        <v>7</v>
      </c>
      <c r="B554" s="11" t="inlineStr">
        <is>
          <t>Module 8 · Green issues</t>
        </is>
      </c>
      <c r="C554" s="11" t="inlineStr"/>
      <c r="D554" s="11" t="inlineStr">
        <is>
          <t>Question tags</t>
        </is>
      </c>
      <c r="E554" s="33" t="inlineStr">
        <is>
          <t>Question tags: образование — вспомогательный глагол + местоимение (do/does)</t>
        </is>
      </c>
      <c r="F554" s="11" t="inlineStr">
        <is>
          <t>Ст-515</t>
        </is>
      </c>
      <c r="G554" s="37" t="inlineStr">
        <is>
          <t>повторение</t>
        </is>
      </c>
      <c r="H554" s="11" t="inlineStr">
        <is>
          <t>isn't he, haven't you</t>
        </is>
      </c>
      <c r="I554" s="37" t="inlineStr">
        <is>
          <t>10+</t>
        </is>
      </c>
      <c r="J554" s="11">
        <f>IFERROR(INDEX('Уроки'!$H:$H,MATCH(F554,'Уроки'!$A:$A,0)),"")</f>
        <v/>
      </c>
      <c r="K554" s="11">
        <f>IFERROR(INDEX('Уроки'!$J:$J,MATCH(F554,'Уроки'!$A:$A,0)),"")</f>
        <v/>
      </c>
      <c r="L554" s="11" t="inlineStr">
        <is>
          <t>Spotlight / 7 класс / Module 8 · Green issues / Question tags / Question tags: образование — вспомогательный глагол + местоимение (do/does)</t>
        </is>
      </c>
    </row>
    <row r="555">
      <c r="A555" s="37" t="n">
        <v>7</v>
      </c>
      <c r="B555" s="11" t="inlineStr">
        <is>
          <t>Module 8 · Green issues</t>
        </is>
      </c>
      <c r="C555" s="11" t="inlineStr"/>
      <c r="D555" s="11" t="inlineStr">
        <is>
          <t>Question tags</t>
        </is>
      </c>
      <c r="E555" s="33" t="inlineStr">
        <is>
          <t>Question tags: с be и модальными глаголами (isn't she, can't she)</t>
        </is>
      </c>
      <c r="F555" s="11" t="inlineStr">
        <is>
          <t>Ст-516</t>
        </is>
      </c>
      <c r="G555" s="37" t="inlineStr">
        <is>
          <t>повторение</t>
        </is>
      </c>
      <c r="H555" s="11" t="inlineStr">
        <is>
          <t>can't she</t>
        </is>
      </c>
      <c r="I555" s="37" t="inlineStr">
        <is>
          <t>10+</t>
        </is>
      </c>
      <c r="J555" s="11">
        <f>IFERROR(INDEX('Уроки'!$H:$H,MATCH(F555,'Уроки'!$A:$A,0)),"")</f>
        <v/>
      </c>
      <c r="K555" s="11">
        <f>IFERROR(INDEX('Уроки'!$J:$J,MATCH(F555,'Уроки'!$A:$A,0)),"")</f>
        <v/>
      </c>
      <c r="L555" s="11" t="inlineStr">
        <is>
          <t>Spotlight / 7 класс / Module 8 · Green issues / Question tags / Question tags: с be и модальными глаголами (isn't she, can't she)</t>
        </is>
      </c>
    </row>
    <row r="556">
      <c r="A556" s="37" t="n">
        <v>7</v>
      </c>
      <c r="B556" s="11" t="inlineStr">
        <is>
          <t>Module 8 · Green issues</t>
        </is>
      </c>
      <c r="C556" s="11" t="inlineStr"/>
      <c r="D556" s="11" t="inlineStr">
        <is>
          <t>Question tags</t>
        </is>
      </c>
      <c r="E556" s="33" t="inlineStr">
        <is>
          <t>Question tags: утверждение → отрицательный хвост, отрицание → утвердительный</t>
        </is>
      </c>
      <c r="F556" s="11" t="inlineStr">
        <is>
          <t>Ст-517</t>
        </is>
      </c>
      <c r="G556" s="37" t="inlineStr">
        <is>
          <t>повторение</t>
        </is>
      </c>
      <c r="H556" s="11" t="inlineStr"/>
      <c r="I556" s="37" t="inlineStr">
        <is>
          <t>10+</t>
        </is>
      </c>
      <c r="J556" s="11">
        <f>IFERROR(INDEX('Уроки'!$H:$H,MATCH(F556,'Уроки'!$A:$A,0)),"")</f>
        <v/>
      </c>
      <c r="K556" s="11">
        <f>IFERROR(INDEX('Уроки'!$J:$J,MATCH(F556,'Уроки'!$A:$A,0)),"")</f>
        <v/>
      </c>
      <c r="L556" s="11" t="inlineStr">
        <is>
          <t>Spotlight / 7 класс / Module 8 · Green issues / Question tags / Question tags: утверждение → отрицательный хвост, отрицание → утвердительный</t>
        </is>
      </c>
    </row>
    <row r="557">
      <c r="A557" s="37" t="n">
        <v>7</v>
      </c>
      <c r="B557" s="11" t="inlineStr">
        <is>
          <t>Module 8 · Green issues</t>
        </is>
      </c>
      <c r="C557" s="11" t="inlineStr"/>
      <c r="D557" s="11" t="inlineStr">
        <is>
          <t>Question tags</t>
        </is>
      </c>
      <c r="E557" s="34" t="inlineStr">
        <is>
          <t>Question tags: never/hardly/seldom/rarely → утвердительный хвост</t>
        </is>
      </c>
      <c r="F557" s="11" t="inlineStr">
        <is>
          <t>Ст-519</t>
        </is>
      </c>
      <c r="G557" s="40" t="inlineStr">
        <is>
          <t>новое</t>
        </is>
      </c>
      <c r="H557" s="11" t="inlineStr">
        <is>
          <t>You never listen…, do you?</t>
        </is>
      </c>
      <c r="I557" s="37" t="inlineStr">
        <is>
          <t>10+</t>
        </is>
      </c>
      <c r="J557" s="11">
        <f>IFERROR(INDEX('Уроки'!$H:$H,MATCH(F557,'Уроки'!$A:$A,0)),"")</f>
        <v/>
      </c>
      <c r="K557" s="11">
        <f>IFERROR(INDEX('Уроки'!$J:$J,MATCH(F557,'Уроки'!$A:$A,0)),"")</f>
        <v/>
      </c>
      <c r="L557" s="11" t="inlineStr">
        <is>
          <t>Spotlight / 7 класс / Module 8 · Green issues / Question tags / Question tags: never/hardly/seldom/rarely → утвердительный хвост</t>
        </is>
      </c>
    </row>
    <row r="558">
      <c r="A558" s="37" t="n">
        <v>7</v>
      </c>
      <c r="B558" s="11" t="inlineStr">
        <is>
          <t>Module 9 · Shopping time</t>
        </is>
      </c>
      <c r="C558" s="11" t="inlineStr"/>
      <c r="D558" s="11" t="inlineStr">
        <is>
          <t>Present Perfect vs Present Perfect Continuous</t>
        </is>
      </c>
      <c r="E558" s="33" t="inlineStr">
        <is>
          <t>Present Perfect vs Present Perfect Continuous: результат vs длительность</t>
        </is>
      </c>
      <c r="F558" s="11" t="inlineStr">
        <is>
          <t>Ст-103</t>
        </is>
      </c>
      <c r="G558" s="40" t="inlineStr">
        <is>
          <t>новое</t>
        </is>
      </c>
      <c r="H558" s="11" t="inlineStr">
        <is>
          <t>has just bought vs have been swimming all day</t>
        </is>
      </c>
      <c r="I558" s="37" t="inlineStr">
        <is>
          <t>10+</t>
        </is>
      </c>
      <c r="J558" s="11">
        <f>IFERROR(INDEX('Уроки'!$H:$H,MATCH(F558,'Уроки'!$A:$A,0)),"")</f>
        <v/>
      </c>
      <c r="K558" s="11">
        <f>IFERROR(INDEX('Уроки'!$J:$J,MATCH(F558,'Уроки'!$A:$A,0)),"")</f>
        <v/>
      </c>
      <c r="L558" s="11" t="inlineStr">
        <is>
          <t>Spotlight / 7 класс / Module 9 · Shopping time / Present Perfect vs Present Perfect Continuous / Present Perfect vs Present Perfect Continuous: результат vs длительность</t>
        </is>
      </c>
    </row>
    <row r="559">
      <c r="A559" s="37" t="n">
        <v>7</v>
      </c>
      <c r="B559" s="11" t="inlineStr">
        <is>
          <t>Module 9 · Shopping time</t>
        </is>
      </c>
      <c r="C559" s="11" t="inlineStr"/>
      <c r="D559" s="11" t="inlineStr">
        <is>
          <t>Present Perfect vs Present Perfect Continuous</t>
        </is>
      </c>
      <c r="E559" s="33" t="inlineStr">
        <is>
          <t>Present Perfect vs Present Perfect Continuous: stative verbs — только Present Perfect</t>
        </is>
      </c>
      <c r="F559" s="11" t="inlineStr">
        <is>
          <t>Ст-104</t>
        </is>
      </c>
      <c r="G559" s="40" t="inlineStr">
        <is>
          <t>новое</t>
        </is>
      </c>
      <c r="H559" s="11" t="inlineStr">
        <is>
          <t>like, know, have + for/since — Present Perfect</t>
        </is>
      </c>
      <c r="I559" s="37" t="inlineStr">
        <is>
          <t>10+</t>
        </is>
      </c>
      <c r="J559" s="11">
        <f>IFERROR(INDEX('Уроки'!$H:$H,MATCH(F559,'Уроки'!$A:$A,0)),"")</f>
        <v/>
      </c>
      <c r="K559" s="11">
        <f>IFERROR(INDEX('Уроки'!$J:$J,MATCH(F559,'Уроки'!$A:$A,0)),"")</f>
        <v/>
      </c>
      <c r="L559" s="11" t="inlineStr">
        <is>
          <t>Spotlight / 7 класс / Module 9 · Shopping time / Present Perfect vs Present Perfect Continuous / Present Perfect vs Present Perfect Continuous: stative verbs — только Present Perfect</t>
        </is>
      </c>
    </row>
    <row r="560">
      <c r="A560" s="37" t="n">
        <v>7</v>
      </c>
      <c r="B560" s="11" t="inlineStr">
        <is>
          <t>Module 9 · Shopping time</t>
        </is>
      </c>
      <c r="C560" s="11" t="inlineStr"/>
      <c r="D560" s="11" t="inlineStr">
        <is>
          <t>Present Perfect vs Present Perfect Continuous</t>
        </is>
      </c>
      <c r="E560" s="33" t="inlineStr">
        <is>
          <t>Present Perfect vs Present Perfect Continuous: результат завершённого действия vs следы процесса</t>
        </is>
      </c>
      <c r="F560" s="11" t="inlineStr">
        <is>
          <t>Ст-105</t>
        </is>
      </c>
      <c r="G560" s="40" t="inlineStr">
        <is>
          <t>новое</t>
        </is>
      </c>
      <c r="H560" s="11" t="inlineStr">
        <is>
          <t>has broken his leg vs He's been sunbathing</t>
        </is>
      </c>
      <c r="I560" s="37" t="inlineStr">
        <is>
          <t>10+</t>
        </is>
      </c>
      <c r="J560" s="11">
        <f>IFERROR(INDEX('Уроки'!$H:$H,MATCH(F560,'Уроки'!$A:$A,0)),"")</f>
        <v/>
      </c>
      <c r="K560" s="11">
        <f>IFERROR(INDEX('Уроки'!$J:$J,MATCH(F560,'Уроки'!$A:$A,0)),"")</f>
        <v/>
      </c>
      <c r="L560" s="11" t="inlineStr">
        <is>
          <t>Spotlight / 7 класс / Module 9 · Shopping time / Present Perfect vs Present Perfect Continuous / Present Perfect vs Present Perfect Continuous: результат завершённого действия vs следы процесса</t>
        </is>
      </c>
    </row>
    <row r="561">
      <c r="A561" s="37" t="n">
        <v>7</v>
      </c>
      <c r="B561" s="11" t="inlineStr">
        <is>
          <t>Module 9 · Shopping time</t>
        </is>
      </c>
      <c r="C561" s="11" t="inlineStr"/>
      <c r="D561" s="11" t="inlineStr">
        <is>
          <t>Present Perfect vs Present Perfect Continuous</t>
        </is>
      </c>
      <c r="E561" s="35" t="inlineStr">
        <is>
          <t>Present Perfect vs Present Perfect Continuous: эмоциональная окраска Continuous (раздражение)</t>
        </is>
      </c>
      <c r="F561" s="11" t="inlineStr">
        <is>
          <t>Ст-106</t>
        </is>
      </c>
      <c r="G561" s="40" t="inlineStr">
        <is>
          <t>новое</t>
        </is>
      </c>
      <c r="H561" s="11" t="inlineStr">
        <is>
          <t>Who has been using my computer?</t>
        </is>
      </c>
      <c r="I561" s="37" t="inlineStr">
        <is>
          <t>10+</t>
        </is>
      </c>
      <c r="J561" s="11">
        <f>IFERROR(INDEX('Уроки'!$H:$H,MATCH(F561,'Уроки'!$A:$A,0)),"")</f>
        <v/>
      </c>
      <c r="K561" s="11">
        <f>IFERROR(INDEX('Уроки'!$J:$J,MATCH(F561,'Уроки'!$A:$A,0)),"")</f>
        <v/>
      </c>
      <c r="L561" s="11" t="inlineStr">
        <is>
          <t>Spotlight / 7 класс / Module 9 · Shopping time / Present Perfect vs Present Perfect Continuous / Present Perfect vs Present Perfect Continuous: эмоциональная окраска Continuous (раздражение)</t>
        </is>
      </c>
    </row>
    <row r="562">
      <c r="A562" s="37" t="n">
        <v>7</v>
      </c>
      <c r="B562" s="11" t="inlineStr">
        <is>
          <t>Module 9 · Shopping time</t>
        </is>
      </c>
      <c r="C562" s="11" t="inlineStr"/>
      <c r="D562" s="11" t="inlineStr">
        <is>
          <t>Countable / Uncountable nouns</t>
        </is>
      </c>
      <c r="E562" s="33" t="inlineStr">
        <is>
          <t>Countable / Uncountable: различие исчисляемых и неисчисляемых</t>
        </is>
      </c>
      <c r="F562" s="11" t="inlineStr">
        <is>
          <t>Ст-323</t>
        </is>
      </c>
      <c r="G562" s="37" t="inlineStr">
        <is>
          <t>повторение</t>
        </is>
      </c>
      <c r="H562" s="11" t="inlineStr"/>
      <c r="I562" s="37" t="inlineStr">
        <is>
          <t>10+</t>
        </is>
      </c>
      <c r="J562" s="11">
        <f>IFERROR(INDEX('Уроки'!$H:$H,MATCH(F562,'Уроки'!$A:$A,0)),"")</f>
        <v/>
      </c>
      <c r="K562" s="11">
        <f>IFERROR(INDEX('Уроки'!$J:$J,MATCH(F562,'Уроки'!$A:$A,0)),"")</f>
        <v/>
      </c>
      <c r="L562" s="11" t="inlineStr">
        <is>
          <t>Spotlight / 7 класс / Module 9 · Shopping time / Countable / Uncountable nouns / Countable / Uncountable: различие исчисляемых и неисчисляемых</t>
        </is>
      </c>
    </row>
    <row r="563">
      <c r="A563" s="37" t="n">
        <v>7</v>
      </c>
      <c r="B563" s="11" t="inlineStr">
        <is>
          <t>Module 9 · Shopping time</t>
        </is>
      </c>
      <c r="C563" s="11" t="inlineStr"/>
      <c r="D563" s="11" t="inlineStr">
        <is>
          <t>Countable / Uncountable nouns</t>
        </is>
      </c>
      <c r="E563" s="33" t="inlineStr">
        <is>
          <t>Countable / Uncountable: There is/are + исчисляемые/неисчисляемые — утверждение</t>
        </is>
      </c>
      <c r="F563" s="11" t="inlineStr">
        <is>
          <t>Ст-327</t>
        </is>
      </c>
      <c r="G563" s="40" t="inlineStr">
        <is>
          <t>новое</t>
        </is>
      </c>
      <c r="H563" s="11" t="inlineStr">
        <is>
          <t>There is a book / There are some, a lot of, (a) few apples / There's some, (a) little butter</t>
        </is>
      </c>
      <c r="I563" s="37" t="inlineStr">
        <is>
          <t>10+</t>
        </is>
      </c>
      <c r="J563" s="11">
        <f>IFERROR(INDEX('Уроки'!$H:$H,MATCH(F563,'Уроки'!$A:$A,0)),"")</f>
        <v/>
      </c>
      <c r="K563" s="11">
        <f>IFERROR(INDEX('Уроки'!$J:$J,MATCH(F563,'Уроки'!$A:$A,0)),"")</f>
        <v/>
      </c>
      <c r="L563" s="11" t="inlineStr">
        <is>
          <t>Spotlight / 7 класс / Module 9 · Shopping time / Countable / Uncountable nouns / Countable / Uncountable: There is/are + исчисляемые/неисчисляемые — утверждение</t>
        </is>
      </c>
    </row>
    <row r="564">
      <c r="A564" s="37" t="n">
        <v>7</v>
      </c>
      <c r="B564" s="11" t="inlineStr">
        <is>
          <t>Module 9 · Shopping time</t>
        </is>
      </c>
      <c r="C564" s="11" t="inlineStr"/>
      <c r="D564" s="11" t="inlineStr">
        <is>
          <t>Countable / Uncountable nouns</t>
        </is>
      </c>
      <c r="E564" s="33" t="inlineStr">
        <is>
          <t>Countable / Uncountable: There is/are + исчисляемые/неисчисляемые — отрицание</t>
        </is>
      </c>
      <c r="F564" s="11" t="inlineStr">
        <is>
          <t>Ст-328</t>
        </is>
      </c>
      <c r="G564" s="40" t="inlineStr">
        <is>
          <t>новое</t>
        </is>
      </c>
      <c r="H564" s="11" t="inlineStr">
        <is>
          <t>There isn't a book / aren't any/many apples / isn't any/much butter</t>
        </is>
      </c>
      <c r="I564" s="37" t="inlineStr">
        <is>
          <t>10+</t>
        </is>
      </c>
      <c r="J564" s="11">
        <f>IFERROR(INDEX('Уроки'!$H:$H,MATCH(F564,'Уроки'!$A:$A,0)),"")</f>
        <v/>
      </c>
      <c r="K564" s="11">
        <f>IFERROR(INDEX('Уроки'!$J:$J,MATCH(F564,'Уроки'!$A:$A,0)),"")</f>
        <v/>
      </c>
      <c r="L564" s="11" t="inlineStr">
        <is>
          <t>Spotlight / 7 класс / Module 9 · Shopping time / Countable / Uncountable nouns / Countable / Uncountable: There is/are + исчисляемые/неисчисляемые — отрицание</t>
        </is>
      </c>
    </row>
    <row r="565">
      <c r="A565" s="37" t="n">
        <v>7</v>
      </c>
      <c r="B565" s="11" t="inlineStr">
        <is>
          <t>Module 9 · Shopping time</t>
        </is>
      </c>
      <c r="C565" s="11" t="inlineStr"/>
      <c r="D565" s="11" t="inlineStr">
        <is>
          <t>Countable / Uncountable nouns</t>
        </is>
      </c>
      <c r="E565" s="33" t="inlineStr">
        <is>
          <t>Countable / Uncountable: There is/are + исчисляемые/неисчисляемые — вопрос</t>
        </is>
      </c>
      <c r="F565" s="11" t="inlineStr">
        <is>
          <t>Ст-329</t>
        </is>
      </c>
      <c r="G565" s="40" t="inlineStr">
        <is>
          <t>новое</t>
        </is>
      </c>
      <c r="H565" s="11" t="inlineStr">
        <is>
          <t>Is there a book? Are there any apples? Is there any butter?</t>
        </is>
      </c>
      <c r="I565" s="37" t="inlineStr">
        <is>
          <t>10+</t>
        </is>
      </c>
      <c r="J565" s="11">
        <f>IFERROR(INDEX('Уроки'!$H:$H,MATCH(F565,'Уроки'!$A:$A,0)),"")</f>
        <v/>
      </c>
      <c r="K565" s="11">
        <f>IFERROR(INDEX('Уроки'!$J:$J,MATCH(F565,'Уроки'!$A:$A,0)),"")</f>
        <v/>
      </c>
      <c r="L565" s="11" t="inlineStr">
        <is>
          <t>Spotlight / 7 класс / Module 9 · Shopping time / Countable / Uncountable nouns / Countable / Uncountable: There is/are + исчисляемые/неисчисляемые — вопрос</t>
        </is>
      </c>
    </row>
    <row r="566">
      <c r="A566" s="37" t="n">
        <v>7</v>
      </c>
      <c r="B566" s="11" t="inlineStr">
        <is>
          <t>Module 9 · Shopping time</t>
        </is>
      </c>
      <c r="C566" s="11" t="inlineStr"/>
      <c r="D566" s="11" t="inlineStr">
        <is>
          <t>a/an/some/any</t>
        </is>
      </c>
      <c r="E566" s="33" t="inlineStr">
        <is>
          <t>a/an/some/any: some — в утверждениях (неисчисляемые и мн. ч.)</t>
        </is>
      </c>
      <c r="F566" s="11" t="inlineStr">
        <is>
          <t>Ст-353</t>
        </is>
      </c>
      <c r="G566" s="37" t="inlineStr">
        <is>
          <t>повторение</t>
        </is>
      </c>
      <c r="H566" s="11" t="inlineStr">
        <is>
          <t>We need some bananas and some milk</t>
        </is>
      </c>
      <c r="I566" s="37" t="inlineStr">
        <is>
          <t>10+</t>
        </is>
      </c>
      <c r="J566" s="11">
        <f>IFERROR(INDEX('Уроки'!$H:$H,MATCH(F566,'Уроки'!$A:$A,0)),"")</f>
        <v/>
      </c>
      <c r="K566" s="11">
        <f>IFERROR(INDEX('Уроки'!$J:$J,MATCH(F566,'Уроки'!$A:$A,0)),"")</f>
        <v/>
      </c>
      <c r="L566" s="11" t="inlineStr">
        <is>
          <t>Spotlight / 7 класс / Module 9 · Shopping time / a/an/some/any / a/an/some/any: some — в утверждениях (неисчисляемые и мн. ч.)</t>
        </is>
      </c>
    </row>
    <row r="567">
      <c r="A567" s="37" t="n">
        <v>7</v>
      </c>
      <c r="B567" s="11" t="inlineStr">
        <is>
          <t>Module 9 · Shopping time</t>
        </is>
      </c>
      <c r="C567" s="11" t="inlineStr"/>
      <c r="D567" s="11" t="inlineStr">
        <is>
          <t>a/an/some/any</t>
        </is>
      </c>
      <c r="E567" s="33" t="inlineStr">
        <is>
          <t>a/an/some/any: any — в отрицаниях</t>
        </is>
      </c>
      <c r="F567" s="11" t="inlineStr">
        <is>
          <t>Ст-354</t>
        </is>
      </c>
      <c r="G567" s="37" t="inlineStr">
        <is>
          <t>повторение</t>
        </is>
      </c>
      <c r="H567" s="11" t="inlineStr"/>
      <c r="I567" s="37" t="inlineStr">
        <is>
          <t>10+</t>
        </is>
      </c>
      <c r="J567" s="11">
        <f>IFERROR(INDEX('Уроки'!$H:$H,MATCH(F567,'Уроки'!$A:$A,0)),"")</f>
        <v/>
      </c>
      <c r="K567" s="11">
        <f>IFERROR(INDEX('Уроки'!$J:$J,MATCH(F567,'Уроки'!$A:$A,0)),"")</f>
        <v/>
      </c>
      <c r="L567" s="11" t="inlineStr">
        <is>
          <t>Spotlight / 7 класс / Module 9 · Shopping time / a/an/some/any / a/an/some/any: any — в отрицаниях</t>
        </is>
      </c>
    </row>
    <row r="568">
      <c r="A568" s="37" t="n">
        <v>7</v>
      </c>
      <c r="B568" s="11" t="inlineStr">
        <is>
          <t>Module 9 · Shopping time</t>
        </is>
      </c>
      <c r="C568" s="11" t="inlineStr"/>
      <c r="D568" s="11" t="inlineStr">
        <is>
          <t>a/an/some/any</t>
        </is>
      </c>
      <c r="E568" s="33" t="inlineStr">
        <is>
          <t>a/an/some/any: any — в вопросах</t>
        </is>
      </c>
      <c r="F568" s="11" t="inlineStr">
        <is>
          <t>Ст-355</t>
        </is>
      </c>
      <c r="G568" s="37" t="inlineStr">
        <is>
          <t>повторение</t>
        </is>
      </c>
      <c r="H568" s="11" t="inlineStr"/>
      <c r="I568" s="37" t="inlineStr">
        <is>
          <t>10+</t>
        </is>
      </c>
      <c r="J568" s="11">
        <f>IFERROR(INDEX('Уроки'!$H:$H,MATCH(F568,'Уроки'!$A:$A,0)),"")</f>
        <v/>
      </c>
      <c r="K568" s="11">
        <f>IFERROR(INDEX('Уроки'!$J:$J,MATCH(F568,'Уроки'!$A:$A,0)),"")</f>
        <v/>
      </c>
      <c r="L568" s="11" t="inlineStr">
        <is>
          <t>Spotlight / 7 класс / Module 9 · Shopping time / a/an/some/any / a/an/some/any: any — в вопросах</t>
        </is>
      </c>
    </row>
    <row r="569">
      <c r="A569" s="37" t="n">
        <v>7</v>
      </c>
      <c r="B569" s="11" t="inlineStr">
        <is>
          <t>Module 9 · Shopping time</t>
        </is>
      </c>
      <c r="C569" s="11" t="inlineStr"/>
      <c r="D569" s="11" t="inlineStr">
        <is>
          <t>a/an/some/any</t>
        </is>
      </c>
      <c r="E569" s="35" t="inlineStr">
        <is>
          <t>a/an/some/any: some в вопросах — просьба и предложение</t>
        </is>
      </c>
      <c r="F569" s="11" t="inlineStr">
        <is>
          <t>Ст-356</t>
        </is>
      </c>
      <c r="G569" s="37" t="inlineStr">
        <is>
          <t>повторение</t>
        </is>
      </c>
      <c r="H569" s="11" t="inlineStr">
        <is>
          <t>Would you like some tea? / Can I have some apple juice?</t>
        </is>
      </c>
      <c r="I569" s="37" t="inlineStr">
        <is>
          <t>10+</t>
        </is>
      </c>
      <c r="J569" s="11">
        <f>IFERROR(INDEX('Уроки'!$H:$H,MATCH(F569,'Уроки'!$A:$A,0)),"")</f>
        <v/>
      </c>
      <c r="K569" s="11">
        <f>IFERROR(INDEX('Уроки'!$J:$J,MATCH(F569,'Уроки'!$A:$A,0)),"")</f>
        <v/>
      </c>
      <c r="L569" s="11" t="inlineStr">
        <is>
          <t>Spotlight / 7 класс / Module 9 · Shopping time / a/an/some/any / a/an/some/any: some в вопросах — просьба и предложение</t>
        </is>
      </c>
    </row>
    <row r="570">
      <c r="A570" s="37" t="n">
        <v>7</v>
      </c>
      <c r="B570" s="11" t="inlineStr">
        <is>
          <t>Module 9 · Shopping time</t>
        </is>
      </c>
      <c r="C570" s="11" t="inlineStr"/>
      <c r="D570" s="11" t="inlineStr">
        <is>
          <t>a/an/some/any</t>
        </is>
      </c>
      <c r="E570" s="35" t="inlineStr">
        <is>
          <t>a/an/some/any: a/an vs some/any — исчисляемые ед. ч. во всех типах предложений</t>
        </is>
      </c>
      <c r="F570" s="11" t="inlineStr">
        <is>
          <t>Ст-357</t>
        </is>
      </c>
      <c r="G570" s="37" t="inlineStr">
        <is>
          <t>повторение</t>
        </is>
      </c>
      <c r="H570" s="11" t="inlineStr">
        <is>
          <t>a/an во всех типах предложений с исч. ед. ч.</t>
        </is>
      </c>
      <c r="I570" s="37" t="inlineStr">
        <is>
          <t>10+</t>
        </is>
      </c>
      <c r="J570" s="11">
        <f>IFERROR(INDEX('Уроки'!$H:$H,MATCH(F570,'Уроки'!$A:$A,0)),"")</f>
        <v/>
      </c>
      <c r="K570" s="11">
        <f>IFERROR(INDEX('Уроки'!$J:$J,MATCH(F570,'Уроки'!$A:$A,0)),"")</f>
        <v/>
      </c>
      <c r="L570" s="11" t="inlineStr">
        <is>
          <t>Spotlight / 7 класс / Module 9 · Shopping time / a/an/some/any / a/an/some/any: a/an vs some/any — исчисляемые ед. ч. во всех типах предложений</t>
        </is>
      </c>
    </row>
    <row r="571">
      <c r="A571" s="37" t="n">
        <v>7</v>
      </c>
      <c r="B571" s="11" t="inlineStr">
        <is>
          <t>Module 9 · Shopping time</t>
        </is>
      </c>
      <c r="C571" s="11" t="inlineStr"/>
      <c r="D571" s="11" t="inlineStr">
        <is>
          <t>much/many/a lot of</t>
        </is>
      </c>
      <c r="E571" s="33" t="inlineStr">
        <is>
          <t>much/many/a lot of: a lot of / lots of — в утверждениях (исчисляемые и неисчисляемые)</t>
        </is>
      </c>
      <c r="F571" s="11" t="inlineStr">
        <is>
          <t>Ст-359</t>
        </is>
      </c>
      <c r="G571" s="37" t="inlineStr">
        <is>
          <t>повторение</t>
        </is>
      </c>
      <c r="H571" s="11" t="inlineStr"/>
      <c r="I571" s="37" t="inlineStr">
        <is>
          <t>10+</t>
        </is>
      </c>
      <c r="J571" s="11">
        <f>IFERROR(INDEX('Уроки'!$H:$H,MATCH(F571,'Уроки'!$A:$A,0)),"")</f>
        <v/>
      </c>
      <c r="K571" s="11">
        <f>IFERROR(INDEX('Уроки'!$J:$J,MATCH(F571,'Уроки'!$A:$A,0)),"")</f>
        <v/>
      </c>
      <c r="L571" s="11" t="inlineStr">
        <is>
          <t>Spotlight / 7 класс / Module 9 · Shopping time / much/many/a lot of / much/many/a lot of: a lot of / lots of — в утверждениях (исчисляемые и неисчисляемые)</t>
        </is>
      </c>
    </row>
    <row r="572">
      <c r="A572" s="37" t="n">
        <v>7</v>
      </c>
      <c r="B572" s="11" t="inlineStr">
        <is>
          <t>Module 9 · Shopping time</t>
        </is>
      </c>
      <c r="C572" s="11" t="inlineStr"/>
      <c r="D572" s="11" t="inlineStr">
        <is>
          <t>much/many/a lot of</t>
        </is>
      </c>
      <c r="E572" s="33" t="inlineStr">
        <is>
          <t>much/many/a lot of: much/many — отрицание</t>
        </is>
      </c>
      <c r="F572" s="11" t="inlineStr">
        <is>
          <t>Ст-360</t>
        </is>
      </c>
      <c r="G572" s="37" t="inlineStr">
        <is>
          <t>повторение</t>
        </is>
      </c>
      <c r="H572" s="11" t="inlineStr"/>
      <c r="I572" s="37" t="inlineStr">
        <is>
          <t>10+</t>
        </is>
      </c>
      <c r="J572" s="11">
        <f>IFERROR(INDEX('Уроки'!$H:$H,MATCH(F572,'Уроки'!$A:$A,0)),"")</f>
        <v/>
      </c>
      <c r="K572" s="11">
        <f>IFERROR(INDEX('Уроки'!$J:$J,MATCH(F572,'Уроки'!$A:$A,0)),"")</f>
        <v/>
      </c>
      <c r="L572" s="11" t="inlineStr">
        <is>
          <t>Spotlight / 7 класс / Module 9 · Shopping time / much/many/a lot of / much/many/a lot of: much/many — отрицание</t>
        </is>
      </c>
    </row>
    <row r="573">
      <c r="A573" s="37" t="n">
        <v>7</v>
      </c>
      <c r="B573" s="11" t="inlineStr">
        <is>
          <t>Module 9 · Shopping time</t>
        </is>
      </c>
      <c r="C573" s="11" t="inlineStr"/>
      <c r="D573" s="11" t="inlineStr">
        <is>
          <t>much/many/a lot of</t>
        </is>
      </c>
      <c r="E573" s="33" t="inlineStr">
        <is>
          <t>much/many/a lot of: much/many — вопросы</t>
        </is>
      </c>
      <c r="F573" s="11" t="inlineStr">
        <is>
          <t>Ст-361</t>
        </is>
      </c>
      <c r="G573" s="37" t="inlineStr">
        <is>
          <t>повторение</t>
        </is>
      </c>
      <c r="H573" s="11" t="inlineStr"/>
      <c r="I573" s="37" t="inlineStr">
        <is>
          <t>10+</t>
        </is>
      </c>
      <c r="J573" s="11">
        <f>IFERROR(INDEX('Уроки'!$H:$H,MATCH(F573,'Уроки'!$A:$A,0)),"")</f>
        <v/>
      </c>
      <c r="K573" s="11">
        <f>IFERROR(INDEX('Уроки'!$J:$J,MATCH(F573,'Уроки'!$A:$A,0)),"")</f>
        <v/>
      </c>
      <c r="L573" s="11" t="inlineStr">
        <is>
          <t>Spotlight / 7 класс / Module 9 · Shopping time / much/many/a lot of / much/many/a lot of: much/many — вопросы</t>
        </is>
      </c>
    </row>
    <row r="574">
      <c r="A574" s="37" t="n">
        <v>7</v>
      </c>
      <c r="B574" s="11" t="inlineStr">
        <is>
          <t>Module 9 · Shopping time</t>
        </is>
      </c>
      <c r="C574" s="11" t="inlineStr"/>
      <c r="D574" s="11" t="inlineStr">
        <is>
          <t>much/many/a lot of</t>
        </is>
      </c>
      <c r="E574" s="35" t="inlineStr">
        <is>
          <t>much/many/a lot of: краткие ответы и a lot / lots без существительного</t>
        </is>
      </c>
      <c r="F574" s="11" t="inlineStr">
        <is>
          <t>Ст-363</t>
        </is>
      </c>
      <c r="G574" s="41" t="inlineStr">
        <is>
          <t>расширение</t>
        </is>
      </c>
      <c r="H574" s="11" t="inlineStr">
        <is>
          <t>добавлено: of опускается — Yes, there's a lot / lots</t>
        </is>
      </c>
      <c r="I574" s="37" t="inlineStr">
        <is>
          <t>10+</t>
        </is>
      </c>
      <c r="J574" s="11">
        <f>IFERROR(INDEX('Уроки'!$H:$H,MATCH(F574,'Уроки'!$A:$A,0)),"")</f>
        <v/>
      </c>
      <c r="K574" s="11">
        <f>IFERROR(INDEX('Уроки'!$J:$J,MATCH(F574,'Уроки'!$A:$A,0)),"")</f>
        <v/>
      </c>
      <c r="L574" s="11" t="inlineStr">
        <is>
          <t>Spotlight / 7 класс / Module 9 · Shopping time / much/many/a lot of / much/many/a lot of: краткие ответы и a lot / lots без существительного</t>
        </is>
      </c>
    </row>
    <row r="575">
      <c r="A575" s="37" t="n">
        <v>7</v>
      </c>
      <c r="B575" s="11" t="inlineStr">
        <is>
          <t>Module 9 · Shopping time</t>
        </is>
      </c>
      <c r="C575" s="11" t="inlineStr"/>
      <c r="D575" s="11" t="inlineStr">
        <is>
          <t>a few/a little</t>
        </is>
      </c>
      <c r="E575" s="33" t="inlineStr">
        <is>
          <t>a few/a little: a few — с исчисляемыми мн. ч. («несколько»)</t>
        </is>
      </c>
      <c r="F575" s="11" t="inlineStr">
        <is>
          <t>Ст-377</t>
        </is>
      </c>
      <c r="G575" s="37" t="inlineStr">
        <is>
          <t>повторение</t>
        </is>
      </c>
      <c r="H575" s="11" t="inlineStr"/>
      <c r="I575" s="37" t="inlineStr">
        <is>
          <t>10+</t>
        </is>
      </c>
      <c r="J575" s="11">
        <f>IFERROR(INDEX('Уроки'!$H:$H,MATCH(F575,'Уроки'!$A:$A,0)),"")</f>
        <v/>
      </c>
      <c r="K575" s="11">
        <f>IFERROR(INDEX('Уроки'!$J:$J,MATCH(F575,'Уроки'!$A:$A,0)),"")</f>
        <v/>
      </c>
      <c r="L575" s="11" t="inlineStr">
        <is>
          <t>Spotlight / 7 класс / Module 9 · Shopping time / a few/a little / a few/a little: a few — с исчисляемыми мн. ч. («несколько»)</t>
        </is>
      </c>
    </row>
    <row r="576">
      <c r="A576" s="37" t="n">
        <v>7</v>
      </c>
      <c r="B576" s="11" t="inlineStr">
        <is>
          <t>Module 9 · Shopping time</t>
        </is>
      </c>
      <c r="C576" s="11" t="inlineStr"/>
      <c r="D576" s="11" t="inlineStr">
        <is>
          <t>a few/a little</t>
        </is>
      </c>
      <c r="E576" s="33" t="inlineStr">
        <is>
          <t>a few/a little: a little — с неисчисляемыми («немного»)</t>
        </is>
      </c>
      <c r="F576" s="11" t="inlineStr">
        <is>
          <t>Ст-378</t>
        </is>
      </c>
      <c r="G576" s="37" t="inlineStr">
        <is>
          <t>повторение</t>
        </is>
      </c>
      <c r="H576" s="11" t="inlineStr"/>
      <c r="I576" s="37" t="inlineStr">
        <is>
          <t>10+</t>
        </is>
      </c>
      <c r="J576" s="11">
        <f>IFERROR(INDEX('Уроки'!$H:$H,MATCH(F576,'Уроки'!$A:$A,0)),"")</f>
        <v/>
      </c>
      <c r="K576" s="11">
        <f>IFERROR(INDEX('Уроки'!$J:$J,MATCH(F576,'Уроки'!$A:$A,0)),"")</f>
        <v/>
      </c>
      <c r="L576" s="11" t="inlineStr">
        <is>
          <t>Spotlight / 7 класс / Module 9 · Shopping time / a few/a little / a few/a little: a little — с неисчисляемыми («немного»)</t>
        </is>
      </c>
    </row>
    <row r="577">
      <c r="A577" s="37" t="n">
        <v>7</v>
      </c>
      <c r="B577" s="11" t="inlineStr">
        <is>
          <t>Module 9 · Shopping time</t>
        </is>
      </c>
      <c r="C577" s="11" t="inlineStr"/>
      <c r="D577" s="11" t="inlineStr">
        <is>
          <t>a few/a little</t>
        </is>
      </c>
      <c r="E577" s="33" t="inlineStr">
        <is>
          <t>a few/a little: few / little — «мало»</t>
        </is>
      </c>
      <c r="F577" s="11" t="inlineStr">
        <is>
          <t>Ст-379</t>
        </is>
      </c>
      <c r="G577" s="37" t="inlineStr">
        <is>
          <t>повторение</t>
        </is>
      </c>
      <c r="H577" s="11" t="inlineStr"/>
      <c r="I577" s="37" t="inlineStr">
        <is>
          <t>10+</t>
        </is>
      </c>
      <c r="J577" s="11">
        <f>IFERROR(INDEX('Уроки'!$H:$H,MATCH(F577,'Уроки'!$A:$A,0)),"")</f>
        <v/>
      </c>
      <c r="K577" s="11">
        <f>IFERROR(INDEX('Уроки'!$J:$J,MATCH(F577,'Уроки'!$A:$A,0)),"")</f>
        <v/>
      </c>
      <c r="L577" s="11" t="inlineStr">
        <is>
          <t>Spotlight / 7 класс / Module 9 · Shopping time / a few/a little / a few/a little: few / little — «мало»</t>
        </is>
      </c>
    </row>
    <row r="578">
      <c r="A578" s="37" t="n">
        <v>7</v>
      </c>
      <c r="B578" s="11" t="inlineStr">
        <is>
          <t>Module 9 · Shopping time</t>
        </is>
      </c>
      <c r="C578" s="11" t="inlineStr"/>
      <c r="D578" s="11" t="inlineStr">
        <is>
          <t>a few/a little</t>
        </is>
      </c>
      <c r="E578" s="33" t="inlineStr">
        <is>
          <t>a few/a little: a few vs few, a little vs little — «немного, но достаточно» vs «почти нет»</t>
        </is>
      </c>
      <c r="F578" s="11" t="inlineStr">
        <is>
          <t>Ст-380</t>
        </is>
      </c>
      <c r="G578" s="37" t="inlineStr">
        <is>
          <t>повторение</t>
        </is>
      </c>
      <c r="H578" s="11" t="inlineStr"/>
      <c r="I578" s="37" t="inlineStr">
        <is>
          <t>10+</t>
        </is>
      </c>
      <c r="J578" s="11">
        <f>IFERROR(INDEX('Уроки'!$H:$H,MATCH(F578,'Уроки'!$A:$A,0)),"")</f>
        <v/>
      </c>
      <c r="K578" s="11">
        <f>IFERROR(INDEX('Уроки'!$J:$J,MATCH(F578,'Уроки'!$A:$A,0)),"")</f>
        <v/>
      </c>
      <c r="L578" s="11" t="inlineStr">
        <is>
          <t>Spotlight / 7 класс / Module 9 · Shopping time / a few/a little / a few/a little: a few vs few, a little vs little — «немного, но достаточно» vs «почти нет»</t>
        </is>
      </c>
    </row>
    <row r="579">
      <c r="A579" s="37" t="n">
        <v>7</v>
      </c>
      <c r="B579" s="11" t="inlineStr">
        <is>
          <t>Module 9 · Shopping time</t>
        </is>
      </c>
      <c r="C579" s="11" t="inlineStr"/>
      <c r="D579" s="11" t="inlineStr">
        <is>
          <t>Partitives (a bottle of…)</t>
        </is>
      </c>
      <c r="E579" s="33" t="inlineStr">
        <is>
          <t>Partitives: a bottle/glass/carton/cup/bowl/packet/slice/loaf/kilo/bar of</t>
        </is>
      </c>
      <c r="F579" s="11" t="inlineStr">
        <is>
          <t>Ст-383</t>
        </is>
      </c>
      <c r="G579" s="40" t="inlineStr">
        <is>
          <t>новое</t>
        </is>
      </c>
      <c r="H579" s="11" t="inlineStr">
        <is>
          <t>a bottle of Coke, a glass of water, a loaf of bread…</t>
        </is>
      </c>
      <c r="I579" s="37" t="inlineStr">
        <is>
          <t>10+</t>
        </is>
      </c>
      <c r="J579" s="11">
        <f>IFERROR(INDEX('Уроки'!$H:$H,MATCH(F579,'Уроки'!$A:$A,0)),"")</f>
        <v/>
      </c>
      <c r="K579" s="11">
        <f>IFERROR(INDEX('Уроки'!$J:$J,MATCH(F579,'Уроки'!$A:$A,0)),"")</f>
        <v/>
      </c>
      <c r="L579" s="11" t="inlineStr">
        <is>
          <t>Spotlight / 7 класс / Module 9 · Shopping time / Partitives (a bottle of…) / Partitives: a bottle/glass/carton/cup/bowl/packet/slice/loaf/kilo/bar of</t>
        </is>
      </c>
    </row>
    <row r="580">
      <c r="A580" s="37" t="n">
        <v>7</v>
      </c>
      <c r="B580" s="11" t="inlineStr">
        <is>
          <t>Module 9 · Shopping time</t>
        </is>
      </c>
      <c r="C580" s="11" t="inlineStr"/>
      <c r="D580" s="11" t="inlineStr">
        <is>
          <t>Partitives (a bottle of…)</t>
        </is>
      </c>
      <c r="E580" s="35" t="inlineStr">
        <is>
          <t>Partitives: мн. ч. — two bottles of, two loaves of</t>
        </is>
      </c>
      <c r="F580" s="11" t="inlineStr">
        <is>
          <t>Ст-384</t>
        </is>
      </c>
      <c r="G580" s="40" t="inlineStr">
        <is>
          <t>новое</t>
        </is>
      </c>
      <c r="H580" s="11" t="inlineStr"/>
      <c r="I580" s="37" t="inlineStr">
        <is>
          <t>10+</t>
        </is>
      </c>
      <c r="J580" s="11">
        <f>IFERROR(INDEX('Уроки'!$H:$H,MATCH(F580,'Уроки'!$A:$A,0)),"")</f>
        <v/>
      </c>
      <c r="K580" s="11">
        <f>IFERROR(INDEX('Уроки'!$J:$J,MATCH(F580,'Уроки'!$A:$A,0)),"")</f>
        <v/>
      </c>
      <c r="L580" s="11" t="inlineStr">
        <is>
          <t>Spotlight / 7 класс / Module 9 · Shopping time / Partitives (a bottle of…) / Partitives: мн. ч. — two bottles of, two loaves of</t>
        </is>
      </c>
    </row>
    <row r="581">
      <c r="A581" s="37" t="n">
        <v>7</v>
      </c>
      <c r="B581" s="11" t="inlineStr">
        <is>
          <t>Module 10 · Healthy body, healthy mind</t>
        </is>
      </c>
      <c r="C581" s="11" t="inlineStr"/>
      <c r="D581" s="11" t="inlineStr">
        <is>
          <t>Reflexive pronouns</t>
        </is>
      </c>
      <c r="E581" s="33" t="inlineStr">
        <is>
          <t>Reflexive pronouns: формы myself … themselves</t>
        </is>
      </c>
      <c r="F581" s="11" t="inlineStr">
        <is>
          <t>Ст-407</t>
        </is>
      </c>
      <c r="G581" s="40" t="inlineStr">
        <is>
          <t>новое</t>
        </is>
      </c>
      <c r="H581" s="11" t="inlineStr"/>
      <c r="I581" s="37" t="inlineStr">
        <is>
          <t>10+</t>
        </is>
      </c>
      <c r="J581" s="11">
        <f>IFERROR(INDEX('Уроки'!$H:$H,MATCH(F581,'Уроки'!$A:$A,0)),"")</f>
        <v/>
      </c>
      <c r="K581" s="11">
        <f>IFERROR(INDEX('Уроки'!$J:$J,MATCH(F581,'Уроки'!$A:$A,0)),"")</f>
        <v/>
      </c>
      <c r="L581" s="11" t="inlineStr">
        <is>
          <t>Spotlight / 7 класс / Module 10 · Healthy body, healthy mind / Reflexive pronouns / Reflexive pronouns: формы myself … themselves</t>
        </is>
      </c>
    </row>
    <row r="582">
      <c r="A582" s="37" t="n">
        <v>7</v>
      </c>
      <c r="B582" s="11" t="inlineStr">
        <is>
          <t>Module 10 · Healthy body, healthy mind</t>
        </is>
      </c>
      <c r="C582" s="11" t="inlineStr"/>
      <c r="D582" s="11" t="inlineStr">
        <is>
          <t>Reflexive pronouns</t>
        </is>
      </c>
      <c r="E582" s="33" t="inlineStr">
        <is>
          <t>Reflexive pronouns: подлежащее = дополнение (cut himself)</t>
        </is>
      </c>
      <c r="F582" s="11" t="inlineStr">
        <is>
          <t>Ст-408</t>
        </is>
      </c>
      <c r="G582" s="40" t="inlineStr">
        <is>
          <t>новое</t>
        </is>
      </c>
      <c r="H582" s="11" t="inlineStr">
        <is>
          <t>Tim cut himself</t>
        </is>
      </c>
      <c r="I582" s="37" t="inlineStr">
        <is>
          <t>10+</t>
        </is>
      </c>
      <c r="J582" s="11">
        <f>IFERROR(INDEX('Уроки'!$H:$H,MATCH(F582,'Уроки'!$A:$A,0)),"")</f>
        <v/>
      </c>
      <c r="K582" s="11">
        <f>IFERROR(INDEX('Уроки'!$J:$J,MATCH(F582,'Уроки'!$A:$A,0)),"")</f>
        <v/>
      </c>
      <c r="L582" s="11" t="inlineStr">
        <is>
          <t>Spotlight / 7 класс / Module 10 · Healthy body, healthy mind / Reflexive pronouns / Reflexive pronouns: подлежащее = дополнение (cut himself)</t>
        </is>
      </c>
    </row>
    <row r="583">
      <c r="A583" s="37" t="n">
        <v>7</v>
      </c>
      <c r="B583" s="11" t="inlineStr">
        <is>
          <t>Module 10 · Healthy body, healthy mind</t>
        </is>
      </c>
      <c r="C583" s="11" t="inlineStr"/>
      <c r="D583" s="11" t="inlineStr">
        <is>
          <t>Reflexive pronouns</t>
        </is>
      </c>
      <c r="E583" s="35" t="inlineStr">
        <is>
          <t>Reflexive pronouns: эмфатическое — «сам» (She will cut the cake herself)</t>
        </is>
      </c>
      <c r="F583" s="11" t="inlineStr">
        <is>
          <t>Ст-409</t>
        </is>
      </c>
      <c r="G583" s="40" t="inlineStr">
        <is>
          <t>новое</t>
        </is>
      </c>
      <c r="H583" s="11" t="inlineStr">
        <is>
          <t>Karen will cut the cake herself</t>
        </is>
      </c>
      <c r="I583" s="37" t="inlineStr">
        <is>
          <t>10+</t>
        </is>
      </c>
      <c r="J583" s="11">
        <f>IFERROR(INDEX('Уроки'!$H:$H,MATCH(F583,'Уроки'!$A:$A,0)),"")</f>
        <v/>
      </c>
      <c r="K583" s="11">
        <f>IFERROR(INDEX('Уроки'!$J:$J,MATCH(F583,'Уроки'!$A:$A,0)),"")</f>
        <v/>
      </c>
      <c r="L583" s="11" t="inlineStr">
        <is>
          <t>Spotlight / 7 класс / Module 10 · Healthy body, healthy mind / Reflexive pronouns / Reflexive pronouns: эмфатическое — «сам» (She will cut the cake herself)</t>
        </is>
      </c>
    </row>
    <row r="584">
      <c r="A584" s="37" t="n">
        <v>7</v>
      </c>
      <c r="B584" s="11" t="inlineStr">
        <is>
          <t>Module 10 · Healthy body, healthy mind</t>
        </is>
      </c>
      <c r="C584" s="11" t="inlineStr"/>
      <c r="D584" s="11" t="inlineStr">
        <is>
          <t>Reflexive pronouns</t>
        </is>
      </c>
      <c r="E584" s="33" t="inlineStr">
        <is>
          <t>Reflexive pronouns: by myself — «сам, в одиночку»</t>
        </is>
      </c>
      <c r="F584" s="11" t="inlineStr">
        <is>
          <t>Ст-410</t>
        </is>
      </c>
      <c r="G584" s="40" t="inlineStr">
        <is>
          <t>новое</t>
        </is>
      </c>
      <c r="H584" s="11" t="inlineStr">
        <is>
          <t>He did the shopping by himself</t>
        </is>
      </c>
      <c r="I584" s="37" t="inlineStr">
        <is>
          <t>10+</t>
        </is>
      </c>
      <c r="J584" s="11">
        <f>IFERROR(INDEX('Уроки'!$H:$H,MATCH(F584,'Уроки'!$A:$A,0)),"")</f>
        <v/>
      </c>
      <c r="K584" s="11">
        <f>IFERROR(INDEX('Уроки'!$J:$J,MATCH(F584,'Уроки'!$A:$A,0)),"")</f>
        <v/>
      </c>
      <c r="L584" s="11" t="inlineStr">
        <is>
          <t>Spotlight / 7 класс / Module 10 · Healthy body, healthy mind / Reflexive pronouns / Reflexive pronouns: by myself — «сам, в одиночку»</t>
        </is>
      </c>
    </row>
    <row r="585">
      <c r="A585" s="37" t="n">
        <v>7</v>
      </c>
      <c r="B585" s="11" t="inlineStr">
        <is>
          <t>Module 10 · Healthy body, healthy mind</t>
        </is>
      </c>
      <c r="C585" s="11" t="inlineStr"/>
      <c r="D585" s="11" t="inlineStr">
        <is>
          <t>Reflexive pronouns</t>
        </is>
      </c>
      <c r="E585" s="35" t="inlineStr">
        <is>
          <t>Reflexive pronouns: глаголы без возвратного местоимения (wash, dress, meet)</t>
        </is>
      </c>
      <c r="F585" s="11" t="inlineStr">
        <is>
          <t>Ст-411</t>
        </is>
      </c>
      <c r="G585" s="40" t="inlineStr">
        <is>
          <t>новое</t>
        </is>
      </c>
      <c r="H585" s="11" t="inlineStr">
        <is>
          <t>dress, wash, hide</t>
        </is>
      </c>
      <c r="I585" s="37" t="inlineStr">
        <is>
          <t>10+</t>
        </is>
      </c>
      <c r="J585" s="11">
        <f>IFERROR(INDEX('Уроки'!$H:$H,MATCH(F585,'Уроки'!$A:$A,0)),"")</f>
        <v/>
      </c>
      <c r="K585" s="11">
        <f>IFERROR(INDEX('Уроки'!$J:$J,MATCH(F585,'Уроки'!$A:$A,0)),"")</f>
        <v/>
      </c>
      <c r="L585" s="11" t="inlineStr">
        <is>
          <t>Spotlight / 7 класс / Module 10 · Healthy body, healthy mind / Reflexive pronouns / Reflexive pronouns: глаголы без возвратного местоимения (wash, dress, meet)</t>
        </is>
      </c>
    </row>
    <row r="586">
      <c r="A586" s="37" t="n">
        <v>8</v>
      </c>
      <c r="B586" s="11" t="inlineStr">
        <is>
          <t>Irregular Verbs</t>
        </is>
      </c>
      <c r="C586" s="11" t="inlineStr"/>
      <c r="D586" s="11" t="inlineStr">
        <is>
          <t>Irregular verbs (list)</t>
        </is>
      </c>
      <c r="E586" s="35" t="inlineStr">
        <is>
          <t>Irregular verbs: таблица Infinitive – Past – Past Participle</t>
        </is>
      </c>
      <c r="F586" s="11" t="inlineStr">
        <is>
          <t>Ст-214</t>
        </is>
      </c>
      <c r="G586" s="37" t="inlineStr">
        <is>
          <t>повторение</t>
        </is>
      </c>
      <c r="H586" s="11" t="inlineStr">
        <is>
          <t>без перевода</t>
        </is>
      </c>
      <c r="I586" s="37" t="inlineStr">
        <is>
          <t>10+</t>
        </is>
      </c>
      <c r="J586" s="11">
        <f>IFERROR(INDEX('Уроки'!$H:$H,MATCH(F586,'Уроки'!$A:$A,0)),"")</f>
        <v/>
      </c>
      <c r="K586" s="11">
        <f>IFERROR(INDEX('Уроки'!$J:$J,MATCH(F586,'Уроки'!$A:$A,0)),"")</f>
        <v/>
      </c>
      <c r="L586" s="11" t="inlineStr">
        <is>
          <t>Spotlight / 8 класс / Irregular Verbs / Irregular verbs (list) / Irregular verbs: таблица Infinitive – Past – Past Participle</t>
        </is>
      </c>
    </row>
    <row r="587">
      <c r="A587" s="37" t="n">
        <v>8</v>
      </c>
      <c r="B587" s="11" t="inlineStr">
        <is>
          <t>Irregular Verbs</t>
        </is>
      </c>
      <c r="C587" s="11" t="inlineStr"/>
      <c r="D587" s="11" t="inlineStr">
        <is>
          <t>Irregular verbs (list)</t>
        </is>
      </c>
      <c r="E587" s="35" t="inlineStr">
        <is>
          <t>Irregular verbs: двойные и особые формы (burnt/burned, got/gotten, can – could)</t>
        </is>
      </c>
      <c r="F587" s="11" t="inlineStr">
        <is>
          <t>Ст-215</t>
        </is>
      </c>
      <c r="G587" s="41" t="inlineStr">
        <is>
          <t>расширение</t>
        </is>
      </c>
      <c r="H587" s="11" t="inlineStr">
        <is>
          <t>+ born(e)</t>
        </is>
      </c>
      <c r="I587" s="37" t="inlineStr">
        <is>
          <t>10+</t>
        </is>
      </c>
      <c r="J587" s="11">
        <f>IFERROR(INDEX('Уроки'!$H:$H,MATCH(F587,'Уроки'!$A:$A,0)),"")</f>
        <v/>
      </c>
      <c r="K587" s="11">
        <f>IFERROR(INDEX('Уроки'!$J:$J,MATCH(F587,'Уроки'!$A:$A,0)),"")</f>
        <v/>
      </c>
      <c r="L587" s="11" t="inlineStr">
        <is>
          <t>Spotlight / 8 класс / Irregular Verbs / Irregular verbs (list) / Irregular verbs: двойные и особые формы (burnt/burned, got/gotten, can – could)</t>
        </is>
      </c>
    </row>
    <row r="588">
      <c r="A588" s="37" t="n">
        <v>8</v>
      </c>
      <c r="B588" s="11" t="inlineStr">
        <is>
          <t>Module 1 · Socialising</t>
        </is>
      </c>
      <c r="C588" s="11" t="inlineStr">
        <is>
          <t>1c</t>
        </is>
      </c>
      <c r="D588" s="11" t="inlineStr">
        <is>
          <t>Past Simple</t>
        </is>
      </c>
      <c r="E588" s="33" t="inlineStr">
        <is>
          <t>Past Simple: правильные глаголы — утверждение (-ed)</t>
        </is>
      </c>
      <c r="F588" s="11" t="inlineStr">
        <is>
          <t>Ст-001</t>
        </is>
      </c>
      <c r="G588" s="37" t="inlineStr">
        <is>
          <t>повторение</t>
        </is>
      </c>
      <c r="H588" s="11" t="inlineStr"/>
      <c r="I588" s="37" t="inlineStr">
        <is>
          <t>10+</t>
        </is>
      </c>
      <c r="J588" s="11">
        <f>IFERROR(INDEX('Уроки'!$H:$H,MATCH(F588,'Уроки'!$A:$A,0)),"")</f>
        <v/>
      </c>
      <c r="K588" s="11">
        <f>IFERROR(INDEX('Уроки'!$J:$J,MATCH(F588,'Уроки'!$A:$A,0)),"")</f>
        <v/>
      </c>
      <c r="L588" s="11" t="inlineStr">
        <is>
          <t>Spotlight / 8 класс / Module 1 · Socialising / Past Simple / Past Simple: правильные глаголы — утверждение (-ed)</t>
        </is>
      </c>
    </row>
    <row r="589">
      <c r="A589" s="37" t="n">
        <v>8</v>
      </c>
      <c r="B589" s="11" t="inlineStr">
        <is>
          <t>Module 1 · Socialising</t>
        </is>
      </c>
      <c r="C589" s="11" t="inlineStr">
        <is>
          <t>1c</t>
        </is>
      </c>
      <c r="D589" s="11" t="inlineStr">
        <is>
          <t>Past Simple</t>
        </is>
      </c>
      <c r="E589" s="35" t="inlineStr">
        <is>
          <t>Past Simple: правильные глаголы — отрицание (didn't + V)</t>
        </is>
      </c>
      <c r="F589" s="11" t="inlineStr">
        <is>
          <t>Ст-002</t>
        </is>
      </c>
      <c r="G589" s="37" t="inlineStr">
        <is>
          <t>повторение</t>
        </is>
      </c>
      <c r="H589" s="11" t="inlineStr"/>
      <c r="I589" s="37" t="inlineStr">
        <is>
          <t>10+</t>
        </is>
      </c>
      <c r="J589" s="11">
        <f>IFERROR(INDEX('Уроки'!$H:$H,MATCH(F589,'Уроки'!$A:$A,0)),"")</f>
        <v/>
      </c>
      <c r="K589" s="11">
        <f>IFERROR(INDEX('Уроки'!$J:$J,MATCH(F589,'Уроки'!$A:$A,0)),"")</f>
        <v/>
      </c>
      <c r="L589" s="11" t="inlineStr">
        <is>
          <t>Spotlight / 8 класс / Module 1 · Socialising / Past Simple / Past Simple: правильные глаголы — отрицание (didn't + V)</t>
        </is>
      </c>
    </row>
    <row r="590">
      <c r="A590" s="37" t="n">
        <v>8</v>
      </c>
      <c r="B590" s="11" t="inlineStr">
        <is>
          <t>Module 1 · Socialising</t>
        </is>
      </c>
      <c r="C590" s="11" t="inlineStr">
        <is>
          <t>1c</t>
        </is>
      </c>
      <c r="D590" s="11" t="inlineStr">
        <is>
          <t>Past Simple</t>
        </is>
      </c>
      <c r="E590" s="35" t="inlineStr">
        <is>
          <t>Past Simple: правильные глаголы — вопросы (Did …?)</t>
        </is>
      </c>
      <c r="F590" s="11" t="inlineStr">
        <is>
          <t>Ст-003</t>
        </is>
      </c>
      <c r="G590" s="37" t="inlineStr">
        <is>
          <t>повторение</t>
        </is>
      </c>
      <c r="H590" s="11" t="inlineStr"/>
      <c r="I590" s="37" t="inlineStr">
        <is>
          <t>10+</t>
        </is>
      </c>
      <c r="J590" s="11">
        <f>IFERROR(INDEX('Уроки'!$H:$H,MATCH(F590,'Уроки'!$A:$A,0)),"")</f>
        <v/>
      </c>
      <c r="K590" s="11">
        <f>IFERROR(INDEX('Уроки'!$J:$J,MATCH(F590,'Уроки'!$A:$A,0)),"")</f>
        <v/>
      </c>
      <c r="L590" s="11" t="inlineStr">
        <is>
          <t>Spotlight / 8 класс / Module 1 · Socialising / Past Simple / Past Simple: правильные глаголы — вопросы (Did …?)</t>
        </is>
      </c>
    </row>
    <row r="591">
      <c r="A591" s="37" t="n">
        <v>8</v>
      </c>
      <c r="B591" s="11" t="inlineStr">
        <is>
          <t>Module 1 · Socialising</t>
        </is>
      </c>
      <c r="C591" s="11" t="inlineStr">
        <is>
          <t>1c</t>
        </is>
      </c>
      <c r="D591" s="11" t="inlineStr">
        <is>
          <t>Past Simple</t>
        </is>
      </c>
      <c r="E591" s="35" t="inlineStr">
        <is>
          <t>Past Simple: краткие ответы (Yes, I did / No, I didn't)</t>
        </is>
      </c>
      <c r="F591" s="11" t="inlineStr">
        <is>
          <t>Ст-004</t>
        </is>
      </c>
      <c r="G591" s="37" t="inlineStr">
        <is>
          <t>повторение</t>
        </is>
      </c>
      <c r="H591" s="11" t="inlineStr"/>
      <c r="I591" s="37" t="inlineStr">
        <is>
          <t>10+</t>
        </is>
      </c>
      <c r="J591" s="11">
        <f>IFERROR(INDEX('Уроки'!$H:$H,MATCH(F591,'Уроки'!$A:$A,0)),"")</f>
        <v/>
      </c>
      <c r="K591" s="11">
        <f>IFERROR(INDEX('Уроки'!$J:$J,MATCH(F591,'Уроки'!$A:$A,0)),"")</f>
        <v/>
      </c>
      <c r="L591" s="11" t="inlineStr">
        <is>
          <t>Spotlight / 8 класс / Module 1 · Socialising / Past Simple / Past Simple: краткие ответы (Yes, I did / No, I didn't)</t>
        </is>
      </c>
    </row>
    <row r="592">
      <c r="A592" s="37" t="n">
        <v>8</v>
      </c>
      <c r="B592" s="11" t="inlineStr">
        <is>
          <t>Module 1 · Socialising</t>
        </is>
      </c>
      <c r="C592" s="11" t="inlineStr">
        <is>
          <t>1c</t>
        </is>
      </c>
      <c r="D592" s="11" t="inlineStr">
        <is>
          <t>Past Simple</t>
        </is>
      </c>
      <c r="E592" s="33" t="inlineStr">
        <is>
          <t>Past Simple: орфография -ed</t>
        </is>
      </c>
      <c r="F592" s="11" t="inlineStr">
        <is>
          <t>Ст-005</t>
        </is>
      </c>
      <c r="G592" s="41" t="inlineStr">
        <is>
          <t>расширение</t>
        </is>
      </c>
      <c r="H592" s="11" t="inlineStr">
        <is>
          <t>новое: гласная + y + -ed (stay – stayed)</t>
        </is>
      </c>
      <c r="I592" s="37" t="inlineStr">
        <is>
          <t>10+</t>
        </is>
      </c>
      <c r="J592" s="11">
        <f>IFERROR(INDEX('Уроки'!$H:$H,MATCH(F592,'Уроки'!$A:$A,0)),"")</f>
        <v/>
      </c>
      <c r="K592" s="11">
        <f>IFERROR(INDEX('Уроки'!$J:$J,MATCH(F592,'Уроки'!$A:$A,0)),"")</f>
        <v/>
      </c>
      <c r="L592" s="11" t="inlineStr">
        <is>
          <t>Spotlight / 8 класс / Module 1 · Socialising / Past Simple / Past Simple: орфография -ed</t>
        </is>
      </c>
    </row>
    <row r="593">
      <c r="A593" s="37" t="n">
        <v>8</v>
      </c>
      <c r="B593" s="11" t="inlineStr">
        <is>
          <t>Module 1 · Socialising</t>
        </is>
      </c>
      <c r="C593" s="11" t="inlineStr">
        <is>
          <t>1c</t>
        </is>
      </c>
      <c r="D593" s="11" t="inlineStr">
        <is>
          <t>Past Simple</t>
        </is>
      </c>
      <c r="E593" s="33" t="inlineStr">
        <is>
          <t>Past Simple: неправильные глаголы — утверждение</t>
        </is>
      </c>
      <c r="F593" s="11" t="inlineStr">
        <is>
          <t>Ст-006</t>
        </is>
      </c>
      <c r="G593" s="37" t="inlineStr">
        <is>
          <t>повторение</t>
        </is>
      </c>
      <c r="H593" s="11" t="inlineStr"/>
      <c r="I593" s="37" t="inlineStr">
        <is>
          <t>10+</t>
        </is>
      </c>
      <c r="J593" s="11">
        <f>IFERROR(INDEX('Уроки'!$H:$H,MATCH(F593,'Уроки'!$A:$A,0)),"")</f>
        <v/>
      </c>
      <c r="K593" s="11">
        <f>IFERROR(INDEX('Уроки'!$J:$J,MATCH(F593,'Уроки'!$A:$A,0)),"")</f>
        <v/>
      </c>
      <c r="L593" s="11" t="inlineStr">
        <is>
          <t>Spotlight / 8 класс / Module 1 · Socialising / Past Simple / Past Simple: неправильные глаголы — утверждение</t>
        </is>
      </c>
    </row>
    <row r="594">
      <c r="A594" s="37" t="n">
        <v>8</v>
      </c>
      <c r="B594" s="11" t="inlineStr">
        <is>
          <t>Module 1 · Socialising</t>
        </is>
      </c>
      <c r="C594" s="11" t="inlineStr">
        <is>
          <t>1c</t>
        </is>
      </c>
      <c r="D594" s="11" t="inlineStr">
        <is>
          <t>Past Simple</t>
        </is>
      </c>
      <c r="E594" s="33" t="inlineStr">
        <is>
          <t>Past Simple: одна форма для всех лиц, исключение was/were</t>
        </is>
      </c>
      <c r="F594" s="11" t="inlineStr">
        <is>
          <t>Ст-009</t>
        </is>
      </c>
      <c r="G594" s="40" t="inlineStr">
        <is>
          <t>новое</t>
        </is>
      </c>
      <c r="H594" s="11" t="inlineStr"/>
      <c r="I594" s="37" t="inlineStr">
        <is>
          <t>10+</t>
        </is>
      </c>
      <c r="J594" s="11">
        <f>IFERROR(INDEX('Уроки'!$H:$H,MATCH(F594,'Уроки'!$A:$A,0)),"")</f>
        <v/>
      </c>
      <c r="K594" s="11">
        <f>IFERROR(INDEX('Уроки'!$J:$J,MATCH(F594,'Уроки'!$A:$A,0)),"")</f>
        <v/>
      </c>
      <c r="L594" s="11" t="inlineStr">
        <is>
          <t>Spotlight / 8 класс / Module 1 · Socialising / Past Simple / Past Simple: одна форма для всех лиц, исключение was/were</t>
        </is>
      </c>
    </row>
    <row r="595">
      <c r="A595" s="37" t="n">
        <v>8</v>
      </c>
      <c r="B595" s="11" t="inlineStr">
        <is>
          <t>Module 1 · Socialising</t>
        </is>
      </c>
      <c r="C595" s="11" t="inlineStr">
        <is>
          <t>1c</t>
        </is>
      </c>
      <c r="D595" s="11" t="inlineStr">
        <is>
          <t>Past Simple</t>
        </is>
      </c>
      <c r="E595" s="33" t="inlineStr">
        <is>
          <t>Past Simple: значение — действие в прошлом (yesterday, ago)</t>
        </is>
      </c>
      <c r="F595" s="11" t="inlineStr">
        <is>
          <t>Ст-010</t>
        </is>
      </c>
      <c r="G595" s="37" t="inlineStr">
        <is>
          <t>повторение</t>
        </is>
      </c>
      <c r="H595" s="11" t="inlineStr">
        <is>
          <t>yesterday morning, last night</t>
        </is>
      </c>
      <c r="I595" s="37" t="inlineStr">
        <is>
          <t>10+</t>
        </is>
      </c>
      <c r="J595" s="11">
        <f>IFERROR(INDEX('Уроки'!$H:$H,MATCH(F595,'Уроки'!$A:$A,0)),"")</f>
        <v/>
      </c>
      <c r="K595" s="11">
        <f>IFERROR(INDEX('Уроки'!$J:$J,MATCH(F595,'Уроки'!$A:$A,0)),"")</f>
        <v/>
      </c>
      <c r="L595" s="11" t="inlineStr">
        <is>
          <t>Spotlight / 8 класс / Module 1 · Socialising / Past Simple / Past Simple: значение — действие в прошлом (yesterday, ago)</t>
        </is>
      </c>
    </row>
    <row r="596">
      <c r="A596" s="37" t="n">
        <v>8</v>
      </c>
      <c r="B596" s="11" t="inlineStr">
        <is>
          <t>Module 1 · Socialising</t>
        </is>
      </c>
      <c r="C596" s="11" t="inlineStr">
        <is>
          <t>1c</t>
        </is>
      </c>
      <c r="D596" s="11" t="inlineStr">
        <is>
          <t>Past Simple</t>
        </is>
      </c>
      <c r="E596" s="33" t="inlineStr">
        <is>
          <t>Past Simple: значение — действие в указанное время в прошлом</t>
        </is>
      </c>
      <c r="F596" s="11" t="inlineStr">
        <is>
          <t>Ст-011</t>
        </is>
      </c>
      <c r="G596" s="40" t="inlineStr">
        <is>
          <t>новое</t>
        </is>
      </c>
      <c r="H596" s="11" t="inlineStr">
        <is>
          <t>с указанием точного времени</t>
        </is>
      </c>
      <c r="I596" s="37" t="inlineStr">
        <is>
          <t>10+</t>
        </is>
      </c>
      <c r="J596" s="11">
        <f>IFERROR(INDEX('Уроки'!$H:$H,MATCH(F596,'Уроки'!$A:$A,0)),"")</f>
        <v/>
      </c>
      <c r="K596" s="11">
        <f>IFERROR(INDEX('Уроки'!$J:$J,MATCH(F596,'Уроки'!$A:$A,0)),"")</f>
        <v/>
      </c>
      <c r="L596" s="11" t="inlineStr">
        <is>
          <t>Spotlight / 8 класс / Module 1 · Socialising / Past Simple / Past Simple: значение — действие в указанное время в прошлом</t>
        </is>
      </c>
    </row>
    <row r="597">
      <c r="A597" s="37" t="n">
        <v>8</v>
      </c>
      <c r="B597" s="11" t="inlineStr">
        <is>
          <t>Module 1 · Socialising</t>
        </is>
      </c>
      <c r="C597" s="11" t="inlineStr">
        <is>
          <t>1c</t>
        </is>
      </c>
      <c r="D597" s="11" t="inlineStr">
        <is>
          <t>Past Simple</t>
        </is>
      </c>
      <c r="E597" s="35" t="inlineStr">
        <is>
          <t>Past Simple: значение — повторяющиеся действия и привычки в прошлом</t>
        </is>
      </c>
      <c r="F597" s="11" t="inlineStr">
        <is>
          <t>Ст-012</t>
        </is>
      </c>
      <c r="G597" s="40" t="inlineStr">
        <is>
          <t>новое</t>
        </is>
      </c>
      <c r="H597" s="11" t="inlineStr"/>
      <c r="I597" s="37" t="inlineStr">
        <is>
          <t>10+</t>
        </is>
      </c>
      <c r="J597" s="11">
        <f>IFERROR(INDEX('Уроки'!$H:$H,MATCH(F597,'Уроки'!$A:$A,0)),"")</f>
        <v/>
      </c>
      <c r="K597" s="11">
        <f>IFERROR(INDEX('Уроки'!$J:$J,MATCH(F597,'Уроки'!$A:$A,0)),"")</f>
        <v/>
      </c>
      <c r="L597" s="11" t="inlineStr">
        <is>
          <t>Spotlight / 8 класс / Module 1 · Socialising / Past Simple / Past Simple: значение — повторяющиеся действия и привычки в прошлом</t>
        </is>
      </c>
    </row>
    <row r="598">
      <c r="A598" s="37" t="n">
        <v>8</v>
      </c>
      <c r="B598" s="11" t="inlineStr">
        <is>
          <t>Module 1 · Socialising</t>
        </is>
      </c>
      <c r="C598" s="11" t="inlineStr">
        <is>
          <t>1c</t>
        </is>
      </c>
      <c r="D598" s="11" t="inlineStr">
        <is>
          <t>Past Simple</t>
        </is>
      </c>
      <c r="E598" s="34" t="inlineStr">
        <is>
          <t>Past Simple: значение — последовательные действия</t>
        </is>
      </c>
      <c r="F598" s="11" t="inlineStr">
        <is>
          <t>Ст-013</t>
        </is>
      </c>
      <c r="G598" s="40" t="inlineStr">
        <is>
          <t>новое</t>
        </is>
      </c>
      <c r="H598" s="11" t="inlineStr">
        <is>
          <t>came home, changed and went out</t>
        </is>
      </c>
      <c r="I598" s="37" t="inlineStr">
        <is>
          <t>10+</t>
        </is>
      </c>
      <c r="J598" s="11">
        <f>IFERROR(INDEX('Уроки'!$H:$H,MATCH(F598,'Уроки'!$A:$A,0)),"")</f>
        <v/>
      </c>
      <c r="K598" s="11">
        <f>IFERROR(INDEX('Уроки'!$J:$J,MATCH(F598,'Уроки'!$A:$A,0)),"")</f>
        <v/>
      </c>
      <c r="L598" s="11" t="inlineStr">
        <is>
          <t>Spotlight / 8 класс / Module 1 · Socialising / Past Simple / Past Simple: значение — последовательные действия</t>
        </is>
      </c>
    </row>
    <row r="599">
      <c r="A599" s="37" t="n">
        <v>8</v>
      </c>
      <c r="B599" s="11" t="inlineStr">
        <is>
          <t>Module 1 · Socialising</t>
        </is>
      </c>
      <c r="C599" s="11" t="inlineStr">
        <is>
          <t>1c</t>
        </is>
      </c>
      <c r="D599" s="11" t="inlineStr">
        <is>
          <t>Present Continuous</t>
        </is>
      </c>
      <c r="E599" s="35" t="inlineStr">
        <is>
          <t>Present Continuous: утверждение (am/is/are + V-ing)</t>
        </is>
      </c>
      <c r="F599" s="11" t="inlineStr">
        <is>
          <t>Ст-015</t>
        </is>
      </c>
      <c r="G599" s="37" t="inlineStr">
        <is>
          <t>повторение</t>
        </is>
      </c>
      <c r="H599" s="11" t="inlineStr"/>
      <c r="I599" s="37" t="inlineStr">
        <is>
          <t>10+</t>
        </is>
      </c>
      <c r="J599" s="11">
        <f>IFERROR(INDEX('Уроки'!$H:$H,MATCH(F599,'Уроки'!$A:$A,0)),"")</f>
        <v/>
      </c>
      <c r="K599" s="11">
        <f>IFERROR(INDEX('Уроки'!$J:$J,MATCH(F599,'Уроки'!$A:$A,0)),"")</f>
        <v/>
      </c>
      <c r="L599" s="11" t="inlineStr">
        <is>
          <t>Spotlight / 8 класс / Module 1 · Socialising / Present Continuous / Present Continuous: утверждение (am/is/are + V-ing)</t>
        </is>
      </c>
    </row>
    <row r="600">
      <c r="A600" s="37" t="n">
        <v>8</v>
      </c>
      <c r="B600" s="11" t="inlineStr">
        <is>
          <t>Module 1 · Socialising</t>
        </is>
      </c>
      <c r="C600" s="11" t="inlineStr">
        <is>
          <t>1c</t>
        </is>
      </c>
      <c r="D600" s="11" t="inlineStr">
        <is>
          <t>Present Continuous</t>
        </is>
      </c>
      <c r="E600" s="35" t="inlineStr">
        <is>
          <t>Present Continuous: отрицание (I'm not / isn't / aren't)</t>
        </is>
      </c>
      <c r="F600" s="11" t="inlineStr">
        <is>
          <t>Ст-016</t>
        </is>
      </c>
      <c r="G600" s="37" t="inlineStr">
        <is>
          <t>повторение</t>
        </is>
      </c>
      <c r="H600" s="11" t="inlineStr"/>
      <c r="I600" s="37" t="inlineStr">
        <is>
          <t>10+</t>
        </is>
      </c>
      <c r="J600" s="11">
        <f>IFERROR(INDEX('Уроки'!$H:$H,MATCH(F600,'Уроки'!$A:$A,0)),"")</f>
        <v/>
      </c>
      <c r="K600" s="11">
        <f>IFERROR(INDEX('Уроки'!$J:$J,MATCH(F600,'Уроки'!$A:$A,0)),"")</f>
        <v/>
      </c>
      <c r="L600" s="11" t="inlineStr">
        <is>
          <t>Spotlight / 8 класс / Module 1 · Socialising / Present Continuous / Present Continuous: отрицание (I'm not / isn't / aren't)</t>
        </is>
      </c>
    </row>
    <row r="601">
      <c r="A601" s="37" t="n">
        <v>8</v>
      </c>
      <c r="B601" s="11" t="inlineStr">
        <is>
          <t>Module 1 · Socialising</t>
        </is>
      </c>
      <c r="C601" s="11" t="inlineStr">
        <is>
          <t>1c</t>
        </is>
      </c>
      <c r="D601" s="11" t="inlineStr">
        <is>
          <t>Present Continuous</t>
        </is>
      </c>
      <c r="E601" s="35" t="inlineStr">
        <is>
          <t>Present Continuous: общие вопросы (Am/Is/Are …?)</t>
        </is>
      </c>
      <c r="F601" s="11" t="inlineStr">
        <is>
          <t>Ст-017</t>
        </is>
      </c>
      <c r="G601" s="37" t="inlineStr">
        <is>
          <t>повторение</t>
        </is>
      </c>
      <c r="H601" s="11" t="inlineStr"/>
      <c r="I601" s="37" t="inlineStr">
        <is>
          <t>10+</t>
        </is>
      </c>
      <c r="J601" s="11">
        <f>IFERROR(INDEX('Уроки'!$H:$H,MATCH(F601,'Уроки'!$A:$A,0)),"")</f>
        <v/>
      </c>
      <c r="K601" s="11">
        <f>IFERROR(INDEX('Уроки'!$J:$J,MATCH(F601,'Уроки'!$A:$A,0)),"")</f>
        <v/>
      </c>
      <c r="L601" s="11" t="inlineStr">
        <is>
          <t>Spotlight / 8 класс / Module 1 · Socialising / Present Continuous / Present Continuous: общие вопросы (Am/Is/Are …?)</t>
        </is>
      </c>
    </row>
    <row r="602">
      <c r="A602" s="37" t="n">
        <v>8</v>
      </c>
      <c r="B602" s="11" t="inlineStr">
        <is>
          <t>Module 1 · Socialising</t>
        </is>
      </c>
      <c r="C602" s="11" t="inlineStr">
        <is>
          <t>1c</t>
        </is>
      </c>
      <c r="D602" s="11" t="inlineStr">
        <is>
          <t>Present Continuous</t>
        </is>
      </c>
      <c r="E602" s="35" t="inlineStr">
        <is>
          <t>Present Continuous: краткие ответы (Yes, I am / No, he isn't)</t>
        </is>
      </c>
      <c r="F602" s="11" t="inlineStr">
        <is>
          <t>Ст-018</t>
        </is>
      </c>
      <c r="G602" s="37" t="inlineStr">
        <is>
          <t>повторение</t>
        </is>
      </c>
      <c r="H602" s="11" t="inlineStr"/>
      <c r="I602" s="37" t="inlineStr">
        <is>
          <t>10+</t>
        </is>
      </c>
      <c r="J602" s="11">
        <f>IFERROR(INDEX('Уроки'!$H:$H,MATCH(F602,'Уроки'!$A:$A,0)),"")</f>
        <v/>
      </c>
      <c r="K602" s="11">
        <f>IFERROR(INDEX('Уроки'!$J:$J,MATCH(F602,'Уроки'!$A:$A,0)),"")</f>
        <v/>
      </c>
      <c r="L602" s="11" t="inlineStr">
        <is>
          <t>Spotlight / 8 класс / Module 1 · Socialising / Present Continuous / Present Continuous: краткие ответы (Yes, I am / No, he isn't)</t>
        </is>
      </c>
    </row>
    <row r="603">
      <c r="A603" s="37" t="n">
        <v>8</v>
      </c>
      <c r="B603" s="11" t="inlineStr">
        <is>
          <t>Module 1 · Socialising</t>
        </is>
      </c>
      <c r="C603" s="11" t="inlineStr">
        <is>
          <t>1c</t>
        </is>
      </c>
      <c r="D603" s="11" t="inlineStr">
        <is>
          <t>Present Continuous</t>
        </is>
      </c>
      <c r="E603" s="35" t="inlineStr">
        <is>
          <t>Present Continuous: орфография -ing</t>
        </is>
      </c>
      <c r="F603" s="11" t="inlineStr">
        <is>
          <t>Ст-019</t>
        </is>
      </c>
      <c r="G603" s="41" t="inlineStr">
        <is>
          <t>расширение</t>
        </is>
      </c>
      <c r="H603" s="11" t="inlineStr">
        <is>
          <t>новое: удвоение в ударном слоге (begin – beginning), но open – opening</t>
        </is>
      </c>
      <c r="I603" s="37" t="inlineStr">
        <is>
          <t>10+</t>
        </is>
      </c>
      <c r="J603" s="11">
        <f>IFERROR(INDEX('Уроки'!$H:$H,MATCH(F603,'Уроки'!$A:$A,0)),"")</f>
        <v/>
      </c>
      <c r="K603" s="11">
        <f>IFERROR(INDEX('Уроки'!$J:$J,MATCH(F603,'Уроки'!$A:$A,0)),"")</f>
        <v/>
      </c>
      <c r="L603" s="11" t="inlineStr">
        <is>
          <t>Spotlight / 8 класс / Module 1 · Socialising / Present Continuous / Present Continuous: орфография -ing</t>
        </is>
      </c>
    </row>
    <row r="604">
      <c r="A604" s="37" t="n">
        <v>8</v>
      </c>
      <c r="B604" s="11" t="inlineStr">
        <is>
          <t>Module 1 · Socialising</t>
        </is>
      </c>
      <c r="C604" s="11" t="inlineStr">
        <is>
          <t>1c</t>
        </is>
      </c>
      <c r="D604" s="11" t="inlineStr">
        <is>
          <t>Present Continuous</t>
        </is>
      </c>
      <c r="E604" s="33" t="inlineStr">
        <is>
          <t>Present Continuous: значение — действие сейчас (now)</t>
        </is>
      </c>
      <c r="F604" s="11" t="inlineStr">
        <is>
          <t>Ст-020</t>
        </is>
      </c>
      <c r="G604" s="37" t="inlineStr">
        <is>
          <t>повторение</t>
        </is>
      </c>
      <c r="H604" s="11" t="inlineStr"/>
      <c r="I604" s="37" t="inlineStr">
        <is>
          <t>10+</t>
        </is>
      </c>
      <c r="J604" s="11">
        <f>IFERROR(INDEX('Уроки'!$H:$H,MATCH(F604,'Уроки'!$A:$A,0)),"")</f>
        <v/>
      </c>
      <c r="K604" s="11">
        <f>IFERROR(INDEX('Уроки'!$J:$J,MATCH(F604,'Уроки'!$A:$A,0)),"")</f>
        <v/>
      </c>
      <c r="L604" s="11" t="inlineStr">
        <is>
          <t>Spotlight / 8 класс / Module 1 · Socialising / Present Continuous / Present Continuous: значение — действие сейчас (now)</t>
        </is>
      </c>
    </row>
    <row r="605">
      <c r="A605" s="37" t="n">
        <v>8</v>
      </c>
      <c r="B605" s="11" t="inlineStr">
        <is>
          <t>Module 1 · Socialising</t>
        </is>
      </c>
      <c r="C605" s="11" t="inlineStr">
        <is>
          <t>1c</t>
        </is>
      </c>
      <c r="D605" s="11" t="inlineStr">
        <is>
          <t>Present Continuous</t>
        </is>
      </c>
      <c r="E605" s="33" t="inlineStr">
        <is>
          <t>Present Continuous: значение — запланированное будущее</t>
        </is>
      </c>
      <c r="F605" s="11" t="inlineStr">
        <is>
          <t>Ст-022</t>
        </is>
      </c>
      <c r="G605" s="41" t="inlineStr">
        <is>
          <t>расширение</t>
        </is>
      </c>
      <c r="H605" s="11" t="inlineStr">
        <is>
          <t>известны время и место; tomorrow, next month</t>
        </is>
      </c>
      <c r="I605" s="37" t="inlineStr">
        <is>
          <t>10+</t>
        </is>
      </c>
      <c r="J605" s="11">
        <f>IFERROR(INDEX('Уроки'!$H:$H,MATCH(F605,'Уроки'!$A:$A,0)),"")</f>
        <v/>
      </c>
      <c r="K605" s="11">
        <f>IFERROR(INDEX('Уроки'!$J:$J,MATCH(F605,'Уроки'!$A:$A,0)),"")</f>
        <v/>
      </c>
      <c r="L605" s="11" t="inlineStr">
        <is>
          <t>Spotlight / 8 класс / Module 1 · Socialising / Present Continuous / Present Continuous: значение — запланированное будущее</t>
        </is>
      </c>
    </row>
    <row r="606">
      <c r="A606" s="37" t="n">
        <v>8</v>
      </c>
      <c r="B606" s="11" t="inlineStr">
        <is>
          <t>Module 1 · Socialising</t>
        </is>
      </c>
      <c r="C606" s="11" t="inlineStr">
        <is>
          <t>1c</t>
        </is>
      </c>
      <c r="D606" s="11" t="inlineStr">
        <is>
          <t>Present Continuous</t>
        </is>
      </c>
      <c r="E606" s="33" t="inlineStr">
        <is>
          <t>Present Continuous: значение — временные ситуации</t>
        </is>
      </c>
      <c r="F606" s="11" t="inlineStr">
        <is>
          <t>Ст-023</t>
        </is>
      </c>
      <c r="G606" s="40" t="inlineStr">
        <is>
          <t>новое</t>
        </is>
      </c>
      <c r="H606" s="11" t="inlineStr">
        <is>
          <t>I'm preparing for my exams this month</t>
        </is>
      </c>
      <c r="I606" s="37" t="inlineStr">
        <is>
          <t>10+</t>
        </is>
      </c>
      <c r="J606" s="11">
        <f>IFERROR(INDEX('Уроки'!$H:$H,MATCH(F606,'Уроки'!$A:$A,0)),"")</f>
        <v/>
      </c>
      <c r="K606" s="11">
        <f>IFERROR(INDEX('Уроки'!$J:$J,MATCH(F606,'Уроки'!$A:$A,0)),"")</f>
        <v/>
      </c>
      <c r="L606" s="11" t="inlineStr">
        <is>
          <t>Spotlight / 8 класс / Module 1 · Socialising / Present Continuous / Present Continuous: значение — временные ситуации</t>
        </is>
      </c>
    </row>
    <row r="607">
      <c r="A607" s="37" t="n">
        <v>8</v>
      </c>
      <c r="B607" s="11" t="inlineStr">
        <is>
          <t>Module 1 · Socialising</t>
        </is>
      </c>
      <c r="C607" s="11" t="inlineStr">
        <is>
          <t>1c</t>
        </is>
      </c>
      <c r="D607" s="11" t="inlineStr">
        <is>
          <t>Present Continuous</t>
        </is>
      </c>
      <c r="E607" s="35" t="inlineStr">
        <is>
          <t>Present Continuous: значение — меняющиеся и развивающиеся ситуации</t>
        </is>
      </c>
      <c r="F607" s="11" t="inlineStr">
        <is>
          <t>Ст-024</t>
        </is>
      </c>
      <c r="G607" s="37" t="inlineStr">
        <is>
          <t>повторение</t>
        </is>
      </c>
      <c r="H607" s="11" t="inlineStr">
        <is>
          <t>Her Spanish is improving</t>
        </is>
      </c>
      <c r="I607" s="37" t="inlineStr">
        <is>
          <t>10+</t>
        </is>
      </c>
      <c r="J607" s="11">
        <f>IFERROR(INDEX('Уроки'!$H:$H,MATCH(F607,'Уроки'!$A:$A,0)),"")</f>
        <v/>
      </c>
      <c r="K607" s="11">
        <f>IFERROR(INDEX('Уроки'!$J:$J,MATCH(F607,'Уроки'!$A:$A,0)),"")</f>
        <v/>
      </c>
      <c r="L607" s="11" t="inlineStr">
        <is>
          <t>Spotlight / 8 класс / Module 1 · Socialising / Present Continuous / Present Continuous: значение — меняющиеся и развивающиеся ситуации</t>
        </is>
      </c>
    </row>
    <row r="608">
      <c r="A608" s="37" t="n">
        <v>8</v>
      </c>
      <c r="B608" s="11" t="inlineStr">
        <is>
          <t>Module 1 · Socialising</t>
        </is>
      </c>
      <c r="C608" s="11" t="inlineStr">
        <is>
          <t>1c</t>
        </is>
      </c>
      <c r="D608" s="11" t="inlineStr">
        <is>
          <t>Present Continuous</t>
        </is>
      </c>
      <c r="E608" s="35" t="inlineStr">
        <is>
          <t>Present Continuous: значение — always + раздражение</t>
        </is>
      </c>
      <c r="F608" s="11" t="inlineStr">
        <is>
          <t>Ст-025</t>
        </is>
      </c>
      <c r="G608" s="41" t="inlineStr">
        <is>
          <t>расширение</t>
        </is>
      </c>
      <c r="H608" s="11" t="inlineStr">
        <is>
          <t>+ constantly, continually</t>
        </is>
      </c>
      <c r="I608" s="37" t="inlineStr">
        <is>
          <t>10+</t>
        </is>
      </c>
      <c r="J608" s="11">
        <f>IFERROR(INDEX('Уроки'!$H:$H,MATCH(F608,'Уроки'!$A:$A,0)),"")</f>
        <v/>
      </c>
      <c r="K608" s="11">
        <f>IFERROR(INDEX('Уроки'!$J:$J,MATCH(F608,'Уроки'!$A:$A,0)),"")</f>
        <v/>
      </c>
      <c r="L608" s="11" t="inlineStr">
        <is>
          <t>Spotlight / 8 класс / Module 1 · Socialising / Present Continuous / Present Continuous: значение — always + раздражение</t>
        </is>
      </c>
    </row>
    <row r="609">
      <c r="A609" s="37" t="n">
        <v>8</v>
      </c>
      <c r="B609" s="11" t="inlineStr">
        <is>
          <t>Module 1 · Socialising</t>
        </is>
      </c>
      <c r="C609" s="11" t="inlineStr">
        <is>
          <t>1c</t>
        </is>
      </c>
      <c r="D609" s="11" t="inlineStr">
        <is>
          <t>Present Simple</t>
        </is>
      </c>
      <c r="E609" s="35" t="inlineStr">
        <is>
          <t>Present Simple: утверждение (I/you/we/they V, he/she/it V-s)</t>
        </is>
      </c>
      <c r="F609" s="11" t="inlineStr">
        <is>
          <t>Ст-026</t>
        </is>
      </c>
      <c r="G609" s="37" t="inlineStr">
        <is>
          <t>повторение</t>
        </is>
      </c>
      <c r="H609" s="11" t="inlineStr"/>
      <c r="I609" s="37" t="inlineStr">
        <is>
          <t>10+</t>
        </is>
      </c>
      <c r="J609" s="11">
        <f>IFERROR(INDEX('Уроки'!$H:$H,MATCH(F609,'Уроки'!$A:$A,0)),"")</f>
        <v/>
      </c>
      <c r="K609" s="11">
        <f>IFERROR(INDEX('Уроки'!$J:$J,MATCH(F609,'Уроки'!$A:$A,0)),"")</f>
        <v/>
      </c>
      <c r="L609" s="11" t="inlineStr">
        <is>
          <t>Spotlight / 8 класс / Module 1 · Socialising / Present Simple / Present Simple: утверждение (I/you/we/they V, he/she/it V-s)</t>
        </is>
      </c>
    </row>
    <row r="610">
      <c r="A610" s="37" t="n">
        <v>8</v>
      </c>
      <c r="B610" s="11" t="inlineStr">
        <is>
          <t>Module 1 · Socialising</t>
        </is>
      </c>
      <c r="C610" s="11" t="inlineStr">
        <is>
          <t>1c</t>
        </is>
      </c>
      <c r="D610" s="11" t="inlineStr">
        <is>
          <t>Present Simple</t>
        </is>
      </c>
      <c r="E610" s="35" t="inlineStr">
        <is>
          <t>Present Simple: отрицание (don't/doesn't)</t>
        </is>
      </c>
      <c r="F610" s="11" t="inlineStr">
        <is>
          <t>Ст-027</t>
        </is>
      </c>
      <c r="G610" s="37" t="inlineStr">
        <is>
          <t>повторение</t>
        </is>
      </c>
      <c r="H610" s="11" t="inlineStr"/>
      <c r="I610" s="37" t="inlineStr">
        <is>
          <t>10+</t>
        </is>
      </c>
      <c r="J610" s="11">
        <f>IFERROR(INDEX('Уроки'!$H:$H,MATCH(F610,'Уроки'!$A:$A,0)),"")</f>
        <v/>
      </c>
      <c r="K610" s="11">
        <f>IFERROR(INDEX('Уроки'!$J:$J,MATCH(F610,'Уроки'!$A:$A,0)),"")</f>
        <v/>
      </c>
      <c r="L610" s="11" t="inlineStr">
        <is>
          <t>Spotlight / 8 класс / Module 1 · Socialising / Present Simple / Present Simple: отрицание (don't/doesn't)</t>
        </is>
      </c>
    </row>
    <row r="611">
      <c r="A611" s="37" t="n">
        <v>8</v>
      </c>
      <c r="B611" s="11" t="inlineStr">
        <is>
          <t>Module 1 · Socialising</t>
        </is>
      </c>
      <c r="C611" s="11" t="inlineStr">
        <is>
          <t>1c</t>
        </is>
      </c>
      <c r="D611" s="11" t="inlineStr">
        <is>
          <t>Present Simple</t>
        </is>
      </c>
      <c r="E611" s="35" t="inlineStr">
        <is>
          <t>Present Simple: общие вопросы (Do/Does …?)</t>
        </is>
      </c>
      <c r="F611" s="11" t="inlineStr">
        <is>
          <t>Ст-028</t>
        </is>
      </c>
      <c r="G611" s="37" t="inlineStr">
        <is>
          <t>повторение</t>
        </is>
      </c>
      <c r="H611" s="11" t="inlineStr"/>
      <c r="I611" s="37" t="inlineStr">
        <is>
          <t>10+</t>
        </is>
      </c>
      <c r="J611" s="11">
        <f>IFERROR(INDEX('Уроки'!$H:$H,MATCH(F611,'Уроки'!$A:$A,0)),"")</f>
        <v/>
      </c>
      <c r="K611" s="11">
        <f>IFERROR(INDEX('Уроки'!$J:$J,MATCH(F611,'Уроки'!$A:$A,0)),"")</f>
        <v/>
      </c>
      <c r="L611" s="11" t="inlineStr">
        <is>
          <t>Spotlight / 8 класс / Module 1 · Socialising / Present Simple / Present Simple: общие вопросы (Do/Does …?)</t>
        </is>
      </c>
    </row>
    <row r="612">
      <c r="A612" s="37" t="n">
        <v>8</v>
      </c>
      <c r="B612" s="11" t="inlineStr">
        <is>
          <t>Module 1 · Socialising</t>
        </is>
      </c>
      <c r="C612" s="11" t="inlineStr">
        <is>
          <t>1c</t>
        </is>
      </c>
      <c r="D612" s="11" t="inlineStr">
        <is>
          <t>Present Simple</t>
        </is>
      </c>
      <c r="E612" s="35" t="inlineStr">
        <is>
          <t>Present Simple: краткие ответы (Yes, I do / No, he doesn't)</t>
        </is>
      </c>
      <c r="F612" s="11" t="inlineStr">
        <is>
          <t>Ст-029</t>
        </is>
      </c>
      <c r="G612" s="37" t="inlineStr">
        <is>
          <t>повторение</t>
        </is>
      </c>
      <c r="H612" s="11" t="inlineStr"/>
      <c r="I612" s="37" t="inlineStr">
        <is>
          <t>10+</t>
        </is>
      </c>
      <c r="J612" s="11">
        <f>IFERROR(INDEX('Уроки'!$H:$H,MATCH(F612,'Уроки'!$A:$A,0)),"")</f>
        <v/>
      </c>
      <c r="K612" s="11">
        <f>IFERROR(INDEX('Уроки'!$J:$J,MATCH(F612,'Уроки'!$A:$A,0)),"")</f>
        <v/>
      </c>
      <c r="L612" s="11" t="inlineStr">
        <is>
          <t>Spotlight / 8 класс / Module 1 · Socialising / Present Simple / Present Simple: краткие ответы (Yes, I do / No, he doesn't)</t>
        </is>
      </c>
    </row>
    <row r="613">
      <c r="A613" s="37" t="n">
        <v>8</v>
      </c>
      <c r="B613" s="11" t="inlineStr">
        <is>
          <t>Module 1 · Socialising</t>
        </is>
      </c>
      <c r="C613" s="11" t="inlineStr">
        <is>
          <t>1c</t>
        </is>
      </c>
      <c r="D613" s="11" t="inlineStr">
        <is>
          <t>Present Simple</t>
        </is>
      </c>
      <c r="E613" s="35" t="inlineStr">
        <is>
          <t>Present Simple: орфография окончания -s/-es (3 л. ед. ч.)</t>
        </is>
      </c>
      <c r="F613" s="11" t="inlineStr">
        <is>
          <t>Ст-030</t>
        </is>
      </c>
      <c r="G613" s="37" t="inlineStr">
        <is>
          <t>повторение</t>
        </is>
      </c>
      <c r="H613" s="11" t="inlineStr">
        <is>
          <t>says, fixes</t>
        </is>
      </c>
      <c r="I613" s="37" t="inlineStr">
        <is>
          <t>10+</t>
        </is>
      </c>
      <c r="J613" s="11">
        <f>IFERROR(INDEX('Уроки'!$H:$H,MATCH(F613,'Уроки'!$A:$A,0)),"")</f>
        <v/>
      </c>
      <c r="K613" s="11">
        <f>IFERROR(INDEX('Уроки'!$J:$J,MATCH(F613,'Уроки'!$A:$A,0)),"")</f>
        <v/>
      </c>
      <c r="L613" s="11" t="inlineStr">
        <is>
          <t>Spotlight / 8 класс / Module 1 · Socialising / Present Simple / Present Simple: орфография окончания -s/-es (3 л. ед. ч.)</t>
        </is>
      </c>
    </row>
    <row r="614">
      <c r="A614" s="37" t="n">
        <v>8</v>
      </c>
      <c r="B614" s="11" t="inlineStr">
        <is>
          <t>Module 1 · Socialising</t>
        </is>
      </c>
      <c r="C614" s="11" t="inlineStr">
        <is>
          <t>1c</t>
        </is>
      </c>
      <c r="D614" s="11" t="inlineStr">
        <is>
          <t>Present Simple</t>
        </is>
      </c>
      <c r="E614" s="33" t="inlineStr">
        <is>
          <t>Present Simple: значение — регулярные действия, распорядок дня, привычки</t>
        </is>
      </c>
      <c r="F614" s="11" t="inlineStr">
        <is>
          <t>Ст-031</t>
        </is>
      </c>
      <c r="G614" s="37" t="inlineStr">
        <is>
          <t>повторение</t>
        </is>
      </c>
      <c r="H614" s="11" t="inlineStr">
        <is>
          <t>every day/month/hour…, usually, often</t>
        </is>
      </c>
      <c r="I614" s="37" t="inlineStr">
        <is>
          <t>10+</t>
        </is>
      </c>
      <c r="J614" s="11">
        <f>IFERROR(INDEX('Уроки'!$H:$H,MATCH(F614,'Уроки'!$A:$A,0)),"")</f>
        <v/>
      </c>
      <c r="K614" s="11">
        <f>IFERROR(INDEX('Уроки'!$J:$J,MATCH(F614,'Уроки'!$A:$A,0)),"")</f>
        <v/>
      </c>
      <c r="L614" s="11" t="inlineStr">
        <is>
          <t>Spotlight / 8 класс / Module 1 · Socialising / Present Simple / Present Simple: значение — регулярные действия, распорядок дня, привычки</t>
        </is>
      </c>
    </row>
    <row r="615">
      <c r="A615" s="37" t="n">
        <v>8</v>
      </c>
      <c r="B615" s="11" t="inlineStr">
        <is>
          <t>Module 1 · Socialising</t>
        </is>
      </c>
      <c r="C615" s="11" t="inlineStr">
        <is>
          <t>1c</t>
        </is>
      </c>
      <c r="D615" s="11" t="inlineStr">
        <is>
          <t>Present Simple</t>
        </is>
      </c>
      <c r="E615" s="33" t="inlineStr">
        <is>
          <t>Present Simple: значение — постоянные состояния и действия</t>
        </is>
      </c>
      <c r="F615" s="11" t="inlineStr">
        <is>
          <t>Ст-032</t>
        </is>
      </c>
      <c r="G615" s="37" t="inlineStr">
        <is>
          <t>повторение</t>
        </is>
      </c>
      <c r="H615" s="11" t="inlineStr">
        <is>
          <t>He lives in Moscow</t>
        </is>
      </c>
      <c r="I615" s="37" t="inlineStr">
        <is>
          <t>10+</t>
        </is>
      </c>
      <c r="J615" s="11">
        <f>IFERROR(INDEX('Уроки'!$H:$H,MATCH(F615,'Уроки'!$A:$A,0)),"")</f>
        <v/>
      </c>
      <c r="K615" s="11">
        <f>IFERROR(INDEX('Уроки'!$J:$J,MATCH(F615,'Уроки'!$A:$A,0)),"")</f>
        <v/>
      </c>
      <c r="L615" s="11" t="inlineStr">
        <is>
          <t>Spotlight / 8 класс / Module 1 · Socialising / Present Simple / Present Simple: значение — постоянные состояния и действия</t>
        </is>
      </c>
    </row>
    <row r="616">
      <c r="A616" s="37" t="n">
        <v>8</v>
      </c>
      <c r="B616" s="11" t="inlineStr">
        <is>
          <t>Module 1 · Socialising</t>
        </is>
      </c>
      <c r="C616" s="11" t="inlineStr">
        <is>
          <t>1c</t>
        </is>
      </c>
      <c r="D616" s="11" t="inlineStr">
        <is>
          <t>Present Simple</t>
        </is>
      </c>
      <c r="E616" s="33" t="inlineStr">
        <is>
          <t>Present Simple: значение — расписания и программы (будущее по расписанию)</t>
        </is>
      </c>
      <c r="F616" s="11" t="inlineStr">
        <is>
          <t>Ст-034</t>
        </is>
      </c>
      <c r="G616" s="41" t="inlineStr">
        <is>
          <t>расширение</t>
        </is>
      </c>
      <c r="H616" s="11" t="inlineStr">
        <is>
          <t>в т.ч. запланированное будущее: The train leaves at 9</t>
        </is>
      </c>
      <c r="I616" s="37" t="inlineStr">
        <is>
          <t>10+</t>
        </is>
      </c>
      <c r="J616" s="11">
        <f>IFERROR(INDEX('Уроки'!$H:$H,MATCH(F616,'Уроки'!$A:$A,0)),"")</f>
        <v/>
      </c>
      <c r="K616" s="11">
        <f>IFERROR(INDEX('Уроки'!$J:$J,MATCH(F616,'Уроки'!$A:$A,0)),"")</f>
        <v/>
      </c>
      <c r="L616" s="11" t="inlineStr">
        <is>
          <t>Spotlight / 8 класс / Module 1 · Socialising / Present Simple / Present Simple: значение — расписания и программы (будущее по расписанию)</t>
        </is>
      </c>
    </row>
    <row r="617">
      <c r="A617" s="37" t="n">
        <v>8</v>
      </c>
      <c r="B617" s="11" t="inlineStr">
        <is>
          <t>Module 1 · Socialising</t>
        </is>
      </c>
      <c r="C617" s="11" t="inlineStr">
        <is>
          <t>1c</t>
        </is>
      </c>
      <c r="D617" s="11" t="inlineStr">
        <is>
          <t>Present Simple</t>
        </is>
      </c>
      <c r="E617" s="35" t="inlineStr">
        <is>
          <t>Present Simple: значение — последовательные действия в настоящем</t>
        </is>
      </c>
      <c r="F617" s="11" t="inlineStr">
        <is>
          <t>Ст-038</t>
        </is>
      </c>
      <c r="G617" s="40" t="inlineStr">
        <is>
          <t>новое</t>
        </is>
      </c>
      <c r="H617" s="11" t="inlineStr"/>
      <c r="I617" s="37" t="inlineStr">
        <is>
          <t>10+</t>
        </is>
      </c>
      <c r="J617" s="11">
        <f>IFERROR(INDEX('Уроки'!$H:$H,MATCH(F617,'Уроки'!$A:$A,0)),"")</f>
        <v/>
      </c>
      <c r="K617" s="11">
        <f>IFERROR(INDEX('Уроки'!$J:$J,MATCH(F617,'Уроки'!$A:$A,0)),"")</f>
        <v/>
      </c>
      <c r="L617" s="11" t="inlineStr">
        <is>
          <t>Spotlight / 8 класс / Module 1 · Socialising / Present Simple / Present Simple: значение — последовательные действия в настоящем</t>
        </is>
      </c>
    </row>
    <row r="618">
      <c r="A618" s="37" t="n">
        <v>8</v>
      </c>
      <c r="B618" s="11" t="inlineStr">
        <is>
          <t>Module 1 · Socialising</t>
        </is>
      </c>
      <c r="C618" s="11" t="inlineStr">
        <is>
          <t>1c</t>
        </is>
      </c>
      <c r="D618" s="11" t="inlineStr">
        <is>
          <t>Future Simple (will)</t>
        </is>
      </c>
      <c r="E618" s="34" t="inlineStr">
        <is>
          <t>Future Simple (will): утверждение (will/'ll + V)</t>
        </is>
      </c>
      <c r="F618" s="11" t="inlineStr">
        <is>
          <t>Ст-039</t>
        </is>
      </c>
      <c r="G618" s="37" t="inlineStr">
        <is>
          <t>повторение</t>
        </is>
      </c>
      <c r="H618" s="11" t="inlineStr">
        <is>
          <t>will + V</t>
        </is>
      </c>
      <c r="I618" s="37" t="inlineStr">
        <is>
          <t>10+</t>
        </is>
      </c>
      <c r="J618" s="11">
        <f>IFERROR(INDEX('Уроки'!$H:$H,MATCH(F618,'Уроки'!$A:$A,0)),"")</f>
        <v/>
      </c>
      <c r="K618" s="11">
        <f>IFERROR(INDEX('Уроки'!$J:$J,MATCH(F618,'Уроки'!$A:$A,0)),"")</f>
        <v/>
      </c>
      <c r="L618" s="11" t="inlineStr">
        <is>
          <t>Spotlight / 8 класс / Module 1 · Socialising / Future Simple (will) / Future Simple (will): утверждение (will/'ll + V)</t>
        </is>
      </c>
    </row>
    <row r="619">
      <c r="A619" s="37" t="n">
        <v>8</v>
      </c>
      <c r="B619" s="11" t="inlineStr">
        <is>
          <t>Module 1 · Socialising</t>
        </is>
      </c>
      <c r="C619" s="11" t="inlineStr">
        <is>
          <t>1c</t>
        </is>
      </c>
      <c r="D619" s="11" t="inlineStr">
        <is>
          <t>Future Simple (will)</t>
        </is>
      </c>
      <c r="E619" s="33" t="inlineStr">
        <is>
          <t>Future Simple (will): значение — предсказание/предположение</t>
        </is>
      </c>
      <c r="F619" s="11" t="inlineStr">
        <is>
          <t>Ст-042</t>
        </is>
      </c>
      <c r="G619" s="41" t="inlineStr">
        <is>
          <t>расширение</t>
        </is>
      </c>
      <c r="H619" s="11" t="inlineStr">
        <is>
          <t>добавлены hope, imagine, maybe</t>
        </is>
      </c>
      <c r="I619" s="37" t="inlineStr">
        <is>
          <t>10+</t>
        </is>
      </c>
      <c r="J619" s="11">
        <f>IFERROR(INDEX('Уроки'!$H:$H,MATCH(F619,'Уроки'!$A:$A,0)),"")</f>
        <v/>
      </c>
      <c r="K619" s="11">
        <f>IFERROR(INDEX('Уроки'!$J:$J,MATCH(F619,'Уроки'!$A:$A,0)),"")</f>
        <v/>
      </c>
      <c r="L619" s="11" t="inlineStr">
        <is>
          <t>Spotlight / 8 класс / Module 1 · Socialising / Future Simple (will) / Future Simple (will): значение — предсказание/предположение</t>
        </is>
      </c>
    </row>
    <row r="620">
      <c r="A620" s="37" t="n">
        <v>8</v>
      </c>
      <c r="B620" s="11" t="inlineStr">
        <is>
          <t>Module 1 · Socialising</t>
        </is>
      </c>
      <c r="C620" s="11" t="inlineStr">
        <is>
          <t>1c</t>
        </is>
      </c>
      <c r="D620" s="11" t="inlineStr">
        <is>
          <t>Future Simple (will)</t>
        </is>
      </c>
      <c r="E620" s="33" t="inlineStr">
        <is>
          <t>Future Simple (will): значение — решение в момент речи</t>
        </is>
      </c>
      <c r="F620" s="11" t="inlineStr">
        <is>
          <t>Ст-043</t>
        </is>
      </c>
      <c r="G620" s="37" t="inlineStr">
        <is>
          <t>повторение</t>
        </is>
      </c>
      <c r="H620" s="11" t="inlineStr"/>
      <c r="I620" s="37" t="inlineStr">
        <is>
          <t>10+</t>
        </is>
      </c>
      <c r="J620" s="11">
        <f>IFERROR(INDEX('Уроки'!$H:$H,MATCH(F620,'Уроки'!$A:$A,0)),"")</f>
        <v/>
      </c>
      <c r="K620" s="11">
        <f>IFERROR(INDEX('Уроки'!$J:$J,MATCH(F620,'Уроки'!$A:$A,0)),"")</f>
        <v/>
      </c>
      <c r="L620" s="11" t="inlineStr">
        <is>
          <t>Spotlight / 8 класс / Module 1 · Socialising / Future Simple (will) / Future Simple (will): значение — решение в момент речи</t>
        </is>
      </c>
    </row>
    <row r="621">
      <c r="A621" s="37" t="n">
        <v>8</v>
      </c>
      <c r="B621" s="11" t="inlineStr">
        <is>
          <t>Module 1 · Socialising</t>
        </is>
      </c>
      <c r="C621" s="11" t="inlineStr">
        <is>
          <t>1c</t>
        </is>
      </c>
      <c r="D621" s="11" t="inlineStr">
        <is>
          <t>Future Simple (will)</t>
        </is>
      </c>
      <c r="E621" s="34" t="inlineStr">
        <is>
          <t>Future Simple (will): значение — обещания</t>
        </is>
      </c>
      <c r="F621" s="11" t="inlineStr">
        <is>
          <t>Ст-044</t>
        </is>
      </c>
      <c r="G621" s="37" t="inlineStr">
        <is>
          <t>повторение</t>
        </is>
      </c>
      <c r="H621" s="11" t="inlineStr"/>
      <c r="I621" s="37" t="inlineStr">
        <is>
          <t>10+</t>
        </is>
      </c>
      <c r="J621" s="11">
        <f>IFERROR(INDEX('Уроки'!$H:$H,MATCH(F621,'Уроки'!$A:$A,0)),"")</f>
        <v/>
      </c>
      <c r="K621" s="11">
        <f>IFERROR(INDEX('Уроки'!$J:$J,MATCH(F621,'Уроки'!$A:$A,0)),"")</f>
        <v/>
      </c>
      <c r="L621" s="11" t="inlineStr">
        <is>
          <t>Spotlight / 8 класс / Module 1 · Socialising / Future Simple (will) / Future Simple (will): значение — обещания</t>
        </is>
      </c>
    </row>
    <row r="622">
      <c r="A622" s="37" t="n">
        <v>8</v>
      </c>
      <c r="B622" s="11" t="inlineStr">
        <is>
          <t>Module 1 · Socialising</t>
        </is>
      </c>
      <c r="C622" s="11" t="inlineStr">
        <is>
          <t>1c</t>
        </is>
      </c>
      <c r="D622" s="11" t="inlineStr">
        <is>
          <t>Future Simple (will)</t>
        </is>
      </c>
      <c r="E622" s="34" t="inlineStr">
        <is>
          <t>Future Simple (will): Shall I/we? — предложение, просьба о совете</t>
        </is>
      </c>
      <c r="F622" s="11" t="inlineStr">
        <is>
          <t>Ст-050</t>
        </is>
      </c>
      <c r="G622" s="40" t="inlineStr">
        <is>
          <t>новое</t>
        </is>
      </c>
      <c r="H622" s="11" t="inlineStr">
        <is>
          <t>Shall we go to the museum today?</t>
        </is>
      </c>
      <c r="I622" s="37" t="inlineStr">
        <is>
          <t>10+</t>
        </is>
      </c>
      <c r="J622" s="11">
        <f>IFERROR(INDEX('Уроки'!$H:$H,MATCH(F622,'Уроки'!$A:$A,0)),"")</f>
        <v/>
      </c>
      <c r="K622" s="11">
        <f>IFERROR(INDEX('Уроки'!$J:$J,MATCH(F622,'Уроки'!$A:$A,0)),"")</f>
        <v/>
      </c>
      <c r="L622" s="11" t="inlineStr">
        <is>
          <t>Spotlight / 8 класс / Module 1 · Socialising / Future Simple (will) / Future Simple (will): Shall I/we? — предложение, просьба о совете</t>
        </is>
      </c>
    </row>
    <row r="623">
      <c r="A623" s="37" t="n">
        <v>8</v>
      </c>
      <c r="B623" s="11" t="inlineStr">
        <is>
          <t>Module 1 · Socialising</t>
        </is>
      </c>
      <c r="C623" s="11" t="inlineStr">
        <is>
          <t>1c</t>
        </is>
      </c>
      <c r="D623" s="11" t="inlineStr">
        <is>
          <t>Present Simple vs Present Continuous</t>
        </is>
      </c>
      <c r="E623" s="35" t="inlineStr">
        <is>
          <t>Present Simple vs Present Continuous: постоянное состояние vs временная ситуация</t>
        </is>
      </c>
      <c r="F623" s="11" t="inlineStr">
        <is>
          <t>Ст-052</t>
        </is>
      </c>
      <c r="G623" s="37" t="inlineStr">
        <is>
          <t>повторение</t>
        </is>
      </c>
      <c r="H623" s="11" t="inlineStr">
        <is>
          <t>Maria lives in Milan / She's working as a waitress this summer</t>
        </is>
      </c>
      <c r="I623" s="37" t="inlineStr">
        <is>
          <t>10+</t>
        </is>
      </c>
      <c r="J623" s="11">
        <f>IFERROR(INDEX('Уроки'!$H:$H,MATCH(F623,'Уроки'!$A:$A,0)),"")</f>
        <v/>
      </c>
      <c r="K623" s="11">
        <f>IFERROR(INDEX('Уроки'!$J:$J,MATCH(F623,'Уроки'!$A:$A,0)),"")</f>
        <v/>
      </c>
      <c r="L623" s="11" t="inlineStr">
        <is>
          <t>Spotlight / 8 класс / Module 1 · Socialising / Present Simple vs Present Continuous / Present Simple vs Present Continuous: постоянное состояние vs временная ситуация</t>
        </is>
      </c>
    </row>
    <row r="624">
      <c r="A624" s="37" t="n">
        <v>8</v>
      </c>
      <c r="B624" s="11" t="inlineStr">
        <is>
          <t>Module 1 · Socialising</t>
        </is>
      </c>
      <c r="C624" s="11" t="inlineStr">
        <is>
          <t>1c</t>
        </is>
      </c>
      <c r="D624" s="11" t="inlineStr">
        <is>
          <t>Present Simple vs Present Continuous</t>
        </is>
      </c>
      <c r="E624" s="35" t="inlineStr">
        <is>
          <t>Present Simple vs Present Continuous: повторяющиеся действия vs настоящий период (these days)</t>
        </is>
      </c>
      <c r="F624" s="11" t="inlineStr">
        <is>
          <t>Ст-053</t>
        </is>
      </c>
      <c r="G624" s="37" t="inlineStr">
        <is>
          <t>повторение</t>
        </is>
      </c>
      <c r="H624" s="11" t="inlineStr">
        <is>
          <t>Tom is riding a bike to work these days</t>
        </is>
      </c>
      <c r="I624" s="37" t="inlineStr">
        <is>
          <t>10+</t>
        </is>
      </c>
      <c r="J624" s="11">
        <f>IFERROR(INDEX('Уроки'!$H:$H,MATCH(F624,'Уроки'!$A:$A,0)),"")</f>
        <v/>
      </c>
      <c r="K624" s="11">
        <f>IFERROR(INDEX('Уроки'!$J:$J,MATCH(F624,'Уроки'!$A:$A,0)),"")</f>
        <v/>
      </c>
      <c r="L624" s="11" t="inlineStr">
        <is>
          <t>Spotlight / 8 класс / Module 1 · Socialising / Present Simple vs Present Continuous / Present Simple vs Present Continuous: повторяющиеся действия vs настоящий период (these days)</t>
        </is>
      </c>
    </row>
    <row r="625">
      <c r="A625" s="37" t="n">
        <v>8</v>
      </c>
      <c r="B625" s="11" t="inlineStr">
        <is>
          <t>Module 1 · Socialising</t>
        </is>
      </c>
      <c r="C625" s="11" t="inlineStr">
        <is>
          <t>1c</t>
        </is>
      </c>
      <c r="D625" s="11" t="inlineStr">
        <is>
          <t>Present Simple vs Present Continuous</t>
        </is>
      </c>
      <c r="E625" s="35" t="inlineStr">
        <is>
          <t>Present Simple vs Present Continuous: будущее — расписание vs договорённость</t>
        </is>
      </c>
      <c r="F625" s="11" t="inlineStr">
        <is>
          <t>Ст-054</t>
        </is>
      </c>
      <c r="G625" s="40" t="inlineStr">
        <is>
          <t>новое</t>
        </is>
      </c>
      <c r="H625" s="11" t="inlineStr">
        <is>
          <t>We are leaving on Monday / The train leaves at 9</t>
        </is>
      </c>
      <c r="I625" s="37" t="inlineStr">
        <is>
          <t>10+</t>
        </is>
      </c>
      <c r="J625" s="11">
        <f>IFERROR(INDEX('Уроки'!$H:$H,MATCH(F625,'Уроки'!$A:$A,0)),"")</f>
        <v/>
      </c>
      <c r="K625" s="11">
        <f>IFERROR(INDEX('Уроки'!$J:$J,MATCH(F625,'Уроки'!$A:$A,0)),"")</f>
        <v/>
      </c>
      <c r="L625" s="11" t="inlineStr">
        <is>
          <t>Spotlight / 8 класс / Module 1 · Socialising / Present Simple vs Present Continuous / Present Simple vs Present Continuous: будущее — расписание vs договорённость</t>
        </is>
      </c>
    </row>
    <row r="626">
      <c r="A626" s="37" t="n">
        <v>8</v>
      </c>
      <c r="B626" s="11" t="inlineStr">
        <is>
          <t>Module 1 · Socialising</t>
        </is>
      </c>
      <c r="C626" s="11" t="inlineStr">
        <is>
          <t>1c</t>
        </is>
      </c>
      <c r="D626" s="11" t="inlineStr">
        <is>
          <t>be going to</t>
        </is>
      </c>
      <c r="E626" s="33" t="inlineStr">
        <is>
          <t>be going to: утверждение (am/is/are going to + V)</t>
        </is>
      </c>
      <c r="F626" s="11" t="inlineStr">
        <is>
          <t>Ст-055</t>
        </is>
      </c>
      <c r="G626" s="37" t="inlineStr">
        <is>
          <t>повторение</t>
        </is>
      </c>
      <c r="H626" s="11" t="inlineStr">
        <is>
          <t>формула to be + going to + V</t>
        </is>
      </c>
      <c r="I626" s="37" t="inlineStr">
        <is>
          <t>10+</t>
        </is>
      </c>
      <c r="J626" s="11">
        <f>IFERROR(INDEX('Уроки'!$H:$H,MATCH(F626,'Уроки'!$A:$A,0)),"")</f>
        <v/>
      </c>
      <c r="K626" s="11">
        <f>IFERROR(INDEX('Уроки'!$J:$J,MATCH(F626,'Уроки'!$A:$A,0)),"")</f>
        <v/>
      </c>
      <c r="L626" s="11" t="inlineStr">
        <is>
          <t>Spotlight / 8 класс / Module 1 · Socialising / be going to / be going to: утверждение (am/is/are going to + V)</t>
        </is>
      </c>
    </row>
    <row r="627">
      <c r="A627" s="37" t="n">
        <v>8</v>
      </c>
      <c r="B627" s="11" t="inlineStr">
        <is>
          <t>Module 1 · Socialising</t>
        </is>
      </c>
      <c r="C627" s="11" t="inlineStr">
        <is>
          <t>1c</t>
        </is>
      </c>
      <c r="D627" s="11" t="inlineStr">
        <is>
          <t>be going to</t>
        </is>
      </c>
      <c r="E627" s="33" t="inlineStr">
        <is>
          <t>be going to: значение — планы и намерения</t>
        </is>
      </c>
      <c r="F627" s="11" t="inlineStr">
        <is>
          <t>Ст-058</t>
        </is>
      </c>
      <c r="G627" s="37" t="inlineStr">
        <is>
          <t>повторение</t>
        </is>
      </c>
      <c r="H627" s="11" t="inlineStr"/>
      <c r="I627" s="37" t="inlineStr">
        <is>
          <t>10+</t>
        </is>
      </c>
      <c r="J627" s="11">
        <f>IFERROR(INDEX('Уроки'!$H:$H,MATCH(F627,'Уроки'!$A:$A,0)),"")</f>
        <v/>
      </c>
      <c r="K627" s="11">
        <f>IFERROR(INDEX('Уроки'!$J:$J,MATCH(F627,'Уроки'!$A:$A,0)),"")</f>
        <v/>
      </c>
      <c r="L627" s="11" t="inlineStr">
        <is>
          <t>Spotlight / 8 класс / Module 1 · Socialising / be going to / be going to: значение — планы и намерения</t>
        </is>
      </c>
    </row>
    <row r="628">
      <c r="A628" s="37" t="n">
        <v>8</v>
      </c>
      <c r="B628" s="11" t="inlineStr">
        <is>
          <t>Module 1 · Socialising</t>
        </is>
      </c>
      <c r="C628" s="11" t="inlineStr">
        <is>
          <t>1c</t>
        </is>
      </c>
      <c r="D628" s="11" t="inlineStr">
        <is>
          <t>be going to</t>
        </is>
      </c>
      <c r="E628" s="34" t="inlineStr">
        <is>
          <t>be going to: значение — уже принятое решение на ближайшее будущее</t>
        </is>
      </c>
      <c r="F628" s="11" t="inlineStr">
        <is>
          <t>Ст-059</t>
        </is>
      </c>
      <c r="G628" s="40" t="inlineStr">
        <is>
          <t>новое</t>
        </is>
      </c>
      <c r="H628" s="11" t="inlineStr">
        <is>
          <t>принятые решения о ближайшем будущем</t>
        </is>
      </c>
      <c r="I628" s="37" t="inlineStr">
        <is>
          <t>10+</t>
        </is>
      </c>
      <c r="J628" s="11">
        <f>IFERROR(INDEX('Уроки'!$H:$H,MATCH(F628,'Уроки'!$A:$A,0)),"")</f>
        <v/>
      </c>
      <c r="K628" s="11">
        <f>IFERROR(INDEX('Уроки'!$J:$J,MATCH(F628,'Уроки'!$A:$A,0)),"")</f>
        <v/>
      </c>
      <c r="L628" s="11" t="inlineStr">
        <is>
          <t>Spotlight / 8 класс / Module 1 · Socialising / be going to / be going to: значение — уже принятое решение на ближайшее будущее</t>
        </is>
      </c>
    </row>
    <row r="629">
      <c r="A629" s="37" t="n">
        <v>8</v>
      </c>
      <c r="B629" s="11" t="inlineStr">
        <is>
          <t>Module 1 · Socialising</t>
        </is>
      </c>
      <c r="C629" s="11" t="inlineStr">
        <is>
          <t>1c</t>
        </is>
      </c>
      <c r="D629" s="11" t="inlineStr">
        <is>
          <t>be going to</t>
        </is>
      </c>
      <c r="E629" s="33" t="inlineStr">
        <is>
          <t>be going to: значение — предсказание по очевидным признакам</t>
        </is>
      </c>
      <c r="F629" s="11" t="inlineStr">
        <is>
          <t>Ст-060</t>
        </is>
      </c>
      <c r="G629" s="37" t="inlineStr">
        <is>
          <t>повторение</t>
        </is>
      </c>
      <c r="H629" s="11" t="inlineStr"/>
      <c r="I629" s="37" t="inlineStr">
        <is>
          <t>10+</t>
        </is>
      </c>
      <c r="J629" s="11">
        <f>IFERROR(INDEX('Уроки'!$H:$H,MATCH(F629,'Уроки'!$A:$A,0)),"")</f>
        <v/>
      </c>
      <c r="K629" s="11">
        <f>IFERROR(INDEX('Уроки'!$J:$J,MATCH(F629,'Уроки'!$A:$A,0)),"")</f>
        <v/>
      </c>
      <c r="L629" s="11" t="inlineStr">
        <is>
          <t>Spotlight / 8 класс / Module 1 · Socialising / be going to / be going to: значение — предсказание по очевидным признакам</t>
        </is>
      </c>
    </row>
    <row r="630">
      <c r="A630" s="37" t="n">
        <v>8</v>
      </c>
      <c r="B630" s="11" t="inlineStr">
        <is>
          <t>Module 1 · Socialising</t>
        </is>
      </c>
      <c r="C630" s="11" t="inlineStr">
        <is>
          <t>1c</t>
        </is>
      </c>
      <c r="D630" s="11" t="inlineStr">
        <is>
          <t>be going to</t>
        </is>
      </c>
      <c r="E630" s="33" t="inlineStr">
        <is>
          <t>be going to vs will: план/признаки vs решение в момент речи/мнение</t>
        </is>
      </c>
      <c r="F630" s="11" t="inlineStr">
        <is>
          <t>Ст-061</t>
        </is>
      </c>
      <c r="G630" s="40" t="inlineStr">
        <is>
          <t>новое</t>
        </is>
      </c>
      <c r="H630" s="11" t="inlineStr">
        <is>
          <t>решение в момент речи / прогноз-предположение — will</t>
        </is>
      </c>
      <c r="I630" s="37" t="inlineStr">
        <is>
          <t>10+</t>
        </is>
      </c>
      <c r="J630" s="11">
        <f>IFERROR(INDEX('Уроки'!$H:$H,MATCH(F630,'Уроки'!$A:$A,0)),"")</f>
        <v/>
      </c>
      <c r="K630" s="11">
        <f>IFERROR(INDEX('Уроки'!$J:$J,MATCH(F630,'Уроки'!$A:$A,0)),"")</f>
        <v/>
      </c>
      <c r="L630" s="11" t="inlineStr">
        <is>
          <t>Spotlight / 8 класс / Module 1 · Socialising / be going to / be going to vs will: план/признаки vs решение в момент речи/мнение</t>
        </is>
      </c>
    </row>
    <row r="631">
      <c r="A631" s="37" t="n">
        <v>8</v>
      </c>
      <c r="B631" s="11" t="inlineStr">
        <is>
          <t>Module 1 · Socialising</t>
        </is>
      </c>
      <c r="C631" s="11" t="inlineStr">
        <is>
          <t>1c</t>
        </is>
      </c>
      <c r="D631" s="11" t="inlineStr">
        <is>
          <t>Stative verbs</t>
        </is>
      </c>
      <c r="E631" s="33" t="inlineStr">
        <is>
          <t>Stative verbs: глаголы состояния не употребляются в Continuous</t>
        </is>
      </c>
      <c r="F631" s="11" t="inlineStr">
        <is>
          <t>Ст-075</t>
        </is>
      </c>
      <c r="G631" s="37" t="inlineStr">
        <is>
          <t>повторение</t>
        </is>
      </c>
      <c r="H631" s="11" t="inlineStr"/>
      <c r="I631" s="37" t="inlineStr">
        <is>
          <t>10+</t>
        </is>
      </c>
      <c r="J631" s="11">
        <f>IFERROR(INDEX('Уроки'!$H:$H,MATCH(F631,'Уроки'!$A:$A,0)),"")</f>
        <v/>
      </c>
      <c r="K631" s="11">
        <f>IFERROR(INDEX('Уроки'!$J:$J,MATCH(F631,'Уроки'!$A:$A,0)),"")</f>
        <v/>
      </c>
      <c r="L631" s="11" t="inlineStr">
        <is>
          <t>Spotlight / 8 класс / Module 1 · Socialising / Stative verbs / Stative verbs: глаголы состояния не употребляются в Continuous</t>
        </is>
      </c>
    </row>
    <row r="632">
      <c r="A632" s="37" t="n">
        <v>8</v>
      </c>
      <c r="B632" s="11" t="inlineStr">
        <is>
          <t>Module 1 · Socialising</t>
        </is>
      </c>
      <c r="C632" s="11" t="inlineStr">
        <is>
          <t>1c</t>
        </is>
      </c>
      <c r="D632" s="11" t="inlineStr">
        <is>
          <t>Stative verbs</t>
        </is>
      </c>
      <c r="E632" s="33" t="inlineStr">
        <is>
          <t>Stative verbs: группы глаголов (восприятие, мышление, чувства, прочие)</t>
        </is>
      </c>
      <c r="F632" s="11" t="inlineStr">
        <is>
          <t>Ст-076</t>
        </is>
      </c>
      <c r="G632" s="41" t="inlineStr">
        <is>
          <t>расширение</t>
        </is>
      </c>
      <c r="H632" s="11" t="inlineStr">
        <is>
          <t>новые: detest, keep, owe, weigh; feel, look в восприятии</t>
        </is>
      </c>
      <c r="I632" s="37" t="inlineStr">
        <is>
          <t>10+</t>
        </is>
      </c>
      <c r="J632" s="11">
        <f>IFERROR(INDEX('Уроки'!$H:$H,MATCH(F632,'Уроки'!$A:$A,0)),"")</f>
        <v/>
      </c>
      <c r="K632" s="11">
        <f>IFERROR(INDEX('Уроки'!$J:$J,MATCH(F632,'Уроки'!$A:$A,0)),"")</f>
        <v/>
      </c>
      <c r="L632" s="11" t="inlineStr">
        <is>
          <t>Spotlight / 8 класс / Module 1 · Socialising / Stative verbs / Stative verbs: группы глаголов (восприятие, мышление, чувства, прочие)</t>
        </is>
      </c>
    </row>
    <row r="633">
      <c r="A633" s="37" t="n">
        <v>8</v>
      </c>
      <c r="B633" s="11" t="inlineStr">
        <is>
          <t>Module 1 · Socialising</t>
        </is>
      </c>
      <c r="C633" s="11" t="inlineStr">
        <is>
          <t>1c</t>
        </is>
      </c>
      <c r="D633" s="11" t="inlineStr">
        <is>
          <t>Stative verbs</t>
        </is>
      </c>
      <c r="E633" s="33" t="inlineStr">
        <is>
          <t>Stative verbs: разное значение в Simple и Continuous (think, have, see, taste…)</t>
        </is>
      </c>
      <c r="F633" s="11" t="inlineStr">
        <is>
          <t>Ст-077</t>
        </is>
      </c>
      <c r="G633" s="37" t="inlineStr">
        <is>
          <t>повторение</t>
        </is>
      </c>
      <c r="H633" s="11" t="inlineStr"/>
      <c r="I633" s="37" t="inlineStr">
        <is>
          <t>10+</t>
        </is>
      </c>
      <c r="J633" s="11">
        <f>IFERROR(INDEX('Уроки'!$H:$H,MATCH(F633,'Уроки'!$A:$A,0)),"")</f>
        <v/>
      </c>
      <c r="K633" s="11">
        <f>IFERROR(INDEX('Уроки'!$J:$J,MATCH(F633,'Уроки'!$A:$A,0)),"")</f>
        <v/>
      </c>
      <c r="L633" s="11" t="inlineStr">
        <is>
          <t>Spotlight / 8 класс / Module 1 · Socialising / Stative verbs / Stative verbs: разное значение в Simple и Continuous (think, have, see, taste…)</t>
        </is>
      </c>
    </row>
    <row r="634">
      <c r="A634" s="37" t="n">
        <v>8</v>
      </c>
      <c r="B634" s="11" t="inlineStr">
        <is>
          <t>Module 1 · Socialising</t>
        </is>
      </c>
      <c r="C634" s="11" t="inlineStr">
        <is>
          <t>1c</t>
        </is>
      </c>
      <c r="D634" s="11" t="inlineStr">
        <is>
          <t>Stative verbs</t>
        </is>
      </c>
      <c r="E634" s="35" t="inlineStr">
        <is>
          <t>Stative verbs: look, feel, hurt, ache — Simple = Continuous</t>
        </is>
      </c>
      <c r="F634" s="11" t="inlineStr">
        <is>
          <t>Ст-078</t>
        </is>
      </c>
      <c r="G634" s="41" t="inlineStr">
        <is>
          <t>расширение</t>
        </is>
      </c>
      <c r="H634" s="11" t="inlineStr">
        <is>
          <t>+ hurt</t>
        </is>
      </c>
      <c r="I634" s="37" t="inlineStr">
        <is>
          <t>10+</t>
        </is>
      </c>
      <c r="J634" s="11">
        <f>IFERROR(INDEX('Уроки'!$H:$H,MATCH(F634,'Уроки'!$A:$A,0)),"")</f>
        <v/>
      </c>
      <c r="K634" s="11">
        <f>IFERROR(INDEX('Уроки'!$J:$J,MATCH(F634,'Уроки'!$A:$A,0)),"")</f>
        <v/>
      </c>
      <c r="L634" s="11" t="inlineStr">
        <is>
          <t>Spotlight / 8 класс / Module 1 · Socialising / Stative verbs / Stative verbs: look, feel, hurt, ache — Simple = Continuous</t>
        </is>
      </c>
    </row>
    <row r="635">
      <c r="A635" s="37" t="n">
        <v>8</v>
      </c>
      <c r="B635" s="11" t="inlineStr">
        <is>
          <t>Module 1 · Socialising</t>
        </is>
      </c>
      <c r="C635" s="11" t="inlineStr">
        <is>
          <t>1c</t>
        </is>
      </c>
      <c r="D635" s="11" t="inlineStr">
        <is>
          <t>Stative verbs</t>
        </is>
      </c>
      <c r="E635" s="35" t="inlineStr">
        <is>
          <t>Stative verbs: enjoy в Continuous — конкретное удовольствие</t>
        </is>
      </c>
      <c r="F635" s="11" t="inlineStr">
        <is>
          <t>Ст-079</t>
        </is>
      </c>
      <c r="G635" s="40" t="inlineStr">
        <is>
          <t>новое</t>
        </is>
      </c>
      <c r="H635" s="11" t="inlineStr">
        <is>
          <t>She's enjoying a glass of lemonade</t>
        </is>
      </c>
      <c r="I635" s="37" t="inlineStr">
        <is>
          <t>10+</t>
        </is>
      </c>
      <c r="J635" s="11">
        <f>IFERROR(INDEX('Уроки'!$H:$H,MATCH(F635,'Уроки'!$A:$A,0)),"")</f>
        <v/>
      </c>
      <c r="K635" s="11">
        <f>IFERROR(INDEX('Уроки'!$J:$J,MATCH(F635,'Уроки'!$A:$A,0)),"")</f>
        <v/>
      </c>
      <c r="L635" s="11" t="inlineStr">
        <is>
          <t>Spotlight / 8 класс / Module 1 · Socialising / Stative verbs / Stative verbs: enjoy в Continuous — конкретное удовольствие</t>
        </is>
      </c>
    </row>
    <row r="636">
      <c r="A636" s="37" t="n">
        <v>8</v>
      </c>
      <c r="B636" s="11" t="inlineStr">
        <is>
          <t>Module 1 · Socialising</t>
        </is>
      </c>
      <c r="C636" s="11" t="inlineStr">
        <is>
          <t>1c</t>
        </is>
      </c>
      <c r="D636" s="11" t="inlineStr">
        <is>
          <t>Future forms (comparison)</t>
        </is>
      </c>
      <c r="E636" s="33" t="inlineStr">
        <is>
          <t>Future forms: Present Continuous — договорённости на ближайшее будущее</t>
        </is>
      </c>
      <c r="F636" s="11" t="inlineStr">
        <is>
          <t>Ст-080</t>
        </is>
      </c>
      <c r="G636" s="37" t="inlineStr">
        <is>
          <t>повторение</t>
        </is>
      </c>
      <c r="H636" s="11" t="inlineStr">
        <is>
          <t>We're having a meeting on Tuesday</t>
        </is>
      </c>
      <c r="I636" s="37" t="inlineStr">
        <is>
          <t>10+</t>
        </is>
      </c>
      <c r="J636" s="11">
        <f>IFERROR(INDEX('Уроки'!$H:$H,MATCH(F636,'Уроки'!$A:$A,0)),"")</f>
        <v/>
      </c>
      <c r="K636" s="11">
        <f>IFERROR(INDEX('Уроки'!$J:$J,MATCH(F636,'Уроки'!$A:$A,0)),"")</f>
        <v/>
      </c>
      <c r="L636" s="11" t="inlineStr">
        <is>
          <t>Spotlight / 8 класс / Module 1 · Socialising / Future forms (comparison) / Future forms: Present Continuous — договорённости на ближайшее будущее</t>
        </is>
      </c>
    </row>
    <row r="637">
      <c r="A637" s="37" t="n">
        <v>8</v>
      </c>
      <c r="B637" s="11" t="inlineStr">
        <is>
          <t>Module 1 · Socialising</t>
        </is>
      </c>
      <c r="C637" s="11" t="inlineStr">
        <is>
          <t>1c</t>
        </is>
      </c>
      <c r="D637" s="11" t="inlineStr">
        <is>
          <t>Future forms (comparison)</t>
        </is>
      </c>
      <c r="E637" s="33" t="inlineStr">
        <is>
          <t>Future forms: Present Simple — расписания и программы</t>
        </is>
      </c>
      <c r="F637" s="11" t="inlineStr">
        <is>
          <t>Ст-081</t>
        </is>
      </c>
      <c r="G637" s="37" t="inlineStr">
        <is>
          <t>повторение</t>
        </is>
      </c>
      <c r="H637" s="11" t="inlineStr">
        <is>
          <t>транспорт/расписание</t>
        </is>
      </c>
      <c r="I637" s="37" t="inlineStr">
        <is>
          <t>10+</t>
        </is>
      </c>
      <c r="J637" s="11">
        <f>IFERROR(INDEX('Уроки'!$H:$H,MATCH(F637,'Уроки'!$A:$A,0)),"")</f>
        <v/>
      </c>
      <c r="K637" s="11">
        <f>IFERROR(INDEX('Уроки'!$J:$J,MATCH(F637,'Уроки'!$A:$A,0)),"")</f>
        <v/>
      </c>
      <c r="L637" s="11" t="inlineStr">
        <is>
          <t>Spotlight / 8 класс / Module 1 · Socialising / Future forms (comparison) / Future forms: Present Simple — расписания и программы</t>
        </is>
      </c>
    </row>
    <row r="638">
      <c r="A638" s="37" t="n">
        <v>8</v>
      </c>
      <c r="B638" s="11" t="inlineStr">
        <is>
          <t>Module 1 · Socialising</t>
        </is>
      </c>
      <c r="C638" s="11" t="inlineStr">
        <is>
          <t>1c</t>
        </is>
      </c>
      <c r="D638" s="11" t="inlineStr">
        <is>
          <t>Future forms (comparison)</t>
        </is>
      </c>
      <c r="E638" s="33" t="inlineStr">
        <is>
          <t>Future forms: will vs be going to — решение в момент речи vs план</t>
        </is>
      </c>
      <c r="F638" s="11" t="inlineStr">
        <is>
          <t>Ст-082</t>
        </is>
      </c>
      <c r="G638" s="37" t="inlineStr">
        <is>
          <t>повторение</t>
        </is>
      </c>
      <c r="H638" s="11" t="inlineStr"/>
      <c r="I638" s="37" t="inlineStr">
        <is>
          <t>10+</t>
        </is>
      </c>
      <c r="J638" s="11">
        <f>IFERROR(INDEX('Уроки'!$H:$H,MATCH(F638,'Уроки'!$A:$A,0)),"")</f>
        <v/>
      </c>
      <c r="K638" s="11">
        <f>IFERROR(INDEX('Уроки'!$J:$J,MATCH(F638,'Уроки'!$A:$A,0)),"")</f>
        <v/>
      </c>
      <c r="L638" s="11" t="inlineStr">
        <is>
          <t>Spotlight / 8 класс / Module 1 · Socialising / Future forms (comparison) / Future forms: will vs be going to — решение в момент речи vs план</t>
        </is>
      </c>
    </row>
    <row r="639">
      <c r="A639" s="37" t="n">
        <v>8</v>
      </c>
      <c r="B639" s="11" t="inlineStr">
        <is>
          <t>Module 1 · Socialising</t>
        </is>
      </c>
      <c r="C639" s="11" t="inlineStr">
        <is>
          <t>1c</t>
        </is>
      </c>
      <c r="D639" s="11" t="inlineStr">
        <is>
          <t>Future forms (comparison)</t>
        </is>
      </c>
      <c r="E639" s="33" t="inlineStr">
        <is>
          <t>Future forms: will vs be going to — прогноз-мнение vs прогноз по признакам</t>
        </is>
      </c>
      <c r="F639" s="11" t="inlineStr">
        <is>
          <t>Ст-083</t>
        </is>
      </c>
      <c r="G639" s="37" t="inlineStr">
        <is>
          <t>повторение</t>
        </is>
      </c>
      <c r="H639" s="11" t="inlineStr"/>
      <c r="I639" s="37" t="inlineStr">
        <is>
          <t>10+</t>
        </is>
      </c>
      <c r="J639" s="11">
        <f>IFERROR(INDEX('Уроки'!$H:$H,MATCH(F639,'Уроки'!$A:$A,0)),"")</f>
        <v/>
      </c>
      <c r="K639" s="11">
        <f>IFERROR(INDEX('Уроки'!$J:$J,MATCH(F639,'Уроки'!$A:$A,0)),"")</f>
        <v/>
      </c>
      <c r="L639" s="11" t="inlineStr">
        <is>
          <t>Spotlight / 8 класс / Module 1 · Socialising / Future forms (comparison) / Future forms: will vs be going to — прогноз-мнение vs прогноз по признакам</t>
        </is>
      </c>
    </row>
    <row r="640">
      <c r="A640" s="37" t="n">
        <v>8</v>
      </c>
      <c r="B640" s="11" t="inlineStr">
        <is>
          <t>Module 1 · Socialising</t>
        </is>
      </c>
      <c r="C640" s="11" t="inlineStr">
        <is>
          <t>1c</t>
        </is>
      </c>
      <c r="D640" s="11" t="inlineStr">
        <is>
          <t>Future forms (comparison)</t>
        </is>
      </c>
      <c r="E640" s="33" t="inlineStr">
        <is>
          <t>Future forms: обзор всех способов выражения будущего</t>
        </is>
      </c>
      <c r="F640" s="11" t="inlineStr">
        <is>
          <t>Ст-084</t>
        </is>
      </c>
      <c r="G640" s="37" t="inlineStr">
        <is>
          <t>повторение</t>
        </is>
      </c>
      <c r="H640" s="11" t="inlineStr"/>
      <c r="I640" s="37" t="inlineStr">
        <is>
          <t>10+</t>
        </is>
      </c>
      <c r="J640" s="11">
        <f>IFERROR(INDEX('Уроки'!$H:$H,MATCH(F640,'Уроки'!$A:$A,0)),"")</f>
        <v/>
      </c>
      <c r="K640" s="11">
        <f>IFERROR(INDEX('Уроки'!$J:$J,MATCH(F640,'Уроки'!$A:$A,0)),"")</f>
        <v/>
      </c>
      <c r="L640" s="11" t="inlineStr">
        <is>
          <t>Spotlight / 8 класс / Module 1 · Socialising / Future forms (comparison) / Future forms: обзор всех способов выражения будущего</t>
        </is>
      </c>
    </row>
    <row r="641">
      <c r="A641" s="37" t="n">
        <v>8</v>
      </c>
      <c r="B641" s="11" t="inlineStr">
        <is>
          <t>Module 1 · Socialising</t>
        </is>
      </c>
      <c r="C641" s="11" t="inlineStr">
        <is>
          <t>1c</t>
        </is>
      </c>
      <c r="D641" s="11" t="inlineStr">
        <is>
          <t>Past Continuous</t>
        </is>
      </c>
      <c r="E641" s="33" t="inlineStr">
        <is>
          <t>Past Continuous: утверждение (was/were + V-ing)</t>
        </is>
      </c>
      <c r="F641" s="11" t="inlineStr">
        <is>
          <t>Ст-086</t>
        </is>
      </c>
      <c r="G641" s="40" t="inlineStr">
        <is>
          <t>новое</t>
        </is>
      </c>
      <c r="H641" s="11" t="inlineStr">
        <is>
          <t>was/were + V-ing; −/? не расписаны</t>
        </is>
      </c>
      <c r="I641" s="37" t="inlineStr">
        <is>
          <t>10+</t>
        </is>
      </c>
      <c r="J641" s="11">
        <f>IFERROR(INDEX('Уроки'!$H:$H,MATCH(F641,'Уроки'!$A:$A,0)),"")</f>
        <v/>
      </c>
      <c r="K641" s="11">
        <f>IFERROR(INDEX('Уроки'!$J:$J,MATCH(F641,'Уроки'!$A:$A,0)),"")</f>
        <v/>
      </c>
      <c r="L641" s="11" t="inlineStr">
        <is>
          <t>Spotlight / 8 класс / Module 1 · Socialising / Past Continuous / Past Continuous: утверждение (was/were + V-ing)</t>
        </is>
      </c>
    </row>
    <row r="642">
      <c r="A642" s="37" t="n">
        <v>8</v>
      </c>
      <c r="B642" s="11" t="inlineStr">
        <is>
          <t>Module 1 · Socialising</t>
        </is>
      </c>
      <c r="C642" s="11" t="inlineStr">
        <is>
          <t>1c</t>
        </is>
      </c>
      <c r="D642" s="11" t="inlineStr">
        <is>
          <t>Past Continuous</t>
        </is>
      </c>
      <c r="E642" s="33" t="inlineStr">
        <is>
          <t>Past Continuous: значение — действие в процессе в момент прошлого</t>
        </is>
      </c>
      <c r="F642" s="11" t="inlineStr">
        <is>
          <t>Ст-087</t>
        </is>
      </c>
      <c r="G642" s="37" t="inlineStr">
        <is>
          <t>повторение</t>
        </is>
      </c>
      <c r="H642" s="11" t="inlineStr"/>
      <c r="I642" s="37" t="inlineStr">
        <is>
          <t>10+</t>
        </is>
      </c>
      <c r="J642" s="11">
        <f>IFERROR(INDEX('Уроки'!$H:$H,MATCH(F642,'Уроки'!$A:$A,0)),"")</f>
        <v/>
      </c>
      <c r="K642" s="11">
        <f>IFERROR(INDEX('Уроки'!$J:$J,MATCH(F642,'Уроки'!$A:$A,0)),"")</f>
        <v/>
      </c>
      <c r="L642" s="11" t="inlineStr">
        <is>
          <t>Spotlight / 8 класс / Module 1 · Socialising / Past Continuous / Past Continuous: значение — действие в процессе в момент прошлого</t>
        </is>
      </c>
    </row>
    <row r="643">
      <c r="A643" s="37" t="n">
        <v>8</v>
      </c>
      <c r="B643" s="11" t="inlineStr">
        <is>
          <t>Module 1 · Socialising</t>
        </is>
      </c>
      <c r="C643" s="11" t="inlineStr">
        <is>
          <t>1c</t>
        </is>
      </c>
      <c r="D643" s="11" t="inlineStr">
        <is>
          <t>Past Continuous</t>
        </is>
      </c>
      <c r="E643" s="33" t="inlineStr">
        <is>
          <t>Past Continuous: значение — длительное действие, прерванное другим (when)</t>
        </is>
      </c>
      <c r="F643" s="11" t="inlineStr">
        <is>
          <t>Ст-088</t>
        </is>
      </c>
      <c r="G643" s="37" t="inlineStr">
        <is>
          <t>повторение</t>
        </is>
      </c>
      <c r="H643" s="11" t="inlineStr"/>
      <c r="I643" s="37" t="inlineStr">
        <is>
          <t>10+</t>
        </is>
      </c>
      <c r="J643" s="11">
        <f>IFERROR(INDEX('Уроки'!$H:$H,MATCH(F643,'Уроки'!$A:$A,0)),"")</f>
        <v/>
      </c>
      <c r="K643" s="11">
        <f>IFERROR(INDEX('Уроки'!$J:$J,MATCH(F643,'Уроки'!$A:$A,0)),"")</f>
        <v/>
      </c>
      <c r="L643" s="11" t="inlineStr">
        <is>
          <t>Spotlight / 8 класс / Module 1 · Socialising / Past Continuous / Past Continuous: значение — длительное действие, прерванное другим (when)</t>
        </is>
      </c>
    </row>
    <row r="644">
      <c r="A644" s="37" t="n">
        <v>8</v>
      </c>
      <c r="B644" s="11" t="inlineStr">
        <is>
          <t>Module 1 · Socialising</t>
        </is>
      </c>
      <c r="C644" s="11" t="inlineStr">
        <is>
          <t>1c</t>
        </is>
      </c>
      <c r="D644" s="11" t="inlineStr">
        <is>
          <t>Past Continuous</t>
        </is>
      </c>
      <c r="E644" s="33" t="inlineStr">
        <is>
          <t>Past Continuous: значение — одновременные действия (while)</t>
        </is>
      </c>
      <c r="F644" s="11" t="inlineStr">
        <is>
          <t>Ст-089</t>
        </is>
      </c>
      <c r="G644" s="37" t="inlineStr">
        <is>
          <t>повторение</t>
        </is>
      </c>
      <c r="H644" s="11" t="inlineStr">
        <is>
          <t>разных людей</t>
        </is>
      </c>
      <c r="I644" s="37" t="inlineStr">
        <is>
          <t>10+</t>
        </is>
      </c>
      <c r="J644" s="11">
        <f>IFERROR(INDEX('Уроки'!$H:$H,MATCH(F644,'Уроки'!$A:$A,0)),"")</f>
        <v/>
      </c>
      <c r="K644" s="11">
        <f>IFERROR(INDEX('Уроки'!$J:$J,MATCH(F644,'Уроки'!$A:$A,0)),"")</f>
        <v/>
      </c>
      <c r="L644" s="11" t="inlineStr">
        <is>
          <t>Spotlight / 8 класс / Module 1 · Socialising / Past Continuous / Past Continuous: значение — одновременные действия (while)</t>
        </is>
      </c>
    </row>
    <row r="645">
      <c r="A645" s="37" t="n">
        <v>8</v>
      </c>
      <c r="B645" s="11" t="inlineStr">
        <is>
          <t>Module 1 · Socialising</t>
        </is>
      </c>
      <c r="C645" s="11" t="inlineStr">
        <is>
          <t>1c</t>
        </is>
      </c>
      <c r="D645" s="11" t="inlineStr">
        <is>
          <t>Past Simple vs Past Continuous</t>
        </is>
      </c>
      <c r="E645" s="35" t="inlineStr">
        <is>
          <t>Past Simple vs Past Continuous: указанное время — завершённое vs в процессе</t>
        </is>
      </c>
      <c r="F645" s="11" t="inlineStr">
        <is>
          <t>Ст-092</t>
        </is>
      </c>
      <c r="G645" s="37" t="inlineStr">
        <is>
          <t>повторение</t>
        </is>
      </c>
      <c r="H645" s="11" t="inlineStr"/>
      <c r="I645" s="37" t="inlineStr">
        <is>
          <t>10+</t>
        </is>
      </c>
      <c r="J645" s="11">
        <f>IFERROR(INDEX('Уроки'!$H:$H,MATCH(F645,'Уроки'!$A:$A,0)),"")</f>
        <v/>
      </c>
      <c r="K645" s="11">
        <f>IFERROR(INDEX('Уроки'!$J:$J,MATCH(F645,'Уроки'!$A:$A,0)),"")</f>
        <v/>
      </c>
      <c r="L645" s="11" t="inlineStr">
        <is>
          <t>Spotlight / 8 класс / Module 1 · Socialising / Past Simple vs Past Continuous / Past Simple vs Past Continuous: указанное время — завершённое vs в процессе</t>
        </is>
      </c>
    </row>
    <row r="646">
      <c r="A646" s="37" t="n">
        <v>8</v>
      </c>
      <c r="B646" s="11" t="inlineStr">
        <is>
          <t>Module 1 · Socialising</t>
        </is>
      </c>
      <c r="C646" s="11" t="inlineStr">
        <is>
          <t>1c</t>
        </is>
      </c>
      <c r="D646" s="11" t="inlineStr">
        <is>
          <t>Past Simple vs Past Continuous</t>
        </is>
      </c>
      <c r="E646" s="35" t="inlineStr">
        <is>
          <t>Past Simple vs Past Continuous: последовательные vs одновременные действия</t>
        </is>
      </c>
      <c r="F646" s="11" t="inlineStr">
        <is>
          <t>Ст-093</t>
        </is>
      </c>
      <c r="G646" s="37" t="inlineStr">
        <is>
          <t>повторение</t>
        </is>
      </c>
      <c r="H646" s="11" t="inlineStr">
        <is>
          <t>одновременные действия разных людей</t>
        </is>
      </c>
      <c r="I646" s="37" t="inlineStr">
        <is>
          <t>10+</t>
        </is>
      </c>
      <c r="J646" s="11">
        <f>IFERROR(INDEX('Уроки'!$H:$H,MATCH(F646,'Уроки'!$A:$A,0)),"")</f>
        <v/>
      </c>
      <c r="K646" s="11">
        <f>IFERROR(INDEX('Уроки'!$J:$J,MATCH(F646,'Уроки'!$A:$A,0)),"")</f>
        <v/>
      </c>
      <c r="L646" s="11" t="inlineStr">
        <is>
          <t>Spotlight / 8 класс / Module 1 · Socialising / Past Simple vs Past Continuous / Past Simple vs Past Continuous: последовательные vs одновременные действия</t>
        </is>
      </c>
    </row>
    <row r="647">
      <c r="A647" s="37" t="n">
        <v>8</v>
      </c>
      <c r="B647" s="11" t="inlineStr">
        <is>
          <t>Module 1 · Socialising</t>
        </is>
      </c>
      <c r="C647" s="11" t="inlineStr">
        <is>
          <t>1c</t>
        </is>
      </c>
      <c r="D647" s="11" t="inlineStr">
        <is>
          <t>Past Simple vs Past Continuous</t>
        </is>
      </c>
      <c r="E647" s="34" t="inlineStr">
        <is>
          <t>Past Simple vs Past Continuous: прерванное (PC) и прерывающее (PS) действие</t>
        </is>
      </c>
      <c r="F647" s="11" t="inlineStr">
        <is>
          <t>Ст-094</t>
        </is>
      </c>
      <c r="G647" s="37" t="inlineStr">
        <is>
          <t>повторение</t>
        </is>
      </c>
      <c r="H647" s="11" t="inlineStr"/>
      <c r="I647" s="37" t="inlineStr">
        <is>
          <t>10+</t>
        </is>
      </c>
      <c r="J647" s="11">
        <f>IFERROR(INDEX('Уроки'!$H:$H,MATCH(F647,'Уроки'!$A:$A,0)),"")</f>
        <v/>
      </c>
      <c r="K647" s="11">
        <f>IFERROR(INDEX('Уроки'!$J:$J,MATCH(F647,'Уроки'!$A:$A,0)),"")</f>
        <v/>
      </c>
      <c r="L647" s="11" t="inlineStr">
        <is>
          <t>Spotlight / 8 класс / Module 1 · Socialising / Past Simple vs Past Continuous / Past Simple vs Past Continuous: прерванное (PC) и прерывающее (PS) действие</t>
        </is>
      </c>
    </row>
    <row r="648">
      <c r="A648" s="37" t="n">
        <v>8</v>
      </c>
      <c r="B648" s="11" t="inlineStr">
        <is>
          <t>Module 1 · Socialising</t>
        </is>
      </c>
      <c r="C648" s="11" t="inlineStr">
        <is>
          <t>1c</t>
        </is>
      </c>
      <c r="D648" s="11" t="inlineStr">
        <is>
          <t>Adverbs of frequency</t>
        </is>
      </c>
      <c r="E648" s="33" t="inlineStr">
        <is>
          <t>Adverbs of frequency: место — перед смысловым глаголом, после be</t>
        </is>
      </c>
      <c r="F648" s="11" t="inlineStr">
        <is>
          <t>Ст-437</t>
        </is>
      </c>
      <c r="G648" s="37" t="inlineStr">
        <is>
          <t>повторение</t>
        </is>
      </c>
      <c r="H648" s="11" t="inlineStr"/>
      <c r="I648" s="37" t="inlineStr">
        <is>
          <t>10+</t>
        </is>
      </c>
      <c r="J648" s="11">
        <f>IFERROR(INDEX('Уроки'!$H:$H,MATCH(F648,'Уроки'!$A:$A,0)),"")</f>
        <v/>
      </c>
      <c r="K648" s="11">
        <f>IFERROR(INDEX('Уроки'!$J:$J,MATCH(F648,'Уроки'!$A:$A,0)),"")</f>
        <v/>
      </c>
      <c r="L648" s="11" t="inlineStr">
        <is>
          <t>Spotlight / 8 класс / Module 1 · Socialising / Adverbs of frequency / Adverbs of frequency: место — перед смысловым глаголом, после be</t>
        </is>
      </c>
    </row>
    <row r="649">
      <c r="A649" s="37" t="n">
        <v>8</v>
      </c>
      <c r="B649" s="11" t="inlineStr">
        <is>
          <t>Module 1 · Socialising</t>
        </is>
      </c>
      <c r="C649" s="11" t="inlineStr">
        <is>
          <t>1c</t>
        </is>
      </c>
      <c r="D649" s="11" t="inlineStr">
        <is>
          <t>Adverbs of frequency</t>
        </is>
      </c>
      <c r="E649" s="35" t="inlineStr">
        <is>
          <t>Adverbs of frequency: место — после вспомогательных и модальных глаголов</t>
        </is>
      </c>
      <c r="F649" s="11" t="inlineStr">
        <is>
          <t>Ст-438</t>
        </is>
      </c>
      <c r="G649" s="37" t="inlineStr">
        <is>
          <t>повторение</t>
        </is>
      </c>
      <c r="H649" s="11" t="inlineStr">
        <is>
          <t>после вспомогательных</t>
        </is>
      </c>
      <c r="I649" s="37" t="inlineStr">
        <is>
          <t>10+</t>
        </is>
      </c>
      <c r="J649" s="11">
        <f>IFERROR(INDEX('Уроки'!$H:$H,MATCH(F649,'Уроки'!$A:$A,0)),"")</f>
        <v/>
      </c>
      <c r="K649" s="11">
        <f>IFERROR(INDEX('Уроки'!$J:$J,MATCH(F649,'Уроки'!$A:$A,0)),"")</f>
        <v/>
      </c>
      <c r="L649" s="11" t="inlineStr">
        <is>
          <t>Spotlight / 8 класс / Module 1 · Socialising / Adverbs of frequency / Adverbs of frequency: место — после вспомогательных и модальных глаголов</t>
        </is>
      </c>
    </row>
    <row r="650">
      <c r="A650" s="37" t="n">
        <v>8</v>
      </c>
      <c r="B650" s="11" t="inlineStr">
        <is>
          <t>Module 1 · Socialising</t>
        </is>
      </c>
      <c r="C650" s="11" t="inlineStr">
        <is>
          <t>1c</t>
        </is>
      </c>
      <c r="D650" s="11" t="inlineStr">
        <is>
          <t>Adverbs of frequency</t>
        </is>
      </c>
      <c r="E650" s="33" t="inlineStr">
        <is>
          <t>Adverbs of frequency: шкала частотности в % (always 100% … never 0%)</t>
        </is>
      </c>
      <c r="F650" s="11" t="inlineStr">
        <is>
          <t>Ст-440</t>
        </is>
      </c>
      <c r="G650" s="40" t="inlineStr">
        <is>
          <t>новое</t>
        </is>
      </c>
      <c r="H650" s="11" t="inlineStr">
        <is>
          <t>always 100%, usually 75%, often 50%, sometimes 25%, never 0%</t>
        </is>
      </c>
      <c r="I650" s="37" t="inlineStr">
        <is>
          <t>10+</t>
        </is>
      </c>
      <c r="J650" s="11">
        <f>IFERROR(INDEX('Уроки'!$H:$H,MATCH(F650,'Уроки'!$A:$A,0)),"")</f>
        <v/>
      </c>
      <c r="K650" s="11">
        <f>IFERROR(INDEX('Уроки'!$J:$J,MATCH(F650,'Уроки'!$A:$A,0)),"")</f>
        <v/>
      </c>
      <c r="L650" s="11" t="inlineStr">
        <is>
          <t>Spotlight / 8 класс / Module 1 · Socialising / Adverbs of frequency / Adverbs of frequency: шкала частотности в % (always 100% … never 0%)</t>
        </is>
      </c>
    </row>
    <row r="651">
      <c r="A651" s="37" t="n">
        <v>8</v>
      </c>
      <c r="B651" s="11" t="inlineStr">
        <is>
          <t>Module 1 · Socialising</t>
        </is>
      </c>
      <c r="C651" s="11" t="inlineStr">
        <is>
          <t>1d</t>
        </is>
      </c>
      <c r="D651" s="11" t="inlineStr">
        <is>
          <t>Comparatives &amp; Superlatives</t>
        </is>
      </c>
      <c r="E651" s="33" t="inlineStr">
        <is>
          <t>Comparatives &amp; Superlatives: сравнительная степень — -er + than</t>
        </is>
      </c>
      <c r="F651" s="11" t="inlineStr">
        <is>
          <t>Ст-441</t>
        </is>
      </c>
      <c r="G651" s="37" t="inlineStr">
        <is>
          <t>повторение</t>
        </is>
      </c>
      <c r="H651" s="11" t="inlineStr"/>
      <c r="I651" s="37" t="inlineStr">
        <is>
          <t>10+</t>
        </is>
      </c>
      <c r="J651" s="11">
        <f>IFERROR(INDEX('Уроки'!$H:$H,MATCH(F651,'Уроки'!$A:$A,0)),"")</f>
        <v/>
      </c>
      <c r="K651" s="11">
        <f>IFERROR(INDEX('Уроки'!$J:$J,MATCH(F651,'Уроки'!$A:$A,0)),"")</f>
        <v/>
      </c>
      <c r="L651" s="11" t="inlineStr">
        <is>
          <t>Spotlight / 8 класс / Module 1 · Socialising / Comparatives &amp; Superlatives / Comparatives &amp; Superlatives: сравнительная степень — -er + than</t>
        </is>
      </c>
    </row>
    <row r="652">
      <c r="A652" s="37" t="n">
        <v>8</v>
      </c>
      <c r="B652" s="11" t="inlineStr">
        <is>
          <t>Module 1 · Socialising</t>
        </is>
      </c>
      <c r="C652" s="11" t="inlineStr">
        <is>
          <t>1d</t>
        </is>
      </c>
      <c r="D652" s="11" t="inlineStr">
        <is>
          <t>Comparatives &amp; Superlatives</t>
        </is>
      </c>
      <c r="E652" s="33" t="inlineStr">
        <is>
          <t>Comparatives &amp; Superlatives: сравнительная степень — more (многосложные)</t>
        </is>
      </c>
      <c r="F652" s="11" t="inlineStr">
        <is>
          <t>Ст-442</t>
        </is>
      </c>
      <c r="G652" s="37" t="inlineStr">
        <is>
          <t>повторение</t>
        </is>
      </c>
      <c r="H652" s="11" t="inlineStr">
        <is>
          <t>sociable</t>
        </is>
      </c>
      <c r="I652" s="37" t="inlineStr">
        <is>
          <t>10+</t>
        </is>
      </c>
      <c r="J652" s="11">
        <f>IFERROR(INDEX('Уроки'!$H:$H,MATCH(F652,'Уроки'!$A:$A,0)),"")</f>
        <v/>
      </c>
      <c r="K652" s="11">
        <f>IFERROR(INDEX('Уроки'!$J:$J,MATCH(F652,'Уроки'!$A:$A,0)),"")</f>
        <v/>
      </c>
      <c r="L652" s="11" t="inlineStr">
        <is>
          <t>Spotlight / 8 класс / Module 1 · Socialising / Comparatives &amp; Superlatives / Comparatives &amp; Superlatives: сравнительная степень — more (многосложные)</t>
        </is>
      </c>
    </row>
    <row r="653">
      <c r="A653" s="37" t="n">
        <v>8</v>
      </c>
      <c r="B653" s="11" t="inlineStr">
        <is>
          <t>Module 1 · Socialising</t>
        </is>
      </c>
      <c r="C653" s="11" t="inlineStr">
        <is>
          <t>1d</t>
        </is>
      </c>
      <c r="D653" s="11" t="inlineStr">
        <is>
          <t>Comparatives &amp; Superlatives</t>
        </is>
      </c>
      <c r="E653" s="35" t="inlineStr">
        <is>
          <t>Comparatives &amp; Superlatives: орфография -er/-est (удвоение, -e, y → i)</t>
        </is>
      </c>
      <c r="F653" s="11" t="inlineStr">
        <is>
          <t>Ст-443</t>
        </is>
      </c>
      <c r="G653" s="37" t="inlineStr">
        <is>
          <t>повторение</t>
        </is>
      </c>
      <c r="H653" s="11" t="inlineStr">
        <is>
          <t>hot – hotter, easy – easier</t>
        </is>
      </c>
      <c r="I653" s="37" t="inlineStr">
        <is>
          <t>10+</t>
        </is>
      </c>
      <c r="J653" s="11">
        <f>IFERROR(INDEX('Уроки'!$H:$H,MATCH(F653,'Уроки'!$A:$A,0)),"")</f>
        <v/>
      </c>
      <c r="K653" s="11">
        <f>IFERROR(INDEX('Уроки'!$J:$J,MATCH(F653,'Уроки'!$A:$A,0)),"")</f>
        <v/>
      </c>
      <c r="L653" s="11" t="inlineStr">
        <is>
          <t>Spotlight / 8 класс / Module 1 · Socialising / Comparatives &amp; Superlatives / Comparatives &amp; Superlatives: орфография -er/-est (удвоение, -e, y → i)</t>
        </is>
      </c>
    </row>
    <row r="654">
      <c r="A654" s="37" t="n">
        <v>8</v>
      </c>
      <c r="B654" s="11" t="inlineStr">
        <is>
          <t>Module 1 · Socialising</t>
        </is>
      </c>
      <c r="C654" s="11" t="inlineStr">
        <is>
          <t>1d</t>
        </is>
      </c>
      <c r="D654" s="11" t="inlineStr">
        <is>
          <t>Comparatives &amp; Superlatives</t>
        </is>
      </c>
      <c r="E654" s="33" t="inlineStr">
        <is>
          <t>Comparatives &amp; Superlatives: превосходная степень — the -est + of/in</t>
        </is>
      </c>
      <c r="F654" s="11" t="inlineStr">
        <is>
          <t>Ст-444</t>
        </is>
      </c>
      <c r="G654" s="37" t="inlineStr">
        <is>
          <t>повторение</t>
        </is>
      </c>
      <c r="H654" s="11" t="inlineStr">
        <is>
          <t>the youngest of…, the funniest … in</t>
        </is>
      </c>
      <c r="I654" s="37" t="inlineStr">
        <is>
          <t>10+</t>
        </is>
      </c>
      <c r="J654" s="11">
        <f>IFERROR(INDEX('Уроки'!$H:$H,MATCH(F654,'Уроки'!$A:$A,0)),"")</f>
        <v/>
      </c>
      <c r="K654" s="11">
        <f>IFERROR(INDEX('Уроки'!$J:$J,MATCH(F654,'Уроки'!$A:$A,0)),"")</f>
        <v/>
      </c>
      <c r="L654" s="11" t="inlineStr">
        <is>
          <t>Spotlight / 8 класс / Module 1 · Socialising / Comparatives &amp; Superlatives / Comparatives &amp; Superlatives: превосходная степень — the -est + of/in</t>
        </is>
      </c>
    </row>
    <row r="655">
      <c r="A655" s="37" t="n">
        <v>8</v>
      </c>
      <c r="B655" s="11" t="inlineStr">
        <is>
          <t>Module 1 · Socialising</t>
        </is>
      </c>
      <c r="C655" s="11" t="inlineStr">
        <is>
          <t>1d</t>
        </is>
      </c>
      <c r="D655" s="11" t="inlineStr">
        <is>
          <t>Comparatives &amp; Superlatives</t>
        </is>
      </c>
      <c r="E655" s="33" t="inlineStr">
        <is>
          <t>Comparatives &amp; Superlatives: превосходная степень — the most</t>
        </is>
      </c>
      <c r="F655" s="11" t="inlineStr">
        <is>
          <t>Ст-445</t>
        </is>
      </c>
      <c r="G655" s="37" t="inlineStr">
        <is>
          <t>повторение</t>
        </is>
      </c>
      <c r="H655" s="11" t="inlineStr"/>
      <c r="I655" s="37" t="inlineStr">
        <is>
          <t>10+</t>
        </is>
      </c>
      <c r="J655" s="11">
        <f>IFERROR(INDEX('Уроки'!$H:$H,MATCH(F655,'Уроки'!$A:$A,0)),"")</f>
        <v/>
      </c>
      <c r="K655" s="11">
        <f>IFERROR(INDEX('Уроки'!$J:$J,MATCH(F655,'Уроки'!$A:$A,0)),"")</f>
        <v/>
      </c>
      <c r="L655" s="11" t="inlineStr">
        <is>
          <t>Spotlight / 8 класс / Module 1 · Socialising / Comparatives &amp; Superlatives / Comparatives &amp; Superlatives: превосходная степень — the most</t>
        </is>
      </c>
    </row>
    <row r="656">
      <c r="A656" s="37" t="n">
        <v>8</v>
      </c>
      <c r="B656" s="11" t="inlineStr">
        <is>
          <t>Module 1 · Socialising</t>
        </is>
      </c>
      <c r="C656" s="11" t="inlineStr">
        <is>
          <t>1d</t>
        </is>
      </c>
      <c r="D656" s="11" t="inlineStr">
        <is>
          <t>Comparatives &amp; Superlatives</t>
        </is>
      </c>
      <c r="E656" s="35" t="inlineStr">
        <is>
          <t>Comparatives &amp; Superlatives: неправильные прилагательные (good, bad, many/much, little)</t>
        </is>
      </c>
      <c r="F656" s="11" t="inlineStr">
        <is>
          <t>Ст-446</t>
        </is>
      </c>
      <c r="G656" s="37" t="inlineStr">
        <is>
          <t>повторение</t>
        </is>
      </c>
      <c r="H656" s="11" t="inlineStr"/>
      <c r="I656" s="37" t="inlineStr">
        <is>
          <t>10+</t>
        </is>
      </c>
      <c r="J656" s="11">
        <f>IFERROR(INDEX('Уроки'!$H:$H,MATCH(F656,'Уроки'!$A:$A,0)),"")</f>
        <v/>
      </c>
      <c r="K656" s="11">
        <f>IFERROR(INDEX('Уроки'!$J:$J,MATCH(F656,'Уроки'!$A:$A,0)),"")</f>
        <v/>
      </c>
      <c r="L656" s="11" t="inlineStr">
        <is>
          <t>Spotlight / 8 класс / Module 1 · Socialising / Comparatives &amp; Superlatives / Comparatives &amp; Superlatives: неправильные прилагательные (good, bad, many/much, little)</t>
        </is>
      </c>
    </row>
    <row r="657">
      <c r="A657" s="37" t="n">
        <v>8</v>
      </c>
      <c r="B657" s="11" t="inlineStr">
        <is>
          <t>Module 1 · Socialising</t>
        </is>
      </c>
      <c r="C657" s="11" t="inlineStr">
        <is>
          <t>1d</t>
        </is>
      </c>
      <c r="D657" s="11" t="inlineStr">
        <is>
          <t>Comparatives &amp; Superlatives</t>
        </is>
      </c>
      <c r="E657" s="35" t="inlineStr">
        <is>
          <t>Comparatives &amp; Superlatives: прилагательные с двумя способами (clever, quiet, friendly…)</t>
        </is>
      </c>
      <c r="F657" s="11" t="inlineStr">
        <is>
          <t>Ст-448</t>
        </is>
      </c>
      <c r="G657" s="37" t="inlineStr">
        <is>
          <t>повторение</t>
        </is>
      </c>
      <c r="H657" s="11" t="inlineStr">
        <is>
          <t>clever, cruel, friendly, gentle, narrow, quiet, shallow, simple</t>
        </is>
      </c>
      <c r="I657" s="37" t="inlineStr">
        <is>
          <t>10+</t>
        </is>
      </c>
      <c r="J657" s="11">
        <f>IFERROR(INDEX('Уроки'!$H:$H,MATCH(F657,'Уроки'!$A:$A,0)),"")</f>
        <v/>
      </c>
      <c r="K657" s="11">
        <f>IFERROR(INDEX('Уроки'!$J:$J,MATCH(F657,'Уроки'!$A:$A,0)),"")</f>
        <v/>
      </c>
      <c r="L657" s="11" t="inlineStr">
        <is>
          <t>Spotlight / 8 класс / Module 1 · Socialising / Comparatives &amp; Superlatives / Comparatives &amp; Superlatives: прилагательные с двумя способами (clever, quiet, friendly…)</t>
        </is>
      </c>
    </row>
    <row r="658">
      <c r="A658" s="37" t="n">
        <v>8</v>
      </c>
      <c r="B658" s="11" t="inlineStr">
        <is>
          <t>Module 1 · Socialising</t>
        </is>
      </c>
      <c r="C658" s="11" t="inlineStr">
        <is>
          <t>1d</t>
        </is>
      </c>
      <c r="D658" s="11" t="inlineStr">
        <is>
          <t>Comparatives &amp; Superlatives</t>
        </is>
      </c>
      <c r="E658" s="35" t="inlineStr">
        <is>
          <t>Comparatives &amp; Superlatives: far — farther/further, old — elder/eldest</t>
        </is>
      </c>
      <c r="F658" s="11" t="inlineStr">
        <is>
          <t>Ст-449</t>
        </is>
      </c>
      <c r="G658" s="41" t="inlineStr">
        <is>
          <t>расширение</t>
        </is>
      </c>
      <c r="H658" s="11" t="inlineStr">
        <is>
          <t>farther — расстояние / further — время (further information); elder/eldest — члены семьи</t>
        </is>
      </c>
      <c r="I658" s="37" t="inlineStr">
        <is>
          <t>10+</t>
        </is>
      </c>
      <c r="J658" s="11">
        <f>IFERROR(INDEX('Уроки'!$H:$H,MATCH(F658,'Уроки'!$A:$A,0)),"")</f>
        <v/>
      </c>
      <c r="K658" s="11">
        <f>IFERROR(INDEX('Уроки'!$J:$J,MATCH(F658,'Уроки'!$A:$A,0)),"")</f>
        <v/>
      </c>
      <c r="L658" s="11" t="inlineStr">
        <is>
          <t>Spotlight / 8 класс / Module 1 · Socialising / Comparatives &amp; Superlatives / Comparatives &amp; Superlatives: far — farther/further, old — elder/eldest</t>
        </is>
      </c>
    </row>
    <row r="659">
      <c r="A659" s="37" t="n">
        <v>8</v>
      </c>
      <c r="B659" s="11" t="inlineStr">
        <is>
          <t>Module 1 · Socialising</t>
        </is>
      </c>
      <c r="C659" s="11" t="inlineStr">
        <is>
          <t>1d</t>
        </is>
      </c>
      <c r="D659" s="11" t="inlineStr">
        <is>
          <t>Comparatives &amp; Superlatives</t>
        </is>
      </c>
      <c r="E659" s="33" t="inlineStr">
        <is>
          <t>Comparatives &amp; Superlatives: наречия — -er/-est (hard, fast, early)</t>
        </is>
      </c>
      <c r="F659" s="11" t="inlineStr">
        <is>
          <t>Ст-450</t>
        </is>
      </c>
      <c r="G659" s="37" t="inlineStr">
        <is>
          <t>повторение</t>
        </is>
      </c>
      <c r="H659" s="11" t="inlineStr">
        <is>
          <t>hard, fast, early, late…</t>
        </is>
      </c>
      <c r="I659" s="37" t="inlineStr">
        <is>
          <t>10+</t>
        </is>
      </c>
      <c r="J659" s="11">
        <f>IFERROR(INDEX('Уроки'!$H:$H,MATCH(F659,'Уроки'!$A:$A,0)),"")</f>
        <v/>
      </c>
      <c r="K659" s="11">
        <f>IFERROR(INDEX('Уроки'!$J:$J,MATCH(F659,'Уроки'!$A:$A,0)),"")</f>
        <v/>
      </c>
      <c r="L659" s="11" t="inlineStr">
        <is>
          <t>Spotlight / 8 класс / Module 1 · Socialising / Comparatives &amp; Superlatives / Comparatives &amp; Superlatives: наречия — -er/-est (hard, fast, early)</t>
        </is>
      </c>
    </row>
    <row r="660">
      <c r="A660" s="37" t="n">
        <v>8</v>
      </c>
      <c r="B660" s="11" t="inlineStr">
        <is>
          <t>Module 1 · Socialising</t>
        </is>
      </c>
      <c r="C660" s="11" t="inlineStr">
        <is>
          <t>1d</t>
        </is>
      </c>
      <c r="D660" s="11" t="inlineStr">
        <is>
          <t>Comparatives &amp; Superlatives</t>
        </is>
      </c>
      <c r="E660" s="33" t="inlineStr">
        <is>
          <t>Comparatives &amp; Superlatives: наречия — more/most (slowly)</t>
        </is>
      </c>
      <c r="F660" s="11" t="inlineStr">
        <is>
          <t>Ст-451</t>
        </is>
      </c>
      <c r="G660" s="37" t="inlineStr">
        <is>
          <t>повторение</t>
        </is>
      </c>
      <c r="H660" s="11" t="inlineStr">
        <is>
          <t>quickly, slowly, easily</t>
        </is>
      </c>
      <c r="I660" s="37" t="inlineStr">
        <is>
          <t>10+</t>
        </is>
      </c>
      <c r="J660" s="11">
        <f>IFERROR(INDEX('Уроки'!$H:$H,MATCH(F660,'Уроки'!$A:$A,0)),"")</f>
        <v/>
      </c>
      <c r="K660" s="11">
        <f>IFERROR(INDEX('Уроки'!$J:$J,MATCH(F660,'Уроки'!$A:$A,0)),"")</f>
        <v/>
      </c>
      <c r="L660" s="11" t="inlineStr">
        <is>
          <t>Spotlight / 8 класс / Module 1 · Socialising / Comparatives &amp; Superlatives / Comparatives &amp; Superlatives: наречия — more/most (slowly)</t>
        </is>
      </c>
    </row>
    <row r="661">
      <c r="A661" s="37" t="n">
        <v>8</v>
      </c>
      <c r="B661" s="11" t="inlineStr">
        <is>
          <t>Module 1 · Socialising</t>
        </is>
      </c>
      <c r="C661" s="11" t="inlineStr">
        <is>
          <t>1d</t>
        </is>
      </c>
      <c r="D661" s="11" t="inlineStr">
        <is>
          <t>Comparatives &amp; Superlatives</t>
        </is>
      </c>
      <c r="E661" s="33" t="inlineStr">
        <is>
          <t>Comparatives &amp; Superlatives: неправильные наречия (well, badly)</t>
        </is>
      </c>
      <c r="F661" s="11" t="inlineStr">
        <is>
          <t>Ст-452</t>
        </is>
      </c>
      <c r="G661" s="37" t="inlineStr">
        <is>
          <t>повторение</t>
        </is>
      </c>
      <c r="H661" s="11" t="inlineStr"/>
      <c r="I661" s="37" t="inlineStr">
        <is>
          <t>10+</t>
        </is>
      </c>
      <c r="J661" s="11">
        <f>IFERROR(INDEX('Уроки'!$H:$H,MATCH(F661,'Уроки'!$A:$A,0)),"")</f>
        <v/>
      </c>
      <c r="K661" s="11">
        <f>IFERROR(INDEX('Уроки'!$J:$J,MATCH(F661,'Уроки'!$A:$A,0)),"")</f>
        <v/>
      </c>
      <c r="L661" s="11" t="inlineStr">
        <is>
          <t>Spotlight / 8 класс / Module 1 · Socialising / Comparatives &amp; Superlatives / Comparatives &amp; Superlatives: неправильные наречия (well, badly)</t>
        </is>
      </c>
    </row>
    <row r="662">
      <c r="A662" s="37" t="n">
        <v>8</v>
      </c>
      <c r="B662" s="11" t="inlineStr">
        <is>
          <t>Module 1 · Socialising</t>
        </is>
      </c>
      <c r="C662" s="11" t="inlineStr">
        <is>
          <t>1d</t>
        </is>
      </c>
      <c r="D662" s="11" t="inlineStr">
        <is>
          <t>Adverbs of degree</t>
        </is>
      </c>
      <c r="E662" s="33" t="inlineStr">
        <is>
          <t>Adverbs of degree: сильная степень — really, very, extremely</t>
        </is>
      </c>
      <c r="F662" s="11" t="inlineStr">
        <is>
          <t>Ст-470</t>
        </is>
      </c>
      <c r="G662" s="40" t="inlineStr">
        <is>
          <t>новое</t>
        </is>
      </c>
      <c r="H662" s="11" t="inlineStr">
        <is>
          <t>место — перед прил./нареч.; really, very, extremely</t>
        </is>
      </c>
      <c r="I662" s="37" t="inlineStr">
        <is>
          <t>10+</t>
        </is>
      </c>
      <c r="J662" s="11">
        <f>IFERROR(INDEX('Уроки'!$H:$H,MATCH(F662,'Уроки'!$A:$A,0)),"")</f>
        <v/>
      </c>
      <c r="K662" s="11">
        <f>IFERROR(INDEX('Уроки'!$J:$J,MATCH(F662,'Уроки'!$A:$A,0)),"")</f>
        <v/>
      </c>
      <c r="L662" s="11" t="inlineStr">
        <is>
          <t>Spotlight / 8 класс / Module 1 · Socialising / Adverbs of degree / Adverbs of degree: сильная степень — really, very, extremely</t>
        </is>
      </c>
    </row>
    <row r="663">
      <c r="A663" s="37" t="n">
        <v>8</v>
      </c>
      <c r="B663" s="11" t="inlineStr">
        <is>
          <t>Module 1 · Socialising</t>
        </is>
      </c>
      <c r="C663" s="11" t="inlineStr">
        <is>
          <t>1d</t>
        </is>
      </c>
      <c r="D663" s="11" t="inlineStr">
        <is>
          <t>Adverbs of degree</t>
        </is>
      </c>
      <c r="E663" s="33" t="inlineStr">
        <is>
          <t>Adverbs of degree: средняя степень — pretty, quite, rather</t>
        </is>
      </c>
      <c r="F663" s="11" t="inlineStr">
        <is>
          <t>Ст-471</t>
        </is>
      </c>
      <c r="G663" s="40" t="inlineStr">
        <is>
          <t>новое</t>
        </is>
      </c>
      <c r="H663" s="11" t="inlineStr">
        <is>
          <t>pretty, quite, rather</t>
        </is>
      </c>
      <c r="I663" s="37" t="inlineStr">
        <is>
          <t>10+</t>
        </is>
      </c>
      <c r="J663" s="11">
        <f>IFERROR(INDEX('Уроки'!$H:$H,MATCH(F663,'Уроки'!$A:$A,0)),"")</f>
        <v/>
      </c>
      <c r="K663" s="11">
        <f>IFERROR(INDEX('Уроки'!$J:$J,MATCH(F663,'Уроки'!$A:$A,0)),"")</f>
        <v/>
      </c>
      <c r="L663" s="11" t="inlineStr">
        <is>
          <t>Spotlight / 8 класс / Module 1 · Socialising / Adverbs of degree / Adverbs of degree: средняя степень — pretty, quite, rather</t>
        </is>
      </c>
    </row>
    <row r="664">
      <c r="A664" s="37" t="n">
        <v>8</v>
      </c>
      <c r="B664" s="11" t="inlineStr">
        <is>
          <t>Module 1 · Socialising</t>
        </is>
      </c>
      <c r="C664" s="11" t="inlineStr">
        <is>
          <t>1d</t>
        </is>
      </c>
      <c r="D664" s="11" t="inlineStr">
        <is>
          <t>Adverbs of degree</t>
        </is>
      </c>
      <c r="E664" s="33" t="inlineStr">
        <is>
          <t>Adverbs of degree: слабая степень — a little, a bit</t>
        </is>
      </c>
      <c r="F664" s="11" t="inlineStr">
        <is>
          <t>Ст-472</t>
        </is>
      </c>
      <c r="G664" s="40" t="inlineStr">
        <is>
          <t>новое</t>
        </is>
      </c>
      <c r="H664" s="11" t="inlineStr">
        <is>
          <t>a little, a bit</t>
        </is>
      </c>
      <c r="I664" s="37" t="inlineStr">
        <is>
          <t>10+</t>
        </is>
      </c>
      <c r="J664" s="11">
        <f>IFERROR(INDEX('Уроки'!$H:$H,MATCH(F664,'Уроки'!$A:$A,0)),"")</f>
        <v/>
      </c>
      <c r="K664" s="11">
        <f>IFERROR(INDEX('Уроки'!$J:$J,MATCH(F664,'Уроки'!$A:$A,0)),"")</f>
        <v/>
      </c>
      <c r="L664" s="11" t="inlineStr">
        <is>
          <t>Spotlight / 8 класс / Module 1 · Socialising / Adverbs of degree / Adverbs of degree: слабая степень — a little, a bit</t>
        </is>
      </c>
    </row>
    <row r="665">
      <c r="A665" s="37" t="n">
        <v>8</v>
      </c>
      <c r="B665" s="11" t="inlineStr">
        <is>
          <t>Module 1 · Socialising</t>
        </is>
      </c>
      <c r="C665" s="11" t="inlineStr">
        <is>
          <t>1f</t>
        </is>
      </c>
      <c r="D665" s="11" t="inlineStr">
        <is>
          <t>Phrasal verbs</t>
        </is>
      </c>
      <c r="E665" s="33" t="inlineStr">
        <is>
          <t>Phrasal verbs: get</t>
        </is>
      </c>
      <c r="F665" s="11" t="inlineStr">
        <is>
          <t>Ст-587</t>
        </is>
      </c>
      <c r="G665" s="40" t="inlineStr">
        <is>
          <t>новое</t>
        </is>
      </c>
      <c r="H665" s="11" t="inlineStr">
        <is>
          <t>get: get across (донести идеи до слушателя), get along with (ладить, поддерживать хорошие отношения), get somebody down (расстраивать), get over (поправиться, преодолеть), get over with (закончить, справиться).</t>
        </is>
      </c>
      <c r="I665" s="37" t="inlineStr">
        <is>
          <t>10+</t>
        </is>
      </c>
      <c r="J665" s="11">
        <f>IFERROR(INDEX('Уроки'!$H:$H,MATCH(F665,'Уроки'!$A:$A,0)),"")</f>
        <v/>
      </c>
      <c r="K665" s="11">
        <f>IFERROR(INDEX('Уроки'!$J:$J,MATCH(F665,'Уроки'!$A:$A,0)),"")</f>
        <v/>
      </c>
      <c r="L665" s="11" t="inlineStr">
        <is>
          <t>Spotlight / 8 класс / Module 1 · Socialising / Phrasal verbs / Phrasal verbs: get</t>
        </is>
      </c>
    </row>
    <row r="666">
      <c r="A666" s="37" t="n">
        <v>8</v>
      </c>
      <c r="B666" s="11" t="inlineStr">
        <is>
          <t>Module 1 · Socialising</t>
        </is>
      </c>
      <c r="C666" s="11" t="inlineStr">
        <is>
          <t>1f</t>
        </is>
      </c>
      <c r="D666" s="11" t="inlineStr">
        <is>
          <t>Word formation</t>
        </is>
      </c>
      <c r="E666" s="33" t="inlineStr">
        <is>
          <t>Word formation: -ful, -able</t>
        </is>
      </c>
      <c r="F666" s="11" t="inlineStr">
        <is>
          <t>Ст-615</t>
        </is>
      </c>
      <c r="G666" s="40" t="inlineStr">
        <is>
          <t>новое</t>
        </is>
      </c>
      <c r="H666" s="11" t="inlineStr">
        <is>
          <t>Образование прилагательных: -ful, -able.</t>
        </is>
      </c>
      <c r="I666" s="37" t="inlineStr">
        <is>
          <t>10+</t>
        </is>
      </c>
      <c r="J666" s="11">
        <f>IFERROR(INDEX('Уроки'!$H:$H,MATCH(F666,'Уроки'!$A:$A,0)),"")</f>
        <v/>
      </c>
      <c r="K666" s="11">
        <f>IFERROR(INDEX('Уроки'!$J:$J,MATCH(F666,'Уроки'!$A:$A,0)),"")</f>
        <v/>
      </c>
      <c r="L666" s="11" t="inlineStr">
        <is>
          <t>Spotlight / 8 класс / Module 1 · Socialising / Word formation / Word formation: -ful, -able</t>
        </is>
      </c>
    </row>
    <row r="667">
      <c r="A667" s="37" t="n">
        <v>8</v>
      </c>
      <c r="B667" s="11" t="inlineStr">
        <is>
          <t>Module 1 · Socialising</t>
        </is>
      </c>
      <c r="C667" s="11" t="inlineStr">
        <is>
          <t>1f</t>
        </is>
      </c>
      <c r="D667" s="11" t="inlineStr">
        <is>
          <t>Dependent prepositions</t>
        </is>
      </c>
      <c r="E667" s="35" t="inlineStr">
        <is>
          <t>Dependent prepositions</t>
        </is>
      </c>
      <c r="F667" s="11" t="inlineStr">
        <is>
          <t>Ст-633</t>
        </is>
      </c>
      <c r="G667" s="40" t="inlineStr">
        <is>
          <t>новое</t>
        </is>
      </c>
      <c r="H667" s="11" t="inlineStr">
        <is>
          <t>Предлоги (prepositions) — тема English in Use 1f.</t>
        </is>
      </c>
      <c r="I667" s="37" t="inlineStr">
        <is>
          <t>10+</t>
        </is>
      </c>
      <c r="J667" s="11">
        <f>IFERROR(INDEX('Уроки'!$H:$H,MATCH(F667,'Уроки'!$A:$A,0)),"")</f>
        <v/>
      </c>
      <c r="K667" s="11">
        <f>IFERROR(INDEX('Уроки'!$J:$J,MATCH(F667,'Уроки'!$A:$A,0)),"")</f>
        <v/>
      </c>
      <c r="L667" s="11" t="inlineStr">
        <is>
          <t>Spotlight / 8 класс / Module 1 · Socialising / Dependent prepositions / Dependent prepositions</t>
        </is>
      </c>
    </row>
    <row r="668">
      <c r="A668" s="37" t="n">
        <v>8</v>
      </c>
      <c r="B668" s="11" t="inlineStr">
        <is>
          <t>Module 2 · Food &amp; Shopping</t>
        </is>
      </c>
      <c r="C668" s="11" t="inlineStr">
        <is>
          <t>2c</t>
        </is>
      </c>
      <c r="D668" s="11" t="inlineStr">
        <is>
          <t>Present Perfect</t>
        </is>
      </c>
      <c r="E668" s="33" t="inlineStr">
        <is>
          <t>Present Perfect: утверждение (have/has + V3)</t>
        </is>
      </c>
      <c r="F668" s="11" t="inlineStr">
        <is>
          <t>Ст-062</t>
        </is>
      </c>
      <c r="G668" s="37" t="inlineStr">
        <is>
          <t>повторение</t>
        </is>
      </c>
      <c r="H668" s="11" t="inlineStr">
        <is>
          <t>have/has + V3</t>
        </is>
      </c>
      <c r="I668" s="37" t="inlineStr">
        <is>
          <t>10+</t>
        </is>
      </c>
      <c r="J668" s="11">
        <f>IFERROR(INDEX('Уроки'!$H:$H,MATCH(F668,'Уроки'!$A:$A,0)),"")</f>
        <v/>
      </c>
      <c r="K668" s="11">
        <f>IFERROR(INDEX('Уроки'!$J:$J,MATCH(F668,'Уроки'!$A:$A,0)),"")</f>
        <v/>
      </c>
      <c r="L668" s="11" t="inlineStr">
        <is>
          <t>Spotlight / 8 класс / Module 2 · Food &amp; Shopping / Present Perfect / Present Perfect: утверждение (have/has + V3)</t>
        </is>
      </c>
    </row>
    <row r="669">
      <c r="A669" s="37" t="n">
        <v>8</v>
      </c>
      <c r="B669" s="11" t="inlineStr">
        <is>
          <t>Module 2 · Food &amp; Shopping</t>
        </is>
      </c>
      <c r="C669" s="11" t="inlineStr">
        <is>
          <t>2c</t>
        </is>
      </c>
      <c r="D669" s="11" t="inlineStr">
        <is>
          <t>Present Perfect</t>
        </is>
      </c>
      <c r="E669" s="34" t="inlineStr">
        <is>
          <t>Present Perfect: V3 правильных глаголов (-ed, орфография)</t>
        </is>
      </c>
      <c r="F669" s="11" t="inlineStr">
        <is>
          <t>Ст-065</t>
        </is>
      </c>
      <c r="G669" s="37" t="inlineStr">
        <is>
          <t>повторение</t>
        </is>
      </c>
      <c r="H669" s="11" t="inlineStr">
        <is>
          <t>explain – explained</t>
        </is>
      </c>
      <c r="I669" s="37" t="inlineStr">
        <is>
          <t>10+</t>
        </is>
      </c>
      <c r="J669" s="11">
        <f>IFERROR(INDEX('Уроки'!$H:$H,MATCH(F669,'Уроки'!$A:$A,0)),"")</f>
        <v/>
      </c>
      <c r="K669" s="11">
        <f>IFERROR(INDEX('Уроки'!$J:$J,MATCH(F669,'Уроки'!$A:$A,0)),"")</f>
        <v/>
      </c>
      <c r="L669" s="11" t="inlineStr">
        <is>
          <t>Spotlight / 8 класс / Module 2 · Food &amp; Shopping / Present Perfect / Present Perfect: V3 правильных глаголов (-ed, орфография)</t>
        </is>
      </c>
    </row>
    <row r="670">
      <c r="A670" s="37" t="n">
        <v>8</v>
      </c>
      <c r="B670" s="11" t="inlineStr">
        <is>
          <t>Module 2 · Food &amp; Shopping</t>
        </is>
      </c>
      <c r="C670" s="11" t="inlineStr">
        <is>
          <t>2c</t>
        </is>
      </c>
      <c r="D670" s="11" t="inlineStr">
        <is>
          <t>Present Perfect</t>
        </is>
      </c>
      <c r="E670" s="33" t="inlineStr">
        <is>
          <t>Present Perfect: значение — жизненный опыт, перемены (ever/never)</t>
        </is>
      </c>
      <c r="F670" s="11" t="inlineStr">
        <is>
          <t>Ст-067</t>
        </is>
      </c>
      <c r="G670" s="41" t="inlineStr">
        <is>
          <t>расширение</t>
        </is>
      </c>
      <c r="H670" s="11" t="inlineStr">
        <is>
          <t>добавлены перемены</t>
        </is>
      </c>
      <c r="I670" s="37" t="inlineStr">
        <is>
          <t>10+</t>
        </is>
      </c>
      <c r="J670" s="11">
        <f>IFERROR(INDEX('Уроки'!$H:$H,MATCH(F670,'Уроки'!$A:$A,0)),"")</f>
        <v/>
      </c>
      <c r="K670" s="11">
        <f>IFERROR(INDEX('Уроки'!$J:$J,MATCH(F670,'Уроки'!$A:$A,0)),"")</f>
        <v/>
      </c>
      <c r="L670" s="11" t="inlineStr">
        <is>
          <t>Spotlight / 8 класс / Module 2 · Food &amp; Shopping / Present Perfect / Present Perfect: значение — жизненный опыт, перемены (ever/never)</t>
        </is>
      </c>
    </row>
    <row r="671">
      <c r="A671" s="37" t="n">
        <v>8</v>
      </c>
      <c r="B671" s="11" t="inlineStr">
        <is>
          <t>Module 2 · Food &amp; Shopping</t>
        </is>
      </c>
      <c r="C671" s="11" t="inlineStr">
        <is>
          <t>2c</t>
        </is>
      </c>
      <c r="D671" s="11" t="inlineStr">
        <is>
          <t>Present Perfect</t>
        </is>
      </c>
      <c r="E671" s="33" t="inlineStr">
        <is>
          <t>Present Perfect: значение — результат в настоящем</t>
        </is>
      </c>
      <c r="F671" s="11" t="inlineStr">
        <is>
          <t>Ст-068</t>
        </is>
      </c>
      <c r="G671" s="37" t="inlineStr">
        <is>
          <t>повторение</t>
        </is>
      </c>
      <c r="H671" s="11" t="inlineStr">
        <is>
          <t>Tina has cut her hair</t>
        </is>
      </c>
      <c r="I671" s="37" t="inlineStr">
        <is>
          <t>10+</t>
        </is>
      </c>
      <c r="J671" s="11">
        <f>IFERROR(INDEX('Уроки'!$H:$H,MATCH(F671,'Уроки'!$A:$A,0)),"")</f>
        <v/>
      </c>
      <c r="K671" s="11">
        <f>IFERROR(INDEX('Уроки'!$J:$J,MATCH(F671,'Уроки'!$A:$A,0)),"")</f>
        <v/>
      </c>
      <c r="L671" s="11" t="inlineStr">
        <is>
          <t>Spotlight / 8 класс / Module 2 · Food &amp; Shopping / Present Perfect / Present Perfect: значение — результат в настоящем</t>
        </is>
      </c>
    </row>
    <row r="672">
      <c r="A672" s="37" t="n">
        <v>8</v>
      </c>
      <c r="B672" s="11" t="inlineStr">
        <is>
          <t>Module 2 · Food &amp; Shopping</t>
        </is>
      </c>
      <c r="C672" s="11" t="inlineStr">
        <is>
          <t>2c</t>
        </is>
      </c>
      <c r="D672" s="11" t="inlineStr">
        <is>
          <t>Present Perfect</t>
        </is>
      </c>
      <c r="E672" s="33" t="inlineStr">
        <is>
          <t>Present Perfect: значение — недавно завершённое действие (just)</t>
        </is>
      </c>
      <c r="F672" s="11" t="inlineStr">
        <is>
          <t>Ст-069</t>
        </is>
      </c>
      <c r="G672" s="40" t="inlineStr">
        <is>
          <t>новое</t>
        </is>
      </c>
      <c r="H672" s="11" t="inlineStr"/>
      <c r="I672" s="37" t="inlineStr">
        <is>
          <t>10+</t>
        </is>
      </c>
      <c r="J672" s="11">
        <f>IFERROR(INDEX('Уроки'!$H:$H,MATCH(F672,'Уроки'!$A:$A,0)),"")</f>
        <v/>
      </c>
      <c r="K672" s="11">
        <f>IFERROR(INDEX('Уроки'!$J:$J,MATCH(F672,'Уроки'!$A:$A,0)),"")</f>
        <v/>
      </c>
      <c r="L672" s="11" t="inlineStr">
        <is>
          <t>Spotlight / 8 класс / Module 2 · Food &amp; Shopping / Present Perfect / Present Perfect: значение — недавно завершённое действие (just)</t>
        </is>
      </c>
    </row>
    <row r="673">
      <c r="A673" s="37" t="n">
        <v>8</v>
      </c>
      <c r="B673" s="11" t="inlineStr">
        <is>
          <t>Module 2 · Food &amp; Shopping</t>
        </is>
      </c>
      <c r="C673" s="11" t="inlineStr">
        <is>
          <t>2c</t>
        </is>
      </c>
      <c r="D673" s="11" t="inlineStr">
        <is>
          <t>Present Perfect</t>
        </is>
      </c>
      <c r="E673" s="33" t="inlineStr">
        <is>
          <t>Present Perfect: значение — с прошлого до настоящего (stative verbs, for/since)</t>
        </is>
      </c>
      <c r="F673" s="11" t="inlineStr">
        <is>
          <t>Ст-071</t>
        </is>
      </c>
      <c r="G673" s="37" t="inlineStr">
        <is>
          <t>повторение</t>
        </is>
      </c>
      <c r="H673" s="11" t="inlineStr">
        <is>
          <t>в основном stative verbs</t>
        </is>
      </c>
      <c r="I673" s="37" t="inlineStr">
        <is>
          <t>10+</t>
        </is>
      </c>
      <c r="J673" s="11">
        <f>IFERROR(INDEX('Уроки'!$H:$H,MATCH(F673,'Уроки'!$A:$A,0)),"")</f>
        <v/>
      </c>
      <c r="K673" s="11">
        <f>IFERROR(INDEX('Уроки'!$J:$J,MATCH(F673,'Уроки'!$A:$A,0)),"")</f>
        <v/>
      </c>
      <c r="L673" s="11" t="inlineStr">
        <is>
          <t>Spotlight / 8 класс / Module 2 · Food &amp; Shopping / Present Perfect / Present Perfect: значение — с прошлого до настоящего (stative verbs, for/since)</t>
        </is>
      </c>
    </row>
    <row r="674">
      <c r="A674" s="37" t="n">
        <v>8</v>
      </c>
      <c r="B674" s="11" t="inlineStr">
        <is>
          <t>Module 2 · Food &amp; Shopping</t>
        </is>
      </c>
      <c r="C674" s="11" t="inlineStr">
        <is>
          <t>2c</t>
        </is>
      </c>
      <c r="D674" s="11" t="inlineStr">
        <is>
          <t>Present Perfect</t>
        </is>
      </c>
      <c r="E674" s="34" t="inlineStr">
        <is>
          <t>Present Perfect: значение — незаконченный период (today, this week, so far)</t>
        </is>
      </c>
      <c r="F674" s="11" t="inlineStr">
        <is>
          <t>Ст-072</t>
        </is>
      </c>
      <c r="G674" s="40" t="inlineStr">
        <is>
          <t>новое</t>
        </is>
      </c>
      <c r="H674" s="11" t="inlineStr">
        <is>
          <t>today, this morning/week, so far</t>
        </is>
      </c>
      <c r="I674" s="37" t="inlineStr">
        <is>
          <t>10+</t>
        </is>
      </c>
      <c r="J674" s="11">
        <f>IFERROR(INDEX('Уроки'!$H:$H,MATCH(F674,'Уроки'!$A:$A,0)),"")</f>
        <v/>
      </c>
      <c r="K674" s="11">
        <f>IFERROR(INDEX('Уроки'!$J:$J,MATCH(F674,'Уроки'!$A:$A,0)),"")</f>
        <v/>
      </c>
      <c r="L674" s="11" t="inlineStr">
        <is>
          <t>Spotlight / 8 класс / Module 2 · Food &amp; Shopping / Present Perfect / Present Perfect: значение — незаконченный период (today, this week, so far)</t>
        </is>
      </c>
    </row>
    <row r="675">
      <c r="A675" s="37" t="n">
        <v>8</v>
      </c>
      <c r="B675" s="11" t="inlineStr">
        <is>
          <t>Module 2 · Food &amp; Shopping</t>
        </is>
      </c>
      <c r="C675" s="11" t="inlineStr">
        <is>
          <t>2c</t>
        </is>
      </c>
      <c r="D675" s="11" t="inlineStr">
        <is>
          <t>Present Perfect</t>
        </is>
      </c>
      <c r="E675" s="33" t="inlineStr">
        <is>
          <t>Present Perfect: слова-маркеры already / yet / just / ever / never</t>
        </is>
      </c>
      <c r="F675" s="11" t="inlineStr">
        <is>
          <t>Ст-074</t>
        </is>
      </c>
      <c r="G675" s="37" t="inlineStr">
        <is>
          <t>повторение</t>
        </is>
      </c>
      <c r="H675" s="11" t="inlineStr">
        <is>
          <t>just, already, yet, ever, never, for, since</t>
        </is>
      </c>
      <c r="I675" s="37" t="inlineStr">
        <is>
          <t>10+</t>
        </is>
      </c>
      <c r="J675" s="11">
        <f>IFERROR(INDEX('Уроки'!$H:$H,MATCH(F675,'Уроки'!$A:$A,0)),"")</f>
        <v/>
      </c>
      <c r="K675" s="11">
        <f>IFERROR(INDEX('Уроки'!$J:$J,MATCH(F675,'Уроки'!$A:$A,0)),"")</f>
        <v/>
      </c>
      <c r="L675" s="11" t="inlineStr">
        <is>
          <t>Spotlight / 8 класс / Module 2 · Food &amp; Shopping / Present Perfect / Present Perfect: слова-маркеры already / yet / just / ever / never</t>
        </is>
      </c>
    </row>
    <row r="676">
      <c r="A676" s="37" t="n">
        <v>8</v>
      </c>
      <c r="B676" s="11" t="inlineStr">
        <is>
          <t>Module 2 · Food &amp; Shopping</t>
        </is>
      </c>
      <c r="C676" s="11" t="inlineStr">
        <is>
          <t>2c</t>
        </is>
      </c>
      <c r="D676" s="11" t="inlineStr">
        <is>
          <t>Present Perfect Continuous</t>
        </is>
      </c>
      <c r="E676" s="33" t="inlineStr">
        <is>
          <t>Present Perfect Continuous: образование (have/has been + V-ing)</t>
        </is>
      </c>
      <c r="F676" s="11" t="inlineStr">
        <is>
          <t>Ст-095</t>
        </is>
      </c>
      <c r="G676" s="40" t="inlineStr">
        <is>
          <t>новое</t>
        </is>
      </c>
      <c r="H676" s="11" t="inlineStr">
        <is>
          <t>have/has + been + V-ing</t>
        </is>
      </c>
      <c r="I676" s="37" t="inlineStr">
        <is>
          <t>10+</t>
        </is>
      </c>
      <c r="J676" s="11">
        <f>IFERROR(INDEX('Уроки'!$H:$H,MATCH(F676,'Уроки'!$A:$A,0)),"")</f>
        <v/>
      </c>
      <c r="K676" s="11">
        <f>IFERROR(INDEX('Уроки'!$J:$J,MATCH(F676,'Уроки'!$A:$A,0)),"")</f>
        <v/>
      </c>
      <c r="L676" s="11" t="inlineStr">
        <is>
          <t>Spotlight / 8 класс / Module 2 · Food &amp; Shopping / Present Perfect Continuous / Present Perfect Continuous: образование (have/has been + V-ing)</t>
        </is>
      </c>
    </row>
    <row r="677">
      <c r="A677" s="37" t="n">
        <v>8</v>
      </c>
      <c r="B677" s="11" t="inlineStr">
        <is>
          <t>Module 2 · Food &amp; Shopping</t>
        </is>
      </c>
      <c r="C677" s="11" t="inlineStr">
        <is>
          <t>2c</t>
        </is>
      </c>
      <c r="D677" s="11" t="inlineStr">
        <is>
          <t>Present Perfect Continuous</t>
        </is>
      </c>
      <c r="E677" s="33" t="inlineStr">
        <is>
          <t>Present Perfect Continuous: значение — длительность до настоящего (since/for/how long)</t>
        </is>
      </c>
      <c r="F677" s="11" t="inlineStr">
        <is>
          <t>Ст-096</t>
        </is>
      </c>
      <c r="G677" s="37" t="inlineStr">
        <is>
          <t>повторение</t>
        </is>
      </c>
      <c r="H677" s="11" t="inlineStr">
        <is>
          <t>since, for, how long</t>
        </is>
      </c>
      <c r="I677" s="37" t="inlineStr">
        <is>
          <t>10+</t>
        </is>
      </c>
      <c r="J677" s="11">
        <f>IFERROR(INDEX('Уроки'!$H:$H,MATCH(F677,'Уроки'!$A:$A,0)),"")</f>
        <v/>
      </c>
      <c r="K677" s="11">
        <f>IFERROR(INDEX('Уроки'!$J:$J,MATCH(F677,'Уроки'!$A:$A,0)),"")</f>
        <v/>
      </c>
      <c r="L677" s="11" t="inlineStr">
        <is>
          <t>Spotlight / 8 класс / Module 2 · Food &amp; Shopping / Present Perfect Continuous / Present Perfect Continuous: значение — длительность до настоящего (since/for/how long)</t>
        </is>
      </c>
    </row>
    <row r="678">
      <c r="A678" s="37" t="n">
        <v>8</v>
      </c>
      <c r="B678" s="11" t="inlineStr">
        <is>
          <t>Module 2 · Food &amp; Shopping</t>
        </is>
      </c>
      <c r="C678" s="11" t="inlineStr">
        <is>
          <t>2c</t>
        </is>
      </c>
      <c r="D678" s="11" t="inlineStr">
        <is>
          <t>Present Perfect Continuous</t>
        </is>
      </c>
      <c r="E678" s="33" t="inlineStr">
        <is>
          <t>Present Perfect Continuous: значение — видимый результат длительного действия</t>
        </is>
      </c>
      <c r="F678" s="11" t="inlineStr">
        <is>
          <t>Ст-097</t>
        </is>
      </c>
      <c r="G678" s="37" t="inlineStr">
        <is>
          <t>повторение</t>
        </is>
      </c>
      <c r="H678" s="11" t="inlineStr">
        <is>
          <t>clothes are dirty — repairing his car</t>
        </is>
      </c>
      <c r="I678" s="37" t="inlineStr">
        <is>
          <t>10+</t>
        </is>
      </c>
      <c r="J678" s="11">
        <f>IFERROR(INDEX('Уроки'!$H:$H,MATCH(F678,'Уроки'!$A:$A,0)),"")</f>
        <v/>
      </c>
      <c r="K678" s="11">
        <f>IFERROR(INDEX('Уроки'!$J:$J,MATCH(F678,'Уроки'!$A:$A,0)),"")</f>
        <v/>
      </c>
      <c r="L678" s="11" t="inlineStr">
        <is>
          <t>Spotlight / 8 класс / Module 2 · Food &amp; Shopping / Present Perfect Continuous / Present Perfect Continuous: значение — видимый результат длительного действия</t>
        </is>
      </c>
    </row>
    <row r="679">
      <c r="A679" s="37" t="n">
        <v>8</v>
      </c>
      <c r="B679" s="11" t="inlineStr">
        <is>
          <t>Module 2 · Food &amp; Shopping</t>
        </is>
      </c>
      <c r="C679" s="11" t="inlineStr">
        <is>
          <t>2c</t>
        </is>
      </c>
      <c r="D679" s="11" t="inlineStr">
        <is>
          <t>Present Perfect vs Past Simple</t>
        </is>
      </c>
      <c r="E679" s="33" t="inlineStr">
        <is>
          <t>Present Perfect vs Past Simple: указанное время vs неуказанное время</t>
        </is>
      </c>
      <c r="F679" s="11" t="inlineStr">
        <is>
          <t>Ст-101</t>
        </is>
      </c>
      <c r="G679" s="37" t="inlineStr">
        <is>
          <t>повторение</t>
        </is>
      </c>
      <c r="H679" s="11" t="inlineStr">
        <is>
          <t>Chris went jogging yesterday vs They have bought a new car</t>
        </is>
      </c>
      <c r="I679" s="37" t="inlineStr">
        <is>
          <t>10+</t>
        </is>
      </c>
      <c r="J679" s="11">
        <f>IFERROR(INDEX('Уроки'!$H:$H,MATCH(F679,'Уроки'!$A:$A,0)),"")</f>
        <v/>
      </c>
      <c r="K679" s="11">
        <f>IFERROR(INDEX('Уроки'!$J:$J,MATCH(F679,'Уроки'!$A:$A,0)),"")</f>
        <v/>
      </c>
      <c r="L679" s="11" t="inlineStr">
        <is>
          <t>Spotlight / 8 класс / Module 2 · Food &amp; Shopping / Present Perfect vs Past Simple / Present Perfect vs Past Simple: указанное время vs неуказанное время</t>
        </is>
      </c>
    </row>
    <row r="680">
      <c r="A680" s="37" t="n">
        <v>8</v>
      </c>
      <c r="B680" s="11" t="inlineStr">
        <is>
          <t>Module 2 · Food &amp; Shopping</t>
        </is>
      </c>
      <c r="C680" s="11" t="inlineStr">
        <is>
          <t>2c</t>
        </is>
      </c>
      <c r="D680" s="11" t="inlineStr">
        <is>
          <t>Present Perfect vs Past Simple</t>
        </is>
      </c>
      <c r="E680" s="35" t="inlineStr">
        <is>
          <t>Present Perfect vs Past Simple: закончилось в прошлом vs длится до сих пор</t>
        </is>
      </c>
      <c r="F680" s="11" t="inlineStr">
        <is>
          <t>Ст-102</t>
        </is>
      </c>
      <c r="G680" s="37" t="inlineStr">
        <is>
          <t>повторение</t>
        </is>
      </c>
      <c r="H680" s="11" t="inlineStr">
        <is>
          <t>finished in an hour vs has lived here for ten years</t>
        </is>
      </c>
      <c r="I680" s="37" t="inlineStr">
        <is>
          <t>10+</t>
        </is>
      </c>
      <c r="J680" s="11">
        <f>IFERROR(INDEX('Уроки'!$H:$H,MATCH(F680,'Уроки'!$A:$A,0)),"")</f>
        <v/>
      </c>
      <c r="K680" s="11">
        <f>IFERROR(INDEX('Уроки'!$J:$J,MATCH(F680,'Уроки'!$A:$A,0)),"")</f>
        <v/>
      </c>
      <c r="L680" s="11" t="inlineStr">
        <is>
          <t>Spotlight / 8 класс / Module 2 · Food &amp; Shopping / Present Perfect vs Past Simple / Present Perfect vs Past Simple: закончилось в прошлом vs длится до сих пор</t>
        </is>
      </c>
    </row>
    <row r="681">
      <c r="A681" s="37" t="n">
        <v>8</v>
      </c>
      <c r="B681" s="11" t="inlineStr">
        <is>
          <t>Module 2 · Food &amp; Shopping</t>
        </is>
      </c>
      <c r="C681" s="11" t="inlineStr">
        <is>
          <t>2c</t>
        </is>
      </c>
      <c r="D681" s="11" t="inlineStr">
        <is>
          <t>have gone to / have been to / have been in</t>
        </is>
      </c>
      <c r="E681" s="35" t="inlineStr">
        <is>
          <t>have gone to vs have been to: уехал и не вернулся vs побывал</t>
        </is>
      </c>
      <c r="F681" s="11" t="inlineStr">
        <is>
          <t>Ст-114</t>
        </is>
      </c>
      <c r="G681" s="40" t="inlineStr">
        <is>
          <t>новое</t>
        </is>
      </c>
      <c r="H681" s="11" t="inlineStr"/>
      <c r="I681" s="37" t="inlineStr">
        <is>
          <t>10+</t>
        </is>
      </c>
      <c r="J681" s="11">
        <f>IFERROR(INDEX('Уроки'!$H:$H,MATCH(F681,'Уроки'!$A:$A,0)),"")</f>
        <v/>
      </c>
      <c r="K681" s="11">
        <f>IFERROR(INDEX('Уроки'!$J:$J,MATCH(F681,'Уроки'!$A:$A,0)),"")</f>
        <v/>
      </c>
      <c r="L681" s="11" t="inlineStr">
        <is>
          <t>Spotlight / 8 класс / Module 2 · Food &amp; Shopping / have gone to / have been to / have been in / have gone to vs have been to: уехал и не вернулся vs побывал</t>
        </is>
      </c>
    </row>
    <row r="682">
      <c r="A682" s="37" t="n">
        <v>8</v>
      </c>
      <c r="B682" s="11" t="inlineStr">
        <is>
          <t>Module 2 · Food &amp; Shopping</t>
        </is>
      </c>
      <c r="C682" s="11" t="inlineStr">
        <is>
          <t>2c</t>
        </is>
      </c>
      <c r="D682" s="11" t="inlineStr">
        <is>
          <t>have gone to / have been to / have been in</t>
        </is>
      </c>
      <c r="E682" s="35" t="inlineStr">
        <is>
          <t>have been in: находится там (в течение периода)</t>
        </is>
      </c>
      <c r="F682" s="11" t="inlineStr">
        <is>
          <t>Ст-115</t>
        </is>
      </c>
      <c r="G682" s="40" t="inlineStr">
        <is>
          <t>новое</t>
        </is>
      </c>
      <c r="H682" s="11" t="inlineStr"/>
      <c r="I682" s="37" t="inlineStr">
        <is>
          <t>10+</t>
        </is>
      </c>
      <c r="J682" s="11">
        <f>IFERROR(INDEX('Уроки'!$H:$H,MATCH(F682,'Уроки'!$A:$A,0)),"")</f>
        <v/>
      </c>
      <c r="K682" s="11">
        <f>IFERROR(INDEX('Уроки'!$J:$J,MATCH(F682,'Уроки'!$A:$A,0)),"")</f>
        <v/>
      </c>
      <c r="L682" s="11" t="inlineStr">
        <is>
          <t>Spotlight / 8 класс / Module 2 · Food &amp; Shopping / have gone to / have been to / have been in / have been in: находится там (в течение периода)</t>
        </is>
      </c>
    </row>
    <row r="683">
      <c r="A683" s="37" t="n">
        <v>8</v>
      </c>
      <c r="B683" s="11" t="inlineStr">
        <is>
          <t>Module 2 · Food &amp; Shopping</t>
        </is>
      </c>
      <c r="C683" s="11" t="inlineStr">
        <is>
          <t>2d</t>
        </is>
      </c>
      <c r="D683" s="11" t="inlineStr">
        <is>
          <t>Countable / Uncountable nouns</t>
        </is>
      </c>
      <c r="E683" s="33" t="inlineStr">
        <is>
          <t>Countable / Uncountable: различие исчисляемых и неисчисляемых</t>
        </is>
      </c>
      <c r="F683" s="11" t="inlineStr">
        <is>
          <t>Ст-323</t>
        </is>
      </c>
      <c r="G683" s="37" t="inlineStr">
        <is>
          <t>повторение</t>
        </is>
      </c>
      <c r="H683" s="11" t="inlineStr">
        <is>
          <t>1 child, 2 children / sugar, heat</t>
        </is>
      </c>
      <c r="I683" s="37" t="inlineStr">
        <is>
          <t>10+</t>
        </is>
      </c>
      <c r="J683" s="11">
        <f>IFERROR(INDEX('Уроки'!$H:$H,MATCH(F683,'Уроки'!$A:$A,0)),"")</f>
        <v/>
      </c>
      <c r="K683" s="11">
        <f>IFERROR(INDEX('Уроки'!$J:$J,MATCH(F683,'Уроки'!$A:$A,0)),"")</f>
        <v/>
      </c>
      <c r="L683" s="11" t="inlineStr">
        <is>
          <t>Spotlight / 8 класс / Module 2 · Food &amp; Shopping / Countable / Uncountable nouns / Countable / Uncountable: различие исчисляемых и неисчисляемых</t>
        </is>
      </c>
    </row>
    <row r="684">
      <c r="A684" s="37" t="n">
        <v>8</v>
      </c>
      <c r="B684" s="11" t="inlineStr">
        <is>
          <t>Module 2 · Food &amp; Shopping</t>
        </is>
      </c>
      <c r="C684" s="11" t="inlineStr">
        <is>
          <t>2d</t>
        </is>
      </c>
      <c r="D684" s="11" t="inlineStr">
        <is>
          <t>Countable / Uncountable nouns</t>
        </is>
      </c>
      <c r="E684" s="33" t="inlineStr">
        <is>
          <t>Countable / Uncountable: неисчисляемые — еда и жидкости</t>
        </is>
      </c>
      <c r="F684" s="11" t="inlineStr">
        <is>
          <t>Ст-324</t>
        </is>
      </c>
      <c r="G684" s="41" t="inlineStr">
        <is>
          <t>расширение</t>
        </is>
      </c>
      <c r="H684" s="11" t="inlineStr">
        <is>
          <t>вещества: lemonade, blood, butter, oxygen</t>
        </is>
      </c>
      <c r="I684" s="37" t="inlineStr">
        <is>
          <t>10+</t>
        </is>
      </c>
      <c r="J684" s="11">
        <f>IFERROR(INDEX('Уроки'!$H:$H,MATCH(F684,'Уроки'!$A:$A,0)),"")</f>
        <v/>
      </c>
      <c r="K684" s="11">
        <f>IFERROR(INDEX('Уроки'!$J:$J,MATCH(F684,'Уроки'!$A:$A,0)),"")</f>
        <v/>
      </c>
      <c r="L684" s="11" t="inlineStr">
        <is>
          <t>Spotlight / 8 класс / Module 2 · Food &amp; Shopping / Countable / Uncountable nouns / Countable / Uncountable: неисчисляемые — еда и жидкости</t>
        </is>
      </c>
    </row>
    <row r="685">
      <c r="A685" s="37" t="n">
        <v>8</v>
      </c>
      <c r="B685" s="11" t="inlineStr">
        <is>
          <t>Module 2 · Food &amp; Shopping</t>
        </is>
      </c>
      <c r="C685" s="11" t="inlineStr">
        <is>
          <t>2d</t>
        </is>
      </c>
      <c r="D685" s="11" t="inlineStr">
        <is>
          <t>Countable / Uncountable nouns</t>
        </is>
      </c>
      <c r="E685" s="33" t="inlineStr">
        <is>
          <t>Countable / Uncountable: неисчисляемые без a/an, глагол в ед. ч.</t>
        </is>
      </c>
      <c r="F685" s="11" t="inlineStr">
        <is>
          <t>Ст-330</t>
        </is>
      </c>
      <c r="G685" s="40" t="inlineStr">
        <is>
          <t>новое</t>
        </is>
      </c>
      <c r="H685" s="11" t="inlineStr"/>
      <c r="I685" s="37" t="inlineStr">
        <is>
          <t>10+</t>
        </is>
      </c>
      <c r="J685" s="11">
        <f>IFERROR(INDEX('Уроки'!$H:$H,MATCH(F685,'Уроки'!$A:$A,0)),"")</f>
        <v/>
      </c>
      <c r="K685" s="11">
        <f>IFERROR(INDEX('Уроки'!$J:$J,MATCH(F685,'Уроки'!$A:$A,0)),"")</f>
        <v/>
      </c>
      <c r="L685" s="11" t="inlineStr">
        <is>
          <t>Spotlight / 8 класс / Module 2 · Food &amp; Shopping / Countable / Uncountable nouns / Countable / Uncountable: неисчисляемые без a/an, глагол в ед. ч.</t>
        </is>
      </c>
    </row>
    <row r="686">
      <c r="A686" s="37" t="n">
        <v>8</v>
      </c>
      <c r="B686" s="11" t="inlineStr">
        <is>
          <t>Module 2 · Food &amp; Shopping</t>
        </is>
      </c>
      <c r="C686" s="11" t="inlineStr">
        <is>
          <t>2d</t>
        </is>
      </c>
      <c r="D686" s="11" t="inlineStr">
        <is>
          <t>Countable / Uncountable nouns</t>
        </is>
      </c>
      <c r="E686" s="35" t="inlineStr">
        <is>
          <t>Countable / Uncountable: группы неисчисляемых — предметы, языки, игры, болезни, явления природы</t>
        </is>
      </c>
      <c r="F686" s="11" t="inlineStr">
        <is>
          <t>Ст-332</t>
        </is>
      </c>
      <c r="G686" s="40" t="inlineStr">
        <is>
          <t>новое</t>
        </is>
      </c>
      <c r="H686" s="11" t="inlineStr">
        <is>
          <t>maths, chemistry; языки; baseball, darts; flu, measles; fog, snow</t>
        </is>
      </c>
      <c r="I686" s="37" t="inlineStr">
        <is>
          <t>10+</t>
        </is>
      </c>
      <c r="J686" s="11">
        <f>IFERROR(INDEX('Уроки'!$H:$H,MATCH(F686,'Уроки'!$A:$A,0)),"")</f>
        <v/>
      </c>
      <c r="K686" s="11">
        <f>IFERROR(INDEX('Уроки'!$J:$J,MATCH(F686,'Уроки'!$A:$A,0)),"")</f>
        <v/>
      </c>
      <c r="L686" s="11" t="inlineStr">
        <is>
          <t>Spotlight / 8 класс / Module 2 · Food &amp; Shopping / Countable / Uncountable nouns / Countable / Uncountable: группы неисчисляемых — предметы, языки, игры, болезни, явления природы</t>
        </is>
      </c>
    </row>
    <row r="687">
      <c r="A687" s="37" t="n">
        <v>8</v>
      </c>
      <c r="B687" s="11" t="inlineStr">
        <is>
          <t>Module 2 · Food &amp; Shopping</t>
        </is>
      </c>
      <c r="C687" s="11" t="inlineStr">
        <is>
          <t>2d</t>
        </is>
      </c>
      <c r="D687" s="11" t="inlineStr">
        <is>
          <t>Countable / Uncountable nouns</t>
        </is>
      </c>
      <c r="E687" s="35" t="inlineStr">
        <is>
          <t>Countable / Uncountable: «ловушки» — advice, information, news, furniture, luggage, money</t>
        </is>
      </c>
      <c r="F687" s="11" t="inlineStr">
        <is>
          <t>Ст-333</t>
        </is>
      </c>
      <c r="G687" s="40" t="inlineStr">
        <is>
          <t>новое</t>
        </is>
      </c>
      <c r="H687" s="11" t="inlineStr">
        <is>
          <t>advice, knowledge, progress, information, news, work; baggage, furniture, luggage, money…</t>
        </is>
      </c>
      <c r="I687" s="37" t="inlineStr">
        <is>
          <t>10+</t>
        </is>
      </c>
      <c r="J687" s="11">
        <f>IFERROR(INDEX('Уроки'!$H:$H,MATCH(F687,'Уроки'!$A:$A,0)),"")</f>
        <v/>
      </c>
      <c r="K687" s="11">
        <f>IFERROR(INDEX('Уроки'!$J:$J,MATCH(F687,'Уроки'!$A:$A,0)),"")</f>
        <v/>
      </c>
      <c r="L687" s="11" t="inlineStr">
        <is>
          <t>Spotlight / 8 класс / Module 2 · Food &amp; Shopping / Countable / Uncountable nouns / Countable / Uncountable: «ловушки» — advice, information, news, furniture, luggage, money</t>
        </is>
      </c>
    </row>
    <row r="688">
      <c r="A688" s="37" t="n">
        <v>8</v>
      </c>
      <c r="B688" s="11" t="inlineStr">
        <is>
          <t>Module 2 · Food &amp; Shopping</t>
        </is>
      </c>
      <c r="C688" s="11" t="inlineStr">
        <is>
          <t>2b</t>
        </is>
      </c>
      <c r="D688" s="11" t="inlineStr">
        <is>
          <t>Articles (a/an/the/zero)</t>
        </is>
      </c>
      <c r="E688" s="33" t="inlineStr">
        <is>
          <t>Articles: a/an — первое упоминание, значение «один»</t>
        </is>
      </c>
      <c r="F688" s="11" t="inlineStr">
        <is>
          <t>Ст-364</t>
        </is>
      </c>
      <c r="G688" s="37" t="inlineStr">
        <is>
          <t>повторение</t>
        </is>
      </c>
      <c r="H688" s="11" t="inlineStr">
        <is>
          <t>неизвестное/неупомянутое ранее</t>
        </is>
      </c>
      <c r="I688" s="37" t="inlineStr">
        <is>
          <t>10+</t>
        </is>
      </c>
      <c r="J688" s="11">
        <f>IFERROR(INDEX('Уроки'!$H:$H,MATCH(F688,'Уроки'!$A:$A,0)),"")</f>
        <v/>
      </c>
      <c r="K688" s="11">
        <f>IFERROR(INDEX('Уроки'!$J:$J,MATCH(F688,'Уроки'!$A:$A,0)),"")</f>
        <v/>
      </c>
      <c r="L688" s="11" t="inlineStr">
        <is>
          <t>Spotlight / 8 класс / Module 2 · Food &amp; Shopping / Articles (a/an/the/zero) / Articles: a/an — первое упоминание, значение «один»</t>
        </is>
      </c>
    </row>
    <row r="689">
      <c r="A689" s="37" t="n">
        <v>8</v>
      </c>
      <c r="B689" s="11" t="inlineStr">
        <is>
          <t>Module 2 · Food &amp; Shopping</t>
        </is>
      </c>
      <c r="C689" s="11" t="inlineStr">
        <is>
          <t>2b</t>
        </is>
      </c>
      <c r="D689" s="11" t="inlineStr">
        <is>
          <t>Articles (a/an/the/zero)</t>
        </is>
      </c>
      <c r="E689" s="33" t="inlineStr">
        <is>
          <t>Articles: the — известный, упомянутый ранее предмет</t>
        </is>
      </c>
      <c r="F689" s="11" t="inlineStr">
        <is>
          <t>Ст-365</t>
        </is>
      </c>
      <c r="G689" s="41" t="inlineStr">
        <is>
          <t>расширение</t>
        </is>
      </c>
      <c r="H689" s="11" t="inlineStr">
        <is>
          <t>добавлено: ясно из контекста; ед./мн., исч./неисч.</t>
        </is>
      </c>
      <c r="I689" s="37" t="inlineStr">
        <is>
          <t>10+</t>
        </is>
      </c>
      <c r="J689" s="11">
        <f>IFERROR(INDEX('Уроки'!$H:$H,MATCH(F689,'Уроки'!$A:$A,0)),"")</f>
        <v/>
      </c>
      <c r="K689" s="11">
        <f>IFERROR(INDEX('Уроки'!$J:$J,MATCH(F689,'Уроки'!$A:$A,0)),"")</f>
        <v/>
      </c>
      <c r="L689" s="11" t="inlineStr">
        <is>
          <t>Spotlight / 8 класс / Module 2 · Food &amp; Shopping / Articles (a/an/the/zero) / Articles: the — известный, упомянутый ранее предмет</t>
        </is>
      </c>
    </row>
    <row r="690">
      <c r="A690" s="37" t="n">
        <v>8</v>
      </c>
      <c r="B690" s="11" t="inlineStr">
        <is>
          <t>Module 2 · Food &amp; Shopping</t>
        </is>
      </c>
      <c r="C690" s="11" t="inlineStr">
        <is>
          <t>2b</t>
        </is>
      </c>
      <c r="D690" s="11" t="inlineStr">
        <is>
          <t>Articles (a/an/the/zero)</t>
        </is>
      </c>
      <c r="E690" s="33" t="inlineStr">
        <is>
          <t>Articles: нулевой артикль — мн. ч. и неисчисляемые в общем значении</t>
        </is>
      </c>
      <c r="F690" s="11" t="inlineStr">
        <is>
          <t>Ст-366</t>
        </is>
      </c>
      <c r="G690" s="37" t="inlineStr">
        <is>
          <t>повторение</t>
        </is>
      </c>
      <c r="H690" s="11" t="inlineStr">
        <is>
          <t>the не с мн. ч. в значении группы вообще</t>
        </is>
      </c>
      <c r="I690" s="37" t="inlineStr">
        <is>
          <t>10+</t>
        </is>
      </c>
      <c r="J690" s="11">
        <f>IFERROR(INDEX('Уроки'!$H:$H,MATCH(F690,'Уроки'!$A:$A,0)),"")</f>
        <v/>
      </c>
      <c r="K690" s="11">
        <f>IFERROR(INDEX('Уроки'!$J:$J,MATCH(F690,'Уроки'!$A:$A,0)),"")</f>
        <v/>
      </c>
      <c r="L690" s="11" t="inlineStr">
        <is>
          <t>Spotlight / 8 класс / Module 2 · Food &amp; Shopping / Articles (a/an/the/zero) / Articles: нулевой артикль — мн. ч. и неисчисляемые в общем значении</t>
        </is>
      </c>
    </row>
    <row r="691">
      <c r="A691" s="37" t="n">
        <v>8</v>
      </c>
      <c r="B691" s="11" t="inlineStr">
        <is>
          <t>Module 2 · Food &amp; Shopping</t>
        </is>
      </c>
      <c r="C691" s="11" t="inlineStr">
        <is>
          <t>2b</t>
        </is>
      </c>
      <c r="D691" s="11" t="inlineStr">
        <is>
          <t>Articles (a/an/the/zero)</t>
        </is>
      </c>
      <c r="E691" s="35" t="inlineStr">
        <is>
          <t>Articles: a/an = per; деньги, дроби, меры, частота, скорость</t>
        </is>
      </c>
      <c r="F691" s="11" t="inlineStr">
        <is>
          <t>Ст-368</t>
        </is>
      </c>
      <c r="G691" s="40" t="inlineStr">
        <is>
          <t>новое</t>
        </is>
      </c>
      <c r="H691" s="11" t="inlineStr">
        <is>
          <t>three times a day, a pound, a third, 60 km an hour</t>
        </is>
      </c>
      <c r="I691" s="37" t="inlineStr">
        <is>
          <t>10+</t>
        </is>
      </c>
      <c r="J691" s="11">
        <f>IFERROR(INDEX('Уроки'!$H:$H,MATCH(F691,'Уроки'!$A:$A,0)),"")</f>
        <v/>
      </c>
      <c r="K691" s="11">
        <f>IFERROR(INDEX('Уроки'!$J:$J,MATCH(F691,'Уроки'!$A:$A,0)),"")</f>
        <v/>
      </c>
      <c r="L691" s="11" t="inlineStr">
        <is>
          <t>Spotlight / 8 класс / Module 2 · Food &amp; Shopping / Articles (a/an/the/zero) / Articles: a/an = per; деньги, дроби, меры, частота, скорость</t>
        </is>
      </c>
    </row>
    <row r="692">
      <c r="A692" s="37" t="n">
        <v>8</v>
      </c>
      <c r="B692" s="11" t="inlineStr">
        <is>
          <t>Module 2 · Food &amp; Shopping</t>
        </is>
      </c>
      <c r="C692" s="11" t="inlineStr">
        <is>
          <t>2b</t>
        </is>
      </c>
      <c r="D692" s="11" t="inlineStr">
        <is>
          <t>Articles (a/an/the/zero)</t>
        </is>
      </c>
      <c r="E692" s="35" t="inlineStr">
        <is>
          <t>Articles: a/an с болезнями (a cold, но flu)</t>
        </is>
      </c>
      <c r="F692" s="11" t="inlineStr">
        <is>
          <t>Ст-369</t>
        </is>
      </c>
      <c r="G692" s="40" t="inlineStr">
        <is>
          <t>новое</t>
        </is>
      </c>
      <c r="H692" s="11" t="inlineStr">
        <is>
          <t>a cold, a fever, a headache; но не flu, pneumonia, tonsillitis</t>
        </is>
      </c>
      <c r="I692" s="37" t="inlineStr">
        <is>
          <t>10+</t>
        </is>
      </c>
      <c r="J692" s="11">
        <f>IFERROR(INDEX('Уроки'!$H:$H,MATCH(F692,'Уроки'!$A:$A,0)),"")</f>
        <v/>
      </c>
      <c r="K692" s="11">
        <f>IFERROR(INDEX('Уроки'!$J:$J,MATCH(F692,'Уроки'!$A:$A,0)),"")</f>
        <v/>
      </c>
      <c r="L692" s="11" t="inlineStr">
        <is>
          <t>Spotlight / 8 класс / Module 2 · Food &amp; Shopping / Articles (a/an/the/zero) / Articles: a/an с болезнями (a cold, но flu)</t>
        </is>
      </c>
    </row>
    <row r="693">
      <c r="A693" s="37" t="n">
        <v>8</v>
      </c>
      <c r="B693" s="11" t="inlineStr">
        <is>
          <t>Module 2 · Food &amp; Shopping</t>
        </is>
      </c>
      <c r="C693" s="11" t="inlineStr">
        <is>
          <t>2b</t>
        </is>
      </c>
      <c r="D693" s="11" t="inlineStr">
        <is>
          <t>Articles (a/an/the/zero)</t>
        </is>
      </c>
      <c r="E693" s="33" t="inlineStr">
        <is>
          <t>Articles: the — уникальные объекты, музыкальные инструменты, исторические события</t>
        </is>
      </c>
      <c r="F693" s="11" t="inlineStr">
        <is>
          <t>Ст-371</t>
        </is>
      </c>
      <c r="G693" s="40" t="inlineStr">
        <is>
          <t>новое</t>
        </is>
      </c>
      <c r="H693" s="11" t="inlineStr">
        <is>
          <t>the moon, the sky, play the guitar</t>
        </is>
      </c>
      <c r="I693" s="37" t="inlineStr">
        <is>
          <t>10+</t>
        </is>
      </c>
      <c r="J693" s="11">
        <f>IFERROR(INDEX('Уроки'!$H:$H,MATCH(F693,'Уроки'!$A:$A,0)),"")</f>
        <v/>
      </c>
      <c r="K693" s="11">
        <f>IFERROR(INDEX('Уроки'!$J:$J,MATCH(F693,'Уроки'!$A:$A,0)),"")</f>
        <v/>
      </c>
      <c r="L693" s="11" t="inlineStr">
        <is>
          <t>Spotlight / 8 класс / Module 2 · Food &amp; Shopping / Articles (a/an/the/zero) / Articles: the — уникальные объекты, музыкальные инструменты, исторические события</t>
        </is>
      </c>
    </row>
    <row r="694">
      <c r="A694" s="37" t="n">
        <v>8</v>
      </c>
      <c r="B694" s="11" t="inlineStr">
        <is>
          <t>Module 2 · Food &amp; Shopping</t>
        </is>
      </c>
      <c r="C694" s="11" t="inlineStr">
        <is>
          <t>2b</t>
        </is>
      </c>
      <c r="D694" s="11" t="inlineStr">
        <is>
          <t>Articles (a/an/the/zero)</t>
        </is>
      </c>
      <c r="E694" s="33" t="inlineStr">
        <is>
          <t>Articles: the и нулевой — географические названия</t>
        </is>
      </c>
      <c r="F694" s="11" t="inlineStr">
        <is>
          <t>Ст-372</t>
        </is>
      </c>
      <c r="G694" s="40" t="inlineStr">
        <is>
          <t>новое</t>
        </is>
      </c>
      <c r="H694" s="11" t="inlineStr">
        <is>
          <t>the: реки, моря, океаны, горные цепи, группы островов, пустыни; без: страны, города, улицы, горы, острова, континенты, озёра (Lake Baikal / the Baikal)</t>
        </is>
      </c>
      <c r="I694" s="37" t="inlineStr">
        <is>
          <t>10+</t>
        </is>
      </c>
      <c r="J694" s="11">
        <f>IFERROR(INDEX('Уроки'!$H:$H,MATCH(F694,'Уроки'!$A:$A,0)),"")</f>
        <v/>
      </c>
      <c r="K694" s="11">
        <f>IFERROR(INDEX('Уроки'!$J:$J,MATCH(F694,'Уроки'!$A:$A,0)),"")</f>
        <v/>
      </c>
      <c r="L694" s="11" t="inlineStr">
        <is>
          <t>Spotlight / 8 класс / Module 2 · Food &amp; Shopping / Articles (a/an/the/zero) / Articles: the и нулевой — географические названия</t>
        </is>
      </c>
    </row>
    <row r="695">
      <c r="A695" s="37" t="n">
        <v>8</v>
      </c>
      <c r="B695" s="11" t="inlineStr">
        <is>
          <t>Module 2 · Food &amp; Shopping</t>
        </is>
      </c>
      <c r="C695" s="11" t="inlineStr">
        <is>
          <t>2b</t>
        </is>
      </c>
      <c r="D695" s="11" t="inlineStr">
        <is>
          <t>Articles (a/an/the/zero)</t>
        </is>
      </c>
      <c r="E695" s="35" t="inlineStr">
        <is>
          <t>Articles: the и нулевой — театры, отели, музеи, газеты; названия с именем (Victoria Station, Harrods)</t>
        </is>
      </c>
      <c r="F695" s="11" t="inlineStr">
        <is>
          <t>Ст-373</t>
        </is>
      </c>
      <c r="G695" s="40" t="inlineStr">
        <is>
          <t>новое</t>
        </is>
      </c>
      <c r="H695" s="11" t="inlineStr">
        <is>
          <t>Barclays Bank, but the Black Swan Hotel</t>
        </is>
      </c>
      <c r="I695" s="37" t="inlineStr">
        <is>
          <t>10+</t>
        </is>
      </c>
      <c r="J695" s="11">
        <f>IFERROR(INDEX('Уроки'!$H:$H,MATCH(F695,'Уроки'!$A:$A,0)),"")</f>
        <v/>
      </c>
      <c r="K695" s="11">
        <f>IFERROR(INDEX('Уроки'!$J:$J,MATCH(F695,'Уроки'!$A:$A,0)),"")</f>
        <v/>
      </c>
      <c r="L695" s="11" t="inlineStr">
        <is>
          <t>Spotlight / 8 класс / Module 2 · Food &amp; Shopping / Articles (a/an/the/zero) / Articles: the и нулевой — театры, отели, музеи, газеты; названия с именем (Victoria Station, Harrods)</t>
        </is>
      </c>
    </row>
    <row r="696">
      <c r="A696" s="37" t="n">
        <v>8</v>
      </c>
      <c r="B696" s="11" t="inlineStr">
        <is>
          <t>Module 2 · Food &amp; Shopping</t>
        </is>
      </c>
      <c r="C696" s="11" t="inlineStr">
        <is>
          <t>2b</t>
        </is>
      </c>
      <c r="D696" s="11" t="inlineStr">
        <is>
          <t>Articles (a/an/the/zero)</t>
        </is>
      </c>
      <c r="E696" s="35" t="inlineStr">
        <is>
          <t>Articles: the — люди: фамилии, титулы, the + прилагательное (the rich)</t>
        </is>
      </c>
      <c r="F696" s="11" t="inlineStr">
        <is>
          <t>Ст-374</t>
        </is>
      </c>
      <c r="G696" s="40" t="inlineStr">
        <is>
          <t>новое</t>
        </is>
      </c>
      <c r="H696" s="11" t="inlineStr">
        <is>
          <t>the Jacksons, the President (но King Henry VIII), the young, the poor</t>
        </is>
      </c>
      <c r="I696" s="37" t="inlineStr">
        <is>
          <t>10+</t>
        </is>
      </c>
      <c r="J696" s="11">
        <f>IFERROR(INDEX('Уроки'!$H:$H,MATCH(F696,'Уроки'!$A:$A,0)),"")</f>
        <v/>
      </c>
      <c r="K696" s="11">
        <f>IFERROR(INDEX('Уроки'!$J:$J,MATCH(F696,'Уроки'!$A:$A,0)),"")</f>
        <v/>
      </c>
      <c r="L696" s="11" t="inlineStr">
        <is>
          <t>Spotlight / 8 класс / Module 2 · Food &amp; Shopping / Articles (a/an/the/zero) / Articles: the — люди: фамилии, титулы, the + прилагательное (the rich)</t>
        </is>
      </c>
    </row>
    <row r="697">
      <c r="A697" s="37" t="n">
        <v>8</v>
      </c>
      <c r="B697" s="11" t="inlineStr">
        <is>
          <t>Module 2 · Food &amp; Shopping</t>
        </is>
      </c>
      <c r="C697" s="11" t="inlineStr">
        <is>
          <t>2b</t>
        </is>
      </c>
      <c r="D697" s="11" t="inlineStr">
        <is>
          <t>Articles (a/an/the/zero)</t>
        </is>
      </c>
      <c r="E697" s="33" t="inlineStr">
        <is>
          <t>Articles: нулевой артикль — имена, спорт, дни, месяцы, праздники, цвета, напитки, еда, языки</t>
        </is>
      </c>
      <c r="F697" s="11" t="inlineStr">
        <is>
          <t>Ст-375</t>
        </is>
      </c>
      <c r="G697" s="40" t="inlineStr">
        <is>
          <t>новое</t>
        </is>
      </c>
      <c r="H697" s="11" t="inlineStr"/>
      <c r="I697" s="37" t="inlineStr">
        <is>
          <t>10+</t>
        </is>
      </c>
      <c r="J697" s="11">
        <f>IFERROR(INDEX('Уроки'!$H:$H,MATCH(F697,'Уроки'!$A:$A,0)),"")</f>
        <v/>
      </c>
      <c r="K697" s="11">
        <f>IFERROR(INDEX('Уроки'!$J:$J,MATCH(F697,'Уроки'!$A:$A,0)),"")</f>
        <v/>
      </c>
      <c r="L697" s="11" t="inlineStr">
        <is>
          <t>Spotlight / 8 класс / Module 2 · Food &amp; Shopping / Articles (a/an/the/zero) / Articles: нулевой артикль — имена, спорт, дни, месяцы, праздники, цвета, напитки, еда, языки</t>
        </is>
      </c>
    </row>
    <row r="698">
      <c r="A698" s="37" t="n">
        <v>8</v>
      </c>
      <c r="B698" s="11" t="inlineStr">
        <is>
          <t>Module 2 · Food &amp; Shopping</t>
        </is>
      </c>
      <c r="C698" s="11" t="inlineStr">
        <is>
          <t>2b</t>
        </is>
      </c>
      <c r="D698" s="11" t="inlineStr">
        <is>
          <t>Articles (a/an/the/zero)</t>
        </is>
      </c>
      <c r="E698" s="34" t="inlineStr">
        <is>
          <t>Articles: нулевой артикль — school, hospital, church, bed по назначению</t>
        </is>
      </c>
      <c r="F698" s="11" t="inlineStr">
        <is>
          <t>Ст-376</t>
        </is>
      </c>
      <c r="G698" s="40" t="inlineStr">
        <is>
          <t>новое</t>
        </is>
      </c>
      <c r="H698" s="11" t="inlineStr"/>
      <c r="I698" s="37" t="inlineStr">
        <is>
          <t>10+</t>
        </is>
      </c>
      <c r="J698" s="11">
        <f>IFERROR(INDEX('Уроки'!$H:$H,MATCH(F698,'Уроки'!$A:$A,0)),"")</f>
        <v/>
      </c>
      <c r="K698" s="11">
        <f>IFERROR(INDEX('Уроки'!$J:$J,MATCH(F698,'Уроки'!$A:$A,0)),"")</f>
        <v/>
      </c>
      <c r="L698" s="11" t="inlineStr">
        <is>
          <t>Spotlight / 8 класс / Module 2 · Food &amp; Shopping / Articles (a/an/the/zero) / Articles: нулевой артикль — school, hospital, church, bed по назначению</t>
        </is>
      </c>
    </row>
    <row r="699">
      <c r="A699" s="37" t="n">
        <v>8</v>
      </c>
      <c r="B699" s="11" t="inlineStr">
        <is>
          <t>Module 2 · Food &amp; Shopping</t>
        </is>
      </c>
      <c r="C699" s="11" t="inlineStr">
        <is>
          <t>2d</t>
        </is>
      </c>
      <c r="D699" s="11" t="inlineStr">
        <is>
          <t>Plurals (only plural / collective nouns)</t>
        </is>
      </c>
      <c r="E699" s="33" t="inlineStr">
        <is>
          <t>Plurals (only plural / collective nouns): только мн. ч. — одежда, приборы, инструменты, people, stairs</t>
        </is>
      </c>
      <c r="F699" s="11" t="inlineStr">
        <is>
          <t>Ст-385</t>
        </is>
      </c>
      <c r="G699" s="40" t="inlineStr">
        <is>
          <t>новое</t>
        </is>
      </c>
      <c r="H699" s="11" t="inlineStr">
        <is>
          <t>clothes, jeans, binoculars, pliers, scissors, arms, congratulations, people, stairs, surroundings</t>
        </is>
      </c>
      <c r="I699" s="37" t="inlineStr">
        <is>
          <t>10+</t>
        </is>
      </c>
      <c r="J699" s="11">
        <f>IFERROR(INDEX('Уроки'!$H:$H,MATCH(F699,'Уроки'!$A:$A,0)),"")</f>
        <v/>
      </c>
      <c r="K699" s="11">
        <f>IFERROR(INDEX('Уроки'!$J:$J,MATCH(F699,'Уроки'!$A:$A,0)),"")</f>
        <v/>
      </c>
      <c r="L699" s="11" t="inlineStr">
        <is>
          <t>Spotlight / 8 класс / Module 2 · Food &amp; Shopping / Plurals (only plural / collective nouns) / Plurals (only plural / collective nouns): только мн. ч. — одежда, приборы, инструменты, people, stairs</t>
        </is>
      </c>
    </row>
    <row r="700">
      <c r="A700" s="37" t="n">
        <v>8</v>
      </c>
      <c r="B700" s="11" t="inlineStr">
        <is>
          <t>Module 2 · Food &amp; Shopping</t>
        </is>
      </c>
      <c r="C700" s="11" t="inlineStr">
        <is>
          <t>2d</t>
        </is>
      </c>
      <c r="D700" s="11" t="inlineStr">
        <is>
          <t>Plurals (only plural / collective nouns)</t>
        </is>
      </c>
      <c r="E700" s="33" t="inlineStr">
        <is>
          <t>Plurals (only plural / collective nouns): собирательные (team, family, police) — глагол в ед. или мн. ч.</t>
        </is>
      </c>
      <c r="F700" s="11" t="inlineStr">
        <is>
          <t>Ст-386</t>
        </is>
      </c>
      <c r="G700" s="40" t="inlineStr">
        <is>
          <t>новое</t>
        </is>
      </c>
      <c r="H700" s="11" t="inlineStr">
        <is>
          <t>The team were… / The team was…</t>
        </is>
      </c>
      <c r="I700" s="37" t="inlineStr">
        <is>
          <t>10+</t>
        </is>
      </c>
      <c r="J700" s="11">
        <f>IFERROR(INDEX('Уроки'!$H:$H,MATCH(F700,'Уроки'!$A:$A,0)),"")</f>
        <v/>
      </c>
      <c r="K700" s="11">
        <f>IFERROR(INDEX('Уроки'!$J:$J,MATCH(F700,'Уроки'!$A:$A,0)),"")</f>
        <v/>
      </c>
      <c r="L700" s="11" t="inlineStr">
        <is>
          <t>Spotlight / 8 класс / Module 2 · Food &amp; Shopping / Plurals (only plural / collective nouns) / Plurals (only plural / collective nouns): собирательные (team, family, police) — глагол в ед. или мн. ч.</t>
        </is>
      </c>
    </row>
    <row r="701">
      <c r="A701" s="37" t="n">
        <v>8</v>
      </c>
      <c r="B701" s="11" t="inlineStr">
        <is>
          <t>Module 2 · Food &amp; Shopping</t>
        </is>
      </c>
      <c r="C701" s="11" t="inlineStr">
        <is>
          <t>2b</t>
        </is>
      </c>
      <c r="D701" s="11" t="inlineStr">
        <is>
          <t>Quantifiers</t>
        </is>
      </c>
      <c r="E701" s="33" t="inlineStr">
        <is>
          <t>Quantifiers: a few/few vs a little/little</t>
        </is>
      </c>
      <c r="F701" s="11" t="inlineStr">
        <is>
          <t>Ст-387</t>
        </is>
      </c>
      <c r="G701" s="40" t="inlineStr">
        <is>
          <t>новое</t>
        </is>
      </c>
      <c r="H701" s="11" t="inlineStr">
        <is>
          <t>исч. мн. ч. / неисч.; very few, very little</t>
        </is>
      </c>
      <c r="I701" s="37" t="inlineStr">
        <is>
          <t>10+</t>
        </is>
      </c>
      <c r="J701" s="11">
        <f>IFERROR(INDEX('Уроки'!$H:$H,MATCH(F701,'Уроки'!$A:$A,0)),"")</f>
        <v/>
      </c>
      <c r="K701" s="11">
        <f>IFERROR(INDEX('Уроки'!$J:$J,MATCH(F701,'Уроки'!$A:$A,0)),"")</f>
        <v/>
      </c>
      <c r="L701" s="11" t="inlineStr">
        <is>
          <t>Spotlight / 8 класс / Module 2 · Food &amp; Shopping / Quantifiers / Quantifiers: a few/few vs a little/little</t>
        </is>
      </c>
    </row>
    <row r="702">
      <c r="A702" s="37" t="n">
        <v>8</v>
      </c>
      <c r="B702" s="11" t="inlineStr">
        <is>
          <t>Module 2 · Food &amp; Shopping</t>
        </is>
      </c>
      <c r="C702" s="11" t="inlineStr">
        <is>
          <t>2b</t>
        </is>
      </c>
      <c r="D702" s="11" t="inlineStr">
        <is>
          <t>Quantifiers</t>
        </is>
      </c>
      <c r="E702" s="33" t="inlineStr">
        <is>
          <t>Quantifiers: a lot of / lots of</t>
        </is>
      </c>
      <c r="F702" s="11" t="inlineStr">
        <is>
          <t>Ст-388</t>
        </is>
      </c>
      <c r="G702" s="40" t="inlineStr">
        <is>
          <t>новое</t>
        </is>
      </c>
      <c r="H702" s="11" t="inlineStr">
        <is>
          <t>исч. мн. ч. и неисч., обычно в утверждениях</t>
        </is>
      </c>
      <c r="I702" s="37" t="inlineStr">
        <is>
          <t>10+</t>
        </is>
      </c>
      <c r="J702" s="11">
        <f>IFERROR(INDEX('Уроки'!$H:$H,MATCH(F702,'Уроки'!$A:$A,0)),"")</f>
        <v/>
      </c>
      <c r="K702" s="11">
        <f>IFERROR(INDEX('Уроки'!$J:$J,MATCH(F702,'Уроки'!$A:$A,0)),"")</f>
        <v/>
      </c>
      <c r="L702" s="11" t="inlineStr">
        <is>
          <t>Spotlight / 8 класс / Module 2 · Food &amp; Shopping / Quantifiers / Quantifiers: a lot of / lots of</t>
        </is>
      </c>
    </row>
    <row r="703">
      <c r="A703" s="37" t="n">
        <v>8</v>
      </c>
      <c r="B703" s="11" t="inlineStr">
        <is>
          <t>Module 2 · Food &amp; Shopping</t>
        </is>
      </c>
      <c r="C703" s="11" t="inlineStr">
        <is>
          <t>2b</t>
        </is>
      </c>
      <c r="D703" s="11" t="inlineStr">
        <is>
          <t>Quantifiers</t>
        </is>
      </c>
      <c r="E703" s="33" t="inlineStr">
        <is>
          <t>Quantifiers: much/many — отрицания и вопросы</t>
        </is>
      </c>
      <c r="F703" s="11" t="inlineStr">
        <is>
          <t>Ст-389</t>
        </is>
      </c>
      <c r="G703" s="40" t="inlineStr">
        <is>
          <t>новое</t>
        </is>
      </c>
      <c r="H703" s="11" t="inlineStr"/>
      <c r="I703" s="37" t="inlineStr">
        <is>
          <t>10+</t>
        </is>
      </c>
      <c r="J703" s="11">
        <f>IFERROR(INDEX('Уроки'!$H:$H,MATCH(F703,'Уроки'!$A:$A,0)),"")</f>
        <v/>
      </c>
      <c r="K703" s="11">
        <f>IFERROR(INDEX('Уроки'!$J:$J,MATCH(F703,'Уроки'!$A:$A,0)),"")</f>
        <v/>
      </c>
      <c r="L703" s="11" t="inlineStr">
        <is>
          <t>Spotlight / 8 класс / Module 2 · Food &amp; Shopping / Quantifiers / Quantifiers: much/many — отрицания и вопросы</t>
        </is>
      </c>
    </row>
    <row r="704">
      <c r="A704" s="37" t="n">
        <v>8</v>
      </c>
      <c r="B704" s="11" t="inlineStr">
        <is>
          <t>Module 2 · Food &amp; Shopping</t>
        </is>
      </c>
      <c r="C704" s="11" t="inlineStr">
        <is>
          <t>2e</t>
        </is>
      </c>
      <c r="D704" s="11" t="inlineStr">
        <is>
          <t>Adjectives (order)</t>
        </is>
      </c>
      <c r="E704" s="33" t="inlineStr">
        <is>
          <t>Adjectives (order): мнение перед объективными характеристиками</t>
        </is>
      </c>
      <c r="F704" s="11" t="inlineStr">
        <is>
          <t>Ст-456</t>
        </is>
      </c>
      <c r="G704" s="37" t="inlineStr">
        <is>
          <t>повторение</t>
        </is>
      </c>
      <c r="H704" s="11" t="inlineStr">
        <is>
          <t>nice, strange; good, practical, bad</t>
        </is>
      </c>
      <c r="I704" s="37" t="inlineStr">
        <is>
          <t>10+</t>
        </is>
      </c>
      <c r="J704" s="11">
        <f>IFERROR(INDEX('Уроки'!$H:$H,MATCH(F704,'Уроки'!$A:$A,0)),"")</f>
        <v/>
      </c>
      <c r="K704" s="11">
        <f>IFERROR(INDEX('Уроки'!$J:$J,MATCH(F704,'Уроки'!$A:$A,0)),"")</f>
        <v/>
      </c>
      <c r="L704" s="11" t="inlineStr">
        <is>
          <t>Spotlight / 8 класс / Module 2 · Food &amp; Shopping / Adjectives (order) / Adjectives (order): мнение перед объективными характеристиками</t>
        </is>
      </c>
    </row>
    <row r="705">
      <c r="A705" s="37" t="n">
        <v>8</v>
      </c>
      <c r="B705" s="11" t="inlineStr">
        <is>
          <t>Module 2 · Food &amp; Shopping</t>
        </is>
      </c>
      <c r="C705" s="11" t="inlineStr">
        <is>
          <t>2e</t>
        </is>
      </c>
      <c r="D705" s="11" t="inlineStr">
        <is>
          <t>Adjectives (order)</t>
        </is>
      </c>
      <c r="E705" s="33" t="inlineStr">
        <is>
          <t>Adjectives (order): размер – возраст – форма – цвет – происхождение – материал</t>
        </is>
      </c>
      <c r="F705" s="11" t="inlineStr">
        <is>
          <t>Ст-457</t>
        </is>
      </c>
      <c r="G705" s="37" t="inlineStr">
        <is>
          <t>повторение</t>
        </is>
      </c>
      <c r="H705" s="11" t="inlineStr">
        <is>
          <t>huge, old, round, dark pink, Italian, leather</t>
        </is>
      </c>
      <c r="I705" s="37" t="inlineStr">
        <is>
          <t>10+</t>
        </is>
      </c>
      <c r="J705" s="11">
        <f>IFERROR(INDEX('Уроки'!$H:$H,MATCH(F705,'Уроки'!$A:$A,0)),"")</f>
        <v/>
      </c>
      <c r="K705" s="11">
        <f>IFERROR(INDEX('Уроки'!$J:$J,MATCH(F705,'Уроки'!$A:$A,0)),"")</f>
        <v/>
      </c>
      <c r="L705" s="11" t="inlineStr">
        <is>
          <t>Spotlight / 8 класс / Module 2 · Food &amp; Shopping / Adjectives (order) / Adjectives (order): размер – возраст – форма – цвет – происхождение – материал</t>
        </is>
      </c>
    </row>
    <row r="706">
      <c r="A706" s="37" t="n">
        <v>8</v>
      </c>
      <c r="B706" s="11" t="inlineStr">
        <is>
          <t>Module 2 · Food &amp; Shopping</t>
        </is>
      </c>
      <c r="C706" s="11" t="inlineStr">
        <is>
          <t>2e</t>
        </is>
      </c>
      <c r="D706" s="11" t="inlineStr">
        <is>
          <t>Adjectives (order)</t>
        </is>
      </c>
      <c r="E706" s="35" t="inlineStr">
        <is>
          <t>Adjectives (order): узор (pattern) в порядке прилагательных</t>
        </is>
      </c>
      <c r="F706" s="11" t="inlineStr">
        <is>
          <t>Ст-458</t>
        </is>
      </c>
      <c r="G706" s="40" t="inlineStr">
        <is>
          <t>новое</t>
        </is>
      </c>
      <c r="H706" s="11" t="inlineStr">
        <is>
          <t>striped, checked, floral — между цветом и происхождением</t>
        </is>
      </c>
      <c r="I706" s="37" t="inlineStr">
        <is>
          <t>10+</t>
        </is>
      </c>
      <c r="J706" s="11">
        <f>IFERROR(INDEX('Уроки'!$H:$H,MATCH(F706,'Уроки'!$A:$A,0)),"")</f>
        <v/>
      </c>
      <c r="K706" s="11">
        <f>IFERROR(INDEX('Уроки'!$J:$J,MATCH(F706,'Уроки'!$A:$A,0)),"")</f>
        <v/>
      </c>
      <c r="L706" s="11" t="inlineStr">
        <is>
          <t>Spotlight / 8 класс / Module 2 · Food &amp; Shopping / Adjectives (order) / Adjectives (order): узор (pattern) в порядке прилагательных</t>
        </is>
      </c>
    </row>
    <row r="707">
      <c r="A707" s="37" t="n">
        <v>8</v>
      </c>
      <c r="B707" s="11" t="inlineStr">
        <is>
          <t>Module 2 · Food &amp; Shopping</t>
        </is>
      </c>
      <c r="C707" s="11" t="inlineStr">
        <is>
          <t>2f</t>
        </is>
      </c>
      <c r="D707" s="11" t="inlineStr">
        <is>
          <t>Phrasal verbs</t>
        </is>
      </c>
      <c r="E707" s="35" t="inlineStr">
        <is>
          <t>Phrasal verbs: go</t>
        </is>
      </c>
      <c r="F707" s="11" t="inlineStr">
        <is>
          <t>Ст-589</t>
        </is>
      </c>
      <c r="G707" s="40" t="inlineStr">
        <is>
          <t>новое</t>
        </is>
      </c>
      <c r="H707" s="11" t="inlineStr">
        <is>
          <t>go: go after (преследовать), go down with (заболеть чем-либо), go off (выйти из строя, сломаться), go through (пережить, получить опыт), go up (повышаться, увеличиваться), go with (подходить — об одежде), go without (обходиться без; в приложении — «выживать, справляться»).</t>
        </is>
      </c>
      <c r="I707" s="37" t="inlineStr">
        <is>
          <t>10+</t>
        </is>
      </c>
      <c r="J707" s="11">
        <f>IFERROR(INDEX('Уроки'!$H:$H,MATCH(F707,'Уроки'!$A:$A,0)),"")</f>
        <v/>
      </c>
      <c r="K707" s="11">
        <f>IFERROR(INDEX('Уроки'!$J:$J,MATCH(F707,'Уроки'!$A:$A,0)),"")</f>
        <v/>
      </c>
      <c r="L707" s="11" t="inlineStr">
        <is>
          <t>Spotlight / 8 класс / Module 2 · Food &amp; Shopping / Phrasal verbs / Phrasal verbs: go</t>
        </is>
      </c>
    </row>
    <row r="708">
      <c r="A708" s="37" t="n">
        <v>8</v>
      </c>
      <c r="B708" s="11" t="inlineStr">
        <is>
          <t>Module 2 · Food &amp; Shopping</t>
        </is>
      </c>
      <c r="C708" s="11" t="inlineStr">
        <is>
          <t>2f</t>
        </is>
      </c>
      <c r="D708" s="11" t="inlineStr">
        <is>
          <t>Word formation</t>
        </is>
      </c>
      <c r="E708" s="35" t="inlineStr">
        <is>
          <t>Word formation: negative adjectives</t>
        </is>
      </c>
      <c r="F708" s="11" t="inlineStr">
        <is>
          <t>Ст-621</t>
        </is>
      </c>
      <c r="G708" s="40" t="inlineStr">
        <is>
          <t>новое</t>
        </is>
      </c>
      <c r="H708" s="11" t="inlineStr">
        <is>
          <t>Образование отрицательных прилагательных (forming negative adjectives).</t>
        </is>
      </c>
      <c r="I708" s="37" t="inlineStr">
        <is>
          <t>10+</t>
        </is>
      </c>
      <c r="J708" s="11">
        <f>IFERROR(INDEX('Уроки'!$H:$H,MATCH(F708,'Уроки'!$A:$A,0)),"")</f>
        <v/>
      </c>
      <c r="K708" s="11">
        <f>IFERROR(INDEX('Уроки'!$J:$J,MATCH(F708,'Уроки'!$A:$A,0)),"")</f>
        <v/>
      </c>
      <c r="L708" s="11" t="inlineStr">
        <is>
          <t>Spotlight / 8 класс / Module 2 · Food &amp; Shopping / Word formation / Word formation: negative adjectives</t>
        </is>
      </c>
    </row>
    <row r="709">
      <c r="A709" s="37" t="n">
        <v>8</v>
      </c>
      <c r="B709" s="11" t="inlineStr">
        <is>
          <t>Module 2 · Food &amp; Shopping</t>
        </is>
      </c>
      <c r="C709" s="11" t="inlineStr">
        <is>
          <t>2f</t>
        </is>
      </c>
      <c r="D709" s="11" t="inlineStr">
        <is>
          <t>Dependent prepositions</t>
        </is>
      </c>
      <c r="E709" s="35" t="inlineStr">
        <is>
          <t>Dependent prepositions</t>
        </is>
      </c>
      <c r="F709" s="11" t="inlineStr">
        <is>
          <t>Ст-633</t>
        </is>
      </c>
      <c r="G709" s="37" t="inlineStr">
        <is>
          <t>повторение</t>
        </is>
      </c>
      <c r="H709" s="11" t="inlineStr">
        <is>
          <t>Предлоги (prepositions) — тема English in Use 2f.</t>
        </is>
      </c>
      <c r="I709" s="37" t="inlineStr">
        <is>
          <t>10+</t>
        </is>
      </c>
      <c r="J709" s="11">
        <f>IFERROR(INDEX('Уроки'!$H:$H,MATCH(F709,'Уроки'!$A:$A,0)),"")</f>
        <v/>
      </c>
      <c r="K709" s="11">
        <f>IFERROR(INDEX('Уроки'!$J:$J,MATCH(F709,'Уроки'!$A:$A,0)),"")</f>
        <v/>
      </c>
      <c r="L709" s="11" t="inlineStr">
        <is>
          <t>Spotlight / 8 класс / Module 2 · Food &amp; Shopping / Dependent prepositions / Dependent prepositions</t>
        </is>
      </c>
    </row>
    <row r="710">
      <c r="A710" s="37" t="n">
        <v>8</v>
      </c>
      <c r="B710" s="11" t="inlineStr">
        <is>
          <t>Appendix 2 · Dependent Prepositions</t>
        </is>
      </c>
      <c r="C710" s="11" t="inlineStr"/>
      <c r="D710" s="11" t="inlineStr">
        <is>
          <t>Dependent prepositions</t>
        </is>
      </c>
      <c r="E710" s="35" t="inlineStr">
        <is>
          <t>Dependent prepositions</t>
        </is>
      </c>
      <c r="F710" s="11" t="inlineStr">
        <is>
          <t>Ст-633</t>
        </is>
      </c>
      <c r="G710" s="37" t="inlineStr">
        <is>
          <t>повторение</t>
        </is>
      </c>
      <c r="H710" s="11" t="inlineStr">
        <is>
          <t>Сводный список (без привязки к модулям). Прилагательные + предлог: absent from, close to, fond of, good at, jealous of, keen on, nervous about, patient with, popular with, proud of. Глаголы + предлог: blame someone for, care about, come from, worry about. Существительное + предлог: career in. Предло</t>
        </is>
      </c>
      <c r="I710" s="37" t="inlineStr">
        <is>
          <t>10+</t>
        </is>
      </c>
      <c r="J710" s="11">
        <f>IFERROR(INDEX('Уроки'!$H:$H,MATCH(F710,'Уроки'!$A:$A,0)),"")</f>
        <v/>
      </c>
      <c r="K710" s="11">
        <f>IFERROR(INDEX('Уроки'!$J:$J,MATCH(F710,'Уроки'!$A:$A,0)),"")</f>
        <v/>
      </c>
      <c r="L710" s="11" t="inlineStr">
        <is>
          <t>Spotlight / 8 класс / Appendix 2 · Dependent Prepositions / Dependent prepositions / Dependent prepositions</t>
        </is>
      </c>
    </row>
    <row r="711">
      <c r="A711" s="37" t="n">
        <v>8</v>
      </c>
      <c r="B711" s="11" t="inlineStr">
        <is>
          <t>Module 3 · Great Minds</t>
        </is>
      </c>
      <c r="C711" s="11" t="inlineStr">
        <is>
          <t>3c</t>
        </is>
      </c>
      <c r="D711" s="11" t="inlineStr">
        <is>
          <t>Past Perfect</t>
        </is>
      </c>
      <c r="E711" s="33" t="inlineStr">
        <is>
          <t>Past Perfect: образование (had + V3)</t>
        </is>
      </c>
      <c r="F711" s="11" t="inlineStr">
        <is>
          <t>Ст-107</t>
        </is>
      </c>
      <c r="G711" s="40" t="inlineStr">
        <is>
          <t>новое</t>
        </is>
      </c>
      <c r="H711" s="11" t="inlineStr">
        <is>
          <t>had + V3</t>
        </is>
      </c>
      <c r="I711" s="37" t="inlineStr">
        <is>
          <t>10+</t>
        </is>
      </c>
      <c r="J711" s="11">
        <f>IFERROR(INDEX('Уроки'!$H:$H,MATCH(F711,'Уроки'!$A:$A,0)),"")</f>
        <v/>
      </c>
      <c r="K711" s="11">
        <f>IFERROR(INDEX('Уроки'!$J:$J,MATCH(F711,'Уроки'!$A:$A,0)),"")</f>
        <v/>
      </c>
      <c r="L711" s="11" t="inlineStr">
        <is>
          <t>Spotlight / 8 класс / Module 3 · Great Minds / Past Perfect / Past Perfect: образование (had + V3)</t>
        </is>
      </c>
    </row>
    <row r="712">
      <c r="A712" s="37" t="n">
        <v>8</v>
      </c>
      <c r="B712" s="11" t="inlineStr">
        <is>
          <t>Module 3 · Great Minds</t>
        </is>
      </c>
      <c r="C712" s="11" t="inlineStr">
        <is>
          <t>3c</t>
        </is>
      </c>
      <c r="D712" s="11" t="inlineStr">
        <is>
          <t>Past Perfect</t>
        </is>
      </c>
      <c r="E712" s="33" t="inlineStr">
        <is>
          <t>Past Perfect: значение — действие до другого действия/момента в прошлом</t>
        </is>
      </c>
      <c r="F712" s="11" t="inlineStr">
        <is>
          <t>Ст-108</t>
        </is>
      </c>
      <c r="G712" s="40" t="inlineStr">
        <is>
          <t>новое</t>
        </is>
      </c>
      <c r="H712" s="11" t="inlineStr">
        <is>
          <t>before, after, already, just, till/until, when, by, by the time, never, for, since</t>
        </is>
      </c>
      <c r="I712" s="37" t="inlineStr">
        <is>
          <t>10+</t>
        </is>
      </c>
      <c r="J712" s="11">
        <f>IFERROR(INDEX('Уроки'!$H:$H,MATCH(F712,'Уроки'!$A:$A,0)),"")</f>
        <v/>
      </c>
      <c r="K712" s="11">
        <f>IFERROR(INDEX('Уроки'!$J:$J,MATCH(F712,'Уроки'!$A:$A,0)),"")</f>
        <v/>
      </c>
      <c r="L712" s="11" t="inlineStr">
        <is>
          <t>Spotlight / 8 класс / Module 3 · Great Minds / Past Perfect / Past Perfect: значение — действие до другого действия/момента в прошлом</t>
        </is>
      </c>
    </row>
    <row r="713">
      <c r="A713" s="37" t="n">
        <v>8</v>
      </c>
      <c r="B713" s="11" t="inlineStr">
        <is>
          <t>Module 3 · Great Minds</t>
        </is>
      </c>
      <c r="C713" s="11" t="inlineStr">
        <is>
          <t>3c</t>
        </is>
      </c>
      <c r="D713" s="11" t="inlineStr">
        <is>
          <t>Past Perfect</t>
        </is>
      </c>
      <c r="E713" s="35" t="inlineStr">
        <is>
          <t>Past Perfect: значение — завершённое действие с результатом в прошлом</t>
        </is>
      </c>
      <c r="F713" s="11" t="inlineStr">
        <is>
          <t>Ст-109</t>
        </is>
      </c>
      <c r="G713" s="40" t="inlineStr">
        <is>
          <t>новое</t>
        </is>
      </c>
      <c r="H713" s="11" t="inlineStr"/>
      <c r="I713" s="37" t="inlineStr">
        <is>
          <t>10+</t>
        </is>
      </c>
      <c r="J713" s="11">
        <f>IFERROR(INDEX('Уроки'!$H:$H,MATCH(F713,'Уроки'!$A:$A,0)),"")</f>
        <v/>
      </c>
      <c r="K713" s="11">
        <f>IFERROR(INDEX('Уроки'!$J:$J,MATCH(F713,'Уроки'!$A:$A,0)),"")</f>
        <v/>
      </c>
      <c r="L713" s="11" t="inlineStr">
        <is>
          <t>Spotlight / 8 класс / Module 3 · Great Minds / Past Perfect / Past Perfect: значение — завершённое действие с результатом в прошлом</t>
        </is>
      </c>
    </row>
    <row r="714">
      <c r="A714" s="37" t="n">
        <v>8</v>
      </c>
      <c r="B714" s="11" t="inlineStr">
        <is>
          <t>Module 3 · Great Minds</t>
        </is>
      </c>
      <c r="C714" s="11" t="inlineStr">
        <is>
          <t>3c</t>
        </is>
      </c>
      <c r="D714" s="11" t="inlineStr">
        <is>
          <t>Past Perfect Continuous</t>
        </is>
      </c>
      <c r="E714" s="33" t="inlineStr">
        <is>
          <t>Past Perfect Continuous: образование (had been + V-ing)</t>
        </is>
      </c>
      <c r="F714" s="11" t="inlineStr">
        <is>
          <t>Ст-111</t>
        </is>
      </c>
      <c r="G714" s="40" t="inlineStr">
        <is>
          <t>новое</t>
        </is>
      </c>
      <c r="H714" s="11" t="inlineStr">
        <is>
          <t>had + been + V-ing</t>
        </is>
      </c>
      <c r="I714" s="37" t="inlineStr">
        <is>
          <t>10+</t>
        </is>
      </c>
      <c r="J714" s="11">
        <f>IFERROR(INDEX('Уроки'!$H:$H,MATCH(F714,'Уроки'!$A:$A,0)),"")</f>
        <v/>
      </c>
      <c r="K714" s="11">
        <f>IFERROR(INDEX('Уроки'!$J:$J,MATCH(F714,'Уроки'!$A:$A,0)),"")</f>
        <v/>
      </c>
      <c r="L714" s="11" t="inlineStr">
        <is>
          <t>Spotlight / 8 класс / Module 3 · Great Minds / Past Perfect Continuous / Past Perfect Continuous: образование (had been + V-ing)</t>
        </is>
      </c>
    </row>
    <row r="715">
      <c r="A715" s="37" t="n">
        <v>8</v>
      </c>
      <c r="B715" s="11" t="inlineStr">
        <is>
          <t>Module 3 · Great Minds</t>
        </is>
      </c>
      <c r="C715" s="11" t="inlineStr">
        <is>
          <t>3c</t>
        </is>
      </c>
      <c r="D715" s="11" t="inlineStr">
        <is>
          <t>Past Perfect Continuous</t>
        </is>
      </c>
      <c r="E715" s="33" t="inlineStr">
        <is>
          <t>Past Perfect Continuous: значение — длительность до другого прошлого действия</t>
        </is>
      </c>
      <c r="F715" s="11" t="inlineStr">
        <is>
          <t>Ст-112</t>
        </is>
      </c>
      <c r="G715" s="40" t="inlineStr">
        <is>
          <t>новое</t>
        </is>
      </c>
      <c r="H715" s="11" t="inlineStr">
        <is>
          <t>since, for, how long, before, till/until</t>
        </is>
      </c>
      <c r="I715" s="37" t="inlineStr">
        <is>
          <t>10+</t>
        </is>
      </c>
      <c r="J715" s="11">
        <f>IFERROR(INDEX('Уроки'!$H:$H,MATCH(F715,'Уроки'!$A:$A,0)),"")</f>
        <v/>
      </c>
      <c r="K715" s="11">
        <f>IFERROR(INDEX('Уроки'!$J:$J,MATCH(F715,'Уроки'!$A:$A,0)),"")</f>
        <v/>
      </c>
      <c r="L715" s="11" t="inlineStr">
        <is>
          <t>Spotlight / 8 класс / Module 3 · Great Minds / Past Perfect Continuous / Past Perfect Continuous: значение — длительность до другого прошлого действия</t>
        </is>
      </c>
    </row>
    <row r="716">
      <c r="A716" s="37" t="n">
        <v>8</v>
      </c>
      <c r="B716" s="11" t="inlineStr">
        <is>
          <t>Module 3 · Great Minds</t>
        </is>
      </c>
      <c r="C716" s="11" t="inlineStr">
        <is>
          <t>3c</t>
        </is>
      </c>
      <c r="D716" s="11" t="inlineStr">
        <is>
          <t>Past Perfect Continuous</t>
        </is>
      </c>
      <c r="E716" s="35" t="inlineStr">
        <is>
          <t>Past Perfect Continuous: значение — длительное действие с видимым результатом в прошлом</t>
        </is>
      </c>
      <c r="F716" s="11" t="inlineStr">
        <is>
          <t>Ст-113</t>
        </is>
      </c>
      <c r="G716" s="40" t="inlineStr">
        <is>
          <t>новое</t>
        </is>
      </c>
      <c r="H716" s="11" t="inlineStr"/>
      <c r="I716" s="37" t="inlineStr">
        <is>
          <t>10+</t>
        </is>
      </c>
      <c r="J716" s="11">
        <f>IFERROR(INDEX('Уроки'!$H:$H,MATCH(F716,'Уроки'!$A:$A,0)),"")</f>
        <v/>
      </c>
      <c r="K716" s="11">
        <f>IFERROR(INDEX('Уроки'!$J:$J,MATCH(F716,'Уроки'!$A:$A,0)),"")</f>
        <v/>
      </c>
      <c r="L716" s="11" t="inlineStr">
        <is>
          <t>Spotlight / 8 класс / Module 3 · Great Minds / Past Perfect Continuous / Past Perfect Continuous: значение — длительное действие с видимым результатом в прошлом</t>
        </is>
      </c>
    </row>
    <row r="717">
      <c r="A717" s="37" t="n">
        <v>8</v>
      </c>
      <c r="B717" s="11" t="inlineStr">
        <is>
          <t>Module 3 · Great Minds</t>
        </is>
      </c>
      <c r="C717" s="11" t="inlineStr">
        <is>
          <t>3f</t>
        </is>
      </c>
      <c r="D717" s="11" t="inlineStr">
        <is>
          <t>Phrasal verbs</t>
        </is>
      </c>
      <c r="E717" s="35" t="inlineStr">
        <is>
          <t>Phrasal verbs: bring</t>
        </is>
      </c>
      <c r="F717" s="11" t="inlineStr">
        <is>
          <t>Ст-585</t>
        </is>
      </c>
      <c r="G717" s="40" t="inlineStr">
        <is>
          <t>новое</t>
        </is>
      </c>
      <c r="H717" s="11" t="inlineStr">
        <is>
          <t>bring: bring about (осуществлять), bring back (напоминать, вспоминать), bring in (приносить деньги, вносить), bring out (выпускать на продажу), bring round (приводить в сознание), bring up (растить, воспитывать).</t>
        </is>
      </c>
      <c r="I717" s="37" t="inlineStr">
        <is>
          <t>10+</t>
        </is>
      </c>
      <c r="J717" s="11">
        <f>IFERROR(INDEX('Уроки'!$H:$H,MATCH(F717,'Уроки'!$A:$A,0)),"")</f>
        <v/>
      </c>
      <c r="K717" s="11">
        <f>IFERROR(INDEX('Уроки'!$J:$J,MATCH(F717,'Уроки'!$A:$A,0)),"")</f>
        <v/>
      </c>
      <c r="L717" s="11" t="inlineStr">
        <is>
          <t>Spotlight / 8 класс / Module 3 · Great Minds / Phrasal verbs / Phrasal verbs: bring</t>
        </is>
      </c>
    </row>
    <row r="718">
      <c r="A718" s="37" t="n">
        <v>8</v>
      </c>
      <c r="B718" s="11" t="inlineStr">
        <is>
          <t>Module 3 · Great Minds</t>
        </is>
      </c>
      <c r="C718" s="11" t="inlineStr">
        <is>
          <t>3f</t>
        </is>
      </c>
      <c r="D718" s="11" t="inlineStr">
        <is>
          <t>Word formation</t>
        </is>
      </c>
      <c r="E718" s="35" t="inlineStr">
        <is>
          <t>Word formation: -ise, -ize</t>
        </is>
      </c>
      <c r="F718" s="11" t="inlineStr">
        <is>
          <t>Ст-617</t>
        </is>
      </c>
      <c r="G718" s="40" t="inlineStr">
        <is>
          <t>новое</t>
        </is>
      </c>
      <c r="H718" s="11" t="inlineStr">
        <is>
          <t>Образование глаголов: -ise/-ize.</t>
        </is>
      </c>
      <c r="I718" s="37" t="inlineStr">
        <is>
          <t>10+</t>
        </is>
      </c>
      <c r="J718" s="11">
        <f>IFERROR(INDEX('Уроки'!$H:$H,MATCH(F718,'Уроки'!$A:$A,0)),"")</f>
        <v/>
      </c>
      <c r="K718" s="11">
        <f>IFERROR(INDEX('Уроки'!$J:$J,MATCH(F718,'Уроки'!$A:$A,0)),"")</f>
        <v/>
      </c>
      <c r="L718" s="11" t="inlineStr">
        <is>
          <t>Spotlight / 8 класс / Module 3 · Great Minds / Word formation / Word formation: -ise, -ize</t>
        </is>
      </c>
    </row>
    <row r="719">
      <c r="A719" s="37" t="n">
        <v>8</v>
      </c>
      <c r="B719" s="11" t="inlineStr">
        <is>
          <t>Module 3 · Great Minds</t>
        </is>
      </c>
      <c r="C719" s="11" t="inlineStr">
        <is>
          <t>3f</t>
        </is>
      </c>
      <c r="D719" s="11" t="inlineStr">
        <is>
          <t>Dependent prepositions</t>
        </is>
      </c>
      <c r="E719" s="35" t="inlineStr">
        <is>
          <t>Dependent prepositions</t>
        </is>
      </c>
      <c r="F719" s="11" t="inlineStr">
        <is>
          <t>Ст-633</t>
        </is>
      </c>
      <c r="G719" s="37" t="inlineStr">
        <is>
          <t>повторение</t>
        </is>
      </c>
      <c r="H719" s="11" t="inlineStr">
        <is>
          <t>Предлоги (prepositions) — тема English in Use.</t>
        </is>
      </c>
      <c r="I719" s="37" t="inlineStr">
        <is>
          <t>10+</t>
        </is>
      </c>
      <c r="J719" s="11">
        <f>IFERROR(INDEX('Уроки'!$H:$H,MATCH(F719,'Уроки'!$A:$A,0)),"")</f>
        <v/>
      </c>
      <c r="K719" s="11">
        <f>IFERROR(INDEX('Уроки'!$J:$J,MATCH(F719,'Уроки'!$A:$A,0)),"")</f>
        <v/>
      </c>
      <c r="L719" s="11" t="inlineStr">
        <is>
          <t>Spotlight / 8 класс / Module 3 · Great Minds / Dependent prepositions / Dependent prepositions</t>
        </is>
      </c>
    </row>
    <row r="720">
      <c r="A720" s="37" t="n">
        <v>8</v>
      </c>
      <c r="B720" s="11" t="inlineStr">
        <is>
          <t>Appendix 3 · Idioms</t>
        </is>
      </c>
      <c r="C720" s="11" t="inlineStr"/>
      <c r="D720" s="11" t="inlineStr">
        <is>
          <t>Idioms &amp; collocations</t>
        </is>
      </c>
      <c r="E720" s="33" t="inlineStr">
        <is>
          <t>Idioms &amp; collocations</t>
        </is>
      </c>
      <c r="F720" s="11" t="inlineStr">
        <is>
          <t>Ст-634</t>
        </is>
      </c>
      <c r="G720" s="40" t="inlineStr">
        <is>
          <t>новое</t>
        </is>
      </c>
      <c r="H720" s="11" t="inlineStr">
        <is>
          <t>Идиомы (сводный список): a piece of cake, again and again, all in all, (be) a bolt from the blue, be a pain in the neck, be bad news, be in the same boat, be on cloud nine, (not) be one's cup of tea, break the ice, cry over spilt milk, drive someone crazy, drive someone up the wall, feel under the w</t>
        </is>
      </c>
      <c r="I720" s="37" t="inlineStr">
        <is>
          <t>10+</t>
        </is>
      </c>
      <c r="J720" s="11">
        <f>IFERROR(INDEX('Уроки'!$H:$H,MATCH(F720,'Уроки'!$A:$A,0)),"")</f>
        <v/>
      </c>
      <c r="K720" s="11">
        <f>IFERROR(INDEX('Уроки'!$J:$J,MATCH(F720,'Уроки'!$A:$A,0)),"")</f>
        <v/>
      </c>
      <c r="L720" s="11" t="inlineStr">
        <is>
          <t>Spotlight / 8 класс / Appendix 3 · Idioms / Idioms &amp; collocations / Idioms &amp; collocations</t>
        </is>
      </c>
    </row>
    <row r="721">
      <c r="A721" s="37" t="n">
        <v>8</v>
      </c>
      <c r="B721" s="11" t="inlineStr">
        <is>
          <t>Module 3 · Great Minds</t>
        </is>
      </c>
      <c r="C721" s="11" t="inlineStr">
        <is>
          <t>3f</t>
        </is>
      </c>
      <c r="D721" s="11" t="inlineStr">
        <is>
          <t>Words often confused</t>
        </is>
      </c>
      <c r="E721" s="35" t="inlineStr">
        <is>
          <t>Words often confused</t>
        </is>
      </c>
      <c r="F721" s="11" t="inlineStr">
        <is>
          <t>Ст-635</t>
        </is>
      </c>
      <c r="G721" s="40" t="inlineStr">
        <is>
          <t>новое</t>
        </is>
      </c>
      <c r="H721" s="11" t="inlineStr">
        <is>
          <t>Слова, которые часто путают — тема English in Use 3f.</t>
        </is>
      </c>
      <c r="I721" s="37" t="inlineStr">
        <is>
          <t>10+</t>
        </is>
      </c>
      <c r="J721" s="11">
        <f>IFERROR(INDEX('Уроки'!$H:$H,MATCH(F721,'Уроки'!$A:$A,0)),"")</f>
        <v/>
      </c>
      <c r="K721" s="11">
        <f>IFERROR(INDEX('Уроки'!$J:$J,MATCH(F721,'Уроки'!$A:$A,0)),"")</f>
        <v/>
      </c>
      <c r="L721" s="11" t="inlineStr">
        <is>
          <t>Spotlight / 8 класс / Module 3 · Great Minds / Words often confused / Words often confused</t>
        </is>
      </c>
    </row>
    <row r="722">
      <c r="A722" s="37" t="n">
        <v>8</v>
      </c>
      <c r="B722" s="11" t="inlineStr">
        <is>
          <t>Module 4 · Be Yourself</t>
        </is>
      </c>
      <c r="C722" s="11" t="inlineStr">
        <is>
          <t>4d</t>
        </is>
      </c>
      <c r="D722" s="11" t="inlineStr">
        <is>
          <t>Causative (have something done)</t>
        </is>
      </c>
      <c r="E722" s="33" t="inlineStr">
        <is>
          <t>Causative: форма have + object + V3</t>
        </is>
      </c>
      <c r="F722" s="11" t="inlineStr">
        <is>
          <t>Ст-221</t>
        </is>
      </c>
      <c r="G722" s="40" t="inlineStr">
        <is>
          <t>новое</t>
        </is>
      </c>
      <c r="H722" s="11" t="inlineStr"/>
      <c r="I722" s="37" t="inlineStr">
        <is>
          <t>10+</t>
        </is>
      </c>
      <c r="J722" s="11">
        <f>IFERROR(INDEX('Уроки'!$H:$H,MATCH(F722,'Уроки'!$A:$A,0)),"")</f>
        <v/>
      </c>
      <c r="K722" s="11">
        <f>IFERROR(INDEX('Уроки'!$J:$J,MATCH(F722,'Уроки'!$A:$A,0)),"")</f>
        <v/>
      </c>
      <c r="L722" s="11" t="inlineStr">
        <is>
          <t>Spotlight / 8 класс / Module 4 · Be Yourself / Causative (have something done) / Causative: форма have + object + V3</t>
        </is>
      </c>
    </row>
    <row r="723">
      <c r="A723" s="37" t="n">
        <v>8</v>
      </c>
      <c r="B723" s="11" t="inlineStr">
        <is>
          <t>Module 4 · Be Yourself</t>
        </is>
      </c>
      <c r="C723" s="11" t="inlineStr">
        <is>
          <t>4d</t>
        </is>
      </c>
      <c r="D723" s="11" t="inlineStr">
        <is>
          <t>Causative (have something done)</t>
        </is>
      </c>
      <c r="E723" s="33" t="inlineStr">
        <is>
          <t>Causative: значение — действие выполняет кто-то другой для подлежащего</t>
        </is>
      </c>
      <c r="F723" s="11" t="inlineStr">
        <is>
          <t>Ст-222</t>
        </is>
      </c>
      <c r="G723" s="40" t="inlineStr">
        <is>
          <t>новое</t>
        </is>
      </c>
      <c r="H723" s="11" t="inlineStr">
        <is>
          <t>исполнитель обычно не упоминается</t>
        </is>
      </c>
      <c r="I723" s="37" t="inlineStr">
        <is>
          <t>10+</t>
        </is>
      </c>
      <c r="J723" s="11">
        <f>IFERROR(INDEX('Уроки'!$H:$H,MATCH(F723,'Уроки'!$A:$A,0)),"")</f>
        <v/>
      </c>
      <c r="K723" s="11">
        <f>IFERROR(INDEX('Уроки'!$J:$J,MATCH(F723,'Уроки'!$A:$A,0)),"")</f>
        <v/>
      </c>
      <c r="L723" s="11" t="inlineStr">
        <is>
          <t>Spotlight / 8 класс / Module 4 · Be Yourself / Causative (have something done) / Causative: значение — действие выполняет кто-то другой для подлежащего</t>
        </is>
      </c>
    </row>
    <row r="724">
      <c r="A724" s="37" t="n">
        <v>8</v>
      </c>
      <c r="B724" s="11" t="inlineStr">
        <is>
          <t>Module 4 · Be Yourself</t>
        </is>
      </c>
      <c r="C724" s="11" t="inlineStr">
        <is>
          <t>4d</t>
        </is>
      </c>
      <c r="D724" s="11" t="inlineStr">
        <is>
          <t>Causative (have something done)</t>
        </is>
      </c>
      <c r="E724" s="35" t="inlineStr">
        <is>
          <t>Causative: have sth done в разных временах (Continuous, Perfect, Future)</t>
        </is>
      </c>
      <c r="F724" s="11" t="inlineStr">
        <is>
          <t>Ст-223</t>
        </is>
      </c>
      <c r="G724" s="40" t="inlineStr">
        <is>
          <t>новое</t>
        </is>
      </c>
      <c r="H724" s="11" t="inlineStr">
        <is>
          <t>has/is having/had/was having/has had/had had/has been having/had been having/will have</t>
        </is>
      </c>
      <c r="I724" s="37" t="inlineStr">
        <is>
          <t>10+</t>
        </is>
      </c>
      <c r="J724" s="11">
        <f>IFERROR(INDEX('Уроки'!$H:$H,MATCH(F724,'Уроки'!$A:$A,0)),"")</f>
        <v/>
      </c>
      <c r="K724" s="11">
        <f>IFERROR(INDEX('Уроки'!$J:$J,MATCH(F724,'Уроки'!$A:$A,0)),"")</f>
        <v/>
      </c>
      <c r="L724" s="11" t="inlineStr">
        <is>
          <t>Spotlight / 8 класс / Module 4 · Be Yourself / Causative (have something done) / Causative: have sth done в разных временах (Continuous, Perfect, Future)</t>
        </is>
      </c>
    </row>
    <row r="725">
      <c r="A725" s="37" t="n">
        <v>8</v>
      </c>
      <c r="B725" s="11" t="inlineStr">
        <is>
          <t>Module 4 · Be Yourself</t>
        </is>
      </c>
      <c r="C725" s="11" t="inlineStr">
        <is>
          <t>4d</t>
        </is>
      </c>
      <c r="D725" s="11" t="inlineStr">
        <is>
          <t>Causative (have something done)</t>
        </is>
      </c>
      <c r="E725" s="35" t="inlineStr">
        <is>
          <t>Causative: инфинитив, -ing и модальные (to have / having sth done)</t>
        </is>
      </c>
      <c r="F725" s="11" t="inlineStr">
        <is>
          <t>Ст-224</t>
        </is>
      </c>
      <c r="G725" s="40" t="inlineStr">
        <is>
          <t>новое</t>
        </is>
      </c>
      <c r="H725" s="11" t="inlineStr">
        <is>
          <t>to have, having; should have her room painted</t>
        </is>
      </c>
      <c r="I725" s="37" t="inlineStr">
        <is>
          <t>10+</t>
        </is>
      </c>
      <c r="J725" s="11">
        <f>IFERROR(INDEX('Уроки'!$H:$H,MATCH(F725,'Уроки'!$A:$A,0)),"")</f>
        <v/>
      </c>
      <c r="K725" s="11">
        <f>IFERROR(INDEX('Уроки'!$J:$J,MATCH(F725,'Уроки'!$A:$A,0)),"")</f>
        <v/>
      </c>
      <c r="L725" s="11" t="inlineStr">
        <is>
          <t>Spotlight / 8 класс / Module 4 · Be Yourself / Causative (have something done) / Causative: инфинитив, -ing и модальные (to have / having sth done)</t>
        </is>
      </c>
    </row>
    <row r="726">
      <c r="A726" s="37" t="n">
        <v>8</v>
      </c>
      <c r="B726" s="11" t="inlineStr">
        <is>
          <t>Module 4 · Be Yourself</t>
        </is>
      </c>
      <c r="C726" s="11" t="inlineStr">
        <is>
          <t>4c</t>
        </is>
      </c>
      <c r="D726" s="11" t="inlineStr">
        <is>
          <t>Passive Voice</t>
        </is>
      </c>
      <c r="E726" s="35" t="inlineStr">
        <is>
          <t>Passive Voice: форма be + V3 — Present Simple и Past Simple</t>
        </is>
      </c>
      <c r="F726" s="11" t="inlineStr">
        <is>
          <t>Ст-271</t>
        </is>
      </c>
      <c r="G726" s="40" t="inlineStr">
        <is>
          <t>новое</t>
        </is>
      </c>
      <c r="H726" s="11" t="inlineStr">
        <is>
          <t>is cooked / was cooked</t>
        </is>
      </c>
      <c r="I726" s="37" t="inlineStr">
        <is>
          <t>10+</t>
        </is>
      </c>
      <c r="J726" s="11">
        <f>IFERROR(INDEX('Уроки'!$H:$H,MATCH(F726,'Уроки'!$A:$A,0)),"")</f>
        <v/>
      </c>
      <c r="K726" s="11">
        <f>IFERROR(INDEX('Уроки'!$J:$J,MATCH(F726,'Уроки'!$A:$A,0)),"")</f>
        <v/>
      </c>
      <c r="L726" s="11" t="inlineStr">
        <is>
          <t>Spotlight / 8 класс / Module 4 · Be Yourself / Passive Voice / Passive Voice: форма be + V3 — Present Simple и Past Simple</t>
        </is>
      </c>
    </row>
    <row r="727">
      <c r="A727" s="37" t="n">
        <v>8</v>
      </c>
      <c r="B727" s="11" t="inlineStr">
        <is>
          <t>Module 4 · Be Yourself</t>
        </is>
      </c>
      <c r="C727" s="11" t="inlineStr">
        <is>
          <t>4c</t>
        </is>
      </c>
      <c r="D727" s="11" t="inlineStr">
        <is>
          <t>Passive Voice</t>
        </is>
      </c>
      <c r="E727" s="35" t="inlineStr">
        <is>
          <t>Passive Voice: Continuous (is/was being + V3)</t>
        </is>
      </c>
      <c r="F727" s="11" t="inlineStr">
        <is>
          <t>Ст-272</t>
        </is>
      </c>
      <c r="G727" s="40" t="inlineStr">
        <is>
          <t>новое</t>
        </is>
      </c>
      <c r="H727" s="11" t="inlineStr">
        <is>
          <t>is being / was being cooked</t>
        </is>
      </c>
      <c r="I727" s="37" t="inlineStr">
        <is>
          <t>10+</t>
        </is>
      </c>
      <c r="J727" s="11">
        <f>IFERROR(INDEX('Уроки'!$H:$H,MATCH(F727,'Уроки'!$A:$A,0)),"")</f>
        <v/>
      </c>
      <c r="K727" s="11">
        <f>IFERROR(INDEX('Уроки'!$J:$J,MATCH(F727,'Уроки'!$A:$A,0)),"")</f>
        <v/>
      </c>
      <c r="L727" s="11" t="inlineStr">
        <is>
          <t>Spotlight / 8 класс / Module 4 · Be Yourself / Passive Voice / Passive Voice: Continuous (is/was being + V3)</t>
        </is>
      </c>
    </row>
    <row r="728">
      <c r="A728" s="37" t="n">
        <v>8</v>
      </c>
      <c r="B728" s="11" t="inlineStr">
        <is>
          <t>Module 4 · Be Yourself</t>
        </is>
      </c>
      <c r="C728" s="11" t="inlineStr">
        <is>
          <t>4c</t>
        </is>
      </c>
      <c r="D728" s="11" t="inlineStr">
        <is>
          <t>Passive Voice</t>
        </is>
      </c>
      <c r="E728" s="35" t="inlineStr">
        <is>
          <t>Passive Voice: Present/Past Perfect (has/had been + V3)</t>
        </is>
      </c>
      <c r="F728" s="11" t="inlineStr">
        <is>
          <t>Ст-273</t>
        </is>
      </c>
      <c r="G728" s="40" t="inlineStr">
        <is>
          <t>новое</t>
        </is>
      </c>
      <c r="H728" s="11" t="inlineStr">
        <is>
          <t>has been / had been cooked</t>
        </is>
      </c>
      <c r="I728" s="37" t="inlineStr">
        <is>
          <t>10+</t>
        </is>
      </c>
      <c r="J728" s="11">
        <f>IFERROR(INDEX('Уроки'!$H:$H,MATCH(F728,'Уроки'!$A:$A,0)),"")</f>
        <v/>
      </c>
      <c r="K728" s="11">
        <f>IFERROR(INDEX('Уроки'!$J:$J,MATCH(F728,'Уроки'!$A:$A,0)),"")</f>
        <v/>
      </c>
      <c r="L728" s="11" t="inlineStr">
        <is>
          <t>Spotlight / 8 класс / Module 4 · Be Yourself / Passive Voice / Passive Voice: Present/Past Perfect (has/had been + V3)</t>
        </is>
      </c>
    </row>
    <row r="729">
      <c r="A729" s="37" t="n">
        <v>8</v>
      </c>
      <c r="B729" s="11" t="inlineStr">
        <is>
          <t>Module 4 · Be Yourself</t>
        </is>
      </c>
      <c r="C729" s="11" t="inlineStr">
        <is>
          <t>4c</t>
        </is>
      </c>
      <c r="D729" s="11" t="inlineStr">
        <is>
          <t>Passive Voice</t>
        </is>
      </c>
      <c r="E729" s="35" t="inlineStr">
        <is>
          <t>Passive Voice: Future Simple (will be + V3)</t>
        </is>
      </c>
      <c r="F729" s="11" t="inlineStr">
        <is>
          <t>Ст-274</t>
        </is>
      </c>
      <c r="G729" s="40" t="inlineStr">
        <is>
          <t>новое</t>
        </is>
      </c>
      <c r="H729" s="11" t="inlineStr">
        <is>
          <t>will be cooked</t>
        </is>
      </c>
      <c r="I729" s="37" t="inlineStr">
        <is>
          <t>10+</t>
        </is>
      </c>
      <c r="J729" s="11">
        <f>IFERROR(INDEX('Уроки'!$H:$H,MATCH(F729,'Уроки'!$A:$A,0)),"")</f>
        <v/>
      </c>
      <c r="K729" s="11">
        <f>IFERROR(INDEX('Уроки'!$J:$J,MATCH(F729,'Уроки'!$A:$A,0)),"")</f>
        <v/>
      </c>
      <c r="L729" s="11" t="inlineStr">
        <is>
          <t>Spotlight / 8 класс / Module 4 · Be Yourself / Passive Voice / Passive Voice: Future Simple (will be + V3)</t>
        </is>
      </c>
    </row>
    <row r="730">
      <c r="A730" s="37" t="n">
        <v>8</v>
      </c>
      <c r="B730" s="11" t="inlineStr">
        <is>
          <t>Module 4 · Be Yourself</t>
        </is>
      </c>
      <c r="C730" s="11" t="inlineStr">
        <is>
          <t>4c</t>
        </is>
      </c>
      <c r="D730" s="11" t="inlineStr">
        <is>
          <t>Passive Voice</t>
        </is>
      </c>
      <c r="E730" s="35" t="inlineStr">
        <is>
          <t>Passive Voice: инфинитив и модальные (has to be / can be + V3)</t>
        </is>
      </c>
      <c r="F730" s="11" t="inlineStr">
        <is>
          <t>Ст-276</t>
        </is>
      </c>
      <c r="G730" s="40" t="inlineStr">
        <is>
          <t>новое</t>
        </is>
      </c>
      <c r="H730" s="11" t="inlineStr">
        <is>
          <t>has to be cooked; can be cooked</t>
        </is>
      </c>
      <c r="I730" s="37" t="inlineStr">
        <is>
          <t>10+</t>
        </is>
      </c>
      <c r="J730" s="11">
        <f>IFERROR(INDEX('Уроки'!$H:$H,MATCH(F730,'Уроки'!$A:$A,0)),"")</f>
        <v/>
      </c>
      <c r="K730" s="11">
        <f>IFERROR(INDEX('Уроки'!$J:$J,MATCH(F730,'Уроки'!$A:$A,0)),"")</f>
        <v/>
      </c>
      <c r="L730" s="11" t="inlineStr">
        <is>
          <t>Spotlight / 8 класс / Module 4 · Be Yourself / Passive Voice / Passive Voice: инфинитив и модальные (has to be / can be + V3)</t>
        </is>
      </c>
    </row>
    <row r="731">
      <c r="A731" s="37" t="n">
        <v>8</v>
      </c>
      <c r="B731" s="11" t="inlineStr">
        <is>
          <t>Module 4 · Be Yourself</t>
        </is>
      </c>
      <c r="C731" s="11" t="inlineStr">
        <is>
          <t>4c</t>
        </is>
      </c>
      <c r="D731" s="11" t="inlineStr">
        <is>
          <t>Passive Voice</t>
        </is>
      </c>
      <c r="E731" s="35" t="inlineStr">
        <is>
          <t>Passive Voice: преобразование active → passive</t>
        </is>
      </c>
      <c r="F731" s="11" t="inlineStr">
        <is>
          <t>Ст-277</t>
        </is>
      </c>
      <c r="G731" s="40" t="inlineStr">
        <is>
          <t>новое</t>
        </is>
      </c>
      <c r="H731" s="11" t="inlineStr">
        <is>
          <t>дополнение → подлежащее; by + агент или опускается</t>
        </is>
      </c>
      <c r="I731" s="37" t="inlineStr">
        <is>
          <t>10+</t>
        </is>
      </c>
      <c r="J731" s="11">
        <f>IFERROR(INDEX('Уроки'!$H:$H,MATCH(F731,'Уроки'!$A:$A,0)),"")</f>
        <v/>
      </c>
      <c r="K731" s="11">
        <f>IFERROR(INDEX('Уроки'!$J:$J,MATCH(F731,'Уроки'!$A:$A,0)),"")</f>
        <v/>
      </c>
      <c r="L731" s="11" t="inlineStr">
        <is>
          <t>Spotlight / 8 класс / Module 4 · Be Yourself / Passive Voice / Passive Voice: преобразование active → passive</t>
        </is>
      </c>
    </row>
    <row r="732">
      <c r="A732" s="37" t="n">
        <v>8</v>
      </c>
      <c r="B732" s="11" t="inlineStr">
        <is>
          <t>Module 4 · Be Yourself</t>
        </is>
      </c>
      <c r="C732" s="11" t="inlineStr">
        <is>
          <t>4c</t>
        </is>
      </c>
      <c r="D732" s="11" t="inlineStr">
        <is>
          <t>Passive Voice</t>
        </is>
      </c>
      <c r="E732" s="35" t="inlineStr">
        <is>
          <t>Passive Voice: значение — исполнитель неизвестен/неважен/очевиден</t>
        </is>
      </c>
      <c r="F732" s="11" t="inlineStr">
        <is>
          <t>Ст-278</t>
        </is>
      </c>
      <c r="G732" s="40" t="inlineStr">
        <is>
          <t>новое</t>
        </is>
      </c>
      <c r="H732" s="11" t="inlineStr">
        <is>
          <t>очевиден или неважен</t>
        </is>
      </c>
      <c r="I732" s="37" t="inlineStr">
        <is>
          <t>10+</t>
        </is>
      </c>
      <c r="J732" s="11">
        <f>IFERROR(INDEX('Уроки'!$H:$H,MATCH(F732,'Уроки'!$A:$A,0)),"")</f>
        <v/>
      </c>
      <c r="K732" s="11">
        <f>IFERROR(INDEX('Уроки'!$J:$J,MATCH(F732,'Уроки'!$A:$A,0)),"")</f>
        <v/>
      </c>
      <c r="L732" s="11" t="inlineStr">
        <is>
          <t>Spotlight / 8 класс / Module 4 · Be Yourself / Passive Voice / Passive Voice: значение — исполнитель неизвестен/неважен/очевиден</t>
        </is>
      </c>
    </row>
    <row r="733">
      <c r="A733" s="37" t="n">
        <v>8</v>
      </c>
      <c r="B733" s="11" t="inlineStr">
        <is>
          <t>Module 4 · Be Yourself</t>
        </is>
      </c>
      <c r="C733" s="11" t="inlineStr">
        <is>
          <t>4c</t>
        </is>
      </c>
      <c r="D733" s="11" t="inlineStr">
        <is>
          <t>Passive Voice</t>
        </is>
      </c>
      <c r="E733" s="35" t="inlineStr">
        <is>
          <t>Passive Voice: значение — действие важнее исполнителя (новости, инструкции, реклама)</t>
        </is>
      </c>
      <c r="F733" s="11" t="inlineStr">
        <is>
          <t>Ст-279</t>
        </is>
      </c>
      <c r="G733" s="40" t="inlineStr">
        <is>
          <t>новое</t>
        </is>
      </c>
      <c r="H733" s="11" t="inlineStr">
        <is>
          <t>новости, объявления, инструкции, реклама</t>
        </is>
      </c>
      <c r="I733" s="37" t="inlineStr">
        <is>
          <t>10+</t>
        </is>
      </c>
      <c r="J733" s="11">
        <f>IFERROR(INDEX('Уроки'!$H:$H,MATCH(F733,'Уроки'!$A:$A,0)),"")</f>
        <v/>
      </c>
      <c r="K733" s="11">
        <f>IFERROR(INDEX('Уроки'!$J:$J,MATCH(F733,'Уроки'!$A:$A,0)),"")</f>
        <v/>
      </c>
      <c r="L733" s="11" t="inlineStr">
        <is>
          <t>Spotlight / 8 класс / Module 4 · Be Yourself / Passive Voice / Passive Voice: значение — действие важнее исполнителя (новости, инструкции, реклама)</t>
        </is>
      </c>
    </row>
    <row r="734">
      <c r="A734" s="37" t="n">
        <v>8</v>
      </c>
      <c r="B734" s="11" t="inlineStr">
        <is>
          <t>Module 4 · Be Yourself</t>
        </is>
      </c>
      <c r="C734" s="11" t="inlineStr">
        <is>
          <t>4c</t>
        </is>
      </c>
      <c r="D734" s="11" t="inlineStr">
        <is>
          <t>Passive Voice</t>
        </is>
      </c>
      <c r="E734" s="35" t="inlineStr">
        <is>
          <t>Passive Voice: значение — уход от ответственности</t>
        </is>
      </c>
      <c r="F734" s="11" t="inlineStr">
        <is>
          <t>Ст-280</t>
        </is>
      </c>
      <c r="G734" s="40" t="inlineStr">
        <is>
          <t>новое</t>
        </is>
      </c>
      <c r="H734" s="11" t="inlineStr"/>
      <c r="I734" s="37" t="inlineStr">
        <is>
          <t>10+</t>
        </is>
      </c>
      <c r="J734" s="11">
        <f>IFERROR(INDEX('Уроки'!$H:$H,MATCH(F734,'Уроки'!$A:$A,0)),"")</f>
        <v/>
      </c>
      <c r="K734" s="11">
        <f>IFERROR(INDEX('Уроки'!$J:$J,MATCH(F734,'Уроки'!$A:$A,0)),"")</f>
        <v/>
      </c>
      <c r="L734" s="11" t="inlineStr">
        <is>
          <t>Spotlight / 8 класс / Module 4 · Be Yourself / Passive Voice / Passive Voice: значение — уход от ответственности</t>
        </is>
      </c>
    </row>
    <row r="735">
      <c r="A735" s="37" t="n">
        <v>8</v>
      </c>
      <c r="B735" s="11" t="inlineStr">
        <is>
          <t>Module 4 · Be Yourself</t>
        </is>
      </c>
      <c r="C735" s="11" t="inlineStr">
        <is>
          <t>4c</t>
        </is>
      </c>
      <c r="D735" s="11" t="inlineStr">
        <is>
          <t>Passive Voice</t>
        </is>
      </c>
      <c r="E735" s="35" t="inlineStr">
        <is>
          <t>Passive Voice: значение — акцент на исполнителе</t>
        </is>
      </c>
      <c r="F735" s="11" t="inlineStr">
        <is>
          <t>Ст-281</t>
        </is>
      </c>
      <c r="G735" s="40" t="inlineStr">
        <is>
          <t>новое</t>
        </is>
      </c>
      <c r="H735" s="11" t="inlineStr">
        <is>
          <t>by the president himself</t>
        </is>
      </c>
      <c r="I735" s="37" t="inlineStr">
        <is>
          <t>10+</t>
        </is>
      </c>
      <c r="J735" s="11">
        <f>IFERROR(INDEX('Уроки'!$H:$H,MATCH(F735,'Уроки'!$A:$A,0)),"")</f>
        <v/>
      </c>
      <c r="K735" s="11">
        <f>IFERROR(INDEX('Уроки'!$J:$J,MATCH(F735,'Уроки'!$A:$A,0)),"")</f>
        <v/>
      </c>
      <c r="L735" s="11" t="inlineStr">
        <is>
          <t>Spotlight / 8 класс / Module 4 · Be Yourself / Passive Voice / Passive Voice: значение — акцент на исполнителе</t>
        </is>
      </c>
    </row>
    <row r="736">
      <c r="A736" s="37" t="n">
        <v>8</v>
      </c>
      <c r="B736" s="11" t="inlineStr">
        <is>
          <t>Module 4 · Be Yourself</t>
        </is>
      </c>
      <c r="C736" s="11" t="inlineStr">
        <is>
          <t>4c</t>
        </is>
      </c>
      <c r="D736" s="11" t="inlineStr">
        <is>
          <t>Passive Voice</t>
        </is>
      </c>
      <c r="E736" s="35" t="inlineStr">
        <is>
          <t>Passive Voice: значение — формальность, вежливость</t>
        </is>
      </c>
      <c r="F736" s="11" t="inlineStr">
        <is>
          <t>Ст-282</t>
        </is>
      </c>
      <c r="G736" s="40" t="inlineStr">
        <is>
          <t>новое</t>
        </is>
      </c>
      <c r="H736" s="11" t="inlineStr"/>
      <c r="I736" s="37" t="inlineStr">
        <is>
          <t>10+</t>
        </is>
      </c>
      <c r="J736" s="11">
        <f>IFERROR(INDEX('Уроки'!$H:$H,MATCH(F736,'Уроки'!$A:$A,0)),"")</f>
        <v/>
      </c>
      <c r="K736" s="11">
        <f>IFERROR(INDEX('Уроки'!$J:$J,MATCH(F736,'Уроки'!$A:$A,0)),"")</f>
        <v/>
      </c>
      <c r="L736" s="11" t="inlineStr">
        <is>
          <t>Spotlight / 8 класс / Module 4 · Be Yourself / Passive Voice / Passive Voice: значение — формальность, вежливость</t>
        </is>
      </c>
    </row>
    <row r="737">
      <c r="A737" s="37" t="n">
        <v>8</v>
      </c>
      <c r="B737" s="11" t="inlineStr">
        <is>
          <t>Module 4 · Be Yourself</t>
        </is>
      </c>
      <c r="C737" s="11" t="inlineStr">
        <is>
          <t>4c</t>
        </is>
      </c>
      <c r="D737" s="11" t="inlineStr">
        <is>
          <t>Passive Voice</t>
        </is>
      </c>
      <c r="E737" s="35" t="inlineStr">
        <is>
          <t>Passive Voice: by + исполнитель vs with + инструмент/материал</t>
        </is>
      </c>
      <c r="F737" s="11" t="inlineStr">
        <is>
          <t>Ст-283</t>
        </is>
      </c>
      <c r="G737" s="40" t="inlineStr">
        <is>
          <t>новое</t>
        </is>
      </c>
      <c r="H737" s="11" t="inlineStr"/>
      <c r="I737" s="37" t="inlineStr">
        <is>
          <t>10+</t>
        </is>
      </c>
      <c r="J737" s="11">
        <f>IFERROR(INDEX('Уроки'!$H:$H,MATCH(F737,'Уроки'!$A:$A,0)),"")</f>
        <v/>
      </c>
      <c r="K737" s="11">
        <f>IFERROR(INDEX('Уроки'!$J:$J,MATCH(F737,'Уроки'!$A:$A,0)),"")</f>
        <v/>
      </c>
      <c r="L737" s="11" t="inlineStr">
        <is>
          <t>Spotlight / 8 класс / Module 4 · Be Yourself / Passive Voice / Passive Voice: by + исполнитель vs with + инструмент/материал</t>
        </is>
      </c>
    </row>
    <row r="738">
      <c r="A738" s="37" t="n">
        <v>8</v>
      </c>
      <c r="B738" s="11" t="inlineStr">
        <is>
          <t>Module 4 · Be Yourself</t>
        </is>
      </c>
      <c r="C738" s="11" t="inlineStr">
        <is>
          <t>4c</t>
        </is>
      </c>
      <c r="D738" s="11" t="inlineStr">
        <is>
          <t>Passive Voice</t>
        </is>
      </c>
      <c r="E738" s="35" t="inlineStr">
        <is>
          <t>Passive Voice: когда агент опускается (they, people, someone…)</t>
        </is>
      </c>
      <c r="F738" s="11" t="inlineStr">
        <is>
          <t>Ст-284</t>
        </is>
      </c>
      <c r="G738" s="40" t="inlineStr">
        <is>
          <t>новое</t>
        </is>
      </c>
      <c r="H738" s="11" t="inlineStr">
        <is>
          <t>they, he, someone, people, one; не опускается, если важен</t>
        </is>
      </c>
      <c r="I738" s="37" t="inlineStr">
        <is>
          <t>10+</t>
        </is>
      </c>
      <c r="J738" s="11">
        <f>IFERROR(INDEX('Уроки'!$H:$H,MATCH(F738,'Уроки'!$A:$A,0)),"")</f>
        <v/>
      </c>
      <c r="K738" s="11">
        <f>IFERROR(INDEX('Уроки'!$J:$J,MATCH(F738,'Уроки'!$A:$A,0)),"")</f>
        <v/>
      </c>
      <c r="L738" s="11" t="inlineStr">
        <is>
          <t>Spotlight / 8 класс / Module 4 · Be Yourself / Passive Voice / Passive Voice: когда агент опускается (they, people, someone…)</t>
        </is>
      </c>
    </row>
    <row r="739">
      <c r="A739" s="37" t="n">
        <v>8</v>
      </c>
      <c r="B739" s="11" t="inlineStr">
        <is>
          <t>Module 4 · Be Yourself</t>
        </is>
      </c>
      <c r="C739" s="11" t="inlineStr">
        <is>
          <t>4c</t>
        </is>
      </c>
      <c r="D739" s="11" t="inlineStr">
        <is>
          <t>Passive Voice</t>
        </is>
      </c>
      <c r="E739" s="35" t="inlineStr">
        <is>
          <t>Passive Voice: глаголы без пассива (непереходные; have, fit, suit, resemble…)</t>
        </is>
      </c>
      <c r="F739" s="11" t="inlineStr">
        <is>
          <t>Ст-285</t>
        </is>
      </c>
      <c r="G739" s="40" t="inlineStr">
        <is>
          <t>новое</t>
        </is>
      </c>
      <c r="H739" s="11" t="inlineStr">
        <is>
          <t>только переходные; have, fit, suit, resemble</t>
        </is>
      </c>
      <c r="I739" s="37" t="inlineStr">
        <is>
          <t>10+</t>
        </is>
      </c>
      <c r="J739" s="11">
        <f>IFERROR(INDEX('Уроки'!$H:$H,MATCH(F739,'Уроки'!$A:$A,0)),"")</f>
        <v/>
      </c>
      <c r="K739" s="11">
        <f>IFERROR(INDEX('Уроки'!$J:$J,MATCH(F739,'Уроки'!$A:$A,0)),"")</f>
        <v/>
      </c>
      <c r="L739" s="11" t="inlineStr">
        <is>
          <t>Spotlight / 8 класс / Module 4 · Be Yourself / Passive Voice / Passive Voice: глаголы без пассива (непереходные; have, fit, suit, resemble…)</t>
        </is>
      </c>
    </row>
    <row r="740">
      <c r="A740" s="37" t="n">
        <v>8</v>
      </c>
      <c r="B740" s="11" t="inlineStr">
        <is>
          <t>Module 4 · Be Yourself</t>
        </is>
      </c>
      <c r="C740" s="11" t="inlineStr">
        <is>
          <t>4c</t>
        </is>
      </c>
      <c r="D740" s="11" t="inlineStr">
        <is>
          <t>Passive Voice</t>
        </is>
      </c>
      <c r="E740" s="35" t="inlineStr">
        <is>
          <t>Passive Voice: get вместо be</t>
        </is>
      </c>
      <c r="F740" s="11" t="inlineStr">
        <is>
          <t>Ст-286</t>
        </is>
      </c>
      <c r="G740" s="40" t="inlineStr">
        <is>
          <t>новое</t>
        </is>
      </c>
      <c r="H740" s="11" t="inlineStr">
        <is>
          <t>неожиданные события: The cheque got lost</t>
        </is>
      </c>
      <c r="I740" s="37" t="inlineStr">
        <is>
          <t>10+</t>
        </is>
      </c>
      <c r="J740" s="11">
        <f>IFERROR(INDEX('Уроки'!$H:$H,MATCH(F740,'Уроки'!$A:$A,0)),"")</f>
        <v/>
      </c>
      <c r="K740" s="11">
        <f>IFERROR(INDEX('Уроки'!$J:$J,MATCH(F740,'Уроки'!$A:$A,0)),"")</f>
        <v/>
      </c>
      <c r="L740" s="11" t="inlineStr">
        <is>
          <t>Spotlight / 8 класс / Module 4 · Be Yourself / Passive Voice / Passive Voice: get вместо be</t>
        </is>
      </c>
    </row>
    <row r="741">
      <c r="A741" s="37" t="n">
        <v>8</v>
      </c>
      <c r="B741" s="11" t="inlineStr">
        <is>
          <t>Module 4 · Be Yourself</t>
        </is>
      </c>
      <c r="C741" s="11" t="inlineStr">
        <is>
          <t>4c</t>
        </is>
      </c>
      <c r="D741" s="11" t="inlineStr">
        <is>
          <t>Passive Voice</t>
        </is>
      </c>
      <c r="E741" s="35" t="inlineStr">
        <is>
          <t>Passive Voice: глаголы с двумя дополнениями (give, offer, send…)</t>
        </is>
      </c>
      <c r="F741" s="11" t="inlineStr">
        <is>
          <t>Ст-287</t>
        </is>
      </c>
      <c r="G741" s="40" t="inlineStr">
        <is>
          <t>новое</t>
        </is>
      </c>
      <c r="H741" s="11" t="inlineStr">
        <is>
          <t>bring, tell, send, show, teach, promise, sell, read, offer, give, lend — две модели; explain, announce, dictate, write — одна</t>
        </is>
      </c>
      <c r="I741" s="37" t="inlineStr">
        <is>
          <t>10+</t>
        </is>
      </c>
      <c r="J741" s="11">
        <f>IFERROR(INDEX('Уроки'!$H:$H,MATCH(F741,'Уроки'!$A:$A,0)),"")</f>
        <v/>
      </c>
      <c r="K741" s="11">
        <f>IFERROR(INDEX('Уроки'!$J:$J,MATCH(F741,'Уроки'!$A:$A,0)),"")</f>
        <v/>
      </c>
      <c r="L741" s="11" t="inlineStr">
        <is>
          <t>Spotlight / 8 класс / Module 4 · Be Yourself / Passive Voice / Passive Voice: глаголы с двумя дополнениями (give, offer, send…)</t>
        </is>
      </c>
    </row>
    <row r="742">
      <c r="A742" s="37" t="n">
        <v>8</v>
      </c>
      <c r="B742" s="11" t="inlineStr">
        <is>
          <t>Module 4 · Be Yourself</t>
        </is>
      </c>
      <c r="C742" s="11" t="inlineStr">
        <is>
          <t>4c</t>
        </is>
      </c>
      <c r="D742" s="11" t="inlineStr">
        <is>
          <t>Passive Voice</t>
        </is>
      </c>
      <c r="E742" s="35" t="inlineStr">
        <is>
          <t>Passive Voice: by в вопросах с who/whom/which</t>
        </is>
      </c>
      <c r="F742" s="11" t="inlineStr">
        <is>
          <t>Ст-288</t>
        </is>
      </c>
      <c r="G742" s="40" t="inlineStr">
        <is>
          <t>новое</t>
        </is>
      </c>
      <c r="H742" s="11" t="inlineStr">
        <is>
          <t>Who will the tickets be booked by?</t>
        </is>
      </c>
      <c r="I742" s="37" t="inlineStr">
        <is>
          <t>10+</t>
        </is>
      </c>
      <c r="J742" s="11">
        <f>IFERROR(INDEX('Уроки'!$H:$H,MATCH(F742,'Уроки'!$A:$A,0)),"")</f>
        <v/>
      </c>
      <c r="K742" s="11">
        <f>IFERROR(INDEX('Уроки'!$J:$J,MATCH(F742,'Уроки'!$A:$A,0)),"")</f>
        <v/>
      </c>
      <c r="L742" s="11" t="inlineStr">
        <is>
          <t>Spotlight / 8 класс / Module 4 · Be Yourself / Passive Voice / Passive Voice: by в вопросах с who/whom/which</t>
        </is>
      </c>
    </row>
    <row r="743">
      <c r="A743" s="37" t="n">
        <v>8</v>
      </c>
      <c r="B743" s="11" t="inlineStr">
        <is>
          <t>Module 4 · Be Yourself</t>
        </is>
      </c>
      <c r="C743" s="11" t="inlineStr">
        <is>
          <t>4b</t>
        </is>
      </c>
      <c r="D743" s="11" t="inlineStr">
        <is>
          <t>too / enough</t>
        </is>
      </c>
      <c r="E743" s="33" t="inlineStr">
        <is>
          <t>too / enough: too + прил./нареч. — чрезмерность</t>
        </is>
      </c>
      <c r="F743" s="11" t="inlineStr">
        <is>
          <t>Ст-473</t>
        </is>
      </c>
      <c r="G743" s="40" t="inlineStr">
        <is>
          <t>новое</t>
        </is>
      </c>
      <c r="H743" s="11" t="inlineStr">
        <is>
          <t>too busy</t>
        </is>
      </c>
      <c r="I743" s="37" t="inlineStr">
        <is>
          <t>10+</t>
        </is>
      </c>
      <c r="J743" s="11">
        <f>IFERROR(INDEX('Уроки'!$H:$H,MATCH(F743,'Уроки'!$A:$A,0)),"")</f>
        <v/>
      </c>
      <c r="K743" s="11">
        <f>IFERROR(INDEX('Уроки'!$J:$J,MATCH(F743,'Уроки'!$A:$A,0)),"")</f>
        <v/>
      </c>
      <c r="L743" s="11" t="inlineStr">
        <is>
          <t>Spotlight / 8 класс / Module 4 · Be Yourself / too / enough / too / enough: too + прил./нареч. — чрезмерность</t>
        </is>
      </c>
    </row>
    <row r="744">
      <c r="A744" s="37" t="n">
        <v>8</v>
      </c>
      <c r="B744" s="11" t="inlineStr">
        <is>
          <t>Module 4 · Be Yourself</t>
        </is>
      </c>
      <c r="C744" s="11" t="inlineStr">
        <is>
          <t>4b</t>
        </is>
      </c>
      <c r="D744" s="11" t="inlineStr">
        <is>
          <t>too / enough</t>
        </is>
      </c>
      <c r="E744" s="33" t="inlineStr">
        <is>
          <t>too / enough: прил./нареч. + enough — достаточность</t>
        </is>
      </c>
      <c r="F744" s="11" t="inlineStr">
        <is>
          <t>Ст-474</t>
        </is>
      </c>
      <c r="G744" s="40" t="inlineStr">
        <is>
          <t>новое</t>
        </is>
      </c>
      <c r="H744" s="11" t="inlineStr">
        <is>
          <t>well enough, not old enough</t>
        </is>
      </c>
      <c r="I744" s="37" t="inlineStr">
        <is>
          <t>10+</t>
        </is>
      </c>
      <c r="J744" s="11">
        <f>IFERROR(INDEX('Уроки'!$H:$H,MATCH(F744,'Уроки'!$A:$A,0)),"")</f>
        <v/>
      </c>
      <c r="K744" s="11">
        <f>IFERROR(INDEX('Уроки'!$J:$J,MATCH(F744,'Уроки'!$A:$A,0)),"")</f>
        <v/>
      </c>
      <c r="L744" s="11" t="inlineStr">
        <is>
          <t>Spotlight / 8 класс / Module 4 · Be Yourself / too / enough / too / enough: прил./нареч. + enough — достаточность</t>
        </is>
      </c>
    </row>
    <row r="745">
      <c r="A745" s="37" t="n">
        <v>8</v>
      </c>
      <c r="B745" s="11" t="inlineStr">
        <is>
          <t>Module 4 · Be Yourself</t>
        </is>
      </c>
      <c r="C745" s="11" t="inlineStr">
        <is>
          <t>4b</t>
        </is>
      </c>
      <c r="D745" s="11" t="inlineStr">
        <is>
          <t>too / enough</t>
        </is>
      </c>
      <c r="E745" s="35" t="inlineStr">
        <is>
          <t>too / enough: enough / not enough + существительное</t>
        </is>
      </c>
      <c r="F745" s="11" t="inlineStr">
        <is>
          <t>Ст-475</t>
        </is>
      </c>
      <c r="G745" s="40" t="inlineStr">
        <is>
          <t>новое</t>
        </is>
      </c>
      <c r="H745" s="11" t="inlineStr">
        <is>
          <t>enough time, not enough chairs</t>
        </is>
      </c>
      <c r="I745" s="37" t="inlineStr">
        <is>
          <t>10+</t>
        </is>
      </c>
      <c r="J745" s="11">
        <f>IFERROR(INDEX('Уроки'!$H:$H,MATCH(F745,'Уроки'!$A:$A,0)),"")</f>
        <v/>
      </c>
      <c r="K745" s="11">
        <f>IFERROR(INDEX('Уроки'!$J:$J,MATCH(F745,'Уроки'!$A:$A,0)),"")</f>
        <v/>
      </c>
      <c r="L745" s="11" t="inlineStr">
        <is>
          <t>Spotlight / 8 класс / Module 4 · Be Yourself / too / enough / too / enough: enough / not enough + существительное</t>
        </is>
      </c>
    </row>
    <row r="746">
      <c r="A746" s="37" t="n">
        <v>8</v>
      </c>
      <c r="B746" s="11" t="inlineStr">
        <is>
          <t>Module 4 · Be Yourself</t>
        </is>
      </c>
      <c r="C746" s="11" t="inlineStr">
        <is>
          <t>4b</t>
        </is>
      </c>
      <c r="D746" s="11" t="inlineStr">
        <is>
          <t>too / enough</t>
        </is>
      </c>
      <c r="E746" s="35" t="inlineStr">
        <is>
          <t>too / enough: too … / … enough + to-infinitive</t>
        </is>
      </c>
      <c r="F746" s="11" t="inlineStr">
        <is>
          <t>Ст-476</t>
        </is>
      </c>
      <c r="G746" s="40" t="inlineStr">
        <is>
          <t>новое</t>
        </is>
      </c>
      <c r="H746" s="11" t="inlineStr">
        <is>
          <t>только в примерах: too busy to see you, not old enough to drive</t>
        </is>
      </c>
      <c r="I746" s="37" t="inlineStr">
        <is>
          <t>10+</t>
        </is>
      </c>
      <c r="J746" s="11">
        <f>IFERROR(INDEX('Уроки'!$H:$H,MATCH(F746,'Уроки'!$A:$A,0)),"")</f>
        <v/>
      </c>
      <c r="K746" s="11">
        <f>IFERROR(INDEX('Уроки'!$J:$J,MATCH(F746,'Уроки'!$A:$A,0)),"")</f>
        <v/>
      </c>
      <c r="L746" s="11" t="inlineStr">
        <is>
          <t>Spotlight / 8 класс / Module 4 · Be Yourself / too / enough / too / enough: too … / … enough + to-infinitive</t>
        </is>
      </c>
    </row>
    <row r="747">
      <c r="A747" s="37" t="n">
        <v>8</v>
      </c>
      <c r="B747" s="11" t="inlineStr">
        <is>
          <t>Module 4 · Be Yourself</t>
        </is>
      </c>
      <c r="C747" s="11" t="inlineStr">
        <is>
          <t>4f</t>
        </is>
      </c>
      <c r="D747" s="11" t="inlineStr">
        <is>
          <t>Phrasal verbs</t>
        </is>
      </c>
      <c r="E747" s="35" t="inlineStr">
        <is>
          <t>Phrasal verbs: put</t>
        </is>
      </c>
      <c r="F747" s="11" t="inlineStr">
        <is>
          <t>Ст-590</t>
        </is>
      </c>
      <c r="G747" s="40" t="inlineStr">
        <is>
          <t>новое</t>
        </is>
      </c>
      <c r="H747" s="11" t="inlineStr">
        <is>
          <t>put: put away (откладывать, убирать), put off (отсрочивать, откладывать), put on (надевать), put out (потушить огонь), put (sb) through (to sb) (соединить по телефону), put up with (мириться с чем-либо).</t>
        </is>
      </c>
      <c r="I747" s="37" t="inlineStr">
        <is>
          <t>10+</t>
        </is>
      </c>
      <c r="J747" s="11">
        <f>IFERROR(INDEX('Уроки'!$H:$H,MATCH(F747,'Уроки'!$A:$A,0)),"")</f>
        <v/>
      </c>
      <c r="K747" s="11">
        <f>IFERROR(INDEX('Уроки'!$J:$J,MATCH(F747,'Уроки'!$A:$A,0)),"")</f>
        <v/>
      </c>
      <c r="L747" s="11" t="inlineStr">
        <is>
          <t>Spotlight / 8 класс / Module 4 · Be Yourself / Phrasal verbs / Phrasal verbs: put</t>
        </is>
      </c>
    </row>
    <row r="748">
      <c r="A748" s="37" t="n">
        <v>8</v>
      </c>
      <c r="B748" s="11" t="inlineStr">
        <is>
          <t>Module 4 · Be Yourself</t>
        </is>
      </c>
      <c r="C748" s="11" t="inlineStr">
        <is>
          <t>4f</t>
        </is>
      </c>
      <c r="D748" s="11" t="inlineStr">
        <is>
          <t>Word formation</t>
        </is>
      </c>
      <c r="E748" s="35" t="inlineStr">
        <is>
          <t>Word formation: il-, im-, in-, ir-</t>
        </is>
      </c>
      <c r="F748" s="11" t="inlineStr">
        <is>
          <t>Ст-620</t>
        </is>
      </c>
      <c r="G748" s="40" t="inlineStr">
        <is>
          <t>новое</t>
        </is>
      </c>
      <c r="H748" s="11" t="inlineStr">
        <is>
          <t>Образование прилагательных с противоположным значением: приставки il-, im-, in-, ir-.</t>
        </is>
      </c>
      <c r="I748" s="37" t="inlineStr">
        <is>
          <t>10+</t>
        </is>
      </c>
      <c r="J748" s="11">
        <f>IFERROR(INDEX('Уроки'!$H:$H,MATCH(F748,'Уроки'!$A:$A,0)),"")</f>
        <v/>
      </c>
      <c r="K748" s="11">
        <f>IFERROR(INDEX('Уроки'!$J:$J,MATCH(F748,'Уроки'!$A:$A,0)),"")</f>
        <v/>
      </c>
      <c r="L748" s="11" t="inlineStr">
        <is>
          <t>Spotlight / 8 класс / Module 4 · Be Yourself / Word formation / Word formation: il-, im-, in-, ir-</t>
        </is>
      </c>
    </row>
    <row r="749">
      <c r="A749" s="37" t="n">
        <v>8</v>
      </c>
      <c r="B749" s="11" t="inlineStr">
        <is>
          <t>Module 4 · Be Yourself</t>
        </is>
      </c>
      <c r="C749" s="11" t="inlineStr">
        <is>
          <t>4f</t>
        </is>
      </c>
      <c r="D749" s="11" t="inlineStr">
        <is>
          <t>Dependent prepositions</t>
        </is>
      </c>
      <c r="E749" s="35" t="inlineStr">
        <is>
          <t>Dependent prepositions</t>
        </is>
      </c>
      <c r="F749" s="11" t="inlineStr">
        <is>
          <t>Ст-633</t>
        </is>
      </c>
      <c r="G749" s="37" t="inlineStr">
        <is>
          <t>повторение</t>
        </is>
      </c>
      <c r="H749" s="11" t="inlineStr">
        <is>
          <t>Предлоги (prepositions) — тема English in Use 4f.</t>
        </is>
      </c>
      <c r="I749" s="37" t="inlineStr">
        <is>
          <t>10+</t>
        </is>
      </c>
      <c r="J749" s="11">
        <f>IFERROR(INDEX('Уроки'!$H:$H,MATCH(F749,'Уроки'!$A:$A,0)),"")</f>
        <v/>
      </c>
      <c r="K749" s="11">
        <f>IFERROR(INDEX('Уроки'!$J:$J,MATCH(F749,'Уроки'!$A:$A,0)),"")</f>
        <v/>
      </c>
      <c r="L749" s="11" t="inlineStr">
        <is>
          <t>Spotlight / 8 класс / Module 4 · Be Yourself / Dependent prepositions / Dependent prepositions</t>
        </is>
      </c>
    </row>
    <row r="750">
      <c r="A750" s="37" t="n">
        <v>8</v>
      </c>
      <c r="B750" s="11" t="inlineStr">
        <is>
          <t>Module 4 · Be Yourself</t>
        </is>
      </c>
      <c r="C750" s="11" t="inlineStr">
        <is>
          <t>4f</t>
        </is>
      </c>
      <c r="D750" s="11" t="inlineStr">
        <is>
          <t>Words often confused</t>
        </is>
      </c>
      <c r="E750" s="35" t="inlineStr">
        <is>
          <t>Words often confused</t>
        </is>
      </c>
      <c r="F750" s="11" t="inlineStr">
        <is>
          <t>Ст-635</t>
        </is>
      </c>
      <c r="G750" s="37" t="inlineStr">
        <is>
          <t>повторение</t>
        </is>
      </c>
      <c r="H750" s="11" t="inlineStr">
        <is>
          <t>Слова, которые часто путают — тема English in Use 4f.</t>
        </is>
      </c>
      <c r="I750" s="37" t="inlineStr">
        <is>
          <t>10+</t>
        </is>
      </c>
      <c r="J750" s="11">
        <f>IFERROR(INDEX('Уроки'!$H:$H,MATCH(F750,'Уроки'!$A:$A,0)),"")</f>
        <v/>
      </c>
      <c r="K750" s="11">
        <f>IFERROR(INDEX('Уроки'!$J:$J,MATCH(F750,'Уроки'!$A:$A,0)),"")</f>
        <v/>
      </c>
      <c r="L750" s="11" t="inlineStr">
        <is>
          <t>Spotlight / 8 класс / Module 4 · Be Yourself / Words often confused / Words often confused</t>
        </is>
      </c>
    </row>
    <row r="751">
      <c r="A751" s="37" t="n">
        <v>8</v>
      </c>
      <c r="B751" s="11" t="inlineStr">
        <is>
          <t>Module 5 · Global Issues</t>
        </is>
      </c>
      <c r="C751" s="11" t="inlineStr">
        <is>
          <t>5c</t>
        </is>
      </c>
      <c r="D751" s="11" t="inlineStr">
        <is>
          <t>Infinitive / -ing form</t>
        </is>
      </c>
      <c r="E751" s="35" t="inlineStr">
        <is>
          <t>-ing form: в роли подлежащего</t>
        </is>
      </c>
      <c r="F751" s="11" t="inlineStr">
        <is>
          <t>Ст-237</t>
        </is>
      </c>
      <c r="G751" s="40" t="inlineStr">
        <is>
          <t>новое</t>
        </is>
      </c>
      <c r="H751" s="11" t="inlineStr"/>
      <c r="I751" s="37" t="inlineStr">
        <is>
          <t>10+</t>
        </is>
      </c>
      <c r="J751" s="11">
        <f>IFERROR(INDEX('Уроки'!$H:$H,MATCH(F751,'Уроки'!$A:$A,0)),"")</f>
        <v/>
      </c>
      <c r="K751" s="11">
        <f>IFERROR(INDEX('Уроки'!$J:$J,MATCH(F751,'Уроки'!$A:$A,0)),"")</f>
        <v/>
      </c>
      <c r="L751" s="11" t="inlineStr">
        <is>
          <t>Spotlight / 8 класс / Module 5 · Global Issues / Infinitive / -ing form / -ing form: в роли подлежащего</t>
        </is>
      </c>
    </row>
    <row r="752">
      <c r="A752" s="37" t="n">
        <v>8</v>
      </c>
      <c r="B752" s="11" t="inlineStr">
        <is>
          <t>Module 5 · Global Issues</t>
        </is>
      </c>
      <c r="C752" s="11" t="inlineStr">
        <is>
          <t>5c</t>
        </is>
      </c>
      <c r="D752" s="11" t="inlineStr">
        <is>
          <t>Infinitive / -ing form</t>
        </is>
      </c>
      <c r="E752" s="33" t="inlineStr">
        <is>
          <t>-ing form: после глаголов admit, avoid, consider, deny, fancy, go, imagine, mind, miss, practise, suggest…</t>
        </is>
      </c>
      <c r="F752" s="11" t="inlineStr">
        <is>
          <t>Ст-238</t>
        </is>
      </c>
      <c r="G752" s="40" t="inlineStr">
        <is>
          <t>новое</t>
        </is>
      </c>
      <c r="H752" s="11" t="inlineStr">
        <is>
          <t>admit, appreciate, avoid, consider, continue, deny, fancy, go, imagine, mind, miss, practise, prevent, quit, save, suggest</t>
        </is>
      </c>
      <c r="I752" s="37" t="inlineStr">
        <is>
          <t>10+</t>
        </is>
      </c>
      <c r="J752" s="11">
        <f>IFERROR(INDEX('Уроки'!$H:$H,MATCH(F752,'Уроки'!$A:$A,0)),"")</f>
        <v/>
      </c>
      <c r="K752" s="11">
        <f>IFERROR(INDEX('Уроки'!$J:$J,MATCH(F752,'Уроки'!$A:$A,0)),"")</f>
        <v/>
      </c>
      <c r="L752" s="11" t="inlineStr">
        <is>
          <t>Spotlight / 8 класс / Module 5 · Global Issues / Infinitive / -ing form / -ing form: после глаголов admit, avoid, consider, deny, fancy, go, imagine, mind, miss, practise, suggest…</t>
        </is>
      </c>
    </row>
    <row r="753">
      <c r="A753" s="37" t="n">
        <v>8</v>
      </c>
      <c r="B753" s="11" t="inlineStr">
        <is>
          <t>Module 5 · Global Issues</t>
        </is>
      </c>
      <c r="C753" s="11" t="inlineStr">
        <is>
          <t>5c</t>
        </is>
      </c>
      <c r="D753" s="11" t="inlineStr">
        <is>
          <t>Infinitive / -ing form</t>
        </is>
      </c>
      <c r="E753" s="33" t="inlineStr">
        <is>
          <t>-ing form: после like, love, enjoy, prefer, dislike, hate — общее предпочтение</t>
        </is>
      </c>
      <c r="F753" s="11" t="inlineStr">
        <is>
          <t>Ст-239</t>
        </is>
      </c>
      <c r="G753" s="40" t="inlineStr">
        <is>
          <t>новое</t>
        </is>
      </c>
      <c r="H753" s="11" t="inlineStr"/>
      <c r="I753" s="37" t="inlineStr">
        <is>
          <t>10+</t>
        </is>
      </c>
      <c r="J753" s="11">
        <f>IFERROR(INDEX('Уроки'!$H:$H,MATCH(F753,'Уроки'!$A:$A,0)),"")</f>
        <v/>
      </c>
      <c r="K753" s="11">
        <f>IFERROR(INDEX('Уроки'!$J:$J,MATCH(F753,'Уроки'!$A:$A,0)),"")</f>
        <v/>
      </c>
      <c r="L753" s="11" t="inlineStr">
        <is>
          <t>Spotlight / 8 класс / Module 5 · Global Issues / Infinitive / -ing form / -ing form: после like, love, enjoy, prefer, dislike, hate — общее предпочтение</t>
        </is>
      </c>
    </row>
    <row r="754">
      <c r="A754" s="37" t="n">
        <v>8</v>
      </c>
      <c r="B754" s="11" t="inlineStr">
        <is>
          <t>Module 5 · Global Issues</t>
        </is>
      </c>
      <c r="C754" s="11" t="inlineStr">
        <is>
          <t>5c</t>
        </is>
      </c>
      <c r="D754" s="11" t="inlineStr">
        <is>
          <t>Infinitive / -ing form</t>
        </is>
      </c>
      <c r="E754" s="33" t="inlineStr">
        <is>
          <t>-ing form: после выражений it's no use, it's (not) worth, can't help, there's no point…</t>
        </is>
      </c>
      <c r="F754" s="11" t="inlineStr">
        <is>
          <t>Ст-240</t>
        </is>
      </c>
      <c r="G754" s="40" t="inlineStr">
        <is>
          <t>новое</t>
        </is>
      </c>
      <c r="H754" s="11" t="inlineStr">
        <is>
          <t>be busy, it's no use/good, it's (not) worth, what's the use of, can't help, there's no point, can't stand, have difficulty/trouble</t>
        </is>
      </c>
      <c r="I754" s="37" t="inlineStr">
        <is>
          <t>10+</t>
        </is>
      </c>
      <c r="J754" s="11">
        <f>IFERROR(INDEX('Уроки'!$H:$H,MATCH(F754,'Уроки'!$A:$A,0)),"")</f>
        <v/>
      </c>
      <c r="K754" s="11">
        <f>IFERROR(INDEX('Уроки'!$J:$J,MATCH(F754,'Уроки'!$A:$A,0)),"")</f>
        <v/>
      </c>
      <c r="L754" s="11" t="inlineStr">
        <is>
          <t>Spotlight / 8 класс / Module 5 · Global Issues / Infinitive / -ing form / -ing form: после выражений it's no use, it's (not) worth, can't help, there's no point…</t>
        </is>
      </c>
    </row>
    <row r="755">
      <c r="A755" s="37" t="n">
        <v>8</v>
      </c>
      <c r="B755" s="11" t="inlineStr">
        <is>
          <t>Module 5 · Global Issues</t>
        </is>
      </c>
      <c r="C755" s="11" t="inlineStr">
        <is>
          <t>5c</t>
        </is>
      </c>
      <c r="D755" s="11" t="inlineStr">
        <is>
          <t>Infinitive / -ing form</t>
        </is>
      </c>
      <c r="E755" s="35" t="inlineStr">
        <is>
          <t>-ing form: после spend/waste/lose + время/деньги</t>
        </is>
      </c>
      <c r="F755" s="11" t="inlineStr">
        <is>
          <t>Ст-241</t>
        </is>
      </c>
      <c r="G755" s="40" t="inlineStr">
        <is>
          <t>новое</t>
        </is>
      </c>
      <c r="H755" s="11" t="inlineStr"/>
      <c r="I755" s="37" t="inlineStr">
        <is>
          <t>10+</t>
        </is>
      </c>
      <c r="J755" s="11">
        <f>IFERROR(INDEX('Уроки'!$H:$H,MATCH(F755,'Уроки'!$A:$A,0)),"")</f>
        <v/>
      </c>
      <c r="K755" s="11">
        <f>IFERROR(INDEX('Уроки'!$J:$J,MATCH(F755,'Уроки'!$A:$A,0)),"")</f>
        <v/>
      </c>
      <c r="L755" s="11" t="inlineStr">
        <is>
          <t>Spotlight / 8 класс / Module 5 · Global Issues / Infinitive / -ing form / -ing form: после spend/waste/lose + время/деньги</t>
        </is>
      </c>
    </row>
    <row r="756">
      <c r="A756" s="37" t="n">
        <v>8</v>
      </c>
      <c r="B756" s="11" t="inlineStr">
        <is>
          <t>Module 5 · Global Issues</t>
        </is>
      </c>
      <c r="C756" s="11" t="inlineStr">
        <is>
          <t>5c</t>
        </is>
      </c>
      <c r="D756" s="11" t="inlineStr">
        <is>
          <t>Infinitive / -ing form</t>
        </is>
      </c>
      <c r="E756" s="33" t="inlineStr">
        <is>
          <t>-ing form: после предлогов (look forward to, be used to, object to…)</t>
        </is>
      </c>
      <c r="F756" s="11" t="inlineStr">
        <is>
          <t>Ст-242</t>
        </is>
      </c>
      <c r="G756" s="40" t="inlineStr">
        <is>
          <t>новое</t>
        </is>
      </c>
      <c r="H756" s="11" t="inlineStr">
        <is>
          <t>look forward to, be/get used to, in addition to, object to; другие предлоги</t>
        </is>
      </c>
      <c r="I756" s="37" t="inlineStr">
        <is>
          <t>10+</t>
        </is>
      </c>
      <c r="J756" s="11">
        <f>IFERROR(INDEX('Уроки'!$H:$H,MATCH(F756,'Уроки'!$A:$A,0)),"")</f>
        <v/>
      </c>
      <c r="K756" s="11">
        <f>IFERROR(INDEX('Уроки'!$J:$J,MATCH(F756,'Уроки'!$A:$A,0)),"")</f>
        <v/>
      </c>
      <c r="L756" s="11" t="inlineStr">
        <is>
          <t>Spotlight / 8 класс / Module 5 · Global Issues / Infinitive / -ing form / -ing form: после предлогов (look forward to, be used to, object to…)</t>
        </is>
      </c>
    </row>
    <row r="757">
      <c r="A757" s="37" t="n">
        <v>8</v>
      </c>
      <c r="B757" s="11" t="inlineStr">
        <is>
          <t>Module 5 · Global Issues</t>
        </is>
      </c>
      <c r="C757" s="11" t="inlineStr">
        <is>
          <t>5c</t>
        </is>
      </c>
      <c r="D757" s="11" t="inlineStr">
        <is>
          <t>Infinitive / -ing form</t>
        </is>
      </c>
      <c r="E757" s="35" t="inlineStr">
        <is>
          <t>-ing vs bare infinitive после see, hear, watch, feel — незавершённое vs завершённое</t>
        </is>
      </c>
      <c r="F757" s="11" t="inlineStr">
        <is>
          <t>Ст-243</t>
        </is>
      </c>
      <c r="G757" s="40" t="inlineStr">
        <is>
          <t>новое</t>
        </is>
      </c>
      <c r="H757" s="11" t="inlineStr">
        <is>
          <t>hear, listen to, notice, see, watch, feel</t>
        </is>
      </c>
      <c r="I757" s="37" t="inlineStr">
        <is>
          <t>10+</t>
        </is>
      </c>
      <c r="J757" s="11">
        <f>IFERROR(INDEX('Уроки'!$H:$H,MATCH(F757,'Уроки'!$A:$A,0)),"")</f>
        <v/>
      </c>
      <c r="K757" s="11">
        <f>IFERROR(INDEX('Уроки'!$J:$J,MATCH(F757,'Уроки'!$A:$A,0)),"")</f>
        <v/>
      </c>
      <c r="L757" s="11" t="inlineStr">
        <is>
          <t>Spotlight / 8 класс / Module 5 · Global Issues / Infinitive / -ing form / -ing vs bare infinitive после see, hear, watch, feel — незавершённое vs завершённое</t>
        </is>
      </c>
    </row>
    <row r="758">
      <c r="A758" s="37" t="n">
        <v>8</v>
      </c>
      <c r="B758" s="11" t="inlineStr">
        <is>
          <t>Module 5 · Global Issues</t>
        </is>
      </c>
      <c r="C758" s="11" t="inlineStr">
        <is>
          <t>5c</t>
        </is>
      </c>
      <c r="D758" s="11" t="inlineStr">
        <is>
          <t>Infinitive / -ing form</t>
        </is>
      </c>
      <c r="E758" s="33" t="inlineStr">
        <is>
          <t>to-infinitive: цель</t>
        </is>
      </c>
      <c r="F758" s="11" t="inlineStr">
        <is>
          <t>Ст-245</t>
        </is>
      </c>
      <c r="G758" s="40" t="inlineStr">
        <is>
          <t>новое</t>
        </is>
      </c>
      <c r="H758" s="11" t="inlineStr"/>
      <c r="I758" s="37" t="inlineStr">
        <is>
          <t>10+</t>
        </is>
      </c>
      <c r="J758" s="11">
        <f>IFERROR(INDEX('Уроки'!$H:$H,MATCH(F758,'Уроки'!$A:$A,0)),"")</f>
        <v/>
      </c>
      <c r="K758" s="11">
        <f>IFERROR(INDEX('Уроки'!$J:$J,MATCH(F758,'Уроки'!$A:$A,0)),"")</f>
        <v/>
      </c>
      <c r="L758" s="11" t="inlineStr">
        <is>
          <t>Spotlight / 8 класс / Module 5 · Global Issues / Infinitive / -ing form / to-infinitive: цель</t>
        </is>
      </c>
    </row>
    <row r="759">
      <c r="A759" s="37" t="n">
        <v>8</v>
      </c>
      <c r="B759" s="11" t="inlineStr">
        <is>
          <t>Module 5 · Global Issues</t>
        </is>
      </c>
      <c r="C759" s="11" t="inlineStr">
        <is>
          <t>5c</t>
        </is>
      </c>
      <c r="D759" s="11" t="inlineStr">
        <is>
          <t>Infinitive / -ing form</t>
        </is>
      </c>
      <c r="E759" s="33" t="inlineStr">
        <is>
          <t>to-infinitive: после agree, decide, expect, hope, plan, promise, refuse, want</t>
        </is>
      </c>
      <c r="F759" s="11" t="inlineStr">
        <is>
          <t>Ст-246</t>
        </is>
      </c>
      <c r="G759" s="40" t="inlineStr">
        <is>
          <t>новое</t>
        </is>
      </c>
      <c r="H759" s="11" t="inlineStr"/>
      <c r="I759" s="37" t="inlineStr">
        <is>
          <t>10+</t>
        </is>
      </c>
      <c r="J759" s="11">
        <f>IFERROR(INDEX('Уроки'!$H:$H,MATCH(F759,'Уроки'!$A:$A,0)),"")</f>
        <v/>
      </c>
      <c r="K759" s="11">
        <f>IFERROR(INDEX('Уроки'!$J:$J,MATCH(F759,'Уроки'!$A:$A,0)),"")</f>
        <v/>
      </c>
      <c r="L759" s="11" t="inlineStr">
        <is>
          <t>Spotlight / 8 класс / Module 5 · Global Issues / Infinitive / -ing form / to-infinitive: после agree, decide, expect, hope, plan, promise, refuse, want</t>
        </is>
      </c>
    </row>
    <row r="760">
      <c r="A760" s="37" t="n">
        <v>8</v>
      </c>
      <c r="B760" s="11" t="inlineStr">
        <is>
          <t>Module 5 · Global Issues</t>
        </is>
      </c>
      <c r="C760" s="11" t="inlineStr">
        <is>
          <t>5c</t>
        </is>
      </c>
      <c r="D760" s="11" t="inlineStr">
        <is>
          <t>Infinitive / -ing form</t>
        </is>
      </c>
      <c r="E760" s="35" t="inlineStr">
        <is>
          <t>to-infinitive: после would like/prefer/love — конкретное предпочтение</t>
        </is>
      </c>
      <c r="F760" s="11" t="inlineStr">
        <is>
          <t>Ст-247</t>
        </is>
      </c>
      <c r="G760" s="40" t="inlineStr">
        <is>
          <t>новое</t>
        </is>
      </c>
      <c r="H760" s="11" t="inlineStr"/>
      <c r="I760" s="37" t="inlineStr">
        <is>
          <t>10+</t>
        </is>
      </c>
      <c r="J760" s="11">
        <f>IFERROR(INDEX('Уроки'!$H:$H,MATCH(F760,'Уроки'!$A:$A,0)),"")</f>
        <v/>
      </c>
      <c r="K760" s="11">
        <f>IFERROR(INDEX('Уроки'!$J:$J,MATCH(F760,'Уроки'!$A:$A,0)),"")</f>
        <v/>
      </c>
      <c r="L760" s="11" t="inlineStr">
        <is>
          <t>Spotlight / 8 класс / Module 5 · Global Issues / Infinitive / -ing form / to-infinitive: после would like/prefer/love — конкретное предпочтение</t>
        </is>
      </c>
    </row>
    <row r="761">
      <c r="A761" s="37" t="n">
        <v>8</v>
      </c>
      <c r="B761" s="11" t="inlineStr">
        <is>
          <t>Module 5 · Global Issues</t>
        </is>
      </c>
      <c r="C761" s="11" t="inlineStr">
        <is>
          <t>5c</t>
        </is>
      </c>
      <c r="D761" s="11" t="inlineStr">
        <is>
          <t>Infinitive / -ing form</t>
        </is>
      </c>
      <c r="E761" s="33" t="inlineStr">
        <is>
          <t>to-infinitive: после прилагательных (happy, eager, kind, lucky…); It was kind of you to…</t>
        </is>
      </c>
      <c r="F761" s="11" t="inlineStr">
        <is>
          <t>Ст-248</t>
        </is>
      </c>
      <c r="G761" s="40" t="inlineStr">
        <is>
          <t>новое</t>
        </is>
      </c>
      <c r="H761" s="11" t="inlineStr">
        <is>
          <t>чувства, желание, характер, lucky/fortunate; It was kind of them to…</t>
        </is>
      </c>
      <c r="I761" s="37" t="inlineStr">
        <is>
          <t>10+</t>
        </is>
      </c>
      <c r="J761" s="11">
        <f>IFERROR(INDEX('Уроки'!$H:$H,MATCH(F761,'Уроки'!$A:$A,0)),"")</f>
        <v/>
      </c>
      <c r="K761" s="11">
        <f>IFERROR(INDEX('Уроки'!$J:$J,MATCH(F761,'Уроки'!$A:$A,0)),"")</f>
        <v/>
      </c>
      <c r="L761" s="11" t="inlineStr">
        <is>
          <t>Spotlight / 8 класс / Module 5 · Global Issues / Infinitive / -ing form / to-infinitive: после прилагательных (happy, eager, kind, lucky…); It was kind of you to…</t>
        </is>
      </c>
    </row>
    <row r="762">
      <c r="A762" s="37" t="n">
        <v>8</v>
      </c>
      <c r="B762" s="11" t="inlineStr">
        <is>
          <t>Module 5 · Global Issues</t>
        </is>
      </c>
      <c r="C762" s="11" t="inlineStr">
        <is>
          <t>5c</t>
        </is>
      </c>
      <c r="D762" s="11" t="inlineStr">
        <is>
          <t>Infinitive / -ing form</t>
        </is>
      </c>
      <c r="E762" s="35" t="inlineStr">
        <is>
          <t>to-infinitive: после too/enough</t>
        </is>
      </c>
      <c r="F762" s="11" t="inlineStr">
        <is>
          <t>Ст-249</t>
        </is>
      </c>
      <c r="G762" s="40" t="inlineStr">
        <is>
          <t>новое</t>
        </is>
      </c>
      <c r="H762" s="11" t="inlineStr"/>
      <c r="I762" s="37" t="inlineStr">
        <is>
          <t>10+</t>
        </is>
      </c>
      <c r="J762" s="11">
        <f>IFERROR(INDEX('Уроки'!$H:$H,MATCH(F762,'Уроки'!$A:$A,0)),"")</f>
        <v/>
      </c>
      <c r="K762" s="11">
        <f>IFERROR(INDEX('Уроки'!$J:$J,MATCH(F762,'Уроки'!$A:$A,0)),"")</f>
        <v/>
      </c>
      <c r="L762" s="11" t="inlineStr">
        <is>
          <t>Spotlight / 8 класс / Module 5 · Global Issues / Infinitive / -ing form / to-infinitive: после too/enough</t>
        </is>
      </c>
    </row>
    <row r="763">
      <c r="A763" s="37" t="n">
        <v>8</v>
      </c>
      <c r="B763" s="11" t="inlineStr">
        <is>
          <t>Module 5 · Global Issues</t>
        </is>
      </c>
      <c r="C763" s="11" t="inlineStr">
        <is>
          <t>5c</t>
        </is>
      </c>
      <c r="D763" s="11" t="inlineStr">
        <is>
          <t>Infinitive / -ing form</t>
        </is>
      </c>
      <c r="E763" s="35" t="inlineStr">
        <is>
          <t>to-infinitive: после be the first/next/last</t>
        </is>
      </c>
      <c r="F763" s="11" t="inlineStr">
        <is>
          <t>Ст-250</t>
        </is>
      </c>
      <c r="G763" s="40" t="inlineStr">
        <is>
          <t>новое</t>
        </is>
      </c>
      <c r="H763" s="11" t="inlineStr"/>
      <c r="I763" s="37" t="inlineStr">
        <is>
          <t>10+</t>
        </is>
      </c>
      <c r="J763" s="11">
        <f>IFERROR(INDEX('Уроки'!$H:$H,MATCH(F763,'Уроки'!$A:$A,0)),"")</f>
        <v/>
      </c>
      <c r="K763" s="11">
        <f>IFERROR(INDEX('Уроки'!$J:$J,MATCH(F763,'Уроки'!$A:$A,0)),"")</f>
        <v/>
      </c>
      <c r="L763" s="11" t="inlineStr">
        <is>
          <t>Spotlight / 8 класс / Module 5 · Global Issues / Infinitive / -ing form / to-infinitive: после be the first/next/last</t>
        </is>
      </c>
    </row>
    <row r="764">
      <c r="A764" s="37" t="n">
        <v>8</v>
      </c>
      <c r="B764" s="11" t="inlineStr">
        <is>
          <t>Module 5 · Global Issues</t>
        </is>
      </c>
      <c r="C764" s="11" t="inlineStr">
        <is>
          <t>5c</t>
        </is>
      </c>
      <c r="D764" s="11" t="inlineStr">
        <is>
          <t>Infinitive / -ing form</t>
        </is>
      </c>
      <c r="E764" s="35" t="inlineStr">
        <is>
          <t>to-infinitive: устойчивые выражения (to tell you the truth, to be honest, to sum up…)</t>
        </is>
      </c>
      <c r="F764" s="11" t="inlineStr">
        <is>
          <t>Ст-251</t>
        </is>
      </c>
      <c r="G764" s="40" t="inlineStr">
        <is>
          <t>новое</t>
        </is>
      </c>
      <c r="H764" s="11" t="inlineStr">
        <is>
          <t>to tell you the truth, to be honest, to sum up, to begin with</t>
        </is>
      </c>
      <c r="I764" s="37" t="inlineStr">
        <is>
          <t>10+</t>
        </is>
      </c>
      <c r="J764" s="11">
        <f>IFERROR(INDEX('Уроки'!$H:$H,MATCH(F764,'Уроки'!$A:$A,0)),"")</f>
        <v/>
      </c>
      <c r="K764" s="11">
        <f>IFERROR(INDEX('Уроки'!$J:$J,MATCH(F764,'Уроки'!$A:$A,0)),"")</f>
        <v/>
      </c>
      <c r="L764" s="11" t="inlineStr">
        <is>
          <t>Spotlight / 8 класс / Module 5 · Global Issues / Infinitive / -ing form / to-infinitive: устойчивые выражения (to tell you the truth, to be honest, to sum up…)</t>
        </is>
      </c>
    </row>
    <row r="765">
      <c r="A765" s="37" t="n">
        <v>8</v>
      </c>
      <c r="B765" s="11" t="inlineStr">
        <is>
          <t>Module 5 · Global Issues</t>
        </is>
      </c>
      <c r="C765" s="11" t="inlineStr">
        <is>
          <t>5c</t>
        </is>
      </c>
      <c r="D765" s="11" t="inlineStr">
        <is>
          <t>Infinitive / -ing form</t>
        </is>
      </c>
      <c r="E765" s="35" t="inlineStr">
        <is>
          <t>to-infinitive: второй инфинитив после and/or без to</t>
        </is>
      </c>
      <c r="F765" s="11" t="inlineStr">
        <is>
          <t>Ст-254</t>
        </is>
      </c>
      <c r="G765" s="40" t="inlineStr">
        <is>
          <t>новое</t>
        </is>
      </c>
      <c r="H765" s="11" t="inlineStr">
        <is>
          <t>дано при цели</t>
        </is>
      </c>
      <c r="I765" s="37" t="inlineStr">
        <is>
          <t>10+</t>
        </is>
      </c>
      <c r="J765" s="11">
        <f>IFERROR(INDEX('Уроки'!$H:$H,MATCH(F765,'Уроки'!$A:$A,0)),"")</f>
        <v/>
      </c>
      <c r="K765" s="11">
        <f>IFERROR(INDEX('Уроки'!$J:$J,MATCH(F765,'Уроки'!$A:$A,0)),"")</f>
        <v/>
      </c>
      <c r="L765" s="11" t="inlineStr">
        <is>
          <t>Spotlight / 8 класс / Module 5 · Global Issues / Infinitive / -ing form / to-infinitive: второй инфинитив после and/or без to</t>
        </is>
      </c>
    </row>
    <row r="766">
      <c r="A766" s="37" t="n">
        <v>8</v>
      </c>
      <c r="B766" s="11" t="inlineStr">
        <is>
          <t>Module 5 · Global Issues</t>
        </is>
      </c>
      <c r="C766" s="11" t="inlineStr">
        <is>
          <t>5c</t>
        </is>
      </c>
      <c r="D766" s="11" t="inlineStr">
        <is>
          <t>Infinitive / -ing form</t>
        </is>
      </c>
      <c r="E766" s="35" t="inlineStr">
        <is>
          <t>Bare infinitive: после модальных, had better, would rather</t>
        </is>
      </c>
      <c r="F766" s="11" t="inlineStr">
        <is>
          <t>Ст-256</t>
        </is>
      </c>
      <c r="G766" s="40" t="inlineStr">
        <is>
          <t>новое</t>
        </is>
      </c>
      <c r="H766" s="11" t="inlineStr"/>
      <c r="I766" s="37" t="inlineStr">
        <is>
          <t>10+</t>
        </is>
      </c>
      <c r="J766" s="11">
        <f>IFERROR(INDEX('Уроки'!$H:$H,MATCH(F766,'Уроки'!$A:$A,0)),"")</f>
        <v/>
      </c>
      <c r="K766" s="11">
        <f>IFERROR(INDEX('Уроки'!$J:$J,MATCH(F766,'Уроки'!$A:$A,0)),"")</f>
        <v/>
      </c>
      <c r="L766" s="11" t="inlineStr">
        <is>
          <t>Spotlight / 8 класс / Module 5 · Global Issues / Infinitive / -ing form / Bare infinitive: после модальных, had better, would rather</t>
        </is>
      </c>
    </row>
    <row r="767">
      <c r="A767" s="37" t="n">
        <v>8</v>
      </c>
      <c r="B767" s="11" t="inlineStr">
        <is>
          <t>Module 5 · Global Issues</t>
        </is>
      </c>
      <c r="C767" s="11" t="inlineStr">
        <is>
          <t>5c</t>
        </is>
      </c>
      <c r="D767" s="11" t="inlineStr">
        <is>
          <t>Infinitive / -ing form</t>
        </is>
      </c>
      <c r="E767" s="35" t="inlineStr">
        <is>
          <t>Bare infinitive: let/make/see/hear/feel + object + V; в пассиве + to (was made to)</t>
        </is>
      </c>
      <c r="F767" s="11" t="inlineStr">
        <is>
          <t>Ст-257</t>
        </is>
      </c>
      <c r="G767" s="40" t="inlineStr">
        <is>
          <t>новое</t>
        </is>
      </c>
      <c r="H767" s="11" t="inlineStr">
        <is>
          <t>let, make, see, hear, feel; be made/heard/seen + to</t>
        </is>
      </c>
      <c r="I767" s="37" t="inlineStr">
        <is>
          <t>10+</t>
        </is>
      </c>
      <c r="J767" s="11">
        <f>IFERROR(INDEX('Уроки'!$H:$H,MATCH(F767,'Уроки'!$A:$A,0)),"")</f>
        <v/>
      </c>
      <c r="K767" s="11">
        <f>IFERROR(INDEX('Уроки'!$J:$J,MATCH(F767,'Уроки'!$A:$A,0)),"")</f>
        <v/>
      </c>
      <c r="L767" s="11" t="inlineStr">
        <is>
          <t>Spotlight / 8 класс / Module 5 · Global Issues / Infinitive / -ing form / Bare infinitive: let/make/see/hear/feel + object + V; в пассиве + to (was made to)</t>
        </is>
      </c>
    </row>
    <row r="768">
      <c r="A768" s="37" t="n">
        <v>8</v>
      </c>
      <c r="B768" s="11" t="inlineStr">
        <is>
          <t>Module 5 · Global Issues</t>
        </is>
      </c>
      <c r="C768" s="11" t="inlineStr">
        <is>
          <t>5c</t>
        </is>
      </c>
      <c r="D768" s="11" t="inlineStr">
        <is>
          <t>Infinitive / -ing form</t>
        </is>
      </c>
      <c r="E768" s="35" t="inlineStr">
        <is>
          <t>Bare infinitive: help + (to) V</t>
        </is>
      </c>
      <c r="F768" s="11" t="inlineStr">
        <is>
          <t>Ст-258</t>
        </is>
      </c>
      <c r="G768" s="40" t="inlineStr">
        <is>
          <t>новое</t>
        </is>
      </c>
      <c r="H768" s="11" t="inlineStr"/>
      <c r="I768" s="37" t="inlineStr">
        <is>
          <t>10+</t>
        </is>
      </c>
      <c r="J768" s="11">
        <f>IFERROR(INDEX('Уроки'!$H:$H,MATCH(F768,'Уроки'!$A:$A,0)),"")</f>
        <v/>
      </c>
      <c r="K768" s="11">
        <f>IFERROR(INDEX('Уроки'!$J:$J,MATCH(F768,'Уроки'!$A:$A,0)),"")</f>
        <v/>
      </c>
      <c r="L768" s="11" t="inlineStr">
        <is>
          <t>Spotlight / 8 класс / Module 5 · Global Issues / Infinitive / -ing form / Bare infinitive: help + (to) V</t>
        </is>
      </c>
    </row>
    <row r="769">
      <c r="A769" s="37" t="n">
        <v>8</v>
      </c>
      <c r="B769" s="11" t="inlineStr">
        <is>
          <t>Module 5 · Global Issues</t>
        </is>
      </c>
      <c r="C769" s="11" t="inlineStr">
        <is>
          <t>5c</t>
        </is>
      </c>
      <c r="D769" s="11" t="inlineStr">
        <is>
          <t>Infinitive / -ing form (difference in meaning)</t>
        </is>
      </c>
      <c r="E769" s="35" t="inlineStr">
        <is>
          <t>Infinitive vs -ing: forget/remember</t>
        </is>
      </c>
      <c r="F769" s="11" t="inlineStr">
        <is>
          <t>Ст-259</t>
        </is>
      </c>
      <c r="G769" s="40" t="inlineStr">
        <is>
          <t>новое</t>
        </is>
      </c>
      <c r="H769" s="11" t="inlineStr">
        <is>
          <t>обзорно в теме Infinitive / -ing form</t>
        </is>
      </c>
      <c r="I769" s="37" t="inlineStr">
        <is>
          <t>10+</t>
        </is>
      </c>
      <c r="J769" s="11">
        <f>IFERROR(INDEX('Уроки'!$H:$H,MATCH(F769,'Уроки'!$A:$A,0)),"")</f>
        <v/>
      </c>
      <c r="K769" s="11">
        <f>IFERROR(INDEX('Уроки'!$J:$J,MATCH(F769,'Уроки'!$A:$A,0)),"")</f>
        <v/>
      </c>
      <c r="L769" s="11" t="inlineStr">
        <is>
          <t>Spotlight / 8 класс / Module 5 · Global Issues / Infinitive / -ing form (difference in meaning) / Infinitive vs -ing: forget/remember</t>
        </is>
      </c>
    </row>
    <row r="770">
      <c r="A770" s="37" t="n">
        <v>8</v>
      </c>
      <c r="B770" s="11" t="inlineStr">
        <is>
          <t>Module 5 · Global Issues</t>
        </is>
      </c>
      <c r="C770" s="11" t="inlineStr">
        <is>
          <t>5c</t>
        </is>
      </c>
      <c r="D770" s="11" t="inlineStr">
        <is>
          <t>Infinitive / -ing form (difference in meaning)</t>
        </is>
      </c>
      <c r="E770" s="35" t="inlineStr">
        <is>
          <t>Infinitive vs -ing: stop</t>
        </is>
      </c>
      <c r="F770" s="11" t="inlineStr">
        <is>
          <t>Ст-260</t>
        </is>
      </c>
      <c r="G770" s="40" t="inlineStr">
        <is>
          <t>новое</t>
        </is>
      </c>
      <c r="H770" s="11" t="inlineStr">
        <is>
          <t>обзорно</t>
        </is>
      </c>
      <c r="I770" s="37" t="inlineStr">
        <is>
          <t>10+</t>
        </is>
      </c>
      <c r="J770" s="11">
        <f>IFERROR(INDEX('Уроки'!$H:$H,MATCH(F770,'Уроки'!$A:$A,0)),"")</f>
        <v/>
      </c>
      <c r="K770" s="11">
        <f>IFERROR(INDEX('Уроки'!$J:$J,MATCH(F770,'Уроки'!$A:$A,0)),"")</f>
        <v/>
      </c>
      <c r="L770" s="11" t="inlineStr">
        <is>
          <t>Spotlight / 8 класс / Module 5 · Global Issues / Infinitive / -ing form (difference in meaning) / Infinitive vs -ing: stop</t>
        </is>
      </c>
    </row>
    <row r="771">
      <c r="A771" s="37" t="n">
        <v>8</v>
      </c>
      <c r="B771" s="11" t="inlineStr">
        <is>
          <t>Module 5 · Global Issues</t>
        </is>
      </c>
      <c r="C771" s="11" t="inlineStr">
        <is>
          <t>5c</t>
        </is>
      </c>
      <c r="D771" s="11" t="inlineStr">
        <is>
          <t>Infinitive / -ing form (difference in meaning)</t>
        </is>
      </c>
      <c r="E771" s="35" t="inlineStr">
        <is>
          <t>Infinitive vs -ing: try</t>
        </is>
      </c>
      <c r="F771" s="11" t="inlineStr">
        <is>
          <t>Ст-261</t>
        </is>
      </c>
      <c r="G771" s="40" t="inlineStr">
        <is>
          <t>новое</t>
        </is>
      </c>
      <c r="H771" s="11" t="inlineStr">
        <is>
          <t>обзорно</t>
        </is>
      </c>
      <c r="I771" s="37" t="inlineStr">
        <is>
          <t>10+</t>
        </is>
      </c>
      <c r="J771" s="11">
        <f>IFERROR(INDEX('Уроки'!$H:$H,MATCH(F771,'Уроки'!$A:$A,0)),"")</f>
        <v/>
      </c>
      <c r="K771" s="11">
        <f>IFERROR(INDEX('Уроки'!$J:$J,MATCH(F771,'Уроки'!$A:$A,0)),"")</f>
        <v/>
      </c>
      <c r="L771" s="11" t="inlineStr">
        <is>
          <t>Spotlight / 8 класс / Module 5 · Global Issues / Infinitive / -ing form (difference in meaning) / Infinitive vs -ing: try</t>
        </is>
      </c>
    </row>
    <row r="772">
      <c r="A772" s="37" t="n">
        <v>8</v>
      </c>
      <c r="B772" s="11" t="inlineStr">
        <is>
          <t>Module 5 · Global Issues</t>
        </is>
      </c>
      <c r="C772" s="11" t="inlineStr">
        <is>
          <t>5c</t>
        </is>
      </c>
      <c r="D772" s="11" t="inlineStr">
        <is>
          <t>Infinitive / -ing form (difference in meaning)</t>
        </is>
      </c>
      <c r="E772" s="35" t="inlineStr">
        <is>
          <t>Infinitive vs -ing: regret</t>
        </is>
      </c>
      <c r="F772" s="11" t="inlineStr">
        <is>
          <t>Ст-262</t>
        </is>
      </c>
      <c r="G772" s="40" t="inlineStr">
        <is>
          <t>новое</t>
        </is>
      </c>
      <c r="H772" s="11" t="inlineStr">
        <is>
          <t>обзорно</t>
        </is>
      </c>
      <c r="I772" s="37" t="inlineStr">
        <is>
          <t>10+</t>
        </is>
      </c>
      <c r="J772" s="11">
        <f>IFERROR(INDEX('Уроки'!$H:$H,MATCH(F772,'Уроки'!$A:$A,0)),"")</f>
        <v/>
      </c>
      <c r="K772" s="11">
        <f>IFERROR(INDEX('Уроки'!$J:$J,MATCH(F772,'Уроки'!$A:$A,0)),"")</f>
        <v/>
      </c>
      <c r="L772" s="11" t="inlineStr">
        <is>
          <t>Spotlight / 8 класс / Module 5 · Global Issues / Infinitive / -ing form (difference in meaning) / Infinitive vs -ing: regret</t>
        </is>
      </c>
    </row>
    <row r="773">
      <c r="A773" s="37" t="n">
        <v>8</v>
      </c>
      <c r="B773" s="11" t="inlineStr">
        <is>
          <t>Module 5 · Global Issues</t>
        </is>
      </c>
      <c r="C773" s="11" t="inlineStr">
        <is>
          <t>5c</t>
        </is>
      </c>
      <c r="D773" s="11" t="inlineStr">
        <is>
          <t>Infinitive / -ing form (difference in meaning)</t>
        </is>
      </c>
      <c r="E773" s="35" t="inlineStr">
        <is>
          <t>Infinitive vs -ing: mean</t>
        </is>
      </c>
      <c r="F773" s="11" t="inlineStr">
        <is>
          <t>Ст-263</t>
        </is>
      </c>
      <c r="G773" s="40" t="inlineStr">
        <is>
          <t>новое</t>
        </is>
      </c>
      <c r="H773" s="11" t="inlineStr">
        <is>
          <t>обзорно</t>
        </is>
      </c>
      <c r="I773" s="37" t="inlineStr">
        <is>
          <t>10+</t>
        </is>
      </c>
      <c r="J773" s="11">
        <f>IFERROR(INDEX('Уроки'!$H:$H,MATCH(F773,'Уроки'!$A:$A,0)),"")</f>
        <v/>
      </c>
      <c r="K773" s="11">
        <f>IFERROR(INDEX('Уроки'!$J:$J,MATCH(F773,'Уроки'!$A:$A,0)),"")</f>
        <v/>
      </c>
      <c r="L773" s="11" t="inlineStr">
        <is>
          <t>Spotlight / 8 класс / Module 5 · Global Issues / Infinitive / -ing form (difference in meaning) / Infinitive vs -ing: mean</t>
        </is>
      </c>
    </row>
    <row r="774">
      <c r="A774" s="37" t="n">
        <v>8</v>
      </c>
      <c r="B774" s="11" t="inlineStr">
        <is>
          <t>Module 5 · Global Issues</t>
        </is>
      </c>
      <c r="C774" s="11" t="inlineStr">
        <is>
          <t>5c</t>
        </is>
      </c>
      <c r="D774" s="11" t="inlineStr">
        <is>
          <t>Infinitive / -ing form (difference in meaning)</t>
        </is>
      </c>
      <c r="E774" s="35" t="inlineStr">
        <is>
          <t>Infinitive vs -ing: go on</t>
        </is>
      </c>
      <c r="F774" s="11" t="inlineStr">
        <is>
          <t>Ст-264</t>
        </is>
      </c>
      <c r="G774" s="40" t="inlineStr">
        <is>
          <t>новое</t>
        </is>
      </c>
      <c r="H774" s="11" t="inlineStr">
        <is>
          <t>обзорно</t>
        </is>
      </c>
      <c r="I774" s="37" t="inlineStr">
        <is>
          <t>10+</t>
        </is>
      </c>
      <c r="J774" s="11">
        <f>IFERROR(INDEX('Уроки'!$H:$H,MATCH(F774,'Уроки'!$A:$A,0)),"")</f>
        <v/>
      </c>
      <c r="K774" s="11">
        <f>IFERROR(INDEX('Уроки'!$J:$J,MATCH(F774,'Уроки'!$A:$A,0)),"")</f>
        <v/>
      </c>
      <c r="L774" s="11" t="inlineStr">
        <is>
          <t>Spotlight / 8 класс / Module 5 · Global Issues / Infinitive / -ing form (difference in meaning) / Infinitive vs -ing: go on</t>
        </is>
      </c>
    </row>
    <row r="775">
      <c r="A775" s="37" t="n">
        <v>8</v>
      </c>
      <c r="B775" s="11" t="inlineStr">
        <is>
          <t>Module 5 · Global Issues</t>
        </is>
      </c>
      <c r="C775" s="11" t="inlineStr">
        <is>
          <t>5c</t>
        </is>
      </c>
      <c r="D775" s="11" t="inlineStr">
        <is>
          <t>Infinitive / -ing form (difference in meaning)</t>
        </is>
      </c>
      <c r="E775" s="35" t="inlineStr">
        <is>
          <t>Infinitive vs -ing: hate</t>
        </is>
      </c>
      <c r="F775" s="11" t="inlineStr">
        <is>
          <t>Ст-265</t>
        </is>
      </c>
      <c r="G775" s="40" t="inlineStr">
        <is>
          <t>новое</t>
        </is>
      </c>
      <c r="H775" s="11" t="inlineStr">
        <is>
          <t>обзорно</t>
        </is>
      </c>
      <c r="I775" s="37" t="inlineStr">
        <is>
          <t>10+</t>
        </is>
      </c>
      <c r="J775" s="11">
        <f>IFERROR(INDEX('Уроки'!$H:$H,MATCH(F775,'Уроки'!$A:$A,0)),"")</f>
        <v/>
      </c>
      <c r="K775" s="11">
        <f>IFERROR(INDEX('Уроки'!$J:$J,MATCH(F775,'Уроки'!$A:$A,0)),"")</f>
        <v/>
      </c>
      <c r="L775" s="11" t="inlineStr">
        <is>
          <t>Spotlight / 8 класс / Module 5 · Global Issues / Infinitive / -ing form (difference in meaning) / Infinitive vs -ing: hate</t>
        </is>
      </c>
    </row>
    <row r="776">
      <c r="A776" s="37" t="n">
        <v>8</v>
      </c>
      <c r="B776" s="11" t="inlineStr">
        <is>
          <t>Module 5 · Global Issues</t>
        </is>
      </c>
      <c r="C776" s="11" t="inlineStr">
        <is>
          <t>5c</t>
        </is>
      </c>
      <c r="D776" s="11" t="inlineStr">
        <is>
          <t>be/get used to</t>
        </is>
      </c>
      <c r="E776" s="35" t="inlineStr">
        <is>
          <t>be/get used to: be used to + -ing — привык</t>
        </is>
      </c>
      <c r="F776" s="11" t="inlineStr">
        <is>
          <t>Ст-303</t>
        </is>
      </c>
      <c r="G776" s="40" t="inlineStr">
        <is>
          <t>новое</t>
        </is>
      </c>
      <c r="H776" s="11" t="inlineStr">
        <is>
          <t>to — предлог</t>
        </is>
      </c>
      <c r="I776" s="37" t="inlineStr">
        <is>
          <t>10+</t>
        </is>
      </c>
      <c r="J776" s="11">
        <f>IFERROR(INDEX('Уроки'!$H:$H,MATCH(F776,'Уроки'!$A:$A,0)),"")</f>
        <v/>
      </c>
      <c r="K776" s="11">
        <f>IFERROR(INDEX('Уроки'!$J:$J,MATCH(F776,'Уроки'!$A:$A,0)),"")</f>
        <v/>
      </c>
      <c r="L776" s="11" t="inlineStr">
        <is>
          <t>Spotlight / 8 класс / Module 5 · Global Issues / be/get used to / be/get used to: be used to + -ing — привык</t>
        </is>
      </c>
    </row>
    <row r="777">
      <c r="A777" s="37" t="n">
        <v>8</v>
      </c>
      <c r="B777" s="11" t="inlineStr">
        <is>
          <t>Module 5 · Global Issues</t>
        </is>
      </c>
      <c r="C777" s="11" t="inlineStr">
        <is>
          <t>5c</t>
        </is>
      </c>
      <c r="D777" s="11" t="inlineStr">
        <is>
          <t>be/get used to</t>
        </is>
      </c>
      <c r="E777" s="35" t="inlineStr">
        <is>
          <t>be/get used to: get used to + -ing — привыкаю</t>
        </is>
      </c>
      <c r="F777" s="11" t="inlineStr">
        <is>
          <t>Ст-304</t>
        </is>
      </c>
      <c r="G777" s="40" t="inlineStr">
        <is>
          <t>новое</t>
        </is>
      </c>
      <c r="H777" s="11" t="inlineStr">
        <is>
          <t>процесс привыкания</t>
        </is>
      </c>
      <c r="I777" s="37" t="inlineStr">
        <is>
          <t>10+</t>
        </is>
      </c>
      <c r="J777" s="11">
        <f>IFERROR(INDEX('Уроки'!$H:$H,MATCH(F777,'Уроки'!$A:$A,0)),"")</f>
        <v/>
      </c>
      <c r="K777" s="11">
        <f>IFERROR(INDEX('Уроки'!$J:$J,MATCH(F777,'Уроки'!$A:$A,0)),"")</f>
        <v/>
      </c>
      <c r="L777" s="11" t="inlineStr">
        <is>
          <t>Spotlight / 8 класс / Module 5 · Global Issues / be/get used to / be/get used to: get used to + -ing — привыкаю</t>
        </is>
      </c>
    </row>
    <row r="778">
      <c r="A778" s="37" t="n">
        <v>8</v>
      </c>
      <c r="B778" s="11" t="inlineStr">
        <is>
          <t>Module 5 · Global Issues</t>
        </is>
      </c>
      <c r="C778" s="11" t="inlineStr">
        <is>
          <t>5c</t>
        </is>
      </c>
      <c r="D778" s="11" t="inlineStr">
        <is>
          <t>be/get used to</t>
        </is>
      </c>
      <c r="E778" s="35" t="inlineStr">
        <is>
          <t>be/get used to vs used to + V (to — предлог vs частица)</t>
        </is>
      </c>
      <c r="F778" s="11" t="inlineStr">
        <is>
          <t>Ст-305</t>
        </is>
      </c>
      <c r="G778" s="40" t="inlineStr">
        <is>
          <t>новое</t>
        </is>
      </c>
      <c r="H778" s="11" t="inlineStr">
        <is>
          <t>used to + V: to — частица</t>
        </is>
      </c>
      <c r="I778" s="37" t="inlineStr">
        <is>
          <t>10+</t>
        </is>
      </c>
      <c r="J778" s="11">
        <f>IFERROR(INDEX('Уроки'!$H:$H,MATCH(F778,'Уроки'!$A:$A,0)),"")</f>
        <v/>
      </c>
      <c r="K778" s="11">
        <f>IFERROR(INDEX('Уроки'!$J:$J,MATCH(F778,'Уроки'!$A:$A,0)),"")</f>
        <v/>
      </c>
      <c r="L778" s="11" t="inlineStr">
        <is>
          <t>Spotlight / 8 класс / Module 5 · Global Issues / be/get used to / be/get used to vs used to + V (to — предлог vs частица)</t>
        </is>
      </c>
    </row>
    <row r="779">
      <c r="A779" s="37" t="n">
        <v>8</v>
      </c>
      <c r="B779" s="11" t="inlineStr">
        <is>
          <t>Module 5 · Global Issues</t>
        </is>
      </c>
      <c r="C779" s="11" t="inlineStr">
        <is>
          <t>5f</t>
        </is>
      </c>
      <c r="D779" s="11" t="inlineStr">
        <is>
          <t>Phrasal verbs</t>
        </is>
      </c>
      <c r="E779" s="35" t="inlineStr">
        <is>
          <t>Phrasal verbs: call</t>
        </is>
      </c>
      <c r="F779" s="11" t="inlineStr">
        <is>
          <t>Ст-586</t>
        </is>
      </c>
      <c r="G779" s="40" t="inlineStr">
        <is>
          <t>новое</t>
        </is>
      </c>
      <c r="H779" s="11" t="inlineStr">
        <is>
          <t>call: call for (звать; заходить за), call in (заходить, наносить визит), call off (отменять), call on (навещать), call out (звать на помощь).</t>
        </is>
      </c>
      <c r="I779" s="37" t="inlineStr">
        <is>
          <t>10+</t>
        </is>
      </c>
      <c r="J779" s="11">
        <f>IFERROR(INDEX('Уроки'!$H:$H,MATCH(F779,'Уроки'!$A:$A,0)),"")</f>
        <v/>
      </c>
      <c r="K779" s="11">
        <f>IFERROR(INDEX('Уроки'!$J:$J,MATCH(F779,'Уроки'!$A:$A,0)),"")</f>
        <v/>
      </c>
      <c r="L779" s="11" t="inlineStr">
        <is>
          <t>Spotlight / 8 класс / Module 5 · Global Issues / Phrasal verbs / Phrasal verbs: call</t>
        </is>
      </c>
    </row>
    <row r="780">
      <c r="A780" s="37" t="n">
        <v>8</v>
      </c>
      <c r="B780" s="11" t="inlineStr">
        <is>
          <t>Module 5 · Global Issues</t>
        </is>
      </c>
      <c r="C780" s="11" t="inlineStr">
        <is>
          <t>5f</t>
        </is>
      </c>
      <c r="D780" s="11" t="inlineStr">
        <is>
          <t>Word formation</t>
        </is>
      </c>
      <c r="E780" s="35" t="inlineStr">
        <is>
          <t>Word formation: -ion, -tion, -ance</t>
        </is>
      </c>
      <c r="F780" s="11" t="inlineStr">
        <is>
          <t>Ст-616</t>
        </is>
      </c>
      <c r="G780" s="40" t="inlineStr">
        <is>
          <t>новое</t>
        </is>
      </c>
      <c r="H780" s="11" t="inlineStr">
        <is>
          <t>Образование существительных от глаголов: -ion, -tion, -ance.</t>
        </is>
      </c>
      <c r="I780" s="37" t="inlineStr">
        <is>
          <t>10+</t>
        </is>
      </c>
      <c r="J780" s="11">
        <f>IFERROR(INDEX('Уроки'!$H:$H,MATCH(F780,'Уроки'!$A:$A,0)),"")</f>
        <v/>
      </c>
      <c r="K780" s="11">
        <f>IFERROR(INDEX('Уроки'!$J:$J,MATCH(F780,'Уроки'!$A:$A,0)),"")</f>
        <v/>
      </c>
      <c r="L780" s="11" t="inlineStr">
        <is>
          <t>Spotlight / 8 класс / Module 5 · Global Issues / Word formation / Word formation: -ion, -tion, -ance</t>
        </is>
      </c>
    </row>
    <row r="781">
      <c r="A781" s="37" t="n">
        <v>8</v>
      </c>
      <c r="B781" s="11" t="inlineStr">
        <is>
          <t>Module 5 · Global Issues</t>
        </is>
      </c>
      <c r="C781" s="11" t="inlineStr">
        <is>
          <t>5f</t>
        </is>
      </c>
      <c r="D781" s="11" t="inlineStr">
        <is>
          <t>Words often confused</t>
        </is>
      </c>
      <c r="E781" s="35" t="inlineStr">
        <is>
          <t>Words often confused</t>
        </is>
      </c>
      <c r="F781" s="11" t="inlineStr">
        <is>
          <t>Ст-635</t>
        </is>
      </c>
      <c r="G781" s="37" t="inlineStr">
        <is>
          <t>повторение</t>
        </is>
      </c>
      <c r="H781" s="11" t="inlineStr">
        <is>
          <t>Слова, которые часто путают — тема English in Use 5f.</t>
        </is>
      </c>
      <c r="I781" s="37" t="inlineStr">
        <is>
          <t>10+</t>
        </is>
      </c>
      <c r="J781" s="11">
        <f>IFERROR(INDEX('Уроки'!$H:$H,MATCH(F781,'Уроки'!$A:$A,0)),"")</f>
        <v/>
      </c>
      <c r="K781" s="11">
        <f>IFERROR(INDEX('Уроки'!$J:$J,MATCH(F781,'Уроки'!$A:$A,0)),"")</f>
        <v/>
      </c>
      <c r="L781" s="11" t="inlineStr">
        <is>
          <t>Spotlight / 8 класс / Module 5 · Global Issues / Words often confused / Words often confused</t>
        </is>
      </c>
    </row>
    <row r="782">
      <c r="A782" s="37" t="n">
        <v>8</v>
      </c>
      <c r="B782" s="11" t="inlineStr">
        <is>
          <t>Module 6 · Culture Exchanges</t>
        </is>
      </c>
      <c r="C782" s="11" t="inlineStr">
        <is>
          <t>6c</t>
        </is>
      </c>
      <c r="D782" s="11" t="inlineStr">
        <is>
          <t>Reported Speech: modal verbs</t>
        </is>
      </c>
      <c r="E782" s="35" t="inlineStr">
        <is>
          <t>Reported Speech: modal verbs: will/shall → would</t>
        </is>
      </c>
      <c r="F782" s="11" t="inlineStr">
        <is>
          <t>Ст-188</t>
        </is>
      </c>
      <c r="G782" s="40" t="inlineStr">
        <is>
          <t>новое</t>
        </is>
      </c>
      <c r="H782" s="11" t="inlineStr"/>
      <c r="I782" s="37" t="inlineStr">
        <is>
          <t>10+</t>
        </is>
      </c>
      <c r="J782" s="11">
        <f>IFERROR(INDEX('Уроки'!$H:$H,MATCH(F782,'Уроки'!$A:$A,0)),"")</f>
        <v/>
      </c>
      <c r="K782" s="11">
        <f>IFERROR(INDEX('Уроки'!$J:$J,MATCH(F782,'Уроки'!$A:$A,0)),"")</f>
        <v/>
      </c>
      <c r="L782" s="11" t="inlineStr">
        <is>
          <t>Spotlight / 8 класс / Module 6 · Culture Exchanges / Reported Speech: modal verbs / Reported Speech: modal verbs: will/shall → would</t>
        </is>
      </c>
    </row>
    <row r="783">
      <c r="A783" s="37" t="n">
        <v>8</v>
      </c>
      <c r="B783" s="11" t="inlineStr">
        <is>
          <t>Module 6 · Culture Exchanges</t>
        </is>
      </c>
      <c r="C783" s="11" t="inlineStr">
        <is>
          <t>6c</t>
        </is>
      </c>
      <c r="D783" s="11" t="inlineStr">
        <is>
          <t>Reported Speech: modal verbs</t>
        </is>
      </c>
      <c r="E783" s="35" t="inlineStr">
        <is>
          <t>Reported Speech: modal verbs: can → could / would be able to</t>
        </is>
      </c>
      <c r="F783" s="11" t="inlineStr">
        <is>
          <t>Ст-189</t>
        </is>
      </c>
      <c r="G783" s="40" t="inlineStr">
        <is>
          <t>новое</t>
        </is>
      </c>
      <c r="H783" s="11" t="inlineStr"/>
      <c r="I783" s="37" t="inlineStr">
        <is>
          <t>10+</t>
        </is>
      </c>
      <c r="J783" s="11">
        <f>IFERROR(INDEX('Уроки'!$H:$H,MATCH(F783,'Уроки'!$A:$A,0)),"")</f>
        <v/>
      </c>
      <c r="K783" s="11">
        <f>IFERROR(INDEX('Уроки'!$J:$J,MATCH(F783,'Уроки'!$A:$A,0)),"")</f>
        <v/>
      </c>
      <c r="L783" s="11" t="inlineStr">
        <is>
          <t>Spotlight / 8 класс / Module 6 · Culture Exchanges / Reported Speech: modal verbs / Reported Speech: modal verbs: can → could / would be able to</t>
        </is>
      </c>
    </row>
    <row r="784">
      <c r="A784" s="37" t="n">
        <v>8</v>
      </c>
      <c r="B784" s="11" t="inlineStr">
        <is>
          <t>Module 6 · Culture Exchanges</t>
        </is>
      </c>
      <c r="C784" s="11" t="inlineStr">
        <is>
          <t>6c</t>
        </is>
      </c>
      <c r="D784" s="11" t="inlineStr">
        <is>
          <t>Reported Speech: modal verbs</t>
        </is>
      </c>
      <c r="E784" s="35" t="inlineStr">
        <is>
          <t>Reported Speech: modal verbs: may → might/could</t>
        </is>
      </c>
      <c r="F784" s="11" t="inlineStr">
        <is>
          <t>Ст-190</t>
        </is>
      </c>
      <c r="G784" s="40" t="inlineStr">
        <is>
          <t>новое</t>
        </is>
      </c>
      <c r="H784" s="11" t="inlineStr"/>
      <c r="I784" s="37" t="inlineStr">
        <is>
          <t>10+</t>
        </is>
      </c>
      <c r="J784" s="11">
        <f>IFERROR(INDEX('Уроки'!$H:$H,MATCH(F784,'Уроки'!$A:$A,0)),"")</f>
        <v/>
      </c>
      <c r="K784" s="11">
        <f>IFERROR(INDEX('Уроки'!$J:$J,MATCH(F784,'Уроки'!$A:$A,0)),"")</f>
        <v/>
      </c>
      <c r="L784" s="11" t="inlineStr">
        <is>
          <t>Spotlight / 8 класс / Module 6 · Culture Exchanges / Reported Speech: modal verbs / Reported Speech: modal verbs: may → might/could</t>
        </is>
      </c>
    </row>
    <row r="785">
      <c r="A785" s="37" t="n">
        <v>8</v>
      </c>
      <c r="B785" s="11" t="inlineStr">
        <is>
          <t>Module 6 · Culture Exchanges</t>
        </is>
      </c>
      <c r="C785" s="11" t="inlineStr">
        <is>
          <t>6c</t>
        </is>
      </c>
      <c r="D785" s="11" t="inlineStr">
        <is>
          <t>Reported Speech: modal verbs</t>
        </is>
      </c>
      <c r="E785" s="35" t="inlineStr">
        <is>
          <t>Reported Speech: modal verbs: shall → should / would / offered</t>
        </is>
      </c>
      <c r="F785" s="11" t="inlineStr">
        <is>
          <t>Ст-191</t>
        </is>
      </c>
      <c r="G785" s="40" t="inlineStr">
        <is>
          <t>новое</t>
        </is>
      </c>
      <c r="H785" s="11" t="inlineStr"/>
      <c r="I785" s="37" t="inlineStr">
        <is>
          <t>10+</t>
        </is>
      </c>
      <c r="J785" s="11">
        <f>IFERROR(INDEX('Уроки'!$H:$H,MATCH(F785,'Уроки'!$A:$A,0)),"")</f>
        <v/>
      </c>
      <c r="K785" s="11">
        <f>IFERROR(INDEX('Уроки'!$J:$J,MATCH(F785,'Уроки'!$A:$A,0)),"")</f>
        <v/>
      </c>
      <c r="L785" s="11" t="inlineStr">
        <is>
          <t>Spotlight / 8 класс / Module 6 · Culture Exchanges / Reported Speech: modal verbs / Reported Speech: modal verbs: shall → should / would / offered</t>
        </is>
      </c>
    </row>
    <row r="786">
      <c r="A786" s="37" t="n">
        <v>8</v>
      </c>
      <c r="B786" s="11" t="inlineStr">
        <is>
          <t>Module 6 · Culture Exchanges</t>
        </is>
      </c>
      <c r="C786" s="11" t="inlineStr">
        <is>
          <t>6c</t>
        </is>
      </c>
      <c r="D786" s="11" t="inlineStr">
        <is>
          <t>Reported Speech: modal verbs</t>
        </is>
      </c>
      <c r="E786" s="35" t="inlineStr">
        <is>
          <t>Reported Speech: modal verbs: must → had to (обязанность) / must (вывод)</t>
        </is>
      </c>
      <c r="F786" s="11" t="inlineStr">
        <is>
          <t>Ст-192</t>
        </is>
      </c>
      <c r="G786" s="40" t="inlineStr">
        <is>
          <t>новое</t>
        </is>
      </c>
      <c r="H786" s="11" t="inlineStr"/>
      <c r="I786" s="37" t="inlineStr">
        <is>
          <t>10+</t>
        </is>
      </c>
      <c r="J786" s="11">
        <f>IFERROR(INDEX('Уроки'!$H:$H,MATCH(F786,'Уроки'!$A:$A,0)),"")</f>
        <v/>
      </c>
      <c r="K786" s="11">
        <f>IFERROR(INDEX('Уроки'!$J:$J,MATCH(F786,'Уроки'!$A:$A,0)),"")</f>
        <v/>
      </c>
      <c r="L786" s="11" t="inlineStr">
        <is>
          <t>Spotlight / 8 класс / Module 6 · Culture Exchanges / Reported Speech: modal verbs / Reported Speech: modal verbs: must → had to (обязанность) / must (вывод)</t>
        </is>
      </c>
    </row>
    <row r="787">
      <c r="A787" s="37" t="n">
        <v>8</v>
      </c>
      <c r="B787" s="11" t="inlineStr">
        <is>
          <t>Module 6 · Culture Exchanges</t>
        </is>
      </c>
      <c r="C787" s="11" t="inlineStr">
        <is>
          <t>6c</t>
        </is>
      </c>
      <c r="D787" s="11" t="inlineStr">
        <is>
          <t>Reported Speech: modal verbs</t>
        </is>
      </c>
      <c r="E787" s="35" t="inlineStr">
        <is>
          <t>Reported Speech: modal verbs: needn't → didn't need to / didn't have to / wouldn't have to</t>
        </is>
      </c>
      <c r="F787" s="11" t="inlineStr">
        <is>
          <t>Ст-193</t>
        </is>
      </c>
      <c r="G787" s="40" t="inlineStr">
        <is>
          <t>новое</t>
        </is>
      </c>
      <c r="H787" s="11" t="inlineStr"/>
      <c r="I787" s="37" t="inlineStr">
        <is>
          <t>10+</t>
        </is>
      </c>
      <c r="J787" s="11">
        <f>IFERROR(INDEX('Уроки'!$H:$H,MATCH(F787,'Уроки'!$A:$A,0)),"")</f>
        <v/>
      </c>
      <c r="K787" s="11">
        <f>IFERROR(INDEX('Уроки'!$J:$J,MATCH(F787,'Уроки'!$A:$A,0)),"")</f>
        <v/>
      </c>
      <c r="L787" s="11" t="inlineStr">
        <is>
          <t>Spotlight / 8 класс / Module 6 · Culture Exchanges / Reported Speech: modal verbs / Reported Speech: modal verbs: needn't → didn't need to / didn't have to / wouldn't have to</t>
        </is>
      </c>
    </row>
    <row r="788">
      <c r="A788" s="37" t="n">
        <v>8</v>
      </c>
      <c r="B788" s="11" t="inlineStr">
        <is>
          <t>Module 6 · Culture Exchanges</t>
        </is>
      </c>
      <c r="C788" s="11" t="inlineStr">
        <is>
          <t>6c</t>
        </is>
      </c>
      <c r="D788" s="11" t="inlineStr">
        <is>
          <t>Reported Speech: modal verbs</t>
        </is>
      </c>
      <c r="E788" s="35" t="inlineStr">
        <is>
          <t>Reported Speech: modal verbs: не меняются (would, could, used to, mustn't, should, might, ought to, had better)</t>
        </is>
      </c>
      <c r="F788" s="11" t="inlineStr">
        <is>
          <t>Ст-194</t>
        </is>
      </c>
      <c r="G788" s="40" t="inlineStr">
        <is>
          <t>новое</t>
        </is>
      </c>
      <c r="H788" s="11" t="inlineStr"/>
      <c r="I788" s="37" t="inlineStr">
        <is>
          <t>10+</t>
        </is>
      </c>
      <c r="J788" s="11">
        <f>IFERROR(INDEX('Уроки'!$H:$H,MATCH(F788,'Уроки'!$A:$A,0)),"")</f>
        <v/>
      </c>
      <c r="K788" s="11">
        <f>IFERROR(INDEX('Уроки'!$J:$J,MATCH(F788,'Уроки'!$A:$A,0)),"")</f>
        <v/>
      </c>
      <c r="L788" s="11" t="inlineStr">
        <is>
          <t>Spotlight / 8 класс / Module 6 · Culture Exchanges / Reported Speech: modal verbs / Reported Speech: modal verbs: не меняются (would, could, used to, mustn't, should, might, ought to, had better)</t>
        </is>
      </c>
    </row>
    <row r="789">
      <c r="A789" s="37" t="n">
        <v>8</v>
      </c>
      <c r="B789" s="11" t="inlineStr">
        <is>
          <t>Module 6 · Culture Exchanges</t>
        </is>
      </c>
      <c r="C789" s="11" t="inlineStr">
        <is>
          <t>6c</t>
        </is>
      </c>
      <c r="D789" s="11" t="inlineStr">
        <is>
          <t>Reported Speech</t>
        </is>
      </c>
      <c r="E789" s="35" t="inlineStr">
        <is>
          <t>Reported Speech: прямая vs косвенная речь, that можно опустить</t>
        </is>
      </c>
      <c r="F789" s="11" t="inlineStr">
        <is>
          <t>Ст-290</t>
        </is>
      </c>
      <c r="G789" s="40" t="inlineStr">
        <is>
          <t>новое</t>
        </is>
      </c>
      <c r="H789" s="11" t="inlineStr">
        <is>
          <t>that после say/tell можно опустить</t>
        </is>
      </c>
      <c r="I789" s="37" t="inlineStr">
        <is>
          <t>10+</t>
        </is>
      </c>
      <c r="J789" s="11">
        <f>IFERROR(INDEX('Уроки'!$H:$H,MATCH(F789,'Уроки'!$A:$A,0)),"")</f>
        <v/>
      </c>
      <c r="K789" s="11">
        <f>IFERROR(INDEX('Уроки'!$J:$J,MATCH(F789,'Уроки'!$A:$A,0)),"")</f>
        <v/>
      </c>
      <c r="L789" s="11" t="inlineStr">
        <is>
          <t>Spotlight / 8 класс / Module 6 · Culture Exchanges / Reported Speech / Reported Speech: прямая vs косвенная речь, that можно опустить</t>
        </is>
      </c>
    </row>
    <row r="790">
      <c r="A790" s="37" t="n">
        <v>8</v>
      </c>
      <c r="B790" s="11" t="inlineStr">
        <is>
          <t>Module 6 · Culture Exchanges</t>
        </is>
      </c>
      <c r="C790" s="11" t="inlineStr">
        <is>
          <t>6c</t>
        </is>
      </c>
      <c r="D790" s="11" t="inlineStr">
        <is>
          <t>Reported Speech</t>
        </is>
      </c>
      <c r="E790" s="35" t="inlineStr">
        <is>
          <t>Reported Speech: say vs tell (say to sb, tell sb)</t>
        </is>
      </c>
      <c r="F790" s="11" t="inlineStr">
        <is>
          <t>Ст-291</t>
        </is>
      </c>
      <c r="G790" s="40" t="inlineStr">
        <is>
          <t>новое</t>
        </is>
      </c>
      <c r="H790" s="11" t="inlineStr"/>
      <c r="I790" s="37" t="inlineStr">
        <is>
          <t>10+</t>
        </is>
      </c>
      <c r="J790" s="11">
        <f>IFERROR(INDEX('Уроки'!$H:$H,MATCH(F790,'Уроки'!$A:$A,0)),"")</f>
        <v/>
      </c>
      <c r="K790" s="11">
        <f>IFERROR(INDEX('Уроки'!$J:$J,MATCH(F790,'Уроки'!$A:$A,0)),"")</f>
        <v/>
      </c>
      <c r="L790" s="11" t="inlineStr">
        <is>
          <t>Spotlight / 8 класс / Module 6 · Culture Exchanges / Reported Speech / Reported Speech: say vs tell (say to sb, tell sb)</t>
        </is>
      </c>
    </row>
    <row r="791">
      <c r="A791" s="37" t="n">
        <v>8</v>
      </c>
      <c r="B791" s="11" t="inlineStr">
        <is>
          <t>Module 6 · Culture Exchanges</t>
        </is>
      </c>
      <c r="C791" s="11" t="inlineStr">
        <is>
          <t>6c</t>
        </is>
      </c>
      <c r="D791" s="11" t="inlineStr">
        <is>
          <t>Reported Speech</t>
        </is>
      </c>
      <c r="E791" s="35" t="inlineStr">
        <is>
          <t>Reported Speech: устойчивые сочетания с say/tell/ask</t>
        </is>
      </c>
      <c r="F791" s="11" t="inlineStr">
        <is>
          <t>Ст-293</t>
        </is>
      </c>
      <c r="G791" s="40" t="inlineStr">
        <is>
          <t>новое</t>
        </is>
      </c>
      <c r="H791" s="11" t="inlineStr">
        <is>
          <t>SAY/TELL/ASK</t>
        </is>
      </c>
      <c r="I791" s="37" t="inlineStr">
        <is>
          <t>10+</t>
        </is>
      </c>
      <c r="J791" s="11">
        <f>IFERROR(INDEX('Уроки'!$H:$H,MATCH(F791,'Уроки'!$A:$A,0)),"")</f>
        <v/>
      </c>
      <c r="K791" s="11">
        <f>IFERROR(INDEX('Уроки'!$J:$J,MATCH(F791,'Уроки'!$A:$A,0)),"")</f>
        <v/>
      </c>
      <c r="L791" s="11" t="inlineStr">
        <is>
          <t>Spotlight / 8 класс / Module 6 · Culture Exchanges / Reported Speech / Reported Speech: устойчивые сочетания с say/tell/ask</t>
        </is>
      </c>
    </row>
    <row r="792">
      <c r="A792" s="37" t="n">
        <v>8</v>
      </c>
      <c r="B792" s="11" t="inlineStr">
        <is>
          <t>Module 6 · Culture Exchanges</t>
        </is>
      </c>
      <c r="C792" s="11" t="inlineStr">
        <is>
          <t>6c</t>
        </is>
      </c>
      <c r="D792" s="11" t="inlineStr">
        <is>
          <t>Reported Speech</t>
        </is>
      </c>
      <c r="E792" s="35" t="inlineStr">
        <is>
          <t>Reported Speech: смена местоимений</t>
        </is>
      </c>
      <c r="F792" s="11" t="inlineStr">
        <is>
          <t>Ст-294</t>
        </is>
      </c>
      <c r="G792" s="40" t="inlineStr">
        <is>
          <t>новое</t>
        </is>
      </c>
      <c r="H792" s="11" t="inlineStr"/>
      <c r="I792" s="37" t="inlineStr">
        <is>
          <t>10+</t>
        </is>
      </c>
      <c r="J792" s="11">
        <f>IFERROR(INDEX('Уроки'!$H:$H,MATCH(F792,'Уроки'!$A:$A,0)),"")</f>
        <v/>
      </c>
      <c r="K792" s="11">
        <f>IFERROR(INDEX('Уроки'!$J:$J,MATCH(F792,'Уроки'!$A:$A,0)),"")</f>
        <v/>
      </c>
      <c r="L792" s="11" t="inlineStr">
        <is>
          <t>Spotlight / 8 класс / Module 6 · Culture Exchanges / Reported Speech / Reported Speech: смена местоимений</t>
        </is>
      </c>
    </row>
    <row r="793">
      <c r="A793" s="37" t="n">
        <v>8</v>
      </c>
      <c r="B793" s="11" t="inlineStr">
        <is>
          <t>Module 6 · Culture Exchanges</t>
        </is>
      </c>
      <c r="C793" s="11" t="inlineStr">
        <is>
          <t>6c</t>
        </is>
      </c>
      <c r="D793" s="11" t="inlineStr">
        <is>
          <t>Reported Speech</t>
        </is>
      </c>
      <c r="E793" s="35" t="inlineStr">
        <is>
          <t>Reported Speech: без сдвига времён — вводящий глагол в настоящем (up-to-date reporting)</t>
        </is>
      </c>
      <c r="F793" s="11" t="inlineStr">
        <is>
          <t>Ст-295</t>
        </is>
      </c>
      <c r="G793" s="40" t="inlineStr">
        <is>
          <t>новое</t>
        </is>
      </c>
      <c r="H793" s="11" t="inlineStr">
        <is>
          <t>только: вводящий глагол в Present Simple</t>
        </is>
      </c>
      <c r="I793" s="37" t="inlineStr">
        <is>
          <t>10+</t>
        </is>
      </c>
      <c r="J793" s="11">
        <f>IFERROR(INDEX('Уроки'!$H:$H,MATCH(F793,'Уроки'!$A:$A,0)),"")</f>
        <v/>
      </c>
      <c r="K793" s="11">
        <f>IFERROR(INDEX('Уроки'!$J:$J,MATCH(F793,'Уроки'!$A:$A,0)),"")</f>
        <v/>
      </c>
      <c r="L793" s="11" t="inlineStr">
        <is>
          <t>Spotlight / 8 класс / Module 6 · Culture Exchanges / Reported Speech / Reported Speech: без сдвига времён — вводящий глагол в настоящем (up-to-date reporting)</t>
        </is>
      </c>
    </row>
    <row r="794">
      <c r="A794" s="37" t="n">
        <v>8</v>
      </c>
      <c r="B794" s="11" t="inlineStr">
        <is>
          <t>Module 6 · Culture Exchanges</t>
        </is>
      </c>
      <c r="C794" s="11" t="inlineStr">
        <is>
          <t>6c</t>
        </is>
      </c>
      <c r="D794" s="11" t="inlineStr">
        <is>
          <t>Reported Speech</t>
        </is>
      </c>
      <c r="E794" s="35" t="inlineStr">
        <is>
          <t>Reported Speech: сдвиг времён (Present → Past, Past → Past Perfect, will → would)</t>
        </is>
      </c>
      <c r="F794" s="11" t="inlineStr">
        <is>
          <t>Ст-297</t>
        </is>
      </c>
      <c r="G794" s="40" t="inlineStr">
        <is>
          <t>новое</t>
        </is>
      </c>
      <c r="H794" s="11" t="inlineStr">
        <is>
          <t>Past Continuous → Past Perfect Continuous или Past Continuous</t>
        </is>
      </c>
      <c r="I794" s="37" t="inlineStr">
        <is>
          <t>10+</t>
        </is>
      </c>
      <c r="J794" s="11">
        <f>IFERROR(INDEX('Уроки'!$H:$H,MATCH(F794,'Уроки'!$A:$A,0)),"")</f>
        <v/>
      </c>
      <c r="K794" s="11">
        <f>IFERROR(INDEX('Уроки'!$J:$J,MATCH(F794,'Уроки'!$A:$A,0)),"")</f>
        <v/>
      </c>
      <c r="L794" s="11" t="inlineStr">
        <is>
          <t>Spotlight / 8 класс / Module 6 · Culture Exchanges / Reported Speech / Reported Speech: сдвиг времён (Present → Past, Past → Past Perfect, will → would)</t>
        </is>
      </c>
    </row>
    <row r="795">
      <c r="A795" s="37" t="n">
        <v>8</v>
      </c>
      <c r="B795" s="11" t="inlineStr">
        <is>
          <t>Module 6 · Culture Exchanges</t>
        </is>
      </c>
      <c r="C795" s="11" t="inlineStr">
        <is>
          <t>6c</t>
        </is>
      </c>
      <c r="D795" s="11" t="inlineStr">
        <is>
          <t>Reported Speech</t>
        </is>
      </c>
      <c r="E795" s="35" t="inlineStr">
        <is>
          <t>Reported Speech: слова времени и места (now → then, yesterday → the day before…)</t>
        </is>
      </c>
      <c r="F795" s="11" t="inlineStr">
        <is>
          <t>Ст-298</t>
        </is>
      </c>
      <c r="G795" s="40" t="inlineStr">
        <is>
          <t>новое</t>
        </is>
      </c>
      <c r="H795" s="11" t="inlineStr">
        <is>
          <t>now → then; today → that day; ago → before; here → there</t>
        </is>
      </c>
      <c r="I795" s="37" t="inlineStr">
        <is>
          <t>10+</t>
        </is>
      </c>
      <c r="J795" s="11">
        <f>IFERROR(INDEX('Уроки'!$H:$H,MATCH(F795,'Уроки'!$A:$A,0)),"")</f>
        <v/>
      </c>
      <c r="K795" s="11">
        <f>IFERROR(INDEX('Уроки'!$J:$J,MATCH(F795,'Уроки'!$A:$A,0)),"")</f>
        <v/>
      </c>
      <c r="L795" s="11" t="inlineStr">
        <is>
          <t>Spotlight / 8 класс / Module 6 · Culture Exchanges / Reported Speech / Reported Speech: слова времени и места (now → then, yesterday → the day before…)</t>
        </is>
      </c>
    </row>
    <row r="796">
      <c r="A796" s="37" t="n">
        <v>8</v>
      </c>
      <c r="B796" s="11" t="inlineStr">
        <is>
          <t>Module 6 · Culture Exchanges</t>
        </is>
      </c>
      <c r="C796" s="11" t="inlineStr">
        <is>
          <t>6c</t>
        </is>
      </c>
      <c r="D796" s="11" t="inlineStr">
        <is>
          <t>Reported commands/requests</t>
        </is>
      </c>
      <c r="E796" s="35" t="inlineStr">
        <is>
          <t>Reported commands: приказы — order/tell + sb + (not) to-inf</t>
        </is>
      </c>
      <c r="F796" s="11" t="inlineStr">
        <is>
          <t>Ст-299</t>
        </is>
      </c>
      <c r="G796" s="40" t="inlineStr">
        <is>
          <t>новое</t>
        </is>
      </c>
      <c r="H796" s="11" t="inlineStr">
        <is>
          <t>order/tell</t>
        </is>
      </c>
      <c r="I796" s="37" t="inlineStr">
        <is>
          <t>10+</t>
        </is>
      </c>
      <c r="J796" s="11">
        <f>IFERROR(INDEX('Уроки'!$H:$H,MATCH(F796,'Уроки'!$A:$A,0)),"")</f>
        <v/>
      </c>
      <c r="K796" s="11">
        <f>IFERROR(INDEX('Уроки'!$J:$J,MATCH(F796,'Уроки'!$A:$A,0)),"")</f>
        <v/>
      </c>
      <c r="L796" s="11" t="inlineStr">
        <is>
          <t>Spotlight / 8 класс / Module 6 · Culture Exchanges / Reported commands/requests / Reported commands: приказы — order/tell + sb + (not) to-inf</t>
        </is>
      </c>
    </row>
    <row r="797">
      <c r="A797" s="37" t="n">
        <v>8</v>
      </c>
      <c r="B797" s="11" t="inlineStr">
        <is>
          <t>Module 6 · Culture Exchanges</t>
        </is>
      </c>
      <c r="C797" s="11" t="inlineStr">
        <is>
          <t>6c</t>
        </is>
      </c>
      <c r="D797" s="11" t="inlineStr">
        <is>
          <t>Reported commands/requests</t>
        </is>
      </c>
      <c r="E797" s="35" t="inlineStr">
        <is>
          <t>Reported requests: ask/beg + sb + (not) to-inf</t>
        </is>
      </c>
      <c r="F797" s="11" t="inlineStr">
        <is>
          <t>Ст-300</t>
        </is>
      </c>
      <c r="G797" s="40" t="inlineStr">
        <is>
          <t>новое</t>
        </is>
      </c>
      <c r="H797" s="11" t="inlineStr">
        <is>
          <t>ask, beg (She begged me not to tease her)</t>
        </is>
      </c>
      <c r="I797" s="37" t="inlineStr">
        <is>
          <t>10+</t>
        </is>
      </c>
      <c r="J797" s="11">
        <f>IFERROR(INDEX('Уроки'!$H:$H,MATCH(F797,'Уроки'!$A:$A,0)),"")</f>
        <v/>
      </c>
      <c r="K797" s="11">
        <f>IFERROR(INDEX('Уроки'!$J:$J,MATCH(F797,'Уроки'!$A:$A,0)),"")</f>
        <v/>
      </c>
      <c r="L797" s="11" t="inlineStr">
        <is>
          <t>Spotlight / 8 класс / Module 6 · Culture Exchanges / Reported commands/requests / Reported requests: ask/beg + sb + (not) to-inf</t>
        </is>
      </c>
    </row>
    <row r="798">
      <c r="A798" s="37" t="n">
        <v>8</v>
      </c>
      <c r="B798" s="11" t="inlineStr">
        <is>
          <t>Module 6 · Culture Exchanges</t>
        </is>
      </c>
      <c r="C798" s="11" t="inlineStr">
        <is>
          <t>6c</t>
        </is>
      </c>
      <c r="D798" s="11" t="inlineStr">
        <is>
          <t>Reported commands/requests</t>
        </is>
      </c>
      <c r="E798" s="35" t="inlineStr">
        <is>
          <t>Reported suggestions: suggest + -ing / that sb (should) …</t>
        </is>
      </c>
      <c r="F798" s="11" t="inlineStr">
        <is>
          <t>Ст-301</t>
        </is>
      </c>
      <c r="G798" s="40" t="inlineStr">
        <is>
          <t>новое</t>
        </is>
      </c>
      <c r="H798" s="11" t="inlineStr">
        <is>
          <t>suggested watching / suggested that I (should) see</t>
        </is>
      </c>
      <c r="I798" s="37" t="inlineStr">
        <is>
          <t>10+</t>
        </is>
      </c>
      <c r="J798" s="11">
        <f>IFERROR(INDEX('Уроки'!$H:$H,MATCH(F798,'Уроки'!$A:$A,0)),"")</f>
        <v/>
      </c>
      <c r="K798" s="11">
        <f>IFERROR(INDEX('Уроки'!$J:$J,MATCH(F798,'Уроки'!$A:$A,0)),"")</f>
        <v/>
      </c>
      <c r="L798" s="11" t="inlineStr">
        <is>
          <t>Spotlight / 8 класс / Module 6 · Culture Exchanges / Reported commands/requests / Reported suggestions: suggest + -ing / that sb (should) …</t>
        </is>
      </c>
    </row>
    <row r="799">
      <c r="A799" s="37" t="n">
        <v>8</v>
      </c>
      <c r="B799" s="11" t="inlineStr">
        <is>
          <t>Module 6 · Culture Exchanges</t>
        </is>
      </c>
      <c r="C799" s="11" t="inlineStr">
        <is>
          <t>6c</t>
        </is>
      </c>
      <c r="D799" s="11" t="inlineStr">
        <is>
          <t>Reported commands/requests</t>
        </is>
      </c>
      <c r="E799" s="35" t="inlineStr">
        <is>
          <t>Reported advice: advise + sb + (not) to-inf</t>
        </is>
      </c>
      <c r="F799" s="11" t="inlineStr">
        <is>
          <t>Ст-302</t>
        </is>
      </c>
      <c r="G799" s="40" t="inlineStr">
        <is>
          <t>новое</t>
        </is>
      </c>
      <c r="H799" s="11" t="inlineStr">
        <is>
          <t>She advised me to watch my step</t>
        </is>
      </c>
      <c r="I799" s="37" t="inlineStr">
        <is>
          <t>10+</t>
        </is>
      </c>
      <c r="J799" s="11">
        <f>IFERROR(INDEX('Уроки'!$H:$H,MATCH(F799,'Уроки'!$A:$A,0)),"")</f>
        <v/>
      </c>
      <c r="K799" s="11">
        <f>IFERROR(INDEX('Уроки'!$J:$J,MATCH(F799,'Уроки'!$A:$A,0)),"")</f>
        <v/>
      </c>
      <c r="L799" s="11" t="inlineStr">
        <is>
          <t>Spotlight / 8 класс / Module 6 · Culture Exchanges / Reported commands/requests / Reported advice: advise + sb + (not) to-inf</t>
        </is>
      </c>
    </row>
    <row r="800">
      <c r="A800" s="37" t="n">
        <v>8</v>
      </c>
      <c r="B800" s="11" t="inlineStr">
        <is>
          <t>Module 6 · Culture Exchanges</t>
        </is>
      </c>
      <c r="C800" s="11" t="inlineStr">
        <is>
          <t>6c</t>
        </is>
      </c>
      <c r="D800" s="11" t="inlineStr">
        <is>
          <t>Indirect questions</t>
        </is>
      </c>
      <c r="E800" s="34" t="inlineStr">
        <is>
          <t>Indirect questions: Could you tell me…? / Do you know…? — прямой порядок слов</t>
        </is>
      </c>
      <c r="F800" s="11" t="inlineStr">
        <is>
          <t>Ст-539</t>
        </is>
      </c>
      <c r="G800" s="40" t="inlineStr">
        <is>
          <t>новое</t>
        </is>
      </c>
      <c r="H800" s="11" t="inlineStr">
        <is>
          <t>Could you tell me…? Do you know…?</t>
        </is>
      </c>
      <c r="I800" s="37" t="inlineStr">
        <is>
          <t>10+</t>
        </is>
      </c>
      <c r="J800" s="11">
        <f>IFERROR(INDEX('Уроки'!$H:$H,MATCH(F800,'Уроки'!$A:$A,0)),"")</f>
        <v/>
      </c>
      <c r="K800" s="11">
        <f>IFERROR(INDEX('Уроки'!$J:$J,MATCH(F800,'Уроки'!$A:$A,0)),"")</f>
        <v/>
      </c>
      <c r="L800" s="11" t="inlineStr">
        <is>
          <t>Spotlight / 8 класс / Module 6 · Culture Exchanges / Indirect questions / Indirect questions: Could you tell me…? / Do you know…? — прямой порядок слов</t>
        </is>
      </c>
    </row>
    <row r="801">
      <c r="A801" s="37" t="n">
        <v>8</v>
      </c>
      <c r="B801" s="11" t="inlineStr">
        <is>
          <t>Module 6 · Culture Exchanges</t>
        </is>
      </c>
      <c r="C801" s="11" t="inlineStr">
        <is>
          <t>6c</t>
        </is>
      </c>
      <c r="D801" s="11" t="inlineStr">
        <is>
          <t>Indirect questions</t>
        </is>
      </c>
      <c r="E801" s="34" t="inlineStr">
        <is>
          <t>Indirect questions: I wonder / I want to know / I doubt — без вопросительного знака</t>
        </is>
      </c>
      <c r="F801" s="11" t="inlineStr">
        <is>
          <t>Ст-540</t>
        </is>
      </c>
      <c r="G801" s="40" t="inlineStr">
        <is>
          <t>новое</t>
        </is>
      </c>
      <c r="H801" s="11" t="inlineStr">
        <is>
          <t>I wonder, I want to know, I doubt</t>
        </is>
      </c>
      <c r="I801" s="37" t="inlineStr">
        <is>
          <t>10+</t>
        </is>
      </c>
      <c r="J801" s="11">
        <f>IFERROR(INDEX('Уроки'!$H:$H,MATCH(F801,'Уроки'!$A:$A,0)),"")</f>
        <v/>
      </c>
      <c r="K801" s="11">
        <f>IFERROR(INDEX('Уроки'!$J:$J,MATCH(F801,'Уроки'!$A:$A,0)),"")</f>
        <v/>
      </c>
      <c r="L801" s="11" t="inlineStr">
        <is>
          <t>Spotlight / 8 класс / Module 6 · Culture Exchanges / Indirect questions / Indirect questions: I wonder / I want to know / I doubt — без вопросительного знака</t>
        </is>
      </c>
    </row>
    <row r="802">
      <c r="A802" s="37" t="n">
        <v>8</v>
      </c>
      <c r="B802" s="11" t="inlineStr">
        <is>
          <t>Module 6 · Culture Exchanges</t>
        </is>
      </c>
      <c r="C802" s="11" t="inlineStr">
        <is>
          <t>6c</t>
        </is>
      </c>
      <c r="D802" s="11" t="inlineStr">
        <is>
          <t>Reported questions</t>
        </is>
      </c>
      <c r="E802" s="35" t="inlineStr">
        <is>
          <t>Reported questions: вводящие глаголы ask, inquire, wonder, want to know</t>
        </is>
      </c>
      <c r="F802" s="11" t="inlineStr">
        <is>
          <t>Ст-542</t>
        </is>
      </c>
      <c r="G802" s="40" t="inlineStr">
        <is>
          <t>новое</t>
        </is>
      </c>
      <c r="H802" s="11" t="inlineStr">
        <is>
          <t>ask, inquire, wonder, want/would like to know</t>
        </is>
      </c>
      <c r="I802" s="37" t="inlineStr">
        <is>
          <t>10+</t>
        </is>
      </c>
      <c r="J802" s="11">
        <f>IFERROR(INDEX('Уроки'!$H:$H,MATCH(F802,'Уроки'!$A:$A,0)),"")</f>
        <v/>
      </c>
      <c r="K802" s="11">
        <f>IFERROR(INDEX('Уроки'!$J:$J,MATCH(F802,'Уроки'!$A:$A,0)),"")</f>
        <v/>
      </c>
      <c r="L802" s="11" t="inlineStr">
        <is>
          <t>Spotlight / 8 класс / Module 6 · Culture Exchanges / Reported questions / Reported questions: вводящие глаголы ask, inquire, wonder, want to know</t>
        </is>
      </c>
    </row>
    <row r="803">
      <c r="A803" s="37" t="n">
        <v>8</v>
      </c>
      <c r="B803" s="11" t="inlineStr">
        <is>
          <t>Module 6 · Culture Exchanges</t>
        </is>
      </c>
      <c r="C803" s="11" t="inlineStr">
        <is>
          <t>6c</t>
        </is>
      </c>
      <c r="D803" s="11" t="inlineStr">
        <is>
          <t>Reported questions</t>
        </is>
      </c>
      <c r="E803" s="35" t="inlineStr">
        <is>
          <t>Reported questions: специальные вопросы — то же вопросительное слово</t>
        </is>
      </c>
      <c r="F803" s="11" t="inlineStr">
        <is>
          <t>Ст-543</t>
        </is>
      </c>
      <c r="G803" s="40" t="inlineStr">
        <is>
          <t>новое</t>
        </is>
      </c>
      <c r="H803" s="11" t="inlineStr"/>
      <c r="I803" s="37" t="inlineStr">
        <is>
          <t>10+</t>
        </is>
      </c>
      <c r="J803" s="11">
        <f>IFERROR(INDEX('Уроки'!$H:$H,MATCH(F803,'Уроки'!$A:$A,0)),"")</f>
        <v/>
      </c>
      <c r="K803" s="11">
        <f>IFERROR(INDEX('Уроки'!$J:$J,MATCH(F803,'Уроки'!$A:$A,0)),"")</f>
        <v/>
      </c>
      <c r="L803" s="11" t="inlineStr">
        <is>
          <t>Spotlight / 8 класс / Module 6 · Culture Exchanges / Reported questions / Reported questions: специальные вопросы — то же вопросительное слово</t>
        </is>
      </c>
    </row>
    <row r="804">
      <c r="A804" s="37" t="n">
        <v>8</v>
      </c>
      <c r="B804" s="11" t="inlineStr">
        <is>
          <t>Module 6 · Culture Exchanges</t>
        </is>
      </c>
      <c r="C804" s="11" t="inlineStr">
        <is>
          <t>6c</t>
        </is>
      </c>
      <c r="D804" s="11" t="inlineStr">
        <is>
          <t>Reported questions</t>
        </is>
      </c>
      <c r="E804" s="35" t="inlineStr">
        <is>
          <t>Reported questions: общие вопросы — if/whether</t>
        </is>
      </c>
      <c r="F804" s="11" t="inlineStr">
        <is>
          <t>Ст-544</t>
        </is>
      </c>
      <c r="G804" s="40" t="inlineStr">
        <is>
          <t>новое</t>
        </is>
      </c>
      <c r="H804" s="11" t="inlineStr"/>
      <c r="I804" s="37" t="inlineStr">
        <is>
          <t>10+</t>
        </is>
      </c>
      <c r="J804" s="11">
        <f>IFERROR(INDEX('Уроки'!$H:$H,MATCH(F804,'Уроки'!$A:$A,0)),"")</f>
        <v/>
      </c>
      <c r="K804" s="11">
        <f>IFERROR(INDEX('Уроки'!$J:$J,MATCH(F804,'Уроки'!$A:$A,0)),"")</f>
        <v/>
      </c>
      <c r="L804" s="11" t="inlineStr">
        <is>
          <t>Spotlight / 8 класс / Module 6 · Culture Exchanges / Reported questions / Reported questions: общие вопросы — if/whether</t>
        </is>
      </c>
    </row>
    <row r="805">
      <c r="A805" s="37" t="n">
        <v>8</v>
      </c>
      <c r="B805" s="11" t="inlineStr">
        <is>
          <t>Module 6 · Culture Exchanges</t>
        </is>
      </c>
      <c r="C805" s="11" t="inlineStr">
        <is>
          <t>6c</t>
        </is>
      </c>
      <c r="D805" s="11" t="inlineStr">
        <is>
          <t>Reported questions</t>
        </is>
      </c>
      <c r="E805" s="35" t="inlineStr">
        <is>
          <t>Reported questions: прямой порядок слов, без «?», без please/well/oh</t>
        </is>
      </c>
      <c r="F805" s="11" t="inlineStr">
        <is>
          <t>Ст-545</t>
        </is>
      </c>
      <c r="G805" s="40" t="inlineStr">
        <is>
          <t>новое</t>
        </is>
      </c>
      <c r="H805" s="11" t="inlineStr"/>
      <c r="I805" s="37" t="inlineStr">
        <is>
          <t>10+</t>
        </is>
      </c>
      <c r="J805" s="11">
        <f>IFERROR(INDEX('Уроки'!$H:$H,MATCH(F805,'Уроки'!$A:$A,0)),"")</f>
        <v/>
      </c>
      <c r="K805" s="11">
        <f>IFERROR(INDEX('Уроки'!$J:$J,MATCH(F805,'Уроки'!$A:$A,0)),"")</f>
        <v/>
      </c>
      <c r="L805" s="11" t="inlineStr">
        <is>
          <t>Spotlight / 8 класс / Module 6 · Culture Exchanges / Reported questions / Reported questions: прямой порядок слов, без «?», без please/well/oh</t>
        </is>
      </c>
    </row>
    <row r="806">
      <c r="A806" s="37" t="n">
        <v>8</v>
      </c>
      <c r="B806" s="11" t="inlineStr">
        <is>
          <t>Module 6 · Culture Exchanges</t>
        </is>
      </c>
      <c r="C806" s="11" t="inlineStr">
        <is>
          <t>6c</t>
        </is>
      </c>
      <c r="D806" s="11" t="inlineStr">
        <is>
          <t>Reported questions</t>
        </is>
      </c>
      <c r="E806" s="35" t="inlineStr">
        <is>
          <t>Reported questions: сдвиг времён, местоимений и слов времени</t>
        </is>
      </c>
      <c r="F806" s="11" t="inlineStr">
        <is>
          <t>Ст-546</t>
        </is>
      </c>
      <c r="G806" s="40" t="inlineStr">
        <is>
          <t>новое</t>
        </is>
      </c>
      <c r="H806" s="11" t="inlineStr"/>
      <c r="I806" s="37" t="inlineStr">
        <is>
          <t>10+</t>
        </is>
      </c>
      <c r="J806" s="11">
        <f>IFERROR(INDEX('Уроки'!$H:$H,MATCH(F806,'Уроки'!$A:$A,0)),"")</f>
        <v/>
      </c>
      <c r="K806" s="11">
        <f>IFERROR(INDEX('Уроки'!$J:$J,MATCH(F806,'Уроки'!$A:$A,0)),"")</f>
        <v/>
      </c>
      <c r="L806" s="11" t="inlineStr">
        <is>
          <t>Spotlight / 8 класс / Module 6 · Culture Exchanges / Reported questions / Reported questions: сдвиг времён, местоимений и слов времени</t>
        </is>
      </c>
    </row>
    <row r="807">
      <c r="A807" s="37" t="n">
        <v>8</v>
      </c>
      <c r="B807" s="11" t="inlineStr">
        <is>
          <t>Module 6 · Culture Exchanges</t>
        </is>
      </c>
      <c r="C807" s="11" t="inlineStr">
        <is>
          <t>6f</t>
        </is>
      </c>
      <c r="D807" s="11" t="inlineStr">
        <is>
          <t>Phrasal verbs</t>
        </is>
      </c>
      <c r="E807" s="33" t="inlineStr">
        <is>
          <t>Phrasal verbs: set</t>
        </is>
      </c>
      <c r="F807" s="11" t="inlineStr">
        <is>
          <t>Ст-591</t>
        </is>
      </c>
      <c r="G807" s="40" t="inlineStr">
        <is>
          <t>новое</t>
        </is>
      </c>
      <c r="H807" s="11" t="inlineStr">
        <is>
          <t>set: set aside (отставлять, откладывать), set back (задерживать), set in (наступать, начинаться; в приложении — «устанавливать»), set off (отправляться).</t>
        </is>
      </c>
      <c r="I807" s="37" t="inlineStr">
        <is>
          <t>10+</t>
        </is>
      </c>
      <c r="J807" s="11">
        <f>IFERROR(INDEX('Уроки'!$H:$H,MATCH(F807,'Уроки'!$A:$A,0)),"")</f>
        <v/>
      </c>
      <c r="K807" s="11">
        <f>IFERROR(INDEX('Уроки'!$J:$J,MATCH(F807,'Уроки'!$A:$A,0)),"")</f>
        <v/>
      </c>
      <c r="L807" s="11" t="inlineStr">
        <is>
          <t>Spotlight / 8 класс / Module 6 · Culture Exchanges / Phrasal verbs / Phrasal verbs: set</t>
        </is>
      </c>
    </row>
    <row r="808">
      <c r="A808" s="37" t="n">
        <v>8</v>
      </c>
      <c r="B808" s="11" t="inlineStr">
        <is>
          <t>Module 6 · Culture Exchanges</t>
        </is>
      </c>
      <c r="C808" s="11" t="inlineStr">
        <is>
          <t>6f</t>
        </is>
      </c>
      <c r="D808" s="11" t="inlineStr">
        <is>
          <t>Word formation</t>
        </is>
      </c>
      <c r="E808" s="35" t="inlineStr">
        <is>
          <t>Word formation: -ness, -ment</t>
        </is>
      </c>
      <c r="F808" s="11" t="inlineStr">
        <is>
          <t>Ст-618</t>
        </is>
      </c>
      <c r="G808" s="40" t="inlineStr">
        <is>
          <t>новое</t>
        </is>
      </c>
      <c r="H808" s="11" t="inlineStr">
        <is>
          <t>Образование существительных: -ness, -ment.</t>
        </is>
      </c>
      <c r="I808" s="37" t="inlineStr">
        <is>
          <t>10+</t>
        </is>
      </c>
      <c r="J808" s="11">
        <f>IFERROR(INDEX('Уроки'!$H:$H,MATCH(F808,'Уроки'!$A:$A,0)),"")</f>
        <v/>
      </c>
      <c r="K808" s="11">
        <f>IFERROR(INDEX('Уроки'!$J:$J,MATCH(F808,'Уроки'!$A:$A,0)),"")</f>
        <v/>
      </c>
      <c r="L808" s="11" t="inlineStr">
        <is>
          <t>Spotlight / 8 класс / Module 6 · Culture Exchanges / Word formation / Word formation: -ness, -ment</t>
        </is>
      </c>
    </row>
    <row r="809">
      <c r="A809" s="37" t="n">
        <v>8</v>
      </c>
      <c r="B809" s="11" t="inlineStr">
        <is>
          <t>Module 6 · Culture Exchanges</t>
        </is>
      </c>
      <c r="C809" s="11" t="inlineStr">
        <is>
          <t>6f</t>
        </is>
      </c>
      <c r="D809" s="11" t="inlineStr">
        <is>
          <t>Dependent prepositions</t>
        </is>
      </c>
      <c r="E809" s="35" t="inlineStr">
        <is>
          <t>Dependent prepositions</t>
        </is>
      </c>
      <c r="F809" s="11" t="inlineStr">
        <is>
          <t>Ст-633</t>
        </is>
      </c>
      <c r="G809" s="37" t="inlineStr">
        <is>
          <t>повторение</t>
        </is>
      </c>
      <c r="H809" s="11" t="inlineStr">
        <is>
          <t>Предлоги (prepositions) — тема English in Use 6f.</t>
        </is>
      </c>
      <c r="I809" s="37" t="inlineStr">
        <is>
          <t>10+</t>
        </is>
      </c>
      <c r="J809" s="11">
        <f>IFERROR(INDEX('Уроки'!$H:$H,MATCH(F809,'Уроки'!$A:$A,0)),"")</f>
        <v/>
      </c>
      <c r="K809" s="11">
        <f>IFERROR(INDEX('Уроки'!$J:$J,MATCH(F809,'Уроки'!$A:$A,0)),"")</f>
        <v/>
      </c>
      <c r="L809" s="11" t="inlineStr">
        <is>
          <t>Spotlight / 8 класс / Module 6 · Culture Exchanges / Dependent prepositions / Dependent prepositions</t>
        </is>
      </c>
    </row>
    <row r="810">
      <c r="A810" s="37" t="n">
        <v>8</v>
      </c>
      <c r="B810" s="11" t="inlineStr">
        <is>
          <t>Module 6 · Culture Exchanges</t>
        </is>
      </c>
      <c r="C810" s="11" t="inlineStr">
        <is>
          <t>6f</t>
        </is>
      </c>
      <c r="D810" s="11" t="inlineStr">
        <is>
          <t>Words often confused</t>
        </is>
      </c>
      <c r="E810" s="35" t="inlineStr">
        <is>
          <t>Words often confused</t>
        </is>
      </c>
      <c r="F810" s="11" t="inlineStr">
        <is>
          <t>Ст-635</t>
        </is>
      </c>
      <c r="G810" s="37" t="inlineStr">
        <is>
          <t>повторение</t>
        </is>
      </c>
      <c r="H810" s="11" t="inlineStr">
        <is>
          <t>Слова, которые часто путают — тема English in Use 6f.</t>
        </is>
      </c>
      <c r="I810" s="37" t="inlineStr">
        <is>
          <t>10+</t>
        </is>
      </c>
      <c r="J810" s="11">
        <f>IFERROR(INDEX('Уроки'!$H:$H,MATCH(F810,'Уроки'!$A:$A,0)),"")</f>
        <v/>
      </c>
      <c r="K810" s="11">
        <f>IFERROR(INDEX('Уроки'!$J:$J,MATCH(F810,'Уроки'!$A:$A,0)),"")</f>
        <v/>
      </c>
      <c r="L810" s="11" t="inlineStr">
        <is>
          <t>Spotlight / 8 класс / Module 6 · Culture Exchanges / Words often confused / Words often confused</t>
        </is>
      </c>
    </row>
    <row r="811">
      <c r="A811" s="37" t="n">
        <v>8</v>
      </c>
      <c r="B811" s="11" t="inlineStr">
        <is>
          <t>Module 7 · Education</t>
        </is>
      </c>
      <c r="C811" s="11" t="inlineStr">
        <is>
          <t>7c</t>
        </is>
      </c>
      <c r="D811" s="11" t="inlineStr">
        <is>
          <t>have to</t>
        </is>
      </c>
      <c r="E811" s="33" t="inlineStr">
        <is>
          <t>have to: значение — необходимость из-за обстоятельств (утверждение)</t>
        </is>
      </c>
      <c r="F811" s="11" t="inlineStr">
        <is>
          <t>Ст-137</t>
        </is>
      </c>
      <c r="G811" s="37" t="inlineStr">
        <is>
          <t>повторение</t>
        </is>
      </c>
      <c r="H811" s="11" t="inlineStr"/>
      <c r="I811" s="37" t="inlineStr">
        <is>
          <t>10+</t>
        </is>
      </c>
      <c r="J811" s="11">
        <f>IFERROR(INDEX('Уроки'!$H:$H,MATCH(F811,'Уроки'!$A:$A,0)),"")</f>
        <v/>
      </c>
      <c r="K811" s="11">
        <f>IFERROR(INDEX('Уроки'!$J:$J,MATCH(F811,'Уроки'!$A:$A,0)),"")</f>
        <v/>
      </c>
      <c r="L811" s="11" t="inlineStr">
        <is>
          <t>Spotlight / 8 класс / Module 7 · Education / have to / have to: значение — необходимость из-за обстоятельств (утверждение)</t>
        </is>
      </c>
    </row>
    <row r="812">
      <c r="A812" s="37" t="n">
        <v>8</v>
      </c>
      <c r="B812" s="11" t="inlineStr">
        <is>
          <t>Module 7 · Education</t>
        </is>
      </c>
      <c r="C812" s="11" t="inlineStr">
        <is>
          <t>7c</t>
        </is>
      </c>
      <c r="D812" s="11" t="inlineStr">
        <is>
          <t>have to</t>
        </is>
      </c>
      <c r="E812" s="33" t="inlineStr">
        <is>
          <t>have to: don't / doesn't have to — отсутствие необходимости</t>
        </is>
      </c>
      <c r="F812" s="11" t="inlineStr">
        <is>
          <t>Ст-138</t>
        </is>
      </c>
      <c r="G812" s="37" t="inlineStr">
        <is>
          <t>повторение</t>
        </is>
      </c>
      <c r="H812" s="11" t="inlineStr">
        <is>
          <t>нет необходимости в настоящем/будущем</t>
        </is>
      </c>
      <c r="I812" s="37" t="inlineStr">
        <is>
          <t>10+</t>
        </is>
      </c>
      <c r="J812" s="11">
        <f>IFERROR(INDEX('Уроки'!$H:$H,MATCH(F812,'Уроки'!$A:$A,0)),"")</f>
        <v/>
      </c>
      <c r="K812" s="11">
        <f>IFERROR(INDEX('Уроки'!$J:$J,MATCH(F812,'Уроки'!$A:$A,0)),"")</f>
        <v/>
      </c>
      <c r="L812" s="11" t="inlineStr">
        <is>
          <t>Spotlight / 8 класс / Module 7 · Education / have to / have to: don't / doesn't have to — отсутствие необходимости</t>
        </is>
      </c>
    </row>
    <row r="813">
      <c r="A813" s="37" t="n">
        <v>8</v>
      </c>
      <c r="B813" s="11" t="inlineStr">
        <is>
          <t>Module 7 · Education</t>
        </is>
      </c>
      <c r="C813" s="11" t="inlineStr">
        <is>
          <t>7c</t>
        </is>
      </c>
      <c r="D813" s="11" t="inlineStr">
        <is>
          <t>have to</t>
        </is>
      </c>
      <c r="E813" s="35" t="inlineStr">
        <is>
          <t>have to: had to — прошедшее время</t>
        </is>
      </c>
      <c r="F813" s="11" t="inlineStr">
        <is>
          <t>Ст-139</t>
        </is>
      </c>
      <c r="G813" s="37" t="inlineStr">
        <is>
          <t>повторение</t>
        </is>
      </c>
      <c r="H813" s="11" t="inlineStr"/>
      <c r="I813" s="37" t="inlineStr">
        <is>
          <t>10+</t>
        </is>
      </c>
      <c r="J813" s="11">
        <f>IFERROR(INDEX('Уроки'!$H:$H,MATCH(F813,'Уроки'!$A:$A,0)),"")</f>
        <v/>
      </c>
      <c r="K813" s="11">
        <f>IFERROR(INDEX('Уроки'!$J:$J,MATCH(F813,'Уроки'!$A:$A,0)),"")</f>
        <v/>
      </c>
      <c r="L813" s="11" t="inlineStr">
        <is>
          <t>Spotlight / 8 класс / Module 7 · Education / have to / have to: had to — прошедшее время</t>
        </is>
      </c>
    </row>
    <row r="814">
      <c r="A814" s="37" t="n">
        <v>8</v>
      </c>
      <c r="B814" s="11" t="inlineStr">
        <is>
          <t>Module 7 · Education</t>
        </is>
      </c>
      <c r="C814" s="11" t="inlineStr">
        <is>
          <t>7c</t>
        </is>
      </c>
      <c r="D814" s="11" t="inlineStr">
        <is>
          <t>have to</t>
        </is>
      </c>
      <c r="E814" s="35" t="inlineStr">
        <is>
          <t>have to: didn't have to — не было необходимости в прошлом</t>
        </is>
      </c>
      <c r="F814" s="11" t="inlineStr">
        <is>
          <t>Ст-140</t>
        </is>
      </c>
      <c r="G814" s="40" t="inlineStr">
        <is>
          <t>новое</t>
        </is>
      </c>
      <c r="H814" s="11" t="inlineStr">
        <is>
          <t>неизвестно, сделано ли</t>
        </is>
      </c>
      <c r="I814" s="37" t="inlineStr">
        <is>
          <t>10+</t>
        </is>
      </c>
      <c r="J814" s="11">
        <f>IFERROR(INDEX('Уроки'!$H:$H,MATCH(F814,'Уроки'!$A:$A,0)),"")</f>
        <v/>
      </c>
      <c r="K814" s="11">
        <f>IFERROR(INDEX('Уроки'!$J:$J,MATCH(F814,'Уроки'!$A:$A,0)),"")</f>
        <v/>
      </c>
      <c r="L814" s="11" t="inlineStr">
        <is>
          <t>Spotlight / 8 класс / Module 7 · Education / have to / have to: didn't have to — не было необходимости в прошлом</t>
        </is>
      </c>
    </row>
    <row r="815">
      <c r="A815" s="37" t="n">
        <v>8</v>
      </c>
      <c r="B815" s="11" t="inlineStr">
        <is>
          <t>Module 7 · Education</t>
        </is>
      </c>
      <c r="C815" s="11" t="inlineStr">
        <is>
          <t>7c</t>
        </is>
      </c>
      <c r="D815" s="11" t="inlineStr">
        <is>
          <t>may/might</t>
        </is>
      </c>
      <c r="E815" s="35" t="inlineStr">
        <is>
          <t>may/might: can — общая (теоретическая) возможность</t>
        </is>
      </c>
      <c r="F815" s="11" t="inlineStr">
        <is>
          <t>Ст-142</t>
        </is>
      </c>
      <c r="G815" s="40" t="inlineStr">
        <is>
          <t>новое</t>
        </is>
      </c>
      <c r="H815" s="11" t="inlineStr">
        <is>
          <t>It can get pretty cold up here</t>
        </is>
      </c>
      <c r="I815" s="37" t="inlineStr">
        <is>
          <t>10+</t>
        </is>
      </c>
      <c r="J815" s="11">
        <f>IFERROR(INDEX('Уроки'!$H:$H,MATCH(F815,'Уроки'!$A:$A,0)),"")</f>
        <v/>
      </c>
      <c r="K815" s="11">
        <f>IFERROR(INDEX('Уроки'!$J:$J,MATCH(F815,'Уроки'!$A:$A,0)),"")</f>
        <v/>
      </c>
      <c r="L815" s="11" t="inlineStr">
        <is>
          <t>Spotlight / 8 класс / Module 7 · Education / may/might / may/might: can — общая (теоретическая) возможность</t>
        </is>
      </c>
    </row>
    <row r="816">
      <c r="A816" s="37" t="n">
        <v>8</v>
      </c>
      <c r="B816" s="11" t="inlineStr">
        <is>
          <t>Module 7 · Education</t>
        </is>
      </c>
      <c r="C816" s="11" t="inlineStr">
        <is>
          <t>7c</t>
        </is>
      </c>
      <c r="D816" s="11" t="inlineStr">
        <is>
          <t>may/might</t>
        </is>
      </c>
      <c r="E816" s="35" t="inlineStr">
        <is>
          <t>may/might: could/may/might — возможность в конкретной ситуации</t>
        </is>
      </c>
      <c r="F816" s="11" t="inlineStr">
        <is>
          <t>Ст-143</t>
        </is>
      </c>
      <c r="G816" s="40" t="inlineStr">
        <is>
          <t>новое</t>
        </is>
      </c>
      <c r="H816" s="11" t="inlineStr">
        <is>
          <t>It might be cold today</t>
        </is>
      </c>
      <c r="I816" s="37" t="inlineStr">
        <is>
          <t>10+</t>
        </is>
      </c>
      <c r="J816" s="11">
        <f>IFERROR(INDEX('Уроки'!$H:$H,MATCH(F816,'Уроки'!$A:$A,0)),"")</f>
        <v/>
      </c>
      <c r="K816" s="11">
        <f>IFERROR(INDEX('Уроки'!$J:$J,MATCH(F816,'Уроки'!$A:$A,0)),"")</f>
        <v/>
      </c>
      <c r="L816" s="11" t="inlineStr">
        <is>
          <t>Spotlight / 8 класс / Module 7 · Education / may/might / may/might: could/may/might — возможность в конкретной ситуации</t>
        </is>
      </c>
    </row>
    <row r="817">
      <c r="A817" s="37" t="n">
        <v>8</v>
      </c>
      <c r="B817" s="11" t="inlineStr">
        <is>
          <t>Module 7 · Education</t>
        </is>
      </c>
      <c r="C817" s="11" t="inlineStr">
        <is>
          <t>7c</t>
        </is>
      </c>
      <c r="D817" s="11" t="inlineStr">
        <is>
          <t>may/might</t>
        </is>
      </c>
      <c r="E817" s="35" t="inlineStr">
        <is>
          <t>may/might: возможность в вопросах — can/could/might, но не may</t>
        </is>
      </c>
      <c r="F817" s="11" t="inlineStr">
        <is>
          <t>Ст-144</t>
        </is>
      </c>
      <c r="G817" s="40" t="inlineStr">
        <is>
          <t>новое</t>
        </is>
      </c>
      <c r="H817" s="11" t="inlineStr">
        <is>
          <t>Where could I buy a good coat?</t>
        </is>
      </c>
      <c r="I817" s="37" t="inlineStr">
        <is>
          <t>10+</t>
        </is>
      </c>
      <c r="J817" s="11">
        <f>IFERROR(INDEX('Уроки'!$H:$H,MATCH(F817,'Уроки'!$A:$A,0)),"")</f>
        <v/>
      </c>
      <c r="K817" s="11">
        <f>IFERROR(INDEX('Уроки'!$J:$J,MATCH(F817,'Уроки'!$A:$A,0)),"")</f>
        <v/>
      </c>
      <c r="L817" s="11" t="inlineStr">
        <is>
          <t>Spotlight / 8 класс / Module 7 · Education / may/might / may/might: возможность в вопросах — can/could/might, но не may</t>
        </is>
      </c>
    </row>
    <row r="818">
      <c r="A818" s="37" t="n">
        <v>8</v>
      </c>
      <c r="B818" s="11" t="inlineStr">
        <is>
          <t>Module 7 · Education</t>
        </is>
      </c>
      <c r="C818" s="11" t="inlineStr">
        <is>
          <t>7c</t>
        </is>
      </c>
      <c r="D818" s="11" t="inlineStr">
        <is>
          <t>may/might</t>
        </is>
      </c>
      <c r="E818" s="35" t="inlineStr">
        <is>
          <t>may/might: could/might/would + have V3 — было возможно, но не случилось</t>
        </is>
      </c>
      <c r="F818" s="11" t="inlineStr">
        <is>
          <t>Ст-145</t>
        </is>
      </c>
      <c r="G818" s="40" t="inlineStr">
        <is>
          <t>новое</t>
        </is>
      </c>
      <c r="H818" s="11" t="inlineStr">
        <is>
          <t>I could have lent you some money</t>
        </is>
      </c>
      <c r="I818" s="37" t="inlineStr">
        <is>
          <t>10+</t>
        </is>
      </c>
      <c r="J818" s="11">
        <f>IFERROR(INDEX('Уроки'!$H:$H,MATCH(F818,'Уроки'!$A:$A,0)),"")</f>
        <v/>
      </c>
      <c r="K818" s="11">
        <f>IFERROR(INDEX('Уроки'!$J:$J,MATCH(F818,'Уроки'!$A:$A,0)),"")</f>
        <v/>
      </c>
      <c r="L818" s="11" t="inlineStr">
        <is>
          <t>Spotlight / 8 класс / Module 7 · Education / may/might / may/might: could/might/would + have V3 — было возможно, но не случилось</t>
        </is>
      </c>
    </row>
    <row r="819">
      <c r="A819" s="37" t="n">
        <v>8</v>
      </c>
      <c r="B819" s="11" t="inlineStr">
        <is>
          <t>Module 7 · Education</t>
        </is>
      </c>
      <c r="C819" s="11" t="inlineStr">
        <is>
          <t>7c</t>
        </is>
      </c>
      <c r="D819" s="11" t="inlineStr">
        <is>
          <t>must/mustn't</t>
        </is>
      </c>
      <c r="E819" s="33" t="inlineStr">
        <is>
          <t>must/mustn't: must — обязанность, необходимость</t>
        </is>
      </c>
      <c r="F819" s="11" t="inlineStr">
        <is>
          <t>Ст-146</t>
        </is>
      </c>
      <c r="G819" s="37" t="inlineStr">
        <is>
          <t>повторение</t>
        </is>
      </c>
      <c r="H819" s="11" t="inlineStr">
        <is>
          <t>долг, строгое обязательство, крайняя необходимость</t>
        </is>
      </c>
      <c r="I819" s="37" t="inlineStr">
        <is>
          <t>10+</t>
        </is>
      </c>
      <c r="J819" s="11">
        <f>IFERROR(INDEX('Уроки'!$H:$H,MATCH(F819,'Уроки'!$A:$A,0)),"")</f>
        <v/>
      </c>
      <c r="K819" s="11">
        <f>IFERROR(INDEX('Уроки'!$J:$J,MATCH(F819,'Уроки'!$A:$A,0)),"")</f>
        <v/>
      </c>
      <c r="L819" s="11" t="inlineStr">
        <is>
          <t>Spotlight / 8 класс / Module 7 · Education / must/mustn't / must/mustn't: must — обязанность, необходимость</t>
        </is>
      </c>
    </row>
    <row r="820">
      <c r="A820" s="37" t="n">
        <v>8</v>
      </c>
      <c r="B820" s="11" t="inlineStr">
        <is>
          <t>Module 7 · Education</t>
        </is>
      </c>
      <c r="C820" s="11" t="inlineStr">
        <is>
          <t>7c</t>
        </is>
      </c>
      <c r="D820" s="11" t="inlineStr">
        <is>
          <t>must/mustn't</t>
        </is>
      </c>
      <c r="E820" s="35" t="inlineStr">
        <is>
          <t>must/mustn't: can't как запрет (= mustn't)</t>
        </is>
      </c>
      <c r="F820" s="11" t="inlineStr">
        <is>
          <t>Ст-148</t>
        </is>
      </c>
      <c r="G820" s="37" t="inlineStr">
        <is>
          <t>повторение</t>
        </is>
      </c>
      <c r="H820" s="11" t="inlineStr">
        <is>
          <t>mustn't/can't — запрет правилами, законом</t>
        </is>
      </c>
      <c r="I820" s="37" t="inlineStr">
        <is>
          <t>10+</t>
        </is>
      </c>
      <c r="J820" s="11">
        <f>IFERROR(INDEX('Уроки'!$H:$H,MATCH(F820,'Уроки'!$A:$A,0)),"")</f>
        <v/>
      </c>
      <c r="K820" s="11">
        <f>IFERROR(INDEX('Уроки'!$J:$J,MATCH(F820,'Уроки'!$A:$A,0)),"")</f>
        <v/>
      </c>
      <c r="L820" s="11" t="inlineStr">
        <is>
          <t>Spotlight / 8 класс / Module 7 · Education / must/mustn't / must/mustn't: can't как запрет (= mustn't)</t>
        </is>
      </c>
    </row>
    <row r="821">
      <c r="A821" s="37" t="n">
        <v>8</v>
      </c>
      <c r="B821" s="11" t="inlineStr">
        <is>
          <t>Module 7 · Education</t>
        </is>
      </c>
      <c r="C821" s="11" t="inlineStr">
        <is>
          <t>7c</t>
        </is>
      </c>
      <c r="D821" s="11" t="inlineStr">
        <is>
          <t>must/mustn't</t>
        </is>
      </c>
      <c r="E821" s="35" t="inlineStr">
        <is>
          <t>must/mustn't: must только в настоящем; в других временах — have to / had to</t>
        </is>
      </c>
      <c r="F821" s="11" t="inlineStr">
        <is>
          <t>Ст-150</t>
        </is>
      </c>
      <c r="G821" s="37" t="inlineStr">
        <is>
          <t>повторение</t>
        </is>
      </c>
      <c r="H821" s="11" t="inlineStr">
        <is>
          <t>had to — прошедшее для must и have to</t>
        </is>
      </c>
      <c r="I821" s="37" t="inlineStr">
        <is>
          <t>10+</t>
        </is>
      </c>
      <c r="J821" s="11">
        <f>IFERROR(INDEX('Уроки'!$H:$H,MATCH(F821,'Уроки'!$A:$A,0)),"")</f>
        <v/>
      </c>
      <c r="K821" s="11">
        <f>IFERROR(INDEX('Уроки'!$J:$J,MATCH(F821,'Уроки'!$A:$A,0)),"")</f>
        <v/>
      </c>
      <c r="L821" s="11" t="inlineStr">
        <is>
          <t>Spotlight / 8 класс / Module 7 · Education / must/mustn't / must/mustn't: must только в настоящем; в других временах — have to / had to</t>
        </is>
      </c>
    </row>
    <row r="822">
      <c r="A822" s="37" t="n">
        <v>8</v>
      </c>
      <c r="B822" s="11" t="inlineStr">
        <is>
          <t>Module 7 · Education</t>
        </is>
      </c>
      <c r="C822" s="11" t="inlineStr">
        <is>
          <t>7c</t>
        </is>
      </c>
      <c r="D822" s="11" t="inlineStr">
        <is>
          <t>can (permission/request)</t>
        </is>
      </c>
      <c r="E822" s="35" t="inlineStr">
        <is>
          <t>can (permission/request): can vs may — разрешение (may формальнее)</t>
        </is>
      </c>
      <c r="F822" s="11" t="inlineStr">
        <is>
          <t>Ст-156</t>
        </is>
      </c>
      <c r="G822" s="40" t="inlineStr">
        <is>
          <t>новое</t>
        </is>
      </c>
      <c r="H822" s="11" t="inlineStr">
        <is>
          <t>Can/May I…? — Yes, you can/may</t>
        </is>
      </c>
      <c r="I822" s="37" t="inlineStr">
        <is>
          <t>10+</t>
        </is>
      </c>
      <c r="J822" s="11">
        <f>IFERROR(INDEX('Уроки'!$H:$H,MATCH(F822,'Уроки'!$A:$A,0)),"")</f>
        <v/>
      </c>
      <c r="K822" s="11">
        <f>IFERROR(INDEX('Уроки'!$J:$J,MATCH(F822,'Уроки'!$A:$A,0)),"")</f>
        <v/>
      </c>
      <c r="L822" s="11" t="inlineStr">
        <is>
          <t>Spotlight / 8 класс / Module 7 · Education / can (permission/request) / can (permission/request): can vs may — разрешение (may формальнее)</t>
        </is>
      </c>
    </row>
    <row r="823">
      <c r="A823" s="37" t="n">
        <v>8</v>
      </c>
      <c r="B823" s="11" t="inlineStr">
        <is>
          <t>Module 7 · Education</t>
        </is>
      </c>
      <c r="C823" s="11" t="inlineStr">
        <is>
          <t>7c</t>
        </is>
      </c>
      <c r="D823" s="11" t="inlineStr">
        <is>
          <t>can (permission/request)</t>
        </is>
      </c>
      <c r="E823" s="35" t="inlineStr">
        <is>
          <t>can (permission/request): предложения (offers/suggestions) — can, could, would, shall</t>
        </is>
      </c>
      <c r="F823" s="11" t="inlineStr">
        <is>
          <t>Ст-157</t>
        </is>
      </c>
      <c r="G823" s="40" t="inlineStr">
        <is>
          <t>новое</t>
        </is>
      </c>
      <c r="H823" s="11" t="inlineStr">
        <is>
          <t>Can I bring…? What else would you like? Shall I…? We could…</t>
        </is>
      </c>
      <c r="I823" s="37" t="inlineStr">
        <is>
          <t>10+</t>
        </is>
      </c>
      <c r="J823" s="11">
        <f>IFERROR(INDEX('Уроки'!$H:$H,MATCH(F823,'Уроки'!$A:$A,0)),"")</f>
        <v/>
      </c>
      <c r="K823" s="11">
        <f>IFERROR(INDEX('Уроки'!$J:$J,MATCH(F823,'Уроки'!$A:$A,0)),"")</f>
        <v/>
      </c>
      <c r="L823" s="11" t="inlineStr">
        <is>
          <t>Spotlight / 8 класс / Module 7 · Education / can (permission/request) / can (permission/request): предложения (offers/suggestions) — can, could, would, shall</t>
        </is>
      </c>
    </row>
    <row r="824">
      <c r="A824" s="37" t="n">
        <v>8</v>
      </c>
      <c r="B824" s="11" t="inlineStr">
        <is>
          <t>Module 7 · Education</t>
        </is>
      </c>
      <c r="C824" s="11" t="inlineStr">
        <is>
          <t>7c</t>
        </is>
      </c>
      <c r="D824" s="11" t="inlineStr">
        <is>
          <t>need/needn't</t>
        </is>
      </c>
      <c r="E824" s="35" t="inlineStr">
        <is>
          <t>need/needn't: needn't / don't need to — нет необходимости (наст./буд.)</t>
        </is>
      </c>
      <c r="F824" s="11" t="inlineStr">
        <is>
          <t>Ст-158</t>
        </is>
      </c>
      <c r="G824" s="41" t="inlineStr">
        <is>
          <t>расширение</t>
        </is>
      </c>
      <c r="H824" s="11" t="inlineStr">
        <is>
          <t>don't need to / needn't</t>
        </is>
      </c>
      <c r="I824" s="37" t="inlineStr">
        <is>
          <t>10+</t>
        </is>
      </c>
      <c r="J824" s="11">
        <f>IFERROR(INDEX('Уроки'!$H:$H,MATCH(F824,'Уроки'!$A:$A,0)),"")</f>
        <v/>
      </c>
      <c r="K824" s="11">
        <f>IFERROR(INDEX('Уроки'!$J:$J,MATCH(F824,'Уроки'!$A:$A,0)),"")</f>
        <v/>
      </c>
      <c r="L824" s="11" t="inlineStr">
        <is>
          <t>Spotlight / 8 класс / Module 7 · Education / need/needn't / need/needn't: needn't / don't need to — нет необходимости (наст./буд.)</t>
        </is>
      </c>
    </row>
    <row r="825">
      <c r="A825" s="37" t="n">
        <v>8</v>
      </c>
      <c r="B825" s="11" t="inlineStr">
        <is>
          <t>Module 7 · Education</t>
        </is>
      </c>
      <c r="C825" s="11" t="inlineStr">
        <is>
          <t>7c</t>
        </is>
      </c>
      <c r="D825" s="11" t="inlineStr">
        <is>
          <t>should/shouldn't</t>
        </is>
      </c>
      <c r="E825" s="33" t="inlineStr">
        <is>
          <t>should/shouldn't: значение — совет, рекомендация; утверждение should + глагол без to</t>
        </is>
      </c>
      <c r="F825" s="11" t="inlineStr">
        <is>
          <t>Ст-162</t>
        </is>
      </c>
      <c r="G825" s="37" t="inlineStr">
        <is>
          <t>повторение</t>
        </is>
      </c>
      <c r="H825" s="11" t="inlineStr">
        <is>
          <t>обычный совет, рекомендация</t>
        </is>
      </c>
      <c r="I825" s="37" t="inlineStr">
        <is>
          <t>10+</t>
        </is>
      </c>
      <c r="J825" s="11">
        <f>IFERROR(INDEX('Уроки'!$H:$H,MATCH(F825,'Уроки'!$A:$A,0)),"")</f>
        <v/>
      </c>
      <c r="K825" s="11">
        <f>IFERROR(INDEX('Уроки'!$J:$J,MATCH(F825,'Уроки'!$A:$A,0)),"")</f>
        <v/>
      </c>
      <c r="L825" s="11" t="inlineStr">
        <is>
          <t>Spotlight / 8 класс / Module 7 · Education / should/shouldn't / should/shouldn't: значение — совет, рекомендация; утверждение should + глагол без to</t>
        </is>
      </c>
    </row>
    <row r="826">
      <c r="A826" s="37" t="n">
        <v>8</v>
      </c>
      <c r="B826" s="11" t="inlineStr">
        <is>
          <t>Module 7 · Education</t>
        </is>
      </c>
      <c r="C826" s="11" t="inlineStr">
        <is>
          <t>7c</t>
        </is>
      </c>
      <c r="D826" s="11" t="inlineStr">
        <is>
          <t>should/shouldn't</t>
        </is>
      </c>
      <c r="E826" s="34" t="inlineStr">
        <is>
          <t>should/shouldn't: ought to (= should)</t>
        </is>
      </c>
      <c r="F826" s="11" t="inlineStr">
        <is>
          <t>Ст-165</t>
        </is>
      </c>
      <c r="G826" s="40" t="inlineStr">
        <is>
          <t>новое</t>
        </is>
      </c>
      <c r="H826" s="11" t="inlineStr">
        <is>
          <t>ought to — тоже обычный совет</t>
        </is>
      </c>
      <c r="I826" s="37" t="inlineStr">
        <is>
          <t>10+</t>
        </is>
      </c>
      <c r="J826" s="11">
        <f>IFERROR(INDEX('Уроки'!$H:$H,MATCH(F826,'Уроки'!$A:$A,0)),"")</f>
        <v/>
      </c>
      <c r="K826" s="11">
        <f>IFERROR(INDEX('Уроки'!$J:$J,MATCH(F826,'Уроки'!$A:$A,0)),"")</f>
        <v/>
      </c>
      <c r="L826" s="11" t="inlineStr">
        <is>
          <t>Spotlight / 8 класс / Module 7 · Education / should/shouldn't / should/shouldn't: ought to (= should)</t>
        </is>
      </c>
    </row>
    <row r="827">
      <c r="A827" s="37" t="n">
        <v>8</v>
      </c>
      <c r="B827" s="11" t="inlineStr">
        <is>
          <t>Module 7 · Education</t>
        </is>
      </c>
      <c r="C827" s="11" t="inlineStr">
        <is>
          <t>7c</t>
        </is>
      </c>
      <c r="D827" s="11" t="inlineStr">
        <is>
          <t>should/shouldn't</t>
        </is>
      </c>
      <c r="E827" s="34" t="inlineStr">
        <is>
          <t>should/shouldn't: значение — обязательство, долг (слабая обязанность)</t>
        </is>
      </c>
      <c r="F827" s="11" t="inlineStr">
        <is>
          <t>Ст-166</t>
        </is>
      </c>
      <c r="G827" s="40" t="inlineStr">
        <is>
          <t>новое</t>
        </is>
      </c>
      <c r="H827" s="11" t="inlineStr">
        <is>
          <t>обязательство</t>
        </is>
      </c>
      <c r="I827" s="37" t="inlineStr">
        <is>
          <t>10+</t>
        </is>
      </c>
      <c r="J827" s="11">
        <f>IFERROR(INDEX('Уроки'!$H:$H,MATCH(F827,'Уроки'!$A:$A,0)),"")</f>
        <v/>
      </c>
      <c r="K827" s="11">
        <f>IFERROR(INDEX('Уроки'!$J:$J,MATCH(F827,'Уроки'!$A:$A,0)),"")</f>
        <v/>
      </c>
      <c r="L827" s="11" t="inlineStr">
        <is>
          <t>Spotlight / 8 класс / Module 7 · Education / should/shouldn't / should/shouldn't: значение — обязательство, долг (слабая обязанность)</t>
        </is>
      </c>
    </row>
    <row r="828">
      <c r="A828" s="37" t="n">
        <v>8</v>
      </c>
      <c r="B828" s="11" t="inlineStr">
        <is>
          <t>Module 7 · Education</t>
        </is>
      </c>
      <c r="C828" s="11" t="inlineStr">
        <is>
          <t>7c</t>
        </is>
      </c>
      <c r="D828" s="11" t="inlineStr">
        <is>
          <t>should/shouldn't</t>
        </is>
      </c>
      <c r="E828" s="34" t="inlineStr">
        <is>
          <t>should/shouldn't: значение — критика (should / should have V3)</t>
        </is>
      </c>
      <c r="F828" s="11" t="inlineStr">
        <is>
          <t>Ст-167</t>
        </is>
      </c>
      <c r="G828" s="40" t="inlineStr">
        <is>
          <t>новое</t>
        </is>
      </c>
      <c r="H828" s="11" t="inlineStr">
        <is>
          <t>He should be more patient; She should have apologised</t>
        </is>
      </c>
      <c r="I828" s="37" t="inlineStr">
        <is>
          <t>10+</t>
        </is>
      </c>
      <c r="J828" s="11">
        <f>IFERROR(INDEX('Уроки'!$H:$H,MATCH(F828,'Уроки'!$A:$A,0)),"")</f>
        <v/>
      </c>
      <c r="K828" s="11">
        <f>IFERROR(INDEX('Уроки'!$J:$J,MATCH(F828,'Уроки'!$A:$A,0)),"")</f>
        <v/>
      </c>
      <c r="L828" s="11" t="inlineStr">
        <is>
          <t>Spotlight / 8 класс / Module 7 · Education / should/shouldn't / should/shouldn't: значение — критика (should / should have V3)</t>
        </is>
      </c>
    </row>
    <row r="829">
      <c r="A829" s="37" t="n">
        <v>8</v>
      </c>
      <c r="B829" s="11" t="inlineStr">
        <is>
          <t>Module 7 · Education</t>
        </is>
      </c>
      <c r="C829" s="11" t="inlineStr">
        <is>
          <t>7c</t>
        </is>
      </c>
      <c r="D829" s="11" t="inlineStr">
        <is>
          <t>should/shouldn't</t>
        </is>
      </c>
      <c r="E829" s="35" t="inlineStr">
        <is>
          <t>should/shouldn't: значение — вероятность ~90% (о будущем)</t>
        </is>
      </c>
      <c r="F829" s="11" t="inlineStr">
        <is>
          <t>Ст-168</t>
        </is>
      </c>
      <c r="G829" s="40" t="inlineStr">
        <is>
          <t>новое</t>
        </is>
      </c>
      <c r="H829" s="11" t="inlineStr">
        <is>
          <t>They should/ought to be here soon</t>
        </is>
      </c>
      <c r="I829" s="37" t="inlineStr">
        <is>
          <t>10+</t>
        </is>
      </c>
      <c r="J829" s="11">
        <f>IFERROR(INDEX('Уроки'!$H:$H,MATCH(F829,'Уроки'!$A:$A,0)),"")</f>
        <v/>
      </c>
      <c r="K829" s="11">
        <f>IFERROR(INDEX('Уроки'!$J:$J,MATCH(F829,'Уроки'!$A:$A,0)),"")</f>
        <v/>
      </c>
      <c r="L829" s="11" t="inlineStr">
        <is>
          <t>Spotlight / 8 класс / Module 7 · Education / should/shouldn't / should/shouldn't: значение — вероятность ~90% (о будущем)</t>
        </is>
      </c>
    </row>
    <row r="830">
      <c r="A830" s="37" t="n">
        <v>8</v>
      </c>
      <c r="B830" s="11" t="inlineStr">
        <is>
          <t>Module 7 · Education</t>
        </is>
      </c>
      <c r="C830" s="11" t="inlineStr">
        <is>
          <t>7c</t>
        </is>
      </c>
      <c r="D830" s="11" t="inlineStr">
        <is>
          <t>Modal verbs (deduction)</t>
        </is>
      </c>
      <c r="E830" s="35" t="inlineStr">
        <is>
          <t>Modal verbs (deduction): must — уверенность (о настоящем)</t>
        </is>
      </c>
      <c r="F830" s="11" t="inlineStr">
        <is>
          <t>Ст-172</t>
        </is>
      </c>
      <c r="G830" s="40" t="inlineStr">
        <is>
          <t>новое</t>
        </is>
      </c>
      <c r="H830" s="11" t="inlineStr">
        <is>
          <t>must be</t>
        </is>
      </c>
      <c r="I830" s="37" t="inlineStr">
        <is>
          <t>10+</t>
        </is>
      </c>
      <c r="J830" s="11">
        <f>IFERROR(INDEX('Уроки'!$H:$H,MATCH(F830,'Уроки'!$A:$A,0)),"")</f>
        <v/>
      </c>
      <c r="K830" s="11">
        <f>IFERROR(INDEX('Уроки'!$J:$J,MATCH(F830,'Уроки'!$A:$A,0)),"")</f>
        <v/>
      </c>
      <c r="L830" s="11" t="inlineStr">
        <is>
          <t>Spotlight / 8 класс / Module 7 · Education / Modal verbs (deduction) / Modal verbs (deduction): must — уверенность (о настоящем)</t>
        </is>
      </c>
    </row>
    <row r="831">
      <c r="A831" s="37" t="n">
        <v>8</v>
      </c>
      <c r="B831" s="11" t="inlineStr">
        <is>
          <t>Module 7 · Education</t>
        </is>
      </c>
      <c r="C831" s="11" t="inlineStr">
        <is>
          <t>7c</t>
        </is>
      </c>
      <c r="D831" s="11" t="inlineStr">
        <is>
          <t>Modal verbs (deduction)</t>
        </is>
      </c>
      <c r="E831" s="35" t="inlineStr">
        <is>
          <t>Modal verbs (deduction): may/might/could — вероятность (о настоящем)</t>
        </is>
      </c>
      <c r="F831" s="11" t="inlineStr">
        <is>
          <t>Ст-173</t>
        </is>
      </c>
      <c r="G831" s="40" t="inlineStr">
        <is>
          <t>новое</t>
        </is>
      </c>
      <c r="H831" s="11" t="inlineStr">
        <is>
          <t>might be late</t>
        </is>
      </c>
      <c r="I831" s="37" t="inlineStr">
        <is>
          <t>10+</t>
        </is>
      </c>
      <c r="J831" s="11">
        <f>IFERROR(INDEX('Уроки'!$H:$H,MATCH(F831,'Уроки'!$A:$A,0)),"")</f>
        <v/>
      </c>
      <c r="K831" s="11">
        <f>IFERROR(INDEX('Уроки'!$J:$J,MATCH(F831,'Уроки'!$A:$A,0)),"")</f>
        <v/>
      </c>
      <c r="L831" s="11" t="inlineStr">
        <is>
          <t>Spotlight / 8 класс / Module 7 · Education / Modal verbs (deduction) / Modal verbs (deduction): may/might/could — вероятность (о настоящем)</t>
        </is>
      </c>
    </row>
    <row r="832">
      <c r="A832" s="37" t="n">
        <v>8</v>
      </c>
      <c r="B832" s="11" t="inlineStr">
        <is>
          <t>Module 7 · Education</t>
        </is>
      </c>
      <c r="C832" s="11" t="inlineStr">
        <is>
          <t>7c</t>
        </is>
      </c>
      <c r="D832" s="11" t="inlineStr">
        <is>
          <t>Modal verbs (deduction)</t>
        </is>
      </c>
      <c r="E832" s="35" t="inlineStr">
        <is>
          <t>Modal verbs (deduction): can't/couldn't — невозможность (о настоящем)</t>
        </is>
      </c>
      <c r="F832" s="11" t="inlineStr">
        <is>
          <t>Ст-174</t>
        </is>
      </c>
      <c r="G832" s="40" t="inlineStr">
        <is>
          <t>новое</t>
        </is>
      </c>
      <c r="H832" s="11" t="inlineStr">
        <is>
          <t>can't be broken</t>
        </is>
      </c>
      <c r="I832" s="37" t="inlineStr">
        <is>
          <t>10+</t>
        </is>
      </c>
      <c r="J832" s="11">
        <f>IFERROR(INDEX('Уроки'!$H:$H,MATCH(F832,'Уроки'!$A:$A,0)),"")</f>
        <v/>
      </c>
      <c r="K832" s="11">
        <f>IFERROR(INDEX('Уроки'!$J:$J,MATCH(F832,'Уроки'!$A:$A,0)),"")</f>
        <v/>
      </c>
      <c r="L832" s="11" t="inlineStr">
        <is>
          <t>Spotlight / 8 класс / Module 7 · Education / Modal verbs (deduction) / Modal verbs (deduction): can't/couldn't — невозможность (о настоящем)</t>
        </is>
      </c>
    </row>
    <row r="833">
      <c r="A833" s="37" t="n">
        <v>8</v>
      </c>
      <c r="B833" s="11" t="inlineStr">
        <is>
          <t>Module 7 · Education</t>
        </is>
      </c>
      <c r="C833" s="11" t="inlineStr">
        <is>
          <t>7c</t>
        </is>
      </c>
      <c r="D833" s="11" t="inlineStr">
        <is>
          <t>Modal verbs (deduction)</t>
        </is>
      </c>
      <c r="E833" s="35" t="inlineStr">
        <is>
          <t>Modal verbs (deduction): выводы о прошлом — must/may/might/could/can't + have V3</t>
        </is>
      </c>
      <c r="F833" s="11" t="inlineStr">
        <is>
          <t>Ст-175</t>
        </is>
      </c>
      <c r="G833" s="40" t="inlineStr">
        <is>
          <t>новое</t>
        </is>
      </c>
      <c r="H833" s="11" t="inlineStr">
        <is>
          <t>must have done, may have returned, couldn't have said</t>
        </is>
      </c>
      <c r="I833" s="37" t="inlineStr">
        <is>
          <t>10+</t>
        </is>
      </c>
      <c r="J833" s="11">
        <f>IFERROR(INDEX('Уроки'!$H:$H,MATCH(F833,'Уроки'!$A:$A,0)),"")</f>
        <v/>
      </c>
      <c r="K833" s="11">
        <f>IFERROR(INDEX('Уроки'!$J:$J,MATCH(F833,'Уроки'!$A:$A,0)),"")</f>
        <v/>
      </c>
      <c r="L833" s="11" t="inlineStr">
        <is>
          <t>Spotlight / 8 класс / Module 7 · Education / Modal verbs (deduction) / Modal verbs (deduction): выводы о прошлом — must/may/might/could/can't + have V3</t>
        </is>
      </c>
    </row>
    <row r="834">
      <c r="A834" s="37" t="n">
        <v>8</v>
      </c>
      <c r="B834" s="11" t="inlineStr">
        <is>
          <t>Module 7 · Education</t>
        </is>
      </c>
      <c r="C834" s="11" t="inlineStr">
        <is>
          <t>7c</t>
        </is>
      </c>
      <c r="D834" s="11" t="inlineStr">
        <is>
          <t>Modal verbs (functions)</t>
        </is>
      </c>
      <c r="E834" s="33" t="inlineStr">
        <is>
          <t>Modal verbs: общие правила формы — без -s/-ing/-ed, + инфинитив без to</t>
        </is>
      </c>
      <c r="F834" s="11" t="inlineStr">
        <is>
          <t>Ст-178</t>
        </is>
      </c>
      <c r="G834" s="40" t="inlineStr">
        <is>
          <t>новое</t>
        </is>
      </c>
      <c r="H834" s="11" t="inlineStr">
        <is>
          <t>кроме have to, ought to</t>
        </is>
      </c>
      <c r="I834" s="37" t="inlineStr">
        <is>
          <t>10+</t>
        </is>
      </c>
      <c r="J834" s="11">
        <f>IFERROR(INDEX('Уроки'!$H:$H,MATCH(F834,'Уроки'!$A:$A,0)),"")</f>
        <v/>
      </c>
      <c r="K834" s="11">
        <f>IFERROR(INDEX('Уроки'!$J:$J,MATCH(F834,'Уроки'!$A:$A,0)),"")</f>
        <v/>
      </c>
      <c r="L834" s="11" t="inlineStr">
        <is>
          <t>Spotlight / 8 класс / Module 7 · Education / Modal verbs (functions) / Modal verbs: общие правила формы — без -s/-ing/-ed, + инфинитив без to</t>
        </is>
      </c>
    </row>
    <row r="835">
      <c r="A835" s="37" t="n">
        <v>8</v>
      </c>
      <c r="B835" s="11" t="inlineStr">
        <is>
          <t>Module 7 · Education</t>
        </is>
      </c>
      <c r="C835" s="11" t="inlineStr">
        <is>
          <t>7c</t>
        </is>
      </c>
      <c r="D835" s="11" t="inlineStr">
        <is>
          <t>Modal verbs (functions)</t>
        </is>
      </c>
      <c r="E835" s="35" t="inlineStr">
        <is>
          <t>Modal verbs: вопрос и отрицание (инверсия, not)</t>
        </is>
      </c>
      <c r="F835" s="11" t="inlineStr">
        <is>
          <t>Ст-179</t>
        </is>
      </c>
      <c r="G835" s="40" t="inlineStr">
        <is>
          <t>новое</t>
        </is>
      </c>
      <c r="H835" s="11" t="inlineStr"/>
      <c r="I835" s="37" t="inlineStr">
        <is>
          <t>10+</t>
        </is>
      </c>
      <c r="J835" s="11">
        <f>IFERROR(INDEX('Уроки'!$H:$H,MATCH(F835,'Уроки'!$A:$A,0)),"")</f>
        <v/>
      </c>
      <c r="K835" s="11">
        <f>IFERROR(INDEX('Уроки'!$J:$J,MATCH(F835,'Уроки'!$A:$A,0)),"")</f>
        <v/>
      </c>
      <c r="L835" s="11" t="inlineStr">
        <is>
          <t>Spotlight / 8 класс / Module 7 · Education / Modal verbs (functions) / Modal verbs: вопрос и отрицание (инверсия, not)</t>
        </is>
      </c>
    </row>
    <row r="836">
      <c r="A836" s="37" t="n">
        <v>8</v>
      </c>
      <c r="B836" s="11" t="inlineStr">
        <is>
          <t>Module 7 · Education</t>
        </is>
      </c>
      <c r="C836" s="11" t="inlineStr">
        <is>
          <t>7c</t>
        </is>
      </c>
      <c r="D836" s="11" t="inlineStr">
        <is>
          <t>Modal verbs (functions)</t>
        </is>
      </c>
      <c r="E836" s="35" t="inlineStr">
        <is>
          <t>Modal verbs: + простой инфинитив (наст./буд.) vs + перфектный инфинитив (прошлое)</t>
        </is>
      </c>
      <c r="F836" s="11" t="inlineStr">
        <is>
          <t>Ст-180</t>
        </is>
      </c>
      <c r="G836" s="40" t="inlineStr">
        <is>
          <t>новое</t>
        </is>
      </c>
      <c r="H836" s="11" t="inlineStr">
        <is>
          <t>He should have washed his car</t>
        </is>
      </c>
      <c r="I836" s="37" t="inlineStr">
        <is>
          <t>10+</t>
        </is>
      </c>
      <c r="J836" s="11">
        <f>IFERROR(INDEX('Уроки'!$H:$H,MATCH(F836,'Уроки'!$A:$A,0)),"")</f>
        <v/>
      </c>
      <c r="K836" s="11">
        <f>IFERROR(INDEX('Уроки'!$J:$J,MATCH(F836,'Уроки'!$A:$A,0)),"")</f>
        <v/>
      </c>
      <c r="L836" s="11" t="inlineStr">
        <is>
          <t>Spotlight / 8 класс / Module 7 · Education / Modal verbs (functions) / Modal verbs: + простой инфинитив (наст./буд.) vs + перфектный инфинитив (прошлое)</t>
        </is>
      </c>
    </row>
    <row r="837">
      <c r="A837" s="37" t="n">
        <v>8</v>
      </c>
      <c r="B837" s="11" t="inlineStr">
        <is>
          <t>Module 7 · Education</t>
        </is>
      </c>
      <c r="C837" s="11" t="inlineStr">
        <is>
          <t>7c</t>
        </is>
      </c>
      <c r="D837" s="11" t="inlineStr">
        <is>
          <t>Modal verbs (functions)</t>
        </is>
      </c>
      <c r="E837" s="35" t="inlineStr">
        <is>
          <t>Modal verbs: формы инфинитива — simple / continuous / perfect / perfect continuous</t>
        </is>
      </c>
      <c r="F837" s="11" t="inlineStr">
        <is>
          <t>Ст-181</t>
        </is>
      </c>
      <c r="G837" s="40" t="inlineStr">
        <is>
          <t>новое</t>
        </is>
      </c>
      <c r="H837" s="11" t="inlineStr"/>
      <c r="I837" s="37" t="inlineStr">
        <is>
          <t>10+</t>
        </is>
      </c>
      <c r="J837" s="11">
        <f>IFERROR(INDEX('Уроки'!$H:$H,MATCH(F837,'Уроки'!$A:$A,0)),"")</f>
        <v/>
      </c>
      <c r="K837" s="11">
        <f>IFERROR(INDEX('Уроки'!$J:$J,MATCH(F837,'Уроки'!$A:$A,0)),"")</f>
        <v/>
      </c>
      <c r="L837" s="11" t="inlineStr">
        <is>
          <t>Spotlight / 8 класс / Module 7 · Education / Modal verbs (functions) / Modal verbs: формы инфинитива — simple / continuous / perfect / perfect continuous</t>
        </is>
      </c>
    </row>
    <row r="838">
      <c r="A838" s="37" t="n">
        <v>8</v>
      </c>
      <c r="B838" s="11" t="inlineStr">
        <is>
          <t>Module 7 · Education</t>
        </is>
      </c>
      <c r="C838" s="11" t="inlineStr">
        <is>
          <t>7c</t>
        </is>
      </c>
      <c r="D838" s="11" t="inlineStr">
        <is>
          <t>Modal verbs (functions)</t>
        </is>
      </c>
      <c r="E838" s="35" t="inlineStr">
        <is>
          <t>Modal verbs: значение — критика (could / should / ought to)</t>
        </is>
      </c>
      <c r="F838" s="11" t="inlineStr">
        <is>
          <t>Ст-182</t>
        </is>
      </c>
      <c r="G838" s="40" t="inlineStr">
        <is>
          <t>новое</t>
        </is>
      </c>
      <c r="H838" s="11" t="inlineStr">
        <is>
          <t>You could at least be polite / could have waited</t>
        </is>
      </c>
      <c r="I838" s="37" t="inlineStr">
        <is>
          <t>10+</t>
        </is>
      </c>
      <c r="J838" s="11">
        <f>IFERROR(INDEX('Уроки'!$H:$H,MATCH(F838,'Уроки'!$A:$A,0)),"")</f>
        <v/>
      </c>
      <c r="K838" s="11">
        <f>IFERROR(INDEX('Уроки'!$J:$J,MATCH(F838,'Уроки'!$A:$A,0)),"")</f>
        <v/>
      </c>
      <c r="L838" s="11" t="inlineStr">
        <is>
          <t>Spotlight / 8 класс / Module 7 · Education / Modal verbs (functions) / Modal verbs: значение — критика (could / should / ought to)</t>
        </is>
      </c>
    </row>
    <row r="839">
      <c r="A839" s="37" t="n">
        <v>8</v>
      </c>
      <c r="B839" s="11" t="inlineStr">
        <is>
          <t>Module 7 · Education</t>
        </is>
      </c>
      <c r="C839" s="11" t="inlineStr">
        <is>
          <t>7c</t>
        </is>
      </c>
      <c r="D839" s="11" t="inlineStr">
        <is>
          <t>Modal verbs (functions)</t>
        </is>
      </c>
      <c r="E839" s="35" t="inlineStr">
        <is>
          <t>Modal verbs: значение — вероятность (will 100% vs should/ought to 90%)</t>
        </is>
      </c>
      <c r="F839" s="11" t="inlineStr">
        <is>
          <t>Ст-183</t>
        </is>
      </c>
      <c r="G839" s="40" t="inlineStr">
        <is>
          <t>новое</t>
        </is>
      </c>
      <c r="H839" s="11" t="inlineStr"/>
      <c r="I839" s="37" t="inlineStr">
        <is>
          <t>10+</t>
        </is>
      </c>
      <c r="J839" s="11">
        <f>IFERROR(INDEX('Уроки'!$H:$H,MATCH(F839,'Уроки'!$A:$A,0)),"")</f>
        <v/>
      </c>
      <c r="K839" s="11">
        <f>IFERROR(INDEX('Уроки'!$J:$J,MATCH(F839,'Уроки'!$A:$A,0)),"")</f>
        <v/>
      </c>
      <c r="L839" s="11" t="inlineStr">
        <is>
          <t>Spotlight / 8 класс / Module 7 · Education / Modal verbs (functions) / Modal verbs: значение — вероятность (will 100% vs should/ought to 90%)</t>
        </is>
      </c>
    </row>
    <row r="840">
      <c r="A840" s="37" t="n">
        <v>8</v>
      </c>
      <c r="B840" s="11" t="inlineStr">
        <is>
          <t>Module 7 · Education</t>
        </is>
      </c>
      <c r="C840" s="11" t="inlineStr">
        <is>
          <t>7c</t>
        </is>
      </c>
      <c r="D840" s="11" t="inlineStr">
        <is>
          <t>Modal verbs (functions)</t>
        </is>
      </c>
      <c r="E840" s="33" t="inlineStr">
        <is>
          <t>Modal verbs: значение — совет (should / ought to / shall)</t>
        </is>
      </c>
      <c r="F840" s="11" t="inlineStr">
        <is>
          <t>Ст-184</t>
        </is>
      </c>
      <c r="G840" s="40" t="inlineStr">
        <is>
          <t>новое</t>
        </is>
      </c>
      <c r="H840" s="11" t="inlineStr">
        <is>
          <t>shall — просьба о совете</t>
        </is>
      </c>
      <c r="I840" s="37" t="inlineStr">
        <is>
          <t>10+</t>
        </is>
      </c>
      <c r="J840" s="11">
        <f>IFERROR(INDEX('Уроки'!$H:$H,MATCH(F840,'Уроки'!$A:$A,0)),"")</f>
        <v/>
      </c>
      <c r="K840" s="11">
        <f>IFERROR(INDEX('Уроки'!$J:$J,MATCH(F840,'Уроки'!$A:$A,0)),"")</f>
        <v/>
      </c>
      <c r="L840" s="11" t="inlineStr">
        <is>
          <t>Spotlight / 8 класс / Module 7 · Education / Modal verbs (functions) / Modal verbs: значение — совет (should / ought to / shall)</t>
        </is>
      </c>
    </row>
    <row r="841">
      <c r="A841" s="37" t="n">
        <v>8</v>
      </c>
      <c r="B841" s="11" t="inlineStr">
        <is>
          <t>Module 7 · Education</t>
        </is>
      </c>
      <c r="C841" s="11" t="inlineStr">
        <is>
          <t>7c</t>
        </is>
      </c>
      <c r="D841" s="11" t="inlineStr">
        <is>
          <t>Modal verbs (functions)</t>
        </is>
      </c>
      <c r="E841" s="35" t="inlineStr">
        <is>
          <t>Modal verbs: обзор значений модальных (систематизация)</t>
        </is>
      </c>
      <c r="F841" s="11" t="inlineStr">
        <is>
          <t>Ст-187</t>
        </is>
      </c>
      <c r="G841" s="40" t="inlineStr">
        <is>
          <t>новое</t>
        </is>
      </c>
      <c r="H841" s="11" t="inlineStr">
        <is>
          <t>обязательство, отсутствие необходимости, разрешение, возможность, способность, выводы, критика, предложения, вероятность, совет</t>
        </is>
      </c>
      <c r="I841" s="37" t="inlineStr">
        <is>
          <t>10+</t>
        </is>
      </c>
      <c r="J841" s="11">
        <f>IFERROR(INDEX('Уроки'!$H:$H,MATCH(F841,'Уроки'!$A:$A,0)),"")</f>
        <v/>
      </c>
      <c r="K841" s="11">
        <f>IFERROR(INDEX('Уроки'!$J:$J,MATCH(F841,'Уроки'!$A:$A,0)),"")</f>
        <v/>
      </c>
      <c r="L841" s="11" t="inlineStr">
        <is>
          <t>Spotlight / 8 класс / Module 7 · Education / Modal verbs (functions) / Modal verbs: обзор значений модальных (систематизация)</t>
        </is>
      </c>
    </row>
    <row r="842">
      <c r="A842" s="37" t="n">
        <v>8</v>
      </c>
      <c r="B842" s="11" t="inlineStr">
        <is>
          <t>Module 7 · Education</t>
        </is>
      </c>
      <c r="C842" s="11" t="inlineStr">
        <is>
          <t>7c</t>
        </is>
      </c>
      <c r="D842" s="11" t="inlineStr">
        <is>
          <t>can/could (ability past)</t>
        </is>
      </c>
      <c r="E842" s="35" t="inlineStr">
        <is>
          <t>can/could (ability past): could — общая способность в прошлом</t>
        </is>
      </c>
      <c r="F842" s="11" t="inlineStr">
        <is>
          <t>Ст-195</t>
        </is>
      </c>
      <c r="G842" s="40" t="inlineStr">
        <is>
          <t>новое</t>
        </is>
      </c>
      <c r="H842" s="11" t="inlineStr">
        <is>
          <t>Daniel could swim when he was three</t>
        </is>
      </c>
      <c r="I842" s="37" t="inlineStr">
        <is>
          <t>10+</t>
        </is>
      </c>
      <c r="J842" s="11">
        <f>IFERROR(INDEX('Уроки'!$H:$H,MATCH(F842,'Уроки'!$A:$A,0)),"")</f>
        <v/>
      </c>
      <c r="K842" s="11">
        <f>IFERROR(INDEX('Уроки'!$J:$J,MATCH(F842,'Уроки'!$A:$A,0)),"")</f>
        <v/>
      </c>
      <c r="L842" s="11" t="inlineStr">
        <is>
          <t>Spotlight / 8 класс / Module 7 · Education / can/could (ability past) / can/could (ability past): could — общая способность в прошлом</t>
        </is>
      </c>
    </row>
    <row r="843">
      <c r="A843" s="37" t="n">
        <v>8</v>
      </c>
      <c r="B843" s="11" t="inlineStr">
        <is>
          <t>Module 7 · Education</t>
        </is>
      </c>
      <c r="C843" s="11" t="inlineStr">
        <is>
          <t>7c</t>
        </is>
      </c>
      <c r="D843" s="11" t="inlineStr">
        <is>
          <t>can/could (ability past)</t>
        </is>
      </c>
      <c r="E843" s="35" t="inlineStr">
        <is>
          <t>can/could (ability past): was/were able to — способность в конкретной ситуации</t>
        </is>
      </c>
      <c r="F843" s="11" t="inlineStr">
        <is>
          <t>Ст-196</t>
        </is>
      </c>
      <c r="G843" s="40" t="inlineStr">
        <is>
          <t>новое</t>
        </is>
      </c>
      <c r="H843" s="11" t="inlineStr">
        <is>
          <t>He was(n't) able to attend yesterday's meeting</t>
        </is>
      </c>
      <c r="I843" s="37" t="inlineStr">
        <is>
          <t>10+</t>
        </is>
      </c>
      <c r="J843" s="11">
        <f>IFERROR(INDEX('Уроки'!$H:$H,MATCH(F843,'Уроки'!$A:$A,0)),"")</f>
        <v/>
      </c>
      <c r="K843" s="11">
        <f>IFERROR(INDEX('Уроки'!$J:$J,MATCH(F843,'Уроки'!$A:$A,0)),"")</f>
        <v/>
      </c>
      <c r="L843" s="11" t="inlineStr">
        <is>
          <t>Spotlight / 8 класс / Module 7 · Education / can/could (ability past) / can/could (ability past): was/were able to — способность в конкретной ситуации</t>
        </is>
      </c>
    </row>
    <row r="844">
      <c r="A844" s="37" t="n">
        <v>8</v>
      </c>
      <c r="B844" s="11" t="inlineStr">
        <is>
          <t>Module 7 · Education</t>
        </is>
      </c>
      <c r="C844" s="11" t="inlineStr">
        <is>
          <t>7c</t>
        </is>
      </c>
      <c r="D844" s="11" t="inlineStr">
        <is>
          <t>can/could (ability past)</t>
        </is>
      </c>
      <c r="E844" s="35" t="inlineStr">
        <is>
          <t>can/could (ability past): couldn't — неспособность в прошлом</t>
        </is>
      </c>
      <c r="F844" s="11" t="inlineStr">
        <is>
          <t>Ст-197</t>
        </is>
      </c>
      <c r="G844" s="40" t="inlineStr">
        <is>
          <t>новое</t>
        </is>
      </c>
      <c r="H844" s="11" t="inlineStr">
        <is>
          <t>couldn't = wasn't able to</t>
        </is>
      </c>
      <c r="I844" s="37" t="inlineStr">
        <is>
          <t>10+</t>
        </is>
      </c>
      <c r="J844" s="11">
        <f>IFERROR(INDEX('Уроки'!$H:$H,MATCH(F844,'Уроки'!$A:$A,0)),"")</f>
        <v/>
      </c>
      <c r="K844" s="11">
        <f>IFERROR(INDEX('Уроки'!$J:$J,MATCH(F844,'Уроки'!$A:$A,0)),"")</f>
        <v/>
      </c>
      <c r="L844" s="11" t="inlineStr">
        <is>
          <t>Spotlight / 8 класс / Module 7 · Education / can/could (ability past) / can/could (ability past): couldn't — неспособность в прошлом</t>
        </is>
      </c>
    </row>
    <row r="845">
      <c r="A845" s="37" t="n">
        <v>8</v>
      </c>
      <c r="B845" s="11" t="inlineStr">
        <is>
          <t>Module 7 · Education</t>
        </is>
      </c>
      <c r="C845" s="11" t="inlineStr">
        <is>
          <t>7f</t>
        </is>
      </c>
      <c r="D845" s="11" t="inlineStr">
        <is>
          <t>Phrasal verbs</t>
        </is>
      </c>
      <c r="E845" s="35" t="inlineStr">
        <is>
          <t>Phrasal verbs: give</t>
        </is>
      </c>
      <c r="F845" s="11" t="inlineStr">
        <is>
          <t>Ст-588</t>
        </is>
      </c>
      <c r="G845" s="40" t="inlineStr">
        <is>
          <t>новое</t>
        </is>
      </c>
      <c r="H845" s="11" t="inlineStr">
        <is>
          <t>give: give away (1) выдать секрет, 2) отдавать), give back (возвращать), give out (раздавать), give up (сдаваться, прекращать попытки).</t>
        </is>
      </c>
      <c r="I845" s="37" t="inlineStr">
        <is>
          <t>10+</t>
        </is>
      </c>
      <c r="J845" s="11">
        <f>IFERROR(INDEX('Уроки'!$H:$H,MATCH(F845,'Уроки'!$A:$A,0)),"")</f>
        <v/>
      </c>
      <c r="K845" s="11">
        <f>IFERROR(INDEX('Уроки'!$J:$J,MATCH(F845,'Уроки'!$A:$A,0)),"")</f>
        <v/>
      </c>
      <c r="L845" s="11" t="inlineStr">
        <is>
          <t>Spotlight / 8 класс / Module 7 · Education / Phrasal verbs / Phrasal verbs: give</t>
        </is>
      </c>
    </row>
    <row r="846">
      <c r="A846" s="37" t="n">
        <v>8</v>
      </c>
      <c r="B846" s="11" t="inlineStr">
        <is>
          <t>Module 7 · Education</t>
        </is>
      </c>
      <c r="C846" s="11" t="inlineStr">
        <is>
          <t>7f</t>
        </is>
      </c>
      <c r="D846" s="11" t="inlineStr">
        <is>
          <t>Word formation</t>
        </is>
      </c>
      <c r="E846" s="33" t="inlineStr">
        <is>
          <t>Word formation: compound nouns</t>
        </is>
      </c>
      <c r="F846" s="11" t="inlineStr">
        <is>
          <t>Ст-611</t>
        </is>
      </c>
      <c r="G846" s="37" t="inlineStr">
        <is>
          <t>повторение</t>
        </is>
      </c>
      <c r="H846" s="11" t="inlineStr">
        <is>
          <t>Сложные существительные (compound nouns).</t>
        </is>
      </c>
      <c r="I846" s="37" t="inlineStr">
        <is>
          <t>10+</t>
        </is>
      </c>
      <c r="J846" s="11">
        <f>IFERROR(INDEX('Уроки'!$H:$H,MATCH(F846,'Уроки'!$A:$A,0)),"")</f>
        <v/>
      </c>
      <c r="K846" s="11">
        <f>IFERROR(INDEX('Уроки'!$J:$J,MATCH(F846,'Уроки'!$A:$A,0)),"")</f>
        <v/>
      </c>
      <c r="L846" s="11" t="inlineStr">
        <is>
          <t>Spotlight / 8 класс / Module 7 · Education / Word formation / Word formation: compound nouns</t>
        </is>
      </c>
    </row>
    <row r="847">
      <c r="A847" s="37" t="n">
        <v>8</v>
      </c>
      <c r="B847" s="11" t="inlineStr">
        <is>
          <t>Module 7 · Education</t>
        </is>
      </c>
      <c r="C847" s="11" t="inlineStr">
        <is>
          <t>7f</t>
        </is>
      </c>
      <c r="D847" s="11" t="inlineStr">
        <is>
          <t>Words often confused</t>
        </is>
      </c>
      <c r="E847" s="35" t="inlineStr">
        <is>
          <t>Words often confused</t>
        </is>
      </c>
      <c r="F847" s="11" t="inlineStr">
        <is>
          <t>Ст-635</t>
        </is>
      </c>
      <c r="G847" s="37" t="inlineStr">
        <is>
          <t>повторение</t>
        </is>
      </c>
      <c r="H847" s="11" t="inlineStr">
        <is>
          <t>Слова, которые часто путают — тема English in Use 7f.</t>
        </is>
      </c>
      <c r="I847" s="37" t="inlineStr">
        <is>
          <t>10+</t>
        </is>
      </c>
      <c r="J847" s="11">
        <f>IFERROR(INDEX('Уроки'!$H:$H,MATCH(F847,'Уроки'!$A:$A,0)),"")</f>
        <v/>
      </c>
      <c r="K847" s="11">
        <f>IFERROR(INDEX('Уроки'!$J:$J,MATCH(F847,'Уроки'!$A:$A,0)),"")</f>
        <v/>
      </c>
      <c r="L847" s="11" t="inlineStr">
        <is>
          <t>Spotlight / 8 класс / Module 7 · Education / Words often confused / Words often confused</t>
        </is>
      </c>
    </row>
    <row r="848">
      <c r="A848" s="37" t="n">
        <v>8</v>
      </c>
      <c r="B848" s="11" t="inlineStr">
        <is>
          <t>Module 8 · Pastimes</t>
        </is>
      </c>
      <c r="C848" s="11" t="inlineStr">
        <is>
          <t>8c</t>
        </is>
      </c>
      <c r="D848" s="11" t="inlineStr">
        <is>
          <t>Conditionals (Type 0)</t>
        </is>
      </c>
      <c r="E848" s="33" t="inlineStr">
        <is>
          <t>Conditionals Type 0: форма If/When + Present Simple — Present Simple</t>
        </is>
      </c>
      <c r="F848" s="11" t="inlineStr">
        <is>
          <t>Ст-206</t>
        </is>
      </c>
      <c r="G848" s="37" t="inlineStr">
        <is>
          <t>повторение</t>
        </is>
      </c>
      <c r="H848" s="11" t="inlineStr"/>
      <c r="I848" s="37" t="inlineStr">
        <is>
          <t>10+</t>
        </is>
      </c>
      <c r="J848" s="11">
        <f>IFERROR(INDEX('Уроки'!$H:$H,MATCH(F848,'Уроки'!$A:$A,0)),"")</f>
        <v/>
      </c>
      <c r="K848" s="11">
        <f>IFERROR(INDEX('Уроки'!$J:$J,MATCH(F848,'Уроки'!$A:$A,0)),"")</f>
        <v/>
      </c>
      <c r="L848" s="11" t="inlineStr">
        <is>
          <t>Spotlight / 8 класс / Module 8 · Pastimes / Conditionals (Type 0) / Conditionals Type 0: форма If/When + Present Simple — Present Simple</t>
        </is>
      </c>
    </row>
    <row r="849">
      <c r="A849" s="37" t="n">
        <v>8</v>
      </c>
      <c r="B849" s="11" t="inlineStr">
        <is>
          <t>Module 8 · Pastimes</t>
        </is>
      </c>
      <c r="C849" s="11" t="inlineStr">
        <is>
          <t>8c</t>
        </is>
      </c>
      <c r="D849" s="11" t="inlineStr">
        <is>
          <t>Conditionals (Type 0)</t>
        </is>
      </c>
      <c r="E849" s="33" t="inlineStr">
        <is>
          <t>Conditionals Type 0: значение — общие истины, научные факты</t>
        </is>
      </c>
      <c r="F849" s="11" t="inlineStr">
        <is>
          <t>Ст-207</t>
        </is>
      </c>
      <c r="G849" s="37" t="inlineStr">
        <is>
          <t>повторение</t>
        </is>
      </c>
      <c r="H849" s="11" t="inlineStr"/>
      <c r="I849" s="37" t="inlineStr">
        <is>
          <t>10+</t>
        </is>
      </c>
      <c r="J849" s="11">
        <f>IFERROR(INDEX('Уроки'!$H:$H,MATCH(F849,'Уроки'!$A:$A,0)),"")</f>
        <v/>
      </c>
      <c r="K849" s="11">
        <f>IFERROR(INDEX('Уроки'!$J:$J,MATCH(F849,'Уроки'!$A:$A,0)),"")</f>
        <v/>
      </c>
      <c r="L849" s="11" t="inlineStr">
        <is>
          <t>Spotlight / 8 класс / Module 8 · Pastimes / Conditionals (Type 0) / Conditionals Type 0: значение — общие истины, научные факты</t>
        </is>
      </c>
    </row>
    <row r="850">
      <c r="A850" s="37" t="n">
        <v>8</v>
      </c>
      <c r="B850" s="11" t="inlineStr">
        <is>
          <t>Module 8 · Pastimes</t>
        </is>
      </c>
      <c r="C850" s="11" t="inlineStr">
        <is>
          <t>8c</t>
        </is>
      </c>
      <c r="D850" s="11" t="inlineStr">
        <is>
          <t>Conditionals (Type 0)</t>
        </is>
      </c>
      <c r="E850" s="35" t="inlineStr">
        <is>
          <t>Conditionals Type 0: when вместо if</t>
        </is>
      </c>
      <c r="F850" s="11" t="inlineStr">
        <is>
          <t>Ст-208</t>
        </is>
      </c>
      <c r="G850" s="37" t="inlineStr">
        <is>
          <t>повторение</t>
        </is>
      </c>
      <c r="H850" s="11" t="inlineStr"/>
      <c r="I850" s="37" t="inlineStr">
        <is>
          <t>10+</t>
        </is>
      </c>
      <c r="J850" s="11">
        <f>IFERROR(INDEX('Уроки'!$H:$H,MATCH(F850,'Уроки'!$A:$A,0)),"")</f>
        <v/>
      </c>
      <c r="K850" s="11">
        <f>IFERROR(INDEX('Уроки'!$J:$J,MATCH(F850,'Уроки'!$A:$A,0)),"")</f>
        <v/>
      </c>
      <c r="L850" s="11" t="inlineStr">
        <is>
          <t>Spotlight / 8 класс / Module 8 · Pastimes / Conditionals (Type 0) / Conditionals Type 0: when вместо if</t>
        </is>
      </c>
    </row>
    <row r="851">
      <c r="A851" s="37" t="n">
        <v>8</v>
      </c>
      <c r="B851" s="11" t="inlineStr">
        <is>
          <t>Module 8 · Pastimes</t>
        </is>
      </c>
      <c r="C851" s="11" t="inlineStr">
        <is>
          <t>8c</t>
        </is>
      </c>
      <c r="D851" s="11" t="inlineStr">
        <is>
          <t>Conditionals (Type 1)</t>
        </is>
      </c>
      <c r="E851" s="33" t="inlineStr">
        <is>
          <t>Conditionals Type 1: форма If + Present Simple — will + V</t>
        </is>
      </c>
      <c r="F851" s="11" t="inlineStr">
        <is>
          <t>Ст-209</t>
        </is>
      </c>
      <c r="G851" s="37" t="inlineStr">
        <is>
          <t>повторение</t>
        </is>
      </c>
      <c r="H851" s="11" t="inlineStr"/>
      <c r="I851" s="37" t="inlineStr">
        <is>
          <t>10+</t>
        </is>
      </c>
      <c r="J851" s="11">
        <f>IFERROR(INDEX('Уроки'!$H:$H,MATCH(F851,'Уроки'!$A:$A,0)),"")</f>
        <v/>
      </c>
      <c r="K851" s="11">
        <f>IFERROR(INDEX('Уроки'!$J:$J,MATCH(F851,'Уроки'!$A:$A,0)),"")</f>
        <v/>
      </c>
      <c r="L851" s="11" t="inlineStr">
        <is>
          <t>Spotlight / 8 класс / Module 8 · Pastimes / Conditionals (Type 1) / Conditionals Type 1: форма If + Present Simple — will + V</t>
        </is>
      </c>
    </row>
    <row r="852">
      <c r="A852" s="37" t="n">
        <v>8</v>
      </c>
      <c r="B852" s="11" t="inlineStr">
        <is>
          <t>Module 8 · Pastimes</t>
        </is>
      </c>
      <c r="C852" s="11" t="inlineStr">
        <is>
          <t>8c</t>
        </is>
      </c>
      <c r="D852" s="11" t="inlineStr">
        <is>
          <t>Conditionals (Type 1)</t>
        </is>
      </c>
      <c r="E852" s="35" t="inlineStr">
        <is>
          <t>Conditionals Type 1: главная часть с Imperative / can, must, may</t>
        </is>
      </c>
      <c r="F852" s="11" t="inlineStr">
        <is>
          <t>Ст-210</t>
        </is>
      </c>
      <c r="G852" s="37" t="inlineStr">
        <is>
          <t>повторение</t>
        </is>
      </c>
      <c r="H852" s="11" t="inlineStr"/>
      <c r="I852" s="37" t="inlineStr">
        <is>
          <t>10+</t>
        </is>
      </c>
      <c r="J852" s="11">
        <f>IFERROR(INDEX('Уроки'!$H:$H,MATCH(F852,'Уроки'!$A:$A,0)),"")</f>
        <v/>
      </c>
      <c r="K852" s="11">
        <f>IFERROR(INDEX('Уроки'!$J:$J,MATCH(F852,'Уроки'!$A:$A,0)),"")</f>
        <v/>
      </c>
      <c r="L852" s="11" t="inlineStr">
        <is>
          <t>Spotlight / 8 класс / Module 8 · Pastimes / Conditionals (Type 1) / Conditionals Type 1: главная часть с Imperative / can, must, may</t>
        </is>
      </c>
    </row>
    <row r="853">
      <c r="A853" s="37" t="n">
        <v>8</v>
      </c>
      <c r="B853" s="11" t="inlineStr">
        <is>
          <t>Module 8 · Pastimes</t>
        </is>
      </c>
      <c r="C853" s="11" t="inlineStr">
        <is>
          <t>8c</t>
        </is>
      </c>
      <c r="D853" s="11" t="inlineStr">
        <is>
          <t>Conditionals (Type 1)</t>
        </is>
      </c>
      <c r="E853" s="33" t="inlineStr">
        <is>
          <t>Conditionals Type 1: значение — реальная/вероятная ситуация в настоящем/будущем</t>
        </is>
      </c>
      <c r="F853" s="11" t="inlineStr">
        <is>
          <t>Ст-211</t>
        </is>
      </c>
      <c r="G853" s="37" t="inlineStr">
        <is>
          <t>повторение</t>
        </is>
      </c>
      <c r="H853" s="11" t="inlineStr"/>
      <c r="I853" s="37" t="inlineStr">
        <is>
          <t>10+</t>
        </is>
      </c>
      <c r="J853" s="11">
        <f>IFERROR(INDEX('Уроки'!$H:$H,MATCH(F853,'Уроки'!$A:$A,0)),"")</f>
        <v/>
      </c>
      <c r="K853" s="11">
        <f>IFERROR(INDEX('Уроки'!$J:$J,MATCH(F853,'Уроки'!$A:$A,0)),"")</f>
        <v/>
      </c>
      <c r="L853" s="11" t="inlineStr">
        <is>
          <t>Spotlight / 8 класс / Module 8 · Pastimes / Conditionals (Type 1) / Conditionals Type 1: значение — реальная/вероятная ситуация в настоящем/будущем</t>
        </is>
      </c>
    </row>
    <row r="854">
      <c r="A854" s="37" t="n">
        <v>8</v>
      </c>
      <c r="B854" s="11" t="inlineStr">
        <is>
          <t>Module 8 · Pastimes</t>
        </is>
      </c>
      <c r="C854" s="11" t="inlineStr">
        <is>
          <t>8c</t>
        </is>
      </c>
      <c r="D854" s="11" t="inlineStr">
        <is>
          <t>Conditionals (Type 1)</t>
        </is>
      </c>
      <c r="E854" s="35" t="inlineStr">
        <is>
          <t>Conditionals Type 1: запятая, если if-часть впереди</t>
        </is>
      </c>
      <c r="F854" s="11" t="inlineStr">
        <is>
          <t>Ст-212</t>
        </is>
      </c>
      <c r="G854" s="37" t="inlineStr">
        <is>
          <t>повторение</t>
        </is>
      </c>
      <c r="H854" s="11" t="inlineStr"/>
      <c r="I854" s="37" t="inlineStr">
        <is>
          <t>10+</t>
        </is>
      </c>
      <c r="J854" s="11">
        <f>IFERROR(INDEX('Уроки'!$H:$H,MATCH(F854,'Уроки'!$A:$A,0)),"")</f>
        <v/>
      </c>
      <c r="K854" s="11">
        <f>IFERROR(INDEX('Уроки'!$J:$J,MATCH(F854,'Уроки'!$A:$A,0)),"")</f>
        <v/>
      </c>
      <c r="L854" s="11" t="inlineStr">
        <is>
          <t>Spotlight / 8 класс / Module 8 · Pastimes / Conditionals (Type 1) / Conditionals Type 1: запятая, если if-часть впереди</t>
        </is>
      </c>
    </row>
    <row r="855">
      <c r="A855" s="37" t="n">
        <v>8</v>
      </c>
      <c r="B855" s="11" t="inlineStr">
        <is>
          <t>Module 8 · Pastimes</t>
        </is>
      </c>
      <c r="C855" s="11" t="inlineStr">
        <is>
          <t>8c</t>
        </is>
      </c>
      <c r="D855" s="11" t="inlineStr">
        <is>
          <t>Conditionals (Type 1)</t>
        </is>
      </c>
      <c r="E855" s="35" t="inlineStr">
        <is>
          <t>Conditionals Type 1: unless = if not</t>
        </is>
      </c>
      <c r="F855" s="11" t="inlineStr">
        <is>
          <t>Ст-213</t>
        </is>
      </c>
      <c r="G855" s="37" t="inlineStr">
        <is>
          <t>повторение</t>
        </is>
      </c>
      <c r="H855" s="11" t="inlineStr"/>
      <c r="I855" s="37" t="inlineStr">
        <is>
          <t>10+</t>
        </is>
      </c>
      <c r="J855" s="11">
        <f>IFERROR(INDEX('Уроки'!$H:$H,MATCH(F855,'Уроки'!$A:$A,0)),"")</f>
        <v/>
      </c>
      <c r="K855" s="11">
        <f>IFERROR(INDEX('Уроки'!$J:$J,MATCH(F855,'Уроки'!$A:$A,0)),"")</f>
        <v/>
      </c>
      <c r="L855" s="11" t="inlineStr">
        <is>
          <t>Spotlight / 8 класс / Module 8 · Pastimes / Conditionals (Type 1) / Conditionals Type 1: unless = if not</t>
        </is>
      </c>
    </row>
    <row r="856">
      <c r="A856" s="37" t="n">
        <v>8</v>
      </c>
      <c r="B856" s="11" t="inlineStr">
        <is>
          <t>Module 8 · Pastimes</t>
        </is>
      </c>
      <c r="C856" s="11" t="inlineStr">
        <is>
          <t>8c</t>
        </is>
      </c>
      <c r="D856" s="11" t="inlineStr">
        <is>
          <t>Conditionals (Type 2)</t>
        </is>
      </c>
      <c r="E856" s="34" t="inlineStr">
        <is>
          <t>Conditionals Type 2: форма If + Past Simple — would/could/might + V</t>
        </is>
      </c>
      <c r="F856" s="11" t="inlineStr">
        <is>
          <t>Ст-228</t>
        </is>
      </c>
      <c r="G856" s="40" t="inlineStr">
        <is>
          <t>новое</t>
        </is>
      </c>
      <c r="H856" s="11" t="inlineStr"/>
      <c r="I856" s="37" t="inlineStr">
        <is>
          <t>10+</t>
        </is>
      </c>
      <c r="J856" s="11">
        <f>IFERROR(INDEX('Уроки'!$H:$H,MATCH(F856,'Уроки'!$A:$A,0)),"")</f>
        <v/>
      </c>
      <c r="K856" s="11">
        <f>IFERROR(INDEX('Уроки'!$J:$J,MATCH(F856,'Уроки'!$A:$A,0)),"")</f>
        <v/>
      </c>
      <c r="L856" s="11" t="inlineStr">
        <is>
          <t>Spotlight / 8 класс / Module 8 · Pastimes / Conditionals (Type 2) / Conditionals Type 2: форма If + Past Simple — would/could/might + V</t>
        </is>
      </c>
    </row>
    <row r="857">
      <c r="A857" s="37" t="n">
        <v>8</v>
      </c>
      <c r="B857" s="11" t="inlineStr">
        <is>
          <t>Module 8 · Pastimes</t>
        </is>
      </c>
      <c r="C857" s="11" t="inlineStr">
        <is>
          <t>8c</t>
        </is>
      </c>
      <c r="D857" s="11" t="inlineStr">
        <is>
          <t>Conditionals (Type 2)</t>
        </is>
      </c>
      <c r="E857" s="35" t="inlineStr">
        <is>
          <t>Conditionals Type 2: If + Past Continuous</t>
        </is>
      </c>
      <c r="F857" s="11" t="inlineStr">
        <is>
          <t>Ст-229</t>
        </is>
      </c>
      <c r="G857" s="40" t="inlineStr">
        <is>
          <t>новое</t>
        </is>
      </c>
      <c r="H857" s="11" t="inlineStr"/>
      <c r="I857" s="37" t="inlineStr">
        <is>
          <t>10+</t>
        </is>
      </c>
      <c r="J857" s="11">
        <f>IFERROR(INDEX('Уроки'!$H:$H,MATCH(F857,'Уроки'!$A:$A,0)),"")</f>
        <v/>
      </c>
      <c r="K857" s="11">
        <f>IFERROR(INDEX('Уроки'!$J:$J,MATCH(F857,'Уроки'!$A:$A,0)),"")</f>
        <v/>
      </c>
      <c r="L857" s="11" t="inlineStr">
        <is>
          <t>Spotlight / 8 класс / Module 8 · Pastimes / Conditionals (Type 2) / Conditionals Type 2: If + Past Continuous</t>
        </is>
      </c>
    </row>
    <row r="858">
      <c r="A858" s="37" t="n">
        <v>8</v>
      </c>
      <c r="B858" s="11" t="inlineStr">
        <is>
          <t>Module 8 · Pastimes</t>
        </is>
      </c>
      <c r="C858" s="11" t="inlineStr">
        <is>
          <t>8c</t>
        </is>
      </c>
      <c r="D858" s="11" t="inlineStr">
        <is>
          <t>Conditionals (Type 2)</t>
        </is>
      </c>
      <c r="E858" s="34" t="inlineStr">
        <is>
          <t>Conditionals Type 2: значение — воображаемая/маловероятная ситуация в настоящем/будущем</t>
        </is>
      </c>
      <c r="F858" s="11" t="inlineStr">
        <is>
          <t>Ст-230</t>
        </is>
      </c>
      <c r="G858" s="40" t="inlineStr">
        <is>
          <t>новое</t>
        </is>
      </c>
      <c r="H858" s="11" t="inlineStr"/>
      <c r="I858" s="37" t="inlineStr">
        <is>
          <t>10+</t>
        </is>
      </c>
      <c r="J858" s="11">
        <f>IFERROR(INDEX('Уроки'!$H:$H,MATCH(F858,'Уроки'!$A:$A,0)),"")</f>
        <v/>
      </c>
      <c r="K858" s="11">
        <f>IFERROR(INDEX('Уроки'!$J:$J,MATCH(F858,'Уроки'!$A:$A,0)),"")</f>
        <v/>
      </c>
      <c r="L858" s="11" t="inlineStr">
        <is>
          <t>Spotlight / 8 класс / Module 8 · Pastimes / Conditionals (Type 2) / Conditionals Type 2: значение — воображаемая/маловероятная ситуация в настоящем/будущем</t>
        </is>
      </c>
    </row>
    <row r="859">
      <c r="A859" s="37" t="n">
        <v>8</v>
      </c>
      <c r="B859" s="11" t="inlineStr">
        <is>
          <t>Module 8 · Pastimes</t>
        </is>
      </c>
      <c r="C859" s="11" t="inlineStr">
        <is>
          <t>8c</t>
        </is>
      </c>
      <c r="D859" s="11" t="inlineStr">
        <is>
          <t>Conditionals (Type 2)</t>
        </is>
      </c>
      <c r="E859" s="35" t="inlineStr">
        <is>
          <t>Conditionals Type 2: were/was для I, he, she, it</t>
        </is>
      </c>
      <c r="F859" s="11" t="inlineStr">
        <is>
          <t>Ст-231</t>
        </is>
      </c>
      <c r="G859" s="40" t="inlineStr">
        <is>
          <t>новое</t>
        </is>
      </c>
      <c r="H859" s="11" t="inlineStr">
        <is>
          <t>were или was</t>
        </is>
      </c>
      <c r="I859" s="37" t="inlineStr">
        <is>
          <t>10+</t>
        </is>
      </c>
      <c r="J859" s="11">
        <f>IFERROR(INDEX('Уроки'!$H:$H,MATCH(F859,'Уроки'!$A:$A,0)),"")</f>
        <v/>
      </c>
      <c r="K859" s="11">
        <f>IFERROR(INDEX('Уроки'!$J:$J,MATCH(F859,'Уроки'!$A:$A,0)),"")</f>
        <v/>
      </c>
      <c r="L859" s="11" t="inlineStr">
        <is>
          <t>Spotlight / 8 класс / Module 8 · Pastimes / Conditionals (Type 2) / Conditionals Type 2: were/was для I, he, she, it</t>
        </is>
      </c>
    </row>
    <row r="860">
      <c r="A860" s="37" t="n">
        <v>8</v>
      </c>
      <c r="B860" s="11" t="inlineStr">
        <is>
          <t>Module 8 · Pastimes</t>
        </is>
      </c>
      <c r="C860" s="11" t="inlineStr">
        <is>
          <t>8c</t>
        </is>
      </c>
      <c r="D860" s="11" t="inlineStr">
        <is>
          <t>Conditionals (Type 2)</t>
        </is>
      </c>
      <c r="E860" s="35" t="inlineStr">
        <is>
          <t>Conditionals Type 2: If I were you — совет</t>
        </is>
      </c>
      <c r="F860" s="11" t="inlineStr">
        <is>
          <t>Ст-232</t>
        </is>
      </c>
      <c r="G860" s="40" t="inlineStr">
        <is>
          <t>новое</t>
        </is>
      </c>
      <c r="H860" s="11" t="inlineStr"/>
      <c r="I860" s="37" t="inlineStr">
        <is>
          <t>10+</t>
        </is>
      </c>
      <c r="J860" s="11">
        <f>IFERROR(INDEX('Уроки'!$H:$H,MATCH(F860,'Уроки'!$A:$A,0)),"")</f>
        <v/>
      </c>
      <c r="K860" s="11">
        <f>IFERROR(INDEX('Уроки'!$J:$J,MATCH(F860,'Уроки'!$A:$A,0)),"")</f>
        <v/>
      </c>
      <c r="L860" s="11" t="inlineStr">
        <is>
          <t>Spotlight / 8 класс / Module 8 · Pastimes / Conditionals (Type 2) / Conditionals Type 2: If I were you — совет</t>
        </is>
      </c>
    </row>
    <row r="861">
      <c r="A861" s="37" t="n">
        <v>8</v>
      </c>
      <c r="B861" s="11" t="inlineStr">
        <is>
          <t>Module 8 · Pastimes</t>
        </is>
      </c>
      <c r="C861" s="11" t="inlineStr">
        <is>
          <t>8c</t>
        </is>
      </c>
      <c r="D861" s="11" t="inlineStr">
        <is>
          <t>Conditionals (Type 3)</t>
        </is>
      </c>
      <c r="E861" s="34" t="inlineStr">
        <is>
          <t>Conditionals Type 3: форма If + Past Perfect — would/could/might have + V3</t>
        </is>
      </c>
      <c r="F861" s="11" t="inlineStr">
        <is>
          <t>Ст-233</t>
        </is>
      </c>
      <c r="G861" s="40" t="inlineStr">
        <is>
          <t>новое</t>
        </is>
      </c>
      <c r="H861" s="11" t="inlineStr">
        <is>
          <t>bare perfect infinitive</t>
        </is>
      </c>
      <c r="I861" s="37" t="inlineStr">
        <is>
          <t>10+</t>
        </is>
      </c>
      <c r="J861" s="11">
        <f>IFERROR(INDEX('Уроки'!$H:$H,MATCH(F861,'Уроки'!$A:$A,0)),"")</f>
        <v/>
      </c>
      <c r="K861" s="11">
        <f>IFERROR(INDEX('Уроки'!$J:$J,MATCH(F861,'Уроки'!$A:$A,0)),"")</f>
        <v/>
      </c>
      <c r="L861" s="11" t="inlineStr">
        <is>
          <t>Spotlight / 8 класс / Module 8 · Pastimes / Conditionals (Type 3) / Conditionals Type 3: форма If + Past Perfect — would/could/might have + V3</t>
        </is>
      </c>
    </row>
    <row r="862">
      <c r="A862" s="37" t="n">
        <v>8</v>
      </c>
      <c r="B862" s="11" t="inlineStr">
        <is>
          <t>Module 8 · Pastimes</t>
        </is>
      </c>
      <c r="C862" s="11" t="inlineStr">
        <is>
          <t>8c</t>
        </is>
      </c>
      <c r="D862" s="11" t="inlineStr">
        <is>
          <t>Conditionals (Type 3)</t>
        </is>
      </c>
      <c r="E862" s="35" t="inlineStr">
        <is>
          <t>Conditionals Type 3: If + Past Perfect Continuous</t>
        </is>
      </c>
      <c r="F862" s="11" t="inlineStr">
        <is>
          <t>Ст-234</t>
        </is>
      </c>
      <c r="G862" s="40" t="inlineStr">
        <is>
          <t>новое</t>
        </is>
      </c>
      <c r="H862" s="11" t="inlineStr"/>
      <c r="I862" s="37" t="inlineStr">
        <is>
          <t>10+</t>
        </is>
      </c>
      <c r="J862" s="11">
        <f>IFERROR(INDEX('Уроки'!$H:$H,MATCH(F862,'Уроки'!$A:$A,0)),"")</f>
        <v/>
      </c>
      <c r="K862" s="11">
        <f>IFERROR(INDEX('Уроки'!$J:$J,MATCH(F862,'Уроки'!$A:$A,0)),"")</f>
        <v/>
      </c>
      <c r="L862" s="11" t="inlineStr">
        <is>
          <t>Spotlight / 8 класс / Module 8 · Pastimes / Conditionals (Type 3) / Conditionals Type 3: If + Past Perfect Continuous</t>
        </is>
      </c>
    </row>
    <row r="863">
      <c r="A863" s="37" t="n">
        <v>8</v>
      </c>
      <c r="B863" s="11" t="inlineStr">
        <is>
          <t>Module 8 · Pastimes</t>
        </is>
      </c>
      <c r="C863" s="11" t="inlineStr">
        <is>
          <t>8c</t>
        </is>
      </c>
      <c r="D863" s="11" t="inlineStr">
        <is>
          <t>Conditionals (Type 3)</t>
        </is>
      </c>
      <c r="E863" s="34" t="inlineStr">
        <is>
          <t>Conditionals Type 3: значение — нереальная ситуация в прошлом</t>
        </is>
      </c>
      <c r="F863" s="11" t="inlineStr">
        <is>
          <t>Ст-235</t>
        </is>
      </c>
      <c r="G863" s="40" t="inlineStr">
        <is>
          <t>новое</t>
        </is>
      </c>
      <c r="H863" s="11" t="inlineStr"/>
      <c r="I863" s="37" t="inlineStr">
        <is>
          <t>10+</t>
        </is>
      </c>
      <c r="J863" s="11">
        <f>IFERROR(INDEX('Уроки'!$H:$H,MATCH(F863,'Уроки'!$A:$A,0)),"")</f>
        <v/>
      </c>
      <c r="K863" s="11">
        <f>IFERROR(INDEX('Уроки'!$J:$J,MATCH(F863,'Уроки'!$A:$A,0)),"")</f>
        <v/>
      </c>
      <c r="L863" s="11" t="inlineStr">
        <is>
          <t>Spotlight / 8 класс / Module 8 · Pastimes / Conditionals (Type 3) / Conditionals Type 3: значение — нереальная ситуация в прошлом</t>
        </is>
      </c>
    </row>
    <row r="864">
      <c r="A864" s="37" t="n">
        <v>8</v>
      </c>
      <c r="B864" s="11" t="inlineStr">
        <is>
          <t>Module 8 · Pastimes</t>
        </is>
      </c>
      <c r="C864" s="11" t="inlineStr">
        <is>
          <t>8c</t>
        </is>
      </c>
      <c r="D864" s="11" t="inlineStr">
        <is>
          <t>Conditionals (Type 3)</t>
        </is>
      </c>
      <c r="E864" s="34" t="inlineStr">
        <is>
          <t>Conditionals Type 3: значение — сожаление, критика</t>
        </is>
      </c>
      <c r="F864" s="11" t="inlineStr">
        <is>
          <t>Ст-236</t>
        </is>
      </c>
      <c r="G864" s="40" t="inlineStr">
        <is>
          <t>новое</t>
        </is>
      </c>
      <c r="H864" s="11" t="inlineStr"/>
      <c r="I864" s="37" t="inlineStr">
        <is>
          <t>10+</t>
        </is>
      </c>
      <c r="J864" s="11">
        <f>IFERROR(INDEX('Уроки'!$H:$H,MATCH(F864,'Уроки'!$A:$A,0)),"")</f>
        <v/>
      </c>
      <c r="K864" s="11">
        <f>IFERROR(INDEX('Уроки'!$J:$J,MATCH(F864,'Уроки'!$A:$A,0)),"")</f>
        <v/>
      </c>
      <c r="L864" s="11" t="inlineStr">
        <is>
          <t>Spotlight / 8 класс / Module 8 · Pastimes / Conditionals (Type 3) / Conditionals Type 3: значение — сожаление, критика</t>
        </is>
      </c>
    </row>
    <row r="865">
      <c r="A865" s="37" t="n">
        <v>8</v>
      </c>
      <c r="B865" s="11" t="inlineStr">
        <is>
          <t>Module 8 · Pastimes</t>
        </is>
      </c>
      <c r="C865" s="11" t="inlineStr">
        <is>
          <t>8f</t>
        </is>
      </c>
      <c r="D865" s="11" t="inlineStr">
        <is>
          <t>Phrasal verbs</t>
        </is>
      </c>
      <c r="E865" s="33" t="inlineStr">
        <is>
          <t>Phrasal verbs: take</t>
        </is>
      </c>
      <c r="F865" s="11" t="inlineStr">
        <is>
          <t>Ст-592</t>
        </is>
      </c>
      <c r="G865" s="40" t="inlineStr">
        <is>
          <t>новое</t>
        </is>
      </c>
      <c r="H865" s="11" t="inlineStr">
        <is>
          <t>take: take after (быть похожим на), take off (1) взлетать, 2) снимать, убирать), take to (полюбить, пристраститься), take up (1) увлечься, заняться, 2) занимать время).</t>
        </is>
      </c>
      <c r="I865" s="37" t="inlineStr">
        <is>
          <t>10+</t>
        </is>
      </c>
      <c r="J865" s="11">
        <f>IFERROR(INDEX('Уроки'!$H:$H,MATCH(F865,'Уроки'!$A:$A,0)),"")</f>
        <v/>
      </c>
      <c r="K865" s="11">
        <f>IFERROR(INDEX('Уроки'!$J:$J,MATCH(F865,'Уроки'!$A:$A,0)),"")</f>
        <v/>
      </c>
      <c r="L865" s="11" t="inlineStr">
        <is>
          <t>Spotlight / 8 класс / Module 8 · Pastimes / Phrasal verbs / Phrasal verbs: take</t>
        </is>
      </c>
    </row>
    <row r="866">
      <c r="A866" s="37" t="n">
        <v>8</v>
      </c>
      <c r="B866" s="11" t="inlineStr">
        <is>
          <t>Module 8 · Pastimes</t>
        </is>
      </c>
      <c r="C866" s="11" t="inlineStr">
        <is>
          <t>8f</t>
        </is>
      </c>
      <c r="D866" s="11" t="inlineStr">
        <is>
          <t>Word formation</t>
        </is>
      </c>
      <c r="E866" s="33" t="inlineStr">
        <is>
          <t>Word formation: compound adjectives</t>
        </is>
      </c>
      <c r="F866" s="11" t="inlineStr">
        <is>
          <t>Ст-619</t>
        </is>
      </c>
      <c r="G866" s="40" t="inlineStr">
        <is>
          <t>новое</t>
        </is>
      </c>
      <c r="H866" s="11" t="inlineStr">
        <is>
          <t>Сложные прилагательные (compound adjectives).</t>
        </is>
      </c>
      <c r="I866" s="37" t="inlineStr">
        <is>
          <t>10+</t>
        </is>
      </c>
      <c r="J866" s="11">
        <f>IFERROR(INDEX('Уроки'!$H:$H,MATCH(F866,'Уроки'!$A:$A,0)),"")</f>
        <v/>
      </c>
      <c r="K866" s="11">
        <f>IFERROR(INDEX('Уроки'!$J:$J,MATCH(F866,'Уроки'!$A:$A,0)),"")</f>
        <v/>
      </c>
      <c r="L866" s="11" t="inlineStr">
        <is>
          <t>Spotlight / 8 класс / Module 8 · Pastimes / Word formation / Word formation: compound adjectives</t>
        </is>
      </c>
    </row>
    <row r="867">
      <c r="A867" s="37" t="n">
        <v>8</v>
      </c>
      <c r="B867" s="11" t="inlineStr">
        <is>
          <t>Module 8 · Pastimes</t>
        </is>
      </c>
      <c r="C867" s="11" t="inlineStr">
        <is>
          <t>8f</t>
        </is>
      </c>
      <c r="D867" s="11" t="inlineStr">
        <is>
          <t>Dependent prepositions</t>
        </is>
      </c>
      <c r="E867" s="35" t="inlineStr">
        <is>
          <t>Dependent prepositions</t>
        </is>
      </c>
      <c r="F867" s="11" t="inlineStr">
        <is>
          <t>Ст-633</t>
        </is>
      </c>
      <c r="G867" s="37" t="inlineStr">
        <is>
          <t>повторение</t>
        </is>
      </c>
      <c r="H867" s="11" t="inlineStr">
        <is>
          <t>Предлоги (prepositions) — тема English in Use 8f.</t>
        </is>
      </c>
      <c r="I867" s="37" t="inlineStr">
        <is>
          <t>10+</t>
        </is>
      </c>
      <c r="J867" s="11">
        <f>IFERROR(INDEX('Уроки'!$H:$H,MATCH(F867,'Уроки'!$A:$A,0)),"")</f>
        <v/>
      </c>
      <c r="K867" s="11">
        <f>IFERROR(INDEX('Уроки'!$J:$J,MATCH(F867,'Уроки'!$A:$A,0)),"")</f>
        <v/>
      </c>
      <c r="L867" s="11" t="inlineStr">
        <is>
          <t>Spotlight / 8 класс / Module 8 · Pastimes / Dependent prepositions / Dependent prepositions</t>
        </is>
      </c>
    </row>
    <row r="868">
      <c r="A868" s="37" t="n">
        <v>9</v>
      </c>
      <c r="B868" s="11" t="inlineStr">
        <is>
          <t>Irregular Verbs</t>
        </is>
      </c>
      <c r="C868" s="11" t="inlineStr"/>
      <c r="D868" s="11" t="inlineStr">
        <is>
          <t>Irregular verbs (list)</t>
        </is>
      </c>
      <c r="E868" s="35" t="inlineStr">
        <is>
          <t>Irregular verbs: таблица Infinitive – Past – Past Participle</t>
        </is>
      </c>
      <c r="F868" s="11" t="inlineStr">
        <is>
          <t>Ст-214</t>
        </is>
      </c>
      <c r="G868" s="37" t="inlineStr">
        <is>
          <t>повторение</t>
        </is>
      </c>
      <c r="H868" s="11" t="inlineStr">
        <is>
          <t>103 глагола</t>
        </is>
      </c>
      <c r="I868" s="37" t="inlineStr">
        <is>
          <t>10+</t>
        </is>
      </c>
      <c r="J868" s="11">
        <f>IFERROR(INDEX('Уроки'!$H:$H,MATCH(F868,'Уроки'!$A:$A,0)),"")</f>
        <v/>
      </c>
      <c r="K868" s="11">
        <f>IFERROR(INDEX('Уроки'!$J:$J,MATCH(F868,'Уроки'!$A:$A,0)),"")</f>
        <v/>
      </c>
      <c r="L868" s="11" t="inlineStr">
        <is>
          <t>Spotlight / 9 класс / Irregular Verbs / Irregular verbs (list) / Irregular verbs: таблица Infinitive – Past – Past Participle</t>
        </is>
      </c>
    </row>
    <row r="869">
      <c r="A869" s="37" t="n">
        <v>9</v>
      </c>
      <c r="B869" s="11" t="inlineStr">
        <is>
          <t>Irregular Verbs</t>
        </is>
      </c>
      <c r="C869" s="11" t="inlineStr"/>
      <c r="D869" s="11" t="inlineStr">
        <is>
          <t>Irregular verbs (list)</t>
        </is>
      </c>
      <c r="E869" s="35" t="inlineStr">
        <is>
          <t>Irregular verbs: двойные и особые формы (burnt/burned, got/gotten, can – could)</t>
        </is>
      </c>
      <c r="F869" s="11" t="inlineStr">
        <is>
          <t>Ст-215</t>
        </is>
      </c>
      <c r="G869" s="37" t="inlineStr">
        <is>
          <t>повторение</t>
        </is>
      </c>
      <c r="H869" s="11" t="inlineStr"/>
      <c r="I869" s="37" t="inlineStr">
        <is>
          <t>10+</t>
        </is>
      </c>
      <c r="J869" s="11">
        <f>IFERROR(INDEX('Уроки'!$H:$H,MATCH(F869,'Уроки'!$A:$A,0)),"")</f>
        <v/>
      </c>
      <c r="K869" s="11">
        <f>IFERROR(INDEX('Уроки'!$J:$J,MATCH(F869,'Уроки'!$A:$A,0)),"")</f>
        <v/>
      </c>
      <c r="L869" s="11" t="inlineStr">
        <is>
          <t>Spotlight / 9 класс / Irregular Verbs / Irregular verbs (list) / Irregular verbs: двойные и особые формы (burnt/burned, got/gotten, can – could)</t>
        </is>
      </c>
    </row>
    <row r="870">
      <c r="A870" s="37" t="n">
        <v>9</v>
      </c>
      <c r="B870" s="11" t="inlineStr">
        <is>
          <t>Module 1 · Celebrations</t>
        </is>
      </c>
      <c r="C870" s="11" t="inlineStr">
        <is>
          <t>1c</t>
        </is>
      </c>
      <c r="D870" s="11" t="inlineStr">
        <is>
          <t>Present Continuous</t>
        </is>
      </c>
      <c r="E870" s="35" t="inlineStr">
        <is>
          <t>Present Continuous: утверждение (am/is/are + V-ing)</t>
        </is>
      </c>
      <c r="F870" s="11" t="inlineStr">
        <is>
          <t>Ст-015</t>
        </is>
      </c>
      <c r="G870" s="37" t="inlineStr">
        <is>
          <t>повторение</t>
        </is>
      </c>
      <c r="H870" s="11" t="inlineStr"/>
      <c r="I870" s="37" t="inlineStr">
        <is>
          <t>10+</t>
        </is>
      </c>
      <c r="J870" s="11">
        <f>IFERROR(INDEX('Уроки'!$H:$H,MATCH(F870,'Уроки'!$A:$A,0)),"")</f>
        <v/>
      </c>
      <c r="K870" s="11">
        <f>IFERROR(INDEX('Уроки'!$J:$J,MATCH(F870,'Уроки'!$A:$A,0)),"")</f>
        <v/>
      </c>
      <c r="L870" s="11" t="inlineStr">
        <is>
          <t>Spotlight / 9 класс / Module 1 · Celebrations / Present Continuous / Present Continuous: утверждение (am/is/are + V-ing)</t>
        </is>
      </c>
    </row>
    <row r="871">
      <c r="A871" s="37" t="n">
        <v>9</v>
      </c>
      <c r="B871" s="11" t="inlineStr">
        <is>
          <t>Module 1 · Celebrations</t>
        </is>
      </c>
      <c r="C871" s="11" t="inlineStr">
        <is>
          <t>1c</t>
        </is>
      </c>
      <c r="D871" s="11" t="inlineStr">
        <is>
          <t>Present Continuous</t>
        </is>
      </c>
      <c r="E871" s="35" t="inlineStr">
        <is>
          <t>Present Continuous: орфография -ing</t>
        </is>
      </c>
      <c r="F871" s="11" t="inlineStr">
        <is>
          <t>Ст-019</t>
        </is>
      </c>
      <c r="G871" s="37" t="inlineStr">
        <is>
          <t>повторение</t>
        </is>
      </c>
      <c r="H871" s="11" t="inlineStr">
        <is>
          <t>occur – occurring, discover – discovering</t>
        </is>
      </c>
      <c r="I871" s="37" t="inlineStr">
        <is>
          <t>10+</t>
        </is>
      </c>
      <c r="J871" s="11">
        <f>IFERROR(INDEX('Уроки'!$H:$H,MATCH(F871,'Уроки'!$A:$A,0)),"")</f>
        <v/>
      </c>
      <c r="K871" s="11">
        <f>IFERROR(INDEX('Уроки'!$J:$J,MATCH(F871,'Уроки'!$A:$A,0)),"")</f>
        <v/>
      </c>
      <c r="L871" s="11" t="inlineStr">
        <is>
          <t>Spotlight / 9 класс / Module 1 · Celebrations / Present Continuous / Present Continuous: орфография -ing</t>
        </is>
      </c>
    </row>
    <row r="872">
      <c r="A872" s="37" t="n">
        <v>9</v>
      </c>
      <c r="B872" s="11" t="inlineStr">
        <is>
          <t>Module 1 · Celebrations</t>
        </is>
      </c>
      <c r="C872" s="11" t="inlineStr">
        <is>
          <t>1c</t>
        </is>
      </c>
      <c r="D872" s="11" t="inlineStr">
        <is>
          <t>Present Continuous</t>
        </is>
      </c>
      <c r="E872" s="33" t="inlineStr">
        <is>
          <t>Present Continuous: значение — действие сейчас (now)</t>
        </is>
      </c>
      <c r="F872" s="11" t="inlineStr">
        <is>
          <t>Ст-020</t>
        </is>
      </c>
      <c r="G872" s="37" t="inlineStr">
        <is>
          <t>повторение</t>
        </is>
      </c>
      <c r="H872" s="11" t="inlineStr"/>
      <c r="I872" s="37" t="inlineStr">
        <is>
          <t>10+</t>
        </is>
      </c>
      <c r="J872" s="11">
        <f>IFERROR(INDEX('Уроки'!$H:$H,MATCH(F872,'Уроки'!$A:$A,0)),"")</f>
        <v/>
      </c>
      <c r="K872" s="11">
        <f>IFERROR(INDEX('Уроки'!$J:$J,MATCH(F872,'Уроки'!$A:$A,0)),"")</f>
        <v/>
      </c>
      <c r="L872" s="11" t="inlineStr">
        <is>
          <t>Spotlight / 9 класс / Module 1 · Celebrations / Present Continuous / Present Continuous: значение — действие сейчас (now)</t>
        </is>
      </c>
    </row>
    <row r="873">
      <c r="A873" s="37" t="n">
        <v>9</v>
      </c>
      <c r="B873" s="11" t="inlineStr">
        <is>
          <t>Module 1 · Celebrations</t>
        </is>
      </c>
      <c r="C873" s="11" t="inlineStr">
        <is>
          <t>1c</t>
        </is>
      </c>
      <c r="D873" s="11" t="inlineStr">
        <is>
          <t>Present Continuous</t>
        </is>
      </c>
      <c r="E873" s="33" t="inlineStr">
        <is>
          <t>Present Continuous: значение — действие в настоящий период (these days)</t>
        </is>
      </c>
      <c r="F873" s="11" t="inlineStr">
        <is>
          <t>Ст-021</t>
        </is>
      </c>
      <c r="G873" s="37" t="inlineStr">
        <is>
          <t>повторение</t>
        </is>
      </c>
      <c r="H873" s="11" t="inlineStr">
        <is>
          <t>today, these days</t>
        </is>
      </c>
      <c r="I873" s="37" t="inlineStr">
        <is>
          <t>10+</t>
        </is>
      </c>
      <c r="J873" s="11">
        <f>IFERROR(INDEX('Уроки'!$H:$H,MATCH(F873,'Уроки'!$A:$A,0)),"")</f>
        <v/>
      </c>
      <c r="K873" s="11">
        <f>IFERROR(INDEX('Уроки'!$J:$J,MATCH(F873,'Уроки'!$A:$A,0)),"")</f>
        <v/>
      </c>
      <c r="L873" s="11" t="inlineStr">
        <is>
          <t>Spotlight / 9 класс / Module 1 · Celebrations / Present Continuous / Present Continuous: значение — действие в настоящий период (these days)</t>
        </is>
      </c>
    </row>
    <row r="874">
      <c r="A874" s="37" t="n">
        <v>9</v>
      </c>
      <c r="B874" s="11" t="inlineStr">
        <is>
          <t>Module 1 · Celebrations</t>
        </is>
      </c>
      <c r="C874" s="11" t="inlineStr">
        <is>
          <t>1c</t>
        </is>
      </c>
      <c r="D874" s="11" t="inlineStr">
        <is>
          <t>Present Continuous</t>
        </is>
      </c>
      <c r="E874" s="33" t="inlineStr">
        <is>
          <t>Present Continuous: значение — запланированное будущее</t>
        </is>
      </c>
      <c r="F874" s="11" t="inlineStr">
        <is>
          <t>Ст-022</t>
        </is>
      </c>
      <c r="G874" s="37" t="inlineStr">
        <is>
          <t>повторение</t>
        </is>
      </c>
      <c r="H874" s="11" t="inlineStr"/>
      <c r="I874" s="37" t="inlineStr">
        <is>
          <t>10+</t>
        </is>
      </c>
      <c r="J874" s="11">
        <f>IFERROR(INDEX('Уроки'!$H:$H,MATCH(F874,'Уроки'!$A:$A,0)),"")</f>
        <v/>
      </c>
      <c r="K874" s="11">
        <f>IFERROR(INDEX('Уроки'!$J:$J,MATCH(F874,'Уроки'!$A:$A,0)),"")</f>
        <v/>
      </c>
      <c r="L874" s="11" t="inlineStr">
        <is>
          <t>Spotlight / 9 класс / Module 1 · Celebrations / Present Continuous / Present Continuous: значение — запланированное будущее</t>
        </is>
      </c>
    </row>
    <row r="875">
      <c r="A875" s="37" t="n">
        <v>9</v>
      </c>
      <c r="B875" s="11" t="inlineStr">
        <is>
          <t>Module 1 · Celebrations</t>
        </is>
      </c>
      <c r="C875" s="11" t="inlineStr">
        <is>
          <t>1c</t>
        </is>
      </c>
      <c r="D875" s="11" t="inlineStr">
        <is>
          <t>Present Continuous</t>
        </is>
      </c>
      <c r="E875" s="33" t="inlineStr">
        <is>
          <t>Present Continuous: значение — временные ситуации</t>
        </is>
      </c>
      <c r="F875" s="11" t="inlineStr">
        <is>
          <t>Ст-023</t>
        </is>
      </c>
      <c r="G875" s="37" t="inlineStr">
        <is>
          <t>повторение</t>
        </is>
      </c>
      <c r="H875" s="11" t="inlineStr"/>
      <c r="I875" s="37" t="inlineStr">
        <is>
          <t>10+</t>
        </is>
      </c>
      <c r="J875" s="11">
        <f>IFERROR(INDEX('Уроки'!$H:$H,MATCH(F875,'Уроки'!$A:$A,0)),"")</f>
        <v/>
      </c>
      <c r="K875" s="11">
        <f>IFERROR(INDEX('Уроки'!$J:$J,MATCH(F875,'Уроки'!$A:$A,0)),"")</f>
        <v/>
      </c>
      <c r="L875" s="11" t="inlineStr">
        <is>
          <t>Spotlight / 9 класс / Module 1 · Celebrations / Present Continuous / Present Continuous: значение — временные ситуации</t>
        </is>
      </c>
    </row>
    <row r="876">
      <c r="A876" s="37" t="n">
        <v>9</v>
      </c>
      <c r="B876" s="11" t="inlineStr">
        <is>
          <t>Module 1 · Celebrations</t>
        </is>
      </c>
      <c r="C876" s="11" t="inlineStr">
        <is>
          <t>1c</t>
        </is>
      </c>
      <c r="D876" s="11" t="inlineStr">
        <is>
          <t>Present Continuous</t>
        </is>
      </c>
      <c r="E876" s="35" t="inlineStr">
        <is>
          <t>Present Continuous: значение — меняющиеся и развивающиеся ситуации</t>
        </is>
      </c>
      <c r="F876" s="11" t="inlineStr">
        <is>
          <t>Ст-024</t>
        </is>
      </c>
      <c r="G876" s="37" t="inlineStr">
        <is>
          <t>повторение</t>
        </is>
      </c>
      <c r="H876" s="11" t="inlineStr">
        <is>
          <t>getting thinner and thinner</t>
        </is>
      </c>
      <c r="I876" s="37" t="inlineStr">
        <is>
          <t>10+</t>
        </is>
      </c>
      <c r="J876" s="11">
        <f>IFERROR(INDEX('Уроки'!$H:$H,MATCH(F876,'Уроки'!$A:$A,0)),"")</f>
        <v/>
      </c>
      <c r="K876" s="11">
        <f>IFERROR(INDEX('Уроки'!$J:$J,MATCH(F876,'Уроки'!$A:$A,0)),"")</f>
        <v/>
      </c>
      <c r="L876" s="11" t="inlineStr">
        <is>
          <t>Spotlight / 9 класс / Module 1 · Celebrations / Present Continuous / Present Continuous: значение — меняющиеся и развивающиеся ситуации</t>
        </is>
      </c>
    </row>
    <row r="877">
      <c r="A877" s="37" t="n">
        <v>9</v>
      </c>
      <c r="B877" s="11" t="inlineStr">
        <is>
          <t>Module 1 · Celebrations</t>
        </is>
      </c>
      <c r="C877" s="11" t="inlineStr">
        <is>
          <t>1c</t>
        </is>
      </c>
      <c r="D877" s="11" t="inlineStr">
        <is>
          <t>Present Continuous</t>
        </is>
      </c>
      <c r="E877" s="35" t="inlineStr">
        <is>
          <t>Present Continuous: значение — always + раздражение</t>
        </is>
      </c>
      <c r="F877" s="11" t="inlineStr">
        <is>
          <t>Ст-025</t>
        </is>
      </c>
      <c r="G877" s="37" t="inlineStr">
        <is>
          <t>повторение</t>
        </is>
      </c>
      <c r="H877" s="11" t="inlineStr"/>
      <c r="I877" s="37" t="inlineStr">
        <is>
          <t>10+</t>
        </is>
      </c>
      <c r="J877" s="11">
        <f>IFERROR(INDEX('Уроки'!$H:$H,MATCH(F877,'Уроки'!$A:$A,0)),"")</f>
        <v/>
      </c>
      <c r="K877" s="11">
        <f>IFERROR(INDEX('Уроки'!$J:$J,MATCH(F877,'Уроки'!$A:$A,0)),"")</f>
        <v/>
      </c>
      <c r="L877" s="11" t="inlineStr">
        <is>
          <t>Spotlight / 9 класс / Module 1 · Celebrations / Present Continuous / Present Continuous: значение — always + раздражение</t>
        </is>
      </c>
    </row>
    <row r="878">
      <c r="A878" s="37" t="n">
        <v>9</v>
      </c>
      <c r="B878" s="11" t="inlineStr">
        <is>
          <t>Module 1 · Celebrations</t>
        </is>
      </c>
      <c r="C878" s="11" t="inlineStr">
        <is>
          <t>1c</t>
        </is>
      </c>
      <c r="D878" s="11" t="inlineStr">
        <is>
          <t>Present Simple</t>
        </is>
      </c>
      <c r="E878" s="35" t="inlineStr">
        <is>
          <t>Present Simple: утверждение (I/you/we/they V, he/she/it V-s)</t>
        </is>
      </c>
      <c r="F878" s="11" t="inlineStr">
        <is>
          <t>Ст-026</t>
        </is>
      </c>
      <c r="G878" s="37" t="inlineStr">
        <is>
          <t>повторение</t>
        </is>
      </c>
      <c r="H878" s="11" t="inlineStr">
        <is>
          <t>только V/V-s; −/? не расписаны</t>
        </is>
      </c>
      <c r="I878" s="37" t="inlineStr">
        <is>
          <t>10+</t>
        </is>
      </c>
      <c r="J878" s="11">
        <f>IFERROR(INDEX('Уроки'!$H:$H,MATCH(F878,'Уроки'!$A:$A,0)),"")</f>
        <v/>
      </c>
      <c r="K878" s="11">
        <f>IFERROR(INDEX('Уроки'!$J:$J,MATCH(F878,'Уроки'!$A:$A,0)),"")</f>
        <v/>
      </c>
      <c r="L878" s="11" t="inlineStr">
        <is>
          <t>Spotlight / 9 класс / Module 1 · Celebrations / Present Simple / Present Simple: утверждение (I/you/we/they V, he/she/it V-s)</t>
        </is>
      </c>
    </row>
    <row r="879">
      <c r="A879" s="37" t="n">
        <v>9</v>
      </c>
      <c r="B879" s="11" t="inlineStr">
        <is>
          <t>Module 1 · Celebrations</t>
        </is>
      </c>
      <c r="C879" s="11" t="inlineStr">
        <is>
          <t>1c</t>
        </is>
      </c>
      <c r="D879" s="11" t="inlineStr">
        <is>
          <t>Present Simple</t>
        </is>
      </c>
      <c r="E879" s="35" t="inlineStr">
        <is>
          <t>Present Simple: орфография окончания -s/-es (3 л. ед. ч.)</t>
        </is>
      </c>
      <c r="F879" s="11" t="inlineStr">
        <is>
          <t>Ст-030</t>
        </is>
      </c>
      <c r="G879" s="37" t="inlineStr">
        <is>
          <t>повторение</t>
        </is>
      </c>
      <c r="H879" s="11" t="inlineStr"/>
      <c r="I879" s="37" t="inlineStr">
        <is>
          <t>10+</t>
        </is>
      </c>
      <c r="J879" s="11">
        <f>IFERROR(INDEX('Уроки'!$H:$H,MATCH(F879,'Уроки'!$A:$A,0)),"")</f>
        <v/>
      </c>
      <c r="K879" s="11">
        <f>IFERROR(INDEX('Уроки'!$J:$J,MATCH(F879,'Уроки'!$A:$A,0)),"")</f>
        <v/>
      </c>
      <c r="L879" s="11" t="inlineStr">
        <is>
          <t>Spotlight / 9 класс / Module 1 · Celebrations / Present Simple / Present Simple: орфография окончания -s/-es (3 л. ед. ч.)</t>
        </is>
      </c>
    </row>
    <row r="880">
      <c r="A880" s="37" t="n">
        <v>9</v>
      </c>
      <c r="B880" s="11" t="inlineStr">
        <is>
          <t>Module 1 · Celebrations</t>
        </is>
      </c>
      <c r="C880" s="11" t="inlineStr">
        <is>
          <t>1c</t>
        </is>
      </c>
      <c r="D880" s="11" t="inlineStr">
        <is>
          <t>Present Simple</t>
        </is>
      </c>
      <c r="E880" s="33" t="inlineStr">
        <is>
          <t>Present Simple: значение — регулярные действия, распорядок дня, привычки</t>
        </is>
      </c>
      <c r="F880" s="11" t="inlineStr">
        <is>
          <t>Ст-031</t>
        </is>
      </c>
      <c r="G880" s="37" t="inlineStr">
        <is>
          <t>повторение</t>
        </is>
      </c>
      <c r="H880" s="11" t="inlineStr">
        <is>
          <t>every hour/day…, at the weekend</t>
        </is>
      </c>
      <c r="I880" s="37" t="inlineStr">
        <is>
          <t>10+</t>
        </is>
      </c>
      <c r="J880" s="11">
        <f>IFERROR(INDEX('Уроки'!$H:$H,MATCH(F880,'Уроки'!$A:$A,0)),"")</f>
        <v/>
      </c>
      <c r="K880" s="11">
        <f>IFERROR(INDEX('Уроки'!$J:$J,MATCH(F880,'Уроки'!$A:$A,0)),"")</f>
        <v/>
      </c>
      <c r="L880" s="11" t="inlineStr">
        <is>
          <t>Spotlight / 9 класс / Module 1 · Celebrations / Present Simple / Present Simple: значение — регулярные действия, распорядок дня, привычки</t>
        </is>
      </c>
    </row>
    <row r="881">
      <c r="A881" s="37" t="n">
        <v>9</v>
      </c>
      <c r="B881" s="11" t="inlineStr">
        <is>
          <t>Module 1 · Celebrations</t>
        </is>
      </c>
      <c r="C881" s="11" t="inlineStr">
        <is>
          <t>1c</t>
        </is>
      </c>
      <c r="D881" s="11" t="inlineStr">
        <is>
          <t>Present Simple</t>
        </is>
      </c>
      <c r="E881" s="33" t="inlineStr">
        <is>
          <t>Present Simple: значение — постоянные состояния и действия</t>
        </is>
      </c>
      <c r="F881" s="11" t="inlineStr">
        <is>
          <t>Ст-032</t>
        </is>
      </c>
      <c r="G881" s="37" t="inlineStr">
        <is>
          <t>повторение</t>
        </is>
      </c>
      <c r="H881" s="11" t="inlineStr">
        <is>
          <t>He teaches Law at the university</t>
        </is>
      </c>
      <c r="I881" s="37" t="inlineStr">
        <is>
          <t>10+</t>
        </is>
      </c>
      <c r="J881" s="11">
        <f>IFERROR(INDEX('Уроки'!$H:$H,MATCH(F881,'Уроки'!$A:$A,0)),"")</f>
        <v/>
      </c>
      <c r="K881" s="11">
        <f>IFERROR(INDEX('Уроки'!$J:$J,MATCH(F881,'Уроки'!$A:$A,0)),"")</f>
        <v/>
      </c>
      <c r="L881" s="11" t="inlineStr">
        <is>
          <t>Spotlight / 9 класс / Module 1 · Celebrations / Present Simple / Present Simple: значение — постоянные состояния и действия</t>
        </is>
      </c>
    </row>
    <row r="882">
      <c r="A882" s="37" t="n">
        <v>9</v>
      </c>
      <c r="B882" s="11" t="inlineStr">
        <is>
          <t>Module 1 · Celebrations</t>
        </is>
      </c>
      <c r="C882" s="11" t="inlineStr">
        <is>
          <t>1c</t>
        </is>
      </c>
      <c r="D882" s="11" t="inlineStr">
        <is>
          <t>Present Simple</t>
        </is>
      </c>
      <c r="E882" s="33" t="inlineStr">
        <is>
          <t>Present Simple: значение — расписания и программы (будущее по расписанию)</t>
        </is>
      </c>
      <c r="F882" s="11" t="inlineStr">
        <is>
          <t>Ст-034</t>
        </is>
      </c>
      <c r="G882" s="37" t="inlineStr">
        <is>
          <t>повторение</t>
        </is>
      </c>
      <c r="H882" s="11" t="inlineStr">
        <is>
          <t>The play starts at 8:00</t>
        </is>
      </c>
      <c r="I882" s="37" t="inlineStr">
        <is>
          <t>10+</t>
        </is>
      </c>
      <c r="J882" s="11">
        <f>IFERROR(INDEX('Уроки'!$H:$H,MATCH(F882,'Уроки'!$A:$A,0)),"")</f>
        <v/>
      </c>
      <c r="K882" s="11">
        <f>IFERROR(INDEX('Уроки'!$J:$J,MATCH(F882,'Уроки'!$A:$A,0)),"")</f>
        <v/>
      </c>
      <c r="L882" s="11" t="inlineStr">
        <is>
          <t>Spotlight / 9 класс / Module 1 · Celebrations / Present Simple / Present Simple: значение — расписания и программы (будущее по расписанию)</t>
        </is>
      </c>
    </row>
    <row r="883">
      <c r="A883" s="37" t="n">
        <v>9</v>
      </c>
      <c r="B883" s="11" t="inlineStr">
        <is>
          <t>Module 1 · Celebrations</t>
        </is>
      </c>
      <c r="C883" s="11" t="inlineStr">
        <is>
          <t>1c</t>
        </is>
      </c>
      <c r="D883" s="11" t="inlineStr">
        <is>
          <t>Present Simple</t>
        </is>
      </c>
      <c r="E883" s="35" t="inlineStr">
        <is>
          <t>Present Simple: значение — обзоры, спортивные комментарии, повествование</t>
        </is>
      </c>
      <c r="F883" s="11" t="inlineStr">
        <is>
          <t>Ст-036</t>
        </is>
      </c>
      <c r="G883" s="37" t="inlineStr">
        <is>
          <t>повторение</t>
        </is>
      </c>
      <c r="H883" s="11" t="inlineStr">
        <is>
          <t>Meryl Streep acts beautifully</t>
        </is>
      </c>
      <c r="I883" s="37" t="inlineStr">
        <is>
          <t>10+</t>
        </is>
      </c>
      <c r="J883" s="11">
        <f>IFERROR(INDEX('Уроки'!$H:$H,MATCH(F883,'Уроки'!$A:$A,0)),"")</f>
        <v/>
      </c>
      <c r="K883" s="11">
        <f>IFERROR(INDEX('Уроки'!$J:$J,MATCH(F883,'Уроки'!$A:$A,0)),"")</f>
        <v/>
      </c>
      <c r="L883" s="11" t="inlineStr">
        <is>
          <t>Spotlight / 9 класс / Module 1 · Celebrations / Present Simple / Present Simple: значение — обзоры, спортивные комментарии, повествование</t>
        </is>
      </c>
    </row>
    <row r="884">
      <c r="A884" s="37" t="n">
        <v>9</v>
      </c>
      <c r="B884" s="11" t="inlineStr">
        <is>
          <t>Module 1 · Celebrations</t>
        </is>
      </c>
      <c r="C884" s="11" t="inlineStr">
        <is>
          <t>1c</t>
        </is>
      </c>
      <c r="D884" s="11" t="inlineStr">
        <is>
          <t>Present Simple</t>
        </is>
      </c>
      <c r="E884" s="35" t="inlineStr">
        <is>
          <t>Present Simple: значение — восклицания (Here comes …!)</t>
        </is>
      </c>
      <c r="F884" s="11" t="inlineStr">
        <is>
          <t>Ст-037</t>
        </is>
      </c>
      <c r="G884" s="40" t="inlineStr">
        <is>
          <t>новое</t>
        </is>
      </c>
      <c r="H884" s="11" t="inlineStr">
        <is>
          <t>Here comes Elaine!</t>
        </is>
      </c>
      <c r="I884" s="37" t="inlineStr">
        <is>
          <t>10+</t>
        </is>
      </c>
      <c r="J884" s="11">
        <f>IFERROR(INDEX('Уроки'!$H:$H,MATCH(F884,'Уроки'!$A:$A,0)),"")</f>
        <v/>
      </c>
      <c r="K884" s="11">
        <f>IFERROR(INDEX('Уроки'!$J:$J,MATCH(F884,'Уроки'!$A:$A,0)),"")</f>
        <v/>
      </c>
      <c r="L884" s="11" t="inlineStr">
        <is>
          <t>Spotlight / 9 класс / Module 1 · Celebrations / Present Simple / Present Simple: значение — восклицания (Here comes …!)</t>
        </is>
      </c>
    </row>
    <row r="885">
      <c r="A885" s="37" t="n">
        <v>9</v>
      </c>
      <c r="B885" s="11" t="inlineStr">
        <is>
          <t>Module 1 · Celebrations</t>
        </is>
      </c>
      <c r="C885" s="11" t="inlineStr">
        <is>
          <t>1c</t>
        </is>
      </c>
      <c r="D885" s="11" t="inlineStr">
        <is>
          <t>Present Simple vs Present Continuous</t>
        </is>
      </c>
      <c r="E885" s="35" t="inlineStr">
        <is>
          <t>Present Simple vs Present Continuous: постоянное состояние vs временная ситуация</t>
        </is>
      </c>
      <c r="F885" s="11" t="inlineStr">
        <is>
          <t>Ст-052</t>
        </is>
      </c>
      <c r="G885" s="37" t="inlineStr">
        <is>
          <t>повторение</t>
        </is>
      </c>
      <c r="H885" s="11" t="inlineStr"/>
      <c r="I885" s="37" t="inlineStr">
        <is>
          <t>10+</t>
        </is>
      </c>
      <c r="J885" s="11">
        <f>IFERROR(INDEX('Уроки'!$H:$H,MATCH(F885,'Уроки'!$A:$A,0)),"")</f>
        <v/>
      </c>
      <c r="K885" s="11">
        <f>IFERROR(INDEX('Уроки'!$J:$J,MATCH(F885,'Уроки'!$A:$A,0)),"")</f>
        <v/>
      </c>
      <c r="L885" s="11" t="inlineStr">
        <is>
          <t>Spotlight / 9 класс / Module 1 · Celebrations / Present Simple vs Present Continuous / Present Simple vs Present Continuous: постоянное состояние vs временная ситуация</t>
        </is>
      </c>
    </row>
    <row r="886">
      <c r="A886" s="37" t="n">
        <v>9</v>
      </c>
      <c r="B886" s="11" t="inlineStr">
        <is>
          <t>Module 1 · Celebrations</t>
        </is>
      </c>
      <c r="C886" s="11" t="inlineStr">
        <is>
          <t>1c</t>
        </is>
      </c>
      <c r="D886" s="11" t="inlineStr">
        <is>
          <t>Present Simple vs Present Continuous</t>
        </is>
      </c>
      <c r="E886" s="35" t="inlineStr">
        <is>
          <t>Present Simple vs Present Continuous: повторяющиеся действия vs настоящий период (these days)</t>
        </is>
      </c>
      <c r="F886" s="11" t="inlineStr">
        <is>
          <t>Ст-053</t>
        </is>
      </c>
      <c r="G886" s="37" t="inlineStr">
        <is>
          <t>повторение</t>
        </is>
      </c>
      <c r="H886" s="11" t="inlineStr"/>
      <c r="I886" s="37" t="inlineStr">
        <is>
          <t>10+</t>
        </is>
      </c>
      <c r="J886" s="11">
        <f>IFERROR(INDEX('Уроки'!$H:$H,MATCH(F886,'Уроки'!$A:$A,0)),"")</f>
        <v/>
      </c>
      <c r="K886" s="11">
        <f>IFERROR(INDEX('Уроки'!$J:$J,MATCH(F886,'Уроки'!$A:$A,0)),"")</f>
        <v/>
      </c>
      <c r="L886" s="11" t="inlineStr">
        <is>
          <t>Spotlight / 9 класс / Module 1 · Celebrations / Present Simple vs Present Continuous / Present Simple vs Present Continuous: повторяющиеся действия vs настоящий период (these days)</t>
        </is>
      </c>
    </row>
    <row r="887">
      <c r="A887" s="37" t="n">
        <v>9</v>
      </c>
      <c r="B887" s="11" t="inlineStr">
        <is>
          <t>Module 1 · Celebrations</t>
        </is>
      </c>
      <c r="C887" s="11" t="inlineStr">
        <is>
          <t>1c</t>
        </is>
      </c>
      <c r="D887" s="11" t="inlineStr">
        <is>
          <t>Present Simple vs Present Continuous</t>
        </is>
      </c>
      <c r="E887" s="35" t="inlineStr">
        <is>
          <t>Present Simple vs Present Continuous: будущее — расписание vs договорённость</t>
        </is>
      </c>
      <c r="F887" s="11" t="inlineStr">
        <is>
          <t>Ст-054</t>
        </is>
      </c>
      <c r="G887" s="37" t="inlineStr">
        <is>
          <t>повторение</t>
        </is>
      </c>
      <c r="H887" s="11" t="inlineStr"/>
      <c r="I887" s="37" t="inlineStr">
        <is>
          <t>10+</t>
        </is>
      </c>
      <c r="J887" s="11">
        <f>IFERROR(INDEX('Уроки'!$H:$H,MATCH(F887,'Уроки'!$A:$A,0)),"")</f>
        <v/>
      </c>
      <c r="K887" s="11">
        <f>IFERROR(INDEX('Уроки'!$J:$J,MATCH(F887,'Уроки'!$A:$A,0)),"")</f>
        <v/>
      </c>
      <c r="L887" s="11" t="inlineStr">
        <is>
          <t>Spotlight / 9 класс / Module 1 · Celebrations / Present Simple vs Present Continuous / Present Simple vs Present Continuous: будущее — расписание vs договорённость</t>
        </is>
      </c>
    </row>
    <row r="888">
      <c r="A888" s="37" t="n">
        <v>9</v>
      </c>
      <c r="B888" s="11" t="inlineStr">
        <is>
          <t>Module 1 · Celebrations</t>
        </is>
      </c>
      <c r="C888" s="11" t="inlineStr">
        <is>
          <t>1c</t>
        </is>
      </c>
      <c r="D888" s="11" t="inlineStr">
        <is>
          <t>Present Perfect</t>
        </is>
      </c>
      <c r="E888" s="33" t="inlineStr">
        <is>
          <t>Present Perfect: утверждение (have/has + V3)</t>
        </is>
      </c>
      <c r="F888" s="11" t="inlineStr">
        <is>
          <t>Ст-062</t>
        </is>
      </c>
      <c r="G888" s="37" t="inlineStr">
        <is>
          <t>повторение</t>
        </is>
      </c>
      <c r="H888" s="11" t="inlineStr"/>
      <c r="I888" s="37" t="inlineStr">
        <is>
          <t>10+</t>
        </is>
      </c>
      <c r="J888" s="11">
        <f>IFERROR(INDEX('Уроки'!$H:$H,MATCH(F888,'Уроки'!$A:$A,0)),"")</f>
        <v/>
      </c>
      <c r="K888" s="11">
        <f>IFERROR(INDEX('Уроки'!$J:$J,MATCH(F888,'Уроки'!$A:$A,0)),"")</f>
        <v/>
      </c>
      <c r="L888" s="11" t="inlineStr">
        <is>
          <t>Spotlight / 9 класс / Module 1 · Celebrations / Present Perfect / Present Perfect: утверждение (have/has + V3)</t>
        </is>
      </c>
    </row>
    <row r="889">
      <c r="A889" s="37" t="n">
        <v>9</v>
      </c>
      <c r="B889" s="11" t="inlineStr">
        <is>
          <t>Module 1 · Celebrations</t>
        </is>
      </c>
      <c r="C889" s="11" t="inlineStr">
        <is>
          <t>1c</t>
        </is>
      </c>
      <c r="D889" s="11" t="inlineStr">
        <is>
          <t>Present Perfect</t>
        </is>
      </c>
      <c r="E889" s="34" t="inlineStr">
        <is>
          <t>Present Perfect: V3 правильных глаголов (-ed, орфография)</t>
        </is>
      </c>
      <c r="F889" s="11" t="inlineStr">
        <is>
          <t>Ст-065</t>
        </is>
      </c>
      <c r="G889" s="37" t="inlineStr">
        <is>
          <t>повторение</t>
        </is>
      </c>
      <c r="H889" s="11" t="inlineStr">
        <is>
          <t>-ed</t>
        </is>
      </c>
      <c r="I889" s="37" t="inlineStr">
        <is>
          <t>10+</t>
        </is>
      </c>
      <c r="J889" s="11">
        <f>IFERROR(INDEX('Уроки'!$H:$H,MATCH(F889,'Уроки'!$A:$A,0)),"")</f>
        <v/>
      </c>
      <c r="K889" s="11">
        <f>IFERROR(INDEX('Уроки'!$J:$J,MATCH(F889,'Уроки'!$A:$A,0)),"")</f>
        <v/>
      </c>
      <c r="L889" s="11" t="inlineStr">
        <is>
          <t>Spotlight / 9 класс / Module 1 · Celebrations / Present Perfect / Present Perfect: V3 правильных глаголов (-ed, орфография)</t>
        </is>
      </c>
    </row>
    <row r="890">
      <c r="A890" s="37" t="n">
        <v>9</v>
      </c>
      <c r="B890" s="11" t="inlineStr">
        <is>
          <t>Module 1 · Celebrations</t>
        </is>
      </c>
      <c r="C890" s="11" t="inlineStr">
        <is>
          <t>1c</t>
        </is>
      </c>
      <c r="D890" s="11" t="inlineStr">
        <is>
          <t>Present Perfect</t>
        </is>
      </c>
      <c r="E890" s="34" t="inlineStr">
        <is>
          <t>Present Perfect: V3 неправильных глаголов</t>
        </is>
      </c>
      <c r="F890" s="11" t="inlineStr">
        <is>
          <t>Ст-066</t>
        </is>
      </c>
      <c r="G890" s="37" t="inlineStr">
        <is>
          <t>повторение</t>
        </is>
      </c>
      <c r="H890" s="11" t="inlineStr">
        <is>
          <t>3-я форма по таблице</t>
        </is>
      </c>
      <c r="I890" s="37" t="inlineStr">
        <is>
          <t>10+</t>
        </is>
      </c>
      <c r="J890" s="11">
        <f>IFERROR(INDEX('Уроки'!$H:$H,MATCH(F890,'Уроки'!$A:$A,0)),"")</f>
        <v/>
      </c>
      <c r="K890" s="11">
        <f>IFERROR(INDEX('Уроки'!$J:$J,MATCH(F890,'Уроки'!$A:$A,0)),"")</f>
        <v/>
      </c>
      <c r="L890" s="11" t="inlineStr">
        <is>
          <t>Spotlight / 9 класс / Module 1 · Celebrations / Present Perfect / Present Perfect: V3 неправильных глаголов</t>
        </is>
      </c>
    </row>
    <row r="891">
      <c r="A891" s="37" t="n">
        <v>9</v>
      </c>
      <c r="B891" s="11" t="inlineStr">
        <is>
          <t>Module 1 · Celebrations</t>
        </is>
      </c>
      <c r="C891" s="11" t="inlineStr">
        <is>
          <t>1c</t>
        </is>
      </c>
      <c r="D891" s="11" t="inlineStr">
        <is>
          <t>Present Perfect</t>
        </is>
      </c>
      <c r="E891" s="33" t="inlineStr">
        <is>
          <t>Present Perfect: значение — жизненный опыт, перемены (ever/never)</t>
        </is>
      </c>
      <c r="F891" s="11" t="inlineStr">
        <is>
          <t>Ст-067</t>
        </is>
      </c>
      <c r="G891" s="37" t="inlineStr">
        <is>
          <t>повторение</t>
        </is>
      </c>
      <c r="H891" s="11" t="inlineStr">
        <is>
          <t>личный опыт, перемены</t>
        </is>
      </c>
      <c r="I891" s="37" t="inlineStr">
        <is>
          <t>10+</t>
        </is>
      </c>
      <c r="J891" s="11">
        <f>IFERROR(INDEX('Уроки'!$H:$H,MATCH(F891,'Уроки'!$A:$A,0)),"")</f>
        <v/>
      </c>
      <c r="K891" s="11">
        <f>IFERROR(INDEX('Уроки'!$J:$J,MATCH(F891,'Уроки'!$A:$A,0)),"")</f>
        <v/>
      </c>
      <c r="L891" s="11" t="inlineStr">
        <is>
          <t>Spotlight / 9 класс / Module 1 · Celebrations / Present Perfect / Present Perfect: значение — жизненный опыт, перемены (ever/never)</t>
        </is>
      </c>
    </row>
    <row r="892">
      <c r="A892" s="37" t="n">
        <v>9</v>
      </c>
      <c r="B892" s="11" t="inlineStr">
        <is>
          <t>Module 1 · Celebrations</t>
        </is>
      </c>
      <c r="C892" s="11" t="inlineStr">
        <is>
          <t>1c</t>
        </is>
      </c>
      <c r="D892" s="11" t="inlineStr">
        <is>
          <t>Present Perfect</t>
        </is>
      </c>
      <c r="E892" s="33" t="inlineStr">
        <is>
          <t>Present Perfect: значение — результат в настоящем</t>
        </is>
      </c>
      <c r="F892" s="11" t="inlineStr">
        <is>
          <t>Ст-068</t>
        </is>
      </c>
      <c r="G892" s="37" t="inlineStr">
        <is>
          <t>повторение</t>
        </is>
      </c>
      <c r="H892" s="11" t="inlineStr"/>
      <c r="I892" s="37" t="inlineStr">
        <is>
          <t>10+</t>
        </is>
      </c>
      <c r="J892" s="11">
        <f>IFERROR(INDEX('Уроки'!$H:$H,MATCH(F892,'Уроки'!$A:$A,0)),"")</f>
        <v/>
      </c>
      <c r="K892" s="11">
        <f>IFERROR(INDEX('Уроки'!$J:$J,MATCH(F892,'Уроки'!$A:$A,0)),"")</f>
        <v/>
      </c>
      <c r="L892" s="11" t="inlineStr">
        <is>
          <t>Spotlight / 9 класс / Module 1 · Celebrations / Present Perfect / Present Perfect: значение — результат в настоящем</t>
        </is>
      </c>
    </row>
    <row r="893">
      <c r="A893" s="37" t="n">
        <v>9</v>
      </c>
      <c r="B893" s="11" t="inlineStr">
        <is>
          <t>Module 1 · Celebrations</t>
        </is>
      </c>
      <c r="C893" s="11" t="inlineStr">
        <is>
          <t>1c</t>
        </is>
      </c>
      <c r="D893" s="11" t="inlineStr">
        <is>
          <t>Present Perfect</t>
        </is>
      </c>
      <c r="E893" s="33" t="inlineStr">
        <is>
          <t>Present Perfect: значение — недавно завершённое действие (just)</t>
        </is>
      </c>
      <c r="F893" s="11" t="inlineStr">
        <is>
          <t>Ст-069</t>
        </is>
      </c>
      <c r="G893" s="37" t="inlineStr">
        <is>
          <t>повторение</t>
        </is>
      </c>
      <c r="H893" s="11" t="inlineStr"/>
      <c r="I893" s="37" t="inlineStr">
        <is>
          <t>10+</t>
        </is>
      </c>
      <c r="J893" s="11">
        <f>IFERROR(INDEX('Уроки'!$H:$H,MATCH(F893,'Уроки'!$A:$A,0)),"")</f>
        <v/>
      </c>
      <c r="K893" s="11">
        <f>IFERROR(INDEX('Уроки'!$J:$J,MATCH(F893,'Уроки'!$A:$A,0)),"")</f>
        <v/>
      </c>
      <c r="L893" s="11" t="inlineStr">
        <is>
          <t>Spotlight / 9 класс / Module 1 · Celebrations / Present Perfect / Present Perfect: значение — недавно завершённое действие (just)</t>
        </is>
      </c>
    </row>
    <row r="894">
      <c r="A894" s="37" t="n">
        <v>9</v>
      </c>
      <c r="B894" s="11" t="inlineStr">
        <is>
          <t>Module 1 · Celebrations</t>
        </is>
      </c>
      <c r="C894" s="11" t="inlineStr">
        <is>
          <t>1c</t>
        </is>
      </c>
      <c r="D894" s="11" t="inlineStr">
        <is>
          <t>Present Perfect</t>
        </is>
      </c>
      <c r="E894" s="35" t="inlineStr">
        <is>
          <t>Present Perfect: значение — неуказанное время в прошлом</t>
        </is>
      </c>
      <c r="F894" s="11" t="inlineStr">
        <is>
          <t>Ст-070</t>
        </is>
      </c>
      <c r="G894" s="37" t="inlineStr">
        <is>
          <t>повторение</t>
        </is>
      </c>
      <c r="H894" s="11" t="inlineStr">
        <is>
          <t>важно действие, а не время</t>
        </is>
      </c>
      <c r="I894" s="37" t="inlineStr">
        <is>
          <t>10+</t>
        </is>
      </c>
      <c r="J894" s="11">
        <f>IFERROR(INDEX('Уроки'!$H:$H,MATCH(F894,'Уроки'!$A:$A,0)),"")</f>
        <v/>
      </c>
      <c r="K894" s="11">
        <f>IFERROR(INDEX('Уроки'!$J:$J,MATCH(F894,'Уроки'!$A:$A,0)),"")</f>
        <v/>
      </c>
      <c r="L894" s="11" t="inlineStr">
        <is>
          <t>Spotlight / 9 класс / Module 1 · Celebrations / Present Perfect / Present Perfect: значение — неуказанное время в прошлом</t>
        </is>
      </c>
    </row>
    <row r="895">
      <c r="A895" s="37" t="n">
        <v>9</v>
      </c>
      <c r="B895" s="11" t="inlineStr">
        <is>
          <t>Module 1 · Celebrations</t>
        </is>
      </c>
      <c r="C895" s="11" t="inlineStr">
        <is>
          <t>1c</t>
        </is>
      </c>
      <c r="D895" s="11" t="inlineStr">
        <is>
          <t>Present Perfect</t>
        </is>
      </c>
      <c r="E895" s="33" t="inlineStr">
        <is>
          <t>Present Perfect: значение — с прошлого до настоящего (stative verbs, for/since)</t>
        </is>
      </c>
      <c r="F895" s="11" t="inlineStr">
        <is>
          <t>Ст-071</t>
        </is>
      </c>
      <c r="G895" s="37" t="inlineStr">
        <is>
          <t>повторение</t>
        </is>
      </c>
      <c r="H895" s="11" t="inlineStr">
        <is>
          <t>know, be, have, possess, own</t>
        </is>
      </c>
      <c r="I895" s="37" t="inlineStr">
        <is>
          <t>10+</t>
        </is>
      </c>
      <c r="J895" s="11">
        <f>IFERROR(INDEX('Уроки'!$H:$H,MATCH(F895,'Уроки'!$A:$A,0)),"")</f>
        <v/>
      </c>
      <c r="K895" s="11">
        <f>IFERROR(INDEX('Уроки'!$J:$J,MATCH(F895,'Уроки'!$A:$A,0)),"")</f>
        <v/>
      </c>
      <c r="L895" s="11" t="inlineStr">
        <is>
          <t>Spotlight / 9 класс / Module 1 · Celebrations / Present Perfect / Present Perfect: значение — с прошлого до настоящего (stative verbs, for/since)</t>
        </is>
      </c>
    </row>
    <row r="896">
      <c r="A896" s="37" t="n">
        <v>9</v>
      </c>
      <c r="B896" s="11" t="inlineStr">
        <is>
          <t>Module 1 · Celebrations</t>
        </is>
      </c>
      <c r="C896" s="11" t="inlineStr">
        <is>
          <t>1c</t>
        </is>
      </c>
      <c r="D896" s="11" t="inlineStr">
        <is>
          <t>Present Perfect</t>
        </is>
      </c>
      <c r="E896" s="34" t="inlineStr">
        <is>
          <t>Present Perfect: значение — незаконченный период (today, this week, so far)</t>
        </is>
      </c>
      <c r="F896" s="11" t="inlineStr">
        <is>
          <t>Ст-072</t>
        </is>
      </c>
      <c r="G896" s="37" t="inlineStr">
        <is>
          <t>повторение</t>
        </is>
      </c>
      <c r="H896" s="11" t="inlineStr">
        <is>
          <t>today, this morning/week, so far</t>
        </is>
      </c>
      <c r="I896" s="37" t="inlineStr">
        <is>
          <t>10+</t>
        </is>
      </c>
      <c r="J896" s="11">
        <f>IFERROR(INDEX('Уроки'!$H:$H,MATCH(F896,'Уроки'!$A:$A,0)),"")</f>
        <v/>
      </c>
      <c r="K896" s="11">
        <f>IFERROR(INDEX('Уроки'!$J:$J,MATCH(F896,'Уроки'!$A:$A,0)),"")</f>
        <v/>
      </c>
      <c r="L896" s="11" t="inlineStr">
        <is>
          <t>Spotlight / 9 класс / Module 1 · Celebrations / Present Perfect / Present Perfect: значение — незаконченный период (today, this week, so far)</t>
        </is>
      </c>
    </row>
    <row r="897">
      <c r="A897" s="37" t="n">
        <v>9</v>
      </c>
      <c r="B897" s="11" t="inlineStr">
        <is>
          <t>Module 1 · Celebrations</t>
        </is>
      </c>
      <c r="C897" s="11" t="inlineStr">
        <is>
          <t>1c</t>
        </is>
      </c>
      <c r="D897" s="11" t="inlineStr">
        <is>
          <t>Present Perfect</t>
        </is>
      </c>
      <c r="E897" s="35" t="inlineStr">
        <is>
          <t>Present Perfect: значение — акцент на количестве (seven times this week)</t>
        </is>
      </c>
      <c r="F897" s="11" t="inlineStr">
        <is>
          <t>Ст-073</t>
        </is>
      </c>
      <c r="G897" s="40" t="inlineStr">
        <is>
          <t>новое</t>
        </is>
      </c>
      <c r="H897" s="11" t="inlineStr">
        <is>
          <t>two cups of coffee today; seven times this week</t>
        </is>
      </c>
      <c r="I897" s="37" t="inlineStr">
        <is>
          <t>10+</t>
        </is>
      </c>
      <c r="J897" s="11">
        <f>IFERROR(INDEX('Уроки'!$H:$H,MATCH(F897,'Уроки'!$A:$A,0)),"")</f>
        <v/>
      </c>
      <c r="K897" s="11">
        <f>IFERROR(INDEX('Уроки'!$J:$J,MATCH(F897,'Уроки'!$A:$A,0)),"")</f>
        <v/>
      </c>
      <c r="L897" s="11" t="inlineStr">
        <is>
          <t>Spotlight / 9 класс / Module 1 · Celebrations / Present Perfect / Present Perfect: значение — акцент на количестве (seven times this week)</t>
        </is>
      </c>
    </row>
    <row r="898">
      <c r="A898" s="37" t="n">
        <v>9</v>
      </c>
      <c r="B898" s="11" t="inlineStr">
        <is>
          <t>Module 1 · Celebrations</t>
        </is>
      </c>
      <c r="C898" s="11" t="inlineStr">
        <is>
          <t>1c</t>
        </is>
      </c>
      <c r="D898" s="11" t="inlineStr">
        <is>
          <t>Present Perfect</t>
        </is>
      </c>
      <c r="E898" s="33" t="inlineStr">
        <is>
          <t>Present Perfect: слова-маркеры already / yet / just / ever / never</t>
        </is>
      </c>
      <c r="F898" s="11" t="inlineStr">
        <is>
          <t>Ст-074</t>
        </is>
      </c>
      <c r="G898" s="37" t="inlineStr">
        <is>
          <t>повторение</t>
        </is>
      </c>
      <c r="H898" s="11" t="inlineStr">
        <is>
          <t>just, already, yet, ever, never, for, since</t>
        </is>
      </c>
      <c r="I898" s="37" t="inlineStr">
        <is>
          <t>10+</t>
        </is>
      </c>
      <c r="J898" s="11">
        <f>IFERROR(INDEX('Уроки'!$H:$H,MATCH(F898,'Уроки'!$A:$A,0)),"")</f>
        <v/>
      </c>
      <c r="K898" s="11">
        <f>IFERROR(INDEX('Уроки'!$J:$J,MATCH(F898,'Уроки'!$A:$A,0)),"")</f>
        <v/>
      </c>
      <c r="L898" s="11" t="inlineStr">
        <is>
          <t>Spotlight / 9 класс / Module 1 · Celebrations / Present Perfect / Present Perfect: слова-маркеры already / yet / just / ever / never</t>
        </is>
      </c>
    </row>
    <row r="899">
      <c r="A899" s="37" t="n">
        <v>9</v>
      </c>
      <c r="B899" s="11" t="inlineStr">
        <is>
          <t>Module 1 · Celebrations</t>
        </is>
      </c>
      <c r="C899" s="11" t="inlineStr">
        <is>
          <t>1c</t>
        </is>
      </c>
      <c r="D899" s="11" t="inlineStr">
        <is>
          <t>Stative verbs</t>
        </is>
      </c>
      <c r="E899" s="33" t="inlineStr">
        <is>
          <t>Stative verbs: группы глаголов (восприятие, мышление, чувства, прочие)</t>
        </is>
      </c>
      <c r="F899" s="11" t="inlineStr">
        <is>
          <t>Ст-076</t>
        </is>
      </c>
      <c r="G899" s="37" t="inlineStr">
        <is>
          <t>повторение</t>
        </is>
      </c>
      <c r="H899" s="11" t="inlineStr"/>
      <c r="I899" s="37" t="inlineStr">
        <is>
          <t>10+</t>
        </is>
      </c>
      <c r="J899" s="11">
        <f>IFERROR(INDEX('Уроки'!$H:$H,MATCH(F899,'Уроки'!$A:$A,0)),"")</f>
        <v/>
      </c>
      <c r="K899" s="11">
        <f>IFERROR(INDEX('Уроки'!$J:$J,MATCH(F899,'Уроки'!$A:$A,0)),"")</f>
        <v/>
      </c>
      <c r="L899" s="11" t="inlineStr">
        <is>
          <t>Spotlight / 9 класс / Module 1 · Celebrations / Stative verbs / Stative verbs: группы глаголов (восприятие, мышление, чувства, прочие)</t>
        </is>
      </c>
    </row>
    <row r="900">
      <c r="A900" s="37" t="n">
        <v>9</v>
      </c>
      <c r="B900" s="11" t="inlineStr">
        <is>
          <t>Module 1 · Celebrations</t>
        </is>
      </c>
      <c r="C900" s="11" t="inlineStr">
        <is>
          <t>1c</t>
        </is>
      </c>
      <c r="D900" s="11" t="inlineStr">
        <is>
          <t>Stative verbs</t>
        </is>
      </c>
      <c r="E900" s="33" t="inlineStr">
        <is>
          <t>Stative verbs: разное значение в Simple и Continuous (think, have, see, taste…)</t>
        </is>
      </c>
      <c r="F900" s="11" t="inlineStr">
        <is>
          <t>Ст-077</t>
        </is>
      </c>
      <c r="G900" s="37" t="inlineStr">
        <is>
          <t>повторение</t>
        </is>
      </c>
      <c r="H900" s="11" t="inlineStr"/>
      <c r="I900" s="37" t="inlineStr">
        <is>
          <t>10+</t>
        </is>
      </c>
      <c r="J900" s="11">
        <f>IFERROR(INDEX('Уроки'!$H:$H,MATCH(F900,'Уроки'!$A:$A,0)),"")</f>
        <v/>
      </c>
      <c r="K900" s="11">
        <f>IFERROR(INDEX('Уроки'!$J:$J,MATCH(F900,'Уроки'!$A:$A,0)),"")</f>
        <v/>
      </c>
      <c r="L900" s="11" t="inlineStr">
        <is>
          <t>Spotlight / 9 класс / Module 1 · Celebrations / Stative verbs / Stative verbs: разное значение в Simple и Continuous (think, have, see, taste…)</t>
        </is>
      </c>
    </row>
    <row r="901">
      <c r="A901" s="37" t="n">
        <v>9</v>
      </c>
      <c r="B901" s="11" t="inlineStr">
        <is>
          <t>Module 1 · Celebrations</t>
        </is>
      </c>
      <c r="C901" s="11" t="inlineStr">
        <is>
          <t>1c</t>
        </is>
      </c>
      <c r="D901" s="11" t="inlineStr">
        <is>
          <t>Stative verbs</t>
        </is>
      </c>
      <c r="E901" s="35" t="inlineStr">
        <is>
          <t>Stative verbs: look, feel, hurt, ache — Simple = Continuous</t>
        </is>
      </c>
      <c r="F901" s="11" t="inlineStr">
        <is>
          <t>Ст-078</t>
        </is>
      </c>
      <c r="G901" s="37" t="inlineStr">
        <is>
          <t>повторение</t>
        </is>
      </c>
      <c r="H901" s="11" t="inlineStr"/>
      <c r="I901" s="37" t="inlineStr">
        <is>
          <t>10+</t>
        </is>
      </c>
      <c r="J901" s="11">
        <f>IFERROR(INDEX('Уроки'!$H:$H,MATCH(F901,'Уроки'!$A:$A,0)),"")</f>
        <v/>
      </c>
      <c r="K901" s="11">
        <f>IFERROR(INDEX('Уроки'!$J:$J,MATCH(F901,'Уроки'!$A:$A,0)),"")</f>
        <v/>
      </c>
      <c r="L901" s="11" t="inlineStr">
        <is>
          <t>Spotlight / 9 класс / Module 1 · Celebrations / Stative verbs / Stative verbs: look, feel, hurt, ache — Simple = Continuous</t>
        </is>
      </c>
    </row>
    <row r="902">
      <c r="A902" s="37" t="n">
        <v>9</v>
      </c>
      <c r="B902" s="11" t="inlineStr">
        <is>
          <t>Module 1 · Celebrations</t>
        </is>
      </c>
      <c r="C902" s="11" t="inlineStr">
        <is>
          <t>1c</t>
        </is>
      </c>
      <c r="D902" s="11" t="inlineStr">
        <is>
          <t>Stative verbs</t>
        </is>
      </c>
      <c r="E902" s="35" t="inlineStr">
        <is>
          <t>Stative verbs: enjoy в Continuous — конкретное удовольствие</t>
        </is>
      </c>
      <c r="F902" s="11" t="inlineStr">
        <is>
          <t>Ст-079</t>
        </is>
      </c>
      <c r="G902" s="37" t="inlineStr">
        <is>
          <t>повторение</t>
        </is>
      </c>
      <c r="H902" s="11" t="inlineStr"/>
      <c r="I902" s="37" t="inlineStr">
        <is>
          <t>10+</t>
        </is>
      </c>
      <c r="J902" s="11">
        <f>IFERROR(INDEX('Уроки'!$H:$H,MATCH(F902,'Уроки'!$A:$A,0)),"")</f>
        <v/>
      </c>
      <c r="K902" s="11">
        <f>IFERROR(INDEX('Уроки'!$J:$J,MATCH(F902,'Уроки'!$A:$A,0)),"")</f>
        <v/>
      </c>
      <c r="L902" s="11" t="inlineStr">
        <is>
          <t>Spotlight / 9 класс / Module 1 · Celebrations / Stative verbs / Stative verbs: enjoy в Continuous — конкретное удовольствие</t>
        </is>
      </c>
    </row>
    <row r="903">
      <c r="A903" s="37" t="n">
        <v>9</v>
      </c>
      <c r="B903" s="11" t="inlineStr">
        <is>
          <t>Module 1 · Celebrations</t>
        </is>
      </c>
      <c r="C903" s="11" t="inlineStr">
        <is>
          <t>1c</t>
        </is>
      </c>
      <c r="D903" s="11" t="inlineStr">
        <is>
          <t>Present Perfect Continuous</t>
        </is>
      </c>
      <c r="E903" s="33" t="inlineStr">
        <is>
          <t>Present Perfect Continuous: образование (have/has been + V-ing)</t>
        </is>
      </c>
      <c r="F903" s="11" t="inlineStr">
        <is>
          <t>Ст-095</t>
        </is>
      </c>
      <c r="G903" s="37" t="inlineStr">
        <is>
          <t>повторение</t>
        </is>
      </c>
      <c r="H903" s="11" t="inlineStr"/>
      <c r="I903" s="37" t="inlineStr">
        <is>
          <t>10+</t>
        </is>
      </c>
      <c r="J903" s="11">
        <f>IFERROR(INDEX('Уроки'!$H:$H,MATCH(F903,'Уроки'!$A:$A,0)),"")</f>
        <v/>
      </c>
      <c r="K903" s="11">
        <f>IFERROR(INDEX('Уроки'!$J:$J,MATCH(F903,'Уроки'!$A:$A,0)),"")</f>
        <v/>
      </c>
      <c r="L903" s="11" t="inlineStr">
        <is>
          <t>Spotlight / 9 класс / Module 1 · Celebrations / Present Perfect Continuous / Present Perfect Continuous: образование (have/has been + V-ing)</t>
        </is>
      </c>
    </row>
    <row r="904">
      <c r="A904" s="37" t="n">
        <v>9</v>
      </c>
      <c r="B904" s="11" t="inlineStr">
        <is>
          <t>Module 1 · Celebrations</t>
        </is>
      </c>
      <c r="C904" s="11" t="inlineStr">
        <is>
          <t>1c</t>
        </is>
      </c>
      <c r="D904" s="11" t="inlineStr">
        <is>
          <t>Present Perfect Continuous</t>
        </is>
      </c>
      <c r="E904" s="33" t="inlineStr">
        <is>
          <t>Present Perfect Continuous: значение — длительность до настоящего (since/for/how long)</t>
        </is>
      </c>
      <c r="F904" s="11" t="inlineStr">
        <is>
          <t>Ст-096</t>
        </is>
      </c>
      <c r="G904" s="37" t="inlineStr">
        <is>
          <t>повторение</t>
        </is>
      </c>
      <c r="H904" s="11" t="inlineStr">
        <is>
          <t>since, for, how long</t>
        </is>
      </c>
      <c r="I904" s="37" t="inlineStr">
        <is>
          <t>10+</t>
        </is>
      </c>
      <c r="J904" s="11">
        <f>IFERROR(INDEX('Уроки'!$H:$H,MATCH(F904,'Уроки'!$A:$A,0)),"")</f>
        <v/>
      </c>
      <c r="K904" s="11">
        <f>IFERROR(INDEX('Уроки'!$J:$J,MATCH(F904,'Уроки'!$A:$A,0)),"")</f>
        <v/>
      </c>
      <c r="L904" s="11" t="inlineStr">
        <is>
          <t>Spotlight / 9 класс / Module 1 · Celebrations / Present Perfect Continuous / Present Perfect Continuous: значение — длительность до настоящего (since/for/how long)</t>
        </is>
      </c>
    </row>
    <row r="905">
      <c r="A905" s="37" t="n">
        <v>9</v>
      </c>
      <c r="B905" s="11" t="inlineStr">
        <is>
          <t>Module 1 · Celebrations</t>
        </is>
      </c>
      <c r="C905" s="11" t="inlineStr">
        <is>
          <t>1c</t>
        </is>
      </c>
      <c r="D905" s="11" t="inlineStr">
        <is>
          <t>Present Perfect Continuous</t>
        </is>
      </c>
      <c r="E905" s="33" t="inlineStr">
        <is>
          <t>Present Perfect Continuous: значение — видимый результат длительного действия</t>
        </is>
      </c>
      <c r="F905" s="11" t="inlineStr">
        <is>
          <t>Ст-097</t>
        </is>
      </c>
      <c r="G905" s="37" t="inlineStr">
        <is>
          <t>повторение</t>
        </is>
      </c>
      <c r="H905" s="11" t="inlineStr">
        <is>
          <t>может быть завершено</t>
        </is>
      </c>
      <c r="I905" s="37" t="inlineStr">
        <is>
          <t>10+</t>
        </is>
      </c>
      <c r="J905" s="11">
        <f>IFERROR(INDEX('Уроки'!$H:$H,MATCH(F905,'Уроки'!$A:$A,0)),"")</f>
        <v/>
      </c>
      <c r="K905" s="11">
        <f>IFERROR(INDEX('Уроки'!$J:$J,MATCH(F905,'Уроки'!$A:$A,0)),"")</f>
        <v/>
      </c>
      <c r="L905" s="11" t="inlineStr">
        <is>
          <t>Spotlight / 9 класс / Module 1 · Celebrations / Present Perfect Continuous / Present Perfect Continuous: значение — видимый результат длительного действия</t>
        </is>
      </c>
    </row>
    <row r="906">
      <c r="A906" s="37" t="n">
        <v>9</v>
      </c>
      <c r="B906" s="11" t="inlineStr">
        <is>
          <t>Module 1 · Celebrations</t>
        </is>
      </c>
      <c r="C906" s="11" t="inlineStr">
        <is>
          <t>1c</t>
        </is>
      </c>
      <c r="D906" s="11" t="inlineStr">
        <is>
          <t>Present Perfect Continuous</t>
        </is>
      </c>
      <c r="E906" s="35" t="inlineStr">
        <is>
          <t>Present Perfect Continuous: значение — раздражение/критика</t>
        </is>
      </c>
      <c r="F906" s="11" t="inlineStr">
        <is>
          <t>Ст-098</t>
        </is>
      </c>
      <c r="G906" s="40" t="inlineStr">
        <is>
          <t>новое</t>
        </is>
      </c>
      <c r="H906" s="11" t="inlineStr">
        <is>
          <t>раздражение/критика повторяющимся действием</t>
        </is>
      </c>
      <c r="I906" s="37" t="inlineStr">
        <is>
          <t>10+</t>
        </is>
      </c>
      <c r="J906" s="11">
        <f>IFERROR(INDEX('Уроки'!$H:$H,MATCH(F906,'Уроки'!$A:$A,0)),"")</f>
        <v/>
      </c>
      <c r="K906" s="11">
        <f>IFERROR(INDEX('Уроки'!$J:$J,MATCH(F906,'Уроки'!$A:$A,0)),"")</f>
        <v/>
      </c>
      <c r="L906" s="11" t="inlineStr">
        <is>
          <t>Spotlight / 9 класс / Module 1 · Celebrations / Present Perfect Continuous / Present Perfect Continuous: значение — раздражение/критика</t>
        </is>
      </c>
    </row>
    <row r="907">
      <c r="A907" s="37" t="n">
        <v>9</v>
      </c>
      <c r="B907" s="11" t="inlineStr">
        <is>
          <t>Module 1 · Celebrations</t>
        </is>
      </c>
      <c r="C907" s="11" t="inlineStr">
        <is>
          <t>1c</t>
        </is>
      </c>
      <c r="D907" s="11" t="inlineStr">
        <is>
          <t>Present Perfect Continuous</t>
        </is>
      </c>
      <c r="E907" s="35" t="inlineStr">
        <is>
          <t>Present Perfect Continuous: значение — повторяющиеся действия до настоящего</t>
        </is>
      </c>
      <c r="F907" s="11" t="inlineStr">
        <is>
          <t>Ст-099</t>
        </is>
      </c>
      <c r="G907" s="40" t="inlineStr">
        <is>
          <t>новое</t>
        </is>
      </c>
      <c r="H907" s="11" t="inlineStr"/>
      <c r="I907" s="37" t="inlineStr">
        <is>
          <t>10+</t>
        </is>
      </c>
      <c r="J907" s="11">
        <f>IFERROR(INDEX('Уроки'!$H:$H,MATCH(F907,'Уроки'!$A:$A,0)),"")</f>
        <v/>
      </c>
      <c r="K907" s="11">
        <f>IFERROR(INDEX('Уроки'!$J:$J,MATCH(F907,'Уроки'!$A:$A,0)),"")</f>
        <v/>
      </c>
      <c r="L907" s="11" t="inlineStr">
        <is>
          <t>Spotlight / 9 класс / Module 1 · Celebrations / Present Perfect Continuous / Present Perfect Continuous: значение — повторяющиеся действия до настоящего</t>
        </is>
      </c>
    </row>
    <row r="908">
      <c r="A908" s="37" t="n">
        <v>9</v>
      </c>
      <c r="B908" s="11" t="inlineStr">
        <is>
          <t>Module 1 · Celebrations</t>
        </is>
      </c>
      <c r="C908" s="11" t="inlineStr">
        <is>
          <t>1c</t>
        </is>
      </c>
      <c r="D908" s="11" t="inlineStr">
        <is>
          <t>Present Perfect vs Past Simple</t>
        </is>
      </c>
      <c r="E908" s="33" t="inlineStr">
        <is>
          <t>Present Perfect vs Past Simple: указанное время vs неуказанное время</t>
        </is>
      </c>
      <c r="F908" s="11" t="inlineStr">
        <is>
          <t>Ст-101</t>
        </is>
      </c>
      <c r="G908" s="37" t="inlineStr">
        <is>
          <t>повторение</t>
        </is>
      </c>
      <c r="H908" s="11" t="inlineStr"/>
      <c r="I908" s="37" t="inlineStr">
        <is>
          <t>10+</t>
        </is>
      </c>
      <c r="J908" s="11">
        <f>IFERROR(INDEX('Уроки'!$H:$H,MATCH(F908,'Уроки'!$A:$A,0)),"")</f>
        <v/>
      </c>
      <c r="K908" s="11">
        <f>IFERROR(INDEX('Уроки'!$J:$J,MATCH(F908,'Уроки'!$A:$A,0)),"")</f>
        <v/>
      </c>
      <c r="L908" s="11" t="inlineStr">
        <is>
          <t>Spotlight / 9 класс / Module 1 · Celebrations / Present Perfect vs Past Simple / Present Perfect vs Past Simple: указанное время vs неуказанное время</t>
        </is>
      </c>
    </row>
    <row r="909">
      <c r="A909" s="37" t="n">
        <v>9</v>
      </c>
      <c r="B909" s="11" t="inlineStr">
        <is>
          <t>Module 1 · Celebrations</t>
        </is>
      </c>
      <c r="C909" s="11" t="inlineStr">
        <is>
          <t>1c</t>
        </is>
      </c>
      <c r="D909" s="11" t="inlineStr">
        <is>
          <t>Present Perfect vs Past Simple</t>
        </is>
      </c>
      <c r="E909" s="35" t="inlineStr">
        <is>
          <t>Present Perfect vs Past Simple: закончилось в прошлом vs длится до сих пор</t>
        </is>
      </c>
      <c r="F909" s="11" t="inlineStr">
        <is>
          <t>Ст-102</t>
        </is>
      </c>
      <c r="G909" s="37" t="inlineStr">
        <is>
          <t>повторение</t>
        </is>
      </c>
      <c r="H909" s="11" t="inlineStr"/>
      <c r="I909" s="37" t="inlineStr">
        <is>
          <t>10+</t>
        </is>
      </c>
      <c r="J909" s="11">
        <f>IFERROR(INDEX('Уроки'!$H:$H,MATCH(F909,'Уроки'!$A:$A,0)),"")</f>
        <v/>
      </c>
      <c r="K909" s="11">
        <f>IFERROR(INDEX('Уроки'!$J:$J,MATCH(F909,'Уроки'!$A:$A,0)),"")</f>
        <v/>
      </c>
      <c r="L909" s="11" t="inlineStr">
        <is>
          <t>Spotlight / 9 класс / Module 1 · Celebrations / Present Perfect vs Past Simple / Present Perfect vs Past Simple: закончилось в прошлом vs длится до сих пор</t>
        </is>
      </c>
    </row>
    <row r="910">
      <c r="A910" s="37" t="n">
        <v>9</v>
      </c>
      <c r="B910" s="11" t="inlineStr">
        <is>
          <t>Module 1 · Celebrations</t>
        </is>
      </c>
      <c r="C910" s="11" t="inlineStr">
        <is>
          <t>1c</t>
        </is>
      </c>
      <c r="D910" s="11" t="inlineStr">
        <is>
          <t>have gone to / have been to / have been in</t>
        </is>
      </c>
      <c r="E910" s="35" t="inlineStr">
        <is>
          <t>have gone to vs have been to: уехал и не вернулся vs побывал</t>
        </is>
      </c>
      <c r="F910" s="11" t="inlineStr">
        <is>
          <t>Ст-114</t>
        </is>
      </c>
      <c r="G910" s="37" t="inlineStr">
        <is>
          <t>повторение</t>
        </is>
      </c>
      <c r="H910" s="11" t="inlineStr">
        <is>
          <t>в 9 кл. дано внутри Present Perfect / PP vs Past Simple</t>
        </is>
      </c>
      <c r="I910" s="37" t="inlineStr">
        <is>
          <t>10+</t>
        </is>
      </c>
      <c r="J910" s="11">
        <f>IFERROR(INDEX('Уроки'!$H:$H,MATCH(F910,'Уроки'!$A:$A,0)),"")</f>
        <v/>
      </c>
      <c r="K910" s="11">
        <f>IFERROR(INDEX('Уроки'!$J:$J,MATCH(F910,'Уроки'!$A:$A,0)),"")</f>
        <v/>
      </c>
      <c r="L910" s="11" t="inlineStr">
        <is>
          <t>Spotlight / 9 класс / Module 1 · Celebrations / have gone to / have been to / have been in / have gone to vs have been to: уехал и не вернулся vs побывал</t>
        </is>
      </c>
    </row>
    <row r="911">
      <c r="A911" s="37" t="n">
        <v>9</v>
      </c>
      <c r="B911" s="11" t="inlineStr">
        <is>
          <t>Module 1 · Celebrations</t>
        </is>
      </c>
      <c r="C911" s="11" t="inlineStr">
        <is>
          <t>1c</t>
        </is>
      </c>
      <c r="D911" s="11" t="inlineStr">
        <is>
          <t>have gone to / have been to / have been in</t>
        </is>
      </c>
      <c r="E911" s="35" t="inlineStr">
        <is>
          <t>have been in: находится там (в течение периода)</t>
        </is>
      </c>
      <c r="F911" s="11" t="inlineStr">
        <is>
          <t>Ст-115</t>
        </is>
      </c>
      <c r="G911" s="37" t="inlineStr">
        <is>
          <t>повторение</t>
        </is>
      </c>
      <c r="H911" s="11" t="inlineStr"/>
      <c r="I911" s="37" t="inlineStr">
        <is>
          <t>10+</t>
        </is>
      </c>
      <c r="J911" s="11">
        <f>IFERROR(INDEX('Уроки'!$H:$H,MATCH(F911,'Уроки'!$A:$A,0)),"")</f>
        <v/>
      </c>
      <c r="K911" s="11">
        <f>IFERROR(INDEX('Уроки'!$J:$J,MATCH(F911,'Уроки'!$A:$A,0)),"")</f>
        <v/>
      </c>
      <c r="L911" s="11" t="inlineStr">
        <is>
          <t>Spotlight / 9 класс / Module 1 · Celebrations / have gone to / have been to / have been in / have been in: находится там (в течение периода)</t>
        </is>
      </c>
    </row>
    <row r="912">
      <c r="A912" s="37" t="n">
        <v>9</v>
      </c>
      <c r="B912" s="11" t="inlineStr">
        <is>
          <t>Module 1 · Celebrations</t>
        </is>
      </c>
      <c r="C912" s="11" t="inlineStr">
        <is>
          <t>1c</t>
        </is>
      </c>
      <c r="D912" s="11" t="inlineStr">
        <is>
          <t>Adverbs of frequency</t>
        </is>
      </c>
      <c r="E912" s="33" t="inlineStr">
        <is>
          <t>Adverbs of frequency: место — перед смысловым глаголом, после be</t>
        </is>
      </c>
      <c r="F912" s="11" t="inlineStr">
        <is>
          <t>Ст-437</t>
        </is>
      </c>
      <c r="G912" s="37" t="inlineStr">
        <is>
          <t>повторение</t>
        </is>
      </c>
      <c r="H912" s="11" t="inlineStr"/>
      <c r="I912" s="37" t="inlineStr">
        <is>
          <t>10+</t>
        </is>
      </c>
      <c r="J912" s="11">
        <f>IFERROR(INDEX('Уроки'!$H:$H,MATCH(F912,'Уроки'!$A:$A,0)),"")</f>
        <v/>
      </c>
      <c r="K912" s="11">
        <f>IFERROR(INDEX('Уроки'!$J:$J,MATCH(F912,'Уроки'!$A:$A,0)),"")</f>
        <v/>
      </c>
      <c r="L912" s="11" t="inlineStr">
        <is>
          <t>Spotlight / 9 класс / Module 1 · Celebrations / Adverbs of frequency / Adverbs of frequency: место — перед смысловым глаголом, после be</t>
        </is>
      </c>
    </row>
    <row r="913">
      <c r="A913" s="37" t="n">
        <v>9</v>
      </c>
      <c r="B913" s="11" t="inlineStr">
        <is>
          <t>Module 1 · Celebrations</t>
        </is>
      </c>
      <c r="C913" s="11" t="inlineStr">
        <is>
          <t>1c</t>
        </is>
      </c>
      <c r="D913" s="11" t="inlineStr">
        <is>
          <t>Adverbs of frequency</t>
        </is>
      </c>
      <c r="E913" s="35" t="inlineStr">
        <is>
          <t>Adverbs of frequency: место — после вспомогательных и модальных глаголов</t>
        </is>
      </c>
      <c r="F913" s="11" t="inlineStr">
        <is>
          <t>Ст-438</t>
        </is>
      </c>
      <c r="G913" s="37" t="inlineStr">
        <is>
          <t>повторение</t>
        </is>
      </c>
      <c r="H913" s="11" t="inlineStr">
        <is>
          <t>He has never travelled abroad</t>
        </is>
      </c>
      <c r="I913" s="37" t="inlineStr">
        <is>
          <t>10+</t>
        </is>
      </c>
      <c r="J913" s="11">
        <f>IFERROR(INDEX('Уроки'!$H:$H,MATCH(F913,'Уроки'!$A:$A,0)),"")</f>
        <v/>
      </c>
      <c r="K913" s="11">
        <f>IFERROR(INDEX('Уроки'!$J:$J,MATCH(F913,'Уроки'!$A:$A,0)),"")</f>
        <v/>
      </c>
      <c r="L913" s="11" t="inlineStr">
        <is>
          <t>Spotlight / 9 класс / Module 1 · Celebrations / Adverbs of frequency / Adverbs of frequency: место — после вспомогательных и модальных глаголов</t>
        </is>
      </c>
    </row>
    <row r="914">
      <c r="A914" s="37" t="n">
        <v>9</v>
      </c>
      <c r="B914" s="11" t="inlineStr">
        <is>
          <t>Module 1 · Celebrations</t>
        </is>
      </c>
      <c r="C914" s="11" t="inlineStr">
        <is>
          <t>1c</t>
        </is>
      </c>
      <c r="D914" s="11" t="inlineStr">
        <is>
          <t>Adverbs of frequency</t>
        </is>
      </c>
      <c r="E914" s="33" t="inlineStr">
        <is>
          <t>Adverbs of frequency: шкала частотности в % (always 100% … never 0%)</t>
        </is>
      </c>
      <c r="F914" s="11" t="inlineStr">
        <is>
          <t>Ст-440</t>
        </is>
      </c>
      <c r="G914" s="37" t="inlineStr">
        <is>
          <t>повторение</t>
        </is>
      </c>
      <c r="H914" s="11" t="inlineStr"/>
      <c r="I914" s="37" t="inlineStr">
        <is>
          <t>10+</t>
        </is>
      </c>
      <c r="J914" s="11">
        <f>IFERROR(INDEX('Уроки'!$H:$H,MATCH(F914,'Уроки'!$A:$A,0)),"")</f>
        <v/>
      </c>
      <c r="K914" s="11">
        <f>IFERROR(INDEX('Уроки'!$J:$J,MATCH(F914,'Уроки'!$A:$A,0)),"")</f>
        <v/>
      </c>
      <c r="L914" s="11" t="inlineStr">
        <is>
          <t>Spotlight / 9 класс / Module 1 · Celebrations / Adverbs of frequency / Adverbs of frequency: шкала частотности в % (always 100% … never 0%)</t>
        </is>
      </c>
    </row>
    <row r="915">
      <c r="A915" s="37" t="n">
        <v>9</v>
      </c>
      <c r="B915" s="11" t="inlineStr">
        <is>
          <t>Module 1 · Celebrations</t>
        </is>
      </c>
      <c r="C915" s="11" t="inlineStr">
        <is>
          <t>1d</t>
        </is>
      </c>
      <c r="D915" s="11" t="inlineStr">
        <is>
          <t>Relative pronouns / Relative clauses</t>
        </is>
      </c>
      <c r="E915" s="34" t="inlineStr">
        <is>
          <t>Relative clauses: who(m) / which / that — люди и предметы</t>
        </is>
      </c>
      <c r="F915" s="11" t="inlineStr">
        <is>
          <t>Ст-526</t>
        </is>
      </c>
      <c r="G915" s="37" t="inlineStr">
        <is>
          <t>повторение</t>
        </is>
      </c>
      <c r="H915" s="11" t="inlineStr"/>
      <c r="I915" s="37" t="inlineStr">
        <is>
          <t>10+</t>
        </is>
      </c>
      <c r="J915" s="11">
        <f>IFERROR(INDEX('Уроки'!$H:$H,MATCH(F915,'Уроки'!$A:$A,0)),"")</f>
        <v/>
      </c>
      <c r="K915" s="11">
        <f>IFERROR(INDEX('Уроки'!$J:$J,MATCH(F915,'Уроки'!$A:$A,0)),"")</f>
        <v/>
      </c>
      <c r="L915" s="11" t="inlineStr">
        <is>
          <t>Spotlight / 9 класс / Module 1 · Celebrations / Relative pronouns / Relative clauses / Relative clauses: who(m) / which / that — люди и предметы</t>
        </is>
      </c>
    </row>
    <row r="916">
      <c r="A916" s="37" t="n">
        <v>9</v>
      </c>
      <c r="B916" s="11" t="inlineStr">
        <is>
          <t>Module 1 · Celebrations</t>
        </is>
      </c>
      <c r="C916" s="11" t="inlineStr">
        <is>
          <t>1d</t>
        </is>
      </c>
      <c r="D916" s="11" t="inlineStr">
        <is>
          <t>Relative pronouns / Relative clauses</t>
        </is>
      </c>
      <c r="E916" s="34" t="inlineStr">
        <is>
          <t>Relative clauses: whose — принадлежность</t>
        </is>
      </c>
      <c r="F916" s="11" t="inlineStr">
        <is>
          <t>Ст-527</t>
        </is>
      </c>
      <c r="G916" s="37" t="inlineStr">
        <is>
          <t>повторение</t>
        </is>
      </c>
      <c r="H916" s="11" t="inlineStr"/>
      <c r="I916" s="37" t="inlineStr">
        <is>
          <t>10+</t>
        </is>
      </c>
      <c r="J916" s="11">
        <f>IFERROR(INDEX('Уроки'!$H:$H,MATCH(F916,'Уроки'!$A:$A,0)),"")</f>
        <v/>
      </c>
      <c r="K916" s="11">
        <f>IFERROR(INDEX('Уроки'!$J:$J,MATCH(F916,'Уроки'!$A:$A,0)),"")</f>
        <v/>
      </c>
      <c r="L916" s="11" t="inlineStr">
        <is>
          <t>Spotlight / 9 класс / Module 1 · Celebrations / Relative pronouns / Relative clauses / Relative clauses: whose — принадлежность</t>
        </is>
      </c>
    </row>
    <row r="917">
      <c r="A917" s="37" t="n">
        <v>9</v>
      </c>
      <c r="B917" s="11" t="inlineStr">
        <is>
          <t>Module 1 · Celebrations</t>
        </is>
      </c>
      <c r="C917" s="11" t="inlineStr">
        <is>
          <t>1d</t>
        </is>
      </c>
      <c r="D917" s="11" t="inlineStr">
        <is>
          <t>Relative pronouns / Relative clauses</t>
        </is>
      </c>
      <c r="E917" s="34" t="inlineStr">
        <is>
          <t>Relative clauses: опущение who/which/that (дополнение vs подлежащее)</t>
        </is>
      </c>
      <c r="F917" s="11" t="inlineStr">
        <is>
          <t>Ст-528</t>
        </is>
      </c>
      <c r="G917" s="37" t="inlineStr">
        <is>
          <t>повторение</t>
        </is>
      </c>
      <c r="H917" s="11" t="inlineStr">
        <is>
          <t>The woman (who) you met…</t>
        </is>
      </c>
      <c r="I917" s="37" t="inlineStr">
        <is>
          <t>10+</t>
        </is>
      </c>
      <c r="J917" s="11">
        <f>IFERROR(INDEX('Уроки'!$H:$H,MATCH(F917,'Уроки'!$A:$A,0)),"")</f>
        <v/>
      </c>
      <c r="K917" s="11">
        <f>IFERROR(INDEX('Уроки'!$J:$J,MATCH(F917,'Уроки'!$A:$A,0)),"")</f>
        <v/>
      </c>
      <c r="L917" s="11" t="inlineStr">
        <is>
          <t>Spotlight / 9 класс / Module 1 · Celebrations / Relative pronouns / Relative clauses / Relative clauses: опущение who/which/that (дополнение vs подлежащее)</t>
        </is>
      </c>
    </row>
    <row r="918">
      <c r="A918" s="37" t="n">
        <v>9</v>
      </c>
      <c r="B918" s="11" t="inlineStr">
        <is>
          <t>Module 1 · Celebrations</t>
        </is>
      </c>
      <c r="C918" s="11" t="inlineStr">
        <is>
          <t>1d</t>
        </is>
      </c>
      <c r="D918" s="11" t="inlineStr">
        <is>
          <t>Relative pronouns / Relative clauses</t>
        </is>
      </c>
      <c r="E918" s="34" t="inlineStr">
        <is>
          <t>Relative clauses: относительные наречия when / where / why</t>
        </is>
      </c>
      <c r="F918" s="11" t="inlineStr">
        <is>
          <t>Ст-529</t>
        </is>
      </c>
      <c r="G918" s="37" t="inlineStr">
        <is>
          <t>повторение</t>
        </is>
      </c>
      <c r="H918" s="11" t="inlineStr">
        <is>
          <t>when/that, where, why</t>
        </is>
      </c>
      <c r="I918" s="37" t="inlineStr">
        <is>
          <t>10+</t>
        </is>
      </c>
      <c r="J918" s="11">
        <f>IFERROR(INDEX('Уроки'!$H:$H,MATCH(F918,'Уроки'!$A:$A,0)),"")</f>
        <v/>
      </c>
      <c r="K918" s="11">
        <f>IFERROR(INDEX('Уроки'!$J:$J,MATCH(F918,'Уроки'!$A:$A,0)),"")</f>
        <v/>
      </c>
      <c r="L918" s="11" t="inlineStr">
        <is>
          <t>Spotlight / 9 класс / Module 1 · Celebrations / Relative pronouns / Relative clauses / Relative clauses: относительные наречия when / where / why</t>
        </is>
      </c>
    </row>
    <row r="919">
      <c r="A919" s="37" t="n">
        <v>9</v>
      </c>
      <c r="B919" s="11" t="inlineStr">
        <is>
          <t>Module 1 · Celebrations</t>
        </is>
      </c>
      <c r="C919" s="11" t="inlineStr">
        <is>
          <t>1d</t>
        </is>
      </c>
      <c r="D919" s="11" t="inlineStr">
        <is>
          <t>Relative pronouns / Relative clauses</t>
        </is>
      </c>
      <c r="E919" s="35" t="inlineStr">
        <is>
          <t>Relative clauses: defining vs non-defining (запятые, без that)</t>
        </is>
      </c>
      <c r="F919" s="11" t="inlineStr">
        <is>
          <t>Ст-530</t>
        </is>
      </c>
      <c r="G919" s="40" t="inlineStr">
        <is>
          <t>новое</t>
        </is>
      </c>
      <c r="H919" s="11" t="inlineStr">
        <is>
          <t>с запятыми / без, that только в defining</t>
        </is>
      </c>
      <c r="I919" s="37" t="inlineStr">
        <is>
          <t>10+</t>
        </is>
      </c>
      <c r="J919" s="11">
        <f>IFERROR(INDEX('Уроки'!$H:$H,MATCH(F919,'Уроки'!$A:$A,0)),"")</f>
        <v/>
      </c>
      <c r="K919" s="11">
        <f>IFERROR(INDEX('Уроки'!$J:$J,MATCH(F919,'Уроки'!$A:$A,0)),"")</f>
        <v/>
      </c>
      <c r="L919" s="11" t="inlineStr">
        <is>
          <t>Spotlight / 9 класс / Module 1 · Celebrations / Relative pronouns / Relative clauses / Relative clauses: defining vs non-defining (запятые, без that)</t>
        </is>
      </c>
    </row>
    <row r="920">
      <c r="A920" s="37" t="n">
        <v>9</v>
      </c>
      <c r="B920" s="11" t="inlineStr">
        <is>
          <t>Module 1 · Celebrations</t>
        </is>
      </c>
      <c r="C920" s="11" t="inlineStr">
        <is>
          <t>1d</t>
        </is>
      </c>
      <c r="D920" s="11" t="inlineStr">
        <is>
          <t>Relative pronouns / Relative clauses</t>
        </is>
      </c>
      <c r="E920" s="35" t="inlineStr">
        <is>
          <t>Relative clauses: which, относящееся ко всему предложению</t>
        </is>
      </c>
      <c r="F920" s="11" t="inlineStr">
        <is>
          <t>Ст-531</t>
        </is>
      </c>
      <c r="G920" s="40" t="inlineStr">
        <is>
          <t>новое</t>
        </is>
      </c>
      <c r="H920" s="11" t="inlineStr">
        <is>
          <t>…, which she doesn't like</t>
        </is>
      </c>
      <c r="I920" s="37" t="inlineStr">
        <is>
          <t>10+</t>
        </is>
      </c>
      <c r="J920" s="11">
        <f>IFERROR(INDEX('Уроки'!$H:$H,MATCH(F920,'Уроки'!$A:$A,0)),"")</f>
        <v/>
      </c>
      <c r="K920" s="11">
        <f>IFERROR(INDEX('Уроки'!$J:$J,MATCH(F920,'Уроки'!$A:$A,0)),"")</f>
        <v/>
      </c>
      <c r="L920" s="11" t="inlineStr">
        <is>
          <t>Spotlight / 9 класс / Module 1 · Celebrations / Relative pronouns / Relative clauses / Relative clauses: which, относящееся ко всему предложению</t>
        </is>
      </c>
    </row>
    <row r="921">
      <c r="A921" s="37" t="n">
        <v>9</v>
      </c>
      <c r="B921" s="11" t="inlineStr">
        <is>
          <t>Module 1 · Celebrations</t>
        </is>
      </c>
      <c r="C921" s="11" t="inlineStr">
        <is>
          <t>1d</t>
        </is>
      </c>
      <c r="D921" s="11" t="inlineStr">
        <is>
          <t>Relative pronouns / Relative clauses</t>
        </is>
      </c>
      <c r="E921" s="35" t="inlineStr">
        <is>
          <t>Relative clauses: of which / whose для предметов</t>
        </is>
      </c>
      <c r="F921" s="11" t="inlineStr">
        <is>
          <t>Ст-532</t>
        </is>
      </c>
      <c r="G921" s="40" t="inlineStr">
        <is>
          <t>новое</t>
        </is>
      </c>
      <c r="H921" s="11" t="inlineStr">
        <is>
          <t>That's the book of which/whose (the) first page is missing</t>
        </is>
      </c>
      <c r="I921" s="37" t="inlineStr">
        <is>
          <t>10+</t>
        </is>
      </c>
      <c r="J921" s="11">
        <f>IFERROR(INDEX('Уроки'!$H:$H,MATCH(F921,'Уроки'!$A:$A,0)),"")</f>
        <v/>
      </c>
      <c r="K921" s="11">
        <f>IFERROR(INDEX('Уроки'!$J:$J,MATCH(F921,'Уроки'!$A:$A,0)),"")</f>
        <v/>
      </c>
      <c r="L921" s="11" t="inlineStr">
        <is>
          <t>Spotlight / 9 класс / Module 1 · Celebrations / Relative pronouns / Relative clauses / Relative clauses: of which / whose для предметов</t>
        </is>
      </c>
    </row>
    <row r="922">
      <c r="A922" s="37" t="n">
        <v>9</v>
      </c>
      <c r="B922" s="11" t="inlineStr">
        <is>
          <t>Module 1 · Celebrations</t>
        </is>
      </c>
      <c r="C922" s="11" t="inlineStr">
        <is>
          <t>1d</t>
        </is>
      </c>
      <c r="D922" s="11" t="inlineStr">
        <is>
          <t>Relative pronouns / Relative clauses</t>
        </is>
      </c>
      <c r="E922" s="35" t="inlineStr">
        <is>
          <t>Relative clauses: some of / most of + whom/which/whose</t>
        </is>
      </c>
      <c r="F922" s="11" t="inlineStr">
        <is>
          <t>Ст-533</t>
        </is>
      </c>
      <c r="G922" s="40" t="inlineStr">
        <is>
          <t>новое</t>
        </is>
      </c>
      <c r="H922" s="11" t="inlineStr">
        <is>
          <t>some of / many of / most of / half of</t>
        </is>
      </c>
      <c r="I922" s="37" t="inlineStr">
        <is>
          <t>10+</t>
        </is>
      </c>
      <c r="J922" s="11">
        <f>IFERROR(INDEX('Уроки'!$H:$H,MATCH(F922,'Уроки'!$A:$A,0)),"")</f>
        <v/>
      </c>
      <c r="K922" s="11">
        <f>IFERROR(INDEX('Уроки'!$J:$J,MATCH(F922,'Уроки'!$A:$A,0)),"")</f>
        <v/>
      </c>
      <c r="L922" s="11" t="inlineStr">
        <is>
          <t>Spotlight / 9 класс / Module 1 · Celebrations / Relative pronouns / Relative clauses / Relative clauses: some of / most of + whom/which/whose</t>
        </is>
      </c>
    </row>
    <row r="923">
      <c r="A923" s="37" t="n">
        <v>9</v>
      </c>
      <c r="B923" s="11" t="inlineStr">
        <is>
          <t>Module 1 · Celebrations</t>
        </is>
      </c>
      <c r="C923" s="11" t="inlineStr">
        <is>
          <t>1d</t>
        </is>
      </c>
      <c r="D923" s="11" t="inlineStr">
        <is>
          <t>Relative pronouns / Relative clauses</t>
        </is>
      </c>
      <c r="E923" s="35" t="inlineStr">
        <is>
          <t>Relative clauses: that не после запятой и не после предлога</t>
        </is>
      </c>
      <c r="F923" s="11" t="inlineStr">
        <is>
          <t>Ст-534</t>
        </is>
      </c>
      <c r="G923" s="40" t="inlineStr">
        <is>
          <t>новое</t>
        </is>
      </c>
      <c r="H923" s="11" t="inlineStr">
        <is>
          <t>The person to whom you were speaking…</t>
        </is>
      </c>
      <c r="I923" s="37" t="inlineStr">
        <is>
          <t>10+</t>
        </is>
      </c>
      <c r="J923" s="11">
        <f>IFERROR(INDEX('Уроки'!$H:$H,MATCH(F923,'Уроки'!$A:$A,0)),"")</f>
        <v/>
      </c>
      <c r="K923" s="11">
        <f>IFERROR(INDEX('Уроки'!$J:$J,MATCH(F923,'Уроки'!$A:$A,0)),"")</f>
        <v/>
      </c>
      <c r="L923" s="11" t="inlineStr">
        <is>
          <t>Spotlight / 9 класс / Module 1 · Celebrations / Relative pronouns / Relative clauses / Relative clauses: that не после запятой и не после предлога</t>
        </is>
      </c>
    </row>
    <row r="924">
      <c r="A924" s="37" t="n">
        <v>9</v>
      </c>
      <c r="B924" s="11" t="inlineStr">
        <is>
          <t>Module 1 · Celebrations</t>
        </is>
      </c>
      <c r="C924" s="11" t="inlineStr">
        <is>
          <t>1c</t>
        </is>
      </c>
      <c r="D924" s="11" t="inlineStr">
        <is>
          <t>Exclamations</t>
        </is>
      </c>
      <c r="E924" s="34" t="inlineStr">
        <is>
          <t>Exclamations: How + прил./нареч.!</t>
        </is>
      </c>
      <c r="F924" s="11" t="inlineStr">
        <is>
          <t>Ст-564</t>
        </is>
      </c>
      <c r="G924" s="40" t="inlineStr">
        <is>
          <t>новое</t>
        </is>
      </c>
      <c r="H924" s="11" t="inlineStr">
        <is>
          <t>How tall she is! How carefully he drives!</t>
        </is>
      </c>
      <c r="I924" s="37" t="inlineStr">
        <is>
          <t>10+</t>
        </is>
      </c>
      <c r="J924" s="11">
        <f>IFERROR(INDEX('Уроки'!$H:$H,MATCH(F924,'Уроки'!$A:$A,0)),"")</f>
        <v/>
      </c>
      <c r="K924" s="11">
        <f>IFERROR(INDEX('Уроки'!$J:$J,MATCH(F924,'Уроки'!$A:$A,0)),"")</f>
        <v/>
      </c>
      <c r="L924" s="11" t="inlineStr">
        <is>
          <t>Spotlight / 9 класс / Module 1 · Celebrations / Exclamations / Exclamations: How + прил./нареч.!</t>
        </is>
      </c>
    </row>
    <row r="925">
      <c r="A925" s="37" t="n">
        <v>9</v>
      </c>
      <c r="B925" s="11" t="inlineStr">
        <is>
          <t>Module 1 · Celebrations</t>
        </is>
      </c>
      <c r="C925" s="11" t="inlineStr">
        <is>
          <t>1c</t>
        </is>
      </c>
      <c r="D925" s="11" t="inlineStr">
        <is>
          <t>Exclamations</t>
        </is>
      </c>
      <c r="E925" s="34" t="inlineStr">
        <is>
          <t>Exclamations: What a/an (+ прил.) + исчисл. сущ. ед. ч.!</t>
        </is>
      </c>
      <c r="F925" s="11" t="inlineStr">
        <is>
          <t>Ст-565</t>
        </is>
      </c>
      <c r="G925" s="40" t="inlineStr">
        <is>
          <t>новое</t>
        </is>
      </c>
      <c r="H925" s="11" t="inlineStr">
        <is>
          <t>What a pretty baby! What an amazing story!</t>
        </is>
      </c>
      <c r="I925" s="37" t="inlineStr">
        <is>
          <t>10+</t>
        </is>
      </c>
      <c r="J925" s="11">
        <f>IFERROR(INDEX('Уроки'!$H:$H,MATCH(F925,'Уроки'!$A:$A,0)),"")</f>
        <v/>
      </c>
      <c r="K925" s="11">
        <f>IFERROR(INDEX('Уроки'!$J:$J,MATCH(F925,'Уроки'!$A:$A,0)),"")</f>
        <v/>
      </c>
      <c r="L925" s="11" t="inlineStr">
        <is>
          <t>Spotlight / 9 класс / Module 1 · Celebrations / Exclamations / Exclamations: What a/an (+ прил.) + исчисл. сущ. ед. ч.!</t>
        </is>
      </c>
    </row>
    <row r="926">
      <c r="A926" s="37" t="n">
        <v>9</v>
      </c>
      <c r="B926" s="11" t="inlineStr">
        <is>
          <t>Module 1 · Celebrations</t>
        </is>
      </c>
      <c r="C926" s="11" t="inlineStr">
        <is>
          <t>1c</t>
        </is>
      </c>
      <c r="D926" s="11" t="inlineStr">
        <is>
          <t>Exclamations</t>
        </is>
      </c>
      <c r="E926" s="34" t="inlineStr">
        <is>
          <t>Exclamations: What (+ прил.) + неисчисл. / мн. ч.!</t>
        </is>
      </c>
      <c r="F926" s="11" t="inlineStr">
        <is>
          <t>Ст-566</t>
        </is>
      </c>
      <c r="G926" s="40" t="inlineStr">
        <is>
          <t>новое</t>
        </is>
      </c>
      <c r="H926" s="11" t="inlineStr">
        <is>
          <t>What horrible weather! (NOT What a horrible weather)</t>
        </is>
      </c>
      <c r="I926" s="37" t="inlineStr">
        <is>
          <t>10+</t>
        </is>
      </c>
      <c r="J926" s="11">
        <f>IFERROR(INDEX('Уроки'!$H:$H,MATCH(F926,'Уроки'!$A:$A,0)),"")</f>
        <v/>
      </c>
      <c r="K926" s="11">
        <f>IFERROR(INDEX('Уроки'!$J:$J,MATCH(F926,'Уроки'!$A:$A,0)),"")</f>
        <v/>
      </c>
      <c r="L926" s="11" t="inlineStr">
        <is>
          <t>Spotlight / 9 класс / Module 1 · Celebrations / Exclamations / Exclamations: What (+ прил.) + неисчисл. / мн. ч.!</t>
        </is>
      </c>
    </row>
    <row r="927">
      <c r="A927" s="37" t="n">
        <v>9</v>
      </c>
      <c r="B927" s="11" t="inlineStr">
        <is>
          <t>Module 1 · Celebrations</t>
        </is>
      </c>
      <c r="C927" s="11" t="inlineStr">
        <is>
          <t>1c</t>
        </is>
      </c>
      <c r="D927" s="11" t="inlineStr">
        <is>
          <t>Exclamations</t>
        </is>
      </c>
      <c r="E927" s="35" t="inlineStr">
        <is>
          <t>Exclamations: отрицательный вопрос (Isn't it great…!)</t>
        </is>
      </c>
      <c r="F927" s="11" t="inlineStr">
        <is>
          <t>Ст-567</t>
        </is>
      </c>
      <c r="G927" s="40" t="inlineStr">
        <is>
          <t>новое</t>
        </is>
      </c>
      <c r="H927" s="11" t="inlineStr">
        <is>
          <t>Isn't it great to be here!</t>
        </is>
      </c>
      <c r="I927" s="37" t="inlineStr">
        <is>
          <t>10+</t>
        </is>
      </c>
      <c r="J927" s="11">
        <f>IFERROR(INDEX('Уроки'!$H:$H,MATCH(F927,'Уроки'!$A:$A,0)),"")</f>
        <v/>
      </c>
      <c r="K927" s="11">
        <f>IFERROR(INDEX('Уроки'!$J:$J,MATCH(F927,'Уроки'!$A:$A,0)),"")</f>
        <v/>
      </c>
      <c r="L927" s="11" t="inlineStr">
        <is>
          <t>Spotlight / 9 класс / Module 1 · Celebrations / Exclamations / Exclamations: отрицательный вопрос (Isn't it great…!)</t>
        </is>
      </c>
    </row>
    <row r="928">
      <c r="A928" s="37" t="n">
        <v>9</v>
      </c>
      <c r="B928" s="11" t="inlineStr">
        <is>
          <t>Module 1 · Celebrations</t>
        </is>
      </c>
      <c r="C928" s="11" t="inlineStr">
        <is>
          <t>1f</t>
        </is>
      </c>
      <c r="D928" s="11" t="inlineStr">
        <is>
          <t>Phrasal verbs</t>
        </is>
      </c>
      <c r="E928" s="35" t="inlineStr">
        <is>
          <t>Phrasal verbs: turn</t>
        </is>
      </c>
      <c r="F928" s="11" t="inlineStr">
        <is>
          <t>Ст-600</t>
        </is>
      </c>
      <c r="G928" s="40" t="inlineStr">
        <is>
          <t>новое</t>
        </is>
      </c>
      <c r="H928" s="11" t="inlineStr">
        <is>
          <t>turn: turn back (возвращаться), turn down (отказываться), turn into (становиться, превращаться), turn off (выключать), turn up (1) увеличивать звук, 2) появляться).</t>
        </is>
      </c>
      <c r="I928" s="37" t="inlineStr">
        <is>
          <t>10+</t>
        </is>
      </c>
      <c r="J928" s="11">
        <f>IFERROR(INDEX('Уроки'!$H:$H,MATCH(F928,'Уроки'!$A:$A,0)),"")</f>
        <v/>
      </c>
      <c r="K928" s="11">
        <f>IFERROR(INDEX('Уроки'!$J:$J,MATCH(F928,'Уроки'!$A:$A,0)),"")</f>
        <v/>
      </c>
      <c r="L928" s="11" t="inlineStr">
        <is>
          <t>Spotlight / 9 класс / Module 1 · Celebrations / Phrasal verbs / Phrasal verbs: turn</t>
        </is>
      </c>
    </row>
    <row r="929">
      <c r="A929" s="37" t="n">
        <v>9</v>
      </c>
      <c r="B929" s="11" t="inlineStr">
        <is>
          <t>Module 1 · Celebrations</t>
        </is>
      </c>
      <c r="C929" s="11" t="inlineStr">
        <is>
          <t>1f</t>
        </is>
      </c>
      <c r="D929" s="11" t="inlineStr">
        <is>
          <t>Word formation</t>
        </is>
      </c>
      <c r="E929" s="35" t="inlineStr">
        <is>
          <t>Word formation: participle adjectives -ed/-ing</t>
        </is>
      </c>
      <c r="F929" s="11" t="inlineStr">
        <is>
          <t>Ст-625</t>
        </is>
      </c>
      <c r="G929" s="40" t="inlineStr">
        <is>
          <t>новое</t>
        </is>
      </c>
      <c r="H929" s="11" t="inlineStr">
        <is>
          <t>Word formation: образование причастий/прилагательных на -ed и -ing (past/present participles).</t>
        </is>
      </c>
      <c r="I929" s="37" t="inlineStr">
        <is>
          <t>10+</t>
        </is>
      </c>
      <c r="J929" s="11">
        <f>IFERROR(INDEX('Уроки'!$H:$H,MATCH(F929,'Уроки'!$A:$A,0)),"")</f>
        <v/>
      </c>
      <c r="K929" s="11">
        <f>IFERROR(INDEX('Уроки'!$J:$J,MATCH(F929,'Уроки'!$A:$A,0)),"")</f>
        <v/>
      </c>
      <c r="L929" s="11" t="inlineStr">
        <is>
          <t>Spotlight / 9 класс / Module 1 · Celebrations / Word formation / Word formation: participle adjectives -ed/-ing</t>
        </is>
      </c>
    </row>
    <row r="930">
      <c r="A930" s="37" t="n">
        <v>9</v>
      </c>
      <c r="B930" s="11" t="inlineStr">
        <is>
          <t>Module 1 · Celebrations</t>
        </is>
      </c>
      <c r="C930" s="11" t="inlineStr">
        <is>
          <t>1f</t>
        </is>
      </c>
      <c r="D930" s="11" t="inlineStr">
        <is>
          <t>Dependent prepositions</t>
        </is>
      </c>
      <c r="E930" s="35" t="inlineStr">
        <is>
          <t>Dependent prepositions</t>
        </is>
      </c>
      <c r="F930" s="11" t="inlineStr">
        <is>
          <t>Ст-633</t>
        </is>
      </c>
      <c r="G930" s="37" t="inlineStr">
        <is>
          <t>повторение</t>
        </is>
      </c>
      <c r="H930" s="11" t="inlineStr">
        <is>
          <t>Prepositions (заголовок раздела English in Use).</t>
        </is>
      </c>
      <c r="I930" s="37" t="inlineStr">
        <is>
          <t>10+</t>
        </is>
      </c>
      <c r="J930" s="11">
        <f>IFERROR(INDEX('Уроки'!$H:$H,MATCH(F930,'Уроки'!$A:$A,0)),"")</f>
        <v/>
      </c>
      <c r="K930" s="11">
        <f>IFERROR(INDEX('Уроки'!$J:$J,MATCH(F930,'Уроки'!$A:$A,0)),"")</f>
        <v/>
      </c>
      <c r="L930" s="11" t="inlineStr">
        <is>
          <t>Spotlight / 9 класс / Module 1 · Celebrations / Dependent prepositions / Dependent prepositions</t>
        </is>
      </c>
    </row>
    <row r="931">
      <c r="A931" s="37" t="n">
        <v>9</v>
      </c>
      <c r="B931" s="11" t="inlineStr">
        <is>
          <t>Module 2 · Life &amp; Living</t>
        </is>
      </c>
      <c r="C931" s="11" t="inlineStr">
        <is>
          <t>2c</t>
        </is>
      </c>
      <c r="D931" s="11" t="inlineStr">
        <is>
          <t>Infinitive / -ing form</t>
        </is>
      </c>
      <c r="E931" s="35" t="inlineStr">
        <is>
          <t>-ing form: в роли подлежащего</t>
        </is>
      </c>
      <c r="F931" s="11" t="inlineStr">
        <is>
          <t>Ст-237</t>
        </is>
      </c>
      <c r="G931" s="37" t="inlineStr">
        <is>
          <t>повторение</t>
        </is>
      </c>
      <c r="H931" s="11" t="inlineStr"/>
      <c r="I931" s="37" t="inlineStr">
        <is>
          <t>10+</t>
        </is>
      </c>
      <c r="J931" s="11">
        <f>IFERROR(INDEX('Уроки'!$H:$H,MATCH(F931,'Уроки'!$A:$A,0)),"")</f>
        <v/>
      </c>
      <c r="K931" s="11">
        <f>IFERROR(INDEX('Уроки'!$J:$J,MATCH(F931,'Уроки'!$A:$A,0)),"")</f>
        <v/>
      </c>
      <c r="L931" s="11" t="inlineStr">
        <is>
          <t>Spotlight / 9 класс / Module 2 · Life &amp; Living / Infinitive / -ing form / -ing form: в роли подлежащего</t>
        </is>
      </c>
    </row>
    <row r="932">
      <c r="A932" s="37" t="n">
        <v>9</v>
      </c>
      <c r="B932" s="11" t="inlineStr">
        <is>
          <t>Module 2 · Life &amp; Living</t>
        </is>
      </c>
      <c r="C932" s="11" t="inlineStr">
        <is>
          <t>2c</t>
        </is>
      </c>
      <c r="D932" s="11" t="inlineStr">
        <is>
          <t>Infinitive / -ing form</t>
        </is>
      </c>
      <c r="E932" s="33" t="inlineStr">
        <is>
          <t>-ing form: после глаголов admit, avoid, consider, deny, fancy, go, imagine, mind, miss, practise, suggest…</t>
        </is>
      </c>
      <c r="F932" s="11" t="inlineStr">
        <is>
          <t>Ст-238</t>
        </is>
      </c>
      <c r="G932" s="37" t="inlineStr">
        <is>
          <t>повторение</t>
        </is>
      </c>
      <c r="H932" s="11" t="inlineStr"/>
      <c r="I932" s="37" t="inlineStr">
        <is>
          <t>10+</t>
        </is>
      </c>
      <c r="J932" s="11">
        <f>IFERROR(INDEX('Уроки'!$H:$H,MATCH(F932,'Уроки'!$A:$A,0)),"")</f>
        <v/>
      </c>
      <c r="K932" s="11">
        <f>IFERROR(INDEX('Уроки'!$J:$J,MATCH(F932,'Уроки'!$A:$A,0)),"")</f>
        <v/>
      </c>
      <c r="L932" s="11" t="inlineStr">
        <is>
          <t>Spotlight / 9 класс / Module 2 · Life &amp; Living / Infinitive / -ing form / -ing form: после глаголов admit, avoid, consider, deny, fancy, go, imagine, mind, miss, practise, suggest…</t>
        </is>
      </c>
    </row>
    <row r="933">
      <c r="A933" s="37" t="n">
        <v>9</v>
      </c>
      <c r="B933" s="11" t="inlineStr">
        <is>
          <t>Module 2 · Life &amp; Living</t>
        </is>
      </c>
      <c r="C933" s="11" t="inlineStr">
        <is>
          <t>2c</t>
        </is>
      </c>
      <c r="D933" s="11" t="inlineStr">
        <is>
          <t>Infinitive / -ing form</t>
        </is>
      </c>
      <c r="E933" s="33" t="inlineStr">
        <is>
          <t>-ing form: после like, love, enjoy, prefer, dislike, hate — общее предпочтение</t>
        </is>
      </c>
      <c r="F933" s="11" t="inlineStr">
        <is>
          <t>Ст-239</t>
        </is>
      </c>
      <c r="G933" s="37" t="inlineStr">
        <is>
          <t>повторение</t>
        </is>
      </c>
      <c r="H933" s="11" t="inlineStr"/>
      <c r="I933" s="37" t="inlineStr">
        <is>
          <t>10+</t>
        </is>
      </c>
      <c r="J933" s="11">
        <f>IFERROR(INDEX('Уроки'!$H:$H,MATCH(F933,'Уроки'!$A:$A,0)),"")</f>
        <v/>
      </c>
      <c r="K933" s="11">
        <f>IFERROR(INDEX('Уроки'!$J:$J,MATCH(F933,'Уроки'!$A:$A,0)),"")</f>
        <v/>
      </c>
      <c r="L933" s="11" t="inlineStr">
        <is>
          <t>Spotlight / 9 класс / Module 2 · Life &amp; Living / Infinitive / -ing form / -ing form: после like, love, enjoy, prefer, dislike, hate — общее предпочтение</t>
        </is>
      </c>
    </row>
    <row r="934">
      <c r="A934" s="37" t="n">
        <v>9</v>
      </c>
      <c r="B934" s="11" t="inlineStr">
        <is>
          <t>Module 2 · Life &amp; Living</t>
        </is>
      </c>
      <c r="C934" s="11" t="inlineStr">
        <is>
          <t>2c</t>
        </is>
      </c>
      <c r="D934" s="11" t="inlineStr">
        <is>
          <t>Infinitive / -ing form</t>
        </is>
      </c>
      <c r="E934" s="33" t="inlineStr">
        <is>
          <t>-ing form: после выражений it's no use, it's (not) worth, can't help, there's no point…</t>
        </is>
      </c>
      <c r="F934" s="11" t="inlineStr">
        <is>
          <t>Ст-240</t>
        </is>
      </c>
      <c r="G934" s="37" t="inlineStr">
        <is>
          <t>повторение</t>
        </is>
      </c>
      <c r="H934" s="11" t="inlineStr"/>
      <c r="I934" s="37" t="inlineStr">
        <is>
          <t>10+</t>
        </is>
      </c>
      <c r="J934" s="11">
        <f>IFERROR(INDEX('Уроки'!$H:$H,MATCH(F934,'Уроки'!$A:$A,0)),"")</f>
        <v/>
      </c>
      <c r="K934" s="11">
        <f>IFERROR(INDEX('Уроки'!$J:$J,MATCH(F934,'Уроки'!$A:$A,0)),"")</f>
        <v/>
      </c>
      <c r="L934" s="11" t="inlineStr">
        <is>
          <t>Spotlight / 9 класс / Module 2 · Life &amp; Living / Infinitive / -ing form / -ing form: после выражений it's no use, it's (not) worth, can't help, there's no point…</t>
        </is>
      </c>
    </row>
    <row r="935">
      <c r="A935" s="37" t="n">
        <v>9</v>
      </c>
      <c r="B935" s="11" t="inlineStr">
        <is>
          <t>Module 2 · Life &amp; Living</t>
        </is>
      </c>
      <c r="C935" s="11" t="inlineStr">
        <is>
          <t>2c</t>
        </is>
      </c>
      <c r="D935" s="11" t="inlineStr">
        <is>
          <t>Infinitive / -ing form</t>
        </is>
      </c>
      <c r="E935" s="35" t="inlineStr">
        <is>
          <t>-ing form: после spend/waste/lose + время/деньги</t>
        </is>
      </c>
      <c r="F935" s="11" t="inlineStr">
        <is>
          <t>Ст-241</t>
        </is>
      </c>
      <c r="G935" s="37" t="inlineStr">
        <is>
          <t>повторение</t>
        </is>
      </c>
      <c r="H935" s="11" t="inlineStr"/>
      <c r="I935" s="37" t="inlineStr">
        <is>
          <t>10+</t>
        </is>
      </c>
      <c r="J935" s="11">
        <f>IFERROR(INDEX('Уроки'!$H:$H,MATCH(F935,'Уроки'!$A:$A,0)),"")</f>
        <v/>
      </c>
      <c r="K935" s="11">
        <f>IFERROR(INDEX('Уроки'!$J:$J,MATCH(F935,'Уроки'!$A:$A,0)),"")</f>
        <v/>
      </c>
      <c r="L935" s="11" t="inlineStr">
        <is>
          <t>Spotlight / 9 класс / Module 2 · Life &amp; Living / Infinitive / -ing form / -ing form: после spend/waste/lose + время/деньги</t>
        </is>
      </c>
    </row>
    <row r="936">
      <c r="A936" s="37" t="n">
        <v>9</v>
      </c>
      <c r="B936" s="11" t="inlineStr">
        <is>
          <t>Module 2 · Life &amp; Living</t>
        </is>
      </c>
      <c r="C936" s="11" t="inlineStr">
        <is>
          <t>2c</t>
        </is>
      </c>
      <c r="D936" s="11" t="inlineStr">
        <is>
          <t>Infinitive / -ing form</t>
        </is>
      </c>
      <c r="E936" s="33" t="inlineStr">
        <is>
          <t>-ing form: после предлогов (look forward to, be used to, object to…)</t>
        </is>
      </c>
      <c r="F936" s="11" t="inlineStr">
        <is>
          <t>Ст-242</t>
        </is>
      </c>
      <c r="G936" s="41" t="inlineStr">
        <is>
          <t>расширение</t>
        </is>
      </c>
      <c r="H936" s="11" t="inlineStr">
        <is>
          <t>+ think of, apologise for; prefer … to</t>
        </is>
      </c>
      <c r="I936" s="37" t="inlineStr">
        <is>
          <t>10+</t>
        </is>
      </c>
      <c r="J936" s="11">
        <f>IFERROR(INDEX('Уроки'!$H:$H,MATCH(F936,'Уроки'!$A:$A,0)),"")</f>
        <v/>
      </c>
      <c r="K936" s="11">
        <f>IFERROR(INDEX('Уроки'!$J:$J,MATCH(F936,'Уроки'!$A:$A,0)),"")</f>
        <v/>
      </c>
      <c r="L936" s="11" t="inlineStr">
        <is>
          <t>Spotlight / 9 класс / Module 2 · Life &amp; Living / Infinitive / -ing form / -ing form: после предлогов (look forward to, be used to, object to…)</t>
        </is>
      </c>
    </row>
    <row r="937">
      <c r="A937" s="37" t="n">
        <v>9</v>
      </c>
      <c r="B937" s="11" t="inlineStr">
        <is>
          <t>Module 2 · Life &amp; Living</t>
        </is>
      </c>
      <c r="C937" s="11" t="inlineStr">
        <is>
          <t>2c</t>
        </is>
      </c>
      <c r="D937" s="11" t="inlineStr">
        <is>
          <t>Infinitive / -ing form</t>
        </is>
      </c>
      <c r="E937" s="35" t="inlineStr">
        <is>
          <t>-ing vs bare infinitive после see, hear, watch, feel — незавершённое vs завершённое</t>
        </is>
      </c>
      <c r="F937" s="11" t="inlineStr">
        <is>
          <t>Ст-243</t>
        </is>
      </c>
      <c r="G937" s="37" t="inlineStr">
        <is>
          <t>повторение</t>
        </is>
      </c>
      <c r="H937" s="11" t="inlineStr"/>
      <c r="I937" s="37" t="inlineStr">
        <is>
          <t>10+</t>
        </is>
      </c>
      <c r="J937" s="11">
        <f>IFERROR(INDEX('Уроки'!$H:$H,MATCH(F937,'Уроки'!$A:$A,0)),"")</f>
        <v/>
      </c>
      <c r="K937" s="11">
        <f>IFERROR(INDEX('Уроки'!$J:$J,MATCH(F937,'Уроки'!$A:$A,0)),"")</f>
        <v/>
      </c>
      <c r="L937" s="11" t="inlineStr">
        <is>
          <t>Spotlight / 9 класс / Module 2 · Life &amp; Living / Infinitive / -ing form / -ing vs bare infinitive после see, hear, watch, feel — незавершённое vs завершённое</t>
        </is>
      </c>
    </row>
    <row r="938">
      <c r="A938" s="37" t="n">
        <v>9</v>
      </c>
      <c r="B938" s="11" t="inlineStr">
        <is>
          <t>Module 2 · Life &amp; Living</t>
        </is>
      </c>
      <c r="C938" s="11" t="inlineStr">
        <is>
          <t>2c</t>
        </is>
      </c>
      <c r="D938" s="11" t="inlineStr">
        <is>
          <t>Infinitive / -ing form</t>
        </is>
      </c>
      <c r="E938" s="35" t="inlineStr">
        <is>
          <t>-ing form: be/get used to + -ing vs used to + V</t>
        </is>
      </c>
      <c r="F938" s="11" t="inlineStr">
        <is>
          <t>Ст-244</t>
        </is>
      </c>
      <c r="G938" s="40" t="inlineStr">
        <is>
          <t>новое</t>
        </is>
      </c>
      <c r="H938" s="11" t="inlineStr"/>
      <c r="I938" s="37" t="inlineStr">
        <is>
          <t>10+</t>
        </is>
      </c>
      <c r="J938" s="11">
        <f>IFERROR(INDEX('Уроки'!$H:$H,MATCH(F938,'Уроки'!$A:$A,0)),"")</f>
        <v/>
      </c>
      <c r="K938" s="11">
        <f>IFERROR(INDEX('Уроки'!$J:$J,MATCH(F938,'Уроки'!$A:$A,0)),"")</f>
        <v/>
      </c>
      <c r="L938" s="11" t="inlineStr">
        <is>
          <t>Spotlight / 9 класс / Module 2 · Life &amp; Living / Infinitive / -ing form / -ing form: be/get used to + -ing vs used to + V</t>
        </is>
      </c>
    </row>
    <row r="939">
      <c r="A939" s="37" t="n">
        <v>9</v>
      </c>
      <c r="B939" s="11" t="inlineStr">
        <is>
          <t>Module 2 · Life &amp; Living</t>
        </is>
      </c>
      <c r="C939" s="11" t="inlineStr">
        <is>
          <t>2c</t>
        </is>
      </c>
      <c r="D939" s="11" t="inlineStr">
        <is>
          <t>Infinitive / -ing form</t>
        </is>
      </c>
      <c r="E939" s="33" t="inlineStr">
        <is>
          <t>to-infinitive: цель</t>
        </is>
      </c>
      <c r="F939" s="11" t="inlineStr">
        <is>
          <t>Ст-245</t>
        </is>
      </c>
      <c r="G939" s="37" t="inlineStr">
        <is>
          <t>повторение</t>
        </is>
      </c>
      <c r="H939" s="11" t="inlineStr">
        <is>
          <t>went to buy</t>
        </is>
      </c>
      <c r="I939" s="37" t="inlineStr">
        <is>
          <t>10+</t>
        </is>
      </c>
      <c r="J939" s="11">
        <f>IFERROR(INDEX('Уроки'!$H:$H,MATCH(F939,'Уроки'!$A:$A,0)),"")</f>
        <v/>
      </c>
      <c r="K939" s="11">
        <f>IFERROR(INDEX('Уроки'!$J:$J,MATCH(F939,'Уроки'!$A:$A,0)),"")</f>
        <v/>
      </c>
      <c r="L939" s="11" t="inlineStr">
        <is>
          <t>Spotlight / 9 класс / Module 2 · Life &amp; Living / Infinitive / -ing form / to-infinitive: цель</t>
        </is>
      </c>
    </row>
    <row r="940">
      <c r="A940" s="37" t="n">
        <v>9</v>
      </c>
      <c r="B940" s="11" t="inlineStr">
        <is>
          <t>Module 2 · Life &amp; Living</t>
        </is>
      </c>
      <c r="C940" s="11" t="inlineStr">
        <is>
          <t>2c</t>
        </is>
      </c>
      <c r="D940" s="11" t="inlineStr">
        <is>
          <t>Infinitive / -ing form</t>
        </is>
      </c>
      <c r="E940" s="33" t="inlineStr">
        <is>
          <t>to-infinitive: после agree, decide, expect, hope, plan, promise, refuse, want</t>
        </is>
      </c>
      <c r="F940" s="11" t="inlineStr">
        <is>
          <t>Ст-246</t>
        </is>
      </c>
      <c r="G940" s="41" t="inlineStr">
        <is>
          <t>расширение</t>
        </is>
      </c>
      <c r="H940" s="11" t="inlineStr">
        <is>
          <t>+ want sb to do (I want you to come)</t>
        </is>
      </c>
      <c r="I940" s="37" t="inlineStr">
        <is>
          <t>10+</t>
        </is>
      </c>
      <c r="J940" s="11">
        <f>IFERROR(INDEX('Уроки'!$H:$H,MATCH(F940,'Уроки'!$A:$A,0)),"")</f>
        <v/>
      </c>
      <c r="K940" s="11">
        <f>IFERROR(INDEX('Уроки'!$J:$J,MATCH(F940,'Уроки'!$A:$A,0)),"")</f>
        <v/>
      </c>
      <c r="L940" s="11" t="inlineStr">
        <is>
          <t>Spotlight / 9 класс / Module 2 · Life &amp; Living / Infinitive / -ing form / to-infinitive: после agree, decide, expect, hope, plan, promise, refuse, want</t>
        </is>
      </c>
    </row>
    <row r="941">
      <c r="A941" s="37" t="n">
        <v>9</v>
      </c>
      <c r="B941" s="11" t="inlineStr">
        <is>
          <t>Module 2 · Life &amp; Living</t>
        </is>
      </c>
      <c r="C941" s="11" t="inlineStr">
        <is>
          <t>2c</t>
        </is>
      </c>
      <c r="D941" s="11" t="inlineStr">
        <is>
          <t>Infinitive / -ing form</t>
        </is>
      </c>
      <c r="E941" s="35" t="inlineStr">
        <is>
          <t>to-infinitive: после would like/prefer/love — конкретное предпочтение</t>
        </is>
      </c>
      <c r="F941" s="11" t="inlineStr">
        <is>
          <t>Ст-247</t>
        </is>
      </c>
      <c r="G941" s="37" t="inlineStr">
        <is>
          <t>повторение</t>
        </is>
      </c>
      <c r="H941" s="11" t="inlineStr"/>
      <c r="I941" s="37" t="inlineStr">
        <is>
          <t>10+</t>
        </is>
      </c>
      <c r="J941" s="11">
        <f>IFERROR(INDEX('Уроки'!$H:$H,MATCH(F941,'Уроки'!$A:$A,0)),"")</f>
        <v/>
      </c>
      <c r="K941" s="11">
        <f>IFERROR(INDEX('Уроки'!$J:$J,MATCH(F941,'Уроки'!$A:$A,0)),"")</f>
        <v/>
      </c>
      <c r="L941" s="11" t="inlineStr">
        <is>
          <t>Spotlight / 9 класс / Module 2 · Life &amp; Living / Infinitive / -ing form / to-infinitive: после would like/prefer/love — конкретное предпочтение</t>
        </is>
      </c>
    </row>
    <row r="942">
      <c r="A942" s="37" t="n">
        <v>9</v>
      </c>
      <c r="B942" s="11" t="inlineStr">
        <is>
          <t>Module 2 · Life &amp; Living</t>
        </is>
      </c>
      <c r="C942" s="11" t="inlineStr">
        <is>
          <t>2c</t>
        </is>
      </c>
      <c r="D942" s="11" t="inlineStr">
        <is>
          <t>Infinitive / -ing form</t>
        </is>
      </c>
      <c r="E942" s="33" t="inlineStr">
        <is>
          <t>to-infinitive: после прилагательных (happy, eager, kind, lucky…); It was kind of you to…</t>
        </is>
      </c>
      <c r="F942" s="11" t="inlineStr">
        <is>
          <t>Ст-248</t>
        </is>
      </c>
      <c r="G942" s="37" t="inlineStr">
        <is>
          <t>повторение</t>
        </is>
      </c>
      <c r="H942" s="11" t="inlineStr"/>
      <c r="I942" s="37" t="inlineStr">
        <is>
          <t>10+</t>
        </is>
      </c>
      <c r="J942" s="11">
        <f>IFERROR(INDEX('Уроки'!$H:$H,MATCH(F942,'Уроки'!$A:$A,0)),"")</f>
        <v/>
      </c>
      <c r="K942" s="11">
        <f>IFERROR(INDEX('Уроки'!$J:$J,MATCH(F942,'Уроки'!$A:$A,0)),"")</f>
        <v/>
      </c>
      <c r="L942" s="11" t="inlineStr">
        <is>
          <t>Spotlight / 9 класс / Module 2 · Life &amp; Living / Infinitive / -ing form / to-infinitive: после прилагательных (happy, eager, kind, lucky…); It was kind of you to…</t>
        </is>
      </c>
    </row>
    <row r="943">
      <c r="A943" s="37" t="n">
        <v>9</v>
      </c>
      <c r="B943" s="11" t="inlineStr">
        <is>
          <t>Module 2 · Life &amp; Living</t>
        </is>
      </c>
      <c r="C943" s="11" t="inlineStr">
        <is>
          <t>2c</t>
        </is>
      </c>
      <c r="D943" s="11" t="inlineStr">
        <is>
          <t>Infinitive / -ing form</t>
        </is>
      </c>
      <c r="E943" s="35" t="inlineStr">
        <is>
          <t>to-infinitive: после too/enough</t>
        </is>
      </c>
      <c r="F943" s="11" t="inlineStr">
        <is>
          <t>Ст-249</t>
        </is>
      </c>
      <c r="G943" s="37" t="inlineStr">
        <is>
          <t>повторение</t>
        </is>
      </c>
      <c r="H943" s="11" t="inlineStr"/>
      <c r="I943" s="37" t="inlineStr">
        <is>
          <t>10+</t>
        </is>
      </c>
      <c r="J943" s="11">
        <f>IFERROR(INDEX('Уроки'!$H:$H,MATCH(F943,'Уроки'!$A:$A,0)),"")</f>
        <v/>
      </c>
      <c r="K943" s="11">
        <f>IFERROR(INDEX('Уроки'!$J:$J,MATCH(F943,'Уроки'!$A:$A,0)),"")</f>
        <v/>
      </c>
      <c r="L943" s="11" t="inlineStr">
        <is>
          <t>Spotlight / 9 класс / Module 2 · Life &amp; Living / Infinitive / -ing form / to-infinitive: после too/enough</t>
        </is>
      </c>
    </row>
    <row r="944">
      <c r="A944" s="37" t="n">
        <v>9</v>
      </c>
      <c r="B944" s="11" t="inlineStr">
        <is>
          <t>Module 2 · Life &amp; Living</t>
        </is>
      </c>
      <c r="C944" s="11" t="inlineStr">
        <is>
          <t>2c</t>
        </is>
      </c>
      <c r="D944" s="11" t="inlineStr">
        <is>
          <t>Infinitive / -ing form</t>
        </is>
      </c>
      <c r="E944" s="35" t="inlineStr">
        <is>
          <t>to-infinitive: после be the first/next/last</t>
        </is>
      </c>
      <c r="F944" s="11" t="inlineStr">
        <is>
          <t>Ст-250</t>
        </is>
      </c>
      <c r="G944" s="37" t="inlineStr">
        <is>
          <t>повторение</t>
        </is>
      </c>
      <c r="H944" s="11" t="inlineStr"/>
      <c r="I944" s="37" t="inlineStr">
        <is>
          <t>10+</t>
        </is>
      </c>
      <c r="J944" s="11">
        <f>IFERROR(INDEX('Уроки'!$H:$H,MATCH(F944,'Уроки'!$A:$A,0)),"")</f>
        <v/>
      </c>
      <c r="K944" s="11">
        <f>IFERROR(INDEX('Уроки'!$J:$J,MATCH(F944,'Уроки'!$A:$A,0)),"")</f>
        <v/>
      </c>
      <c r="L944" s="11" t="inlineStr">
        <is>
          <t>Spotlight / 9 класс / Module 2 · Life &amp; Living / Infinitive / -ing form / to-infinitive: после be the first/next/last</t>
        </is>
      </c>
    </row>
    <row r="945">
      <c r="A945" s="37" t="n">
        <v>9</v>
      </c>
      <c r="B945" s="11" t="inlineStr">
        <is>
          <t>Module 2 · Life &amp; Living</t>
        </is>
      </c>
      <c r="C945" s="11" t="inlineStr">
        <is>
          <t>2c</t>
        </is>
      </c>
      <c r="D945" s="11" t="inlineStr">
        <is>
          <t>Infinitive / -ing form</t>
        </is>
      </c>
      <c r="E945" s="35" t="inlineStr">
        <is>
          <t>to-infinitive: устойчивые выражения (to tell you the truth, to be honest, to sum up…)</t>
        </is>
      </c>
      <c r="F945" s="11" t="inlineStr">
        <is>
          <t>Ст-251</t>
        </is>
      </c>
      <c r="G945" s="37" t="inlineStr">
        <is>
          <t>повторение</t>
        </is>
      </c>
      <c r="H945" s="11" t="inlineStr"/>
      <c r="I945" s="37" t="inlineStr">
        <is>
          <t>10+</t>
        </is>
      </c>
      <c r="J945" s="11">
        <f>IFERROR(INDEX('Уроки'!$H:$H,MATCH(F945,'Уроки'!$A:$A,0)),"")</f>
        <v/>
      </c>
      <c r="K945" s="11">
        <f>IFERROR(INDEX('Уроки'!$J:$J,MATCH(F945,'Уроки'!$A:$A,0)),"")</f>
        <v/>
      </c>
      <c r="L945" s="11" t="inlineStr">
        <is>
          <t>Spotlight / 9 класс / Module 2 · Life &amp; Living / Infinitive / -ing form / to-infinitive: устойчивые выражения (to tell you the truth, to be honest, to sum up…)</t>
        </is>
      </c>
    </row>
    <row r="946">
      <c r="A946" s="37" t="n">
        <v>9</v>
      </c>
      <c r="B946" s="11" t="inlineStr">
        <is>
          <t>Module 2 · Life &amp; Living</t>
        </is>
      </c>
      <c r="C946" s="11" t="inlineStr">
        <is>
          <t>2c</t>
        </is>
      </c>
      <c r="D946" s="11" t="inlineStr">
        <is>
          <t>Infinitive / -ing form</t>
        </is>
      </c>
      <c r="E946" s="35" t="inlineStr">
        <is>
          <t>to-infinitive: вопросительное слово + to-inf (when to go)</t>
        </is>
      </c>
      <c r="F946" s="11" t="inlineStr">
        <is>
          <t>Ст-252</t>
        </is>
      </c>
      <c r="G946" s="40" t="inlineStr">
        <is>
          <t>новое</t>
        </is>
      </c>
      <c r="H946" s="11" t="inlineStr">
        <is>
          <t>asked me when to get</t>
        </is>
      </c>
      <c r="I946" s="37" t="inlineStr">
        <is>
          <t>10+</t>
        </is>
      </c>
      <c r="J946" s="11">
        <f>IFERROR(INDEX('Уроки'!$H:$H,MATCH(F946,'Уроки'!$A:$A,0)),"")</f>
        <v/>
      </c>
      <c r="K946" s="11">
        <f>IFERROR(INDEX('Уроки'!$J:$J,MATCH(F946,'Уроки'!$A:$A,0)),"")</f>
        <v/>
      </c>
      <c r="L946" s="11" t="inlineStr">
        <is>
          <t>Spotlight / 9 класс / Module 2 · Life &amp; Living / Infinitive / -ing form / to-infinitive: вопросительное слово + to-inf (when to go)</t>
        </is>
      </c>
    </row>
    <row r="947">
      <c r="A947" s="37" t="n">
        <v>9</v>
      </c>
      <c r="B947" s="11" t="inlineStr">
        <is>
          <t>Module 2 · Life &amp; Living</t>
        </is>
      </c>
      <c r="C947" s="11" t="inlineStr">
        <is>
          <t>2c</t>
        </is>
      </c>
      <c r="D947" s="11" t="inlineStr">
        <is>
          <t>Infinitive / -ing form</t>
        </is>
      </c>
      <c r="E947" s="35" t="inlineStr">
        <is>
          <t>to-infinitive: после существительных; so + adj + as to; only + to-inf; for + sb + to-inf</t>
        </is>
      </c>
      <c r="F947" s="11" t="inlineStr">
        <is>
          <t>Ст-253</t>
        </is>
      </c>
      <c r="G947" s="40" t="inlineStr">
        <is>
          <t>новое</t>
        </is>
      </c>
      <c r="H947" s="11" t="inlineStr">
        <is>
          <t>honour, goal, way; so + adj + as to; only + to-inf (неудача); for + sb + to-inf</t>
        </is>
      </c>
      <c r="I947" s="37" t="inlineStr">
        <is>
          <t>10+</t>
        </is>
      </c>
      <c r="J947" s="11">
        <f>IFERROR(INDEX('Уроки'!$H:$H,MATCH(F947,'Уроки'!$A:$A,0)),"")</f>
        <v/>
      </c>
      <c r="K947" s="11">
        <f>IFERROR(INDEX('Уроки'!$J:$J,MATCH(F947,'Уроки'!$A:$A,0)),"")</f>
        <v/>
      </c>
      <c r="L947" s="11" t="inlineStr">
        <is>
          <t>Spotlight / 9 класс / Module 2 · Life &amp; Living / Infinitive / -ing form / to-infinitive: после существительных; so + adj + as to; only + to-inf; for + sb + to-inf</t>
        </is>
      </c>
    </row>
    <row r="948">
      <c r="A948" s="37" t="n">
        <v>9</v>
      </c>
      <c r="B948" s="11" t="inlineStr">
        <is>
          <t>Module 2 · Life &amp; Living</t>
        </is>
      </c>
      <c r="C948" s="11" t="inlineStr">
        <is>
          <t>2c</t>
        </is>
      </c>
      <c r="D948" s="11" t="inlineStr">
        <is>
          <t>Infinitive / -ing form</t>
        </is>
      </c>
      <c r="E948" s="35" t="inlineStr">
        <is>
          <t>to-infinitive: второй инфинитив после and/or без to</t>
        </is>
      </c>
      <c r="F948" s="11" t="inlineStr">
        <is>
          <t>Ст-254</t>
        </is>
      </c>
      <c r="G948" s="37" t="inlineStr">
        <is>
          <t>повторение</t>
        </is>
      </c>
      <c r="H948" s="11" t="inlineStr"/>
      <c r="I948" s="37" t="inlineStr">
        <is>
          <t>10+</t>
        </is>
      </c>
      <c r="J948" s="11">
        <f>IFERROR(INDEX('Уроки'!$H:$H,MATCH(F948,'Уроки'!$A:$A,0)),"")</f>
        <v/>
      </c>
      <c r="K948" s="11">
        <f>IFERROR(INDEX('Уроки'!$J:$J,MATCH(F948,'Уроки'!$A:$A,0)),"")</f>
        <v/>
      </c>
      <c r="L948" s="11" t="inlineStr">
        <is>
          <t>Spotlight / 9 класс / Module 2 · Life &amp; Living / Infinitive / -ing form / to-infinitive: второй инфинитив после and/or без to</t>
        </is>
      </c>
    </row>
    <row r="949">
      <c r="A949" s="37" t="n">
        <v>9</v>
      </c>
      <c r="B949" s="11" t="inlineStr">
        <is>
          <t>Module 2 · Life &amp; Living</t>
        </is>
      </c>
      <c r="C949" s="11" t="inlineStr">
        <is>
          <t>2c</t>
        </is>
      </c>
      <c r="D949" s="11" t="inlineStr">
        <is>
          <t>Infinitive / -ing form</t>
        </is>
      </c>
      <c r="E949" s="35" t="inlineStr">
        <is>
          <t>to-infinitive: dare — с to и без</t>
        </is>
      </c>
      <c r="F949" s="11" t="inlineStr">
        <is>
          <t>Ст-255</t>
        </is>
      </c>
      <c r="G949" s="40" t="inlineStr">
        <is>
          <t>новое</t>
        </is>
      </c>
      <c r="H949" s="11" t="inlineStr">
        <is>
          <t>осмелиться — с to или без; угроза — без to; вызов — с to</t>
        </is>
      </c>
      <c r="I949" s="37" t="inlineStr">
        <is>
          <t>10+</t>
        </is>
      </c>
      <c r="J949" s="11">
        <f>IFERROR(INDEX('Уроки'!$H:$H,MATCH(F949,'Уроки'!$A:$A,0)),"")</f>
        <v/>
      </c>
      <c r="K949" s="11">
        <f>IFERROR(INDEX('Уроки'!$J:$J,MATCH(F949,'Уроки'!$A:$A,0)),"")</f>
        <v/>
      </c>
      <c r="L949" s="11" t="inlineStr">
        <is>
          <t>Spotlight / 9 класс / Module 2 · Life &amp; Living / Infinitive / -ing form / to-infinitive: dare — с to и без</t>
        </is>
      </c>
    </row>
    <row r="950">
      <c r="A950" s="37" t="n">
        <v>9</v>
      </c>
      <c r="B950" s="11" t="inlineStr">
        <is>
          <t>Module 2 · Life &amp; Living</t>
        </is>
      </c>
      <c r="C950" s="11" t="inlineStr">
        <is>
          <t>2c</t>
        </is>
      </c>
      <c r="D950" s="11" t="inlineStr">
        <is>
          <t>Infinitive / -ing form</t>
        </is>
      </c>
      <c r="E950" s="35" t="inlineStr">
        <is>
          <t>Bare infinitive: после модальных, had better, would rather</t>
        </is>
      </c>
      <c r="F950" s="11" t="inlineStr">
        <is>
          <t>Ст-256</t>
        </is>
      </c>
      <c r="G950" s="37" t="inlineStr">
        <is>
          <t>повторение</t>
        </is>
      </c>
      <c r="H950" s="11" t="inlineStr"/>
      <c r="I950" s="37" t="inlineStr">
        <is>
          <t>10+</t>
        </is>
      </c>
      <c r="J950" s="11">
        <f>IFERROR(INDEX('Уроки'!$H:$H,MATCH(F950,'Уроки'!$A:$A,0)),"")</f>
        <v/>
      </c>
      <c r="K950" s="11">
        <f>IFERROR(INDEX('Уроки'!$J:$J,MATCH(F950,'Уроки'!$A:$A,0)),"")</f>
        <v/>
      </c>
      <c r="L950" s="11" t="inlineStr">
        <is>
          <t>Spotlight / 9 класс / Module 2 · Life &amp; Living / Infinitive / -ing form / Bare infinitive: после модальных, had better, would rather</t>
        </is>
      </c>
    </row>
    <row r="951">
      <c r="A951" s="37" t="n">
        <v>9</v>
      </c>
      <c r="B951" s="11" t="inlineStr">
        <is>
          <t>Module 2 · Life &amp; Living</t>
        </is>
      </c>
      <c r="C951" s="11" t="inlineStr">
        <is>
          <t>2c</t>
        </is>
      </c>
      <c r="D951" s="11" t="inlineStr">
        <is>
          <t>Infinitive / -ing form</t>
        </is>
      </c>
      <c r="E951" s="35" t="inlineStr">
        <is>
          <t>Bare infinitive: let/make/see/hear/feel + object + V; в пассиве + to (was made to)</t>
        </is>
      </c>
      <c r="F951" s="11" t="inlineStr">
        <is>
          <t>Ст-257</t>
        </is>
      </c>
      <c r="G951" s="41" t="inlineStr">
        <is>
          <t>расширение</t>
        </is>
      </c>
      <c r="H951" s="11" t="inlineStr">
        <is>
          <t>+ watch, notice (Complex Object)</t>
        </is>
      </c>
      <c r="I951" s="37" t="inlineStr">
        <is>
          <t>10+</t>
        </is>
      </c>
      <c r="J951" s="11">
        <f>IFERROR(INDEX('Уроки'!$H:$H,MATCH(F951,'Уроки'!$A:$A,0)),"")</f>
        <v/>
      </c>
      <c r="K951" s="11">
        <f>IFERROR(INDEX('Уроки'!$J:$J,MATCH(F951,'Уроки'!$A:$A,0)),"")</f>
        <v/>
      </c>
      <c r="L951" s="11" t="inlineStr">
        <is>
          <t>Spotlight / 9 класс / Module 2 · Life &amp; Living / Infinitive / -ing form / Bare infinitive: let/make/see/hear/feel + object + V; в пассиве + to (was made to)</t>
        </is>
      </c>
    </row>
    <row r="952">
      <c r="A952" s="37" t="n">
        <v>9</v>
      </c>
      <c r="B952" s="11" t="inlineStr">
        <is>
          <t>Module 2 · Life &amp; Living</t>
        </is>
      </c>
      <c r="C952" s="11" t="inlineStr">
        <is>
          <t>2c</t>
        </is>
      </c>
      <c r="D952" s="11" t="inlineStr">
        <is>
          <t>Infinitive / -ing form</t>
        </is>
      </c>
      <c r="E952" s="35" t="inlineStr">
        <is>
          <t>Bare infinitive: help + (to) V</t>
        </is>
      </c>
      <c r="F952" s="11" t="inlineStr">
        <is>
          <t>Ст-258</t>
        </is>
      </c>
      <c r="G952" s="37" t="inlineStr">
        <is>
          <t>повторение</t>
        </is>
      </c>
      <c r="H952" s="11" t="inlineStr"/>
      <c r="I952" s="37" t="inlineStr">
        <is>
          <t>10+</t>
        </is>
      </c>
      <c r="J952" s="11">
        <f>IFERROR(INDEX('Уроки'!$H:$H,MATCH(F952,'Уроки'!$A:$A,0)),"")</f>
        <v/>
      </c>
      <c r="K952" s="11">
        <f>IFERROR(INDEX('Уроки'!$J:$J,MATCH(F952,'Уроки'!$A:$A,0)),"")</f>
        <v/>
      </c>
      <c r="L952" s="11" t="inlineStr">
        <is>
          <t>Spotlight / 9 класс / Module 2 · Life &amp; Living / Infinitive / -ing form / Bare infinitive: help + (to) V</t>
        </is>
      </c>
    </row>
    <row r="953">
      <c r="A953" s="37" t="n">
        <v>9</v>
      </c>
      <c r="B953" s="11" t="inlineStr">
        <is>
          <t>Module 2 · Life &amp; Living</t>
        </is>
      </c>
      <c r="C953" s="11" t="inlineStr">
        <is>
          <t>2c</t>
        </is>
      </c>
      <c r="D953" s="11" t="inlineStr">
        <is>
          <t>Infinitive / -ing form (difference in meaning)</t>
        </is>
      </c>
      <c r="E953" s="35" t="inlineStr">
        <is>
          <t>Infinitive vs -ing: forget/remember</t>
        </is>
      </c>
      <c r="F953" s="11" t="inlineStr">
        <is>
          <t>Ст-259</t>
        </is>
      </c>
      <c r="G953" s="41" t="inlineStr">
        <is>
          <t>расширение</t>
        </is>
      </c>
      <c r="H953" s="11" t="inlineStr">
        <is>
          <t>значения расписаны: не забыть сделать vs помнить о прошлом</t>
        </is>
      </c>
      <c r="I953" s="37" t="inlineStr">
        <is>
          <t>10+</t>
        </is>
      </c>
      <c r="J953" s="11">
        <f>IFERROR(INDEX('Уроки'!$H:$H,MATCH(F953,'Уроки'!$A:$A,0)),"")</f>
        <v/>
      </c>
      <c r="K953" s="11">
        <f>IFERROR(INDEX('Уроки'!$J:$J,MATCH(F953,'Уроки'!$A:$A,0)),"")</f>
        <v/>
      </c>
      <c r="L953" s="11" t="inlineStr">
        <is>
          <t>Spotlight / 9 класс / Module 2 · Life &amp; Living / Infinitive / -ing form (difference in meaning) / Infinitive vs -ing: forget/remember</t>
        </is>
      </c>
    </row>
    <row r="954">
      <c r="A954" s="37" t="n">
        <v>9</v>
      </c>
      <c r="B954" s="11" t="inlineStr">
        <is>
          <t>Module 2 · Life &amp; Living</t>
        </is>
      </c>
      <c r="C954" s="11" t="inlineStr">
        <is>
          <t>2c</t>
        </is>
      </c>
      <c r="D954" s="11" t="inlineStr">
        <is>
          <t>Infinitive / -ing form (difference in meaning)</t>
        </is>
      </c>
      <c r="E954" s="35" t="inlineStr">
        <is>
          <t>Infinitive vs -ing: stop</t>
        </is>
      </c>
      <c r="F954" s="11" t="inlineStr">
        <is>
          <t>Ст-260</t>
        </is>
      </c>
      <c r="G954" s="41" t="inlineStr">
        <is>
          <t>расширение</t>
        </is>
      </c>
      <c r="H954" s="11" t="inlineStr">
        <is>
          <t>остановиться, чтобы vs прекратить</t>
        </is>
      </c>
      <c r="I954" s="37" t="inlineStr">
        <is>
          <t>10+</t>
        </is>
      </c>
      <c r="J954" s="11">
        <f>IFERROR(INDEX('Уроки'!$H:$H,MATCH(F954,'Уроки'!$A:$A,0)),"")</f>
        <v/>
      </c>
      <c r="K954" s="11">
        <f>IFERROR(INDEX('Уроки'!$J:$J,MATCH(F954,'Уроки'!$A:$A,0)),"")</f>
        <v/>
      </c>
      <c r="L954" s="11" t="inlineStr">
        <is>
          <t>Spotlight / 9 класс / Module 2 · Life &amp; Living / Infinitive / -ing form (difference in meaning) / Infinitive vs -ing: stop</t>
        </is>
      </c>
    </row>
    <row r="955">
      <c r="A955" s="37" t="n">
        <v>9</v>
      </c>
      <c r="B955" s="11" t="inlineStr">
        <is>
          <t>Module 2 · Life &amp; Living</t>
        </is>
      </c>
      <c r="C955" s="11" t="inlineStr">
        <is>
          <t>2c</t>
        </is>
      </c>
      <c r="D955" s="11" t="inlineStr">
        <is>
          <t>Infinitive / -ing form (difference in meaning)</t>
        </is>
      </c>
      <c r="E955" s="35" t="inlineStr">
        <is>
          <t>Infinitive vs -ing: try</t>
        </is>
      </c>
      <c r="F955" s="11" t="inlineStr">
        <is>
          <t>Ст-261</t>
        </is>
      </c>
      <c r="G955" s="41" t="inlineStr">
        <is>
          <t>расширение</t>
        </is>
      </c>
      <c r="H955" s="11" t="inlineStr">
        <is>
          <t>стараться vs попробовать</t>
        </is>
      </c>
      <c r="I955" s="37" t="inlineStr">
        <is>
          <t>10+</t>
        </is>
      </c>
      <c r="J955" s="11">
        <f>IFERROR(INDEX('Уроки'!$H:$H,MATCH(F955,'Уроки'!$A:$A,0)),"")</f>
        <v/>
      </c>
      <c r="K955" s="11">
        <f>IFERROR(INDEX('Уроки'!$J:$J,MATCH(F955,'Уроки'!$A:$A,0)),"")</f>
        <v/>
      </c>
      <c r="L955" s="11" t="inlineStr">
        <is>
          <t>Spotlight / 9 класс / Module 2 · Life &amp; Living / Infinitive / -ing form (difference in meaning) / Infinitive vs -ing: try</t>
        </is>
      </c>
    </row>
    <row r="956">
      <c r="A956" s="37" t="n">
        <v>9</v>
      </c>
      <c r="B956" s="11" t="inlineStr">
        <is>
          <t>Module 2 · Life &amp; Living</t>
        </is>
      </c>
      <c r="C956" s="11" t="inlineStr">
        <is>
          <t>2c</t>
        </is>
      </c>
      <c r="D956" s="11" t="inlineStr">
        <is>
          <t>Infinitive / -ing form (difference in meaning)</t>
        </is>
      </c>
      <c r="E956" s="35" t="inlineStr">
        <is>
          <t>Infinitive vs -ing: regret</t>
        </is>
      </c>
      <c r="F956" s="11" t="inlineStr">
        <is>
          <t>Ст-262</t>
        </is>
      </c>
      <c r="G956" s="41" t="inlineStr">
        <is>
          <t>расширение</t>
        </is>
      </c>
      <c r="H956" s="11" t="inlineStr">
        <is>
          <t>сожалеть сообщить (say, tell, inform, announce) vs о сделанном</t>
        </is>
      </c>
      <c r="I956" s="37" t="inlineStr">
        <is>
          <t>10+</t>
        </is>
      </c>
      <c r="J956" s="11">
        <f>IFERROR(INDEX('Уроки'!$H:$H,MATCH(F956,'Уроки'!$A:$A,0)),"")</f>
        <v/>
      </c>
      <c r="K956" s="11">
        <f>IFERROR(INDEX('Уроки'!$J:$J,MATCH(F956,'Уроки'!$A:$A,0)),"")</f>
        <v/>
      </c>
      <c r="L956" s="11" t="inlineStr">
        <is>
          <t>Spotlight / 9 класс / Module 2 · Life &amp; Living / Infinitive / -ing form (difference in meaning) / Infinitive vs -ing: regret</t>
        </is>
      </c>
    </row>
    <row r="957">
      <c r="A957" s="37" t="n">
        <v>9</v>
      </c>
      <c r="B957" s="11" t="inlineStr">
        <is>
          <t>Module 2 · Life &amp; Living</t>
        </is>
      </c>
      <c r="C957" s="11" t="inlineStr">
        <is>
          <t>2c</t>
        </is>
      </c>
      <c r="D957" s="11" t="inlineStr">
        <is>
          <t>Infinitive / -ing form (difference in meaning)</t>
        </is>
      </c>
      <c r="E957" s="35" t="inlineStr">
        <is>
          <t>Infinitive vs -ing: mean</t>
        </is>
      </c>
      <c r="F957" s="11" t="inlineStr">
        <is>
          <t>Ст-263</t>
        </is>
      </c>
      <c r="G957" s="41" t="inlineStr">
        <is>
          <t>расширение</t>
        </is>
      </c>
      <c r="H957" s="11" t="inlineStr">
        <is>
          <t>намереваться vs означать</t>
        </is>
      </c>
      <c r="I957" s="37" t="inlineStr">
        <is>
          <t>10+</t>
        </is>
      </c>
      <c r="J957" s="11">
        <f>IFERROR(INDEX('Уроки'!$H:$H,MATCH(F957,'Уроки'!$A:$A,0)),"")</f>
        <v/>
      </c>
      <c r="K957" s="11">
        <f>IFERROR(INDEX('Уроки'!$J:$J,MATCH(F957,'Уроки'!$A:$A,0)),"")</f>
        <v/>
      </c>
      <c r="L957" s="11" t="inlineStr">
        <is>
          <t>Spotlight / 9 класс / Module 2 · Life &amp; Living / Infinitive / -ing form (difference in meaning) / Infinitive vs -ing: mean</t>
        </is>
      </c>
    </row>
    <row r="958">
      <c r="A958" s="37" t="n">
        <v>9</v>
      </c>
      <c r="B958" s="11" t="inlineStr">
        <is>
          <t>Module 2 · Life &amp; Living</t>
        </is>
      </c>
      <c r="C958" s="11" t="inlineStr">
        <is>
          <t>2c</t>
        </is>
      </c>
      <c r="D958" s="11" t="inlineStr">
        <is>
          <t>Infinitive / -ing form (difference in meaning)</t>
        </is>
      </c>
      <c r="E958" s="35" t="inlineStr">
        <is>
          <t>Infinitive vs -ing: go on</t>
        </is>
      </c>
      <c r="F958" s="11" t="inlineStr">
        <is>
          <t>Ст-264</t>
        </is>
      </c>
      <c r="G958" s="41" t="inlineStr">
        <is>
          <t>расширение</t>
        </is>
      </c>
      <c r="H958" s="11" t="inlineStr">
        <is>
          <t>перейти к другому vs продолжать</t>
        </is>
      </c>
      <c r="I958" s="37" t="inlineStr">
        <is>
          <t>10+</t>
        </is>
      </c>
      <c r="J958" s="11">
        <f>IFERROR(INDEX('Уроки'!$H:$H,MATCH(F958,'Уроки'!$A:$A,0)),"")</f>
        <v/>
      </c>
      <c r="K958" s="11">
        <f>IFERROR(INDEX('Уроки'!$J:$J,MATCH(F958,'Уроки'!$A:$A,0)),"")</f>
        <v/>
      </c>
      <c r="L958" s="11" t="inlineStr">
        <is>
          <t>Spotlight / 9 класс / Module 2 · Life &amp; Living / Infinitive / -ing form (difference in meaning) / Infinitive vs -ing: go on</t>
        </is>
      </c>
    </row>
    <row r="959">
      <c r="A959" s="37" t="n">
        <v>9</v>
      </c>
      <c r="B959" s="11" t="inlineStr">
        <is>
          <t>Module 2 · Life &amp; Living</t>
        </is>
      </c>
      <c r="C959" s="11" t="inlineStr">
        <is>
          <t>2c</t>
        </is>
      </c>
      <c r="D959" s="11" t="inlineStr">
        <is>
          <t>Infinitive / -ing form (difference in meaning)</t>
        </is>
      </c>
      <c r="E959" s="35" t="inlineStr">
        <is>
          <t>Infinitive vs -ing: hate</t>
        </is>
      </c>
      <c r="F959" s="11" t="inlineStr">
        <is>
          <t>Ст-265</t>
        </is>
      </c>
      <c r="G959" s="37" t="inlineStr">
        <is>
          <t>повторение</t>
        </is>
      </c>
      <c r="H959" s="11" t="inlineStr"/>
      <c r="I959" s="37" t="inlineStr">
        <is>
          <t>10+</t>
        </is>
      </c>
      <c r="J959" s="11">
        <f>IFERROR(INDEX('Уроки'!$H:$H,MATCH(F959,'Уроки'!$A:$A,0)),"")</f>
        <v/>
      </c>
      <c r="K959" s="11">
        <f>IFERROR(INDEX('Уроки'!$J:$J,MATCH(F959,'Уроки'!$A:$A,0)),"")</f>
        <v/>
      </c>
      <c r="L959" s="11" t="inlineStr">
        <is>
          <t>Spotlight / 9 класс / Module 2 · Life &amp; Living / Infinitive / -ing form (difference in meaning) / Infinitive vs -ing: hate</t>
        </is>
      </c>
    </row>
    <row r="960">
      <c r="A960" s="37" t="n">
        <v>9</v>
      </c>
      <c r="B960" s="11" t="inlineStr">
        <is>
          <t>Module 2 · Life &amp; Living</t>
        </is>
      </c>
      <c r="C960" s="11" t="inlineStr">
        <is>
          <t>2c</t>
        </is>
      </c>
      <c r="D960" s="11" t="inlineStr">
        <is>
          <t>Infinitive / -ing form (difference in meaning)</t>
        </is>
      </c>
      <c r="E960" s="35" t="inlineStr">
        <is>
          <t>Infinitive vs -ing: want (My car wants cleaning)</t>
        </is>
      </c>
      <c r="F960" s="11" t="inlineStr">
        <is>
          <t>Ст-266</t>
        </is>
      </c>
      <c r="G960" s="40" t="inlineStr">
        <is>
          <t>новое</t>
        </is>
      </c>
      <c r="H960" s="11" t="inlineStr"/>
      <c r="I960" s="37" t="inlineStr">
        <is>
          <t>10+</t>
        </is>
      </c>
      <c r="J960" s="11">
        <f>IFERROR(INDEX('Уроки'!$H:$H,MATCH(F960,'Уроки'!$A:$A,0)),"")</f>
        <v/>
      </c>
      <c r="K960" s="11">
        <f>IFERROR(INDEX('Уроки'!$J:$J,MATCH(F960,'Уроки'!$A:$A,0)),"")</f>
        <v/>
      </c>
      <c r="L960" s="11" t="inlineStr">
        <is>
          <t>Spotlight / 9 класс / Module 2 · Life &amp; Living / Infinitive / -ing form (difference in meaning) / Infinitive vs -ing: want (My car wants cleaning)</t>
        </is>
      </c>
    </row>
    <row r="961">
      <c r="A961" s="37" t="n">
        <v>9</v>
      </c>
      <c r="B961" s="11" t="inlineStr">
        <is>
          <t>Module 2 · Life &amp; Living</t>
        </is>
      </c>
      <c r="C961" s="11" t="inlineStr">
        <is>
          <t>2c</t>
        </is>
      </c>
      <c r="D961" s="11" t="inlineStr">
        <is>
          <t>Infinitive / -ing form (difference in meaning)</t>
        </is>
      </c>
      <c r="E961" s="35" t="inlineStr">
        <is>
          <t>Infinitive vs -ing: be sorry to / for -ing; be afraid to / of -ing</t>
        </is>
      </c>
      <c r="F961" s="11" t="inlineStr">
        <is>
          <t>Ст-267</t>
        </is>
      </c>
      <c r="G961" s="40" t="inlineStr">
        <is>
          <t>новое</t>
        </is>
      </c>
      <c r="H961" s="11" t="inlineStr"/>
      <c r="I961" s="37" t="inlineStr">
        <is>
          <t>10+</t>
        </is>
      </c>
      <c r="J961" s="11">
        <f>IFERROR(INDEX('Уроки'!$H:$H,MATCH(F961,'Уроки'!$A:$A,0)),"")</f>
        <v/>
      </c>
      <c r="K961" s="11">
        <f>IFERROR(INDEX('Уроки'!$J:$J,MATCH(F961,'Уроки'!$A:$A,0)),"")</f>
        <v/>
      </c>
      <c r="L961" s="11" t="inlineStr">
        <is>
          <t>Spotlight / 9 класс / Module 2 · Life &amp; Living / Infinitive / -ing form (difference in meaning) / Infinitive vs -ing: be sorry to / for -ing; be afraid to / of -ing</t>
        </is>
      </c>
    </row>
    <row r="962">
      <c r="A962" s="37" t="n">
        <v>9</v>
      </c>
      <c r="B962" s="11" t="inlineStr">
        <is>
          <t>Module 2 · Life &amp; Living</t>
        </is>
      </c>
      <c r="C962" s="11" t="inlineStr">
        <is>
          <t>2c</t>
        </is>
      </c>
      <c r="D962" s="11" t="inlineStr">
        <is>
          <t>Infinitive / -ing form (difference in meaning)</t>
        </is>
      </c>
      <c r="E962" s="35" t="inlineStr">
        <is>
          <t>Infinitive / -ing без смены значения: begin, start, continue, intend</t>
        </is>
      </c>
      <c r="F962" s="11" t="inlineStr">
        <is>
          <t>Ст-268</t>
        </is>
      </c>
      <c r="G962" s="40" t="inlineStr">
        <is>
          <t>новое</t>
        </is>
      </c>
      <c r="H962" s="11" t="inlineStr">
        <is>
          <t>две -ing подряд нельзя</t>
        </is>
      </c>
      <c r="I962" s="37" t="inlineStr">
        <is>
          <t>10+</t>
        </is>
      </c>
      <c r="J962" s="11">
        <f>IFERROR(INDEX('Уроки'!$H:$H,MATCH(F962,'Уроки'!$A:$A,0)),"")</f>
        <v/>
      </c>
      <c r="K962" s="11">
        <f>IFERROR(INDEX('Уроки'!$J:$J,MATCH(F962,'Уроки'!$A:$A,0)),"")</f>
        <v/>
      </c>
      <c r="L962" s="11" t="inlineStr">
        <is>
          <t>Spotlight / 9 класс / Module 2 · Life &amp; Living / Infinitive / -ing form (difference in meaning) / Infinitive / -ing без смены значения: begin, start, continue, intend</t>
        </is>
      </c>
    </row>
    <row r="963">
      <c r="A963" s="37" t="n">
        <v>9</v>
      </c>
      <c r="B963" s="11" t="inlineStr">
        <is>
          <t>Module 2 · Life &amp; Living</t>
        </is>
      </c>
      <c r="C963" s="11" t="inlineStr">
        <is>
          <t>2c</t>
        </is>
      </c>
      <c r="D963" s="11" t="inlineStr">
        <is>
          <t>Infinitive / -ing form (difference in meaning)</t>
        </is>
      </c>
      <c r="E963" s="35" t="inlineStr">
        <is>
          <t>Infinitive / -ing: advise, allow, encourage, permit, require + object + to-inf / + -ing; в пассиве только to-inf</t>
        </is>
      </c>
      <c r="F963" s="11" t="inlineStr">
        <is>
          <t>Ст-269</t>
        </is>
      </c>
      <c r="G963" s="40" t="inlineStr">
        <is>
          <t>новое</t>
        </is>
      </c>
      <c r="H963" s="11" t="inlineStr">
        <is>
          <t>be advised/allowed… + только to-inf</t>
        </is>
      </c>
      <c r="I963" s="37" t="inlineStr">
        <is>
          <t>10+</t>
        </is>
      </c>
      <c r="J963" s="11">
        <f>IFERROR(INDEX('Уроки'!$H:$H,MATCH(F963,'Уроки'!$A:$A,0)),"")</f>
        <v/>
      </c>
      <c r="K963" s="11">
        <f>IFERROR(INDEX('Уроки'!$J:$J,MATCH(F963,'Уроки'!$A:$A,0)),"")</f>
        <v/>
      </c>
      <c r="L963" s="11" t="inlineStr">
        <is>
          <t>Spotlight / 9 класс / Module 2 · Life &amp; Living / Infinitive / -ing form (difference in meaning) / Infinitive / -ing: advise, allow, encourage, permit, require + object + to-inf / + -ing; в пассиве только to-inf</t>
        </is>
      </c>
    </row>
    <row r="964">
      <c r="A964" s="37" t="n">
        <v>9</v>
      </c>
      <c r="B964" s="11" t="inlineStr">
        <is>
          <t>Module 2 · Life &amp; Living</t>
        </is>
      </c>
      <c r="C964" s="11" t="inlineStr">
        <is>
          <t>2c</t>
        </is>
      </c>
      <c r="D964" s="11" t="inlineStr">
        <is>
          <t>Infinitive / -ing form (difference in meaning)</t>
        </is>
      </c>
      <c r="E964" s="35" t="inlineStr">
        <is>
          <t>Infinitive / -ing: need/require/want + -ing / to be done (пассивное значение)</t>
        </is>
      </c>
      <c r="F964" s="11" t="inlineStr">
        <is>
          <t>Ст-270</t>
        </is>
      </c>
      <c r="G964" s="40" t="inlineStr">
        <is>
          <t>новое</t>
        </is>
      </c>
      <c r="H964" s="11" t="inlineStr">
        <is>
          <t>The lawn needs mowing / to be mowed</t>
        </is>
      </c>
      <c r="I964" s="37" t="inlineStr">
        <is>
          <t>10+</t>
        </is>
      </c>
      <c r="J964" s="11">
        <f>IFERROR(INDEX('Уроки'!$H:$H,MATCH(F964,'Уроки'!$A:$A,0)),"")</f>
        <v/>
      </c>
      <c r="K964" s="11">
        <f>IFERROR(INDEX('Уроки'!$J:$J,MATCH(F964,'Уроки'!$A:$A,0)),"")</f>
        <v/>
      </c>
      <c r="L964" s="11" t="inlineStr">
        <is>
          <t>Spotlight / 9 класс / Module 2 · Life &amp; Living / Infinitive / -ing form (difference in meaning) / Infinitive / -ing: need/require/want + -ing / to be done (пассивное значение)</t>
        </is>
      </c>
    </row>
    <row r="965">
      <c r="A965" s="37" t="n">
        <v>9</v>
      </c>
      <c r="B965" s="11" t="inlineStr">
        <is>
          <t>Module 2 · Life &amp; Living</t>
        </is>
      </c>
      <c r="C965" s="11" t="inlineStr">
        <is>
          <t>2c</t>
        </is>
      </c>
      <c r="D965" s="11" t="inlineStr">
        <is>
          <t>too / enough</t>
        </is>
      </c>
      <c r="E965" s="33" t="inlineStr">
        <is>
          <t>too / enough: too + прил./нареч. — чрезмерность</t>
        </is>
      </c>
      <c r="F965" s="11" t="inlineStr">
        <is>
          <t>Ст-473</t>
        </is>
      </c>
      <c r="G965" s="37" t="inlineStr">
        <is>
          <t>повторение</t>
        </is>
      </c>
      <c r="H965" s="11" t="inlineStr"/>
      <c r="I965" s="37" t="inlineStr">
        <is>
          <t>10+</t>
        </is>
      </c>
      <c r="J965" s="11">
        <f>IFERROR(INDEX('Уроки'!$H:$H,MATCH(F965,'Уроки'!$A:$A,0)),"")</f>
        <v/>
      </c>
      <c r="K965" s="11">
        <f>IFERROR(INDEX('Уроки'!$J:$J,MATCH(F965,'Уроки'!$A:$A,0)),"")</f>
        <v/>
      </c>
      <c r="L965" s="11" t="inlineStr">
        <is>
          <t>Spotlight / 9 класс / Module 2 · Life &amp; Living / too / enough / too / enough: too + прил./нареч. — чрезмерность</t>
        </is>
      </c>
    </row>
    <row r="966">
      <c r="A966" s="37" t="n">
        <v>9</v>
      </c>
      <c r="B966" s="11" t="inlineStr">
        <is>
          <t>Module 2 · Life &amp; Living</t>
        </is>
      </c>
      <c r="C966" s="11" t="inlineStr">
        <is>
          <t>2c</t>
        </is>
      </c>
      <c r="D966" s="11" t="inlineStr">
        <is>
          <t>too / enough</t>
        </is>
      </c>
      <c r="E966" s="33" t="inlineStr">
        <is>
          <t>too / enough: прил./нареч. + enough — достаточность</t>
        </is>
      </c>
      <c r="F966" s="11" t="inlineStr">
        <is>
          <t>Ст-474</t>
        </is>
      </c>
      <c r="G966" s="37" t="inlineStr">
        <is>
          <t>повторение</t>
        </is>
      </c>
      <c r="H966" s="11" t="inlineStr"/>
      <c r="I966" s="37" t="inlineStr">
        <is>
          <t>10+</t>
        </is>
      </c>
      <c r="J966" s="11">
        <f>IFERROR(INDEX('Уроки'!$H:$H,MATCH(F966,'Уроки'!$A:$A,0)),"")</f>
        <v/>
      </c>
      <c r="K966" s="11">
        <f>IFERROR(INDEX('Уроки'!$J:$J,MATCH(F966,'Уроки'!$A:$A,0)),"")</f>
        <v/>
      </c>
      <c r="L966" s="11" t="inlineStr">
        <is>
          <t>Spotlight / 9 класс / Module 2 · Life &amp; Living / too / enough / too / enough: прил./нареч. + enough — достаточность</t>
        </is>
      </c>
    </row>
    <row r="967">
      <c r="A967" s="37" t="n">
        <v>9</v>
      </c>
      <c r="B967" s="11" t="inlineStr">
        <is>
          <t>Module 2 · Life &amp; Living</t>
        </is>
      </c>
      <c r="C967" s="11" t="inlineStr">
        <is>
          <t>2c</t>
        </is>
      </c>
      <c r="D967" s="11" t="inlineStr">
        <is>
          <t>too / enough</t>
        </is>
      </c>
      <c r="E967" s="35" t="inlineStr">
        <is>
          <t>too / enough: enough / not enough + существительное</t>
        </is>
      </c>
      <c r="F967" s="11" t="inlineStr">
        <is>
          <t>Ст-475</t>
        </is>
      </c>
      <c r="G967" s="37" t="inlineStr">
        <is>
          <t>повторение</t>
        </is>
      </c>
      <c r="H967" s="11" t="inlineStr"/>
      <c r="I967" s="37" t="inlineStr">
        <is>
          <t>10+</t>
        </is>
      </c>
      <c r="J967" s="11">
        <f>IFERROR(INDEX('Уроки'!$H:$H,MATCH(F967,'Уроки'!$A:$A,0)),"")</f>
        <v/>
      </c>
      <c r="K967" s="11">
        <f>IFERROR(INDEX('Уроки'!$J:$J,MATCH(F967,'Уроки'!$A:$A,0)),"")</f>
        <v/>
      </c>
      <c r="L967" s="11" t="inlineStr">
        <is>
          <t>Spotlight / 9 класс / Module 2 · Life &amp; Living / too / enough / too / enough: enough / not enough + существительное</t>
        </is>
      </c>
    </row>
    <row r="968">
      <c r="A968" s="37" t="n">
        <v>9</v>
      </c>
      <c r="B968" s="11" t="inlineStr">
        <is>
          <t>Module 2 · Life &amp; Living</t>
        </is>
      </c>
      <c r="C968" s="11" t="inlineStr">
        <is>
          <t>2c</t>
        </is>
      </c>
      <c r="D968" s="11" t="inlineStr">
        <is>
          <t>too / enough</t>
        </is>
      </c>
      <c r="E968" s="35" t="inlineStr">
        <is>
          <t>too / enough: too … / … enough + to-infinitive</t>
        </is>
      </c>
      <c r="F968" s="11" t="inlineStr">
        <is>
          <t>Ст-476</t>
        </is>
      </c>
      <c r="G968" s="41" t="inlineStr">
        <is>
          <t>расширение</t>
        </is>
      </c>
      <c r="H968" s="11" t="inlineStr">
        <is>
          <t>выделено как модель + to-inf; not … enough — недостаточность</t>
        </is>
      </c>
      <c r="I968" s="37" t="inlineStr">
        <is>
          <t>10+</t>
        </is>
      </c>
      <c r="J968" s="11">
        <f>IFERROR(INDEX('Уроки'!$H:$H,MATCH(F968,'Уроки'!$A:$A,0)),"")</f>
        <v/>
      </c>
      <c r="K968" s="11">
        <f>IFERROR(INDEX('Уроки'!$J:$J,MATCH(F968,'Уроки'!$A:$A,0)),"")</f>
        <v/>
      </c>
      <c r="L968" s="11" t="inlineStr">
        <is>
          <t>Spotlight / 9 класс / Module 2 · Life &amp; Living / too / enough / too / enough: too … / … enough + to-infinitive</t>
        </is>
      </c>
    </row>
    <row r="969">
      <c r="A969" s="37" t="n">
        <v>9</v>
      </c>
      <c r="B969" s="11" t="inlineStr">
        <is>
          <t>Module 2 · Life &amp; Living</t>
        </is>
      </c>
      <c r="C969" s="11" t="inlineStr">
        <is>
          <t>2d</t>
        </is>
      </c>
      <c r="D969" s="11" t="inlineStr">
        <is>
          <t>Indirect questions</t>
        </is>
      </c>
      <c r="E969" s="34" t="inlineStr">
        <is>
          <t>Indirect questions: Could you tell me…? / Do you know…? — прямой порядок слов</t>
        </is>
      </c>
      <c r="F969" s="11" t="inlineStr">
        <is>
          <t>Ст-539</t>
        </is>
      </c>
      <c r="G969" s="37" t="inlineStr">
        <is>
          <t>повторение</t>
        </is>
      </c>
      <c r="H969" s="11" t="inlineStr"/>
      <c r="I969" s="37" t="inlineStr">
        <is>
          <t>10+</t>
        </is>
      </c>
      <c r="J969" s="11">
        <f>IFERROR(INDEX('Уроки'!$H:$H,MATCH(F969,'Уроки'!$A:$A,0)),"")</f>
        <v/>
      </c>
      <c r="K969" s="11">
        <f>IFERROR(INDEX('Уроки'!$J:$J,MATCH(F969,'Уроки'!$A:$A,0)),"")</f>
        <v/>
      </c>
      <c r="L969" s="11" t="inlineStr">
        <is>
          <t>Spotlight / 9 класс / Module 2 · Life &amp; Living / Indirect questions / Indirect questions: Could you tell me…? / Do you know…? — прямой порядок слов</t>
        </is>
      </c>
    </row>
    <row r="970">
      <c r="A970" s="37" t="n">
        <v>9</v>
      </c>
      <c r="B970" s="11" t="inlineStr">
        <is>
          <t>Module 2 · Life &amp; Living</t>
        </is>
      </c>
      <c r="C970" s="11" t="inlineStr">
        <is>
          <t>2d</t>
        </is>
      </c>
      <c r="D970" s="11" t="inlineStr">
        <is>
          <t>Indirect questions</t>
        </is>
      </c>
      <c r="E970" s="34" t="inlineStr">
        <is>
          <t>Indirect questions: I wonder / I want to know / I doubt — без вопросительного знака</t>
        </is>
      </c>
      <c r="F970" s="11" t="inlineStr">
        <is>
          <t>Ст-540</t>
        </is>
      </c>
      <c r="G970" s="37" t="inlineStr">
        <is>
          <t>повторение</t>
        </is>
      </c>
      <c r="H970" s="11" t="inlineStr"/>
      <c r="I970" s="37" t="inlineStr">
        <is>
          <t>10+</t>
        </is>
      </c>
      <c r="J970" s="11">
        <f>IFERROR(INDEX('Уроки'!$H:$H,MATCH(F970,'Уроки'!$A:$A,0)),"")</f>
        <v/>
      </c>
      <c r="K970" s="11">
        <f>IFERROR(INDEX('Уроки'!$J:$J,MATCH(F970,'Уроки'!$A:$A,0)),"")</f>
        <v/>
      </c>
      <c r="L970" s="11" t="inlineStr">
        <is>
          <t>Spotlight / 9 класс / Module 2 · Life &amp; Living / Indirect questions / Indirect questions: I wonder / I want to know / I doubt — без вопросительного знака</t>
        </is>
      </c>
    </row>
    <row r="971">
      <c r="A971" s="37" t="n">
        <v>9</v>
      </c>
      <c r="B971" s="11" t="inlineStr">
        <is>
          <t>Module 2 · Life &amp; Living</t>
        </is>
      </c>
      <c r="C971" s="11" t="inlineStr">
        <is>
          <t>2d</t>
        </is>
      </c>
      <c r="D971" s="11" t="inlineStr">
        <is>
          <t>Indirect questions</t>
        </is>
      </c>
      <c r="E971" s="34" t="inlineStr">
        <is>
          <t>Indirect questions: общий вопрос → if/whether</t>
        </is>
      </c>
      <c r="F971" s="11" t="inlineStr">
        <is>
          <t>Ст-541</t>
        </is>
      </c>
      <c r="G971" s="40" t="inlineStr">
        <is>
          <t>новое</t>
        </is>
      </c>
      <c r="H971" s="11" t="inlineStr"/>
      <c r="I971" s="37" t="inlineStr">
        <is>
          <t>10+</t>
        </is>
      </c>
      <c r="J971" s="11">
        <f>IFERROR(INDEX('Уроки'!$H:$H,MATCH(F971,'Уроки'!$A:$A,0)),"")</f>
        <v/>
      </c>
      <c r="K971" s="11">
        <f>IFERROR(INDEX('Уроки'!$J:$J,MATCH(F971,'Уроки'!$A:$A,0)),"")</f>
        <v/>
      </c>
      <c r="L971" s="11" t="inlineStr">
        <is>
          <t>Spotlight / 9 класс / Module 2 · Life &amp; Living / Indirect questions / Indirect questions: общий вопрос → if/whether</t>
        </is>
      </c>
    </row>
    <row r="972">
      <c r="A972" s="37" t="n">
        <v>9</v>
      </c>
      <c r="B972" s="11" t="inlineStr">
        <is>
          <t>Module 2 · Life &amp; Living</t>
        </is>
      </c>
      <c r="C972" s="11" t="inlineStr">
        <is>
          <t>2f</t>
        </is>
      </c>
      <c r="D972" s="11" t="inlineStr">
        <is>
          <t>Phrasal verbs</t>
        </is>
      </c>
      <c r="E972" s="35" t="inlineStr">
        <is>
          <t>Phrasal verbs: make</t>
        </is>
      </c>
      <c r="F972" s="11" t="inlineStr">
        <is>
          <t>Ст-598</t>
        </is>
      </c>
      <c r="G972" s="40" t="inlineStr">
        <is>
          <t>новое</t>
        </is>
      </c>
      <c r="H972" s="11" t="inlineStr">
        <is>
          <t>make: make of (понимать), make off with (убежать с украденным), make out (чётко видеть), make up (изобретать, придумывать), make up for (компенсировать что-либо).</t>
        </is>
      </c>
      <c r="I972" s="37" t="inlineStr">
        <is>
          <t>10+</t>
        </is>
      </c>
      <c r="J972" s="11">
        <f>IFERROR(INDEX('Уроки'!$H:$H,MATCH(F972,'Уроки'!$A:$A,0)),"")</f>
        <v/>
      </c>
      <c r="K972" s="11">
        <f>IFERROR(INDEX('Уроки'!$J:$J,MATCH(F972,'Уроки'!$A:$A,0)),"")</f>
        <v/>
      </c>
      <c r="L972" s="11" t="inlineStr">
        <is>
          <t>Spotlight / 9 класс / Module 2 · Life &amp; Living / Phrasal verbs / Phrasal verbs: make</t>
        </is>
      </c>
    </row>
    <row r="973">
      <c r="A973" s="37" t="n">
        <v>9</v>
      </c>
      <c r="B973" s="11" t="inlineStr">
        <is>
          <t>Module 2 · Life &amp; Living</t>
        </is>
      </c>
      <c r="C973" s="11" t="inlineStr">
        <is>
          <t>2f</t>
        </is>
      </c>
      <c r="D973" s="11" t="inlineStr">
        <is>
          <t>Word formation</t>
        </is>
      </c>
      <c r="E973" s="35" t="inlineStr">
        <is>
          <t>Word formation: nouns from adjectives</t>
        </is>
      </c>
      <c r="F973" s="11" t="inlineStr">
        <is>
          <t>Ст-623</t>
        </is>
      </c>
      <c r="G973" s="40" t="inlineStr">
        <is>
          <t>новое</t>
        </is>
      </c>
      <c r="H973" s="11" t="inlineStr">
        <is>
          <t>Word formation: образование существительных от прилагательных (nouns from adjectives).</t>
        </is>
      </c>
      <c r="I973" s="37" t="inlineStr">
        <is>
          <t>10+</t>
        </is>
      </c>
      <c r="J973" s="11">
        <f>IFERROR(INDEX('Уроки'!$H:$H,MATCH(F973,'Уроки'!$A:$A,0)),"")</f>
        <v/>
      </c>
      <c r="K973" s="11">
        <f>IFERROR(INDEX('Уроки'!$J:$J,MATCH(F973,'Уроки'!$A:$A,0)),"")</f>
        <v/>
      </c>
      <c r="L973" s="11" t="inlineStr">
        <is>
          <t>Spotlight / 9 класс / Module 2 · Life &amp; Living / Word formation / Word formation: nouns from adjectives</t>
        </is>
      </c>
    </row>
    <row r="974">
      <c r="A974" s="37" t="n">
        <v>9</v>
      </c>
      <c r="B974" s="11" t="inlineStr">
        <is>
          <t>Module 2 · Life &amp; Living</t>
        </is>
      </c>
      <c r="C974" s="11" t="inlineStr">
        <is>
          <t>2f</t>
        </is>
      </c>
      <c r="D974" s="11" t="inlineStr">
        <is>
          <t>Dependent prepositions</t>
        </is>
      </c>
      <c r="E974" s="35" t="inlineStr">
        <is>
          <t>Dependent prepositions</t>
        </is>
      </c>
      <c r="F974" s="11" t="inlineStr">
        <is>
          <t>Ст-633</t>
        </is>
      </c>
      <c r="G974" s="37" t="inlineStr">
        <is>
          <t>повторение</t>
        </is>
      </c>
      <c r="H974" s="11" t="inlineStr">
        <is>
          <t>Prepositions (заголовок раздела English in Use).</t>
        </is>
      </c>
      <c r="I974" s="37" t="inlineStr">
        <is>
          <t>10+</t>
        </is>
      </c>
      <c r="J974" s="11">
        <f>IFERROR(INDEX('Уроки'!$H:$H,MATCH(F974,'Уроки'!$A:$A,0)),"")</f>
        <v/>
      </c>
      <c r="K974" s="11">
        <f>IFERROR(INDEX('Уроки'!$J:$J,MATCH(F974,'Уроки'!$A:$A,0)),"")</f>
        <v/>
      </c>
      <c r="L974" s="11" t="inlineStr">
        <is>
          <t>Spotlight / 9 класс / Module 2 · Life &amp; Living / Dependent prepositions / Dependent prepositions</t>
        </is>
      </c>
    </row>
    <row r="975">
      <c r="A975" s="37" t="n">
        <v>9</v>
      </c>
      <c r="B975" s="11" t="inlineStr">
        <is>
          <t>Appendix 2</t>
        </is>
      </c>
      <c r="C975" s="11" t="inlineStr"/>
      <c r="D975" s="11" t="inlineStr">
        <is>
          <t>Dependent prepositions</t>
        </is>
      </c>
      <c r="E975" s="35" t="inlineStr">
        <is>
          <t>Dependent prepositions</t>
        </is>
      </c>
      <c r="F975" s="11" t="inlineStr">
        <is>
          <t>Ст-633</t>
        </is>
      </c>
      <c r="G975" s="37" t="inlineStr">
        <is>
          <t>повторение</t>
        </is>
      </c>
      <c r="H975" s="11" t="inlineStr">
        <is>
          <t>Общий список Appendix 2 (Dependent Prepositions), 59 сочетаний: add to (добавлять), afraid of (бояться), allergic to (иметь аллергию на), apart from (кроме), at auction (на аукционе), be at home (быть дома), be at school (быть в школе), be sold for (быть проданным за), believe in (верить в), burst i</t>
        </is>
      </c>
      <c r="I975" s="37" t="inlineStr">
        <is>
          <t>10+</t>
        </is>
      </c>
      <c r="J975" s="11">
        <f>IFERROR(INDEX('Уроки'!$H:$H,MATCH(F975,'Уроки'!$A:$A,0)),"")</f>
        <v/>
      </c>
      <c r="K975" s="11">
        <f>IFERROR(INDEX('Уроки'!$J:$J,MATCH(F975,'Уроки'!$A:$A,0)),"")</f>
        <v/>
      </c>
      <c r="L975" s="11" t="inlineStr">
        <is>
          <t>Spotlight / 9 класс / Appendix 2 / Dependent prepositions / Dependent prepositions</t>
        </is>
      </c>
    </row>
    <row r="976">
      <c r="A976" s="37" t="n">
        <v>9</v>
      </c>
      <c r="B976" s="11" t="inlineStr">
        <is>
          <t>Module 3 · See it to believe it</t>
        </is>
      </c>
      <c r="C976" s="11" t="inlineStr">
        <is>
          <t>3c</t>
        </is>
      </c>
      <c r="D976" s="11" t="inlineStr">
        <is>
          <t>Past Simple</t>
        </is>
      </c>
      <c r="E976" s="33" t="inlineStr">
        <is>
          <t>Past Simple: правильные глаголы — утверждение (-ed)</t>
        </is>
      </c>
      <c r="F976" s="11" t="inlineStr">
        <is>
          <t>Ст-001</t>
        </is>
      </c>
      <c r="G976" s="37" t="inlineStr">
        <is>
          <t>повторение</t>
        </is>
      </c>
      <c r="H976" s="11" t="inlineStr"/>
      <c r="I976" s="37" t="inlineStr">
        <is>
          <t>10+</t>
        </is>
      </c>
      <c r="J976" s="11">
        <f>IFERROR(INDEX('Уроки'!$H:$H,MATCH(F976,'Уроки'!$A:$A,0)),"")</f>
        <v/>
      </c>
      <c r="K976" s="11">
        <f>IFERROR(INDEX('Уроки'!$J:$J,MATCH(F976,'Уроки'!$A:$A,0)),"")</f>
        <v/>
      </c>
      <c r="L976" s="11" t="inlineStr">
        <is>
          <t>Spotlight / 9 класс / Module 3 · See it to believe it / Past Simple / Past Simple: правильные глаголы — утверждение (-ed)</t>
        </is>
      </c>
    </row>
    <row r="977">
      <c r="A977" s="37" t="n">
        <v>9</v>
      </c>
      <c r="B977" s="11" t="inlineStr">
        <is>
          <t>Module 3 · See it to believe it</t>
        </is>
      </c>
      <c r="C977" s="11" t="inlineStr">
        <is>
          <t>3c</t>
        </is>
      </c>
      <c r="D977" s="11" t="inlineStr">
        <is>
          <t>Past Simple</t>
        </is>
      </c>
      <c r="E977" s="33" t="inlineStr">
        <is>
          <t>Past Simple: орфография -ed</t>
        </is>
      </c>
      <c r="F977" s="11" t="inlineStr">
        <is>
          <t>Ст-005</t>
        </is>
      </c>
      <c r="G977" s="37" t="inlineStr">
        <is>
          <t>повторение</t>
        </is>
      </c>
      <c r="H977" s="11" t="inlineStr"/>
      <c r="I977" s="37" t="inlineStr">
        <is>
          <t>10+</t>
        </is>
      </c>
      <c r="J977" s="11">
        <f>IFERROR(INDEX('Уроки'!$H:$H,MATCH(F977,'Уроки'!$A:$A,0)),"")</f>
        <v/>
      </c>
      <c r="K977" s="11">
        <f>IFERROR(INDEX('Уроки'!$J:$J,MATCH(F977,'Уроки'!$A:$A,0)),"")</f>
        <v/>
      </c>
      <c r="L977" s="11" t="inlineStr">
        <is>
          <t>Spotlight / 9 класс / Module 3 · See it to believe it / Past Simple / Past Simple: орфография -ed</t>
        </is>
      </c>
    </row>
    <row r="978">
      <c r="A978" s="37" t="n">
        <v>9</v>
      </c>
      <c r="B978" s="11" t="inlineStr">
        <is>
          <t>Module 3 · See it to believe it</t>
        </is>
      </c>
      <c r="C978" s="11" t="inlineStr">
        <is>
          <t>3c</t>
        </is>
      </c>
      <c r="D978" s="11" t="inlineStr">
        <is>
          <t>Past Simple</t>
        </is>
      </c>
      <c r="E978" s="33" t="inlineStr">
        <is>
          <t>Past Simple: неправильные глаголы — утверждение</t>
        </is>
      </c>
      <c r="F978" s="11" t="inlineStr">
        <is>
          <t>Ст-006</t>
        </is>
      </c>
      <c r="G978" s="37" t="inlineStr">
        <is>
          <t>повторение</t>
        </is>
      </c>
      <c r="H978" s="11" t="inlineStr"/>
      <c r="I978" s="37" t="inlineStr">
        <is>
          <t>10+</t>
        </is>
      </c>
      <c r="J978" s="11">
        <f>IFERROR(INDEX('Уроки'!$H:$H,MATCH(F978,'Уроки'!$A:$A,0)),"")</f>
        <v/>
      </c>
      <c r="K978" s="11">
        <f>IFERROR(INDEX('Уроки'!$J:$J,MATCH(F978,'Уроки'!$A:$A,0)),"")</f>
        <v/>
      </c>
      <c r="L978" s="11" t="inlineStr">
        <is>
          <t>Spotlight / 9 класс / Module 3 · See it to believe it / Past Simple / Past Simple: неправильные глаголы — утверждение</t>
        </is>
      </c>
    </row>
    <row r="979">
      <c r="A979" s="37" t="n">
        <v>9</v>
      </c>
      <c r="B979" s="11" t="inlineStr">
        <is>
          <t>Module 3 · See it to believe it</t>
        </is>
      </c>
      <c r="C979" s="11" t="inlineStr">
        <is>
          <t>3c</t>
        </is>
      </c>
      <c r="D979" s="11" t="inlineStr">
        <is>
          <t>Past Simple</t>
        </is>
      </c>
      <c r="E979" s="33" t="inlineStr">
        <is>
          <t>Past Simple: одна форма для всех лиц, исключение was/were</t>
        </is>
      </c>
      <c r="F979" s="11" t="inlineStr">
        <is>
          <t>Ст-009</t>
        </is>
      </c>
      <c r="G979" s="37" t="inlineStr">
        <is>
          <t>повторение</t>
        </is>
      </c>
      <c r="H979" s="11" t="inlineStr"/>
      <c r="I979" s="37" t="inlineStr">
        <is>
          <t>10+</t>
        </is>
      </c>
      <c r="J979" s="11">
        <f>IFERROR(INDEX('Уроки'!$H:$H,MATCH(F979,'Уроки'!$A:$A,0)),"")</f>
        <v/>
      </c>
      <c r="K979" s="11">
        <f>IFERROR(INDEX('Уроки'!$J:$J,MATCH(F979,'Уроки'!$A:$A,0)),"")</f>
        <v/>
      </c>
      <c r="L979" s="11" t="inlineStr">
        <is>
          <t>Spotlight / 9 класс / Module 3 · See it to believe it / Past Simple / Past Simple: одна форма для всех лиц, исключение was/were</t>
        </is>
      </c>
    </row>
    <row r="980">
      <c r="A980" s="37" t="n">
        <v>9</v>
      </c>
      <c r="B980" s="11" t="inlineStr">
        <is>
          <t>Module 3 · See it to believe it</t>
        </is>
      </c>
      <c r="C980" s="11" t="inlineStr">
        <is>
          <t>3c</t>
        </is>
      </c>
      <c r="D980" s="11" t="inlineStr">
        <is>
          <t>Past Simple</t>
        </is>
      </c>
      <c r="E980" s="33" t="inlineStr">
        <is>
          <t>Past Simple: значение — действие в прошлом (yesterday, ago)</t>
        </is>
      </c>
      <c r="F980" s="11" t="inlineStr">
        <is>
          <t>Ст-010</t>
        </is>
      </c>
      <c r="G980" s="37" t="inlineStr">
        <is>
          <t>повторение</t>
        </is>
      </c>
      <c r="H980" s="11" t="inlineStr"/>
      <c r="I980" s="37" t="inlineStr">
        <is>
          <t>10+</t>
        </is>
      </c>
      <c r="J980" s="11">
        <f>IFERROR(INDEX('Уроки'!$H:$H,MATCH(F980,'Уроки'!$A:$A,0)),"")</f>
        <v/>
      </c>
      <c r="K980" s="11">
        <f>IFERROR(INDEX('Уроки'!$J:$J,MATCH(F980,'Уроки'!$A:$A,0)),"")</f>
        <v/>
      </c>
      <c r="L980" s="11" t="inlineStr">
        <is>
          <t>Spotlight / 9 класс / Module 3 · See it to believe it / Past Simple / Past Simple: значение — действие в прошлом (yesterday, ago)</t>
        </is>
      </c>
    </row>
    <row r="981">
      <c r="A981" s="37" t="n">
        <v>9</v>
      </c>
      <c r="B981" s="11" t="inlineStr">
        <is>
          <t>Module 3 · See it to believe it</t>
        </is>
      </c>
      <c r="C981" s="11" t="inlineStr">
        <is>
          <t>3c</t>
        </is>
      </c>
      <c r="D981" s="11" t="inlineStr">
        <is>
          <t>Past Simple</t>
        </is>
      </c>
      <c r="E981" s="33" t="inlineStr">
        <is>
          <t>Past Simple: значение — действие в указанное время в прошлом</t>
        </is>
      </c>
      <c r="F981" s="11" t="inlineStr">
        <is>
          <t>Ст-011</t>
        </is>
      </c>
      <c r="G981" s="37" t="inlineStr">
        <is>
          <t>повторение</t>
        </is>
      </c>
      <c r="H981" s="11" t="inlineStr"/>
      <c r="I981" s="37" t="inlineStr">
        <is>
          <t>10+</t>
        </is>
      </c>
      <c r="J981" s="11">
        <f>IFERROR(INDEX('Уроки'!$H:$H,MATCH(F981,'Уроки'!$A:$A,0)),"")</f>
        <v/>
      </c>
      <c r="K981" s="11">
        <f>IFERROR(INDEX('Уроки'!$J:$J,MATCH(F981,'Уроки'!$A:$A,0)),"")</f>
        <v/>
      </c>
      <c r="L981" s="11" t="inlineStr">
        <is>
          <t>Spotlight / 9 класс / Module 3 · See it to believe it / Past Simple / Past Simple: значение — действие в указанное время в прошлом</t>
        </is>
      </c>
    </row>
    <row r="982">
      <c r="A982" s="37" t="n">
        <v>9</v>
      </c>
      <c r="B982" s="11" t="inlineStr">
        <is>
          <t>Module 3 · See it to believe it</t>
        </is>
      </c>
      <c r="C982" s="11" t="inlineStr">
        <is>
          <t>3c</t>
        </is>
      </c>
      <c r="D982" s="11" t="inlineStr">
        <is>
          <t>Past Simple</t>
        </is>
      </c>
      <c r="E982" s="35" t="inlineStr">
        <is>
          <t>Past Simple: значение — повторяющиеся действия и привычки в прошлом</t>
        </is>
      </c>
      <c r="F982" s="11" t="inlineStr">
        <is>
          <t>Ст-012</t>
        </is>
      </c>
      <c r="G982" s="37" t="inlineStr">
        <is>
          <t>повторение</t>
        </is>
      </c>
      <c r="H982" s="11" t="inlineStr"/>
      <c r="I982" s="37" t="inlineStr">
        <is>
          <t>10+</t>
        </is>
      </c>
      <c r="J982" s="11">
        <f>IFERROR(INDEX('Уроки'!$H:$H,MATCH(F982,'Уроки'!$A:$A,0)),"")</f>
        <v/>
      </c>
      <c r="K982" s="11">
        <f>IFERROR(INDEX('Уроки'!$J:$J,MATCH(F982,'Уроки'!$A:$A,0)),"")</f>
        <v/>
      </c>
      <c r="L982" s="11" t="inlineStr">
        <is>
          <t>Spotlight / 9 класс / Module 3 · See it to believe it / Past Simple / Past Simple: значение — повторяющиеся действия и привычки в прошлом</t>
        </is>
      </c>
    </row>
    <row r="983">
      <c r="A983" s="37" t="n">
        <v>9</v>
      </c>
      <c r="B983" s="11" t="inlineStr">
        <is>
          <t>Module 3 · See it to believe it</t>
        </is>
      </c>
      <c r="C983" s="11" t="inlineStr">
        <is>
          <t>3c</t>
        </is>
      </c>
      <c r="D983" s="11" t="inlineStr">
        <is>
          <t>Past Simple</t>
        </is>
      </c>
      <c r="E983" s="34" t="inlineStr">
        <is>
          <t>Past Simple: значение — последовательные действия</t>
        </is>
      </c>
      <c r="F983" s="11" t="inlineStr">
        <is>
          <t>Ст-013</t>
        </is>
      </c>
      <c r="G983" s="37" t="inlineStr">
        <is>
          <t>повторение</t>
        </is>
      </c>
      <c r="H983" s="11" t="inlineStr"/>
      <c r="I983" s="37" t="inlineStr">
        <is>
          <t>10+</t>
        </is>
      </c>
      <c r="J983" s="11">
        <f>IFERROR(INDEX('Уроки'!$H:$H,MATCH(F983,'Уроки'!$A:$A,0)),"")</f>
        <v/>
      </c>
      <c r="K983" s="11">
        <f>IFERROR(INDEX('Уроки'!$J:$J,MATCH(F983,'Уроки'!$A:$A,0)),"")</f>
        <v/>
      </c>
      <c r="L983" s="11" t="inlineStr">
        <is>
          <t>Spotlight / 9 класс / Module 3 · See it to believe it / Past Simple / Past Simple: значение — последовательные действия</t>
        </is>
      </c>
    </row>
    <row r="984">
      <c r="A984" s="37" t="n">
        <v>9</v>
      </c>
      <c r="B984" s="11" t="inlineStr">
        <is>
          <t>Module 3 · See it to believe it</t>
        </is>
      </c>
      <c r="C984" s="11" t="inlineStr">
        <is>
          <t>3c</t>
        </is>
      </c>
      <c r="D984" s="11" t="inlineStr">
        <is>
          <t>Past Simple</t>
        </is>
      </c>
      <c r="E984" s="35" t="inlineStr">
        <is>
          <t>Past Simple: значение — завершённые действия без связи с настоящим</t>
        </is>
      </c>
      <c r="F984" s="11" t="inlineStr">
        <is>
          <t>Ст-014</t>
        </is>
      </c>
      <c r="G984" s="40" t="inlineStr">
        <is>
          <t>новое</t>
        </is>
      </c>
      <c r="H984" s="11" t="inlineStr"/>
      <c r="I984" s="37" t="inlineStr">
        <is>
          <t>10+</t>
        </is>
      </c>
      <c r="J984" s="11">
        <f>IFERROR(INDEX('Уроки'!$H:$H,MATCH(F984,'Уроки'!$A:$A,0)),"")</f>
        <v/>
      </c>
      <c r="K984" s="11">
        <f>IFERROR(INDEX('Уроки'!$J:$J,MATCH(F984,'Уроки'!$A:$A,0)),"")</f>
        <v/>
      </c>
      <c r="L984" s="11" t="inlineStr">
        <is>
          <t>Spotlight / 9 класс / Module 3 · See it to believe it / Past Simple / Past Simple: значение — завершённые действия без связи с настоящим</t>
        </is>
      </c>
    </row>
    <row r="985">
      <c r="A985" s="37" t="n">
        <v>9</v>
      </c>
      <c r="B985" s="11" t="inlineStr">
        <is>
          <t>Module 3 · See it to believe it</t>
        </is>
      </c>
      <c r="C985" s="11" t="inlineStr">
        <is>
          <t>3c</t>
        </is>
      </c>
      <c r="D985" s="11" t="inlineStr">
        <is>
          <t>Past Continuous</t>
        </is>
      </c>
      <c r="E985" s="33" t="inlineStr">
        <is>
          <t>Past Continuous: утверждение (was/were + V-ing)</t>
        </is>
      </c>
      <c r="F985" s="11" t="inlineStr">
        <is>
          <t>Ст-086</t>
        </is>
      </c>
      <c r="G985" s="37" t="inlineStr">
        <is>
          <t>повторение</t>
        </is>
      </c>
      <c r="H985" s="11" t="inlineStr"/>
      <c r="I985" s="37" t="inlineStr">
        <is>
          <t>10+</t>
        </is>
      </c>
      <c r="J985" s="11">
        <f>IFERROR(INDEX('Уроки'!$H:$H,MATCH(F985,'Уроки'!$A:$A,0)),"")</f>
        <v/>
      </c>
      <c r="K985" s="11">
        <f>IFERROR(INDEX('Уроки'!$J:$J,MATCH(F985,'Уроки'!$A:$A,0)),"")</f>
        <v/>
      </c>
      <c r="L985" s="11" t="inlineStr">
        <is>
          <t>Spotlight / 9 класс / Module 3 · See it to believe it / Past Continuous / Past Continuous: утверждение (was/were + V-ing)</t>
        </is>
      </c>
    </row>
    <row r="986">
      <c r="A986" s="37" t="n">
        <v>9</v>
      </c>
      <c r="B986" s="11" t="inlineStr">
        <is>
          <t>Module 3 · See it to believe it</t>
        </is>
      </c>
      <c r="C986" s="11" t="inlineStr">
        <is>
          <t>3c</t>
        </is>
      </c>
      <c r="D986" s="11" t="inlineStr">
        <is>
          <t>Past Continuous</t>
        </is>
      </c>
      <c r="E986" s="33" t="inlineStr">
        <is>
          <t>Past Continuous: значение — действие в процессе в момент прошлого</t>
        </is>
      </c>
      <c r="F986" s="11" t="inlineStr">
        <is>
          <t>Ст-087</t>
        </is>
      </c>
      <c r="G986" s="37" t="inlineStr">
        <is>
          <t>повторение</t>
        </is>
      </c>
      <c r="H986" s="11" t="inlineStr"/>
      <c r="I986" s="37" t="inlineStr">
        <is>
          <t>10+</t>
        </is>
      </c>
      <c r="J986" s="11">
        <f>IFERROR(INDEX('Уроки'!$H:$H,MATCH(F986,'Уроки'!$A:$A,0)),"")</f>
        <v/>
      </c>
      <c r="K986" s="11">
        <f>IFERROR(INDEX('Уроки'!$J:$J,MATCH(F986,'Уроки'!$A:$A,0)),"")</f>
        <v/>
      </c>
      <c r="L986" s="11" t="inlineStr">
        <is>
          <t>Spotlight / 9 класс / Module 3 · See it to believe it / Past Continuous / Past Continuous: значение — действие в процессе в момент прошлого</t>
        </is>
      </c>
    </row>
    <row r="987">
      <c r="A987" s="37" t="n">
        <v>9</v>
      </c>
      <c r="B987" s="11" t="inlineStr">
        <is>
          <t>Module 3 · See it to believe it</t>
        </is>
      </c>
      <c r="C987" s="11" t="inlineStr">
        <is>
          <t>3c</t>
        </is>
      </c>
      <c r="D987" s="11" t="inlineStr">
        <is>
          <t>Past Continuous</t>
        </is>
      </c>
      <c r="E987" s="33" t="inlineStr">
        <is>
          <t>Past Continuous: значение — длительное действие, прерванное другим (when)</t>
        </is>
      </c>
      <c r="F987" s="11" t="inlineStr">
        <is>
          <t>Ст-088</t>
        </is>
      </c>
      <c r="G987" s="37" t="inlineStr">
        <is>
          <t>повторение</t>
        </is>
      </c>
      <c r="H987" s="11" t="inlineStr"/>
      <c r="I987" s="37" t="inlineStr">
        <is>
          <t>10+</t>
        </is>
      </c>
      <c r="J987" s="11">
        <f>IFERROR(INDEX('Уроки'!$H:$H,MATCH(F987,'Уроки'!$A:$A,0)),"")</f>
        <v/>
      </c>
      <c r="K987" s="11">
        <f>IFERROR(INDEX('Уроки'!$J:$J,MATCH(F987,'Уроки'!$A:$A,0)),"")</f>
        <v/>
      </c>
      <c r="L987" s="11" t="inlineStr">
        <is>
          <t>Spotlight / 9 класс / Module 3 · See it to believe it / Past Continuous / Past Continuous: значение — длительное действие, прерванное другим (when)</t>
        </is>
      </c>
    </row>
    <row r="988">
      <c r="A988" s="37" t="n">
        <v>9</v>
      </c>
      <c r="B988" s="11" t="inlineStr">
        <is>
          <t>Module 3 · See it to believe it</t>
        </is>
      </c>
      <c r="C988" s="11" t="inlineStr">
        <is>
          <t>3c</t>
        </is>
      </c>
      <c r="D988" s="11" t="inlineStr">
        <is>
          <t>Past Continuous</t>
        </is>
      </c>
      <c r="E988" s="33" t="inlineStr">
        <is>
          <t>Past Continuous: значение — одновременные действия (while)</t>
        </is>
      </c>
      <c r="F988" s="11" t="inlineStr">
        <is>
          <t>Ст-089</t>
        </is>
      </c>
      <c r="G988" s="37" t="inlineStr">
        <is>
          <t>повторение</t>
        </is>
      </c>
      <c r="H988" s="11" t="inlineStr"/>
      <c r="I988" s="37" t="inlineStr">
        <is>
          <t>10+</t>
        </is>
      </c>
      <c r="J988" s="11">
        <f>IFERROR(INDEX('Уроки'!$H:$H,MATCH(F988,'Уроки'!$A:$A,0)),"")</f>
        <v/>
      </c>
      <c r="K988" s="11">
        <f>IFERROR(INDEX('Уроки'!$J:$J,MATCH(F988,'Уроки'!$A:$A,0)),"")</f>
        <v/>
      </c>
      <c r="L988" s="11" t="inlineStr">
        <is>
          <t>Spotlight / 9 класс / Module 3 · See it to believe it / Past Continuous / Past Continuous: значение — одновременные действия (while)</t>
        </is>
      </c>
    </row>
    <row r="989">
      <c r="A989" s="37" t="n">
        <v>9</v>
      </c>
      <c r="B989" s="11" t="inlineStr">
        <is>
          <t>Module 3 · See it to believe it</t>
        </is>
      </c>
      <c r="C989" s="11" t="inlineStr">
        <is>
          <t>3c</t>
        </is>
      </c>
      <c r="D989" s="11" t="inlineStr">
        <is>
          <t>Past Continuous</t>
        </is>
      </c>
      <c r="E989" s="33" t="inlineStr">
        <is>
          <t>Past Continuous: значение — фон и атмосфера в рассказе</t>
        </is>
      </c>
      <c r="F989" s="11" t="inlineStr">
        <is>
          <t>Ст-090</t>
        </is>
      </c>
      <c r="G989" s="37" t="inlineStr">
        <is>
          <t>повторение</t>
        </is>
      </c>
      <c r="H989" s="11" t="inlineStr"/>
      <c r="I989" s="37" t="inlineStr">
        <is>
          <t>10+</t>
        </is>
      </c>
      <c r="J989" s="11">
        <f>IFERROR(INDEX('Уроки'!$H:$H,MATCH(F989,'Уроки'!$A:$A,0)),"")</f>
        <v/>
      </c>
      <c r="K989" s="11">
        <f>IFERROR(INDEX('Уроки'!$J:$J,MATCH(F989,'Уроки'!$A:$A,0)),"")</f>
        <v/>
      </c>
      <c r="L989" s="11" t="inlineStr">
        <is>
          <t>Spotlight / 9 класс / Module 3 · See it to believe it / Past Continuous / Past Continuous: значение — фон и атмосфера в рассказе</t>
        </is>
      </c>
    </row>
    <row r="990">
      <c r="A990" s="37" t="n">
        <v>9</v>
      </c>
      <c r="B990" s="11" t="inlineStr">
        <is>
          <t>Module 3 · See it to believe it</t>
        </is>
      </c>
      <c r="C990" s="11" t="inlineStr">
        <is>
          <t>3c</t>
        </is>
      </c>
      <c r="D990" s="11" t="inlineStr">
        <is>
          <t>Past Simple vs Past Continuous</t>
        </is>
      </c>
      <c r="E990" s="35" t="inlineStr">
        <is>
          <t>Past Simple vs Past Continuous: указанное время — завершённое vs в процессе</t>
        </is>
      </c>
      <c r="F990" s="11" t="inlineStr">
        <is>
          <t>Ст-092</t>
        </is>
      </c>
      <c r="G990" s="37" t="inlineStr">
        <is>
          <t>повторение</t>
        </is>
      </c>
      <c r="H990" s="11" t="inlineStr"/>
      <c r="I990" s="37" t="inlineStr">
        <is>
          <t>10+</t>
        </is>
      </c>
      <c r="J990" s="11">
        <f>IFERROR(INDEX('Уроки'!$H:$H,MATCH(F990,'Уроки'!$A:$A,0)),"")</f>
        <v/>
      </c>
      <c r="K990" s="11">
        <f>IFERROR(INDEX('Уроки'!$J:$J,MATCH(F990,'Уроки'!$A:$A,0)),"")</f>
        <v/>
      </c>
      <c r="L990" s="11" t="inlineStr">
        <is>
          <t>Spotlight / 9 класс / Module 3 · See it to believe it / Past Simple vs Past Continuous / Past Simple vs Past Continuous: указанное время — завершённое vs в процессе</t>
        </is>
      </c>
    </row>
    <row r="991">
      <c r="A991" s="37" t="n">
        <v>9</v>
      </c>
      <c r="B991" s="11" t="inlineStr">
        <is>
          <t>Module 3 · See it to believe it</t>
        </is>
      </c>
      <c r="C991" s="11" t="inlineStr">
        <is>
          <t>3c</t>
        </is>
      </c>
      <c r="D991" s="11" t="inlineStr">
        <is>
          <t>Past Simple vs Past Continuous</t>
        </is>
      </c>
      <c r="E991" s="35" t="inlineStr">
        <is>
          <t>Past Simple vs Past Continuous: последовательные vs одновременные действия</t>
        </is>
      </c>
      <c r="F991" s="11" t="inlineStr">
        <is>
          <t>Ст-093</t>
        </is>
      </c>
      <c r="G991" s="37" t="inlineStr">
        <is>
          <t>повторение</t>
        </is>
      </c>
      <c r="H991" s="11" t="inlineStr"/>
      <c r="I991" s="37" t="inlineStr">
        <is>
          <t>10+</t>
        </is>
      </c>
      <c r="J991" s="11">
        <f>IFERROR(INDEX('Уроки'!$H:$H,MATCH(F991,'Уроки'!$A:$A,0)),"")</f>
        <v/>
      </c>
      <c r="K991" s="11">
        <f>IFERROR(INDEX('Уроки'!$J:$J,MATCH(F991,'Уроки'!$A:$A,0)),"")</f>
        <v/>
      </c>
      <c r="L991" s="11" t="inlineStr">
        <is>
          <t>Spotlight / 9 класс / Module 3 · See it to believe it / Past Simple vs Past Continuous / Past Simple vs Past Continuous: последовательные vs одновременные действия</t>
        </is>
      </c>
    </row>
    <row r="992">
      <c r="A992" s="37" t="n">
        <v>9</v>
      </c>
      <c r="B992" s="11" t="inlineStr">
        <is>
          <t>Module 3 · See it to believe it</t>
        </is>
      </c>
      <c r="C992" s="11" t="inlineStr">
        <is>
          <t>3c</t>
        </is>
      </c>
      <c r="D992" s="11" t="inlineStr">
        <is>
          <t>Past Simple vs Past Continuous</t>
        </is>
      </c>
      <c r="E992" s="34" t="inlineStr">
        <is>
          <t>Past Simple vs Past Continuous: прерванное (PC) и прерывающее (PS) действие</t>
        </is>
      </c>
      <c r="F992" s="11" t="inlineStr">
        <is>
          <t>Ст-094</t>
        </is>
      </c>
      <c r="G992" s="37" t="inlineStr">
        <is>
          <t>повторение</t>
        </is>
      </c>
      <c r="H992" s="11" t="inlineStr"/>
      <c r="I992" s="37" t="inlineStr">
        <is>
          <t>10+</t>
        </is>
      </c>
      <c r="J992" s="11">
        <f>IFERROR(INDEX('Уроки'!$H:$H,MATCH(F992,'Уроки'!$A:$A,0)),"")</f>
        <v/>
      </c>
      <c r="K992" s="11">
        <f>IFERROR(INDEX('Уроки'!$J:$J,MATCH(F992,'Уроки'!$A:$A,0)),"")</f>
        <v/>
      </c>
      <c r="L992" s="11" t="inlineStr">
        <is>
          <t>Spotlight / 9 класс / Module 3 · See it to believe it / Past Simple vs Past Continuous / Past Simple vs Past Continuous: прерванное (PC) и прерывающее (PS) действие</t>
        </is>
      </c>
    </row>
    <row r="993">
      <c r="A993" s="37" t="n">
        <v>9</v>
      </c>
      <c r="B993" s="11" t="inlineStr">
        <is>
          <t>Module 3 · See it to believe it</t>
        </is>
      </c>
      <c r="C993" s="11" t="inlineStr">
        <is>
          <t>3c</t>
        </is>
      </c>
      <c r="D993" s="11" t="inlineStr">
        <is>
          <t>Past Perfect</t>
        </is>
      </c>
      <c r="E993" s="33" t="inlineStr">
        <is>
          <t>Past Perfect: образование (had + V3)</t>
        </is>
      </c>
      <c r="F993" s="11" t="inlineStr">
        <is>
          <t>Ст-107</t>
        </is>
      </c>
      <c r="G993" s="37" t="inlineStr">
        <is>
          <t>повторение</t>
        </is>
      </c>
      <c r="H993" s="11" t="inlineStr"/>
      <c r="I993" s="37" t="inlineStr">
        <is>
          <t>10+</t>
        </is>
      </c>
      <c r="J993" s="11">
        <f>IFERROR(INDEX('Уроки'!$H:$H,MATCH(F993,'Уроки'!$A:$A,0)),"")</f>
        <v/>
      </c>
      <c r="K993" s="11">
        <f>IFERROR(INDEX('Уроки'!$J:$J,MATCH(F993,'Уроки'!$A:$A,0)),"")</f>
        <v/>
      </c>
      <c r="L993" s="11" t="inlineStr">
        <is>
          <t>Spotlight / 9 класс / Module 3 · See it to believe it / Past Perfect / Past Perfect: образование (had + V3)</t>
        </is>
      </c>
    </row>
    <row r="994">
      <c r="A994" s="37" t="n">
        <v>9</v>
      </c>
      <c r="B994" s="11" t="inlineStr">
        <is>
          <t>Module 3 · See it to believe it</t>
        </is>
      </c>
      <c r="C994" s="11" t="inlineStr">
        <is>
          <t>3c</t>
        </is>
      </c>
      <c r="D994" s="11" t="inlineStr">
        <is>
          <t>Past Perfect</t>
        </is>
      </c>
      <c r="E994" s="33" t="inlineStr">
        <is>
          <t>Past Perfect: значение — действие до другого действия/момента в прошлом</t>
        </is>
      </c>
      <c r="F994" s="11" t="inlineStr">
        <is>
          <t>Ст-108</t>
        </is>
      </c>
      <c r="G994" s="37" t="inlineStr">
        <is>
          <t>повторение</t>
        </is>
      </c>
      <c r="H994" s="11" t="inlineStr"/>
      <c r="I994" s="37" t="inlineStr">
        <is>
          <t>10+</t>
        </is>
      </c>
      <c r="J994" s="11">
        <f>IFERROR(INDEX('Уроки'!$H:$H,MATCH(F994,'Уроки'!$A:$A,0)),"")</f>
        <v/>
      </c>
      <c r="K994" s="11">
        <f>IFERROR(INDEX('Уроки'!$J:$J,MATCH(F994,'Уроки'!$A:$A,0)),"")</f>
        <v/>
      </c>
      <c r="L994" s="11" t="inlineStr">
        <is>
          <t>Spotlight / 9 класс / Module 3 · See it to believe it / Past Perfect / Past Perfect: значение — действие до другого действия/момента в прошлом</t>
        </is>
      </c>
    </row>
    <row r="995">
      <c r="A995" s="37" t="n">
        <v>9</v>
      </c>
      <c r="B995" s="11" t="inlineStr">
        <is>
          <t>Module 3 · See it to believe it</t>
        </is>
      </c>
      <c r="C995" s="11" t="inlineStr">
        <is>
          <t>3c</t>
        </is>
      </c>
      <c r="D995" s="11" t="inlineStr">
        <is>
          <t>Past Perfect</t>
        </is>
      </c>
      <c r="E995" s="35" t="inlineStr">
        <is>
          <t>Past Perfect: значение — завершённое действие с результатом в прошлом</t>
        </is>
      </c>
      <c r="F995" s="11" t="inlineStr">
        <is>
          <t>Ст-109</t>
        </is>
      </c>
      <c r="G995" s="37" t="inlineStr">
        <is>
          <t>повторение</t>
        </is>
      </c>
      <c r="H995" s="11" t="inlineStr">
        <is>
          <t xml:space="preserve"> = Present Perfect в прошлом</t>
        </is>
      </c>
      <c r="I995" s="37" t="inlineStr">
        <is>
          <t>10+</t>
        </is>
      </c>
      <c r="J995" s="11">
        <f>IFERROR(INDEX('Уроки'!$H:$H,MATCH(F995,'Уроки'!$A:$A,0)),"")</f>
        <v/>
      </c>
      <c r="K995" s="11">
        <f>IFERROR(INDEX('Уроки'!$J:$J,MATCH(F995,'Уроки'!$A:$A,0)),"")</f>
        <v/>
      </c>
      <c r="L995" s="11" t="inlineStr">
        <is>
          <t>Spotlight / 9 класс / Module 3 · See it to believe it / Past Perfect / Past Perfect: значение — завершённое действие с результатом в прошлом</t>
        </is>
      </c>
    </row>
    <row r="996">
      <c r="A996" s="37" t="n">
        <v>9</v>
      </c>
      <c r="B996" s="11" t="inlineStr">
        <is>
          <t>Module 3 · See it to believe it</t>
        </is>
      </c>
      <c r="C996" s="11" t="inlineStr">
        <is>
          <t>3c</t>
        </is>
      </c>
      <c r="D996" s="11" t="inlineStr">
        <is>
          <t>Past Perfect Continuous</t>
        </is>
      </c>
      <c r="E996" s="33" t="inlineStr">
        <is>
          <t>Past Perfect Continuous: образование (had been + V-ing)</t>
        </is>
      </c>
      <c r="F996" s="11" t="inlineStr">
        <is>
          <t>Ст-111</t>
        </is>
      </c>
      <c r="G996" s="37" t="inlineStr">
        <is>
          <t>повторение</t>
        </is>
      </c>
      <c r="H996" s="11" t="inlineStr"/>
      <c r="I996" s="37" t="inlineStr">
        <is>
          <t>10+</t>
        </is>
      </c>
      <c r="J996" s="11">
        <f>IFERROR(INDEX('Уроки'!$H:$H,MATCH(F996,'Уроки'!$A:$A,0)),"")</f>
        <v/>
      </c>
      <c r="K996" s="11">
        <f>IFERROR(INDEX('Уроки'!$J:$J,MATCH(F996,'Уроки'!$A:$A,0)),"")</f>
        <v/>
      </c>
      <c r="L996" s="11" t="inlineStr">
        <is>
          <t>Spotlight / 9 класс / Module 3 · See it to believe it / Past Perfect Continuous / Past Perfect Continuous: образование (had been + V-ing)</t>
        </is>
      </c>
    </row>
    <row r="997">
      <c r="A997" s="37" t="n">
        <v>9</v>
      </c>
      <c r="B997" s="11" t="inlineStr">
        <is>
          <t>Module 3 · See it to believe it</t>
        </is>
      </c>
      <c r="C997" s="11" t="inlineStr">
        <is>
          <t>3c</t>
        </is>
      </c>
      <c r="D997" s="11" t="inlineStr">
        <is>
          <t>Past Perfect Continuous</t>
        </is>
      </c>
      <c r="E997" s="33" t="inlineStr">
        <is>
          <t>Past Perfect Continuous: значение — длительность до другого прошлого действия</t>
        </is>
      </c>
      <c r="F997" s="11" t="inlineStr">
        <is>
          <t>Ст-112</t>
        </is>
      </c>
      <c r="G997" s="37" t="inlineStr">
        <is>
          <t>повторение</t>
        </is>
      </c>
      <c r="H997" s="11" t="inlineStr">
        <is>
          <t>since, for, how long</t>
        </is>
      </c>
      <c r="I997" s="37" t="inlineStr">
        <is>
          <t>10+</t>
        </is>
      </c>
      <c r="J997" s="11">
        <f>IFERROR(INDEX('Уроки'!$H:$H,MATCH(F997,'Уроки'!$A:$A,0)),"")</f>
        <v/>
      </c>
      <c r="K997" s="11">
        <f>IFERROR(INDEX('Уроки'!$J:$J,MATCH(F997,'Уроки'!$A:$A,0)),"")</f>
        <v/>
      </c>
      <c r="L997" s="11" t="inlineStr">
        <is>
          <t>Spotlight / 9 класс / Module 3 · See it to believe it / Past Perfect Continuous / Past Perfect Continuous: значение — длительность до другого прошлого действия</t>
        </is>
      </c>
    </row>
    <row r="998">
      <c r="A998" s="37" t="n">
        <v>9</v>
      </c>
      <c r="B998" s="11" t="inlineStr">
        <is>
          <t>Module 3 · See it to believe it</t>
        </is>
      </c>
      <c r="C998" s="11" t="inlineStr">
        <is>
          <t>3c</t>
        </is>
      </c>
      <c r="D998" s="11" t="inlineStr">
        <is>
          <t>Past Perfect Continuous</t>
        </is>
      </c>
      <c r="E998" s="35" t="inlineStr">
        <is>
          <t>Past Perfect Continuous: значение — длительное действие с видимым результатом в прошлом</t>
        </is>
      </c>
      <c r="F998" s="11" t="inlineStr">
        <is>
          <t>Ст-113</t>
        </is>
      </c>
      <c r="G998" s="37" t="inlineStr">
        <is>
          <t>повторение</t>
        </is>
      </c>
      <c r="H998" s="11" t="inlineStr">
        <is>
          <t xml:space="preserve"> = Present Perfect Continuous в прошлом</t>
        </is>
      </c>
      <c r="I998" s="37" t="inlineStr">
        <is>
          <t>10+</t>
        </is>
      </c>
      <c r="J998" s="11">
        <f>IFERROR(INDEX('Уроки'!$H:$H,MATCH(F998,'Уроки'!$A:$A,0)),"")</f>
        <v/>
      </c>
      <c r="K998" s="11">
        <f>IFERROR(INDEX('Уроки'!$J:$J,MATCH(F998,'Уроки'!$A:$A,0)),"")</f>
        <v/>
      </c>
      <c r="L998" s="11" t="inlineStr">
        <is>
          <t>Spotlight / 9 класс / Module 3 · See it to believe it / Past Perfect Continuous / Past Perfect Continuous: значение — длительное действие с видимым результатом в прошлом</t>
        </is>
      </c>
    </row>
    <row r="999">
      <c r="A999" s="37" t="n">
        <v>9</v>
      </c>
      <c r="B999" s="11" t="inlineStr">
        <is>
          <t>Module 3 · See it to believe it</t>
        </is>
      </c>
      <c r="C999" s="11" t="inlineStr">
        <is>
          <t>3d</t>
        </is>
      </c>
      <c r="D999" s="11" t="inlineStr">
        <is>
          <t>Modal verbs (deduction)</t>
        </is>
      </c>
      <c r="E999" s="35" t="inlineStr">
        <is>
          <t>Modal verbs (deduction): must — уверенность (о настоящем)</t>
        </is>
      </c>
      <c r="F999" s="11" t="inlineStr">
        <is>
          <t>Ст-172</t>
        </is>
      </c>
      <c r="G999" s="37" t="inlineStr">
        <is>
          <t>повторение</t>
        </is>
      </c>
      <c r="H999" s="11" t="inlineStr">
        <is>
          <t>~100%</t>
        </is>
      </c>
      <c r="I999" s="37" t="inlineStr">
        <is>
          <t>10+</t>
        </is>
      </c>
      <c r="J999" s="11">
        <f>IFERROR(INDEX('Уроки'!$H:$H,MATCH(F999,'Уроки'!$A:$A,0)),"")</f>
        <v/>
      </c>
      <c r="K999" s="11">
        <f>IFERROR(INDEX('Уроки'!$J:$J,MATCH(F999,'Уроки'!$A:$A,0)),"")</f>
        <v/>
      </c>
      <c r="L999" s="11" t="inlineStr">
        <is>
          <t>Spotlight / 9 класс / Module 3 · See it to believe it / Modal verbs (deduction) / Modal verbs (deduction): must — уверенность (о настоящем)</t>
        </is>
      </c>
    </row>
    <row r="1000">
      <c r="A1000" s="37" t="n">
        <v>9</v>
      </c>
      <c r="B1000" s="11" t="inlineStr">
        <is>
          <t>Module 3 · See it to believe it</t>
        </is>
      </c>
      <c r="C1000" s="11" t="inlineStr">
        <is>
          <t>3d</t>
        </is>
      </c>
      <c r="D1000" s="11" t="inlineStr">
        <is>
          <t>Modal verbs (deduction)</t>
        </is>
      </c>
      <c r="E1000" s="35" t="inlineStr">
        <is>
          <t>Modal verbs (deduction): may/might/could — вероятность (о настоящем)</t>
        </is>
      </c>
      <c r="F1000" s="11" t="inlineStr">
        <is>
          <t>Ст-173</t>
        </is>
      </c>
      <c r="G1000" s="37" t="inlineStr">
        <is>
          <t>повторение</t>
        </is>
      </c>
      <c r="H1000" s="11" t="inlineStr"/>
      <c r="I1000" s="37" t="inlineStr">
        <is>
          <t>10+</t>
        </is>
      </c>
      <c r="J1000" s="11">
        <f>IFERROR(INDEX('Уроки'!$H:$H,MATCH(F1000,'Уроки'!$A:$A,0)),"")</f>
        <v/>
      </c>
      <c r="K1000" s="11">
        <f>IFERROR(INDEX('Уроки'!$J:$J,MATCH(F1000,'Уроки'!$A:$A,0)),"")</f>
        <v/>
      </c>
      <c r="L1000" s="11" t="inlineStr">
        <is>
          <t>Spotlight / 9 класс / Module 3 · See it to believe it / Modal verbs (deduction) / Modal verbs (deduction): may/might/could — вероятность (о настоящем)</t>
        </is>
      </c>
    </row>
    <row r="1001">
      <c r="A1001" s="37" t="n">
        <v>9</v>
      </c>
      <c r="B1001" s="11" t="inlineStr">
        <is>
          <t>Module 3 · See it to believe it</t>
        </is>
      </c>
      <c r="C1001" s="11" t="inlineStr">
        <is>
          <t>3d</t>
        </is>
      </c>
      <c r="D1001" s="11" t="inlineStr">
        <is>
          <t>Modal verbs (deduction)</t>
        </is>
      </c>
      <c r="E1001" s="35" t="inlineStr">
        <is>
          <t>Modal verbs (deduction): can't/couldn't — невозможность (о настоящем)</t>
        </is>
      </c>
      <c r="F1001" s="11" t="inlineStr">
        <is>
          <t>Ст-174</t>
        </is>
      </c>
      <c r="G1001" s="37" t="inlineStr">
        <is>
          <t>повторение</t>
        </is>
      </c>
      <c r="H1001" s="11" t="inlineStr"/>
      <c r="I1001" s="37" t="inlineStr">
        <is>
          <t>10+</t>
        </is>
      </c>
      <c r="J1001" s="11">
        <f>IFERROR(INDEX('Уроки'!$H:$H,MATCH(F1001,'Уроки'!$A:$A,0)),"")</f>
        <v/>
      </c>
      <c r="K1001" s="11">
        <f>IFERROR(INDEX('Уроки'!$J:$J,MATCH(F1001,'Уроки'!$A:$A,0)),"")</f>
        <v/>
      </c>
      <c r="L1001" s="11" t="inlineStr">
        <is>
          <t>Spotlight / 9 класс / Module 3 · See it to believe it / Modal verbs (deduction) / Modal verbs (deduction): can't/couldn't — невозможность (о настоящем)</t>
        </is>
      </c>
    </row>
    <row r="1002">
      <c r="A1002" s="37" t="n">
        <v>9</v>
      </c>
      <c r="B1002" s="11" t="inlineStr">
        <is>
          <t>Module 3 · See it to believe it</t>
        </is>
      </c>
      <c r="C1002" s="11" t="inlineStr">
        <is>
          <t>3d</t>
        </is>
      </c>
      <c r="D1002" s="11" t="inlineStr">
        <is>
          <t>Modal verbs (deduction)</t>
        </is>
      </c>
      <c r="E1002" s="35" t="inlineStr">
        <is>
          <t>Modal verbs (deduction): выводы о прошлом — must/may/might/could/can't + have V3</t>
        </is>
      </c>
      <c r="F1002" s="11" t="inlineStr">
        <is>
          <t>Ст-175</t>
        </is>
      </c>
      <c r="G1002" s="37" t="inlineStr">
        <is>
          <t>повторение</t>
        </is>
      </c>
      <c r="H1002" s="11" t="inlineStr"/>
      <c r="I1002" s="37" t="inlineStr">
        <is>
          <t>10+</t>
        </is>
      </c>
      <c r="J1002" s="11">
        <f>IFERROR(INDEX('Уроки'!$H:$H,MATCH(F1002,'Уроки'!$A:$A,0)),"")</f>
        <v/>
      </c>
      <c r="K1002" s="11">
        <f>IFERROR(INDEX('Уроки'!$J:$J,MATCH(F1002,'Уроки'!$A:$A,0)),"")</f>
        <v/>
      </c>
      <c r="L1002" s="11" t="inlineStr">
        <is>
          <t>Spotlight / 9 класс / Module 3 · See it to believe it / Modal verbs (deduction) / Modal verbs (deduction): выводы о прошлом — must/may/might/could/can't + have V3</t>
        </is>
      </c>
    </row>
    <row r="1003">
      <c r="A1003" s="37" t="n">
        <v>9</v>
      </c>
      <c r="B1003" s="11" t="inlineStr">
        <is>
          <t>Module 3 · See it to believe it</t>
        </is>
      </c>
      <c r="C1003" s="11" t="inlineStr">
        <is>
          <t>3c</t>
        </is>
      </c>
      <c r="D1003" s="11" t="inlineStr">
        <is>
          <t>used to</t>
        </is>
      </c>
      <c r="E1003" s="33" t="inlineStr">
        <is>
          <t>used to: значение — прошлые привычки и регулярные действия</t>
        </is>
      </c>
      <c r="F1003" s="11" t="inlineStr">
        <is>
          <t>Ст-216</t>
        </is>
      </c>
      <c r="G1003" s="37" t="inlineStr">
        <is>
          <t>повторение</t>
        </is>
      </c>
      <c r="H1003" s="11" t="inlineStr"/>
      <c r="I1003" s="37" t="inlineStr">
        <is>
          <t>10+</t>
        </is>
      </c>
      <c r="J1003" s="11">
        <f>IFERROR(INDEX('Уроки'!$H:$H,MATCH(F1003,'Уроки'!$A:$A,0)),"")</f>
        <v/>
      </c>
      <c r="K1003" s="11">
        <f>IFERROR(INDEX('Уроки'!$J:$J,MATCH(F1003,'Уроки'!$A:$A,0)),"")</f>
        <v/>
      </c>
      <c r="L1003" s="11" t="inlineStr">
        <is>
          <t>Spotlight / 9 класс / Module 3 · See it to believe it / used to / used to: значение — прошлые привычки и регулярные действия</t>
        </is>
      </c>
    </row>
    <row r="1004">
      <c r="A1004" s="37" t="n">
        <v>9</v>
      </c>
      <c r="B1004" s="11" t="inlineStr">
        <is>
          <t>Module 3 · See it to believe it</t>
        </is>
      </c>
      <c r="C1004" s="11" t="inlineStr">
        <is>
          <t>3c</t>
        </is>
      </c>
      <c r="D1004" s="11" t="inlineStr">
        <is>
          <t>used to</t>
        </is>
      </c>
      <c r="E1004" s="33" t="inlineStr">
        <is>
          <t>used to: значение — прошлые состояния, которых больше нет</t>
        </is>
      </c>
      <c r="F1004" s="11" t="inlineStr">
        <is>
          <t>Ст-217</t>
        </is>
      </c>
      <c r="G1004" s="37" t="inlineStr">
        <is>
          <t>повторение</t>
        </is>
      </c>
      <c r="H1004" s="11" t="inlineStr">
        <is>
          <t>I used to work as a waiter</t>
        </is>
      </c>
      <c r="I1004" s="37" t="inlineStr">
        <is>
          <t>10+</t>
        </is>
      </c>
      <c r="J1004" s="11">
        <f>IFERROR(INDEX('Уроки'!$H:$H,MATCH(F1004,'Уроки'!$A:$A,0)),"")</f>
        <v/>
      </c>
      <c r="K1004" s="11">
        <f>IFERROR(INDEX('Уроки'!$J:$J,MATCH(F1004,'Уроки'!$A:$A,0)),"")</f>
        <v/>
      </c>
      <c r="L1004" s="11" t="inlineStr">
        <is>
          <t>Spotlight / 9 класс / Module 3 · See it to believe it / used to / used to: значение — прошлые состояния, которых больше нет</t>
        </is>
      </c>
    </row>
    <row r="1005">
      <c r="A1005" s="37" t="n">
        <v>9</v>
      </c>
      <c r="B1005" s="11" t="inlineStr">
        <is>
          <t>Module 3 · See it to believe it</t>
        </is>
      </c>
      <c r="C1005" s="11" t="inlineStr">
        <is>
          <t>3c</t>
        </is>
      </c>
      <c r="D1005" s="11" t="inlineStr">
        <is>
          <t>used to</t>
        </is>
      </c>
      <c r="E1005" s="35" t="inlineStr">
        <is>
          <t>used to vs Past Simple: однократное действие — только Past Simple</t>
        </is>
      </c>
      <c r="F1005" s="11" t="inlineStr">
        <is>
          <t>Ст-218</t>
        </is>
      </c>
      <c r="G1005" s="37" t="inlineStr">
        <is>
          <t>повторение</t>
        </is>
      </c>
      <c r="H1005" s="11" t="inlineStr"/>
      <c r="I1005" s="37" t="inlineStr">
        <is>
          <t>10+</t>
        </is>
      </c>
      <c r="J1005" s="11">
        <f>IFERROR(INDEX('Уроки'!$H:$H,MATCH(F1005,'Уроки'!$A:$A,0)),"")</f>
        <v/>
      </c>
      <c r="K1005" s="11">
        <f>IFERROR(INDEX('Уроки'!$J:$J,MATCH(F1005,'Уроки'!$A:$A,0)),"")</f>
        <v/>
      </c>
      <c r="L1005" s="11" t="inlineStr">
        <is>
          <t>Spotlight / 9 класс / Module 3 · See it to believe it / used to / used to vs Past Simple: однократное действие — только Past Simple</t>
        </is>
      </c>
    </row>
    <row r="1006">
      <c r="A1006" s="37" t="n">
        <v>9</v>
      </c>
      <c r="B1006" s="11" t="inlineStr">
        <is>
          <t>Module 3 · See it to believe it</t>
        </is>
      </c>
      <c r="C1006" s="11" t="inlineStr">
        <is>
          <t>3c</t>
        </is>
      </c>
      <c r="D1006" s="11" t="inlineStr">
        <is>
          <t>would (past habits)</t>
        </is>
      </c>
      <c r="E1006" s="35" t="inlineStr">
        <is>
          <t>would: значение — повторяющиеся действия в прошлом (would + V)</t>
        </is>
      </c>
      <c r="F1006" s="11" t="inlineStr">
        <is>
          <t>Ст-321</t>
        </is>
      </c>
      <c r="G1006" s="40" t="inlineStr">
        <is>
          <t>новое</t>
        </is>
      </c>
      <c r="H1006" s="11" t="inlineStr">
        <is>
          <t>would (always/often) + V</t>
        </is>
      </c>
      <c r="I1006" s="37" t="inlineStr">
        <is>
          <t>10+</t>
        </is>
      </c>
      <c r="J1006" s="11">
        <f>IFERROR(INDEX('Уроки'!$H:$H,MATCH(F1006,'Уроки'!$A:$A,0)),"")</f>
        <v/>
      </c>
      <c r="K1006" s="11">
        <f>IFERROR(INDEX('Уроки'!$J:$J,MATCH(F1006,'Уроки'!$A:$A,0)),"")</f>
        <v/>
      </c>
      <c r="L1006" s="11" t="inlineStr">
        <is>
          <t>Spotlight / 9 класс / Module 3 · See it to believe it / would (past habits) / would: значение — повторяющиеся действия в прошлом (would + V)</t>
        </is>
      </c>
    </row>
    <row r="1007">
      <c r="A1007" s="37" t="n">
        <v>9</v>
      </c>
      <c r="B1007" s="11" t="inlineStr">
        <is>
          <t>Module 3 · See it to believe it</t>
        </is>
      </c>
      <c r="C1007" s="11" t="inlineStr">
        <is>
          <t>3c</t>
        </is>
      </c>
      <c r="D1007" s="11" t="inlineStr">
        <is>
          <t>would (past habits)</t>
        </is>
      </c>
      <c r="E1007" s="35" t="inlineStr">
        <is>
          <t>would vs used to: прошлые состояния — только used to</t>
        </is>
      </c>
      <c r="F1007" s="11" t="inlineStr">
        <is>
          <t>Ст-322</t>
        </is>
      </c>
      <c r="G1007" s="40" t="inlineStr">
        <is>
          <t>новое</t>
        </is>
      </c>
      <c r="H1007" s="11" t="inlineStr">
        <is>
          <t>NOT: I would work as a waiter</t>
        </is>
      </c>
      <c r="I1007" s="37" t="inlineStr">
        <is>
          <t>10+</t>
        </is>
      </c>
      <c r="J1007" s="11">
        <f>IFERROR(INDEX('Уроки'!$H:$H,MATCH(F1007,'Уроки'!$A:$A,0)),"")</f>
        <v/>
      </c>
      <c r="K1007" s="11">
        <f>IFERROR(INDEX('Уроки'!$J:$J,MATCH(F1007,'Уроки'!$A:$A,0)),"")</f>
        <v/>
      </c>
      <c r="L1007" s="11" t="inlineStr">
        <is>
          <t>Spotlight / 9 класс / Module 3 · See it to believe it / would (past habits) / would vs used to: прошлые состояния — только used to</t>
        </is>
      </c>
    </row>
    <row r="1008">
      <c r="A1008" s="37" t="n">
        <v>9</v>
      </c>
      <c r="B1008" s="11" t="inlineStr">
        <is>
          <t>Module 3 · See it to believe it</t>
        </is>
      </c>
      <c r="C1008" s="11" t="inlineStr">
        <is>
          <t>3f</t>
        </is>
      </c>
      <c r="D1008" s="11" t="inlineStr">
        <is>
          <t>Phrasal verbs</t>
        </is>
      </c>
      <c r="E1008" s="35" t="inlineStr">
        <is>
          <t>Phrasal verbs: come</t>
        </is>
      </c>
      <c r="F1008" s="11" t="inlineStr">
        <is>
          <t>Ст-596</t>
        </is>
      </c>
      <c r="G1008" s="40" t="inlineStr">
        <is>
          <t>новое</t>
        </is>
      </c>
      <c r="H1008" s="11" t="inlineStr">
        <is>
          <t>come: come across (случайно натолкнуться), come down with (заболеть чем-либо), come out (выступать на публике), come over (овладевать — о чувстве), come up with (предлагать идею).</t>
        </is>
      </c>
      <c r="I1008" s="37" t="inlineStr">
        <is>
          <t>10+</t>
        </is>
      </c>
      <c r="J1008" s="11">
        <f>IFERROR(INDEX('Уроки'!$H:$H,MATCH(F1008,'Уроки'!$A:$A,0)),"")</f>
        <v/>
      </c>
      <c r="K1008" s="11">
        <f>IFERROR(INDEX('Уроки'!$J:$J,MATCH(F1008,'Уроки'!$A:$A,0)),"")</f>
        <v/>
      </c>
      <c r="L1008" s="11" t="inlineStr">
        <is>
          <t>Spotlight / 9 класс / Module 3 · See it to believe it / Phrasal verbs / Phrasal verbs: come</t>
        </is>
      </c>
    </row>
    <row r="1009">
      <c r="A1009" s="37" t="n">
        <v>9</v>
      </c>
      <c r="B1009" s="11" t="inlineStr">
        <is>
          <t>Module 3 · See it to believe it</t>
        </is>
      </c>
      <c r="C1009" s="11" t="inlineStr">
        <is>
          <t>3f</t>
        </is>
      </c>
      <c r="D1009" s="11" t="inlineStr">
        <is>
          <t>Word formation</t>
        </is>
      </c>
      <c r="E1009" s="33" t="inlineStr">
        <is>
          <t>Word formation: compound adjectives</t>
        </is>
      </c>
      <c r="F1009" s="11" t="inlineStr">
        <is>
          <t>Ст-619</t>
        </is>
      </c>
      <c r="G1009" s="37" t="inlineStr">
        <is>
          <t>повторение</t>
        </is>
      </c>
      <c r="H1009" s="11" t="inlineStr">
        <is>
          <t>Word formation: сложные прилагательные (compound adjectives).</t>
        </is>
      </c>
      <c r="I1009" s="37" t="inlineStr">
        <is>
          <t>10+</t>
        </is>
      </c>
      <c r="J1009" s="11">
        <f>IFERROR(INDEX('Уроки'!$H:$H,MATCH(F1009,'Уроки'!$A:$A,0)),"")</f>
        <v/>
      </c>
      <c r="K1009" s="11">
        <f>IFERROR(INDEX('Уроки'!$J:$J,MATCH(F1009,'Уроки'!$A:$A,0)),"")</f>
        <v/>
      </c>
      <c r="L1009" s="11" t="inlineStr">
        <is>
          <t>Spotlight / 9 класс / Module 3 · See it to believe it / Word formation / Word formation: compound adjectives</t>
        </is>
      </c>
    </row>
    <row r="1010">
      <c r="A1010" s="37" t="n">
        <v>9</v>
      </c>
      <c r="B1010" s="11" t="inlineStr">
        <is>
          <t>Module 3 · See it to believe it</t>
        </is>
      </c>
      <c r="C1010" s="11" t="inlineStr">
        <is>
          <t>3f</t>
        </is>
      </c>
      <c r="D1010" s="11" t="inlineStr">
        <is>
          <t>Dependent prepositions</t>
        </is>
      </c>
      <c r="E1010" s="35" t="inlineStr">
        <is>
          <t>Dependent prepositions</t>
        </is>
      </c>
      <c r="F1010" s="11" t="inlineStr">
        <is>
          <t>Ст-633</t>
        </is>
      </c>
      <c r="G1010" s="37" t="inlineStr">
        <is>
          <t>повторение</t>
        </is>
      </c>
      <c r="H1010" s="11" t="inlineStr">
        <is>
          <t>Prepositions (заголовок раздела English in Use).</t>
        </is>
      </c>
      <c r="I1010" s="37" t="inlineStr">
        <is>
          <t>10+</t>
        </is>
      </c>
      <c r="J1010" s="11">
        <f>IFERROR(INDEX('Уроки'!$H:$H,MATCH(F1010,'Уроки'!$A:$A,0)),"")</f>
        <v/>
      </c>
      <c r="K1010" s="11">
        <f>IFERROR(INDEX('Уроки'!$J:$J,MATCH(F1010,'Уроки'!$A:$A,0)),"")</f>
        <v/>
      </c>
      <c r="L1010" s="11" t="inlineStr">
        <is>
          <t>Spotlight / 9 класс / Module 3 · See it to believe it / Dependent prepositions / Dependent prepositions</t>
        </is>
      </c>
    </row>
    <row r="1011">
      <c r="A1011" s="37" t="n">
        <v>9</v>
      </c>
      <c r="B1011" s="11" t="inlineStr">
        <is>
          <t>Module 4 · Technology</t>
        </is>
      </c>
      <c r="C1011" s="11" t="inlineStr">
        <is>
          <t>4c</t>
        </is>
      </c>
      <c r="D1011" s="11" t="inlineStr">
        <is>
          <t>Future Simple (will)</t>
        </is>
      </c>
      <c r="E1011" s="34" t="inlineStr">
        <is>
          <t>Future Simple (will): утверждение (will/'ll + V)</t>
        </is>
      </c>
      <c r="F1011" s="11" t="inlineStr">
        <is>
          <t>Ст-039</t>
        </is>
      </c>
      <c r="G1011" s="37" t="inlineStr">
        <is>
          <t>повторение</t>
        </is>
      </c>
      <c r="H1011" s="11" t="inlineStr"/>
      <c r="I1011" s="37" t="inlineStr">
        <is>
          <t>10+</t>
        </is>
      </c>
      <c r="J1011" s="11">
        <f>IFERROR(INDEX('Уроки'!$H:$H,MATCH(F1011,'Уроки'!$A:$A,0)),"")</f>
        <v/>
      </c>
      <c r="K1011" s="11">
        <f>IFERROR(INDEX('Уроки'!$J:$J,MATCH(F1011,'Уроки'!$A:$A,0)),"")</f>
        <v/>
      </c>
      <c r="L1011" s="11" t="inlineStr">
        <is>
          <t>Spotlight / 9 класс / Module 4 · Technology / Future Simple (will) / Future Simple (will): утверждение (will/'ll + V)</t>
        </is>
      </c>
    </row>
    <row r="1012">
      <c r="A1012" s="37" t="n">
        <v>9</v>
      </c>
      <c r="B1012" s="11" t="inlineStr">
        <is>
          <t>Module 4 · Technology</t>
        </is>
      </c>
      <c r="C1012" s="11" t="inlineStr">
        <is>
          <t>4c</t>
        </is>
      </c>
      <c r="D1012" s="11" t="inlineStr">
        <is>
          <t>Future Simple (will)</t>
        </is>
      </c>
      <c r="E1012" s="33" t="inlineStr">
        <is>
          <t>Future Simple (will): значение — предсказание/предположение</t>
        </is>
      </c>
      <c r="F1012" s="11" t="inlineStr">
        <is>
          <t>Ст-042</t>
        </is>
      </c>
      <c r="G1012" s="37" t="inlineStr">
        <is>
          <t>повторение</t>
        </is>
      </c>
      <c r="H1012" s="11" t="inlineStr">
        <is>
          <t>hope, think, believe, expect, imagine; probably, perhaps, maybe</t>
        </is>
      </c>
      <c r="I1012" s="37" t="inlineStr">
        <is>
          <t>10+</t>
        </is>
      </c>
      <c r="J1012" s="11">
        <f>IFERROR(INDEX('Уроки'!$H:$H,MATCH(F1012,'Уроки'!$A:$A,0)),"")</f>
        <v/>
      </c>
      <c r="K1012" s="11">
        <f>IFERROR(INDEX('Уроки'!$J:$J,MATCH(F1012,'Уроки'!$A:$A,0)),"")</f>
        <v/>
      </c>
      <c r="L1012" s="11" t="inlineStr">
        <is>
          <t>Spotlight / 9 класс / Module 4 · Technology / Future Simple (will) / Future Simple (will): значение — предсказание/предположение</t>
        </is>
      </c>
    </row>
    <row r="1013">
      <c r="A1013" s="37" t="n">
        <v>9</v>
      </c>
      <c r="B1013" s="11" t="inlineStr">
        <is>
          <t>Module 4 · Technology</t>
        </is>
      </c>
      <c r="C1013" s="11" t="inlineStr">
        <is>
          <t>4c</t>
        </is>
      </c>
      <c r="D1013" s="11" t="inlineStr">
        <is>
          <t>Future Simple (will)</t>
        </is>
      </c>
      <c r="E1013" s="33" t="inlineStr">
        <is>
          <t>Future Simple (will): значение — решение в момент речи</t>
        </is>
      </c>
      <c r="F1013" s="11" t="inlineStr">
        <is>
          <t>Ст-043</t>
        </is>
      </c>
      <c r="G1013" s="37" t="inlineStr">
        <is>
          <t>повторение</t>
        </is>
      </c>
      <c r="H1013" s="11" t="inlineStr"/>
      <c r="I1013" s="37" t="inlineStr">
        <is>
          <t>10+</t>
        </is>
      </c>
      <c r="J1013" s="11">
        <f>IFERROR(INDEX('Уроки'!$H:$H,MATCH(F1013,'Уроки'!$A:$A,0)),"")</f>
        <v/>
      </c>
      <c r="K1013" s="11">
        <f>IFERROR(INDEX('Уроки'!$J:$J,MATCH(F1013,'Уроки'!$A:$A,0)),"")</f>
        <v/>
      </c>
      <c r="L1013" s="11" t="inlineStr">
        <is>
          <t>Spotlight / 9 класс / Module 4 · Technology / Future Simple (will) / Future Simple (will): значение — решение в момент речи</t>
        </is>
      </c>
    </row>
    <row r="1014">
      <c r="A1014" s="37" t="n">
        <v>9</v>
      </c>
      <c r="B1014" s="11" t="inlineStr">
        <is>
          <t>Module 4 · Technology</t>
        </is>
      </c>
      <c r="C1014" s="11" t="inlineStr">
        <is>
          <t>4c</t>
        </is>
      </c>
      <c r="D1014" s="11" t="inlineStr">
        <is>
          <t>Future Simple (will)</t>
        </is>
      </c>
      <c r="E1014" s="34" t="inlineStr">
        <is>
          <t>Future Simple (will): значение — обещания</t>
        </is>
      </c>
      <c r="F1014" s="11" t="inlineStr">
        <is>
          <t>Ст-044</t>
        </is>
      </c>
      <c r="G1014" s="37" t="inlineStr">
        <is>
          <t>повторение</t>
        </is>
      </c>
      <c r="H1014" s="11" t="inlineStr"/>
      <c r="I1014" s="37" t="inlineStr">
        <is>
          <t>10+</t>
        </is>
      </c>
      <c r="J1014" s="11">
        <f>IFERROR(INDEX('Уроки'!$H:$H,MATCH(F1014,'Уроки'!$A:$A,0)),"")</f>
        <v/>
      </c>
      <c r="K1014" s="11">
        <f>IFERROR(INDEX('Уроки'!$J:$J,MATCH(F1014,'Уроки'!$A:$A,0)),"")</f>
        <v/>
      </c>
      <c r="L1014" s="11" t="inlineStr">
        <is>
          <t>Spotlight / 9 класс / Module 4 · Technology / Future Simple (will) / Future Simple (will): значение — обещания</t>
        </is>
      </c>
    </row>
    <row r="1015">
      <c r="A1015" s="37" t="n">
        <v>9</v>
      </c>
      <c r="B1015" s="11" t="inlineStr">
        <is>
          <t>Module 4 · Technology</t>
        </is>
      </c>
      <c r="C1015" s="11" t="inlineStr">
        <is>
          <t>4c</t>
        </is>
      </c>
      <c r="D1015" s="11" t="inlineStr">
        <is>
          <t>Future Simple (will)</t>
        </is>
      </c>
      <c r="E1015" s="34" t="inlineStr">
        <is>
          <t>Future Simple (will): Shall I/we? — предложение, просьба о совете</t>
        </is>
      </c>
      <c r="F1015" s="11" t="inlineStr">
        <is>
          <t>Ст-050</t>
        </is>
      </c>
      <c r="G1015" s="37" t="inlineStr">
        <is>
          <t>повторение</t>
        </is>
      </c>
      <c r="H1015" s="11" t="inlineStr"/>
      <c r="I1015" s="37" t="inlineStr">
        <is>
          <t>10+</t>
        </is>
      </c>
      <c r="J1015" s="11">
        <f>IFERROR(INDEX('Уроки'!$H:$H,MATCH(F1015,'Уроки'!$A:$A,0)),"")</f>
        <v/>
      </c>
      <c r="K1015" s="11">
        <f>IFERROR(INDEX('Уроки'!$J:$J,MATCH(F1015,'Уроки'!$A:$A,0)),"")</f>
        <v/>
      </c>
      <c r="L1015" s="11" t="inlineStr">
        <is>
          <t>Spotlight / 9 класс / Module 4 · Technology / Future Simple (will) / Future Simple (will): Shall I/we? — предложение, просьба о совете</t>
        </is>
      </c>
    </row>
    <row r="1016">
      <c r="A1016" s="37" t="n">
        <v>9</v>
      </c>
      <c r="B1016" s="11" t="inlineStr">
        <is>
          <t>Module 4 · Technology</t>
        </is>
      </c>
      <c r="C1016" s="11" t="inlineStr">
        <is>
          <t>4c</t>
        </is>
      </c>
      <c r="D1016" s="11" t="inlineStr">
        <is>
          <t>be going to</t>
        </is>
      </c>
      <c r="E1016" s="33" t="inlineStr">
        <is>
          <t>be going to: утверждение (am/is/are going to + V)</t>
        </is>
      </c>
      <c r="F1016" s="11" t="inlineStr">
        <is>
          <t>Ст-055</t>
        </is>
      </c>
      <c r="G1016" s="37" t="inlineStr">
        <is>
          <t>повторение</t>
        </is>
      </c>
      <c r="H1016" s="11" t="inlineStr">
        <is>
          <t>am/is/are going to + V</t>
        </is>
      </c>
      <c r="I1016" s="37" t="inlineStr">
        <is>
          <t>10+</t>
        </is>
      </c>
      <c r="J1016" s="11">
        <f>IFERROR(INDEX('Уроки'!$H:$H,MATCH(F1016,'Уроки'!$A:$A,0)),"")</f>
        <v/>
      </c>
      <c r="K1016" s="11">
        <f>IFERROR(INDEX('Уроки'!$J:$J,MATCH(F1016,'Уроки'!$A:$A,0)),"")</f>
        <v/>
      </c>
      <c r="L1016" s="11" t="inlineStr">
        <is>
          <t>Spotlight / 9 класс / Module 4 · Technology / be going to / be going to: утверждение (am/is/are going to + V)</t>
        </is>
      </c>
    </row>
    <row r="1017">
      <c r="A1017" s="37" t="n">
        <v>9</v>
      </c>
      <c r="B1017" s="11" t="inlineStr">
        <is>
          <t>Module 4 · Technology</t>
        </is>
      </c>
      <c r="C1017" s="11" t="inlineStr">
        <is>
          <t>4c</t>
        </is>
      </c>
      <c r="D1017" s="11" t="inlineStr">
        <is>
          <t>be going to</t>
        </is>
      </c>
      <c r="E1017" s="33" t="inlineStr">
        <is>
          <t>be going to: значение — планы и намерения</t>
        </is>
      </c>
      <c r="F1017" s="11" t="inlineStr">
        <is>
          <t>Ст-058</t>
        </is>
      </c>
      <c r="G1017" s="37" t="inlineStr">
        <is>
          <t>повторение</t>
        </is>
      </c>
      <c r="H1017" s="11" t="inlineStr">
        <is>
          <t>принятые заранее решения</t>
        </is>
      </c>
      <c r="I1017" s="37" t="inlineStr">
        <is>
          <t>10+</t>
        </is>
      </c>
      <c r="J1017" s="11">
        <f>IFERROR(INDEX('Уроки'!$H:$H,MATCH(F1017,'Уроки'!$A:$A,0)),"")</f>
        <v/>
      </c>
      <c r="K1017" s="11">
        <f>IFERROR(INDEX('Уроки'!$J:$J,MATCH(F1017,'Уроки'!$A:$A,0)),"")</f>
        <v/>
      </c>
      <c r="L1017" s="11" t="inlineStr">
        <is>
          <t>Spotlight / 9 класс / Module 4 · Technology / be going to / be going to: значение — планы и намерения</t>
        </is>
      </c>
    </row>
    <row r="1018">
      <c r="A1018" s="37" t="n">
        <v>9</v>
      </c>
      <c r="B1018" s="11" t="inlineStr">
        <is>
          <t>Module 4 · Technology</t>
        </is>
      </c>
      <c r="C1018" s="11" t="inlineStr">
        <is>
          <t>4c</t>
        </is>
      </c>
      <c r="D1018" s="11" t="inlineStr">
        <is>
          <t>be going to</t>
        </is>
      </c>
      <c r="E1018" s="33" t="inlineStr">
        <is>
          <t>be going to: значение — предсказание по очевидным признакам</t>
        </is>
      </c>
      <c r="F1018" s="11" t="inlineStr">
        <is>
          <t>Ст-060</t>
        </is>
      </c>
      <c r="G1018" s="37" t="inlineStr">
        <is>
          <t>повторение</t>
        </is>
      </c>
      <c r="H1018" s="11" t="inlineStr">
        <is>
          <t>Look out! You're going to step on…</t>
        </is>
      </c>
      <c r="I1018" s="37" t="inlineStr">
        <is>
          <t>10+</t>
        </is>
      </c>
      <c r="J1018" s="11">
        <f>IFERROR(INDEX('Уроки'!$H:$H,MATCH(F1018,'Уроки'!$A:$A,0)),"")</f>
        <v/>
      </c>
      <c r="K1018" s="11">
        <f>IFERROR(INDEX('Уроки'!$J:$J,MATCH(F1018,'Уроки'!$A:$A,0)),"")</f>
        <v/>
      </c>
      <c r="L1018" s="11" t="inlineStr">
        <is>
          <t>Spotlight / 9 класс / Module 4 · Technology / be going to / be going to: значение — предсказание по очевидным признакам</t>
        </is>
      </c>
    </row>
    <row r="1019">
      <c r="A1019" s="37" t="n">
        <v>9</v>
      </c>
      <c r="B1019" s="11" t="inlineStr">
        <is>
          <t>Module 4 · Technology</t>
        </is>
      </c>
      <c r="C1019" s="11" t="inlineStr">
        <is>
          <t>4c</t>
        </is>
      </c>
      <c r="D1019" s="11" t="inlineStr">
        <is>
          <t>be going to</t>
        </is>
      </c>
      <c r="E1019" s="33" t="inlineStr">
        <is>
          <t>be going to vs will: план/признаки vs решение в момент речи/мнение</t>
        </is>
      </c>
      <c r="F1019" s="11" t="inlineStr">
        <is>
          <t>Ст-061</t>
        </is>
      </c>
      <c r="G1019" s="37" t="inlineStr">
        <is>
          <t>повторение</t>
        </is>
      </c>
      <c r="H1019" s="11" t="inlineStr"/>
      <c r="I1019" s="37" t="inlineStr">
        <is>
          <t>10+</t>
        </is>
      </c>
      <c r="J1019" s="11">
        <f>IFERROR(INDEX('Уроки'!$H:$H,MATCH(F1019,'Уроки'!$A:$A,0)),"")</f>
        <v/>
      </c>
      <c r="K1019" s="11">
        <f>IFERROR(INDEX('Уроки'!$J:$J,MATCH(F1019,'Уроки'!$A:$A,0)),"")</f>
        <v/>
      </c>
      <c r="L1019" s="11" t="inlineStr">
        <is>
          <t>Spotlight / 9 класс / Module 4 · Technology / be going to / be going to vs will: план/признаки vs решение в момент речи/мнение</t>
        </is>
      </c>
    </row>
    <row r="1020">
      <c r="A1020" s="37" t="n">
        <v>9</v>
      </c>
      <c r="B1020" s="11" t="inlineStr">
        <is>
          <t>Module 4 · Technology</t>
        </is>
      </c>
      <c r="C1020" s="11" t="inlineStr">
        <is>
          <t>4c</t>
        </is>
      </c>
      <c r="D1020" s="11" t="inlineStr">
        <is>
          <t>Future forms (comparison)</t>
        </is>
      </c>
      <c r="E1020" s="33" t="inlineStr">
        <is>
          <t>Future forms: Present Continuous — договорённости на ближайшее будущее</t>
        </is>
      </c>
      <c r="F1020" s="11" t="inlineStr">
        <is>
          <t>Ст-080</t>
        </is>
      </c>
      <c r="G1020" s="37" t="inlineStr">
        <is>
          <t>повторение</t>
        </is>
      </c>
      <c r="H1020" s="11" t="inlineStr">
        <is>
          <t>I'm throwing a surprise party on Saturday</t>
        </is>
      </c>
      <c r="I1020" s="37" t="inlineStr">
        <is>
          <t>10+</t>
        </is>
      </c>
      <c r="J1020" s="11">
        <f>IFERROR(INDEX('Уроки'!$H:$H,MATCH(F1020,'Уроки'!$A:$A,0)),"")</f>
        <v/>
      </c>
      <c r="K1020" s="11">
        <f>IFERROR(INDEX('Уроки'!$J:$J,MATCH(F1020,'Уроки'!$A:$A,0)),"")</f>
        <v/>
      </c>
      <c r="L1020" s="11" t="inlineStr">
        <is>
          <t>Spotlight / 9 класс / Module 4 · Technology / Future forms (comparison) / Future forms: Present Continuous — договорённости на ближайшее будущее</t>
        </is>
      </c>
    </row>
    <row r="1021">
      <c r="A1021" s="37" t="n">
        <v>9</v>
      </c>
      <c r="B1021" s="11" t="inlineStr">
        <is>
          <t>Module 4 · Technology</t>
        </is>
      </c>
      <c r="C1021" s="11" t="inlineStr">
        <is>
          <t>4c</t>
        </is>
      </c>
      <c r="D1021" s="11" t="inlineStr">
        <is>
          <t>Future forms (comparison)</t>
        </is>
      </c>
      <c r="E1021" s="33" t="inlineStr">
        <is>
          <t>Future forms: Present Simple — расписания и программы</t>
        </is>
      </c>
      <c r="F1021" s="11" t="inlineStr">
        <is>
          <t>Ст-081</t>
        </is>
      </c>
      <c r="G1021" s="37" t="inlineStr">
        <is>
          <t>повторение</t>
        </is>
      </c>
      <c r="H1021" s="11" t="inlineStr">
        <is>
          <t>The plane takes off at 10:00</t>
        </is>
      </c>
      <c r="I1021" s="37" t="inlineStr">
        <is>
          <t>10+</t>
        </is>
      </c>
      <c r="J1021" s="11">
        <f>IFERROR(INDEX('Уроки'!$H:$H,MATCH(F1021,'Уроки'!$A:$A,0)),"")</f>
        <v/>
      </c>
      <c r="K1021" s="11">
        <f>IFERROR(INDEX('Уроки'!$J:$J,MATCH(F1021,'Уроки'!$A:$A,0)),"")</f>
        <v/>
      </c>
      <c r="L1021" s="11" t="inlineStr">
        <is>
          <t>Spotlight / 9 класс / Module 4 · Technology / Future forms (comparison) / Future forms: Present Simple — расписания и программы</t>
        </is>
      </c>
    </row>
    <row r="1022">
      <c r="A1022" s="37" t="n">
        <v>9</v>
      </c>
      <c r="B1022" s="11" t="inlineStr">
        <is>
          <t>Module 4 · Technology</t>
        </is>
      </c>
      <c r="C1022" s="11" t="inlineStr">
        <is>
          <t>4c</t>
        </is>
      </c>
      <c r="D1022" s="11" t="inlineStr">
        <is>
          <t>Future forms (comparison)</t>
        </is>
      </c>
      <c r="E1022" s="33" t="inlineStr">
        <is>
          <t>Future forms: will vs be going to — решение в момент речи vs план</t>
        </is>
      </c>
      <c r="F1022" s="11" t="inlineStr">
        <is>
          <t>Ст-082</t>
        </is>
      </c>
      <c r="G1022" s="37" t="inlineStr">
        <is>
          <t>повторение</t>
        </is>
      </c>
      <c r="H1022" s="11" t="inlineStr"/>
      <c r="I1022" s="37" t="inlineStr">
        <is>
          <t>10+</t>
        </is>
      </c>
      <c r="J1022" s="11">
        <f>IFERROR(INDEX('Уроки'!$H:$H,MATCH(F1022,'Уроки'!$A:$A,0)),"")</f>
        <v/>
      </c>
      <c r="K1022" s="11">
        <f>IFERROR(INDEX('Уроки'!$J:$J,MATCH(F1022,'Уроки'!$A:$A,0)),"")</f>
        <v/>
      </c>
      <c r="L1022" s="11" t="inlineStr">
        <is>
          <t>Spotlight / 9 класс / Module 4 · Technology / Future forms (comparison) / Future forms: will vs be going to — решение в момент речи vs план</t>
        </is>
      </c>
    </row>
    <row r="1023">
      <c r="A1023" s="37" t="n">
        <v>9</v>
      </c>
      <c r="B1023" s="11" t="inlineStr">
        <is>
          <t>Module 4 · Technology</t>
        </is>
      </c>
      <c r="C1023" s="11" t="inlineStr">
        <is>
          <t>4c</t>
        </is>
      </c>
      <c r="D1023" s="11" t="inlineStr">
        <is>
          <t>Future forms (comparison)</t>
        </is>
      </c>
      <c r="E1023" s="33" t="inlineStr">
        <is>
          <t>Future forms: will vs be going to — прогноз-мнение vs прогноз по признакам</t>
        </is>
      </c>
      <c r="F1023" s="11" t="inlineStr">
        <is>
          <t>Ст-083</t>
        </is>
      </c>
      <c r="G1023" s="37" t="inlineStr">
        <is>
          <t>повторение</t>
        </is>
      </c>
      <c r="H1023" s="11" t="inlineStr"/>
      <c r="I1023" s="37" t="inlineStr">
        <is>
          <t>10+</t>
        </is>
      </c>
      <c r="J1023" s="11">
        <f>IFERROR(INDEX('Уроки'!$H:$H,MATCH(F1023,'Уроки'!$A:$A,0)),"")</f>
        <v/>
      </c>
      <c r="K1023" s="11">
        <f>IFERROR(INDEX('Уроки'!$J:$J,MATCH(F1023,'Уроки'!$A:$A,0)),"")</f>
        <v/>
      </c>
      <c r="L1023" s="11" t="inlineStr">
        <is>
          <t>Spotlight / 9 класс / Module 4 · Technology / Future forms (comparison) / Future forms: will vs be going to — прогноз-мнение vs прогноз по признакам</t>
        </is>
      </c>
    </row>
    <row r="1024">
      <c r="A1024" s="37" t="n">
        <v>9</v>
      </c>
      <c r="B1024" s="11" t="inlineStr">
        <is>
          <t>Module 4 · Technology</t>
        </is>
      </c>
      <c r="C1024" s="11" t="inlineStr">
        <is>
          <t>4c</t>
        </is>
      </c>
      <c r="D1024" s="11" t="inlineStr">
        <is>
          <t>Future forms (comparison)</t>
        </is>
      </c>
      <c r="E1024" s="33" t="inlineStr">
        <is>
          <t>Future forms: Future Continuous/Future Perfect в системе будущих форм</t>
        </is>
      </c>
      <c r="F1024" s="11" t="inlineStr">
        <is>
          <t>Ст-085</t>
        </is>
      </c>
      <c r="G1024" s="40" t="inlineStr">
        <is>
          <t>новое</t>
        </is>
      </c>
      <c r="H1024" s="11" t="inlineStr">
        <is>
          <t>Future Continuous/Perfect среди способов выражения будущего</t>
        </is>
      </c>
      <c r="I1024" s="37" t="inlineStr">
        <is>
          <t>10+</t>
        </is>
      </c>
      <c r="J1024" s="11">
        <f>IFERROR(INDEX('Уроки'!$H:$H,MATCH(F1024,'Уроки'!$A:$A,0)),"")</f>
        <v/>
      </c>
      <c r="K1024" s="11">
        <f>IFERROR(INDEX('Уроки'!$J:$J,MATCH(F1024,'Уроки'!$A:$A,0)),"")</f>
        <v/>
      </c>
      <c r="L1024" s="11" t="inlineStr">
        <is>
          <t>Spotlight / 9 класс / Module 4 · Technology / Future forms (comparison) / Future forms: Future Continuous/Future Perfect в системе будущих форм</t>
        </is>
      </c>
    </row>
    <row r="1025">
      <c r="A1025" s="37" t="n">
        <v>9</v>
      </c>
      <c r="B1025" s="11" t="inlineStr">
        <is>
          <t>Module 4 · Technology</t>
        </is>
      </c>
      <c r="C1025" s="11" t="inlineStr">
        <is>
          <t>4c</t>
        </is>
      </c>
      <c r="D1025" s="11" t="inlineStr">
        <is>
          <t>Future Continuous</t>
        </is>
      </c>
      <c r="E1025" s="33" t="inlineStr">
        <is>
          <t>Future Continuous: образование (will be + V-ing)</t>
        </is>
      </c>
      <c r="F1025" s="11" t="inlineStr">
        <is>
          <t>Ст-116</t>
        </is>
      </c>
      <c r="G1025" s="40" t="inlineStr">
        <is>
          <t>новое</t>
        </is>
      </c>
      <c r="H1025" s="11" t="inlineStr">
        <is>
          <t>will be + V-ing</t>
        </is>
      </c>
      <c r="I1025" s="37" t="inlineStr">
        <is>
          <t>10+</t>
        </is>
      </c>
      <c r="J1025" s="11">
        <f>IFERROR(INDEX('Уроки'!$H:$H,MATCH(F1025,'Уроки'!$A:$A,0)),"")</f>
        <v/>
      </c>
      <c r="K1025" s="11">
        <f>IFERROR(INDEX('Уроки'!$J:$J,MATCH(F1025,'Уроки'!$A:$A,0)),"")</f>
        <v/>
      </c>
      <c r="L1025" s="11" t="inlineStr">
        <is>
          <t>Spotlight / 9 класс / Module 4 · Technology / Future Continuous / Future Continuous: образование (will be + V-ing)</t>
        </is>
      </c>
    </row>
    <row r="1026">
      <c r="A1026" s="37" t="n">
        <v>9</v>
      </c>
      <c r="B1026" s="11" t="inlineStr">
        <is>
          <t>Module 4 · Technology</t>
        </is>
      </c>
      <c r="C1026" s="11" t="inlineStr">
        <is>
          <t>4c</t>
        </is>
      </c>
      <c r="D1026" s="11" t="inlineStr">
        <is>
          <t>Future Continuous</t>
        </is>
      </c>
      <c r="E1026" s="33" t="inlineStr">
        <is>
          <t>Future Continuous: значение — действие в процессе в момент будущего</t>
        </is>
      </c>
      <c r="F1026" s="11" t="inlineStr">
        <is>
          <t>Ст-117</t>
        </is>
      </c>
      <c r="G1026" s="40" t="inlineStr">
        <is>
          <t>новое</t>
        </is>
      </c>
      <c r="H1026" s="11" t="inlineStr"/>
      <c r="I1026" s="37" t="inlineStr">
        <is>
          <t>10+</t>
        </is>
      </c>
      <c r="J1026" s="11">
        <f>IFERROR(INDEX('Уроки'!$H:$H,MATCH(F1026,'Уроки'!$A:$A,0)),"")</f>
        <v/>
      </c>
      <c r="K1026" s="11">
        <f>IFERROR(INDEX('Уроки'!$J:$J,MATCH(F1026,'Уроки'!$A:$A,0)),"")</f>
        <v/>
      </c>
      <c r="L1026" s="11" t="inlineStr">
        <is>
          <t>Spotlight / 9 класс / Module 4 · Technology / Future Continuous / Future Continuous: значение — действие в процессе в момент будущего</t>
        </is>
      </c>
    </row>
    <row r="1027">
      <c r="A1027" s="37" t="n">
        <v>9</v>
      </c>
      <c r="B1027" s="11" t="inlineStr">
        <is>
          <t>Module 4 · Technology</t>
        </is>
      </c>
      <c r="C1027" s="11" t="inlineStr">
        <is>
          <t>4c</t>
        </is>
      </c>
      <c r="D1027" s="11" t="inlineStr">
        <is>
          <t>Future Continuous</t>
        </is>
      </c>
      <c r="E1027" s="35" t="inlineStr">
        <is>
          <t>Future Continuous: значение — по распорядку/договорённости</t>
        </is>
      </c>
      <c r="F1027" s="11" t="inlineStr">
        <is>
          <t>Ст-118</t>
        </is>
      </c>
      <c r="G1027" s="40" t="inlineStr">
        <is>
          <t>новое</t>
        </is>
      </c>
      <c r="H1027" s="11" t="inlineStr"/>
      <c r="I1027" s="37" t="inlineStr">
        <is>
          <t>10+</t>
        </is>
      </c>
      <c r="J1027" s="11">
        <f>IFERROR(INDEX('Уроки'!$H:$H,MATCH(F1027,'Уроки'!$A:$A,0)),"")</f>
        <v/>
      </c>
      <c r="K1027" s="11">
        <f>IFERROR(INDEX('Уроки'!$J:$J,MATCH(F1027,'Уроки'!$A:$A,0)),"")</f>
        <v/>
      </c>
      <c r="L1027" s="11" t="inlineStr">
        <is>
          <t>Spotlight / 9 класс / Module 4 · Technology / Future Continuous / Future Continuous: значение — по распорядку/договорённости</t>
        </is>
      </c>
    </row>
    <row r="1028">
      <c r="A1028" s="37" t="n">
        <v>9</v>
      </c>
      <c r="B1028" s="11" t="inlineStr">
        <is>
          <t>Module 4 · Technology</t>
        </is>
      </c>
      <c r="C1028" s="11" t="inlineStr">
        <is>
          <t>4c</t>
        </is>
      </c>
      <c r="D1028" s="11" t="inlineStr">
        <is>
          <t>Future Continuous</t>
        </is>
      </c>
      <c r="E1028" s="35" t="inlineStr">
        <is>
          <t>Future Continuous: значение — вежливый вопрос о планах</t>
        </is>
      </c>
      <c r="F1028" s="11" t="inlineStr">
        <is>
          <t>Ст-119</t>
        </is>
      </c>
      <c r="G1028" s="40" t="inlineStr">
        <is>
          <t>новое</t>
        </is>
      </c>
      <c r="H1028" s="11" t="inlineStr">
        <is>
          <t>Will you be watching…?</t>
        </is>
      </c>
      <c r="I1028" s="37" t="inlineStr">
        <is>
          <t>10+</t>
        </is>
      </c>
      <c r="J1028" s="11">
        <f>IFERROR(INDEX('Уроки'!$H:$H,MATCH(F1028,'Уроки'!$A:$A,0)),"")</f>
        <v/>
      </c>
      <c r="K1028" s="11">
        <f>IFERROR(INDEX('Уроки'!$J:$J,MATCH(F1028,'Уроки'!$A:$A,0)),"")</f>
        <v/>
      </c>
      <c r="L1028" s="11" t="inlineStr">
        <is>
          <t>Spotlight / 9 класс / Module 4 · Technology / Future Continuous / Future Continuous: значение — вежливый вопрос о планах</t>
        </is>
      </c>
    </row>
    <row r="1029">
      <c r="A1029" s="37" t="n">
        <v>9</v>
      </c>
      <c r="B1029" s="11" t="inlineStr">
        <is>
          <t>Module 4 · Technology</t>
        </is>
      </c>
      <c r="C1029" s="11" t="inlineStr">
        <is>
          <t>4c</t>
        </is>
      </c>
      <c r="D1029" s="11" t="inlineStr">
        <is>
          <t>Future Perfect</t>
        </is>
      </c>
      <c r="E1029" s="33" t="inlineStr">
        <is>
          <t>Future Perfect: образование (will have + V3)</t>
        </is>
      </c>
      <c r="F1029" s="11" t="inlineStr">
        <is>
          <t>Ст-120</t>
        </is>
      </c>
      <c r="G1029" s="40" t="inlineStr">
        <is>
          <t>новое</t>
        </is>
      </c>
      <c r="H1029" s="11" t="inlineStr">
        <is>
          <t>will have + V3</t>
        </is>
      </c>
      <c r="I1029" s="37" t="inlineStr">
        <is>
          <t>10+</t>
        </is>
      </c>
      <c r="J1029" s="11">
        <f>IFERROR(INDEX('Уроки'!$H:$H,MATCH(F1029,'Уроки'!$A:$A,0)),"")</f>
        <v/>
      </c>
      <c r="K1029" s="11">
        <f>IFERROR(INDEX('Уроки'!$J:$J,MATCH(F1029,'Уроки'!$A:$A,0)),"")</f>
        <v/>
      </c>
      <c r="L1029" s="11" t="inlineStr">
        <is>
          <t>Spotlight / 9 класс / Module 4 · Technology / Future Perfect / Future Perfect: образование (will have + V3)</t>
        </is>
      </c>
    </row>
    <row r="1030">
      <c r="A1030" s="37" t="n">
        <v>9</v>
      </c>
      <c r="B1030" s="11" t="inlineStr">
        <is>
          <t>Module 4 · Technology</t>
        </is>
      </c>
      <c r="C1030" s="11" t="inlineStr">
        <is>
          <t>4c</t>
        </is>
      </c>
      <c r="D1030" s="11" t="inlineStr">
        <is>
          <t>Future Perfect</t>
        </is>
      </c>
      <c r="E1030" s="33" t="inlineStr">
        <is>
          <t>Future Perfect: значение — завершится к моменту в будущем</t>
        </is>
      </c>
      <c r="F1030" s="11" t="inlineStr">
        <is>
          <t>Ст-121</t>
        </is>
      </c>
      <c r="G1030" s="40" t="inlineStr">
        <is>
          <t>новое</t>
        </is>
      </c>
      <c r="H1030" s="11" t="inlineStr">
        <is>
          <t>before, by, by then, by the time, until/till (только в отрицании)</t>
        </is>
      </c>
      <c r="I1030" s="37" t="inlineStr">
        <is>
          <t>10+</t>
        </is>
      </c>
      <c r="J1030" s="11">
        <f>IFERROR(INDEX('Уроки'!$H:$H,MATCH(F1030,'Уроки'!$A:$A,0)),"")</f>
        <v/>
      </c>
      <c r="K1030" s="11">
        <f>IFERROR(INDEX('Уроки'!$J:$J,MATCH(F1030,'Уроки'!$A:$A,0)),"")</f>
        <v/>
      </c>
      <c r="L1030" s="11" t="inlineStr">
        <is>
          <t>Spotlight / 9 класс / Module 4 · Technology / Future Perfect / Future Perfect: значение — завершится к моменту в будущем</t>
        </is>
      </c>
    </row>
    <row r="1031">
      <c r="A1031" s="37" t="n">
        <v>9</v>
      </c>
      <c r="B1031" s="11" t="inlineStr">
        <is>
          <t>Module 4 · Technology</t>
        </is>
      </c>
      <c r="C1031" s="11" t="inlineStr">
        <is>
          <t>4c</t>
        </is>
      </c>
      <c r="D1031" s="11" t="inlineStr">
        <is>
          <t>so / such</t>
        </is>
      </c>
      <c r="E1031" s="35" t="inlineStr">
        <is>
          <t>so / such: so + прил./нареч.; so + many/much/few/little + сущ.</t>
        </is>
      </c>
      <c r="F1031" s="11" t="inlineStr">
        <is>
          <t>Ст-477</t>
        </is>
      </c>
      <c r="G1031" s="40" t="inlineStr">
        <is>
          <t>новое</t>
        </is>
      </c>
      <c r="H1031" s="11" t="inlineStr">
        <is>
          <t>so loudly that…; so + many/much/few/little</t>
        </is>
      </c>
      <c r="I1031" s="37" t="inlineStr">
        <is>
          <t>10+</t>
        </is>
      </c>
      <c r="J1031" s="11">
        <f>IFERROR(INDEX('Уроки'!$H:$H,MATCH(F1031,'Уроки'!$A:$A,0)),"")</f>
        <v/>
      </c>
      <c r="K1031" s="11">
        <f>IFERROR(INDEX('Уроки'!$J:$J,MATCH(F1031,'Уроки'!$A:$A,0)),"")</f>
        <v/>
      </c>
      <c r="L1031" s="11" t="inlineStr">
        <is>
          <t>Spotlight / 9 класс / Module 4 · Technology / so / such / so / such: so + прил./нареч.; so + many/much/few/little + сущ.</t>
        </is>
      </c>
    </row>
    <row r="1032">
      <c r="A1032" s="37" t="n">
        <v>9</v>
      </c>
      <c r="B1032" s="11" t="inlineStr">
        <is>
          <t>Module 4 · Technology</t>
        </is>
      </c>
      <c r="C1032" s="11" t="inlineStr">
        <is>
          <t>4c</t>
        </is>
      </c>
      <c r="D1032" s="11" t="inlineStr">
        <is>
          <t>so / such</t>
        </is>
      </c>
      <c r="E1032" s="35" t="inlineStr">
        <is>
          <t>so / such: such (a/an) + (прил.) + сущ.; such a lot of</t>
        </is>
      </c>
      <c r="F1032" s="11" t="inlineStr">
        <is>
          <t>Ст-478</t>
        </is>
      </c>
      <c r="G1032" s="40" t="inlineStr">
        <is>
          <t>новое</t>
        </is>
      </c>
      <c r="H1032" s="11" t="inlineStr">
        <is>
          <t>such (a/an) + сущ.; such a lot of</t>
        </is>
      </c>
      <c r="I1032" s="37" t="inlineStr">
        <is>
          <t>10+</t>
        </is>
      </c>
      <c r="J1032" s="11">
        <f>IFERROR(INDEX('Уроки'!$H:$H,MATCH(F1032,'Уроки'!$A:$A,0)),"")</f>
        <v/>
      </c>
      <c r="K1032" s="11">
        <f>IFERROR(INDEX('Уроки'!$J:$J,MATCH(F1032,'Уроки'!$A:$A,0)),"")</f>
        <v/>
      </c>
      <c r="L1032" s="11" t="inlineStr">
        <is>
          <t>Spotlight / 9 класс / Module 4 · Technology / so / such / so / such: such (a/an) + (прил.) + сущ.; such a lot of</t>
        </is>
      </c>
    </row>
    <row r="1033">
      <c r="A1033" s="37" t="n">
        <v>9</v>
      </c>
      <c r="B1033" s="11" t="inlineStr">
        <is>
          <t>Module 4 · Technology</t>
        </is>
      </c>
      <c r="C1033" s="11" t="inlineStr">
        <is>
          <t>4c</t>
        </is>
      </c>
      <c r="D1033" s="11" t="inlineStr">
        <is>
          <t>so / such</t>
        </is>
      </c>
      <c r="E1033" s="35" t="inlineStr">
        <is>
          <t>so / such: so + прил. + a(n) + сущ.</t>
        </is>
      </c>
      <c r="F1033" s="11" t="inlineStr">
        <is>
          <t>Ст-479</t>
        </is>
      </c>
      <c r="G1033" s="40" t="inlineStr">
        <is>
          <t>новое</t>
        </is>
      </c>
      <c r="H1033" s="11" t="inlineStr">
        <is>
          <t>so + adj + a(n) + noun</t>
        </is>
      </c>
      <c r="I1033" s="37" t="inlineStr">
        <is>
          <t>10+</t>
        </is>
      </c>
      <c r="J1033" s="11">
        <f>IFERROR(INDEX('Уроки'!$H:$H,MATCH(F1033,'Уроки'!$A:$A,0)),"")</f>
        <v/>
      </c>
      <c r="K1033" s="11">
        <f>IFERROR(INDEX('Уроки'!$J:$J,MATCH(F1033,'Уроки'!$A:$A,0)),"")</f>
        <v/>
      </c>
      <c r="L1033" s="11" t="inlineStr">
        <is>
          <t>Spotlight / 9 класс / Module 4 · Technology / so / such / so / such: so + прил. + a(n) + сущ.</t>
        </is>
      </c>
    </row>
    <row r="1034">
      <c r="A1034" s="37" t="n">
        <v>9</v>
      </c>
      <c r="B1034" s="11" t="inlineStr">
        <is>
          <t>Module 4 · Technology</t>
        </is>
      </c>
      <c r="C1034" s="11" t="inlineStr">
        <is>
          <t>4c</t>
        </is>
      </c>
      <c r="D1034" s="11" t="inlineStr">
        <is>
          <t>Time clauses</t>
        </is>
      </c>
      <c r="E1034" s="34" t="inlineStr">
        <is>
          <t>Time clauses: Present Simple вместо будущего после when/before/after/until/as soon as…</t>
        </is>
      </c>
      <c r="F1034" s="11" t="inlineStr">
        <is>
          <t>Ст-535</t>
        </is>
      </c>
      <c r="G1034" s="37" t="inlineStr">
        <is>
          <t>повторение</t>
        </is>
      </c>
      <c r="H1034" s="11" t="inlineStr">
        <is>
          <t>тот же список союзов</t>
        </is>
      </c>
      <c r="I1034" s="37" t="inlineStr">
        <is>
          <t>10+</t>
        </is>
      </c>
      <c r="J1034" s="11">
        <f>IFERROR(INDEX('Уроки'!$H:$H,MATCH(F1034,'Уроки'!$A:$A,0)),"")</f>
        <v/>
      </c>
      <c r="K1034" s="11">
        <f>IFERROR(INDEX('Уроки'!$J:$J,MATCH(F1034,'Уроки'!$A:$A,0)),"")</f>
        <v/>
      </c>
      <c r="L1034" s="11" t="inlineStr">
        <is>
          <t>Spotlight / 9 класс / Module 4 · Technology / Time clauses / Time clauses: Present Simple вместо будущего после when/before/after/until/as soon as…</t>
        </is>
      </c>
    </row>
    <row r="1035">
      <c r="A1035" s="37" t="n">
        <v>9</v>
      </c>
      <c r="B1035" s="11" t="inlineStr">
        <is>
          <t>Module 4 · Technology</t>
        </is>
      </c>
      <c r="C1035" s="11" t="inlineStr">
        <is>
          <t>4c</t>
        </is>
      </c>
      <c r="D1035" s="11" t="inlineStr">
        <is>
          <t>Time clauses</t>
        </is>
      </c>
      <c r="E1035" s="34" t="inlineStr">
        <is>
          <t>Time clauses: Present Perfect в придаточном времени</t>
        </is>
      </c>
      <c r="F1035" s="11" t="inlineStr">
        <is>
          <t>Ст-536</t>
        </is>
      </c>
      <c r="G1035" s="37" t="inlineStr">
        <is>
          <t>повторение</t>
        </is>
      </c>
      <c r="H1035" s="11" t="inlineStr"/>
      <c r="I1035" s="37" t="inlineStr">
        <is>
          <t>10+</t>
        </is>
      </c>
      <c r="J1035" s="11">
        <f>IFERROR(INDEX('Уроки'!$H:$H,MATCH(F1035,'Уроки'!$A:$A,0)),"")</f>
        <v/>
      </c>
      <c r="K1035" s="11">
        <f>IFERROR(INDEX('Уроки'!$J:$J,MATCH(F1035,'Уроки'!$A:$A,0)),"")</f>
        <v/>
      </c>
      <c r="L1035" s="11" t="inlineStr">
        <is>
          <t>Spotlight / 9 класс / Module 4 · Technology / Time clauses / Time clauses: Present Perfect в придаточном времени</t>
        </is>
      </c>
    </row>
    <row r="1036">
      <c r="A1036" s="37" t="n">
        <v>9</v>
      </c>
      <c r="B1036" s="11" t="inlineStr">
        <is>
          <t>Module 4 · Technology</t>
        </is>
      </c>
      <c r="C1036" s="11" t="inlineStr">
        <is>
          <t>4c</t>
        </is>
      </c>
      <c r="D1036" s="11" t="inlineStr">
        <is>
          <t>Time clauses</t>
        </is>
      </c>
      <c r="E1036" s="35" t="inlineStr">
        <is>
          <t>Time clauses: то же после if, unless, in case, supposing</t>
        </is>
      </c>
      <c r="F1036" s="11" t="inlineStr">
        <is>
          <t>Ст-537</t>
        </is>
      </c>
      <c r="G1036" s="40" t="inlineStr">
        <is>
          <t>новое</t>
        </is>
      </c>
      <c r="H1036" s="11" t="inlineStr">
        <is>
          <t>unless, if, suppose/supposing, in case</t>
        </is>
      </c>
      <c r="I1036" s="37" t="inlineStr">
        <is>
          <t>10+</t>
        </is>
      </c>
      <c r="J1036" s="11">
        <f>IFERROR(INDEX('Уроки'!$H:$H,MATCH(F1036,'Уроки'!$A:$A,0)),"")</f>
        <v/>
      </c>
      <c r="K1036" s="11">
        <f>IFERROR(INDEX('Уроки'!$J:$J,MATCH(F1036,'Уроки'!$A:$A,0)),"")</f>
        <v/>
      </c>
      <c r="L1036" s="11" t="inlineStr">
        <is>
          <t>Spotlight / 9 класс / Module 4 · Technology / Time clauses / Time clauses: то же после if, unless, in case, supposing</t>
        </is>
      </c>
    </row>
    <row r="1037">
      <c r="A1037" s="37" t="n">
        <v>9</v>
      </c>
      <c r="B1037" s="11" t="inlineStr">
        <is>
          <t>Module 4 · Technology</t>
        </is>
      </c>
      <c r="C1037" s="11" t="inlineStr">
        <is>
          <t>4c</t>
        </is>
      </c>
      <c r="D1037" s="11" t="inlineStr">
        <is>
          <t>Time clauses</t>
        </is>
      </c>
      <c r="E1037" s="35" t="inlineStr">
        <is>
          <t>Time clauses: when/if как вопросительное слово или после I don't know/wonder — с will</t>
        </is>
      </c>
      <c r="F1037" s="11" t="inlineStr">
        <is>
          <t>Ст-538</t>
        </is>
      </c>
      <c r="G1037" s="40" t="inlineStr">
        <is>
          <t>новое</t>
        </is>
      </c>
      <c r="H1037" s="11" t="inlineStr">
        <is>
          <t>when — вопросительное слово; if/whether после I don't know, I doubt, I wonder, I'm not sure</t>
        </is>
      </c>
      <c r="I1037" s="37" t="inlineStr">
        <is>
          <t>10+</t>
        </is>
      </c>
      <c r="J1037" s="11">
        <f>IFERROR(INDEX('Уроки'!$H:$H,MATCH(F1037,'Уроки'!$A:$A,0)),"")</f>
        <v/>
      </c>
      <c r="K1037" s="11">
        <f>IFERROR(INDEX('Уроки'!$J:$J,MATCH(F1037,'Уроки'!$A:$A,0)),"")</f>
        <v/>
      </c>
      <c r="L1037" s="11" t="inlineStr">
        <is>
          <t>Spotlight / 9 класс / Module 4 · Technology / Time clauses / Time clauses: when/if как вопросительное слово или после I don't know/wonder — с will</t>
        </is>
      </c>
    </row>
    <row r="1038">
      <c r="A1038" s="37" t="n">
        <v>9</v>
      </c>
      <c r="B1038" s="11" t="inlineStr">
        <is>
          <t>Module 4 · Technology</t>
        </is>
      </c>
      <c r="C1038" s="11" t="inlineStr">
        <is>
          <t>4c</t>
        </is>
      </c>
      <c r="D1038" s="11" t="inlineStr">
        <is>
          <t>Clauses of purpose</t>
        </is>
      </c>
      <c r="E1038" s="35" t="inlineStr">
        <is>
          <t>Clauses of purpose: to / in order to / so as to + infinitive</t>
        </is>
      </c>
      <c r="F1038" s="11" t="inlineStr">
        <is>
          <t>Ст-547</t>
        </is>
      </c>
      <c r="G1038" s="40" t="inlineStr">
        <is>
          <t>новое</t>
        </is>
      </c>
      <c r="H1038" s="11" t="inlineStr">
        <is>
          <t>to / in order to / so as to</t>
        </is>
      </c>
      <c r="I1038" s="37" t="inlineStr">
        <is>
          <t>10+</t>
        </is>
      </c>
      <c r="J1038" s="11">
        <f>IFERROR(INDEX('Уроки'!$H:$H,MATCH(F1038,'Уроки'!$A:$A,0)),"")</f>
        <v/>
      </c>
      <c r="K1038" s="11">
        <f>IFERROR(INDEX('Уроки'!$J:$J,MATCH(F1038,'Уроки'!$A:$A,0)),"")</f>
        <v/>
      </c>
      <c r="L1038" s="11" t="inlineStr">
        <is>
          <t>Spotlight / 9 класс / Module 4 · Technology / Clauses of purpose / Clauses of purpose: to / in order to / so as to + infinitive</t>
        </is>
      </c>
    </row>
    <row r="1039">
      <c r="A1039" s="37" t="n">
        <v>9</v>
      </c>
      <c r="B1039" s="11" t="inlineStr">
        <is>
          <t>Module 4 · Technology</t>
        </is>
      </c>
      <c r="C1039" s="11" t="inlineStr">
        <is>
          <t>4c</t>
        </is>
      </c>
      <c r="D1039" s="11" t="inlineStr">
        <is>
          <t>Clauses of purpose</t>
        </is>
      </c>
      <c r="E1039" s="35" t="inlineStr">
        <is>
          <t>Clauses of purpose: so that + can/will, could/would</t>
        </is>
      </c>
      <c r="F1039" s="11" t="inlineStr">
        <is>
          <t>Ст-548</t>
        </is>
      </c>
      <c r="G1039" s="40" t="inlineStr">
        <is>
          <t>новое</t>
        </is>
      </c>
      <c r="H1039" s="11" t="inlineStr">
        <is>
          <t>so that + can/will — наст./буд.; could/would — прош.</t>
        </is>
      </c>
      <c r="I1039" s="37" t="inlineStr">
        <is>
          <t>10+</t>
        </is>
      </c>
      <c r="J1039" s="11">
        <f>IFERROR(INDEX('Уроки'!$H:$H,MATCH(F1039,'Уроки'!$A:$A,0)),"")</f>
        <v/>
      </c>
      <c r="K1039" s="11">
        <f>IFERROR(INDEX('Уроки'!$J:$J,MATCH(F1039,'Уроки'!$A:$A,0)),"")</f>
        <v/>
      </c>
      <c r="L1039" s="11" t="inlineStr">
        <is>
          <t>Spotlight / 9 класс / Module 4 · Technology / Clauses of purpose / Clauses of purpose: so that + can/will, could/would</t>
        </is>
      </c>
    </row>
    <row r="1040">
      <c r="A1040" s="37" t="n">
        <v>9</v>
      </c>
      <c r="B1040" s="11" t="inlineStr">
        <is>
          <t>Module 4 · Technology</t>
        </is>
      </c>
      <c r="C1040" s="11" t="inlineStr">
        <is>
          <t>4c</t>
        </is>
      </c>
      <c r="D1040" s="11" t="inlineStr">
        <is>
          <t>Clauses of purpose</t>
        </is>
      </c>
      <c r="E1040" s="35" t="inlineStr">
        <is>
          <t>Clauses of purpose: with the view to / with the aim of + -ing</t>
        </is>
      </c>
      <c r="F1040" s="11" t="inlineStr">
        <is>
          <t>Ст-549</t>
        </is>
      </c>
      <c r="G1040" s="40" t="inlineStr">
        <is>
          <t>новое</t>
        </is>
      </c>
      <c r="H1040" s="11" t="inlineStr">
        <is>
          <t>with the view to (так в справочнике) / with the aim of</t>
        </is>
      </c>
      <c r="I1040" s="37" t="inlineStr">
        <is>
          <t>10+</t>
        </is>
      </c>
      <c r="J1040" s="11">
        <f>IFERROR(INDEX('Уроки'!$H:$H,MATCH(F1040,'Уроки'!$A:$A,0)),"")</f>
        <v/>
      </c>
      <c r="K1040" s="11">
        <f>IFERROR(INDEX('Уроки'!$J:$J,MATCH(F1040,'Уроки'!$A:$A,0)),"")</f>
        <v/>
      </c>
      <c r="L1040" s="11" t="inlineStr">
        <is>
          <t>Spotlight / 9 класс / Module 4 · Technology / Clauses of purpose / Clauses of purpose: with the view to / with the aim of + -ing</t>
        </is>
      </c>
    </row>
    <row r="1041">
      <c r="A1041" s="37" t="n">
        <v>9</v>
      </c>
      <c r="B1041" s="11" t="inlineStr">
        <is>
          <t>Module 4 · Technology</t>
        </is>
      </c>
      <c r="C1041" s="11" t="inlineStr">
        <is>
          <t>4c</t>
        </is>
      </c>
      <c r="D1041" s="11" t="inlineStr">
        <is>
          <t>Clauses of result</t>
        </is>
      </c>
      <c r="E1041" s="35" t="inlineStr">
        <is>
          <t>Clauses of result: such … that</t>
        </is>
      </c>
      <c r="F1041" s="11" t="inlineStr">
        <is>
          <t>Ст-556</t>
        </is>
      </c>
      <c r="G1041" s="40" t="inlineStr">
        <is>
          <t>новое</t>
        </is>
      </c>
      <c r="H1041" s="11" t="inlineStr">
        <is>
          <t>such a(n) + исчисл. ед. ч.; such + мн. ч.; such a lot of</t>
        </is>
      </c>
      <c r="I1041" s="37" t="inlineStr">
        <is>
          <t>10+</t>
        </is>
      </c>
      <c r="J1041" s="11">
        <f>IFERROR(INDEX('Уроки'!$H:$H,MATCH(F1041,'Уроки'!$A:$A,0)),"")</f>
        <v/>
      </c>
      <c r="K1041" s="11">
        <f>IFERROR(INDEX('Уроки'!$J:$J,MATCH(F1041,'Уроки'!$A:$A,0)),"")</f>
        <v/>
      </c>
      <c r="L1041" s="11" t="inlineStr">
        <is>
          <t>Spotlight / 9 класс / Module 4 · Technology / Clauses of result / Clauses of result: such … that</t>
        </is>
      </c>
    </row>
    <row r="1042">
      <c r="A1042" s="37" t="n">
        <v>9</v>
      </c>
      <c r="B1042" s="11" t="inlineStr">
        <is>
          <t>Module 4 · Technology</t>
        </is>
      </c>
      <c r="C1042" s="11" t="inlineStr">
        <is>
          <t>4c</t>
        </is>
      </c>
      <c r="D1042" s="11" t="inlineStr">
        <is>
          <t>Clauses of result</t>
        </is>
      </c>
      <c r="E1042" s="35" t="inlineStr">
        <is>
          <t>Clauses of result: so … that</t>
        </is>
      </c>
      <c r="F1042" s="11" t="inlineStr">
        <is>
          <t>Ст-557</t>
        </is>
      </c>
      <c r="G1042" s="40" t="inlineStr">
        <is>
          <t>новое</t>
        </is>
      </c>
      <c r="H1042" s="11" t="inlineStr">
        <is>
          <t>so + прил./нареч.; so + few/little/many/much; so popular a museum that</t>
        </is>
      </c>
      <c r="I1042" s="37" t="inlineStr">
        <is>
          <t>10+</t>
        </is>
      </c>
      <c r="J1042" s="11">
        <f>IFERROR(INDEX('Уроки'!$H:$H,MATCH(F1042,'Уроки'!$A:$A,0)),"")</f>
        <v/>
      </c>
      <c r="K1042" s="11">
        <f>IFERROR(INDEX('Уроки'!$J:$J,MATCH(F1042,'Уроки'!$A:$A,0)),"")</f>
        <v/>
      </c>
      <c r="L1042" s="11" t="inlineStr">
        <is>
          <t>Spotlight / 9 класс / Module 4 · Technology / Clauses of result / Clauses of result: so … that</t>
        </is>
      </c>
    </row>
    <row r="1043">
      <c r="A1043" s="37" t="n">
        <v>9</v>
      </c>
      <c r="B1043" s="11" t="inlineStr">
        <is>
          <t>Module 4 · Technology</t>
        </is>
      </c>
      <c r="C1043" s="11" t="inlineStr">
        <is>
          <t>4c</t>
        </is>
      </c>
      <c r="D1043" s="11" t="inlineStr">
        <is>
          <t>Clauses of result</t>
        </is>
      </c>
      <c r="E1043" s="35" t="inlineStr">
        <is>
          <t>Clauses of result: as a result / as a consequence / consequently / therefore / so</t>
        </is>
      </c>
      <c r="F1043" s="11" t="inlineStr">
        <is>
          <t>Ст-558</t>
        </is>
      </c>
      <c r="G1043" s="40" t="inlineStr">
        <is>
          <t>новое</t>
        </is>
      </c>
      <c r="H1043" s="11" t="inlineStr">
        <is>
          <t>(and) as a result, as a consequence, consequently (офиц.), so, therefore</t>
        </is>
      </c>
      <c r="I1043" s="37" t="inlineStr">
        <is>
          <t>10+</t>
        </is>
      </c>
      <c r="J1043" s="11">
        <f>IFERROR(INDEX('Уроки'!$H:$H,MATCH(F1043,'Уроки'!$A:$A,0)),"")</f>
        <v/>
      </c>
      <c r="K1043" s="11">
        <f>IFERROR(INDEX('Уроки'!$J:$J,MATCH(F1043,'Уроки'!$A:$A,0)),"")</f>
        <v/>
      </c>
      <c r="L1043" s="11" t="inlineStr">
        <is>
          <t>Spotlight / 9 класс / Module 4 · Technology / Clauses of result / Clauses of result: as a result / as a consequence / consequently / therefore / so</t>
        </is>
      </c>
    </row>
    <row r="1044">
      <c r="A1044" s="37" t="n">
        <v>9</v>
      </c>
      <c r="B1044" s="11" t="inlineStr">
        <is>
          <t>Module 4 · Technology</t>
        </is>
      </c>
      <c r="C1044" s="11" t="inlineStr">
        <is>
          <t>4f</t>
        </is>
      </c>
      <c r="D1044" s="11" t="inlineStr">
        <is>
          <t>Phrasal verbs</t>
        </is>
      </c>
      <c r="E1044" s="35" t="inlineStr">
        <is>
          <t>Phrasal verbs: break</t>
        </is>
      </c>
      <c r="F1044" s="11" t="inlineStr">
        <is>
          <t>Ст-593</t>
        </is>
      </c>
      <c r="G1044" s="40" t="inlineStr">
        <is>
          <t>новое</t>
        </is>
      </c>
      <c r="H1044" s="11" t="inlineStr">
        <is>
          <t>break: break down (сломаться), break into (врываться куда-либо), break out (внезапно начаться, разразиться), break out of (вырываться, убегать), break up (прекратить отношения с кем-либо).</t>
        </is>
      </c>
      <c r="I1044" s="37" t="inlineStr">
        <is>
          <t>10+</t>
        </is>
      </c>
      <c r="J1044" s="11">
        <f>IFERROR(INDEX('Уроки'!$H:$H,MATCH(F1044,'Уроки'!$A:$A,0)),"")</f>
        <v/>
      </c>
      <c r="K1044" s="11">
        <f>IFERROR(INDEX('Уроки'!$J:$J,MATCH(F1044,'Уроки'!$A:$A,0)),"")</f>
        <v/>
      </c>
      <c r="L1044" s="11" t="inlineStr">
        <is>
          <t>Spotlight / 9 класс / Module 4 · Technology / Phrasal verbs / Phrasal verbs: break</t>
        </is>
      </c>
    </row>
    <row r="1045">
      <c r="A1045" s="37" t="n">
        <v>9</v>
      </c>
      <c r="B1045" s="11" t="inlineStr">
        <is>
          <t>Module 4 · Technology</t>
        </is>
      </c>
      <c r="C1045" s="11" t="inlineStr">
        <is>
          <t>4f</t>
        </is>
      </c>
      <c r="D1045" s="11" t="inlineStr">
        <is>
          <t>Word formation</t>
        </is>
      </c>
      <c r="E1045" s="33" t="inlineStr">
        <is>
          <t>Word formation: nouns from verbs</t>
        </is>
      </c>
      <c r="F1045" s="11" t="inlineStr">
        <is>
          <t>Ст-624</t>
        </is>
      </c>
      <c r="G1045" s="40" t="inlineStr">
        <is>
          <t>новое</t>
        </is>
      </c>
      <c r="H1045" s="11" t="inlineStr">
        <is>
          <t>Word formation: образование существительных от глаголов (nouns from verbs).</t>
        </is>
      </c>
      <c r="I1045" s="37" t="inlineStr">
        <is>
          <t>10+</t>
        </is>
      </c>
      <c r="J1045" s="11">
        <f>IFERROR(INDEX('Уроки'!$H:$H,MATCH(F1045,'Уроки'!$A:$A,0)),"")</f>
        <v/>
      </c>
      <c r="K1045" s="11">
        <f>IFERROR(INDEX('Уроки'!$J:$J,MATCH(F1045,'Уроки'!$A:$A,0)),"")</f>
        <v/>
      </c>
      <c r="L1045" s="11" t="inlineStr">
        <is>
          <t>Spotlight / 9 класс / Module 4 · Technology / Word formation / Word formation: nouns from verbs</t>
        </is>
      </c>
    </row>
    <row r="1046">
      <c r="A1046" s="37" t="n">
        <v>9</v>
      </c>
      <c r="B1046" s="11" t="inlineStr">
        <is>
          <t>Module 4 · Technology</t>
        </is>
      </c>
      <c r="C1046" s="11" t="inlineStr">
        <is>
          <t>4f</t>
        </is>
      </c>
      <c r="D1046" s="11" t="inlineStr">
        <is>
          <t>Dependent prepositions</t>
        </is>
      </c>
      <c r="E1046" s="35" t="inlineStr">
        <is>
          <t>Dependent prepositions</t>
        </is>
      </c>
      <c r="F1046" s="11" t="inlineStr">
        <is>
          <t>Ст-633</t>
        </is>
      </c>
      <c r="G1046" s="37" t="inlineStr">
        <is>
          <t>повторение</t>
        </is>
      </c>
      <c r="H1046" s="11" t="inlineStr">
        <is>
          <t>Prepositions (заголовок раздела English in Use).</t>
        </is>
      </c>
      <c r="I1046" s="37" t="inlineStr">
        <is>
          <t>10+</t>
        </is>
      </c>
      <c r="J1046" s="11">
        <f>IFERROR(INDEX('Уроки'!$H:$H,MATCH(F1046,'Уроки'!$A:$A,0)),"")</f>
        <v/>
      </c>
      <c r="K1046" s="11">
        <f>IFERROR(INDEX('Уроки'!$J:$J,MATCH(F1046,'Уроки'!$A:$A,0)),"")</f>
        <v/>
      </c>
      <c r="L1046" s="11" t="inlineStr">
        <is>
          <t>Spotlight / 9 класс / Module 4 · Technology / Dependent prepositions / Dependent prepositions</t>
        </is>
      </c>
    </row>
    <row r="1047">
      <c r="A1047" s="37" t="n">
        <v>9</v>
      </c>
      <c r="B1047" s="11" t="inlineStr">
        <is>
          <t>Module 5 · Art &amp; Literature</t>
        </is>
      </c>
      <c r="C1047" s="11" t="inlineStr">
        <is>
          <t>5d</t>
        </is>
      </c>
      <c r="D1047" s="11" t="inlineStr">
        <is>
          <t>Expressing preference (prefer / would rather)</t>
        </is>
      </c>
      <c r="E1047" s="33" t="inlineStr">
        <is>
          <t>Expressing preference: prefer + noun/-ing to noun/-ing — общее предпочтение</t>
        </is>
      </c>
      <c r="F1047" s="11" t="inlineStr">
        <is>
          <t>Ст-306</t>
        </is>
      </c>
      <c r="G1047" s="40" t="inlineStr">
        <is>
          <t>новое</t>
        </is>
      </c>
      <c r="H1047" s="11" t="inlineStr">
        <is>
          <t>I prefer vegetables to meat; painting to drawing</t>
        </is>
      </c>
      <c r="I1047" s="37" t="inlineStr">
        <is>
          <t>10+</t>
        </is>
      </c>
      <c r="J1047" s="11">
        <f>IFERROR(INDEX('Уроки'!$H:$H,MATCH(F1047,'Уроки'!$A:$A,0)),"")</f>
        <v/>
      </c>
      <c r="K1047" s="11">
        <f>IFERROR(INDEX('Уроки'!$J:$J,MATCH(F1047,'Уроки'!$A:$A,0)),"")</f>
        <v/>
      </c>
      <c r="L1047" s="11" t="inlineStr">
        <is>
          <t>Spotlight / 9 класс / Module 5 · Art &amp; Literature / Expressing preference (prefer / would rather) / Expressing preference: prefer + noun/-ing to noun/-ing — общее предпочтение</t>
        </is>
      </c>
    </row>
    <row r="1048">
      <c r="A1048" s="37" t="n">
        <v>9</v>
      </c>
      <c r="B1048" s="11" t="inlineStr">
        <is>
          <t>Module 5 · Art &amp; Literature</t>
        </is>
      </c>
      <c r="C1048" s="11" t="inlineStr">
        <is>
          <t>5d</t>
        </is>
      </c>
      <c r="D1048" s="11" t="inlineStr">
        <is>
          <t>Expressing preference (prefer / would rather)</t>
        </is>
      </c>
      <c r="E1048" s="35" t="inlineStr">
        <is>
          <t>Expressing preference: prefer + to-inf rather than + bare inf</t>
        </is>
      </c>
      <c r="F1048" s="11" t="inlineStr">
        <is>
          <t>Ст-307</t>
        </is>
      </c>
      <c r="G1048" s="40" t="inlineStr">
        <is>
          <t>новое</t>
        </is>
      </c>
      <c r="H1048" s="11" t="inlineStr"/>
      <c r="I1048" s="37" t="inlineStr">
        <is>
          <t>10+</t>
        </is>
      </c>
      <c r="J1048" s="11">
        <f>IFERROR(INDEX('Уроки'!$H:$H,MATCH(F1048,'Уроки'!$A:$A,0)),"")</f>
        <v/>
      </c>
      <c r="K1048" s="11">
        <f>IFERROR(INDEX('Уроки'!$J:$J,MATCH(F1048,'Уроки'!$A:$A,0)),"")</f>
        <v/>
      </c>
      <c r="L1048" s="11" t="inlineStr">
        <is>
          <t>Spotlight / 9 класс / Module 5 · Art &amp; Literature / Expressing preference (prefer / would rather) / Expressing preference: prefer + to-inf rather than + bare inf</t>
        </is>
      </c>
    </row>
    <row r="1049">
      <c r="A1049" s="37" t="n">
        <v>9</v>
      </c>
      <c r="B1049" s="11" t="inlineStr">
        <is>
          <t>Module 5 · Art &amp; Literature</t>
        </is>
      </c>
      <c r="C1049" s="11" t="inlineStr">
        <is>
          <t>5d</t>
        </is>
      </c>
      <c r="D1049" s="11" t="inlineStr">
        <is>
          <t>Expressing preference (prefer / would rather)</t>
        </is>
      </c>
      <c r="E1049" s="35" t="inlineStr">
        <is>
          <t>Expressing preference: I'd prefer + to-inf / noun (rather than) — конкретное предпочтение</t>
        </is>
      </c>
      <c r="F1049" s="11" t="inlineStr">
        <is>
          <t>Ст-308</t>
        </is>
      </c>
      <c r="G1049" s="40" t="inlineStr">
        <is>
          <t>новое</t>
        </is>
      </c>
      <c r="H1049" s="11" t="inlineStr"/>
      <c r="I1049" s="37" t="inlineStr">
        <is>
          <t>10+</t>
        </is>
      </c>
      <c r="J1049" s="11">
        <f>IFERROR(INDEX('Уроки'!$H:$H,MATCH(F1049,'Уроки'!$A:$A,0)),"")</f>
        <v/>
      </c>
      <c r="K1049" s="11">
        <f>IFERROR(INDEX('Уроки'!$J:$J,MATCH(F1049,'Уроки'!$A:$A,0)),"")</f>
        <v/>
      </c>
      <c r="L1049" s="11" t="inlineStr">
        <is>
          <t>Spotlight / 9 класс / Module 5 · Art &amp; Literature / Expressing preference (prefer / would rather) / Expressing preference: I'd prefer + to-inf / noun (rather than) — конкретное предпочтение</t>
        </is>
      </c>
    </row>
    <row r="1050">
      <c r="A1050" s="37" t="n">
        <v>9</v>
      </c>
      <c r="B1050" s="11" t="inlineStr">
        <is>
          <t>Module 5 · Art &amp; Literature</t>
        </is>
      </c>
      <c r="C1050" s="11" t="inlineStr">
        <is>
          <t>5d</t>
        </is>
      </c>
      <c r="D1050" s="11" t="inlineStr">
        <is>
          <t>Expressing preference (prefer / would rather)</t>
        </is>
      </c>
      <c r="E1050" s="35" t="inlineStr">
        <is>
          <t>Expressing preference: I'd rather + bare inf (than + bare inf)</t>
        </is>
      </c>
      <c r="F1050" s="11" t="inlineStr">
        <is>
          <t>Ст-309</t>
        </is>
      </c>
      <c r="G1050" s="40" t="inlineStr">
        <is>
          <t>новое</t>
        </is>
      </c>
      <c r="H1050" s="11" t="inlineStr">
        <is>
          <t>would sooner и I'd rather sb did — не даны</t>
        </is>
      </c>
      <c r="I1050" s="37" t="inlineStr">
        <is>
          <t>10+</t>
        </is>
      </c>
      <c r="J1050" s="11">
        <f>IFERROR(INDEX('Уроки'!$H:$H,MATCH(F1050,'Уроки'!$A:$A,0)),"")</f>
        <v/>
      </c>
      <c r="K1050" s="11">
        <f>IFERROR(INDEX('Уроки'!$J:$J,MATCH(F1050,'Уроки'!$A:$A,0)),"")</f>
        <v/>
      </c>
      <c r="L1050" s="11" t="inlineStr">
        <is>
          <t>Spotlight / 9 класс / Module 5 · Art &amp; Literature / Expressing preference (prefer / would rather) / Expressing preference: I'd rather + bare inf (than + bare inf)</t>
        </is>
      </c>
    </row>
    <row r="1051">
      <c r="A1051" s="37" t="n">
        <v>9</v>
      </c>
      <c r="B1051" s="11" t="inlineStr">
        <is>
          <t>Module 5 · Art &amp; Literature</t>
        </is>
      </c>
      <c r="C1051" s="11" t="inlineStr">
        <is>
          <t>5c</t>
        </is>
      </c>
      <c r="D1051" s="11" t="inlineStr">
        <is>
          <t>Comparatives &amp; Superlatives</t>
        </is>
      </c>
      <c r="E1051" s="33" t="inlineStr">
        <is>
          <t>Comparatives &amp; Superlatives: сравнительная степень — -er + than</t>
        </is>
      </c>
      <c r="F1051" s="11" t="inlineStr">
        <is>
          <t>Ст-441</t>
        </is>
      </c>
      <c r="G1051" s="37" t="inlineStr">
        <is>
          <t>повторение</t>
        </is>
      </c>
      <c r="H1051" s="11" t="inlineStr"/>
      <c r="I1051" s="37" t="inlineStr">
        <is>
          <t>10+</t>
        </is>
      </c>
      <c r="J1051" s="11">
        <f>IFERROR(INDEX('Уроки'!$H:$H,MATCH(F1051,'Уроки'!$A:$A,0)),"")</f>
        <v/>
      </c>
      <c r="K1051" s="11">
        <f>IFERROR(INDEX('Уроки'!$J:$J,MATCH(F1051,'Уроки'!$A:$A,0)),"")</f>
        <v/>
      </c>
      <c r="L1051" s="11" t="inlineStr">
        <is>
          <t>Spotlight / 9 класс / Module 5 · Art &amp; Literature / Comparatives &amp; Superlatives / Comparatives &amp; Superlatives: сравнительная степень — -er + than</t>
        </is>
      </c>
    </row>
    <row r="1052">
      <c r="A1052" s="37" t="n">
        <v>9</v>
      </c>
      <c r="B1052" s="11" t="inlineStr">
        <is>
          <t>Module 5 · Art &amp; Literature</t>
        </is>
      </c>
      <c r="C1052" s="11" t="inlineStr">
        <is>
          <t>5c</t>
        </is>
      </c>
      <c r="D1052" s="11" t="inlineStr">
        <is>
          <t>Comparatives &amp; Superlatives</t>
        </is>
      </c>
      <c r="E1052" s="33" t="inlineStr">
        <is>
          <t>Comparatives &amp; Superlatives: сравнительная степень — more (многосложные)</t>
        </is>
      </c>
      <c r="F1052" s="11" t="inlineStr">
        <is>
          <t>Ст-442</t>
        </is>
      </c>
      <c r="G1052" s="37" t="inlineStr">
        <is>
          <t>повторение</t>
        </is>
      </c>
      <c r="H1052" s="11" t="inlineStr"/>
      <c r="I1052" s="37" t="inlineStr">
        <is>
          <t>10+</t>
        </is>
      </c>
      <c r="J1052" s="11">
        <f>IFERROR(INDEX('Уроки'!$H:$H,MATCH(F1052,'Уроки'!$A:$A,0)),"")</f>
        <v/>
      </c>
      <c r="K1052" s="11">
        <f>IFERROR(INDEX('Уроки'!$J:$J,MATCH(F1052,'Уроки'!$A:$A,0)),"")</f>
        <v/>
      </c>
      <c r="L1052" s="11" t="inlineStr">
        <is>
          <t>Spotlight / 9 класс / Module 5 · Art &amp; Literature / Comparatives &amp; Superlatives / Comparatives &amp; Superlatives: сравнительная степень — more (многосложные)</t>
        </is>
      </c>
    </row>
    <row r="1053">
      <c r="A1053" s="37" t="n">
        <v>9</v>
      </c>
      <c r="B1053" s="11" t="inlineStr">
        <is>
          <t>Module 5 · Art &amp; Literature</t>
        </is>
      </c>
      <c r="C1053" s="11" t="inlineStr">
        <is>
          <t>5c</t>
        </is>
      </c>
      <c r="D1053" s="11" t="inlineStr">
        <is>
          <t>Comparatives &amp; Superlatives</t>
        </is>
      </c>
      <c r="E1053" s="35" t="inlineStr">
        <is>
          <t>Comparatives &amp; Superlatives: орфография -er/-est (удвоение, -e, y → i)</t>
        </is>
      </c>
      <c r="F1053" s="11" t="inlineStr">
        <is>
          <t>Ст-443</t>
        </is>
      </c>
      <c r="G1053" s="37" t="inlineStr">
        <is>
          <t>повторение</t>
        </is>
      </c>
      <c r="H1053" s="11" t="inlineStr">
        <is>
          <t>hot-hotter, easy-easier</t>
        </is>
      </c>
      <c r="I1053" s="37" t="inlineStr">
        <is>
          <t>10+</t>
        </is>
      </c>
      <c r="J1053" s="11">
        <f>IFERROR(INDEX('Уроки'!$H:$H,MATCH(F1053,'Уроки'!$A:$A,0)),"")</f>
        <v/>
      </c>
      <c r="K1053" s="11">
        <f>IFERROR(INDEX('Уроки'!$J:$J,MATCH(F1053,'Уроки'!$A:$A,0)),"")</f>
        <v/>
      </c>
      <c r="L1053" s="11" t="inlineStr">
        <is>
          <t>Spotlight / 9 класс / Module 5 · Art &amp; Literature / Comparatives &amp; Superlatives / Comparatives &amp; Superlatives: орфография -er/-est (удвоение, -e, y → i)</t>
        </is>
      </c>
    </row>
    <row r="1054">
      <c r="A1054" s="37" t="n">
        <v>9</v>
      </c>
      <c r="B1054" s="11" t="inlineStr">
        <is>
          <t>Module 5 · Art &amp; Literature</t>
        </is>
      </c>
      <c r="C1054" s="11" t="inlineStr">
        <is>
          <t>5c</t>
        </is>
      </c>
      <c r="D1054" s="11" t="inlineStr">
        <is>
          <t>Comparatives &amp; Superlatives</t>
        </is>
      </c>
      <c r="E1054" s="33" t="inlineStr">
        <is>
          <t>Comparatives &amp; Superlatives: превосходная степень — the -est + of/in</t>
        </is>
      </c>
      <c r="F1054" s="11" t="inlineStr">
        <is>
          <t>Ст-444</t>
        </is>
      </c>
      <c r="G1054" s="37" t="inlineStr">
        <is>
          <t>повторение</t>
        </is>
      </c>
      <c r="H1054" s="11" t="inlineStr"/>
      <c r="I1054" s="37" t="inlineStr">
        <is>
          <t>10+</t>
        </is>
      </c>
      <c r="J1054" s="11">
        <f>IFERROR(INDEX('Уроки'!$H:$H,MATCH(F1054,'Уроки'!$A:$A,0)),"")</f>
        <v/>
      </c>
      <c r="K1054" s="11">
        <f>IFERROR(INDEX('Уроки'!$J:$J,MATCH(F1054,'Уроки'!$A:$A,0)),"")</f>
        <v/>
      </c>
      <c r="L1054" s="11" t="inlineStr">
        <is>
          <t>Spotlight / 9 класс / Module 5 · Art &amp; Literature / Comparatives &amp; Superlatives / Comparatives &amp; Superlatives: превосходная степень — the -est + of/in</t>
        </is>
      </c>
    </row>
    <row r="1055">
      <c r="A1055" s="37" t="n">
        <v>9</v>
      </c>
      <c r="B1055" s="11" t="inlineStr">
        <is>
          <t>Module 5 · Art &amp; Literature</t>
        </is>
      </c>
      <c r="C1055" s="11" t="inlineStr">
        <is>
          <t>5c</t>
        </is>
      </c>
      <c r="D1055" s="11" t="inlineStr">
        <is>
          <t>Comparatives &amp; Superlatives</t>
        </is>
      </c>
      <c r="E1055" s="33" t="inlineStr">
        <is>
          <t>Comparatives &amp; Superlatives: превосходная степень — the most</t>
        </is>
      </c>
      <c r="F1055" s="11" t="inlineStr">
        <is>
          <t>Ст-445</t>
        </is>
      </c>
      <c r="G1055" s="37" t="inlineStr">
        <is>
          <t>повторение</t>
        </is>
      </c>
      <c r="H1055" s="11" t="inlineStr"/>
      <c r="I1055" s="37" t="inlineStr">
        <is>
          <t>10+</t>
        </is>
      </c>
      <c r="J1055" s="11">
        <f>IFERROR(INDEX('Уроки'!$H:$H,MATCH(F1055,'Уроки'!$A:$A,0)),"")</f>
        <v/>
      </c>
      <c r="K1055" s="11">
        <f>IFERROR(INDEX('Уроки'!$J:$J,MATCH(F1055,'Уроки'!$A:$A,0)),"")</f>
        <v/>
      </c>
      <c r="L1055" s="11" t="inlineStr">
        <is>
          <t>Spotlight / 9 класс / Module 5 · Art &amp; Literature / Comparatives &amp; Superlatives / Comparatives &amp; Superlatives: превосходная степень — the most</t>
        </is>
      </c>
    </row>
    <row r="1056">
      <c r="A1056" s="37" t="n">
        <v>9</v>
      </c>
      <c r="B1056" s="11" t="inlineStr">
        <is>
          <t>Module 5 · Art &amp; Literature</t>
        </is>
      </c>
      <c r="C1056" s="11" t="inlineStr">
        <is>
          <t>5c</t>
        </is>
      </c>
      <c r="D1056" s="11" t="inlineStr">
        <is>
          <t>Comparatives &amp; Superlatives</t>
        </is>
      </c>
      <c r="E1056" s="35" t="inlineStr">
        <is>
          <t>Comparatives &amp; Superlatives: неправильные прилагательные (good, bad, many/much, little)</t>
        </is>
      </c>
      <c r="F1056" s="11" t="inlineStr">
        <is>
          <t>Ст-446</t>
        </is>
      </c>
      <c r="G1056" s="37" t="inlineStr">
        <is>
          <t>повторение</t>
        </is>
      </c>
      <c r="H1056" s="11" t="inlineStr"/>
      <c r="I1056" s="37" t="inlineStr">
        <is>
          <t>10+</t>
        </is>
      </c>
      <c r="J1056" s="11">
        <f>IFERROR(INDEX('Уроки'!$H:$H,MATCH(F1056,'Уроки'!$A:$A,0)),"")</f>
        <v/>
      </c>
      <c r="K1056" s="11">
        <f>IFERROR(INDEX('Уроки'!$J:$J,MATCH(F1056,'Уроки'!$A:$A,0)),"")</f>
        <v/>
      </c>
      <c r="L1056" s="11" t="inlineStr">
        <is>
          <t>Spotlight / 9 класс / Module 5 · Art &amp; Literature / Comparatives &amp; Superlatives / Comparatives &amp; Superlatives: неправильные прилагательные (good, bad, many/much, little)</t>
        </is>
      </c>
    </row>
    <row r="1057">
      <c r="A1057" s="37" t="n">
        <v>9</v>
      </c>
      <c r="B1057" s="11" t="inlineStr">
        <is>
          <t>Module 5 · Art &amp; Literature</t>
        </is>
      </c>
      <c r="C1057" s="11" t="inlineStr">
        <is>
          <t>5c</t>
        </is>
      </c>
      <c r="D1057" s="11" t="inlineStr">
        <is>
          <t>Comparatives &amp; Superlatives</t>
        </is>
      </c>
      <c r="E1057" s="35" t="inlineStr">
        <is>
          <t>Comparatives &amp; Superlatives: двусложные на -y/-er/-ow — -er/-est</t>
        </is>
      </c>
      <c r="F1057" s="11" t="inlineStr">
        <is>
          <t>Ст-447</t>
        </is>
      </c>
      <c r="G1057" s="37" t="inlineStr">
        <is>
          <t>повторение</t>
        </is>
      </c>
      <c r="H1057" s="11" t="inlineStr">
        <is>
          <t>easy-easier</t>
        </is>
      </c>
      <c r="I1057" s="37" t="inlineStr">
        <is>
          <t>10+</t>
        </is>
      </c>
      <c r="J1057" s="11">
        <f>IFERROR(INDEX('Уроки'!$H:$H,MATCH(F1057,'Уроки'!$A:$A,0)),"")</f>
        <v/>
      </c>
      <c r="K1057" s="11">
        <f>IFERROR(INDEX('Уроки'!$J:$J,MATCH(F1057,'Уроки'!$A:$A,0)),"")</f>
        <v/>
      </c>
      <c r="L1057" s="11" t="inlineStr">
        <is>
          <t>Spotlight / 9 класс / Module 5 · Art &amp; Literature / Comparatives &amp; Superlatives / Comparatives &amp; Superlatives: двусложные на -y/-er/-ow — -er/-est</t>
        </is>
      </c>
    </row>
    <row r="1058">
      <c r="A1058" s="37" t="n">
        <v>9</v>
      </c>
      <c r="B1058" s="11" t="inlineStr">
        <is>
          <t>Module 5 · Art &amp; Literature</t>
        </is>
      </c>
      <c r="C1058" s="11" t="inlineStr">
        <is>
          <t>5c</t>
        </is>
      </c>
      <c r="D1058" s="11" t="inlineStr">
        <is>
          <t>Comparatives &amp; Superlatives</t>
        </is>
      </c>
      <c r="E1058" s="35" t="inlineStr">
        <is>
          <t>Comparatives &amp; Superlatives: прилагательные с двумя способами (clever, quiet, friendly…)</t>
        </is>
      </c>
      <c r="F1058" s="11" t="inlineStr">
        <is>
          <t>Ст-448</t>
        </is>
      </c>
      <c r="G1058" s="37" t="inlineStr">
        <is>
          <t>повторение</t>
        </is>
      </c>
      <c r="H1058" s="11" t="inlineStr">
        <is>
          <t>clever, cruel, friendly…, stupid</t>
        </is>
      </c>
      <c r="I1058" s="37" t="inlineStr">
        <is>
          <t>10+</t>
        </is>
      </c>
      <c r="J1058" s="11">
        <f>IFERROR(INDEX('Уроки'!$H:$H,MATCH(F1058,'Уроки'!$A:$A,0)),"")</f>
        <v/>
      </c>
      <c r="K1058" s="11">
        <f>IFERROR(INDEX('Уроки'!$J:$J,MATCH(F1058,'Уроки'!$A:$A,0)),"")</f>
        <v/>
      </c>
      <c r="L1058" s="11" t="inlineStr">
        <is>
          <t>Spotlight / 9 класс / Module 5 · Art &amp; Literature / Comparatives &amp; Superlatives / Comparatives &amp; Superlatives: прилагательные с двумя способами (clever, quiet, friendly…)</t>
        </is>
      </c>
    </row>
    <row r="1059">
      <c r="A1059" s="37" t="n">
        <v>9</v>
      </c>
      <c r="B1059" s="11" t="inlineStr">
        <is>
          <t>Module 5 · Art &amp; Literature</t>
        </is>
      </c>
      <c r="C1059" s="11" t="inlineStr">
        <is>
          <t>5c</t>
        </is>
      </c>
      <c r="D1059" s="11" t="inlineStr">
        <is>
          <t>Comparatives &amp; Superlatives</t>
        </is>
      </c>
      <c r="E1059" s="35" t="inlineStr">
        <is>
          <t>Comparatives &amp; Superlatives: far — farther/further, old — elder/eldest</t>
        </is>
      </c>
      <c r="F1059" s="11" t="inlineStr">
        <is>
          <t>Ст-449</t>
        </is>
      </c>
      <c r="G1059" s="37" t="inlineStr">
        <is>
          <t>повторение</t>
        </is>
      </c>
      <c r="H1059" s="11" t="inlineStr">
        <is>
          <t>far, elder/eldest</t>
        </is>
      </c>
      <c r="I1059" s="37" t="inlineStr">
        <is>
          <t>10+</t>
        </is>
      </c>
      <c r="J1059" s="11">
        <f>IFERROR(INDEX('Уроки'!$H:$H,MATCH(F1059,'Уроки'!$A:$A,0)),"")</f>
        <v/>
      </c>
      <c r="K1059" s="11">
        <f>IFERROR(INDEX('Уроки'!$J:$J,MATCH(F1059,'Уроки'!$A:$A,0)),"")</f>
        <v/>
      </c>
      <c r="L1059" s="11" t="inlineStr">
        <is>
          <t>Spotlight / 9 класс / Module 5 · Art &amp; Literature / Comparatives &amp; Superlatives / Comparatives &amp; Superlatives: far — farther/further, old — elder/eldest</t>
        </is>
      </c>
    </row>
    <row r="1060">
      <c r="A1060" s="37" t="n">
        <v>9</v>
      </c>
      <c r="B1060" s="11" t="inlineStr">
        <is>
          <t>Module 5 · Art &amp; Literature</t>
        </is>
      </c>
      <c r="C1060" s="11" t="inlineStr">
        <is>
          <t>5c</t>
        </is>
      </c>
      <c r="D1060" s="11" t="inlineStr">
        <is>
          <t>Comparatives &amp; Superlatives</t>
        </is>
      </c>
      <c r="E1060" s="33" t="inlineStr">
        <is>
          <t>Comparatives &amp; Superlatives: наречия — -er/-est (hard, fast, early)</t>
        </is>
      </c>
      <c r="F1060" s="11" t="inlineStr">
        <is>
          <t>Ст-450</t>
        </is>
      </c>
      <c r="G1060" s="37" t="inlineStr">
        <is>
          <t>повторение</t>
        </is>
      </c>
      <c r="H1060" s="11" t="inlineStr"/>
      <c r="I1060" s="37" t="inlineStr">
        <is>
          <t>10+</t>
        </is>
      </c>
      <c r="J1060" s="11">
        <f>IFERROR(INDEX('Уроки'!$H:$H,MATCH(F1060,'Уроки'!$A:$A,0)),"")</f>
        <v/>
      </c>
      <c r="K1060" s="11">
        <f>IFERROR(INDEX('Уроки'!$J:$J,MATCH(F1060,'Уроки'!$A:$A,0)),"")</f>
        <v/>
      </c>
      <c r="L1060" s="11" t="inlineStr">
        <is>
          <t>Spotlight / 9 класс / Module 5 · Art &amp; Literature / Comparatives &amp; Superlatives / Comparatives &amp; Superlatives: наречия — -er/-est (hard, fast, early)</t>
        </is>
      </c>
    </row>
    <row r="1061">
      <c r="A1061" s="37" t="n">
        <v>9</v>
      </c>
      <c r="B1061" s="11" t="inlineStr">
        <is>
          <t>Module 5 · Art &amp; Literature</t>
        </is>
      </c>
      <c r="C1061" s="11" t="inlineStr">
        <is>
          <t>5c</t>
        </is>
      </c>
      <c r="D1061" s="11" t="inlineStr">
        <is>
          <t>Comparatives &amp; Superlatives</t>
        </is>
      </c>
      <c r="E1061" s="33" t="inlineStr">
        <is>
          <t>Comparatives &amp; Superlatives: наречия — more/most (slowly)</t>
        </is>
      </c>
      <c r="F1061" s="11" t="inlineStr">
        <is>
          <t>Ст-451</t>
        </is>
      </c>
      <c r="G1061" s="37" t="inlineStr">
        <is>
          <t>повторение</t>
        </is>
      </c>
      <c r="H1061" s="11" t="inlineStr"/>
      <c r="I1061" s="37" t="inlineStr">
        <is>
          <t>10+</t>
        </is>
      </c>
      <c r="J1061" s="11">
        <f>IFERROR(INDEX('Уроки'!$H:$H,MATCH(F1061,'Уроки'!$A:$A,0)),"")</f>
        <v/>
      </c>
      <c r="K1061" s="11">
        <f>IFERROR(INDEX('Уроки'!$J:$J,MATCH(F1061,'Уроки'!$A:$A,0)),"")</f>
        <v/>
      </c>
      <c r="L1061" s="11" t="inlineStr">
        <is>
          <t>Spotlight / 9 класс / Module 5 · Art &amp; Literature / Comparatives &amp; Superlatives / Comparatives &amp; Superlatives: наречия — more/most (slowly)</t>
        </is>
      </c>
    </row>
    <row r="1062">
      <c r="A1062" s="37" t="n">
        <v>9</v>
      </c>
      <c r="B1062" s="11" t="inlineStr">
        <is>
          <t>Module 5 · Art &amp; Literature</t>
        </is>
      </c>
      <c r="C1062" s="11" t="inlineStr">
        <is>
          <t>5c</t>
        </is>
      </c>
      <c r="D1062" s="11" t="inlineStr">
        <is>
          <t>Comparatives &amp; Superlatives</t>
        </is>
      </c>
      <c r="E1062" s="33" t="inlineStr">
        <is>
          <t>Comparatives &amp; Superlatives: неправильные наречия (well, badly)</t>
        </is>
      </c>
      <c r="F1062" s="11" t="inlineStr">
        <is>
          <t>Ст-452</t>
        </is>
      </c>
      <c r="G1062" s="37" t="inlineStr">
        <is>
          <t>повторение</t>
        </is>
      </c>
      <c r="H1062" s="11" t="inlineStr">
        <is>
          <t>good/well, bad/badly</t>
        </is>
      </c>
      <c r="I1062" s="37" t="inlineStr">
        <is>
          <t>10+</t>
        </is>
      </c>
      <c r="J1062" s="11">
        <f>IFERROR(INDEX('Уроки'!$H:$H,MATCH(F1062,'Уроки'!$A:$A,0)),"")</f>
        <v/>
      </c>
      <c r="K1062" s="11">
        <f>IFERROR(INDEX('Уроки'!$J:$J,MATCH(F1062,'Уроки'!$A:$A,0)),"")</f>
        <v/>
      </c>
      <c r="L1062" s="11" t="inlineStr">
        <is>
          <t>Spotlight / 9 класс / Module 5 · Art &amp; Literature / Comparatives &amp; Superlatives / Comparatives &amp; Superlatives: неправильные наречия (well, badly)</t>
        </is>
      </c>
    </row>
    <row r="1063">
      <c r="A1063" s="37" t="n">
        <v>9</v>
      </c>
      <c r="B1063" s="11" t="inlineStr">
        <is>
          <t>Module 5 · Art &amp; Literature</t>
        </is>
      </c>
      <c r="C1063" s="11" t="inlineStr">
        <is>
          <t>5c</t>
        </is>
      </c>
      <c r="D1063" s="11" t="inlineStr">
        <is>
          <t>Comparative structures</t>
        </is>
      </c>
      <c r="E1063" s="33" t="inlineStr">
        <is>
          <t>Comparative structures: as … as / not as (so) … as</t>
        </is>
      </c>
      <c r="F1063" s="11" t="inlineStr">
        <is>
          <t>Ст-461</t>
        </is>
      </c>
      <c r="G1063" s="37" t="inlineStr">
        <is>
          <t>повторение</t>
        </is>
      </c>
      <c r="H1063" s="11" t="inlineStr">
        <is>
          <t>as … as / not as(so) … as</t>
        </is>
      </c>
      <c r="I1063" s="37" t="inlineStr">
        <is>
          <t>10+</t>
        </is>
      </c>
      <c r="J1063" s="11">
        <f>IFERROR(INDEX('Уроки'!$H:$H,MATCH(F1063,'Уроки'!$A:$A,0)),"")</f>
        <v/>
      </c>
      <c r="K1063" s="11">
        <f>IFERROR(INDEX('Уроки'!$J:$J,MATCH(F1063,'Уроки'!$A:$A,0)),"")</f>
        <v/>
      </c>
      <c r="L1063" s="11" t="inlineStr">
        <is>
          <t>Spotlight / 9 класс / Module 5 · Art &amp; Literature / Comparative structures / Comparative structures: as … as / not as (so) … as</t>
        </is>
      </c>
    </row>
    <row r="1064">
      <c r="A1064" s="37" t="n">
        <v>9</v>
      </c>
      <c r="B1064" s="11" t="inlineStr">
        <is>
          <t>Module 5 · Art &amp; Literature</t>
        </is>
      </c>
      <c r="C1064" s="11" t="inlineStr">
        <is>
          <t>5c</t>
        </is>
      </c>
      <c r="D1064" s="11" t="inlineStr">
        <is>
          <t>Comparative structures</t>
        </is>
      </c>
      <c r="E1064" s="33" t="inlineStr">
        <is>
          <t>Comparative structures: less … than / the least … of/in</t>
        </is>
      </c>
      <c r="F1064" s="11" t="inlineStr">
        <is>
          <t>Ст-462</t>
        </is>
      </c>
      <c r="G1064" s="37" t="inlineStr">
        <is>
          <t>повторение</t>
        </is>
      </c>
      <c r="H1064" s="11" t="inlineStr">
        <is>
          <t>less/more … than, the least/most</t>
        </is>
      </c>
      <c r="I1064" s="37" t="inlineStr">
        <is>
          <t>10+</t>
        </is>
      </c>
      <c r="J1064" s="11">
        <f>IFERROR(INDEX('Уроки'!$H:$H,MATCH(F1064,'Уроки'!$A:$A,0)),"")</f>
        <v/>
      </c>
      <c r="K1064" s="11">
        <f>IFERROR(INDEX('Уроки'!$J:$J,MATCH(F1064,'Уроки'!$A:$A,0)),"")</f>
        <v/>
      </c>
      <c r="L1064" s="11" t="inlineStr">
        <is>
          <t>Spotlight / 9 класс / Module 5 · Art &amp; Literature / Comparative structures / Comparative structures: less … than / the least … of/in</t>
        </is>
      </c>
    </row>
    <row r="1065">
      <c r="A1065" s="37" t="n">
        <v>9</v>
      </c>
      <c r="B1065" s="11" t="inlineStr">
        <is>
          <t>Module 5 · Art &amp; Literature</t>
        </is>
      </c>
      <c r="C1065" s="11" t="inlineStr">
        <is>
          <t>5c</t>
        </is>
      </c>
      <c r="D1065" s="11" t="inlineStr">
        <is>
          <t>Comparative structures</t>
        </is>
      </c>
      <c r="E1065" s="33" t="inlineStr">
        <is>
          <t>Comparative structures: much/a lot/far/a bit/slightly + comparative</t>
        </is>
      </c>
      <c r="F1065" s="11" t="inlineStr">
        <is>
          <t>Ст-463</t>
        </is>
      </c>
      <c r="G1065" s="37" t="inlineStr">
        <is>
          <t>повторение</t>
        </is>
      </c>
      <c r="H1065" s="11" t="inlineStr">
        <is>
          <t>much/a lot/far/a little bit/slightly</t>
        </is>
      </c>
      <c r="I1065" s="37" t="inlineStr">
        <is>
          <t>10+</t>
        </is>
      </c>
      <c r="J1065" s="11">
        <f>IFERROR(INDEX('Уроки'!$H:$H,MATCH(F1065,'Уроки'!$A:$A,0)),"")</f>
        <v/>
      </c>
      <c r="K1065" s="11">
        <f>IFERROR(INDEX('Уроки'!$J:$J,MATCH(F1065,'Уроки'!$A:$A,0)),"")</f>
        <v/>
      </c>
      <c r="L1065" s="11" t="inlineStr">
        <is>
          <t>Spotlight / 9 класс / Module 5 · Art &amp; Literature / Comparative structures / Comparative structures: much/a lot/far/a bit/slightly + comparative</t>
        </is>
      </c>
    </row>
    <row r="1066">
      <c r="A1066" s="37" t="n">
        <v>9</v>
      </c>
      <c r="B1066" s="11" t="inlineStr">
        <is>
          <t>Module 5 · Art &amp; Literature</t>
        </is>
      </c>
      <c r="C1066" s="11" t="inlineStr">
        <is>
          <t>5c</t>
        </is>
      </c>
      <c r="D1066" s="11" t="inlineStr">
        <is>
          <t>Comparative structures</t>
        </is>
      </c>
      <c r="E1066" s="33" t="inlineStr">
        <is>
          <t>Comparative structures: the + comparative …, the + comparative</t>
        </is>
      </c>
      <c r="F1066" s="11" t="inlineStr">
        <is>
          <t>Ст-464</t>
        </is>
      </c>
      <c r="G1066" s="37" t="inlineStr">
        <is>
          <t>повторение</t>
        </is>
      </c>
      <c r="H1066" s="11" t="inlineStr">
        <is>
          <t>The longer the day went on, the more tired…</t>
        </is>
      </c>
      <c r="I1066" s="37" t="inlineStr">
        <is>
          <t>10+</t>
        </is>
      </c>
      <c r="J1066" s="11">
        <f>IFERROR(INDEX('Уроки'!$H:$H,MATCH(F1066,'Уроки'!$A:$A,0)),"")</f>
        <v/>
      </c>
      <c r="K1066" s="11">
        <f>IFERROR(INDEX('Уроки'!$J:$J,MATCH(F1066,'Уроки'!$A:$A,0)),"")</f>
        <v/>
      </c>
      <c r="L1066" s="11" t="inlineStr">
        <is>
          <t>Spotlight / 9 класс / Module 5 · Art &amp; Literature / Comparative structures / Comparative structures: the + comparative …, the + comparative</t>
        </is>
      </c>
    </row>
    <row r="1067">
      <c r="A1067" s="37" t="n">
        <v>9</v>
      </c>
      <c r="B1067" s="11" t="inlineStr">
        <is>
          <t>Module 5 · Art &amp; Literature</t>
        </is>
      </c>
      <c r="C1067" s="11" t="inlineStr">
        <is>
          <t>5c</t>
        </is>
      </c>
      <c r="D1067" s="11" t="inlineStr">
        <is>
          <t>Comparative structures</t>
        </is>
      </c>
      <c r="E1067" s="33" t="inlineStr">
        <is>
          <t>Comparative structures: comparative and comparative (shorter and shorter)</t>
        </is>
      </c>
      <c r="F1067" s="11" t="inlineStr">
        <is>
          <t>Ст-465</t>
        </is>
      </c>
      <c r="G1067" s="37" t="inlineStr">
        <is>
          <t>повторение</t>
        </is>
      </c>
      <c r="H1067" s="11" t="inlineStr">
        <is>
          <t>worse and worse</t>
        </is>
      </c>
      <c r="I1067" s="37" t="inlineStr">
        <is>
          <t>10+</t>
        </is>
      </c>
      <c r="J1067" s="11">
        <f>IFERROR(INDEX('Уроки'!$H:$H,MATCH(F1067,'Уроки'!$A:$A,0)),"")</f>
        <v/>
      </c>
      <c r="K1067" s="11">
        <f>IFERROR(INDEX('Уроки'!$J:$J,MATCH(F1067,'Уроки'!$A:$A,0)),"")</f>
        <v/>
      </c>
      <c r="L1067" s="11" t="inlineStr">
        <is>
          <t>Spotlight / 9 класс / Module 5 · Art &amp; Literature / Comparative structures / Comparative structures: comparative and comparative (shorter and shorter)</t>
        </is>
      </c>
    </row>
    <row r="1068">
      <c r="A1068" s="37" t="n">
        <v>9</v>
      </c>
      <c r="B1068" s="11" t="inlineStr">
        <is>
          <t>Module 5 · Art &amp; Literature</t>
        </is>
      </c>
      <c r="C1068" s="11" t="inlineStr">
        <is>
          <t>5c</t>
        </is>
      </c>
      <c r="D1068" s="11" t="inlineStr">
        <is>
          <t>Comparative structures</t>
        </is>
      </c>
      <c r="E1068" s="33" t="inlineStr">
        <is>
          <t>Comparative structures: by far + the superlative</t>
        </is>
      </c>
      <c r="F1068" s="11" t="inlineStr">
        <is>
          <t>Ст-466</t>
        </is>
      </c>
      <c r="G1068" s="37" t="inlineStr">
        <is>
          <t>повторение</t>
        </is>
      </c>
      <c r="H1068" s="11" t="inlineStr"/>
      <c r="I1068" s="37" t="inlineStr">
        <is>
          <t>10+</t>
        </is>
      </c>
      <c r="J1068" s="11">
        <f>IFERROR(INDEX('Уроки'!$H:$H,MATCH(F1068,'Уроки'!$A:$A,0)),"")</f>
        <v/>
      </c>
      <c r="K1068" s="11">
        <f>IFERROR(INDEX('Уроки'!$J:$J,MATCH(F1068,'Уроки'!$A:$A,0)),"")</f>
        <v/>
      </c>
      <c r="L1068" s="11" t="inlineStr">
        <is>
          <t>Spotlight / 9 класс / Module 5 · Art &amp; Literature / Comparative structures / Comparative structures: by far + the superlative</t>
        </is>
      </c>
    </row>
    <row r="1069">
      <c r="A1069" s="37" t="n">
        <v>9</v>
      </c>
      <c r="B1069" s="11" t="inlineStr">
        <is>
          <t>Module 5 · Art &amp; Literature</t>
        </is>
      </c>
      <c r="C1069" s="11" t="inlineStr">
        <is>
          <t>5f</t>
        </is>
      </c>
      <c r="D1069" s="11" t="inlineStr">
        <is>
          <t>Phrasal verbs</t>
        </is>
      </c>
      <c r="E1069" s="35" t="inlineStr">
        <is>
          <t>Phrasal verbs: run</t>
        </is>
      </c>
      <c r="F1069" s="11" t="inlineStr">
        <is>
          <t>Ст-599</t>
        </is>
      </c>
      <c r="G1069" s="40" t="inlineStr">
        <is>
          <t>новое</t>
        </is>
      </c>
      <c r="H1069" s="11" t="inlineStr">
        <is>
          <t>run: run away (убегать), run into (случайно встретить кого-либо), run out of (кончиться — обычно о продуктах), run over (задавить), run through (репетировать).</t>
        </is>
      </c>
      <c r="I1069" s="37" t="inlineStr">
        <is>
          <t>10+</t>
        </is>
      </c>
      <c r="J1069" s="11">
        <f>IFERROR(INDEX('Уроки'!$H:$H,MATCH(F1069,'Уроки'!$A:$A,0)),"")</f>
        <v/>
      </c>
      <c r="K1069" s="11">
        <f>IFERROR(INDEX('Уроки'!$J:$J,MATCH(F1069,'Уроки'!$A:$A,0)),"")</f>
        <v/>
      </c>
      <c r="L1069" s="11" t="inlineStr">
        <is>
          <t>Spotlight / 9 класс / Module 5 · Art &amp; Literature / Phrasal verbs / Phrasal verbs: run</t>
        </is>
      </c>
    </row>
    <row r="1070">
      <c r="A1070" s="37" t="n">
        <v>9</v>
      </c>
      <c r="B1070" s="11" t="inlineStr">
        <is>
          <t>Module 5 · Art &amp; Literature</t>
        </is>
      </c>
      <c r="C1070" s="11" t="inlineStr">
        <is>
          <t>5f</t>
        </is>
      </c>
      <c r="D1070" s="11" t="inlineStr">
        <is>
          <t>Word formation</t>
        </is>
      </c>
      <c r="E1070" s="35" t="inlineStr">
        <is>
          <t>Word formation: verbs with prefixes</t>
        </is>
      </c>
      <c r="F1070" s="11" t="inlineStr">
        <is>
          <t>Ст-628</t>
        </is>
      </c>
      <c r="G1070" s="40" t="inlineStr">
        <is>
          <t>новое</t>
        </is>
      </c>
      <c r="H1070" s="11" t="inlineStr">
        <is>
          <t>Word formation: образование глаголов с помощью приставок (forming verbs with prefixes).</t>
        </is>
      </c>
      <c r="I1070" s="37" t="inlineStr">
        <is>
          <t>10+</t>
        </is>
      </c>
      <c r="J1070" s="11">
        <f>IFERROR(INDEX('Уроки'!$H:$H,MATCH(F1070,'Уроки'!$A:$A,0)),"")</f>
        <v/>
      </c>
      <c r="K1070" s="11">
        <f>IFERROR(INDEX('Уроки'!$J:$J,MATCH(F1070,'Уроки'!$A:$A,0)),"")</f>
        <v/>
      </c>
      <c r="L1070" s="11" t="inlineStr">
        <is>
          <t>Spotlight / 9 класс / Module 5 · Art &amp; Literature / Word formation / Word formation: verbs with prefixes</t>
        </is>
      </c>
    </row>
    <row r="1071">
      <c r="A1071" s="37" t="n">
        <v>9</v>
      </c>
      <c r="B1071" s="11" t="inlineStr">
        <is>
          <t>Module 5 · Art &amp; Literature</t>
        </is>
      </c>
      <c r="C1071" s="11" t="inlineStr">
        <is>
          <t>5f</t>
        </is>
      </c>
      <c r="D1071" s="11" t="inlineStr">
        <is>
          <t>Dependent prepositions</t>
        </is>
      </c>
      <c r="E1071" s="35" t="inlineStr">
        <is>
          <t>Dependent prepositions</t>
        </is>
      </c>
      <c r="F1071" s="11" t="inlineStr">
        <is>
          <t>Ст-633</t>
        </is>
      </c>
      <c r="G1071" s="37" t="inlineStr">
        <is>
          <t>повторение</t>
        </is>
      </c>
      <c r="H1071" s="11" t="inlineStr">
        <is>
          <t>Dependent prepositions (заголовок раздела English in Use).</t>
        </is>
      </c>
      <c r="I1071" s="37" t="inlineStr">
        <is>
          <t>10+</t>
        </is>
      </c>
      <c r="J1071" s="11">
        <f>IFERROR(INDEX('Уроки'!$H:$H,MATCH(F1071,'Уроки'!$A:$A,0)),"")</f>
        <v/>
      </c>
      <c r="K1071" s="11">
        <f>IFERROR(INDEX('Уроки'!$J:$J,MATCH(F1071,'Уроки'!$A:$A,0)),"")</f>
        <v/>
      </c>
      <c r="L1071" s="11" t="inlineStr">
        <is>
          <t>Spotlight / 9 класс / Module 5 · Art &amp; Literature / Dependent prepositions / Dependent prepositions</t>
        </is>
      </c>
    </row>
    <row r="1072">
      <c r="A1072" s="37" t="n">
        <v>9</v>
      </c>
      <c r="B1072" s="11" t="inlineStr">
        <is>
          <t>Module 6 · Town &amp; Community</t>
        </is>
      </c>
      <c r="C1072" s="11" t="inlineStr">
        <is>
          <t>6c</t>
        </is>
      </c>
      <c r="D1072" s="11" t="inlineStr">
        <is>
          <t>Causative (have something done)</t>
        </is>
      </c>
      <c r="E1072" s="33" t="inlineStr">
        <is>
          <t>Causative: форма have + object + V3</t>
        </is>
      </c>
      <c r="F1072" s="11" t="inlineStr">
        <is>
          <t>Ст-221</t>
        </is>
      </c>
      <c r="G1072" s="37" t="inlineStr">
        <is>
          <t>повторение</t>
        </is>
      </c>
      <c r="H1072" s="11" t="inlineStr"/>
      <c r="I1072" s="37" t="inlineStr">
        <is>
          <t>10+</t>
        </is>
      </c>
      <c r="J1072" s="11">
        <f>IFERROR(INDEX('Уроки'!$H:$H,MATCH(F1072,'Уроки'!$A:$A,0)),"")</f>
        <v/>
      </c>
      <c r="K1072" s="11">
        <f>IFERROR(INDEX('Уроки'!$J:$J,MATCH(F1072,'Уроки'!$A:$A,0)),"")</f>
        <v/>
      </c>
      <c r="L1072" s="11" t="inlineStr">
        <is>
          <t>Spotlight / 9 класс / Module 6 · Town &amp; Community / Causative (have something done) / Causative: форма have + object + V3</t>
        </is>
      </c>
    </row>
    <row r="1073">
      <c r="A1073" s="37" t="n">
        <v>9</v>
      </c>
      <c r="B1073" s="11" t="inlineStr">
        <is>
          <t>Module 6 · Town &amp; Community</t>
        </is>
      </c>
      <c r="C1073" s="11" t="inlineStr">
        <is>
          <t>6c</t>
        </is>
      </c>
      <c r="D1073" s="11" t="inlineStr">
        <is>
          <t>Causative (have something done)</t>
        </is>
      </c>
      <c r="E1073" s="33" t="inlineStr">
        <is>
          <t>Causative: значение — действие выполняет кто-то другой для подлежащего</t>
        </is>
      </c>
      <c r="F1073" s="11" t="inlineStr">
        <is>
          <t>Ст-222</t>
        </is>
      </c>
      <c r="G1073" s="37" t="inlineStr">
        <is>
          <t>повторение</t>
        </is>
      </c>
      <c r="H1073" s="11" t="inlineStr"/>
      <c r="I1073" s="37" t="inlineStr">
        <is>
          <t>10+</t>
        </is>
      </c>
      <c r="J1073" s="11">
        <f>IFERROR(INDEX('Уроки'!$H:$H,MATCH(F1073,'Уроки'!$A:$A,0)),"")</f>
        <v/>
      </c>
      <c r="K1073" s="11">
        <f>IFERROR(INDEX('Уроки'!$J:$J,MATCH(F1073,'Уроки'!$A:$A,0)),"")</f>
        <v/>
      </c>
      <c r="L1073" s="11" t="inlineStr">
        <is>
          <t>Spotlight / 9 класс / Module 6 · Town &amp; Community / Causative (have something done) / Causative: значение — действие выполняет кто-то другой для подлежащего</t>
        </is>
      </c>
    </row>
    <row r="1074">
      <c r="A1074" s="37" t="n">
        <v>9</v>
      </c>
      <c r="B1074" s="11" t="inlineStr">
        <is>
          <t>Module 6 · Town &amp; Community</t>
        </is>
      </c>
      <c r="C1074" s="11" t="inlineStr">
        <is>
          <t>6c</t>
        </is>
      </c>
      <c r="D1074" s="11" t="inlineStr">
        <is>
          <t>Causative (have something done)</t>
        </is>
      </c>
      <c r="E1074" s="35" t="inlineStr">
        <is>
          <t>Causative: have sth done в разных временах (Continuous, Perfect, Future)</t>
        </is>
      </c>
      <c r="F1074" s="11" t="inlineStr">
        <is>
          <t>Ст-223</t>
        </is>
      </c>
      <c r="G1074" s="41" t="inlineStr">
        <is>
          <t>расширение</t>
        </is>
      </c>
      <c r="H1074" s="11" t="inlineStr">
        <is>
          <t>+ will be having</t>
        </is>
      </c>
      <c r="I1074" s="37" t="inlineStr">
        <is>
          <t>10+</t>
        </is>
      </c>
      <c r="J1074" s="11">
        <f>IFERROR(INDEX('Уроки'!$H:$H,MATCH(F1074,'Уроки'!$A:$A,0)),"")</f>
        <v/>
      </c>
      <c r="K1074" s="11">
        <f>IFERROR(INDEX('Уроки'!$J:$J,MATCH(F1074,'Уроки'!$A:$A,0)),"")</f>
        <v/>
      </c>
      <c r="L1074" s="11" t="inlineStr">
        <is>
          <t>Spotlight / 9 класс / Module 6 · Town &amp; Community / Causative (have something done) / Causative: have sth done в разных временах (Continuous, Perfect, Future)</t>
        </is>
      </c>
    </row>
    <row r="1075">
      <c r="A1075" s="37" t="n">
        <v>9</v>
      </c>
      <c r="B1075" s="11" t="inlineStr">
        <is>
          <t>Module 6 · Town &amp; Community</t>
        </is>
      </c>
      <c r="C1075" s="11" t="inlineStr">
        <is>
          <t>6c</t>
        </is>
      </c>
      <c r="D1075" s="11" t="inlineStr">
        <is>
          <t>Causative (have something done)</t>
        </is>
      </c>
      <c r="E1075" s="35" t="inlineStr">
        <is>
          <t>Causative: инфинитив, -ing и модальные (to have / having sth done)</t>
        </is>
      </c>
      <c r="F1075" s="11" t="inlineStr">
        <is>
          <t>Ст-224</t>
        </is>
      </c>
      <c r="G1075" s="37" t="inlineStr">
        <is>
          <t>повторение</t>
        </is>
      </c>
      <c r="H1075" s="11" t="inlineStr"/>
      <c r="I1075" s="37" t="inlineStr">
        <is>
          <t>10+</t>
        </is>
      </c>
      <c r="J1075" s="11">
        <f>IFERROR(INDEX('Уроки'!$H:$H,MATCH(F1075,'Уроки'!$A:$A,0)),"")</f>
        <v/>
      </c>
      <c r="K1075" s="11">
        <f>IFERROR(INDEX('Уроки'!$J:$J,MATCH(F1075,'Уроки'!$A:$A,0)),"")</f>
        <v/>
      </c>
      <c r="L1075" s="11" t="inlineStr">
        <is>
          <t>Spotlight / 9 класс / Module 6 · Town &amp; Community / Causative (have something done) / Causative: инфинитив, -ing и модальные (to have / having sth done)</t>
        </is>
      </c>
    </row>
    <row r="1076">
      <c r="A1076" s="37" t="n">
        <v>9</v>
      </c>
      <c r="B1076" s="11" t="inlineStr">
        <is>
          <t>Module 6 · Town &amp; Community</t>
        </is>
      </c>
      <c r="C1076" s="11" t="inlineStr">
        <is>
          <t>6c</t>
        </is>
      </c>
      <c r="D1076" s="11" t="inlineStr">
        <is>
          <t>Causative (have something done)</t>
        </is>
      </c>
      <c r="E1076" s="35" t="inlineStr">
        <is>
          <t>Causative: отрицания и вопросы с do/does/did</t>
        </is>
      </c>
      <c r="F1076" s="11" t="inlineStr">
        <is>
          <t>Ст-225</t>
        </is>
      </c>
      <c r="G1076" s="40" t="inlineStr">
        <is>
          <t>новое</t>
        </is>
      </c>
      <c r="H1076" s="11" t="inlineStr">
        <is>
          <t>Did you have your eyes checked?</t>
        </is>
      </c>
      <c r="I1076" s="37" t="inlineStr">
        <is>
          <t>10+</t>
        </is>
      </c>
      <c r="J1076" s="11">
        <f>IFERROR(INDEX('Уроки'!$H:$H,MATCH(F1076,'Уроки'!$A:$A,0)),"")</f>
        <v/>
      </c>
      <c r="K1076" s="11">
        <f>IFERROR(INDEX('Уроки'!$J:$J,MATCH(F1076,'Уроки'!$A:$A,0)),"")</f>
        <v/>
      </c>
      <c r="L1076" s="11" t="inlineStr">
        <is>
          <t>Spotlight / 9 класс / Module 6 · Town &amp; Community / Causative (have something done) / Causative: отрицания и вопросы с do/does/did</t>
        </is>
      </c>
    </row>
    <row r="1077">
      <c r="A1077" s="37" t="n">
        <v>9</v>
      </c>
      <c r="B1077" s="11" t="inlineStr">
        <is>
          <t>Module 6 · Town &amp; Community</t>
        </is>
      </c>
      <c r="C1077" s="11" t="inlineStr">
        <is>
          <t>6c</t>
        </is>
      </c>
      <c r="D1077" s="11" t="inlineStr">
        <is>
          <t>Causative (have something done)</t>
        </is>
      </c>
      <c r="E1077" s="35" t="inlineStr">
        <is>
          <t>Causative: get sth done вместо have</t>
        </is>
      </c>
      <c r="F1077" s="11" t="inlineStr">
        <is>
          <t>Ст-226</t>
        </is>
      </c>
      <c r="G1077" s="40" t="inlineStr">
        <is>
          <t>новое</t>
        </is>
      </c>
      <c r="H1077" s="11" t="inlineStr"/>
      <c r="I1077" s="37" t="inlineStr">
        <is>
          <t>10+</t>
        </is>
      </c>
      <c r="J1077" s="11">
        <f>IFERROR(INDEX('Уроки'!$H:$H,MATCH(F1077,'Уроки'!$A:$A,0)),"")</f>
        <v/>
      </c>
      <c r="K1077" s="11">
        <f>IFERROR(INDEX('Уроки'!$J:$J,MATCH(F1077,'Уроки'!$A:$A,0)),"")</f>
        <v/>
      </c>
      <c r="L1077" s="11" t="inlineStr">
        <is>
          <t>Spotlight / 9 класс / Module 6 · Town &amp; Community / Causative (have something done) / Causative: get sth done вместо have</t>
        </is>
      </c>
    </row>
    <row r="1078">
      <c r="A1078" s="37" t="n">
        <v>9</v>
      </c>
      <c r="B1078" s="11" t="inlineStr">
        <is>
          <t>Module 6 · Town &amp; Community</t>
        </is>
      </c>
      <c r="C1078" s="11" t="inlineStr">
        <is>
          <t>6c</t>
        </is>
      </c>
      <c r="D1078" s="11" t="inlineStr">
        <is>
          <t>Causative (have something done)</t>
        </is>
      </c>
      <c r="E1078" s="35" t="inlineStr">
        <is>
          <t>Causative: значение — неприятное происшествие (had his car stolen)</t>
        </is>
      </c>
      <c r="F1078" s="11" t="inlineStr">
        <is>
          <t>Ст-227</t>
        </is>
      </c>
      <c r="G1078" s="40" t="inlineStr">
        <is>
          <t>новое</t>
        </is>
      </c>
      <c r="H1078" s="11" t="inlineStr">
        <is>
          <t>George had his car stolen</t>
        </is>
      </c>
      <c r="I1078" s="37" t="inlineStr">
        <is>
          <t>10+</t>
        </is>
      </c>
      <c r="J1078" s="11">
        <f>IFERROR(INDEX('Уроки'!$H:$H,MATCH(F1078,'Уроки'!$A:$A,0)),"")</f>
        <v/>
      </c>
      <c r="K1078" s="11">
        <f>IFERROR(INDEX('Уроки'!$J:$J,MATCH(F1078,'Уроки'!$A:$A,0)),"")</f>
        <v/>
      </c>
      <c r="L1078" s="11" t="inlineStr">
        <is>
          <t>Spotlight / 9 класс / Module 6 · Town &amp; Community / Causative (have something done) / Causative: значение — неприятное происшествие (had his car stolen)</t>
        </is>
      </c>
    </row>
    <row r="1079">
      <c r="A1079" s="37" t="n">
        <v>9</v>
      </c>
      <c r="B1079" s="11" t="inlineStr">
        <is>
          <t>Module 6 · Town &amp; Community</t>
        </is>
      </c>
      <c r="C1079" s="11" t="inlineStr">
        <is>
          <t>6c</t>
        </is>
      </c>
      <c r="D1079" s="11" t="inlineStr">
        <is>
          <t>Passive Voice</t>
        </is>
      </c>
      <c r="E1079" s="35" t="inlineStr">
        <is>
          <t>Passive Voice: форма be + V3 — Present Simple и Past Simple</t>
        </is>
      </c>
      <c r="F1079" s="11" t="inlineStr">
        <is>
          <t>Ст-271</t>
        </is>
      </c>
      <c r="G1079" s="37" t="inlineStr">
        <is>
          <t>повторение</t>
        </is>
      </c>
      <c r="H1079" s="11" t="inlineStr"/>
      <c r="I1079" s="37" t="inlineStr">
        <is>
          <t>10+</t>
        </is>
      </c>
      <c r="J1079" s="11">
        <f>IFERROR(INDEX('Уроки'!$H:$H,MATCH(F1079,'Уроки'!$A:$A,0)),"")</f>
        <v/>
      </c>
      <c r="K1079" s="11">
        <f>IFERROR(INDEX('Уроки'!$J:$J,MATCH(F1079,'Уроки'!$A:$A,0)),"")</f>
        <v/>
      </c>
      <c r="L1079" s="11" t="inlineStr">
        <is>
          <t>Spotlight / 9 класс / Module 6 · Town &amp; Community / Passive Voice / Passive Voice: форма be + V3 — Present Simple и Past Simple</t>
        </is>
      </c>
    </row>
    <row r="1080">
      <c r="A1080" s="37" t="n">
        <v>9</v>
      </c>
      <c r="B1080" s="11" t="inlineStr">
        <is>
          <t>Module 6 · Town &amp; Community</t>
        </is>
      </c>
      <c r="C1080" s="11" t="inlineStr">
        <is>
          <t>6c</t>
        </is>
      </c>
      <c r="D1080" s="11" t="inlineStr">
        <is>
          <t>Passive Voice</t>
        </is>
      </c>
      <c r="E1080" s="35" t="inlineStr">
        <is>
          <t>Passive Voice: Continuous (is/was being + V3)</t>
        </is>
      </c>
      <c r="F1080" s="11" t="inlineStr">
        <is>
          <t>Ст-272</t>
        </is>
      </c>
      <c r="G1080" s="37" t="inlineStr">
        <is>
          <t>повторение</t>
        </is>
      </c>
      <c r="H1080" s="11" t="inlineStr"/>
      <c r="I1080" s="37" t="inlineStr">
        <is>
          <t>10+</t>
        </is>
      </c>
      <c r="J1080" s="11">
        <f>IFERROR(INDEX('Уроки'!$H:$H,MATCH(F1080,'Уроки'!$A:$A,0)),"")</f>
        <v/>
      </c>
      <c r="K1080" s="11">
        <f>IFERROR(INDEX('Уроки'!$J:$J,MATCH(F1080,'Уроки'!$A:$A,0)),"")</f>
        <v/>
      </c>
      <c r="L1080" s="11" t="inlineStr">
        <is>
          <t>Spotlight / 9 класс / Module 6 · Town &amp; Community / Passive Voice / Passive Voice: Continuous (is/was being + V3)</t>
        </is>
      </c>
    </row>
    <row r="1081">
      <c r="A1081" s="37" t="n">
        <v>9</v>
      </c>
      <c r="B1081" s="11" t="inlineStr">
        <is>
          <t>Module 6 · Town &amp; Community</t>
        </is>
      </c>
      <c r="C1081" s="11" t="inlineStr">
        <is>
          <t>6c</t>
        </is>
      </c>
      <c r="D1081" s="11" t="inlineStr">
        <is>
          <t>Passive Voice</t>
        </is>
      </c>
      <c r="E1081" s="35" t="inlineStr">
        <is>
          <t>Passive Voice: Present/Past Perfect (has/had been + V3)</t>
        </is>
      </c>
      <c r="F1081" s="11" t="inlineStr">
        <is>
          <t>Ст-273</t>
        </is>
      </c>
      <c r="G1081" s="37" t="inlineStr">
        <is>
          <t>повторение</t>
        </is>
      </c>
      <c r="H1081" s="11" t="inlineStr"/>
      <c r="I1081" s="37" t="inlineStr">
        <is>
          <t>10+</t>
        </is>
      </c>
      <c r="J1081" s="11">
        <f>IFERROR(INDEX('Уроки'!$H:$H,MATCH(F1081,'Уроки'!$A:$A,0)),"")</f>
        <v/>
      </c>
      <c r="K1081" s="11">
        <f>IFERROR(INDEX('Уроки'!$J:$J,MATCH(F1081,'Уроки'!$A:$A,0)),"")</f>
        <v/>
      </c>
      <c r="L1081" s="11" t="inlineStr">
        <is>
          <t>Spotlight / 9 класс / Module 6 · Town &amp; Community / Passive Voice / Passive Voice: Present/Past Perfect (has/had been + V3)</t>
        </is>
      </c>
    </row>
    <row r="1082">
      <c r="A1082" s="37" t="n">
        <v>9</v>
      </c>
      <c r="B1082" s="11" t="inlineStr">
        <is>
          <t>Module 6 · Town &amp; Community</t>
        </is>
      </c>
      <c r="C1082" s="11" t="inlineStr">
        <is>
          <t>6c</t>
        </is>
      </c>
      <c r="D1082" s="11" t="inlineStr">
        <is>
          <t>Passive Voice</t>
        </is>
      </c>
      <c r="E1082" s="35" t="inlineStr">
        <is>
          <t>Passive Voice: Future Simple (will be + V3)</t>
        </is>
      </c>
      <c r="F1082" s="11" t="inlineStr">
        <is>
          <t>Ст-274</t>
        </is>
      </c>
      <c r="G1082" s="37" t="inlineStr">
        <is>
          <t>повторение</t>
        </is>
      </c>
      <c r="H1082" s="11" t="inlineStr"/>
      <c r="I1082" s="37" t="inlineStr">
        <is>
          <t>10+</t>
        </is>
      </c>
      <c r="J1082" s="11">
        <f>IFERROR(INDEX('Уроки'!$H:$H,MATCH(F1082,'Уроки'!$A:$A,0)),"")</f>
        <v/>
      </c>
      <c r="K1082" s="11">
        <f>IFERROR(INDEX('Уроки'!$J:$J,MATCH(F1082,'Уроки'!$A:$A,0)),"")</f>
        <v/>
      </c>
      <c r="L1082" s="11" t="inlineStr">
        <is>
          <t>Spotlight / 9 класс / Module 6 · Town &amp; Community / Passive Voice / Passive Voice: Future Simple (will be + V3)</t>
        </is>
      </c>
    </row>
    <row r="1083">
      <c r="A1083" s="37" t="n">
        <v>9</v>
      </c>
      <c r="B1083" s="11" t="inlineStr">
        <is>
          <t>Module 6 · Town &amp; Community</t>
        </is>
      </c>
      <c r="C1083" s="11" t="inlineStr">
        <is>
          <t>6c</t>
        </is>
      </c>
      <c r="D1083" s="11" t="inlineStr">
        <is>
          <t>Passive Voice</t>
        </is>
      </c>
      <c r="E1083" s="35" t="inlineStr">
        <is>
          <t>Passive Voice: Future Perfect (will have been + V3)</t>
        </is>
      </c>
      <c r="F1083" s="11" t="inlineStr">
        <is>
          <t>Ст-275</t>
        </is>
      </c>
      <c r="G1083" s="40" t="inlineStr">
        <is>
          <t>новое</t>
        </is>
      </c>
      <c r="H1083" s="11" t="inlineStr"/>
      <c r="I1083" s="37" t="inlineStr">
        <is>
          <t>10+</t>
        </is>
      </c>
      <c r="J1083" s="11">
        <f>IFERROR(INDEX('Уроки'!$H:$H,MATCH(F1083,'Уроки'!$A:$A,0)),"")</f>
        <v/>
      </c>
      <c r="K1083" s="11">
        <f>IFERROR(INDEX('Уроки'!$J:$J,MATCH(F1083,'Уроки'!$A:$A,0)),"")</f>
        <v/>
      </c>
      <c r="L1083" s="11" t="inlineStr">
        <is>
          <t>Spotlight / 9 класс / Module 6 · Town &amp; Community / Passive Voice / Passive Voice: Future Perfect (will have been + V3)</t>
        </is>
      </c>
    </row>
    <row r="1084">
      <c r="A1084" s="37" t="n">
        <v>9</v>
      </c>
      <c r="B1084" s="11" t="inlineStr">
        <is>
          <t>Module 6 · Town &amp; Community</t>
        </is>
      </c>
      <c r="C1084" s="11" t="inlineStr">
        <is>
          <t>6c</t>
        </is>
      </c>
      <c r="D1084" s="11" t="inlineStr">
        <is>
          <t>Passive Voice</t>
        </is>
      </c>
      <c r="E1084" s="35" t="inlineStr">
        <is>
          <t>Passive Voice: инфинитив и модальные (has to be / can be + V3)</t>
        </is>
      </c>
      <c r="F1084" s="11" t="inlineStr">
        <is>
          <t>Ст-276</t>
        </is>
      </c>
      <c r="G1084" s="37" t="inlineStr">
        <is>
          <t>повторение</t>
        </is>
      </c>
      <c r="H1084" s="11" t="inlineStr">
        <is>
          <t>has to be made; may be made</t>
        </is>
      </c>
      <c r="I1084" s="37" t="inlineStr">
        <is>
          <t>10+</t>
        </is>
      </c>
      <c r="J1084" s="11">
        <f>IFERROR(INDEX('Уроки'!$H:$H,MATCH(F1084,'Уроки'!$A:$A,0)),"")</f>
        <v/>
      </c>
      <c r="K1084" s="11">
        <f>IFERROR(INDEX('Уроки'!$J:$J,MATCH(F1084,'Уроки'!$A:$A,0)),"")</f>
        <v/>
      </c>
      <c r="L1084" s="11" t="inlineStr">
        <is>
          <t>Spotlight / 9 класс / Module 6 · Town &amp; Community / Passive Voice / Passive Voice: инфинитив и модальные (has to be / can be + V3)</t>
        </is>
      </c>
    </row>
    <row r="1085">
      <c r="A1085" s="37" t="n">
        <v>9</v>
      </c>
      <c r="B1085" s="11" t="inlineStr">
        <is>
          <t>Module 6 · Town &amp; Community</t>
        </is>
      </c>
      <c r="C1085" s="11" t="inlineStr">
        <is>
          <t>6c</t>
        </is>
      </c>
      <c r="D1085" s="11" t="inlineStr">
        <is>
          <t>Passive Voice</t>
        </is>
      </c>
      <c r="E1085" s="35" t="inlineStr">
        <is>
          <t>Passive Voice: преобразование active → passive</t>
        </is>
      </c>
      <c r="F1085" s="11" t="inlineStr">
        <is>
          <t>Ст-277</t>
        </is>
      </c>
      <c r="G1085" s="37" t="inlineStr">
        <is>
          <t>повторение</t>
        </is>
      </c>
      <c r="H1085" s="11" t="inlineStr"/>
      <c r="I1085" s="37" t="inlineStr">
        <is>
          <t>10+</t>
        </is>
      </c>
      <c r="J1085" s="11">
        <f>IFERROR(INDEX('Уроки'!$H:$H,MATCH(F1085,'Уроки'!$A:$A,0)),"")</f>
        <v/>
      </c>
      <c r="K1085" s="11">
        <f>IFERROR(INDEX('Уроки'!$J:$J,MATCH(F1085,'Уроки'!$A:$A,0)),"")</f>
        <v/>
      </c>
      <c r="L1085" s="11" t="inlineStr">
        <is>
          <t>Spotlight / 9 класс / Module 6 · Town &amp; Community / Passive Voice / Passive Voice: преобразование active → passive</t>
        </is>
      </c>
    </row>
    <row r="1086">
      <c r="A1086" s="37" t="n">
        <v>9</v>
      </c>
      <c r="B1086" s="11" t="inlineStr">
        <is>
          <t>Module 6 · Town &amp; Community</t>
        </is>
      </c>
      <c r="C1086" s="11" t="inlineStr">
        <is>
          <t>6c</t>
        </is>
      </c>
      <c r="D1086" s="11" t="inlineStr">
        <is>
          <t>Passive Voice</t>
        </is>
      </c>
      <c r="E1086" s="35" t="inlineStr">
        <is>
          <t>Passive Voice: значение — исполнитель неизвестен/неважен/очевиден</t>
        </is>
      </c>
      <c r="F1086" s="11" t="inlineStr">
        <is>
          <t>Ст-278</t>
        </is>
      </c>
      <c r="G1086" s="41" t="inlineStr">
        <is>
          <t>расширение</t>
        </is>
      </c>
      <c r="H1086" s="11" t="inlineStr">
        <is>
          <t>+ неизвестен</t>
        </is>
      </c>
      <c r="I1086" s="37" t="inlineStr">
        <is>
          <t>10+</t>
        </is>
      </c>
      <c r="J1086" s="11">
        <f>IFERROR(INDEX('Уроки'!$H:$H,MATCH(F1086,'Уроки'!$A:$A,0)),"")</f>
        <v/>
      </c>
      <c r="K1086" s="11">
        <f>IFERROR(INDEX('Уроки'!$J:$J,MATCH(F1086,'Уроки'!$A:$A,0)),"")</f>
        <v/>
      </c>
      <c r="L1086" s="11" t="inlineStr">
        <is>
          <t>Spotlight / 9 класс / Module 6 · Town &amp; Community / Passive Voice / Passive Voice: значение — исполнитель неизвестен/неважен/очевиден</t>
        </is>
      </c>
    </row>
    <row r="1087">
      <c r="A1087" s="37" t="n">
        <v>9</v>
      </c>
      <c r="B1087" s="11" t="inlineStr">
        <is>
          <t>Module 6 · Town &amp; Community</t>
        </is>
      </c>
      <c r="C1087" s="11" t="inlineStr">
        <is>
          <t>6c</t>
        </is>
      </c>
      <c r="D1087" s="11" t="inlineStr">
        <is>
          <t>Passive Voice</t>
        </is>
      </c>
      <c r="E1087" s="35" t="inlineStr">
        <is>
          <t>Passive Voice: значение — действие важнее исполнителя (новости, инструкции, реклама)</t>
        </is>
      </c>
      <c r="F1087" s="11" t="inlineStr">
        <is>
          <t>Ст-279</t>
        </is>
      </c>
      <c r="G1087" s="37" t="inlineStr">
        <is>
          <t>повторение</t>
        </is>
      </c>
      <c r="H1087" s="11" t="inlineStr"/>
      <c r="I1087" s="37" t="inlineStr">
        <is>
          <t>10+</t>
        </is>
      </c>
      <c r="J1087" s="11">
        <f>IFERROR(INDEX('Уроки'!$H:$H,MATCH(F1087,'Уроки'!$A:$A,0)),"")</f>
        <v/>
      </c>
      <c r="K1087" s="11">
        <f>IFERROR(INDEX('Уроки'!$J:$J,MATCH(F1087,'Уроки'!$A:$A,0)),"")</f>
        <v/>
      </c>
      <c r="L1087" s="11" t="inlineStr">
        <is>
          <t>Spotlight / 9 класс / Module 6 · Town &amp; Community / Passive Voice / Passive Voice: значение — действие важнее исполнителя (новости, инструкции, реклама)</t>
        </is>
      </c>
    </row>
    <row r="1088">
      <c r="A1088" s="37" t="n">
        <v>9</v>
      </c>
      <c r="B1088" s="11" t="inlineStr">
        <is>
          <t>Module 6 · Town &amp; Community</t>
        </is>
      </c>
      <c r="C1088" s="11" t="inlineStr">
        <is>
          <t>6c</t>
        </is>
      </c>
      <c r="D1088" s="11" t="inlineStr">
        <is>
          <t>Passive Voice</t>
        </is>
      </c>
      <c r="E1088" s="35" t="inlineStr">
        <is>
          <t>Passive Voice: значение — уход от ответственности</t>
        </is>
      </c>
      <c r="F1088" s="11" t="inlineStr">
        <is>
          <t>Ст-280</t>
        </is>
      </c>
      <c r="G1088" s="37" t="inlineStr">
        <is>
          <t>повторение</t>
        </is>
      </c>
      <c r="H1088" s="11" t="inlineStr"/>
      <c r="I1088" s="37" t="inlineStr">
        <is>
          <t>10+</t>
        </is>
      </c>
      <c r="J1088" s="11">
        <f>IFERROR(INDEX('Уроки'!$H:$H,MATCH(F1088,'Уроки'!$A:$A,0)),"")</f>
        <v/>
      </c>
      <c r="K1088" s="11">
        <f>IFERROR(INDEX('Уроки'!$J:$J,MATCH(F1088,'Уроки'!$A:$A,0)),"")</f>
        <v/>
      </c>
      <c r="L1088" s="11" t="inlineStr">
        <is>
          <t>Spotlight / 9 класс / Module 6 · Town &amp; Community / Passive Voice / Passive Voice: значение — уход от ответственности</t>
        </is>
      </c>
    </row>
    <row r="1089">
      <c r="A1089" s="37" t="n">
        <v>9</v>
      </c>
      <c r="B1089" s="11" t="inlineStr">
        <is>
          <t>Module 6 · Town &amp; Community</t>
        </is>
      </c>
      <c r="C1089" s="11" t="inlineStr">
        <is>
          <t>6c</t>
        </is>
      </c>
      <c r="D1089" s="11" t="inlineStr">
        <is>
          <t>Passive Voice</t>
        </is>
      </c>
      <c r="E1089" s="35" t="inlineStr">
        <is>
          <t>Passive Voice: значение — акцент на исполнителе</t>
        </is>
      </c>
      <c r="F1089" s="11" t="inlineStr">
        <is>
          <t>Ст-281</t>
        </is>
      </c>
      <c r="G1089" s="37" t="inlineStr">
        <is>
          <t>повторение</t>
        </is>
      </c>
      <c r="H1089" s="11" t="inlineStr"/>
      <c r="I1089" s="37" t="inlineStr">
        <is>
          <t>10+</t>
        </is>
      </c>
      <c r="J1089" s="11">
        <f>IFERROR(INDEX('Уроки'!$H:$H,MATCH(F1089,'Уроки'!$A:$A,0)),"")</f>
        <v/>
      </c>
      <c r="K1089" s="11">
        <f>IFERROR(INDEX('Уроки'!$J:$J,MATCH(F1089,'Уроки'!$A:$A,0)),"")</f>
        <v/>
      </c>
      <c r="L1089" s="11" t="inlineStr">
        <is>
          <t>Spotlight / 9 класс / Module 6 · Town &amp; Community / Passive Voice / Passive Voice: значение — акцент на исполнителе</t>
        </is>
      </c>
    </row>
    <row r="1090">
      <c r="A1090" s="37" t="n">
        <v>9</v>
      </c>
      <c r="B1090" s="11" t="inlineStr">
        <is>
          <t>Module 6 · Town &amp; Community</t>
        </is>
      </c>
      <c r="C1090" s="11" t="inlineStr">
        <is>
          <t>6c</t>
        </is>
      </c>
      <c r="D1090" s="11" t="inlineStr">
        <is>
          <t>Passive Voice</t>
        </is>
      </c>
      <c r="E1090" s="35" t="inlineStr">
        <is>
          <t>Passive Voice: значение — формальность, вежливость</t>
        </is>
      </c>
      <c r="F1090" s="11" t="inlineStr">
        <is>
          <t>Ст-282</t>
        </is>
      </c>
      <c r="G1090" s="37" t="inlineStr">
        <is>
          <t>повторение</t>
        </is>
      </c>
      <c r="H1090" s="11" t="inlineStr"/>
      <c r="I1090" s="37" t="inlineStr">
        <is>
          <t>10+</t>
        </is>
      </c>
      <c r="J1090" s="11">
        <f>IFERROR(INDEX('Уроки'!$H:$H,MATCH(F1090,'Уроки'!$A:$A,0)),"")</f>
        <v/>
      </c>
      <c r="K1090" s="11">
        <f>IFERROR(INDEX('Уроки'!$J:$J,MATCH(F1090,'Уроки'!$A:$A,0)),"")</f>
        <v/>
      </c>
      <c r="L1090" s="11" t="inlineStr">
        <is>
          <t>Spotlight / 9 класс / Module 6 · Town &amp; Community / Passive Voice / Passive Voice: значение — формальность, вежливость</t>
        </is>
      </c>
    </row>
    <row r="1091">
      <c r="A1091" s="37" t="n">
        <v>9</v>
      </c>
      <c r="B1091" s="11" t="inlineStr">
        <is>
          <t>Module 6 · Town &amp; Community</t>
        </is>
      </c>
      <c r="C1091" s="11" t="inlineStr">
        <is>
          <t>6c</t>
        </is>
      </c>
      <c r="D1091" s="11" t="inlineStr">
        <is>
          <t>Passive Voice</t>
        </is>
      </c>
      <c r="E1091" s="35" t="inlineStr">
        <is>
          <t>Passive Voice: by + исполнитель vs with + инструмент/материал</t>
        </is>
      </c>
      <c r="F1091" s="11" t="inlineStr">
        <is>
          <t>Ст-283</t>
        </is>
      </c>
      <c r="G1091" s="37" t="inlineStr">
        <is>
          <t>повторение</t>
        </is>
      </c>
      <c r="H1091" s="11" t="inlineStr"/>
      <c r="I1091" s="37" t="inlineStr">
        <is>
          <t>10+</t>
        </is>
      </c>
      <c r="J1091" s="11">
        <f>IFERROR(INDEX('Уроки'!$H:$H,MATCH(F1091,'Уроки'!$A:$A,0)),"")</f>
        <v/>
      </c>
      <c r="K1091" s="11">
        <f>IFERROR(INDEX('Уроки'!$J:$J,MATCH(F1091,'Уроки'!$A:$A,0)),"")</f>
        <v/>
      </c>
      <c r="L1091" s="11" t="inlineStr">
        <is>
          <t>Spotlight / 9 класс / Module 6 · Town &amp; Community / Passive Voice / Passive Voice: by + исполнитель vs with + инструмент/материал</t>
        </is>
      </c>
    </row>
    <row r="1092">
      <c r="A1092" s="37" t="n">
        <v>9</v>
      </c>
      <c r="B1092" s="11" t="inlineStr">
        <is>
          <t>Module 6 · Town &amp; Community</t>
        </is>
      </c>
      <c r="C1092" s="11" t="inlineStr">
        <is>
          <t>6c</t>
        </is>
      </c>
      <c r="D1092" s="11" t="inlineStr">
        <is>
          <t>Passive Voice</t>
        </is>
      </c>
      <c r="E1092" s="35" t="inlineStr">
        <is>
          <t>Passive Voice: когда агент опускается (they, people, someone…)</t>
        </is>
      </c>
      <c r="F1092" s="11" t="inlineStr">
        <is>
          <t>Ст-284</t>
        </is>
      </c>
      <c r="G1092" s="37" t="inlineStr">
        <is>
          <t>повторение</t>
        </is>
      </c>
      <c r="H1092" s="11" t="inlineStr"/>
      <c r="I1092" s="37" t="inlineStr">
        <is>
          <t>10+</t>
        </is>
      </c>
      <c r="J1092" s="11">
        <f>IFERROR(INDEX('Уроки'!$H:$H,MATCH(F1092,'Уроки'!$A:$A,0)),"")</f>
        <v/>
      </c>
      <c r="K1092" s="11">
        <f>IFERROR(INDEX('Уроки'!$J:$J,MATCH(F1092,'Уроки'!$A:$A,0)),"")</f>
        <v/>
      </c>
      <c r="L1092" s="11" t="inlineStr">
        <is>
          <t>Spotlight / 9 класс / Module 6 · Town &amp; Community / Passive Voice / Passive Voice: когда агент опускается (they, people, someone…)</t>
        </is>
      </c>
    </row>
    <row r="1093">
      <c r="A1093" s="37" t="n">
        <v>9</v>
      </c>
      <c r="B1093" s="11" t="inlineStr">
        <is>
          <t>Module 6 · Town &amp; Community</t>
        </is>
      </c>
      <c r="C1093" s="11" t="inlineStr">
        <is>
          <t>6c</t>
        </is>
      </c>
      <c r="D1093" s="11" t="inlineStr">
        <is>
          <t>Passive Voice</t>
        </is>
      </c>
      <c r="E1093" s="35" t="inlineStr">
        <is>
          <t>Passive Voice: глаголы без пассива (непереходные; have, fit, suit, resemble…)</t>
        </is>
      </c>
      <c r="F1093" s="11" t="inlineStr">
        <is>
          <t>Ст-285</t>
        </is>
      </c>
      <c r="G1093" s="41" t="inlineStr">
        <is>
          <t>расширение</t>
        </is>
      </c>
      <c r="H1093" s="11" t="inlineStr">
        <is>
          <t>+ exist, seem, lack</t>
        </is>
      </c>
      <c r="I1093" s="37" t="inlineStr">
        <is>
          <t>10+</t>
        </is>
      </c>
      <c r="J1093" s="11">
        <f>IFERROR(INDEX('Уроки'!$H:$H,MATCH(F1093,'Уроки'!$A:$A,0)),"")</f>
        <v/>
      </c>
      <c r="K1093" s="11">
        <f>IFERROR(INDEX('Уроки'!$J:$J,MATCH(F1093,'Уроки'!$A:$A,0)),"")</f>
        <v/>
      </c>
      <c r="L1093" s="11" t="inlineStr">
        <is>
          <t>Spotlight / 9 класс / Module 6 · Town &amp; Community / Passive Voice / Passive Voice: глаголы без пассива (непереходные; have, fit, suit, resemble…)</t>
        </is>
      </c>
    </row>
    <row r="1094">
      <c r="A1094" s="37" t="n">
        <v>9</v>
      </c>
      <c r="B1094" s="11" t="inlineStr">
        <is>
          <t>Module 6 · Town &amp; Community</t>
        </is>
      </c>
      <c r="C1094" s="11" t="inlineStr">
        <is>
          <t>6c</t>
        </is>
      </c>
      <c r="D1094" s="11" t="inlineStr">
        <is>
          <t>Passive Voice</t>
        </is>
      </c>
      <c r="E1094" s="35" t="inlineStr">
        <is>
          <t>Passive Voice: get вместо be</t>
        </is>
      </c>
      <c r="F1094" s="11" t="inlineStr">
        <is>
          <t>Ст-286</t>
        </is>
      </c>
      <c r="G1094" s="37" t="inlineStr">
        <is>
          <t>повторение</t>
        </is>
      </c>
      <c r="H1094" s="11" t="inlineStr">
        <is>
          <t>He got hit</t>
        </is>
      </c>
      <c r="I1094" s="37" t="inlineStr">
        <is>
          <t>10+</t>
        </is>
      </c>
      <c r="J1094" s="11">
        <f>IFERROR(INDEX('Уроки'!$H:$H,MATCH(F1094,'Уроки'!$A:$A,0)),"")</f>
        <v/>
      </c>
      <c r="K1094" s="11">
        <f>IFERROR(INDEX('Уроки'!$J:$J,MATCH(F1094,'Уроки'!$A:$A,0)),"")</f>
        <v/>
      </c>
      <c r="L1094" s="11" t="inlineStr">
        <is>
          <t>Spotlight / 9 класс / Module 6 · Town &amp; Community / Passive Voice / Passive Voice: get вместо be</t>
        </is>
      </c>
    </row>
    <row r="1095">
      <c r="A1095" s="37" t="n">
        <v>9</v>
      </c>
      <c r="B1095" s="11" t="inlineStr">
        <is>
          <t>Module 6 · Town &amp; Community</t>
        </is>
      </c>
      <c r="C1095" s="11" t="inlineStr">
        <is>
          <t>6c</t>
        </is>
      </c>
      <c r="D1095" s="11" t="inlineStr">
        <is>
          <t>Passive Voice</t>
        </is>
      </c>
      <c r="E1095" s="35" t="inlineStr">
        <is>
          <t>Passive Voice: глаголы с двумя дополнениями (give, offer, send…)</t>
        </is>
      </c>
      <c r="F1095" s="11" t="inlineStr">
        <is>
          <t>Ст-287</t>
        </is>
      </c>
      <c r="G1095" s="37" t="inlineStr">
        <is>
          <t>повторение</t>
        </is>
      </c>
      <c r="H1095" s="11" t="inlineStr"/>
      <c r="I1095" s="37" t="inlineStr">
        <is>
          <t>10+</t>
        </is>
      </c>
      <c r="J1095" s="11">
        <f>IFERROR(INDEX('Уроки'!$H:$H,MATCH(F1095,'Уроки'!$A:$A,0)),"")</f>
        <v/>
      </c>
      <c r="K1095" s="11">
        <f>IFERROR(INDEX('Уроки'!$J:$J,MATCH(F1095,'Уроки'!$A:$A,0)),"")</f>
        <v/>
      </c>
      <c r="L1095" s="11" t="inlineStr">
        <is>
          <t>Spotlight / 9 класс / Module 6 · Town &amp; Community / Passive Voice / Passive Voice: глаголы с двумя дополнениями (give, offer, send…)</t>
        </is>
      </c>
    </row>
    <row r="1096">
      <c r="A1096" s="37" t="n">
        <v>9</v>
      </c>
      <c r="B1096" s="11" t="inlineStr">
        <is>
          <t>Module 6 · Town &amp; Community</t>
        </is>
      </c>
      <c r="C1096" s="11" t="inlineStr">
        <is>
          <t>6c</t>
        </is>
      </c>
      <c r="D1096" s="11" t="inlineStr">
        <is>
          <t>Passive Voice</t>
        </is>
      </c>
      <c r="E1096" s="35" t="inlineStr">
        <is>
          <t>Passive Voice: by в вопросах с who/whom/which</t>
        </is>
      </c>
      <c r="F1096" s="11" t="inlineStr">
        <is>
          <t>Ст-288</t>
        </is>
      </c>
      <c r="G1096" s="37" t="inlineStr">
        <is>
          <t>повторение</t>
        </is>
      </c>
      <c r="H1096" s="11" t="inlineStr"/>
      <c r="I1096" s="37" t="inlineStr">
        <is>
          <t>10+</t>
        </is>
      </c>
      <c r="J1096" s="11">
        <f>IFERROR(INDEX('Уроки'!$H:$H,MATCH(F1096,'Уроки'!$A:$A,0)),"")</f>
        <v/>
      </c>
      <c r="K1096" s="11">
        <f>IFERROR(INDEX('Уроки'!$J:$J,MATCH(F1096,'Уроки'!$A:$A,0)),"")</f>
        <v/>
      </c>
      <c r="L1096" s="11" t="inlineStr">
        <is>
          <t>Spotlight / 9 класс / Module 6 · Town &amp; Community / Passive Voice / Passive Voice: by в вопросах с who/whom/which</t>
        </is>
      </c>
    </row>
    <row r="1097">
      <c r="A1097" s="37" t="n">
        <v>9</v>
      </c>
      <c r="B1097" s="11" t="inlineStr">
        <is>
          <t>Module 6 · Town &amp; Community</t>
        </is>
      </c>
      <c r="C1097" s="11" t="inlineStr">
        <is>
          <t>6c</t>
        </is>
      </c>
      <c r="D1097" s="11" t="inlineStr">
        <is>
          <t>Passive Voice</t>
        </is>
      </c>
      <c r="E1097" s="35" t="inlineStr">
        <is>
          <t>Passive Voice: make/hear/see/help + to-inf в пассиве; see/hear/watch + -ing</t>
        </is>
      </c>
      <c r="F1097" s="11" t="inlineStr">
        <is>
          <t>Ст-289</t>
        </is>
      </c>
      <c r="G1097" s="40" t="inlineStr">
        <is>
          <t>новое</t>
        </is>
      </c>
      <c r="H1097" s="11" t="inlineStr">
        <is>
          <t>I was made to lie; hear/see/watch + -ing</t>
        </is>
      </c>
      <c r="I1097" s="37" t="inlineStr">
        <is>
          <t>10+</t>
        </is>
      </c>
      <c r="J1097" s="11">
        <f>IFERROR(INDEX('Уроки'!$H:$H,MATCH(F1097,'Уроки'!$A:$A,0)),"")</f>
        <v/>
      </c>
      <c r="K1097" s="11">
        <f>IFERROR(INDEX('Уроки'!$J:$J,MATCH(F1097,'Уроки'!$A:$A,0)),"")</f>
        <v/>
      </c>
      <c r="L1097" s="11" t="inlineStr">
        <is>
          <t>Spotlight / 9 класс / Module 6 · Town &amp; Community / Passive Voice / Passive Voice: make/hear/see/help + to-inf в пассиве; see/hear/watch + -ing</t>
        </is>
      </c>
    </row>
    <row r="1098">
      <c r="A1098" s="37" t="n">
        <v>9</v>
      </c>
      <c r="B1098" s="11" t="inlineStr">
        <is>
          <t>Module 6 · Town &amp; Community</t>
        </is>
      </c>
      <c r="C1098" s="11" t="inlineStr">
        <is>
          <t>6d</t>
        </is>
      </c>
      <c r="D1098" s="11" t="inlineStr">
        <is>
          <t>Reflexive pronouns</t>
        </is>
      </c>
      <c r="E1098" s="33" t="inlineStr">
        <is>
          <t>Reflexive pronouns: формы myself … themselves</t>
        </is>
      </c>
      <c r="F1098" s="11" t="inlineStr">
        <is>
          <t>Ст-407</t>
        </is>
      </c>
      <c r="G1098" s="37" t="inlineStr">
        <is>
          <t>повторение</t>
        </is>
      </c>
      <c r="H1098" s="11" t="inlineStr"/>
      <c r="I1098" s="37" t="inlineStr">
        <is>
          <t>10+</t>
        </is>
      </c>
      <c r="J1098" s="11">
        <f>IFERROR(INDEX('Уроки'!$H:$H,MATCH(F1098,'Уроки'!$A:$A,0)),"")</f>
        <v/>
      </c>
      <c r="K1098" s="11">
        <f>IFERROR(INDEX('Уроки'!$J:$J,MATCH(F1098,'Уроки'!$A:$A,0)),"")</f>
        <v/>
      </c>
      <c r="L1098" s="11" t="inlineStr">
        <is>
          <t>Spotlight / 9 класс / Module 6 · Town &amp; Community / Reflexive pronouns / Reflexive pronouns: формы myself … themselves</t>
        </is>
      </c>
    </row>
    <row r="1099">
      <c r="A1099" s="37" t="n">
        <v>9</v>
      </c>
      <c r="B1099" s="11" t="inlineStr">
        <is>
          <t>Module 6 · Town &amp; Community</t>
        </is>
      </c>
      <c r="C1099" s="11" t="inlineStr">
        <is>
          <t>6d</t>
        </is>
      </c>
      <c r="D1099" s="11" t="inlineStr">
        <is>
          <t>Reflexive pronouns</t>
        </is>
      </c>
      <c r="E1099" s="33" t="inlineStr">
        <is>
          <t>Reflexive pronouns: подлежащее = дополнение (cut himself)</t>
        </is>
      </c>
      <c r="F1099" s="11" t="inlineStr">
        <is>
          <t>Ст-408</t>
        </is>
      </c>
      <c r="G1099" s="41" t="inlineStr">
        <is>
          <t>расширение</t>
        </is>
      </c>
      <c r="H1099" s="11" t="inlineStr">
        <is>
          <t>добавлен список: behave, burn, cut, enjoy, hurt, kill, look at, laugh at, introduce, dry, teach</t>
        </is>
      </c>
      <c r="I1099" s="37" t="inlineStr">
        <is>
          <t>10+</t>
        </is>
      </c>
      <c r="J1099" s="11">
        <f>IFERROR(INDEX('Уроки'!$H:$H,MATCH(F1099,'Уроки'!$A:$A,0)),"")</f>
        <v/>
      </c>
      <c r="K1099" s="11">
        <f>IFERROR(INDEX('Уроки'!$J:$J,MATCH(F1099,'Уроки'!$A:$A,0)),"")</f>
        <v/>
      </c>
      <c r="L1099" s="11" t="inlineStr">
        <is>
          <t>Spotlight / 9 класс / Module 6 · Town &amp; Community / Reflexive pronouns / Reflexive pronouns: подлежащее = дополнение (cut himself)</t>
        </is>
      </c>
    </row>
    <row r="1100">
      <c r="A1100" s="37" t="n">
        <v>9</v>
      </c>
      <c r="B1100" s="11" t="inlineStr">
        <is>
          <t>Module 6 · Town &amp; Community</t>
        </is>
      </c>
      <c r="C1100" s="11" t="inlineStr">
        <is>
          <t>6d</t>
        </is>
      </c>
      <c r="D1100" s="11" t="inlineStr">
        <is>
          <t>Reflexive pronouns</t>
        </is>
      </c>
      <c r="E1100" s="35" t="inlineStr">
        <is>
          <t>Reflexive pronouns: эмфатическое — «сам» (She will cut the cake herself)</t>
        </is>
      </c>
      <c r="F1100" s="11" t="inlineStr">
        <is>
          <t>Ст-409</t>
        </is>
      </c>
      <c r="G1100" s="37" t="inlineStr">
        <is>
          <t>повторение</t>
        </is>
      </c>
      <c r="H1100" s="11" t="inlineStr">
        <is>
          <t>только Do it yourself; в ToC «emphatic pronouns», в справочнике не описано</t>
        </is>
      </c>
      <c r="I1100" s="37" t="inlineStr">
        <is>
          <t>10+</t>
        </is>
      </c>
      <c r="J1100" s="11">
        <f>IFERROR(INDEX('Уроки'!$H:$H,MATCH(F1100,'Уроки'!$A:$A,0)),"")</f>
        <v/>
      </c>
      <c r="K1100" s="11">
        <f>IFERROR(INDEX('Уроки'!$J:$J,MATCH(F1100,'Уроки'!$A:$A,0)),"")</f>
        <v/>
      </c>
      <c r="L1100" s="11" t="inlineStr">
        <is>
          <t>Spotlight / 9 класс / Module 6 · Town &amp; Community / Reflexive pronouns / Reflexive pronouns: эмфатическое — «сам» (She will cut the cake herself)</t>
        </is>
      </c>
    </row>
    <row r="1101">
      <c r="A1101" s="37" t="n">
        <v>9</v>
      </c>
      <c r="B1101" s="11" t="inlineStr">
        <is>
          <t>Module 6 · Town &amp; Community</t>
        </is>
      </c>
      <c r="C1101" s="11" t="inlineStr">
        <is>
          <t>6d</t>
        </is>
      </c>
      <c r="D1101" s="11" t="inlineStr">
        <is>
          <t>Reflexive pronouns</t>
        </is>
      </c>
      <c r="E1101" s="33" t="inlineStr">
        <is>
          <t>Reflexive pronouns: by myself — «сам, в одиночку»</t>
        </is>
      </c>
      <c r="F1101" s="11" t="inlineStr">
        <is>
          <t>Ст-410</t>
        </is>
      </c>
      <c r="G1101" s="37" t="inlineStr">
        <is>
          <t>повторение</t>
        </is>
      </c>
      <c r="H1101" s="11" t="inlineStr"/>
      <c r="I1101" s="37" t="inlineStr">
        <is>
          <t>10+</t>
        </is>
      </c>
      <c r="J1101" s="11">
        <f>IFERROR(INDEX('Уроки'!$H:$H,MATCH(F1101,'Уроки'!$A:$A,0)),"")</f>
        <v/>
      </c>
      <c r="K1101" s="11">
        <f>IFERROR(INDEX('Уроки'!$J:$J,MATCH(F1101,'Уроки'!$A:$A,0)),"")</f>
        <v/>
      </c>
      <c r="L1101" s="11" t="inlineStr">
        <is>
          <t>Spotlight / 9 класс / Module 6 · Town &amp; Community / Reflexive pronouns / Reflexive pronouns: by myself — «сам, в одиночку»</t>
        </is>
      </c>
    </row>
    <row r="1102">
      <c r="A1102" s="37" t="n">
        <v>9</v>
      </c>
      <c r="B1102" s="11" t="inlineStr">
        <is>
          <t>Module 6 · Town &amp; Community</t>
        </is>
      </c>
      <c r="C1102" s="11" t="inlineStr">
        <is>
          <t>6d</t>
        </is>
      </c>
      <c r="D1102" s="11" t="inlineStr">
        <is>
          <t>Reflexive pronouns</t>
        </is>
      </c>
      <c r="E1102" s="35" t="inlineStr">
        <is>
          <t>Reflexive pronouns: глаголы без возвратного местоимения (wash, dress, meet)</t>
        </is>
      </c>
      <c r="F1102" s="11" t="inlineStr">
        <is>
          <t>Ст-411</t>
        </is>
      </c>
      <c r="G1102" s="41" t="inlineStr">
        <is>
          <t>расширение</t>
        </is>
      </c>
      <c r="H1102" s="11" t="inlineStr">
        <is>
          <t>добавлены shave, undress, afford, complain, meet, wake up; исключение — маленькие дети/животные</t>
        </is>
      </c>
      <c r="I1102" s="37" t="inlineStr">
        <is>
          <t>10+</t>
        </is>
      </c>
      <c r="J1102" s="11">
        <f>IFERROR(INDEX('Уроки'!$H:$H,MATCH(F1102,'Уроки'!$A:$A,0)),"")</f>
        <v/>
      </c>
      <c r="K1102" s="11">
        <f>IFERROR(INDEX('Уроки'!$J:$J,MATCH(F1102,'Уроки'!$A:$A,0)),"")</f>
        <v/>
      </c>
      <c r="L1102" s="11" t="inlineStr">
        <is>
          <t>Spotlight / 9 класс / Module 6 · Town &amp; Community / Reflexive pronouns / Reflexive pronouns: глаголы без возвратного местоимения (wash, dress, meet)</t>
        </is>
      </c>
    </row>
    <row r="1103">
      <c r="A1103" s="37" t="n">
        <v>9</v>
      </c>
      <c r="B1103" s="11" t="inlineStr">
        <is>
          <t>Module 6 · Town &amp; Community</t>
        </is>
      </c>
      <c r="C1103" s="11" t="inlineStr">
        <is>
          <t>6d</t>
        </is>
      </c>
      <c r="D1103" s="11" t="inlineStr">
        <is>
          <t>Reflexive pronouns</t>
        </is>
      </c>
      <c r="E1103" s="35" t="inlineStr">
        <is>
          <t>Reflexive pronouns: после be, feel, look, seem</t>
        </is>
      </c>
      <c r="F1103" s="11" t="inlineStr">
        <is>
          <t>Ст-412</t>
        </is>
      </c>
      <c r="G1103" s="40" t="inlineStr">
        <is>
          <t>новое</t>
        </is>
      </c>
      <c r="H1103" s="11" t="inlineStr"/>
      <c r="I1103" s="37" t="inlineStr">
        <is>
          <t>10+</t>
        </is>
      </c>
      <c r="J1103" s="11">
        <f>IFERROR(INDEX('Уроки'!$H:$H,MATCH(F1103,'Уроки'!$A:$A,0)),"")</f>
        <v/>
      </c>
      <c r="K1103" s="11">
        <f>IFERROR(INDEX('Уроки'!$J:$J,MATCH(F1103,'Уроки'!$A:$A,0)),"")</f>
        <v/>
      </c>
      <c r="L1103" s="11" t="inlineStr">
        <is>
          <t>Spotlight / 9 класс / Module 6 · Town &amp; Community / Reflexive pronouns / Reflexive pronouns: после be, feel, look, seem</t>
        </is>
      </c>
    </row>
    <row r="1104">
      <c r="A1104" s="37" t="n">
        <v>9</v>
      </c>
      <c r="B1104" s="11" t="inlineStr">
        <is>
          <t>Module 6 · Town &amp; Community</t>
        </is>
      </c>
      <c r="C1104" s="11" t="inlineStr">
        <is>
          <t>6d</t>
        </is>
      </c>
      <c r="D1104" s="11" t="inlineStr">
        <is>
          <t>Reflexive pronouns</t>
        </is>
      </c>
      <c r="E1104" s="35" t="inlineStr">
        <is>
          <t>Reflexive pronouns: после предлогов (но не предлогов места)</t>
        </is>
      </c>
      <c r="F1104" s="11" t="inlineStr">
        <is>
          <t>Ст-413</t>
        </is>
      </c>
      <c r="G1104" s="40" t="inlineStr">
        <is>
          <t>новое</t>
        </is>
      </c>
      <c r="H1104" s="11" t="inlineStr">
        <is>
          <t>behind you</t>
        </is>
      </c>
      <c r="I1104" s="37" t="inlineStr">
        <is>
          <t>10+</t>
        </is>
      </c>
      <c r="J1104" s="11">
        <f>IFERROR(INDEX('Уроки'!$H:$H,MATCH(F1104,'Уроки'!$A:$A,0)),"")</f>
        <v/>
      </c>
      <c r="K1104" s="11">
        <f>IFERROR(INDEX('Уроки'!$J:$J,MATCH(F1104,'Уроки'!$A:$A,0)),"")</f>
        <v/>
      </c>
      <c r="L1104" s="11" t="inlineStr">
        <is>
          <t>Spotlight / 9 класс / Module 6 · Town &amp; Community / Reflexive pronouns / Reflexive pronouns: после предлогов (но не предлогов места)</t>
        </is>
      </c>
    </row>
    <row r="1105">
      <c r="A1105" s="37" t="n">
        <v>9</v>
      </c>
      <c r="B1105" s="11" t="inlineStr">
        <is>
          <t>Module 6 · Town &amp; Community</t>
        </is>
      </c>
      <c r="C1105" s="11" t="inlineStr">
        <is>
          <t>6d</t>
        </is>
      </c>
      <c r="D1105" s="11" t="inlineStr">
        <is>
          <t>Reflexive pronouns</t>
        </is>
      </c>
      <c r="E1105" s="35" t="inlineStr">
        <is>
          <t>Reflexive pronouns: устойчивые выражения (Enjoy yourself!, Help yourself, Make yourself at home)</t>
        </is>
      </c>
      <c r="F1105" s="11" t="inlineStr">
        <is>
          <t>Ст-414</t>
        </is>
      </c>
      <c r="G1105" s="40" t="inlineStr">
        <is>
          <t>новое</t>
        </is>
      </c>
      <c r="H1105" s="11" t="inlineStr"/>
      <c r="I1105" s="37" t="inlineStr">
        <is>
          <t>10+</t>
        </is>
      </c>
      <c r="J1105" s="11">
        <f>IFERROR(INDEX('Уроки'!$H:$H,MATCH(F1105,'Уроки'!$A:$A,0)),"")</f>
        <v/>
      </c>
      <c r="K1105" s="11">
        <f>IFERROR(INDEX('Уроки'!$J:$J,MATCH(F1105,'Уроки'!$A:$A,0)),"")</f>
        <v/>
      </c>
      <c r="L1105" s="11" t="inlineStr">
        <is>
          <t>Spotlight / 9 класс / Module 6 · Town &amp; Community / Reflexive pronouns / Reflexive pronouns: устойчивые выражения (Enjoy yourself!, Help yourself, Make yourself at home)</t>
        </is>
      </c>
    </row>
    <row r="1106">
      <c r="A1106" s="37" t="n">
        <v>9</v>
      </c>
      <c r="B1106" s="11" t="inlineStr">
        <is>
          <t>Module 6 · Town &amp; Community</t>
        </is>
      </c>
      <c r="C1106" s="11" t="inlineStr">
        <is>
          <t>6f</t>
        </is>
      </c>
      <c r="D1106" s="11" t="inlineStr">
        <is>
          <t>Phrasal verbs</t>
        </is>
      </c>
      <c r="E1106" s="33" t="inlineStr">
        <is>
          <t>Phrasal verbs: check</t>
        </is>
      </c>
      <c r="F1106" s="11" t="inlineStr">
        <is>
          <t>Ст-595</t>
        </is>
      </c>
      <c r="G1106" s="40" t="inlineStr">
        <is>
          <t>новое</t>
        </is>
      </c>
      <c r="H1106" s="11" t="inlineStr">
        <is>
          <t>check: check in (регистрироваться на рейс, в отеле), check off (отмечать галочкой), check on (проверять, всё ли в порядке с кем-либо), check out (пробовать), check out of (оплатить счёт), check up (убедиться).</t>
        </is>
      </c>
      <c r="I1106" s="37" t="inlineStr">
        <is>
          <t>10+</t>
        </is>
      </c>
      <c r="J1106" s="11">
        <f>IFERROR(INDEX('Уроки'!$H:$H,MATCH(F1106,'Уроки'!$A:$A,0)),"")</f>
        <v/>
      </c>
      <c r="K1106" s="11">
        <f>IFERROR(INDEX('Уроки'!$J:$J,MATCH(F1106,'Уроки'!$A:$A,0)),"")</f>
        <v/>
      </c>
      <c r="L1106" s="11" t="inlineStr">
        <is>
          <t>Spotlight / 9 класс / Module 6 · Town &amp; Community / Phrasal verbs / Phrasal verbs: check</t>
        </is>
      </c>
    </row>
    <row r="1107">
      <c r="A1107" s="37" t="n">
        <v>9</v>
      </c>
      <c r="B1107" s="11" t="inlineStr">
        <is>
          <t>Module 6 · Town &amp; Community</t>
        </is>
      </c>
      <c r="C1107" s="11" t="inlineStr">
        <is>
          <t>6f</t>
        </is>
      </c>
      <c r="D1107" s="11" t="inlineStr">
        <is>
          <t>Word formation</t>
        </is>
      </c>
      <c r="E1107" s="35" t="inlineStr">
        <is>
          <t>Word formation: abstract nouns</t>
        </is>
      </c>
      <c r="F1107" s="11" t="inlineStr">
        <is>
          <t>Ст-622</t>
        </is>
      </c>
      <c r="G1107" s="40" t="inlineStr">
        <is>
          <t>новое</t>
        </is>
      </c>
      <c r="H1107" s="11" t="inlineStr">
        <is>
          <t>Word formation: образование абстрактных существительных (forming abstract nouns).</t>
        </is>
      </c>
      <c r="I1107" s="37" t="inlineStr">
        <is>
          <t>10+</t>
        </is>
      </c>
      <c r="J1107" s="11">
        <f>IFERROR(INDEX('Уроки'!$H:$H,MATCH(F1107,'Уроки'!$A:$A,0)),"")</f>
        <v/>
      </c>
      <c r="K1107" s="11">
        <f>IFERROR(INDEX('Уроки'!$J:$J,MATCH(F1107,'Уроки'!$A:$A,0)),"")</f>
        <v/>
      </c>
      <c r="L1107" s="11" t="inlineStr">
        <is>
          <t>Spotlight / 9 класс / Module 6 · Town &amp; Community / Word formation / Word formation: abstract nouns</t>
        </is>
      </c>
    </row>
    <row r="1108">
      <c r="A1108" s="37" t="n">
        <v>9</v>
      </c>
      <c r="B1108" s="11" t="inlineStr">
        <is>
          <t>Module 6 · Town &amp; Community</t>
        </is>
      </c>
      <c r="C1108" s="11" t="inlineStr">
        <is>
          <t>6f</t>
        </is>
      </c>
      <c r="D1108" s="11" t="inlineStr">
        <is>
          <t>Dependent prepositions</t>
        </is>
      </c>
      <c r="E1108" s="35" t="inlineStr">
        <is>
          <t>Dependent prepositions</t>
        </is>
      </c>
      <c r="F1108" s="11" t="inlineStr">
        <is>
          <t>Ст-633</t>
        </is>
      </c>
      <c r="G1108" s="37" t="inlineStr">
        <is>
          <t>повторение</t>
        </is>
      </c>
      <c r="H1108" s="11" t="inlineStr">
        <is>
          <t>Dependent prepositions (заголовок раздела English in Use).</t>
        </is>
      </c>
      <c r="I1108" s="37" t="inlineStr">
        <is>
          <t>10+</t>
        </is>
      </c>
      <c r="J1108" s="11">
        <f>IFERROR(INDEX('Уроки'!$H:$H,MATCH(F1108,'Уроки'!$A:$A,0)),"")</f>
        <v/>
      </c>
      <c r="K1108" s="11">
        <f>IFERROR(INDEX('Уроки'!$J:$J,MATCH(F1108,'Уроки'!$A:$A,0)),"")</f>
        <v/>
      </c>
      <c r="L1108" s="11" t="inlineStr">
        <is>
          <t>Spotlight / 9 класс / Module 6 · Town &amp; Community / Dependent prepositions / Dependent prepositions</t>
        </is>
      </c>
    </row>
    <row r="1109">
      <c r="A1109" s="37" t="n">
        <v>9</v>
      </c>
      <c r="B1109" s="11" t="inlineStr">
        <is>
          <t>Module 7 · Staying safe</t>
        </is>
      </c>
      <c r="C1109" s="11" t="inlineStr">
        <is>
          <t>7d</t>
        </is>
      </c>
      <c r="D1109" s="11" t="inlineStr">
        <is>
          <t>have to</t>
        </is>
      </c>
      <c r="E1109" s="33" t="inlineStr">
        <is>
          <t>have to: значение — необходимость из-за обстоятельств (утверждение)</t>
        </is>
      </c>
      <c r="F1109" s="11" t="inlineStr">
        <is>
          <t>Ст-137</t>
        </is>
      </c>
      <c r="G1109" s="37" t="inlineStr">
        <is>
          <t>повторение</t>
        </is>
      </c>
      <c r="H1109" s="11" t="inlineStr"/>
      <c r="I1109" s="37" t="inlineStr">
        <is>
          <t>10+</t>
        </is>
      </c>
      <c r="J1109" s="11">
        <f>IFERROR(INDEX('Уроки'!$H:$H,MATCH(F1109,'Уроки'!$A:$A,0)),"")</f>
        <v/>
      </c>
      <c r="K1109" s="11">
        <f>IFERROR(INDEX('Уроки'!$J:$J,MATCH(F1109,'Уроки'!$A:$A,0)),"")</f>
        <v/>
      </c>
      <c r="L1109" s="11" t="inlineStr">
        <is>
          <t>Spotlight / 9 класс / Module 7 · Staying safe / have to / have to: значение — необходимость из-за обстоятельств (утверждение)</t>
        </is>
      </c>
    </row>
    <row r="1110">
      <c r="A1110" s="37" t="n">
        <v>9</v>
      </c>
      <c r="B1110" s="11" t="inlineStr">
        <is>
          <t>Module 7 · Staying safe</t>
        </is>
      </c>
      <c r="C1110" s="11" t="inlineStr">
        <is>
          <t>7d</t>
        </is>
      </c>
      <c r="D1110" s="11" t="inlineStr">
        <is>
          <t>have to</t>
        </is>
      </c>
      <c r="E1110" s="33" t="inlineStr">
        <is>
          <t>have to: don't / doesn't have to — отсутствие необходимости</t>
        </is>
      </c>
      <c r="F1110" s="11" t="inlineStr">
        <is>
          <t>Ст-138</t>
        </is>
      </c>
      <c r="G1110" s="37" t="inlineStr">
        <is>
          <t>повторение</t>
        </is>
      </c>
      <c r="H1110" s="11" t="inlineStr"/>
      <c r="I1110" s="37" t="inlineStr">
        <is>
          <t>10+</t>
        </is>
      </c>
      <c r="J1110" s="11">
        <f>IFERROR(INDEX('Уроки'!$H:$H,MATCH(F1110,'Уроки'!$A:$A,0)),"")</f>
        <v/>
      </c>
      <c r="K1110" s="11">
        <f>IFERROR(INDEX('Уроки'!$J:$J,MATCH(F1110,'Уроки'!$A:$A,0)),"")</f>
        <v/>
      </c>
      <c r="L1110" s="11" t="inlineStr">
        <is>
          <t>Spotlight / 9 класс / Module 7 · Staying safe / have to / have to: don't / doesn't have to — отсутствие необходимости</t>
        </is>
      </c>
    </row>
    <row r="1111">
      <c r="A1111" s="37" t="n">
        <v>9</v>
      </c>
      <c r="B1111" s="11" t="inlineStr">
        <is>
          <t>Module 7 · Staying safe</t>
        </is>
      </c>
      <c r="C1111" s="11" t="inlineStr">
        <is>
          <t>7d</t>
        </is>
      </c>
      <c r="D1111" s="11" t="inlineStr">
        <is>
          <t>have to</t>
        </is>
      </c>
      <c r="E1111" s="35" t="inlineStr">
        <is>
          <t>have to: didn't have to — не было необходимости в прошлом</t>
        </is>
      </c>
      <c r="F1111" s="11" t="inlineStr">
        <is>
          <t>Ст-140</t>
        </is>
      </c>
      <c r="G1111" s="37" t="inlineStr">
        <is>
          <t>повторение</t>
        </is>
      </c>
      <c r="H1111" s="11" t="inlineStr"/>
      <c r="I1111" s="37" t="inlineStr">
        <is>
          <t>10+</t>
        </is>
      </c>
      <c r="J1111" s="11">
        <f>IFERROR(INDEX('Уроки'!$H:$H,MATCH(F1111,'Уроки'!$A:$A,0)),"")</f>
        <v/>
      </c>
      <c r="K1111" s="11">
        <f>IFERROR(INDEX('Уроки'!$J:$J,MATCH(F1111,'Уроки'!$A:$A,0)),"")</f>
        <v/>
      </c>
      <c r="L1111" s="11" t="inlineStr">
        <is>
          <t>Spotlight / 9 класс / Module 7 · Staying safe / have to / have to: didn't have to — не было необходимости в прошлом</t>
        </is>
      </c>
    </row>
    <row r="1112">
      <c r="A1112" s="37" t="n">
        <v>9</v>
      </c>
      <c r="B1112" s="11" t="inlineStr">
        <is>
          <t>Module 7 · Staying safe</t>
        </is>
      </c>
      <c r="C1112" s="11" t="inlineStr">
        <is>
          <t>7d</t>
        </is>
      </c>
      <c r="D1112" s="11" t="inlineStr">
        <is>
          <t>may/might</t>
        </is>
      </c>
      <c r="E1112" s="35" t="inlineStr">
        <is>
          <t>may/might: can — общая (теоретическая) возможность</t>
        </is>
      </c>
      <c r="F1112" s="11" t="inlineStr">
        <is>
          <t>Ст-142</t>
        </is>
      </c>
      <c r="G1112" s="37" t="inlineStr">
        <is>
          <t>повторение</t>
        </is>
      </c>
      <c r="H1112" s="11" t="inlineStr"/>
      <c r="I1112" s="37" t="inlineStr">
        <is>
          <t>10+</t>
        </is>
      </c>
      <c r="J1112" s="11">
        <f>IFERROR(INDEX('Уроки'!$H:$H,MATCH(F1112,'Уроки'!$A:$A,0)),"")</f>
        <v/>
      </c>
      <c r="K1112" s="11">
        <f>IFERROR(INDEX('Уроки'!$J:$J,MATCH(F1112,'Уроки'!$A:$A,0)),"")</f>
        <v/>
      </c>
      <c r="L1112" s="11" t="inlineStr">
        <is>
          <t>Spotlight / 9 класс / Module 7 · Staying safe / may/might / may/might: can — общая (теоретическая) возможность</t>
        </is>
      </c>
    </row>
    <row r="1113">
      <c r="A1113" s="37" t="n">
        <v>9</v>
      </c>
      <c r="B1113" s="11" t="inlineStr">
        <is>
          <t>Module 7 · Staying safe</t>
        </is>
      </c>
      <c r="C1113" s="11" t="inlineStr">
        <is>
          <t>7d</t>
        </is>
      </c>
      <c r="D1113" s="11" t="inlineStr">
        <is>
          <t>may/might</t>
        </is>
      </c>
      <c r="E1113" s="35" t="inlineStr">
        <is>
          <t>may/might: could/may/might — возможность в конкретной ситуации</t>
        </is>
      </c>
      <c r="F1113" s="11" t="inlineStr">
        <is>
          <t>Ст-143</t>
        </is>
      </c>
      <c r="G1113" s="37" t="inlineStr">
        <is>
          <t>повторение</t>
        </is>
      </c>
      <c r="H1113" s="11" t="inlineStr"/>
      <c r="I1113" s="37" t="inlineStr">
        <is>
          <t>10+</t>
        </is>
      </c>
      <c r="J1113" s="11">
        <f>IFERROR(INDEX('Уроки'!$H:$H,MATCH(F1113,'Уроки'!$A:$A,0)),"")</f>
        <v/>
      </c>
      <c r="K1113" s="11">
        <f>IFERROR(INDEX('Уроки'!$J:$J,MATCH(F1113,'Уроки'!$A:$A,0)),"")</f>
        <v/>
      </c>
      <c r="L1113" s="11" t="inlineStr">
        <is>
          <t>Spotlight / 9 класс / Module 7 · Staying safe / may/might / may/might: could/may/might — возможность в конкретной ситуации</t>
        </is>
      </c>
    </row>
    <row r="1114">
      <c r="A1114" s="37" t="n">
        <v>9</v>
      </c>
      <c r="B1114" s="11" t="inlineStr">
        <is>
          <t>Module 7 · Staying safe</t>
        </is>
      </c>
      <c r="C1114" s="11" t="inlineStr">
        <is>
          <t>7d</t>
        </is>
      </c>
      <c r="D1114" s="11" t="inlineStr">
        <is>
          <t>may/might</t>
        </is>
      </c>
      <c r="E1114" s="35" t="inlineStr">
        <is>
          <t>may/might: возможность в вопросах — can/could/might, но не may</t>
        </is>
      </c>
      <c r="F1114" s="11" t="inlineStr">
        <is>
          <t>Ст-144</t>
        </is>
      </c>
      <c r="G1114" s="37" t="inlineStr">
        <is>
          <t>повторение</t>
        </is>
      </c>
      <c r="H1114" s="11" t="inlineStr"/>
      <c r="I1114" s="37" t="inlineStr">
        <is>
          <t>10+</t>
        </is>
      </c>
      <c r="J1114" s="11">
        <f>IFERROR(INDEX('Уроки'!$H:$H,MATCH(F1114,'Уроки'!$A:$A,0)),"")</f>
        <v/>
      </c>
      <c r="K1114" s="11">
        <f>IFERROR(INDEX('Уроки'!$J:$J,MATCH(F1114,'Уроки'!$A:$A,0)),"")</f>
        <v/>
      </c>
      <c r="L1114" s="11" t="inlineStr">
        <is>
          <t>Spotlight / 9 класс / Module 7 · Staying safe / may/might / may/might: возможность в вопросах — can/could/might, но не may</t>
        </is>
      </c>
    </row>
    <row r="1115">
      <c r="A1115" s="37" t="n">
        <v>9</v>
      </c>
      <c r="B1115" s="11" t="inlineStr">
        <is>
          <t>Module 7 · Staying safe</t>
        </is>
      </c>
      <c r="C1115" s="11" t="inlineStr">
        <is>
          <t>7d</t>
        </is>
      </c>
      <c r="D1115" s="11" t="inlineStr">
        <is>
          <t>may/might</t>
        </is>
      </c>
      <c r="E1115" s="35" t="inlineStr">
        <is>
          <t>may/might: could/might/would + have V3 — было возможно, но не случилось</t>
        </is>
      </c>
      <c r="F1115" s="11" t="inlineStr">
        <is>
          <t>Ст-145</t>
        </is>
      </c>
      <c r="G1115" s="37" t="inlineStr">
        <is>
          <t>повторение</t>
        </is>
      </c>
      <c r="H1115" s="11" t="inlineStr"/>
      <c r="I1115" s="37" t="inlineStr">
        <is>
          <t>10+</t>
        </is>
      </c>
      <c r="J1115" s="11">
        <f>IFERROR(INDEX('Уроки'!$H:$H,MATCH(F1115,'Уроки'!$A:$A,0)),"")</f>
        <v/>
      </c>
      <c r="K1115" s="11">
        <f>IFERROR(INDEX('Уроки'!$J:$J,MATCH(F1115,'Уроки'!$A:$A,0)),"")</f>
        <v/>
      </c>
      <c r="L1115" s="11" t="inlineStr">
        <is>
          <t>Spotlight / 9 класс / Module 7 · Staying safe / may/might / may/might: could/might/would + have V3 — было возможно, но не случилось</t>
        </is>
      </c>
    </row>
    <row r="1116">
      <c r="A1116" s="37" t="n">
        <v>9</v>
      </c>
      <c r="B1116" s="11" t="inlineStr">
        <is>
          <t>Module 7 · Staying safe</t>
        </is>
      </c>
      <c r="C1116" s="11" t="inlineStr">
        <is>
          <t>7d</t>
        </is>
      </c>
      <c r="D1116" s="11" t="inlineStr">
        <is>
          <t>must/mustn't</t>
        </is>
      </c>
      <c r="E1116" s="33" t="inlineStr">
        <is>
          <t>must/mustn't: must — обязанность, необходимость</t>
        </is>
      </c>
      <c r="F1116" s="11" t="inlineStr">
        <is>
          <t>Ст-146</t>
        </is>
      </c>
      <c r="G1116" s="37" t="inlineStr">
        <is>
          <t>повторение</t>
        </is>
      </c>
      <c r="H1116" s="11" t="inlineStr"/>
      <c r="I1116" s="37" t="inlineStr">
        <is>
          <t>10+</t>
        </is>
      </c>
      <c r="J1116" s="11">
        <f>IFERROR(INDEX('Уроки'!$H:$H,MATCH(F1116,'Уроки'!$A:$A,0)),"")</f>
        <v/>
      </c>
      <c r="K1116" s="11">
        <f>IFERROR(INDEX('Уроки'!$J:$J,MATCH(F1116,'Уроки'!$A:$A,0)),"")</f>
        <v/>
      </c>
      <c r="L1116" s="11" t="inlineStr">
        <is>
          <t>Spotlight / 9 класс / Module 7 · Staying safe / must/mustn't / must/mustn't: must — обязанность, необходимость</t>
        </is>
      </c>
    </row>
    <row r="1117">
      <c r="A1117" s="37" t="n">
        <v>9</v>
      </c>
      <c r="B1117" s="11" t="inlineStr">
        <is>
          <t>Module 7 · Staying safe</t>
        </is>
      </c>
      <c r="C1117" s="11" t="inlineStr">
        <is>
          <t>7d</t>
        </is>
      </c>
      <c r="D1117" s="11" t="inlineStr">
        <is>
          <t>must/mustn't</t>
        </is>
      </c>
      <c r="E1117" s="33" t="inlineStr">
        <is>
          <t>must/mustn't: mustn't — запрет</t>
        </is>
      </c>
      <c r="F1117" s="11" t="inlineStr">
        <is>
          <t>Ст-147</t>
        </is>
      </c>
      <c r="G1117" s="37" t="inlineStr">
        <is>
          <t>повторение</t>
        </is>
      </c>
      <c r="H1117" s="11" t="inlineStr">
        <is>
          <t>правила, закон</t>
        </is>
      </c>
      <c r="I1117" s="37" t="inlineStr">
        <is>
          <t>10+</t>
        </is>
      </c>
      <c r="J1117" s="11">
        <f>IFERROR(INDEX('Уроки'!$H:$H,MATCH(F1117,'Уроки'!$A:$A,0)),"")</f>
        <v/>
      </c>
      <c r="K1117" s="11">
        <f>IFERROR(INDEX('Уроки'!$J:$J,MATCH(F1117,'Уроки'!$A:$A,0)),"")</f>
        <v/>
      </c>
      <c r="L1117" s="11" t="inlineStr">
        <is>
          <t>Spotlight / 9 класс / Module 7 · Staying safe / must/mustn't / must/mustn't: mustn't — запрет</t>
        </is>
      </c>
    </row>
    <row r="1118">
      <c r="A1118" s="37" t="n">
        <v>9</v>
      </c>
      <c r="B1118" s="11" t="inlineStr">
        <is>
          <t>Module 7 · Staying safe</t>
        </is>
      </c>
      <c r="C1118" s="11" t="inlineStr">
        <is>
          <t>7d</t>
        </is>
      </c>
      <c r="D1118" s="11" t="inlineStr">
        <is>
          <t>must/mustn't</t>
        </is>
      </c>
      <c r="E1118" s="35" t="inlineStr">
        <is>
          <t>must/mustn't: must только в настоящем; в других временах — have to / had to</t>
        </is>
      </c>
      <c r="F1118" s="11" t="inlineStr">
        <is>
          <t>Ст-150</t>
        </is>
      </c>
      <c r="G1118" s="37" t="inlineStr">
        <is>
          <t>повторение</t>
        </is>
      </c>
      <c r="H1118" s="11" t="inlineStr"/>
      <c r="I1118" s="37" t="inlineStr">
        <is>
          <t>10+</t>
        </is>
      </c>
      <c r="J1118" s="11">
        <f>IFERROR(INDEX('Уроки'!$H:$H,MATCH(F1118,'Уроки'!$A:$A,0)),"")</f>
        <v/>
      </c>
      <c r="K1118" s="11">
        <f>IFERROR(INDEX('Уроки'!$J:$J,MATCH(F1118,'Уроки'!$A:$A,0)),"")</f>
        <v/>
      </c>
      <c r="L1118" s="11" t="inlineStr">
        <is>
          <t>Spotlight / 9 класс / Module 7 · Staying safe / must/mustn't / must/mustn't: must только в настоящем; в других временах — have to / had to</t>
        </is>
      </c>
    </row>
    <row r="1119">
      <c r="A1119" s="37" t="n">
        <v>9</v>
      </c>
      <c r="B1119" s="11" t="inlineStr">
        <is>
          <t>Module 7 · Staying safe</t>
        </is>
      </c>
      <c r="C1119" s="11" t="inlineStr">
        <is>
          <t>7d</t>
        </is>
      </c>
      <c r="D1119" s="11" t="inlineStr">
        <is>
          <t>can (permission/request)</t>
        </is>
      </c>
      <c r="E1119" s="33" t="inlineStr">
        <is>
          <t>can (permission/request): can't — запрет</t>
        </is>
      </c>
      <c r="F1119" s="11" t="inlineStr">
        <is>
          <t>Ст-155</t>
        </is>
      </c>
      <c r="G1119" s="41" t="inlineStr">
        <is>
          <t>расширение</t>
        </is>
      </c>
      <c r="H1119" s="11" t="inlineStr">
        <is>
          <t>mustn't/can't — правила, закон</t>
        </is>
      </c>
      <c r="I1119" s="37" t="inlineStr">
        <is>
          <t>10+</t>
        </is>
      </c>
      <c r="J1119" s="11">
        <f>IFERROR(INDEX('Уроки'!$H:$H,MATCH(F1119,'Уроки'!$A:$A,0)),"")</f>
        <v/>
      </c>
      <c r="K1119" s="11">
        <f>IFERROR(INDEX('Уроки'!$J:$J,MATCH(F1119,'Уроки'!$A:$A,0)),"")</f>
        <v/>
      </c>
      <c r="L1119" s="11" t="inlineStr">
        <is>
          <t>Spotlight / 9 класс / Module 7 · Staying safe / can (permission/request) / can (permission/request): can't — запрет</t>
        </is>
      </c>
    </row>
    <row r="1120">
      <c r="A1120" s="37" t="n">
        <v>9</v>
      </c>
      <c r="B1120" s="11" t="inlineStr">
        <is>
          <t>Module 7 · Staying safe</t>
        </is>
      </c>
      <c r="C1120" s="11" t="inlineStr">
        <is>
          <t>7d</t>
        </is>
      </c>
      <c r="D1120" s="11" t="inlineStr">
        <is>
          <t>can (permission/request)</t>
        </is>
      </c>
      <c r="E1120" s="35" t="inlineStr">
        <is>
          <t>can (permission/request): can vs may — разрешение (may формальнее)</t>
        </is>
      </c>
      <c r="F1120" s="11" t="inlineStr">
        <is>
          <t>Ст-156</t>
        </is>
      </c>
      <c r="G1120" s="37" t="inlineStr">
        <is>
          <t>повторение</t>
        </is>
      </c>
      <c r="H1120" s="11" t="inlineStr"/>
      <c r="I1120" s="37" t="inlineStr">
        <is>
          <t>10+</t>
        </is>
      </c>
      <c r="J1120" s="11">
        <f>IFERROR(INDEX('Уроки'!$H:$H,MATCH(F1120,'Уроки'!$A:$A,0)),"")</f>
        <v/>
      </c>
      <c r="K1120" s="11">
        <f>IFERROR(INDEX('Уроки'!$J:$J,MATCH(F1120,'Уроки'!$A:$A,0)),"")</f>
        <v/>
      </c>
      <c r="L1120" s="11" t="inlineStr">
        <is>
          <t>Spotlight / 9 класс / Module 7 · Staying safe / can (permission/request) / can (permission/request): can vs may — разрешение (may формальнее)</t>
        </is>
      </c>
    </row>
    <row r="1121">
      <c r="A1121" s="37" t="n">
        <v>9</v>
      </c>
      <c r="B1121" s="11" t="inlineStr">
        <is>
          <t>Module 7 · Staying safe</t>
        </is>
      </c>
      <c r="C1121" s="11" t="inlineStr">
        <is>
          <t>7d</t>
        </is>
      </c>
      <c r="D1121" s="11" t="inlineStr">
        <is>
          <t>can (permission/request)</t>
        </is>
      </c>
      <c r="E1121" s="35" t="inlineStr">
        <is>
          <t>can (permission/request): предложения (offers/suggestions) — can, could, would, shall</t>
        </is>
      </c>
      <c r="F1121" s="11" t="inlineStr">
        <is>
          <t>Ст-157</t>
        </is>
      </c>
      <c r="G1121" s="37" t="inlineStr">
        <is>
          <t>повторение</t>
        </is>
      </c>
      <c r="H1121" s="11" t="inlineStr"/>
      <c r="I1121" s="37" t="inlineStr">
        <is>
          <t>10+</t>
        </is>
      </c>
      <c r="J1121" s="11">
        <f>IFERROR(INDEX('Уроки'!$H:$H,MATCH(F1121,'Уроки'!$A:$A,0)),"")</f>
        <v/>
      </c>
      <c r="K1121" s="11">
        <f>IFERROR(INDEX('Уроки'!$J:$J,MATCH(F1121,'Уроки'!$A:$A,0)),"")</f>
        <v/>
      </c>
      <c r="L1121" s="11" t="inlineStr">
        <is>
          <t>Spotlight / 9 класс / Module 7 · Staying safe / can (permission/request) / can (permission/request): предложения (offers/suggestions) — can, could, would, shall</t>
        </is>
      </c>
    </row>
    <row r="1122">
      <c r="A1122" s="37" t="n">
        <v>9</v>
      </c>
      <c r="B1122" s="11" t="inlineStr">
        <is>
          <t>Module 7 · Staying safe</t>
        </is>
      </c>
      <c r="C1122" s="11" t="inlineStr">
        <is>
          <t>7d</t>
        </is>
      </c>
      <c r="D1122" s="11" t="inlineStr">
        <is>
          <t>need/needn't</t>
        </is>
      </c>
      <c r="E1122" s="35" t="inlineStr">
        <is>
          <t>need/needn't: needn't / don't need to — нет необходимости (наст./буд.)</t>
        </is>
      </c>
      <c r="F1122" s="11" t="inlineStr">
        <is>
          <t>Ст-158</t>
        </is>
      </c>
      <c r="G1122" s="37" t="inlineStr">
        <is>
          <t>повторение</t>
        </is>
      </c>
      <c r="H1122" s="11" t="inlineStr"/>
      <c r="I1122" s="37" t="inlineStr">
        <is>
          <t>10+</t>
        </is>
      </c>
      <c r="J1122" s="11">
        <f>IFERROR(INDEX('Уроки'!$H:$H,MATCH(F1122,'Уроки'!$A:$A,0)),"")</f>
        <v/>
      </c>
      <c r="K1122" s="11">
        <f>IFERROR(INDEX('Уроки'!$J:$J,MATCH(F1122,'Уроки'!$A:$A,0)),"")</f>
        <v/>
      </c>
      <c r="L1122" s="11" t="inlineStr">
        <is>
          <t>Spotlight / 9 класс / Module 7 · Staying safe / need/needn't / need/needn't: needn't / don't need to — нет необходимости (наст./буд.)</t>
        </is>
      </c>
    </row>
    <row r="1123">
      <c r="A1123" s="37" t="n">
        <v>9</v>
      </c>
      <c r="B1123" s="11" t="inlineStr">
        <is>
          <t>Module 7 · Staying safe</t>
        </is>
      </c>
      <c r="C1123" s="11" t="inlineStr">
        <is>
          <t>7d</t>
        </is>
      </c>
      <c r="D1123" s="11" t="inlineStr">
        <is>
          <t>should/shouldn't</t>
        </is>
      </c>
      <c r="E1123" s="33" t="inlineStr">
        <is>
          <t>should/shouldn't: значение — совет, рекомендация; утверждение should + глагол без to</t>
        </is>
      </c>
      <c r="F1123" s="11" t="inlineStr">
        <is>
          <t>Ст-162</t>
        </is>
      </c>
      <c r="G1123" s="37" t="inlineStr">
        <is>
          <t>повторение</t>
        </is>
      </c>
      <c r="H1123" s="11" t="inlineStr"/>
      <c r="I1123" s="37" t="inlineStr">
        <is>
          <t>10+</t>
        </is>
      </c>
      <c r="J1123" s="11">
        <f>IFERROR(INDEX('Уроки'!$H:$H,MATCH(F1123,'Уроки'!$A:$A,0)),"")</f>
        <v/>
      </c>
      <c r="K1123" s="11">
        <f>IFERROR(INDEX('Уроки'!$J:$J,MATCH(F1123,'Уроки'!$A:$A,0)),"")</f>
        <v/>
      </c>
      <c r="L1123" s="11" t="inlineStr">
        <is>
          <t>Spotlight / 9 класс / Module 7 · Staying safe / should/shouldn't / should/shouldn't: значение — совет, рекомендация; утверждение should + глагол без to</t>
        </is>
      </c>
    </row>
    <row r="1124">
      <c r="A1124" s="37" t="n">
        <v>9</v>
      </c>
      <c r="B1124" s="11" t="inlineStr">
        <is>
          <t>Module 7 · Staying safe</t>
        </is>
      </c>
      <c r="C1124" s="11" t="inlineStr">
        <is>
          <t>7d</t>
        </is>
      </c>
      <c r="D1124" s="11" t="inlineStr">
        <is>
          <t>should/shouldn't</t>
        </is>
      </c>
      <c r="E1124" s="34" t="inlineStr">
        <is>
          <t>should/shouldn't: ought to (= should)</t>
        </is>
      </c>
      <c r="F1124" s="11" t="inlineStr">
        <is>
          <t>Ст-165</t>
        </is>
      </c>
      <c r="G1124" s="37" t="inlineStr">
        <is>
          <t>повторение</t>
        </is>
      </c>
      <c r="H1124" s="11" t="inlineStr"/>
      <c r="I1124" s="37" t="inlineStr">
        <is>
          <t>10+</t>
        </is>
      </c>
      <c r="J1124" s="11">
        <f>IFERROR(INDEX('Уроки'!$H:$H,MATCH(F1124,'Уроки'!$A:$A,0)),"")</f>
        <v/>
      </c>
      <c r="K1124" s="11">
        <f>IFERROR(INDEX('Уроки'!$J:$J,MATCH(F1124,'Уроки'!$A:$A,0)),"")</f>
        <v/>
      </c>
      <c r="L1124" s="11" t="inlineStr">
        <is>
          <t>Spotlight / 9 класс / Module 7 · Staying safe / should/shouldn't / should/shouldn't: ought to (= should)</t>
        </is>
      </c>
    </row>
    <row r="1125">
      <c r="A1125" s="37" t="n">
        <v>9</v>
      </c>
      <c r="B1125" s="11" t="inlineStr">
        <is>
          <t>Module 7 · Staying safe</t>
        </is>
      </c>
      <c r="C1125" s="11" t="inlineStr">
        <is>
          <t>7d</t>
        </is>
      </c>
      <c r="D1125" s="11" t="inlineStr">
        <is>
          <t>should/shouldn't</t>
        </is>
      </c>
      <c r="E1125" s="34" t="inlineStr">
        <is>
          <t>should/shouldn't: значение — обязательство, долг (слабая обязанность)</t>
        </is>
      </c>
      <c r="F1125" s="11" t="inlineStr">
        <is>
          <t>Ст-166</t>
        </is>
      </c>
      <c r="G1125" s="37" t="inlineStr">
        <is>
          <t>повторение</t>
        </is>
      </c>
      <c r="H1125" s="11" t="inlineStr"/>
      <c r="I1125" s="37" t="inlineStr">
        <is>
          <t>10+</t>
        </is>
      </c>
      <c r="J1125" s="11">
        <f>IFERROR(INDEX('Уроки'!$H:$H,MATCH(F1125,'Уроки'!$A:$A,0)),"")</f>
        <v/>
      </c>
      <c r="K1125" s="11">
        <f>IFERROR(INDEX('Уроки'!$J:$J,MATCH(F1125,'Уроки'!$A:$A,0)),"")</f>
        <v/>
      </c>
      <c r="L1125" s="11" t="inlineStr">
        <is>
          <t>Spotlight / 9 класс / Module 7 · Staying safe / should/shouldn't / should/shouldn't: значение — обязательство, долг (слабая обязанность)</t>
        </is>
      </c>
    </row>
    <row r="1126">
      <c r="A1126" s="37" t="n">
        <v>9</v>
      </c>
      <c r="B1126" s="11" t="inlineStr">
        <is>
          <t>Module 7 · Staying safe</t>
        </is>
      </c>
      <c r="C1126" s="11" t="inlineStr">
        <is>
          <t>7d</t>
        </is>
      </c>
      <c r="D1126" s="11" t="inlineStr">
        <is>
          <t>should/shouldn't</t>
        </is>
      </c>
      <c r="E1126" s="34" t="inlineStr">
        <is>
          <t>should/shouldn't: значение — критика (should / should have V3)</t>
        </is>
      </c>
      <c r="F1126" s="11" t="inlineStr">
        <is>
          <t>Ст-167</t>
        </is>
      </c>
      <c r="G1126" s="37" t="inlineStr">
        <is>
          <t>повторение</t>
        </is>
      </c>
      <c r="H1126" s="11" t="inlineStr"/>
      <c r="I1126" s="37" t="inlineStr">
        <is>
          <t>10+</t>
        </is>
      </c>
      <c r="J1126" s="11">
        <f>IFERROR(INDEX('Уроки'!$H:$H,MATCH(F1126,'Уроки'!$A:$A,0)),"")</f>
        <v/>
      </c>
      <c r="K1126" s="11">
        <f>IFERROR(INDEX('Уроки'!$J:$J,MATCH(F1126,'Уроки'!$A:$A,0)),"")</f>
        <v/>
      </c>
      <c r="L1126" s="11" t="inlineStr">
        <is>
          <t>Spotlight / 9 класс / Module 7 · Staying safe / should/shouldn't / should/shouldn't: значение — критика (should / should have V3)</t>
        </is>
      </c>
    </row>
    <row r="1127">
      <c r="A1127" s="37" t="n">
        <v>9</v>
      </c>
      <c r="B1127" s="11" t="inlineStr">
        <is>
          <t>Module 7 · Staying safe</t>
        </is>
      </c>
      <c r="C1127" s="11" t="inlineStr">
        <is>
          <t>7d</t>
        </is>
      </c>
      <c r="D1127" s="11" t="inlineStr">
        <is>
          <t>should/shouldn't</t>
        </is>
      </c>
      <c r="E1127" s="35" t="inlineStr">
        <is>
          <t>should/shouldn't: значение — вероятность ~90% (о будущем)</t>
        </is>
      </c>
      <c r="F1127" s="11" t="inlineStr">
        <is>
          <t>Ст-168</t>
        </is>
      </c>
      <c r="G1127" s="37" t="inlineStr">
        <is>
          <t>повторение</t>
        </is>
      </c>
      <c r="H1127" s="11" t="inlineStr"/>
      <c r="I1127" s="37" t="inlineStr">
        <is>
          <t>10+</t>
        </is>
      </c>
      <c r="J1127" s="11">
        <f>IFERROR(INDEX('Уроки'!$H:$H,MATCH(F1127,'Уроки'!$A:$A,0)),"")</f>
        <v/>
      </c>
      <c r="K1127" s="11">
        <f>IFERROR(INDEX('Уроки'!$J:$J,MATCH(F1127,'Уроки'!$A:$A,0)),"")</f>
        <v/>
      </c>
      <c r="L1127" s="11" t="inlineStr">
        <is>
          <t>Spotlight / 9 класс / Module 7 · Staying safe / should/shouldn't / should/shouldn't: значение — вероятность ~90% (о будущем)</t>
        </is>
      </c>
    </row>
    <row r="1128">
      <c r="A1128" s="37" t="n">
        <v>9</v>
      </c>
      <c r="B1128" s="11" t="inlineStr">
        <is>
          <t>Module 7 · Staying safe</t>
        </is>
      </c>
      <c r="C1128" s="11" t="inlineStr">
        <is>
          <t>7d</t>
        </is>
      </c>
      <c r="D1128" s="11" t="inlineStr">
        <is>
          <t>should/shouldn't</t>
        </is>
      </c>
      <c r="E1128" s="34" t="inlineStr">
        <is>
          <t>should/shouldn't: Shall I…? — просьба о совете</t>
        </is>
      </c>
      <c r="F1128" s="11" t="inlineStr">
        <is>
          <t>Ст-169</t>
        </is>
      </c>
      <c r="G1128" s="40" t="inlineStr">
        <is>
          <t>новое</t>
        </is>
      </c>
      <c r="H1128" s="11" t="inlineStr">
        <is>
          <t>Shall I…?</t>
        </is>
      </c>
      <c r="I1128" s="37" t="inlineStr">
        <is>
          <t>10+</t>
        </is>
      </c>
      <c r="J1128" s="11">
        <f>IFERROR(INDEX('Уроки'!$H:$H,MATCH(F1128,'Уроки'!$A:$A,0)),"")</f>
        <v/>
      </c>
      <c r="K1128" s="11">
        <f>IFERROR(INDEX('Уроки'!$J:$J,MATCH(F1128,'Уроки'!$A:$A,0)),"")</f>
        <v/>
      </c>
      <c r="L1128" s="11" t="inlineStr">
        <is>
          <t>Spotlight / 9 класс / Module 7 · Staying safe / should/shouldn't / should/shouldn't: Shall I…? — просьба о совете</t>
        </is>
      </c>
    </row>
    <row r="1129">
      <c r="A1129" s="37" t="n">
        <v>9</v>
      </c>
      <c r="B1129" s="11" t="inlineStr">
        <is>
          <t>Module 7 · Staying safe</t>
        </is>
      </c>
      <c r="C1129" s="11" t="inlineStr">
        <is>
          <t>7d</t>
        </is>
      </c>
      <c r="D1129" s="11" t="inlineStr">
        <is>
          <t>Modal verbs (functions)</t>
        </is>
      </c>
      <c r="E1129" s="33" t="inlineStr">
        <is>
          <t>Modal verbs: общие правила формы — без -s/-ing/-ed, + инфинитив без to</t>
        </is>
      </c>
      <c r="F1129" s="11" t="inlineStr">
        <is>
          <t>Ст-178</t>
        </is>
      </c>
      <c r="G1129" s="37" t="inlineStr">
        <is>
          <t>повторение</t>
        </is>
      </c>
      <c r="H1129" s="11" t="inlineStr"/>
      <c r="I1129" s="37" t="inlineStr">
        <is>
          <t>10+</t>
        </is>
      </c>
      <c r="J1129" s="11">
        <f>IFERROR(INDEX('Уроки'!$H:$H,MATCH(F1129,'Уроки'!$A:$A,0)),"")</f>
        <v/>
      </c>
      <c r="K1129" s="11">
        <f>IFERROR(INDEX('Уроки'!$J:$J,MATCH(F1129,'Уроки'!$A:$A,0)),"")</f>
        <v/>
      </c>
      <c r="L1129" s="11" t="inlineStr">
        <is>
          <t>Spotlight / 9 класс / Module 7 · Staying safe / Modal verbs (functions) / Modal verbs: общие правила формы — без -s/-ing/-ed, + инфинитив без to</t>
        </is>
      </c>
    </row>
    <row r="1130">
      <c r="A1130" s="37" t="n">
        <v>9</v>
      </c>
      <c r="B1130" s="11" t="inlineStr">
        <is>
          <t>Module 7 · Staying safe</t>
        </is>
      </c>
      <c r="C1130" s="11" t="inlineStr">
        <is>
          <t>7d</t>
        </is>
      </c>
      <c r="D1130" s="11" t="inlineStr">
        <is>
          <t>Modal verbs (functions)</t>
        </is>
      </c>
      <c r="E1130" s="35" t="inlineStr">
        <is>
          <t>Modal verbs: вопрос и отрицание (инверсия, not)</t>
        </is>
      </c>
      <c r="F1130" s="11" t="inlineStr">
        <is>
          <t>Ст-179</t>
        </is>
      </c>
      <c r="G1130" s="37" t="inlineStr">
        <is>
          <t>повторение</t>
        </is>
      </c>
      <c r="H1130" s="11" t="inlineStr"/>
      <c r="I1130" s="37" t="inlineStr">
        <is>
          <t>10+</t>
        </is>
      </c>
      <c r="J1130" s="11">
        <f>IFERROR(INDEX('Уроки'!$H:$H,MATCH(F1130,'Уроки'!$A:$A,0)),"")</f>
        <v/>
      </c>
      <c r="K1130" s="11">
        <f>IFERROR(INDEX('Уроки'!$J:$J,MATCH(F1130,'Уроки'!$A:$A,0)),"")</f>
        <v/>
      </c>
      <c r="L1130" s="11" t="inlineStr">
        <is>
          <t>Spotlight / 9 класс / Module 7 · Staying safe / Modal verbs (functions) / Modal verbs: вопрос и отрицание (инверсия, not)</t>
        </is>
      </c>
    </row>
    <row r="1131">
      <c r="A1131" s="37" t="n">
        <v>9</v>
      </c>
      <c r="B1131" s="11" t="inlineStr">
        <is>
          <t>Module 7 · Staying safe</t>
        </is>
      </c>
      <c r="C1131" s="11" t="inlineStr">
        <is>
          <t>7d</t>
        </is>
      </c>
      <c r="D1131" s="11" t="inlineStr">
        <is>
          <t>Modal verbs (functions)</t>
        </is>
      </c>
      <c r="E1131" s="35" t="inlineStr">
        <is>
          <t>Modal verbs: + простой инфинитив (наст./буд.) vs + перфектный инфинитив (прошлое)</t>
        </is>
      </c>
      <c r="F1131" s="11" t="inlineStr">
        <is>
          <t>Ст-180</t>
        </is>
      </c>
      <c r="G1131" s="37" t="inlineStr">
        <is>
          <t>повторение</t>
        </is>
      </c>
      <c r="H1131" s="11" t="inlineStr"/>
      <c r="I1131" s="37" t="inlineStr">
        <is>
          <t>10+</t>
        </is>
      </c>
      <c r="J1131" s="11">
        <f>IFERROR(INDEX('Уроки'!$H:$H,MATCH(F1131,'Уроки'!$A:$A,0)),"")</f>
        <v/>
      </c>
      <c r="K1131" s="11">
        <f>IFERROR(INDEX('Уроки'!$J:$J,MATCH(F1131,'Уроки'!$A:$A,0)),"")</f>
        <v/>
      </c>
      <c r="L1131" s="11" t="inlineStr">
        <is>
          <t>Spotlight / 9 класс / Module 7 · Staying safe / Modal verbs (functions) / Modal verbs: + простой инфинитив (наст./буд.) vs + перфектный инфинитив (прошлое)</t>
        </is>
      </c>
    </row>
    <row r="1132">
      <c r="A1132" s="37" t="n">
        <v>9</v>
      </c>
      <c r="B1132" s="11" t="inlineStr">
        <is>
          <t>Module 7 · Staying safe</t>
        </is>
      </c>
      <c r="C1132" s="11" t="inlineStr">
        <is>
          <t>7d</t>
        </is>
      </c>
      <c r="D1132" s="11" t="inlineStr">
        <is>
          <t>Modal verbs (functions)</t>
        </is>
      </c>
      <c r="E1132" s="35" t="inlineStr">
        <is>
          <t>Modal verbs: формы инфинитива — simple / continuous / perfect / perfect continuous</t>
        </is>
      </c>
      <c r="F1132" s="11" t="inlineStr">
        <is>
          <t>Ст-181</t>
        </is>
      </c>
      <c r="G1132" s="37" t="inlineStr">
        <is>
          <t>повторение</t>
        </is>
      </c>
      <c r="H1132" s="11" t="inlineStr"/>
      <c r="I1132" s="37" t="inlineStr">
        <is>
          <t>10+</t>
        </is>
      </c>
      <c r="J1132" s="11">
        <f>IFERROR(INDEX('Уроки'!$H:$H,MATCH(F1132,'Уроки'!$A:$A,0)),"")</f>
        <v/>
      </c>
      <c r="K1132" s="11">
        <f>IFERROR(INDEX('Уроки'!$J:$J,MATCH(F1132,'Уроки'!$A:$A,0)),"")</f>
        <v/>
      </c>
      <c r="L1132" s="11" t="inlineStr">
        <is>
          <t>Spotlight / 9 класс / Module 7 · Staying safe / Modal verbs (functions) / Modal verbs: формы инфинитива — simple / continuous / perfect / perfect continuous</t>
        </is>
      </c>
    </row>
    <row r="1133">
      <c r="A1133" s="37" t="n">
        <v>9</v>
      </c>
      <c r="B1133" s="11" t="inlineStr">
        <is>
          <t>Module 7 · Staying safe</t>
        </is>
      </c>
      <c r="C1133" s="11" t="inlineStr">
        <is>
          <t>7d</t>
        </is>
      </c>
      <c r="D1133" s="11" t="inlineStr">
        <is>
          <t>Modal verbs (functions)</t>
        </is>
      </c>
      <c r="E1133" s="35" t="inlineStr">
        <is>
          <t>Modal verbs: значение — критика (could / should / ought to)</t>
        </is>
      </c>
      <c r="F1133" s="11" t="inlineStr">
        <is>
          <t>Ст-182</t>
        </is>
      </c>
      <c r="G1133" s="37" t="inlineStr">
        <is>
          <t>повторение</t>
        </is>
      </c>
      <c r="H1133" s="11" t="inlineStr"/>
      <c r="I1133" s="37" t="inlineStr">
        <is>
          <t>10+</t>
        </is>
      </c>
      <c r="J1133" s="11">
        <f>IFERROR(INDEX('Уроки'!$H:$H,MATCH(F1133,'Уроки'!$A:$A,0)),"")</f>
        <v/>
      </c>
      <c r="K1133" s="11">
        <f>IFERROR(INDEX('Уроки'!$J:$J,MATCH(F1133,'Уроки'!$A:$A,0)),"")</f>
        <v/>
      </c>
      <c r="L1133" s="11" t="inlineStr">
        <is>
          <t>Spotlight / 9 класс / Module 7 · Staying safe / Modal verbs (functions) / Modal verbs: значение — критика (could / should / ought to)</t>
        </is>
      </c>
    </row>
    <row r="1134">
      <c r="A1134" s="37" t="n">
        <v>9</v>
      </c>
      <c r="B1134" s="11" t="inlineStr">
        <is>
          <t>Module 7 · Staying safe</t>
        </is>
      </c>
      <c r="C1134" s="11" t="inlineStr">
        <is>
          <t>7d</t>
        </is>
      </c>
      <c r="D1134" s="11" t="inlineStr">
        <is>
          <t>Modal verbs (functions)</t>
        </is>
      </c>
      <c r="E1134" s="35" t="inlineStr">
        <is>
          <t>Modal verbs: значение — вероятность (will 100% vs should/ought to 90%)</t>
        </is>
      </c>
      <c r="F1134" s="11" t="inlineStr">
        <is>
          <t>Ст-183</t>
        </is>
      </c>
      <c r="G1134" s="37" t="inlineStr">
        <is>
          <t>повторение</t>
        </is>
      </c>
      <c r="H1134" s="11" t="inlineStr"/>
      <c r="I1134" s="37" t="inlineStr">
        <is>
          <t>10+</t>
        </is>
      </c>
      <c r="J1134" s="11">
        <f>IFERROR(INDEX('Уроки'!$H:$H,MATCH(F1134,'Уроки'!$A:$A,0)),"")</f>
        <v/>
      </c>
      <c r="K1134" s="11">
        <f>IFERROR(INDEX('Уроки'!$J:$J,MATCH(F1134,'Уроки'!$A:$A,0)),"")</f>
        <v/>
      </c>
      <c r="L1134" s="11" t="inlineStr">
        <is>
          <t>Spotlight / 9 класс / Module 7 · Staying safe / Modal verbs (functions) / Modal verbs: значение — вероятность (will 100% vs should/ought to 90%)</t>
        </is>
      </c>
    </row>
    <row r="1135">
      <c r="A1135" s="37" t="n">
        <v>9</v>
      </c>
      <c r="B1135" s="11" t="inlineStr">
        <is>
          <t>Module 7 · Staying safe</t>
        </is>
      </c>
      <c r="C1135" s="11" t="inlineStr">
        <is>
          <t>7d</t>
        </is>
      </c>
      <c r="D1135" s="11" t="inlineStr">
        <is>
          <t>Modal verbs (functions)</t>
        </is>
      </c>
      <c r="E1135" s="33" t="inlineStr">
        <is>
          <t>Modal verbs: значение — совет (should / ought to / shall)</t>
        </is>
      </c>
      <c r="F1135" s="11" t="inlineStr">
        <is>
          <t>Ст-184</t>
        </is>
      </c>
      <c r="G1135" s="37" t="inlineStr">
        <is>
          <t>повторение</t>
        </is>
      </c>
      <c r="H1135" s="11" t="inlineStr"/>
      <c r="I1135" s="37" t="inlineStr">
        <is>
          <t>10+</t>
        </is>
      </c>
      <c r="J1135" s="11">
        <f>IFERROR(INDEX('Уроки'!$H:$H,MATCH(F1135,'Уроки'!$A:$A,0)),"")</f>
        <v/>
      </c>
      <c r="K1135" s="11">
        <f>IFERROR(INDEX('Уроки'!$J:$J,MATCH(F1135,'Уроки'!$A:$A,0)),"")</f>
        <v/>
      </c>
      <c r="L1135" s="11" t="inlineStr">
        <is>
          <t>Spotlight / 9 класс / Module 7 · Staying safe / Modal verbs (functions) / Modal verbs: значение — совет (should / ought to / shall)</t>
        </is>
      </c>
    </row>
    <row r="1136">
      <c r="A1136" s="37" t="n">
        <v>9</v>
      </c>
      <c r="B1136" s="11" t="inlineStr">
        <is>
          <t>Module 7 · Staying safe</t>
        </is>
      </c>
      <c r="C1136" s="11" t="inlineStr">
        <is>
          <t>7d</t>
        </is>
      </c>
      <c r="D1136" s="11" t="inlineStr">
        <is>
          <t>can/could (ability past)</t>
        </is>
      </c>
      <c r="E1136" s="35" t="inlineStr">
        <is>
          <t>can/could (ability past): could — общая способность в прошлом</t>
        </is>
      </c>
      <c r="F1136" s="11" t="inlineStr">
        <is>
          <t>Ст-195</t>
        </is>
      </c>
      <c r="G1136" s="37" t="inlineStr">
        <is>
          <t>повторение</t>
        </is>
      </c>
      <c r="H1136" s="11" t="inlineStr"/>
      <c r="I1136" s="37" t="inlineStr">
        <is>
          <t>10+</t>
        </is>
      </c>
      <c r="J1136" s="11">
        <f>IFERROR(INDEX('Уроки'!$H:$H,MATCH(F1136,'Уроки'!$A:$A,0)),"")</f>
        <v/>
      </c>
      <c r="K1136" s="11">
        <f>IFERROR(INDEX('Уроки'!$J:$J,MATCH(F1136,'Уроки'!$A:$A,0)),"")</f>
        <v/>
      </c>
      <c r="L1136" s="11" t="inlineStr">
        <is>
          <t>Spotlight / 9 класс / Module 7 · Staying safe / can/could (ability past) / can/could (ability past): could — общая способность в прошлом</t>
        </is>
      </c>
    </row>
    <row r="1137">
      <c r="A1137" s="37" t="n">
        <v>9</v>
      </c>
      <c r="B1137" s="11" t="inlineStr">
        <is>
          <t>Module 7 · Staying safe</t>
        </is>
      </c>
      <c r="C1137" s="11" t="inlineStr">
        <is>
          <t>7d</t>
        </is>
      </c>
      <c r="D1137" s="11" t="inlineStr">
        <is>
          <t>can/could (ability past)</t>
        </is>
      </c>
      <c r="E1137" s="35" t="inlineStr">
        <is>
          <t>can/could (ability past): was/were able to — способность в конкретной ситуации</t>
        </is>
      </c>
      <c r="F1137" s="11" t="inlineStr">
        <is>
          <t>Ст-196</t>
        </is>
      </c>
      <c r="G1137" s="37" t="inlineStr">
        <is>
          <t>повторение</t>
        </is>
      </c>
      <c r="H1137" s="11" t="inlineStr"/>
      <c r="I1137" s="37" t="inlineStr">
        <is>
          <t>10+</t>
        </is>
      </c>
      <c r="J1137" s="11">
        <f>IFERROR(INDEX('Уроки'!$H:$H,MATCH(F1137,'Уроки'!$A:$A,0)),"")</f>
        <v/>
      </c>
      <c r="K1137" s="11">
        <f>IFERROR(INDEX('Уроки'!$J:$J,MATCH(F1137,'Уроки'!$A:$A,0)),"")</f>
        <v/>
      </c>
      <c r="L1137" s="11" t="inlineStr">
        <is>
          <t>Spotlight / 9 класс / Module 7 · Staying safe / can/could (ability past) / can/could (ability past): was/were able to — способность в конкретной ситуации</t>
        </is>
      </c>
    </row>
    <row r="1138">
      <c r="A1138" s="37" t="n">
        <v>9</v>
      </c>
      <c r="B1138" s="11" t="inlineStr">
        <is>
          <t>Module 7 · Staying safe</t>
        </is>
      </c>
      <c r="C1138" s="11" t="inlineStr">
        <is>
          <t>7d</t>
        </is>
      </c>
      <c r="D1138" s="11" t="inlineStr">
        <is>
          <t>can/could (ability past)</t>
        </is>
      </c>
      <c r="E1138" s="35" t="inlineStr">
        <is>
          <t>can/could (ability past): couldn't — неспособность в прошлом</t>
        </is>
      </c>
      <c r="F1138" s="11" t="inlineStr">
        <is>
          <t>Ст-197</t>
        </is>
      </c>
      <c r="G1138" s="37" t="inlineStr">
        <is>
          <t>повторение</t>
        </is>
      </c>
      <c r="H1138" s="11" t="inlineStr"/>
      <c r="I1138" s="37" t="inlineStr">
        <is>
          <t>10+</t>
        </is>
      </c>
      <c r="J1138" s="11">
        <f>IFERROR(INDEX('Уроки'!$H:$H,MATCH(F1138,'Уроки'!$A:$A,0)),"")</f>
        <v/>
      </c>
      <c r="K1138" s="11">
        <f>IFERROR(INDEX('Уроки'!$J:$J,MATCH(F1138,'Уроки'!$A:$A,0)),"")</f>
        <v/>
      </c>
      <c r="L1138" s="11" t="inlineStr">
        <is>
          <t>Spotlight / 9 класс / Module 7 · Staying safe / can/could (ability past) / can/could (ability past): couldn't — неспособность в прошлом</t>
        </is>
      </c>
    </row>
    <row r="1139">
      <c r="A1139" s="37" t="n">
        <v>9</v>
      </c>
      <c r="B1139" s="11" t="inlineStr">
        <is>
          <t>Module 7 · Staying safe</t>
        </is>
      </c>
      <c r="C1139" s="11" t="inlineStr">
        <is>
          <t>7c</t>
        </is>
      </c>
      <c r="D1139" s="11" t="inlineStr">
        <is>
          <t>Conditionals (Type 1)</t>
        </is>
      </c>
      <c r="E1139" s="33" t="inlineStr">
        <is>
          <t>Conditionals Type 1: форма If + Present Simple — will + V</t>
        </is>
      </c>
      <c r="F1139" s="11" t="inlineStr">
        <is>
          <t>Ст-209</t>
        </is>
      </c>
      <c r="G1139" s="37" t="inlineStr">
        <is>
          <t>повторение</t>
        </is>
      </c>
      <c r="H1139" s="11" t="inlineStr"/>
      <c r="I1139" s="37" t="inlineStr">
        <is>
          <t>10+</t>
        </is>
      </c>
      <c r="J1139" s="11">
        <f>IFERROR(INDEX('Уроки'!$H:$H,MATCH(F1139,'Уроки'!$A:$A,0)),"")</f>
        <v/>
      </c>
      <c r="K1139" s="11">
        <f>IFERROR(INDEX('Уроки'!$J:$J,MATCH(F1139,'Уроки'!$A:$A,0)),"")</f>
        <v/>
      </c>
      <c r="L1139" s="11" t="inlineStr">
        <is>
          <t>Spotlight / 9 класс / Module 7 · Staying safe / Conditionals (Type 1) / Conditionals Type 1: форма If + Present Simple — will + V</t>
        </is>
      </c>
    </row>
    <row r="1140">
      <c r="A1140" s="37" t="n">
        <v>9</v>
      </c>
      <c r="B1140" s="11" t="inlineStr">
        <is>
          <t>Module 7 · Staying safe</t>
        </is>
      </c>
      <c r="C1140" s="11" t="inlineStr">
        <is>
          <t>7c</t>
        </is>
      </c>
      <c r="D1140" s="11" t="inlineStr">
        <is>
          <t>Conditionals (Type 1)</t>
        </is>
      </c>
      <c r="E1140" s="33" t="inlineStr">
        <is>
          <t>Conditionals Type 1: значение — реальная/вероятная ситуация в настоящем/будущем</t>
        </is>
      </c>
      <c r="F1140" s="11" t="inlineStr">
        <is>
          <t>Ст-211</t>
        </is>
      </c>
      <c r="G1140" s="37" t="inlineStr">
        <is>
          <t>повторение</t>
        </is>
      </c>
      <c r="H1140" s="11" t="inlineStr"/>
      <c r="I1140" s="37" t="inlineStr">
        <is>
          <t>10+</t>
        </is>
      </c>
      <c r="J1140" s="11">
        <f>IFERROR(INDEX('Уроки'!$H:$H,MATCH(F1140,'Уроки'!$A:$A,0)),"")</f>
        <v/>
      </c>
      <c r="K1140" s="11">
        <f>IFERROR(INDEX('Уроки'!$J:$J,MATCH(F1140,'Уроки'!$A:$A,0)),"")</f>
        <v/>
      </c>
      <c r="L1140" s="11" t="inlineStr">
        <is>
          <t>Spotlight / 9 класс / Module 7 · Staying safe / Conditionals (Type 1) / Conditionals Type 1: значение — реальная/вероятная ситуация в настоящем/будущем</t>
        </is>
      </c>
    </row>
    <row r="1141">
      <c r="A1141" s="37" t="n">
        <v>9</v>
      </c>
      <c r="B1141" s="11" t="inlineStr">
        <is>
          <t>Module 7 · Staying safe</t>
        </is>
      </c>
      <c r="C1141" s="11" t="inlineStr">
        <is>
          <t>7c</t>
        </is>
      </c>
      <c r="D1141" s="11" t="inlineStr">
        <is>
          <t>Conditionals (Type 1)</t>
        </is>
      </c>
      <c r="E1141" s="35" t="inlineStr">
        <is>
          <t>Conditionals Type 1: запятая, если if-часть впереди</t>
        </is>
      </c>
      <c r="F1141" s="11" t="inlineStr">
        <is>
          <t>Ст-212</t>
        </is>
      </c>
      <c r="G1141" s="37" t="inlineStr">
        <is>
          <t>повторение</t>
        </is>
      </c>
      <c r="H1141" s="11" t="inlineStr"/>
      <c r="I1141" s="37" t="inlineStr">
        <is>
          <t>10+</t>
        </is>
      </c>
      <c r="J1141" s="11">
        <f>IFERROR(INDEX('Уроки'!$H:$H,MATCH(F1141,'Уроки'!$A:$A,0)),"")</f>
        <v/>
      </c>
      <c r="K1141" s="11">
        <f>IFERROR(INDEX('Уроки'!$J:$J,MATCH(F1141,'Уроки'!$A:$A,0)),"")</f>
        <v/>
      </c>
      <c r="L1141" s="11" t="inlineStr">
        <is>
          <t>Spotlight / 9 класс / Module 7 · Staying safe / Conditionals (Type 1) / Conditionals Type 1: запятая, если if-часть впереди</t>
        </is>
      </c>
    </row>
    <row r="1142">
      <c r="A1142" s="37" t="n">
        <v>9</v>
      </c>
      <c r="B1142" s="11" t="inlineStr">
        <is>
          <t>Module 7 · Staying safe</t>
        </is>
      </c>
      <c r="C1142" s="11" t="inlineStr">
        <is>
          <t>7c</t>
        </is>
      </c>
      <c r="D1142" s="11" t="inlineStr">
        <is>
          <t>Conditionals (Type 1)</t>
        </is>
      </c>
      <c r="E1142" s="35" t="inlineStr">
        <is>
          <t>Conditionals Type 1: unless = if not</t>
        </is>
      </c>
      <c r="F1142" s="11" t="inlineStr">
        <is>
          <t>Ст-213</t>
        </is>
      </c>
      <c r="G1142" s="37" t="inlineStr">
        <is>
          <t>повторение</t>
        </is>
      </c>
      <c r="H1142" s="11" t="inlineStr"/>
      <c r="I1142" s="37" t="inlineStr">
        <is>
          <t>10+</t>
        </is>
      </c>
      <c r="J1142" s="11">
        <f>IFERROR(INDEX('Уроки'!$H:$H,MATCH(F1142,'Уроки'!$A:$A,0)),"")</f>
        <v/>
      </c>
      <c r="K1142" s="11">
        <f>IFERROR(INDEX('Уроки'!$J:$J,MATCH(F1142,'Уроки'!$A:$A,0)),"")</f>
        <v/>
      </c>
      <c r="L1142" s="11" t="inlineStr">
        <is>
          <t>Spotlight / 9 класс / Module 7 · Staying safe / Conditionals (Type 1) / Conditionals Type 1: unless = if not</t>
        </is>
      </c>
    </row>
    <row r="1143">
      <c r="A1143" s="37" t="n">
        <v>9</v>
      </c>
      <c r="B1143" s="11" t="inlineStr">
        <is>
          <t>Module 7 · Staying safe</t>
        </is>
      </c>
      <c r="C1143" s="11" t="inlineStr">
        <is>
          <t>7c</t>
        </is>
      </c>
      <c r="D1143" s="11" t="inlineStr">
        <is>
          <t>Conditionals (Type 2)</t>
        </is>
      </c>
      <c r="E1143" s="34" t="inlineStr">
        <is>
          <t>Conditionals Type 2: форма If + Past Simple — would/could/might + V</t>
        </is>
      </c>
      <c r="F1143" s="11" t="inlineStr">
        <is>
          <t>Ст-228</t>
        </is>
      </c>
      <c r="G1143" s="37" t="inlineStr">
        <is>
          <t>повторение</t>
        </is>
      </c>
      <c r="H1143" s="11" t="inlineStr"/>
      <c r="I1143" s="37" t="inlineStr">
        <is>
          <t>10+</t>
        </is>
      </c>
      <c r="J1143" s="11">
        <f>IFERROR(INDEX('Уроки'!$H:$H,MATCH(F1143,'Уроки'!$A:$A,0)),"")</f>
        <v/>
      </c>
      <c r="K1143" s="11">
        <f>IFERROR(INDEX('Уроки'!$J:$J,MATCH(F1143,'Уроки'!$A:$A,0)),"")</f>
        <v/>
      </c>
      <c r="L1143" s="11" t="inlineStr">
        <is>
          <t>Spotlight / 9 класс / Module 7 · Staying safe / Conditionals (Type 2) / Conditionals Type 2: форма If + Past Simple — would/could/might + V</t>
        </is>
      </c>
    </row>
    <row r="1144">
      <c r="A1144" s="37" t="n">
        <v>9</v>
      </c>
      <c r="B1144" s="11" t="inlineStr">
        <is>
          <t>Module 7 · Staying safe</t>
        </is>
      </c>
      <c r="C1144" s="11" t="inlineStr">
        <is>
          <t>7c</t>
        </is>
      </c>
      <c r="D1144" s="11" t="inlineStr">
        <is>
          <t>Conditionals (Type 2)</t>
        </is>
      </c>
      <c r="E1144" s="35" t="inlineStr">
        <is>
          <t>Conditionals Type 2: If + Past Continuous</t>
        </is>
      </c>
      <c r="F1144" s="11" t="inlineStr">
        <is>
          <t>Ст-229</t>
        </is>
      </c>
      <c r="G1144" s="37" t="inlineStr">
        <is>
          <t>повторение</t>
        </is>
      </c>
      <c r="H1144" s="11" t="inlineStr">
        <is>
          <t>If Paul was not working today…</t>
        </is>
      </c>
      <c r="I1144" s="37" t="inlineStr">
        <is>
          <t>10+</t>
        </is>
      </c>
      <c r="J1144" s="11">
        <f>IFERROR(INDEX('Уроки'!$H:$H,MATCH(F1144,'Уроки'!$A:$A,0)),"")</f>
        <v/>
      </c>
      <c r="K1144" s="11">
        <f>IFERROR(INDEX('Уроки'!$J:$J,MATCH(F1144,'Уроки'!$A:$A,0)),"")</f>
        <v/>
      </c>
      <c r="L1144" s="11" t="inlineStr">
        <is>
          <t>Spotlight / 9 класс / Module 7 · Staying safe / Conditionals (Type 2) / Conditionals Type 2: If + Past Continuous</t>
        </is>
      </c>
    </row>
    <row r="1145">
      <c r="A1145" s="37" t="n">
        <v>9</v>
      </c>
      <c r="B1145" s="11" t="inlineStr">
        <is>
          <t>Module 7 · Staying safe</t>
        </is>
      </c>
      <c r="C1145" s="11" t="inlineStr">
        <is>
          <t>7c</t>
        </is>
      </c>
      <c r="D1145" s="11" t="inlineStr">
        <is>
          <t>Conditionals (Type 2)</t>
        </is>
      </c>
      <c r="E1145" s="34" t="inlineStr">
        <is>
          <t>Conditionals Type 2: значение — воображаемая/маловероятная ситуация в настоящем/будущем</t>
        </is>
      </c>
      <c r="F1145" s="11" t="inlineStr">
        <is>
          <t>Ст-230</t>
        </is>
      </c>
      <c r="G1145" s="37" t="inlineStr">
        <is>
          <t>повторение</t>
        </is>
      </c>
      <c r="H1145" s="11" t="inlineStr"/>
      <c r="I1145" s="37" t="inlineStr">
        <is>
          <t>10+</t>
        </is>
      </c>
      <c r="J1145" s="11">
        <f>IFERROR(INDEX('Уроки'!$H:$H,MATCH(F1145,'Уроки'!$A:$A,0)),"")</f>
        <v/>
      </c>
      <c r="K1145" s="11">
        <f>IFERROR(INDEX('Уроки'!$J:$J,MATCH(F1145,'Уроки'!$A:$A,0)),"")</f>
        <v/>
      </c>
      <c r="L1145" s="11" t="inlineStr">
        <is>
          <t>Spotlight / 9 класс / Module 7 · Staying safe / Conditionals (Type 2) / Conditionals Type 2: значение — воображаемая/маловероятная ситуация в настоящем/будущем</t>
        </is>
      </c>
    </row>
    <row r="1146">
      <c r="A1146" s="37" t="n">
        <v>9</v>
      </c>
      <c r="B1146" s="11" t="inlineStr">
        <is>
          <t>Module 7 · Staying safe</t>
        </is>
      </c>
      <c r="C1146" s="11" t="inlineStr">
        <is>
          <t>7c</t>
        </is>
      </c>
      <c r="D1146" s="11" t="inlineStr">
        <is>
          <t>Conditionals (Type 2)</t>
        </is>
      </c>
      <c r="E1146" s="35" t="inlineStr">
        <is>
          <t>Conditionals Type 2: were/was для I, he, she, it</t>
        </is>
      </c>
      <c r="F1146" s="11" t="inlineStr">
        <is>
          <t>Ст-231</t>
        </is>
      </c>
      <c r="G1146" s="41" t="inlineStr">
        <is>
          <t>расширение</t>
        </is>
      </c>
      <c r="H1146" s="11" t="inlineStr">
        <is>
          <t>в официальной речи were во всех лицах</t>
        </is>
      </c>
      <c r="I1146" s="37" t="inlineStr">
        <is>
          <t>10+</t>
        </is>
      </c>
      <c r="J1146" s="11">
        <f>IFERROR(INDEX('Уроки'!$H:$H,MATCH(F1146,'Уроки'!$A:$A,0)),"")</f>
        <v/>
      </c>
      <c r="K1146" s="11">
        <f>IFERROR(INDEX('Уроки'!$J:$J,MATCH(F1146,'Уроки'!$A:$A,0)),"")</f>
        <v/>
      </c>
      <c r="L1146" s="11" t="inlineStr">
        <is>
          <t>Spotlight / 9 класс / Module 7 · Staying safe / Conditionals (Type 2) / Conditionals Type 2: were/was для I, he, she, it</t>
        </is>
      </c>
    </row>
    <row r="1147">
      <c r="A1147" s="37" t="n">
        <v>9</v>
      </c>
      <c r="B1147" s="11" t="inlineStr">
        <is>
          <t>Module 7 · Staying safe</t>
        </is>
      </c>
      <c r="C1147" s="11" t="inlineStr">
        <is>
          <t>7c</t>
        </is>
      </c>
      <c r="D1147" s="11" t="inlineStr">
        <is>
          <t>Conditionals (Type 2)</t>
        </is>
      </c>
      <c r="E1147" s="35" t="inlineStr">
        <is>
          <t>Conditionals Type 2: If I were you — совет</t>
        </is>
      </c>
      <c r="F1147" s="11" t="inlineStr">
        <is>
          <t>Ст-232</t>
        </is>
      </c>
      <c r="G1147" s="37" t="inlineStr">
        <is>
          <t>повторение</t>
        </is>
      </c>
      <c r="H1147" s="11" t="inlineStr"/>
      <c r="I1147" s="37" t="inlineStr">
        <is>
          <t>10+</t>
        </is>
      </c>
      <c r="J1147" s="11">
        <f>IFERROR(INDEX('Уроки'!$H:$H,MATCH(F1147,'Уроки'!$A:$A,0)),"")</f>
        <v/>
      </c>
      <c r="K1147" s="11">
        <f>IFERROR(INDEX('Уроки'!$J:$J,MATCH(F1147,'Уроки'!$A:$A,0)),"")</f>
        <v/>
      </c>
      <c r="L1147" s="11" t="inlineStr">
        <is>
          <t>Spotlight / 9 класс / Module 7 · Staying safe / Conditionals (Type 2) / Conditionals Type 2: If I were you — совет</t>
        </is>
      </c>
    </row>
    <row r="1148">
      <c r="A1148" s="37" t="n">
        <v>9</v>
      </c>
      <c r="B1148" s="11" t="inlineStr">
        <is>
          <t>Module 7 · Staying safe</t>
        </is>
      </c>
      <c r="C1148" s="11" t="inlineStr">
        <is>
          <t>7c</t>
        </is>
      </c>
      <c r="D1148" s="11" t="inlineStr">
        <is>
          <t>Conditionals (Type 3)</t>
        </is>
      </c>
      <c r="E1148" s="34" t="inlineStr">
        <is>
          <t>Conditionals Type 3: форма If + Past Perfect — would/could/might have + V3</t>
        </is>
      </c>
      <c r="F1148" s="11" t="inlineStr">
        <is>
          <t>Ст-233</t>
        </is>
      </c>
      <c r="G1148" s="37" t="inlineStr">
        <is>
          <t>повторение</t>
        </is>
      </c>
      <c r="H1148" s="11" t="inlineStr"/>
      <c r="I1148" s="37" t="inlineStr">
        <is>
          <t>10+</t>
        </is>
      </c>
      <c r="J1148" s="11">
        <f>IFERROR(INDEX('Уроки'!$H:$H,MATCH(F1148,'Уроки'!$A:$A,0)),"")</f>
        <v/>
      </c>
      <c r="K1148" s="11">
        <f>IFERROR(INDEX('Уроки'!$J:$J,MATCH(F1148,'Уроки'!$A:$A,0)),"")</f>
        <v/>
      </c>
      <c r="L1148" s="11" t="inlineStr">
        <is>
          <t>Spotlight / 9 класс / Module 7 · Staying safe / Conditionals (Type 3) / Conditionals Type 3: форма If + Past Perfect — would/could/might have + V3</t>
        </is>
      </c>
    </row>
    <row r="1149">
      <c r="A1149" s="37" t="n">
        <v>9</v>
      </c>
      <c r="B1149" s="11" t="inlineStr">
        <is>
          <t>Module 7 · Staying safe</t>
        </is>
      </c>
      <c r="C1149" s="11" t="inlineStr">
        <is>
          <t>7c</t>
        </is>
      </c>
      <c r="D1149" s="11" t="inlineStr">
        <is>
          <t>Conditionals (Type 3)</t>
        </is>
      </c>
      <c r="E1149" s="35" t="inlineStr">
        <is>
          <t>Conditionals Type 3: If + Past Perfect Continuous</t>
        </is>
      </c>
      <c r="F1149" s="11" t="inlineStr">
        <is>
          <t>Ст-234</t>
        </is>
      </c>
      <c r="G1149" s="37" t="inlineStr">
        <is>
          <t>повторение</t>
        </is>
      </c>
      <c r="H1149" s="11" t="inlineStr">
        <is>
          <t>If he hadn't been studying that hard…</t>
        </is>
      </c>
      <c r="I1149" s="37" t="inlineStr">
        <is>
          <t>10+</t>
        </is>
      </c>
      <c r="J1149" s="11">
        <f>IFERROR(INDEX('Уроки'!$H:$H,MATCH(F1149,'Уроки'!$A:$A,0)),"")</f>
        <v/>
      </c>
      <c r="K1149" s="11">
        <f>IFERROR(INDEX('Уроки'!$J:$J,MATCH(F1149,'Уроки'!$A:$A,0)),"")</f>
        <v/>
      </c>
      <c r="L1149" s="11" t="inlineStr">
        <is>
          <t>Spotlight / 9 класс / Module 7 · Staying safe / Conditionals (Type 3) / Conditionals Type 3: If + Past Perfect Continuous</t>
        </is>
      </c>
    </row>
    <row r="1150">
      <c r="A1150" s="37" t="n">
        <v>9</v>
      </c>
      <c r="B1150" s="11" t="inlineStr">
        <is>
          <t>Module 7 · Staying safe</t>
        </is>
      </c>
      <c r="C1150" s="11" t="inlineStr">
        <is>
          <t>7c</t>
        </is>
      </c>
      <c r="D1150" s="11" t="inlineStr">
        <is>
          <t>Conditionals (Type 3)</t>
        </is>
      </c>
      <c r="E1150" s="34" t="inlineStr">
        <is>
          <t>Conditionals Type 3: значение — нереальная ситуация в прошлом</t>
        </is>
      </c>
      <c r="F1150" s="11" t="inlineStr">
        <is>
          <t>Ст-235</t>
        </is>
      </c>
      <c r="G1150" s="37" t="inlineStr">
        <is>
          <t>повторение</t>
        </is>
      </c>
      <c r="H1150" s="11" t="inlineStr"/>
      <c r="I1150" s="37" t="inlineStr">
        <is>
          <t>10+</t>
        </is>
      </c>
      <c r="J1150" s="11">
        <f>IFERROR(INDEX('Уроки'!$H:$H,MATCH(F1150,'Уроки'!$A:$A,0)),"")</f>
        <v/>
      </c>
      <c r="K1150" s="11">
        <f>IFERROR(INDEX('Уроки'!$J:$J,MATCH(F1150,'Уроки'!$A:$A,0)),"")</f>
        <v/>
      </c>
      <c r="L1150" s="11" t="inlineStr">
        <is>
          <t>Spotlight / 9 класс / Module 7 · Staying safe / Conditionals (Type 3) / Conditionals Type 3: значение — нереальная ситуация в прошлом</t>
        </is>
      </c>
    </row>
    <row r="1151">
      <c r="A1151" s="37" t="n">
        <v>9</v>
      </c>
      <c r="B1151" s="11" t="inlineStr">
        <is>
          <t>Module 7 · Staying safe</t>
        </is>
      </c>
      <c r="C1151" s="11" t="inlineStr">
        <is>
          <t>7c</t>
        </is>
      </c>
      <c r="D1151" s="11" t="inlineStr">
        <is>
          <t>Conditionals (Type 3)</t>
        </is>
      </c>
      <c r="E1151" s="34" t="inlineStr">
        <is>
          <t>Conditionals Type 3: значение — сожаление, критика</t>
        </is>
      </c>
      <c r="F1151" s="11" t="inlineStr">
        <is>
          <t>Ст-236</t>
        </is>
      </c>
      <c r="G1151" s="37" t="inlineStr">
        <is>
          <t>повторение</t>
        </is>
      </c>
      <c r="H1151" s="11" t="inlineStr"/>
      <c r="I1151" s="37" t="inlineStr">
        <is>
          <t>10+</t>
        </is>
      </c>
      <c r="J1151" s="11">
        <f>IFERROR(INDEX('Уроки'!$H:$H,MATCH(F1151,'Уроки'!$A:$A,0)),"")</f>
        <v/>
      </c>
      <c r="K1151" s="11">
        <f>IFERROR(INDEX('Уроки'!$J:$J,MATCH(F1151,'Уроки'!$A:$A,0)),"")</f>
        <v/>
      </c>
      <c r="L1151" s="11" t="inlineStr">
        <is>
          <t>Spotlight / 9 класс / Module 7 · Staying safe / Conditionals (Type 3) / Conditionals Type 3: значение — сожаление, критика</t>
        </is>
      </c>
    </row>
    <row r="1152">
      <c r="A1152" s="37" t="n">
        <v>9</v>
      </c>
      <c r="B1152" s="11" t="inlineStr">
        <is>
          <t>Module 7 · Staying safe</t>
        </is>
      </c>
      <c r="C1152" s="11" t="inlineStr">
        <is>
          <t>7c</t>
        </is>
      </c>
      <c r="D1152" s="11" t="inlineStr">
        <is>
          <t>Wishes (I wish / If only)</t>
        </is>
      </c>
      <c r="E1152" s="35" t="inlineStr">
        <is>
          <t>Wishes: I wish / If only + Past Simple/Continuous — желание изменить настоящее</t>
        </is>
      </c>
      <c r="F1152" s="11" t="inlineStr">
        <is>
          <t>Ст-316</t>
        </is>
      </c>
      <c r="G1152" s="40" t="inlineStr">
        <is>
          <t>новое</t>
        </is>
      </c>
      <c r="H1152" s="11" t="inlineStr"/>
      <c r="I1152" s="37" t="inlineStr">
        <is>
          <t>10+</t>
        </is>
      </c>
      <c r="J1152" s="11">
        <f>IFERROR(INDEX('Уроки'!$H:$H,MATCH(F1152,'Уроки'!$A:$A,0)),"")</f>
        <v/>
      </c>
      <c r="K1152" s="11">
        <f>IFERROR(INDEX('Уроки'!$J:$J,MATCH(F1152,'Уроки'!$A:$A,0)),"")</f>
        <v/>
      </c>
      <c r="L1152" s="11" t="inlineStr">
        <is>
          <t>Spotlight / 9 класс / Module 7 · Staying safe / Wishes (I wish / If only) / Wishes: I wish / If only + Past Simple/Continuous — желание изменить настоящее</t>
        </is>
      </c>
    </row>
    <row r="1153">
      <c r="A1153" s="37" t="n">
        <v>9</v>
      </c>
      <c r="B1153" s="11" t="inlineStr">
        <is>
          <t>Module 7 · Staying safe</t>
        </is>
      </c>
      <c r="C1153" s="11" t="inlineStr">
        <is>
          <t>7c</t>
        </is>
      </c>
      <c r="D1153" s="11" t="inlineStr">
        <is>
          <t>Wishes (I wish / If only)</t>
        </is>
      </c>
      <c r="E1153" s="35" t="inlineStr">
        <is>
          <t>Wishes: I wish / If only + Past Perfect — сожаление о прошлом</t>
        </is>
      </c>
      <c r="F1153" s="11" t="inlineStr">
        <is>
          <t>Ст-317</t>
        </is>
      </c>
      <c r="G1153" s="40" t="inlineStr">
        <is>
          <t>новое</t>
        </is>
      </c>
      <c r="H1153" s="11" t="inlineStr"/>
      <c r="I1153" s="37" t="inlineStr">
        <is>
          <t>10+</t>
        </is>
      </c>
      <c r="J1153" s="11">
        <f>IFERROR(INDEX('Уроки'!$H:$H,MATCH(F1153,'Уроки'!$A:$A,0)),"")</f>
        <v/>
      </c>
      <c r="K1153" s="11">
        <f>IFERROR(INDEX('Уроки'!$J:$J,MATCH(F1153,'Уроки'!$A:$A,0)),"")</f>
        <v/>
      </c>
      <c r="L1153" s="11" t="inlineStr">
        <is>
          <t>Spotlight / 9 класс / Module 7 · Staying safe / Wishes (I wish / If only) / Wishes: I wish / If only + Past Perfect — сожаление о прошлом</t>
        </is>
      </c>
    </row>
    <row r="1154">
      <c r="A1154" s="37" t="n">
        <v>9</v>
      </c>
      <c r="B1154" s="11" t="inlineStr">
        <is>
          <t>Module 7 · Staying safe</t>
        </is>
      </c>
      <c r="C1154" s="11" t="inlineStr">
        <is>
          <t>7c</t>
        </is>
      </c>
      <c r="D1154" s="11" t="inlineStr">
        <is>
          <t>Wishes (I wish / If only)</t>
        </is>
      </c>
      <c r="E1154" s="35" t="inlineStr">
        <is>
          <t>Wishes: I wish / If only + would + V — раздражение, просьба изменить поведение</t>
        </is>
      </c>
      <c r="F1154" s="11" t="inlineStr">
        <is>
          <t>Ст-318</t>
        </is>
      </c>
      <c r="G1154" s="40" t="inlineStr">
        <is>
          <t>новое</t>
        </is>
      </c>
      <c r="H1154" s="11" t="inlineStr"/>
      <c r="I1154" s="37" t="inlineStr">
        <is>
          <t>10+</t>
        </is>
      </c>
      <c r="J1154" s="11">
        <f>IFERROR(INDEX('Уроки'!$H:$H,MATCH(F1154,'Уроки'!$A:$A,0)),"")</f>
        <v/>
      </c>
      <c r="K1154" s="11">
        <f>IFERROR(INDEX('Уроки'!$J:$J,MATCH(F1154,'Уроки'!$A:$A,0)),"")</f>
        <v/>
      </c>
      <c r="L1154" s="11" t="inlineStr">
        <is>
          <t>Spotlight / 9 класс / Module 7 · Staying safe / Wishes (I wish / If only) / Wishes: I wish / If only + would + V — раздражение, просьба изменить поведение</t>
        </is>
      </c>
    </row>
    <row r="1155">
      <c r="A1155" s="37" t="n">
        <v>9</v>
      </c>
      <c r="B1155" s="11" t="inlineStr">
        <is>
          <t>Module 7 · Staying safe</t>
        </is>
      </c>
      <c r="C1155" s="11" t="inlineStr">
        <is>
          <t>7c</t>
        </is>
      </c>
      <c r="D1155" s="11" t="inlineStr">
        <is>
          <t>Wishes (I wish / If only)</t>
        </is>
      </c>
      <c r="E1155" s="35" t="inlineStr">
        <is>
          <t>Wishes: were вместо was</t>
        </is>
      </c>
      <c r="F1155" s="11" t="inlineStr">
        <is>
          <t>Ст-319</t>
        </is>
      </c>
      <c r="G1155" s="40" t="inlineStr">
        <is>
          <t>новое</t>
        </is>
      </c>
      <c r="H1155" s="11" t="inlineStr"/>
      <c r="I1155" s="37" t="inlineStr">
        <is>
          <t>10+</t>
        </is>
      </c>
      <c r="J1155" s="11">
        <f>IFERROR(INDEX('Уроки'!$H:$H,MATCH(F1155,'Уроки'!$A:$A,0)),"")</f>
        <v/>
      </c>
      <c r="K1155" s="11">
        <f>IFERROR(INDEX('Уроки'!$J:$J,MATCH(F1155,'Уроки'!$A:$A,0)),"")</f>
        <v/>
      </c>
      <c r="L1155" s="11" t="inlineStr">
        <is>
          <t>Spotlight / 9 класс / Module 7 · Staying safe / Wishes (I wish / If only) / Wishes: were вместо was</t>
        </is>
      </c>
    </row>
    <row r="1156">
      <c r="A1156" s="37" t="n">
        <v>9</v>
      </c>
      <c r="B1156" s="11" t="inlineStr">
        <is>
          <t>Module 7 · Staying safe</t>
        </is>
      </c>
      <c r="C1156" s="11" t="inlineStr">
        <is>
          <t>7c</t>
        </is>
      </c>
      <c r="D1156" s="11" t="inlineStr">
        <is>
          <t>Wishes (I wish / If only)</t>
        </is>
      </c>
      <c r="E1156" s="35" t="inlineStr">
        <is>
          <t>Wishes: If only vs I wish — эмоциональность</t>
        </is>
      </c>
      <c r="F1156" s="11" t="inlineStr">
        <is>
          <t>Ст-320</t>
        </is>
      </c>
      <c r="G1156" s="40" t="inlineStr">
        <is>
          <t>новое</t>
        </is>
      </c>
      <c r="H1156" s="11" t="inlineStr"/>
      <c r="I1156" s="37" t="inlineStr">
        <is>
          <t>10+</t>
        </is>
      </c>
      <c r="J1156" s="11">
        <f>IFERROR(INDEX('Уроки'!$H:$H,MATCH(F1156,'Уроки'!$A:$A,0)),"")</f>
        <v/>
      </c>
      <c r="K1156" s="11">
        <f>IFERROR(INDEX('Уроки'!$J:$J,MATCH(F1156,'Уроки'!$A:$A,0)),"")</f>
        <v/>
      </c>
      <c r="L1156" s="11" t="inlineStr">
        <is>
          <t>Spotlight / 9 класс / Module 7 · Staying safe / Wishes (I wish / If only) / Wishes: If only vs I wish — эмоциональность</t>
        </is>
      </c>
    </row>
    <row r="1157">
      <c r="A1157" s="37" t="n">
        <v>9</v>
      </c>
      <c r="B1157" s="11" t="inlineStr">
        <is>
          <t>Module 7 · Staying safe</t>
        </is>
      </c>
      <c r="C1157" s="11" t="inlineStr">
        <is>
          <t>7c</t>
        </is>
      </c>
      <c r="D1157" s="11" t="inlineStr">
        <is>
          <t>Conditional linkers (unless, provided…)</t>
        </is>
      </c>
      <c r="E1157" s="35" t="inlineStr">
        <is>
          <t>Conditional linkers: unless, provided/providing (that), as long as, on condition (that)</t>
        </is>
      </c>
      <c r="F1157" s="11" t="inlineStr">
        <is>
          <t>Ст-559</t>
        </is>
      </c>
      <c r="G1157" s="40" t="inlineStr">
        <is>
          <t>новое</t>
        </is>
      </c>
      <c r="H1157" s="11" t="inlineStr"/>
      <c r="I1157" s="37" t="inlineStr">
        <is>
          <t>10+</t>
        </is>
      </c>
      <c r="J1157" s="11">
        <f>IFERROR(INDEX('Уроки'!$H:$H,MATCH(F1157,'Уроки'!$A:$A,0)),"")</f>
        <v/>
      </c>
      <c r="K1157" s="11">
        <f>IFERROR(INDEX('Уроки'!$J:$J,MATCH(F1157,'Уроки'!$A:$A,0)),"")</f>
        <v/>
      </c>
      <c r="L1157" s="11" t="inlineStr">
        <is>
          <t>Spotlight / 9 класс / Module 7 · Staying safe / Conditional linkers (unless, provided…) / Conditional linkers: unless, provided/providing (that), as long as, on condition (that)</t>
        </is>
      </c>
    </row>
    <row r="1158">
      <c r="A1158" s="37" t="n">
        <v>9</v>
      </c>
      <c r="B1158" s="11" t="inlineStr">
        <is>
          <t>Module 7 · Staying safe</t>
        </is>
      </c>
      <c r="C1158" s="11" t="inlineStr">
        <is>
          <t>7c</t>
        </is>
      </c>
      <c r="D1158" s="11" t="inlineStr">
        <is>
          <t>Conditional linkers (unless, provided…)</t>
        </is>
      </c>
      <c r="E1158" s="35" t="inlineStr">
        <is>
          <t>Conditional linkers: but for, otherwise, or else</t>
        </is>
      </c>
      <c r="F1158" s="11" t="inlineStr">
        <is>
          <t>Ст-560</t>
        </is>
      </c>
      <c r="G1158" s="40" t="inlineStr">
        <is>
          <t>новое</t>
        </is>
      </c>
      <c r="H1158" s="11" t="inlineStr">
        <is>
          <t>but for + -ing/noun</t>
        </is>
      </c>
      <c r="I1158" s="37" t="inlineStr">
        <is>
          <t>10+</t>
        </is>
      </c>
      <c r="J1158" s="11">
        <f>IFERROR(INDEX('Уроки'!$H:$H,MATCH(F1158,'Уроки'!$A:$A,0)),"")</f>
        <v/>
      </c>
      <c r="K1158" s="11">
        <f>IFERROR(INDEX('Уроки'!$J:$J,MATCH(F1158,'Уроки'!$A:$A,0)),"")</f>
        <v/>
      </c>
      <c r="L1158" s="11" t="inlineStr">
        <is>
          <t>Spotlight / 9 класс / Module 7 · Staying safe / Conditional linkers (unless, provided…) / Conditional linkers: but for, otherwise, or else</t>
        </is>
      </c>
    </row>
    <row r="1159">
      <c r="A1159" s="37" t="n">
        <v>9</v>
      </c>
      <c r="B1159" s="11" t="inlineStr">
        <is>
          <t>Module 7 · Staying safe</t>
        </is>
      </c>
      <c r="C1159" s="11" t="inlineStr">
        <is>
          <t>7c</t>
        </is>
      </c>
      <c r="D1159" s="11" t="inlineStr">
        <is>
          <t>Conditional linkers (unless, provided…)</t>
        </is>
      </c>
      <c r="E1159" s="35" t="inlineStr">
        <is>
          <t>Conditional linkers: what if, supposing, even if</t>
        </is>
      </c>
      <c r="F1159" s="11" t="inlineStr">
        <is>
          <t>Ст-561</t>
        </is>
      </c>
      <c r="G1159" s="40" t="inlineStr">
        <is>
          <t>новое</t>
        </is>
      </c>
      <c r="H1159" s="11" t="inlineStr"/>
      <c r="I1159" s="37" t="inlineStr">
        <is>
          <t>10+</t>
        </is>
      </c>
      <c r="J1159" s="11">
        <f>IFERROR(INDEX('Уроки'!$H:$H,MATCH(F1159,'Уроки'!$A:$A,0)),"")</f>
        <v/>
      </c>
      <c r="K1159" s="11">
        <f>IFERROR(INDEX('Уроки'!$J:$J,MATCH(F1159,'Уроки'!$A:$A,0)),"")</f>
        <v/>
      </c>
      <c r="L1159" s="11" t="inlineStr">
        <is>
          <t>Spotlight / 9 класс / Module 7 · Staying safe / Conditional linkers (unless, provided…) / Conditional linkers: what if, supposing, even if</t>
        </is>
      </c>
    </row>
    <row r="1160">
      <c r="A1160" s="37" t="n">
        <v>9</v>
      </c>
      <c r="B1160" s="11" t="inlineStr">
        <is>
          <t>Module 7 · Staying safe</t>
        </is>
      </c>
      <c r="C1160" s="11" t="inlineStr">
        <is>
          <t>7c</t>
        </is>
      </c>
      <c r="D1160" s="11" t="inlineStr">
        <is>
          <t>Conditional linkers (unless, provided…)</t>
        </is>
      </c>
      <c r="E1160" s="35" t="inlineStr">
        <is>
          <t>Conditional linkers: only if (+ инверсия в главном предложении)</t>
        </is>
      </c>
      <c r="F1160" s="11" t="inlineStr">
        <is>
          <t>Ст-562</t>
        </is>
      </c>
      <c r="G1160" s="40" t="inlineStr">
        <is>
          <t>новое</t>
        </is>
      </c>
      <c r="H1160" s="11" t="inlineStr">
        <is>
          <t>Only if…, will you…</t>
        </is>
      </c>
      <c r="I1160" s="37" t="inlineStr">
        <is>
          <t>10+</t>
        </is>
      </c>
      <c r="J1160" s="11">
        <f>IFERROR(INDEX('Уроки'!$H:$H,MATCH(F1160,'Уроки'!$A:$A,0)),"")</f>
        <v/>
      </c>
      <c r="K1160" s="11">
        <f>IFERROR(INDEX('Уроки'!$J:$J,MATCH(F1160,'Уроки'!$A:$A,0)),"")</f>
        <v/>
      </c>
      <c r="L1160" s="11" t="inlineStr">
        <is>
          <t>Spotlight / 9 класс / Module 7 · Staying safe / Conditional linkers (unless, provided…) / Conditional linkers: only if (+ инверсия в главном предложении)</t>
        </is>
      </c>
    </row>
    <row r="1161">
      <c r="A1161" s="37" t="n">
        <v>9</v>
      </c>
      <c r="B1161" s="11" t="inlineStr">
        <is>
          <t>Module 7 · Staying safe</t>
        </is>
      </c>
      <c r="C1161" s="11" t="inlineStr">
        <is>
          <t>7c</t>
        </is>
      </c>
      <c r="D1161" s="11" t="inlineStr">
        <is>
          <t>Conditional linkers (unless, provided…)</t>
        </is>
      </c>
      <c r="E1161" s="35" t="inlineStr">
        <is>
          <t>Conditional linkers: will/would/should в if-части (просьба, раздражение, сомнение)</t>
        </is>
      </c>
      <c r="F1161" s="11" t="inlineStr">
        <is>
          <t>Ст-563</t>
        </is>
      </c>
      <c r="G1161" s="40" t="inlineStr">
        <is>
          <t>новое</t>
        </is>
      </c>
      <c r="H1161" s="11" t="inlineStr">
        <is>
          <t>If she should need help…</t>
        </is>
      </c>
      <c r="I1161" s="37" t="inlineStr">
        <is>
          <t>10+</t>
        </is>
      </c>
      <c r="J1161" s="11">
        <f>IFERROR(INDEX('Уроки'!$H:$H,MATCH(F1161,'Уроки'!$A:$A,0)),"")</f>
        <v/>
      </c>
      <c r="K1161" s="11">
        <f>IFERROR(INDEX('Уроки'!$J:$J,MATCH(F1161,'Уроки'!$A:$A,0)),"")</f>
        <v/>
      </c>
      <c r="L1161" s="11" t="inlineStr">
        <is>
          <t>Spotlight / 9 класс / Module 7 · Staying safe / Conditional linkers (unless, provided…) / Conditional linkers: will/would/should в if-части (просьба, раздражение, сомнение)</t>
        </is>
      </c>
    </row>
    <row r="1162">
      <c r="A1162" s="37" t="n">
        <v>9</v>
      </c>
      <c r="B1162" s="11" t="inlineStr">
        <is>
          <t>Module 7 · Staying safe</t>
        </is>
      </c>
      <c r="C1162" s="11" t="inlineStr">
        <is>
          <t>7c</t>
        </is>
      </c>
      <c r="D1162" s="11" t="inlineStr">
        <is>
          <t>Inversion</t>
        </is>
      </c>
      <c r="E1162" s="35" t="inlineStr">
        <is>
          <t>Inversion: условные без if — Should/Were/Had + подлежащее</t>
        </is>
      </c>
      <c r="F1162" s="11" t="inlineStr">
        <is>
          <t>Ст-568</t>
        </is>
      </c>
      <c r="G1162" s="40" t="inlineStr">
        <is>
          <t>новое</t>
        </is>
      </c>
      <c r="H1162" s="11" t="inlineStr">
        <is>
          <t>Should he pass… / Were there… / Had I known…; дано в разделе условных</t>
        </is>
      </c>
      <c r="I1162" s="37" t="inlineStr">
        <is>
          <t>10+</t>
        </is>
      </c>
      <c r="J1162" s="11">
        <f>IFERROR(INDEX('Уроки'!$H:$H,MATCH(F1162,'Уроки'!$A:$A,0)),"")</f>
        <v/>
      </c>
      <c r="K1162" s="11">
        <f>IFERROR(INDEX('Уроки'!$J:$J,MATCH(F1162,'Уроки'!$A:$A,0)),"")</f>
        <v/>
      </c>
      <c r="L1162" s="11" t="inlineStr">
        <is>
          <t>Spotlight / 9 класс / Module 7 · Staying safe / Inversion / Inversion: условные без if — Should/Were/Had + подлежащее</t>
        </is>
      </c>
    </row>
    <row r="1163">
      <c r="A1163" s="37" t="n">
        <v>9</v>
      </c>
      <c r="B1163" s="11" t="inlineStr">
        <is>
          <t>Module 7 · Staying safe</t>
        </is>
      </c>
      <c r="C1163" s="11" t="inlineStr">
        <is>
          <t>7f</t>
        </is>
      </c>
      <c r="D1163" s="11" t="inlineStr">
        <is>
          <t>Phrasal verbs</t>
        </is>
      </c>
      <c r="E1163" s="35" t="inlineStr">
        <is>
          <t>Phrasal verbs: keep</t>
        </is>
      </c>
      <c r="F1163" s="11" t="inlineStr">
        <is>
          <t>Ст-597</t>
        </is>
      </c>
      <c r="G1163" s="40" t="inlineStr">
        <is>
          <t>новое</t>
        </is>
      </c>
      <c r="H1163" s="11" t="inlineStr">
        <is>
          <t>keep: keep back (держаться в стороне), keep off (не приближаться), keep on (продолжать что-либо делать), keep out of (препятствовать; так в приложении), keep up with (следовать расписанию).</t>
        </is>
      </c>
      <c r="I1163" s="37" t="inlineStr">
        <is>
          <t>10+</t>
        </is>
      </c>
      <c r="J1163" s="11">
        <f>IFERROR(INDEX('Уроки'!$H:$H,MATCH(F1163,'Уроки'!$A:$A,0)),"")</f>
        <v/>
      </c>
      <c r="K1163" s="11">
        <f>IFERROR(INDEX('Уроки'!$J:$J,MATCH(F1163,'Уроки'!$A:$A,0)),"")</f>
        <v/>
      </c>
      <c r="L1163" s="11" t="inlineStr">
        <is>
          <t>Spotlight / 9 класс / Module 7 · Staying safe / Phrasal verbs / Phrasal verbs: keep</t>
        </is>
      </c>
    </row>
    <row r="1164">
      <c r="A1164" s="37" t="n">
        <v>9</v>
      </c>
      <c r="B1164" s="11" t="inlineStr">
        <is>
          <t>Module 7 · Staying safe</t>
        </is>
      </c>
      <c r="C1164" s="11" t="inlineStr">
        <is>
          <t>7f</t>
        </is>
      </c>
      <c r="D1164" s="11" t="inlineStr">
        <is>
          <t>Word formation</t>
        </is>
      </c>
      <c r="E1164" s="35" t="inlineStr">
        <is>
          <t>Word formation: verbs from nouns/adjectives</t>
        </is>
      </c>
      <c r="F1164" s="11" t="inlineStr">
        <is>
          <t>Ст-627</t>
        </is>
      </c>
      <c r="G1164" s="40" t="inlineStr">
        <is>
          <t>новое</t>
        </is>
      </c>
      <c r="H1164" s="11" t="inlineStr">
        <is>
          <t>Word formation: образование глаголов от существительных и прилагательных (forming verbs from nouns/adjectives).</t>
        </is>
      </c>
      <c r="I1164" s="37" t="inlineStr">
        <is>
          <t>10+</t>
        </is>
      </c>
      <c r="J1164" s="11">
        <f>IFERROR(INDEX('Уроки'!$H:$H,MATCH(F1164,'Уроки'!$A:$A,0)),"")</f>
        <v/>
      </c>
      <c r="K1164" s="11">
        <f>IFERROR(INDEX('Уроки'!$J:$J,MATCH(F1164,'Уроки'!$A:$A,0)),"")</f>
        <v/>
      </c>
      <c r="L1164" s="11" t="inlineStr">
        <is>
          <t>Spotlight / 9 класс / Module 7 · Staying safe / Word formation / Word formation: verbs from nouns/adjectives</t>
        </is>
      </c>
    </row>
    <row r="1165">
      <c r="A1165" s="37" t="n">
        <v>9</v>
      </c>
      <c r="B1165" s="11" t="inlineStr">
        <is>
          <t>Module 7 · Staying safe</t>
        </is>
      </c>
      <c r="C1165" s="11" t="inlineStr">
        <is>
          <t>7f</t>
        </is>
      </c>
      <c r="D1165" s="11" t="inlineStr">
        <is>
          <t>Dependent prepositions</t>
        </is>
      </c>
      <c r="E1165" s="35" t="inlineStr">
        <is>
          <t>Dependent prepositions</t>
        </is>
      </c>
      <c r="F1165" s="11" t="inlineStr">
        <is>
          <t>Ст-633</t>
        </is>
      </c>
      <c r="G1165" s="37" t="inlineStr">
        <is>
          <t>повторение</t>
        </is>
      </c>
      <c r="H1165" s="11" t="inlineStr">
        <is>
          <t>Dependent prepositions (заголовок раздела English in Use).</t>
        </is>
      </c>
      <c r="I1165" s="37" t="inlineStr">
        <is>
          <t>10+</t>
        </is>
      </c>
      <c r="J1165" s="11">
        <f>IFERROR(INDEX('Уроки'!$H:$H,MATCH(F1165,'Уроки'!$A:$A,0)),"")</f>
        <v/>
      </c>
      <c r="K1165" s="11">
        <f>IFERROR(INDEX('Уроки'!$J:$J,MATCH(F1165,'Уроки'!$A:$A,0)),"")</f>
        <v/>
      </c>
      <c r="L1165" s="11" t="inlineStr">
        <is>
          <t>Spotlight / 9 класс / Module 7 · Staying safe / Dependent prepositions / Dependent prepositions</t>
        </is>
      </c>
    </row>
    <row r="1166">
      <c r="A1166" s="37" t="n">
        <v>9</v>
      </c>
      <c r="B1166" s="11" t="inlineStr">
        <is>
          <t>Module 8 · Challenges</t>
        </is>
      </c>
      <c r="C1166" s="11" t="inlineStr">
        <is>
          <t>8c</t>
        </is>
      </c>
      <c r="D1166" s="11" t="inlineStr">
        <is>
          <t>Reported Speech: modal verbs</t>
        </is>
      </c>
      <c r="E1166" s="35" t="inlineStr">
        <is>
          <t>Reported Speech: modal verbs: will/shall → would</t>
        </is>
      </c>
      <c r="F1166" s="11" t="inlineStr">
        <is>
          <t>Ст-188</t>
        </is>
      </c>
      <c r="G1166" s="37" t="inlineStr">
        <is>
          <t>повторение</t>
        </is>
      </c>
      <c r="H1166" s="11" t="inlineStr"/>
      <c r="I1166" s="37" t="inlineStr">
        <is>
          <t>10+</t>
        </is>
      </c>
      <c r="J1166" s="11">
        <f>IFERROR(INDEX('Уроки'!$H:$H,MATCH(F1166,'Уроки'!$A:$A,0)),"")</f>
        <v/>
      </c>
      <c r="K1166" s="11">
        <f>IFERROR(INDEX('Уроки'!$J:$J,MATCH(F1166,'Уроки'!$A:$A,0)),"")</f>
        <v/>
      </c>
      <c r="L1166" s="11" t="inlineStr">
        <is>
          <t>Spotlight / 9 класс / Module 8 · Challenges / Reported Speech: modal verbs / Reported Speech: modal verbs: will/shall → would</t>
        </is>
      </c>
    </row>
    <row r="1167">
      <c r="A1167" s="37" t="n">
        <v>9</v>
      </c>
      <c r="B1167" s="11" t="inlineStr">
        <is>
          <t>Module 8 · Challenges</t>
        </is>
      </c>
      <c r="C1167" s="11" t="inlineStr">
        <is>
          <t>8c</t>
        </is>
      </c>
      <c r="D1167" s="11" t="inlineStr">
        <is>
          <t>Reported Speech: modal verbs</t>
        </is>
      </c>
      <c r="E1167" s="35" t="inlineStr">
        <is>
          <t>Reported Speech: modal verbs: can → could / would be able to</t>
        </is>
      </c>
      <c r="F1167" s="11" t="inlineStr">
        <is>
          <t>Ст-189</t>
        </is>
      </c>
      <c r="G1167" s="37" t="inlineStr">
        <is>
          <t>повторение</t>
        </is>
      </c>
      <c r="H1167" s="11" t="inlineStr"/>
      <c r="I1167" s="37" t="inlineStr">
        <is>
          <t>10+</t>
        </is>
      </c>
      <c r="J1167" s="11">
        <f>IFERROR(INDEX('Уроки'!$H:$H,MATCH(F1167,'Уроки'!$A:$A,0)),"")</f>
        <v/>
      </c>
      <c r="K1167" s="11">
        <f>IFERROR(INDEX('Уроки'!$J:$J,MATCH(F1167,'Уроки'!$A:$A,0)),"")</f>
        <v/>
      </c>
      <c r="L1167" s="11" t="inlineStr">
        <is>
          <t>Spotlight / 9 класс / Module 8 · Challenges / Reported Speech: modal verbs / Reported Speech: modal verbs: can → could / would be able to</t>
        </is>
      </c>
    </row>
    <row r="1168">
      <c r="A1168" s="37" t="n">
        <v>9</v>
      </c>
      <c r="B1168" s="11" t="inlineStr">
        <is>
          <t>Module 8 · Challenges</t>
        </is>
      </c>
      <c r="C1168" s="11" t="inlineStr">
        <is>
          <t>8c</t>
        </is>
      </c>
      <c r="D1168" s="11" t="inlineStr">
        <is>
          <t>Reported Speech: modal verbs</t>
        </is>
      </c>
      <c r="E1168" s="35" t="inlineStr">
        <is>
          <t>Reported Speech: modal verbs: may → might/could</t>
        </is>
      </c>
      <c r="F1168" s="11" t="inlineStr">
        <is>
          <t>Ст-190</t>
        </is>
      </c>
      <c r="G1168" s="37" t="inlineStr">
        <is>
          <t>повторение</t>
        </is>
      </c>
      <c r="H1168" s="11" t="inlineStr">
        <is>
          <t>may → might</t>
        </is>
      </c>
      <c r="I1168" s="37" t="inlineStr">
        <is>
          <t>10+</t>
        </is>
      </c>
      <c r="J1168" s="11">
        <f>IFERROR(INDEX('Уроки'!$H:$H,MATCH(F1168,'Уроки'!$A:$A,0)),"")</f>
        <v/>
      </c>
      <c r="K1168" s="11">
        <f>IFERROR(INDEX('Уроки'!$J:$J,MATCH(F1168,'Уроки'!$A:$A,0)),"")</f>
        <v/>
      </c>
      <c r="L1168" s="11" t="inlineStr">
        <is>
          <t>Spotlight / 9 класс / Module 8 · Challenges / Reported Speech: modal verbs / Reported Speech: modal verbs: may → might/could</t>
        </is>
      </c>
    </row>
    <row r="1169">
      <c r="A1169" s="37" t="n">
        <v>9</v>
      </c>
      <c r="B1169" s="11" t="inlineStr">
        <is>
          <t>Module 8 · Challenges</t>
        </is>
      </c>
      <c r="C1169" s="11" t="inlineStr">
        <is>
          <t>8c</t>
        </is>
      </c>
      <c r="D1169" s="11" t="inlineStr">
        <is>
          <t>Reported Speech: modal verbs</t>
        </is>
      </c>
      <c r="E1169" s="35" t="inlineStr">
        <is>
          <t>Reported Speech: modal verbs: shall → should / would / offered</t>
        </is>
      </c>
      <c r="F1169" s="11" t="inlineStr">
        <is>
          <t>Ст-191</t>
        </is>
      </c>
      <c r="G1169" s="37" t="inlineStr">
        <is>
          <t>повторение</t>
        </is>
      </c>
      <c r="H1169" s="11" t="inlineStr"/>
      <c r="I1169" s="37" t="inlineStr">
        <is>
          <t>10+</t>
        </is>
      </c>
      <c r="J1169" s="11">
        <f>IFERROR(INDEX('Уроки'!$H:$H,MATCH(F1169,'Уроки'!$A:$A,0)),"")</f>
        <v/>
      </c>
      <c r="K1169" s="11">
        <f>IFERROR(INDEX('Уроки'!$J:$J,MATCH(F1169,'Уроки'!$A:$A,0)),"")</f>
        <v/>
      </c>
      <c r="L1169" s="11" t="inlineStr">
        <is>
          <t>Spotlight / 9 класс / Module 8 · Challenges / Reported Speech: modal verbs / Reported Speech: modal verbs: shall → should / would / offered</t>
        </is>
      </c>
    </row>
    <row r="1170">
      <c r="A1170" s="37" t="n">
        <v>9</v>
      </c>
      <c r="B1170" s="11" t="inlineStr">
        <is>
          <t>Module 8 · Challenges</t>
        </is>
      </c>
      <c r="C1170" s="11" t="inlineStr">
        <is>
          <t>8c</t>
        </is>
      </c>
      <c r="D1170" s="11" t="inlineStr">
        <is>
          <t>Reported Speech: modal verbs</t>
        </is>
      </c>
      <c r="E1170" s="35" t="inlineStr">
        <is>
          <t>Reported Speech: modal verbs: must → had to (обязанность) / must (вывод)</t>
        </is>
      </c>
      <c r="F1170" s="11" t="inlineStr">
        <is>
          <t>Ст-192</t>
        </is>
      </c>
      <c r="G1170" s="37" t="inlineStr">
        <is>
          <t>повторение</t>
        </is>
      </c>
      <c r="H1170" s="11" t="inlineStr"/>
      <c r="I1170" s="37" t="inlineStr">
        <is>
          <t>10+</t>
        </is>
      </c>
      <c r="J1170" s="11">
        <f>IFERROR(INDEX('Уроки'!$H:$H,MATCH(F1170,'Уроки'!$A:$A,0)),"")</f>
        <v/>
      </c>
      <c r="K1170" s="11">
        <f>IFERROR(INDEX('Уроки'!$J:$J,MATCH(F1170,'Уроки'!$A:$A,0)),"")</f>
        <v/>
      </c>
      <c r="L1170" s="11" t="inlineStr">
        <is>
          <t>Spotlight / 9 класс / Module 8 · Challenges / Reported Speech: modal verbs / Reported Speech: modal verbs: must → had to (обязанность) / must (вывод)</t>
        </is>
      </c>
    </row>
    <row r="1171">
      <c r="A1171" s="37" t="n">
        <v>9</v>
      </c>
      <c r="B1171" s="11" t="inlineStr">
        <is>
          <t>Module 8 · Challenges</t>
        </is>
      </c>
      <c r="C1171" s="11" t="inlineStr">
        <is>
          <t>8c</t>
        </is>
      </c>
      <c r="D1171" s="11" t="inlineStr">
        <is>
          <t>Reported Speech: modal verbs</t>
        </is>
      </c>
      <c r="E1171" s="35" t="inlineStr">
        <is>
          <t>Reported Speech: modal verbs: needn't → didn't need to / didn't have to / wouldn't have to</t>
        </is>
      </c>
      <c r="F1171" s="11" t="inlineStr">
        <is>
          <t>Ст-193</t>
        </is>
      </c>
      <c r="G1171" s="37" t="inlineStr">
        <is>
          <t>повторение</t>
        </is>
      </c>
      <c r="H1171" s="11" t="inlineStr"/>
      <c r="I1171" s="37" t="inlineStr">
        <is>
          <t>10+</t>
        </is>
      </c>
      <c r="J1171" s="11">
        <f>IFERROR(INDEX('Уроки'!$H:$H,MATCH(F1171,'Уроки'!$A:$A,0)),"")</f>
        <v/>
      </c>
      <c r="K1171" s="11">
        <f>IFERROR(INDEX('Уроки'!$J:$J,MATCH(F1171,'Уроки'!$A:$A,0)),"")</f>
        <v/>
      </c>
      <c r="L1171" s="11" t="inlineStr">
        <is>
          <t>Spotlight / 9 класс / Module 8 · Challenges / Reported Speech: modal verbs / Reported Speech: modal verbs: needn't → didn't need to / didn't have to / wouldn't have to</t>
        </is>
      </c>
    </row>
    <row r="1172">
      <c r="A1172" s="37" t="n">
        <v>9</v>
      </c>
      <c r="B1172" s="11" t="inlineStr">
        <is>
          <t>Module 8 · Challenges</t>
        </is>
      </c>
      <c r="C1172" s="11" t="inlineStr">
        <is>
          <t>8c</t>
        </is>
      </c>
      <c r="D1172" s="11" t="inlineStr">
        <is>
          <t>Reported Speech: modal verbs</t>
        </is>
      </c>
      <c r="E1172" s="35" t="inlineStr">
        <is>
          <t>Reported Speech: modal verbs: не меняются (would, could, used to, mustn't, should, might, ought to, had better)</t>
        </is>
      </c>
      <c r="F1172" s="11" t="inlineStr">
        <is>
          <t>Ст-194</t>
        </is>
      </c>
      <c r="G1172" s="37" t="inlineStr">
        <is>
          <t>повторение</t>
        </is>
      </c>
      <c r="H1172" s="11" t="inlineStr"/>
      <c r="I1172" s="37" t="inlineStr">
        <is>
          <t>10+</t>
        </is>
      </c>
      <c r="J1172" s="11">
        <f>IFERROR(INDEX('Уроки'!$H:$H,MATCH(F1172,'Уроки'!$A:$A,0)),"")</f>
        <v/>
      </c>
      <c r="K1172" s="11">
        <f>IFERROR(INDEX('Уроки'!$J:$J,MATCH(F1172,'Уроки'!$A:$A,0)),"")</f>
        <v/>
      </c>
      <c r="L1172" s="11" t="inlineStr">
        <is>
          <t>Spotlight / 9 класс / Module 8 · Challenges / Reported Speech: modal verbs / Reported Speech: modal verbs: не меняются (would, could, used to, mustn't, should, might, ought to, had better)</t>
        </is>
      </c>
    </row>
    <row r="1173">
      <c r="A1173" s="37" t="n">
        <v>9</v>
      </c>
      <c r="B1173" s="11" t="inlineStr">
        <is>
          <t>Module 8 · Challenges</t>
        </is>
      </c>
      <c r="C1173" s="11" t="inlineStr">
        <is>
          <t>8c</t>
        </is>
      </c>
      <c r="D1173" s="11" t="inlineStr">
        <is>
          <t>Reported Speech</t>
        </is>
      </c>
      <c r="E1173" s="35" t="inlineStr">
        <is>
          <t>Reported Speech: say vs tell (say to sb, tell sb)</t>
        </is>
      </c>
      <c r="F1173" s="11" t="inlineStr">
        <is>
          <t>Ст-291</t>
        </is>
      </c>
      <c r="G1173" s="37" t="inlineStr">
        <is>
          <t>повторение</t>
        </is>
      </c>
      <c r="H1173" s="11" t="inlineStr"/>
      <c r="I1173" s="37" t="inlineStr">
        <is>
          <t>10+</t>
        </is>
      </c>
      <c r="J1173" s="11">
        <f>IFERROR(INDEX('Уроки'!$H:$H,MATCH(F1173,'Уроки'!$A:$A,0)),"")</f>
        <v/>
      </c>
      <c r="K1173" s="11">
        <f>IFERROR(INDEX('Уроки'!$J:$J,MATCH(F1173,'Уроки'!$A:$A,0)),"")</f>
        <v/>
      </c>
      <c r="L1173" s="11" t="inlineStr">
        <is>
          <t>Spotlight / 9 класс / Module 8 · Challenges / Reported Speech / Reported Speech: say vs tell (say to sb, tell sb)</t>
        </is>
      </c>
    </row>
    <row r="1174">
      <c r="A1174" s="37" t="n">
        <v>9</v>
      </c>
      <c r="B1174" s="11" t="inlineStr">
        <is>
          <t>Module 8 · Challenges</t>
        </is>
      </c>
      <c r="C1174" s="11" t="inlineStr">
        <is>
          <t>8c</t>
        </is>
      </c>
      <c r="D1174" s="11" t="inlineStr">
        <is>
          <t>Reported Speech</t>
        </is>
      </c>
      <c r="E1174" s="35" t="inlineStr">
        <is>
          <t>Reported Speech: say + to-inf; speak/talk about (не say about)</t>
        </is>
      </c>
      <c r="F1174" s="11" t="inlineStr">
        <is>
          <t>Ст-292</t>
        </is>
      </c>
      <c r="G1174" s="40" t="inlineStr">
        <is>
          <t>новое</t>
        </is>
      </c>
      <c r="H1174" s="11" t="inlineStr"/>
      <c r="I1174" s="37" t="inlineStr">
        <is>
          <t>10+</t>
        </is>
      </c>
      <c r="J1174" s="11">
        <f>IFERROR(INDEX('Уроки'!$H:$H,MATCH(F1174,'Уроки'!$A:$A,0)),"")</f>
        <v/>
      </c>
      <c r="K1174" s="11">
        <f>IFERROR(INDEX('Уроки'!$J:$J,MATCH(F1174,'Уроки'!$A:$A,0)),"")</f>
        <v/>
      </c>
      <c r="L1174" s="11" t="inlineStr">
        <is>
          <t>Spotlight / 9 класс / Module 8 · Challenges / Reported Speech / Reported Speech: say + to-inf; speak/talk about (не say about)</t>
        </is>
      </c>
    </row>
    <row r="1175">
      <c r="A1175" s="37" t="n">
        <v>9</v>
      </c>
      <c r="B1175" s="11" t="inlineStr">
        <is>
          <t>Module 8 · Challenges</t>
        </is>
      </c>
      <c r="C1175" s="11" t="inlineStr">
        <is>
          <t>8c</t>
        </is>
      </c>
      <c r="D1175" s="11" t="inlineStr">
        <is>
          <t>Reported Speech</t>
        </is>
      </c>
      <c r="E1175" s="35" t="inlineStr">
        <is>
          <t>Reported Speech: устойчивые сочетания с say/tell/ask</t>
        </is>
      </c>
      <c r="F1175" s="11" t="inlineStr">
        <is>
          <t>Ст-293</t>
        </is>
      </c>
      <c r="G1175" s="37" t="inlineStr">
        <is>
          <t>повторение</t>
        </is>
      </c>
      <c r="H1175" s="11" t="inlineStr"/>
      <c r="I1175" s="37" t="inlineStr">
        <is>
          <t>10+</t>
        </is>
      </c>
      <c r="J1175" s="11">
        <f>IFERROR(INDEX('Уроки'!$H:$H,MATCH(F1175,'Уроки'!$A:$A,0)),"")</f>
        <v/>
      </c>
      <c r="K1175" s="11">
        <f>IFERROR(INDEX('Уроки'!$J:$J,MATCH(F1175,'Уроки'!$A:$A,0)),"")</f>
        <v/>
      </c>
      <c r="L1175" s="11" t="inlineStr">
        <is>
          <t>Spotlight / 9 класс / Module 8 · Challenges / Reported Speech / Reported Speech: устойчивые сочетания с say/tell/ask</t>
        </is>
      </c>
    </row>
    <row r="1176">
      <c r="A1176" s="37" t="n">
        <v>9</v>
      </c>
      <c r="B1176" s="11" t="inlineStr">
        <is>
          <t>Module 8 · Challenges</t>
        </is>
      </c>
      <c r="C1176" s="11" t="inlineStr">
        <is>
          <t>8c</t>
        </is>
      </c>
      <c r="D1176" s="11" t="inlineStr">
        <is>
          <t>Reported Speech</t>
        </is>
      </c>
      <c r="E1176" s="35" t="inlineStr">
        <is>
          <t>Reported Speech: смена местоимений</t>
        </is>
      </c>
      <c r="F1176" s="11" t="inlineStr">
        <is>
          <t>Ст-294</t>
        </is>
      </c>
      <c r="G1176" s="37" t="inlineStr">
        <is>
          <t>повторение</t>
        </is>
      </c>
      <c r="H1176" s="11" t="inlineStr"/>
      <c r="I1176" s="37" t="inlineStr">
        <is>
          <t>10+</t>
        </is>
      </c>
      <c r="J1176" s="11">
        <f>IFERROR(INDEX('Уроки'!$H:$H,MATCH(F1176,'Уроки'!$A:$A,0)),"")</f>
        <v/>
      </c>
      <c r="K1176" s="11">
        <f>IFERROR(INDEX('Уроки'!$J:$J,MATCH(F1176,'Уроки'!$A:$A,0)),"")</f>
        <v/>
      </c>
      <c r="L1176" s="11" t="inlineStr">
        <is>
          <t>Spotlight / 9 класс / Module 8 · Challenges / Reported Speech / Reported Speech: смена местоимений</t>
        </is>
      </c>
    </row>
    <row r="1177">
      <c r="A1177" s="37" t="n">
        <v>9</v>
      </c>
      <c r="B1177" s="11" t="inlineStr">
        <is>
          <t>Module 8 · Challenges</t>
        </is>
      </c>
      <c r="C1177" s="11" t="inlineStr">
        <is>
          <t>8c</t>
        </is>
      </c>
      <c r="D1177" s="11" t="inlineStr">
        <is>
          <t>Reported Speech</t>
        </is>
      </c>
      <c r="E1177" s="35" t="inlineStr">
        <is>
          <t>Reported Speech: без сдвига времён — вводящий глагол в настоящем (up-to-date reporting)</t>
        </is>
      </c>
      <c r="F1177" s="11" t="inlineStr">
        <is>
          <t>Ст-295</t>
        </is>
      </c>
      <c r="G1177" s="41" t="inlineStr">
        <is>
          <t>расширение</t>
        </is>
      </c>
      <c r="H1177" s="11" t="inlineStr">
        <is>
          <t>+ вводящий глагол в Future/Present Perfect</t>
        </is>
      </c>
      <c r="I1177" s="37" t="inlineStr">
        <is>
          <t>10+</t>
        </is>
      </c>
      <c r="J1177" s="11">
        <f>IFERROR(INDEX('Уроки'!$H:$H,MATCH(F1177,'Уроки'!$A:$A,0)),"")</f>
        <v/>
      </c>
      <c r="K1177" s="11">
        <f>IFERROR(INDEX('Уроки'!$J:$J,MATCH(F1177,'Уроки'!$A:$A,0)),"")</f>
        <v/>
      </c>
      <c r="L1177" s="11" t="inlineStr">
        <is>
          <t>Spotlight / 9 класс / Module 8 · Challenges / Reported Speech / Reported Speech: без сдвига времён — вводящий глагол в настоящем (up-to-date reporting)</t>
        </is>
      </c>
    </row>
    <row r="1178">
      <c r="A1178" s="37" t="n">
        <v>9</v>
      </c>
      <c r="B1178" s="11" t="inlineStr">
        <is>
          <t>Module 8 · Challenges</t>
        </is>
      </c>
      <c r="C1178" s="11" t="inlineStr">
        <is>
          <t>8c</t>
        </is>
      </c>
      <c r="D1178" s="11" t="inlineStr">
        <is>
          <t>Reported Speech</t>
        </is>
      </c>
      <c r="E1178" s="35" t="inlineStr">
        <is>
          <t>Reported Speech: без сдвига времён — общие истины, условные 2/3 типа, wish, сразу после сказанного</t>
        </is>
      </c>
      <c r="F1178" s="11" t="inlineStr">
        <is>
          <t>Ст-296</t>
        </is>
      </c>
      <c r="G1178" s="40" t="inlineStr">
        <is>
          <t>новое</t>
        </is>
      </c>
      <c r="H1178" s="11" t="inlineStr"/>
      <c r="I1178" s="37" t="inlineStr">
        <is>
          <t>10+</t>
        </is>
      </c>
      <c r="J1178" s="11">
        <f>IFERROR(INDEX('Уроки'!$H:$H,MATCH(F1178,'Уроки'!$A:$A,0)),"")</f>
        <v/>
      </c>
      <c r="K1178" s="11">
        <f>IFERROR(INDEX('Уроки'!$J:$J,MATCH(F1178,'Уроки'!$A:$A,0)),"")</f>
        <v/>
      </c>
      <c r="L1178" s="11" t="inlineStr">
        <is>
          <t>Spotlight / 9 класс / Module 8 · Challenges / Reported Speech / Reported Speech: без сдвига времён — общие истины, условные 2/3 типа, wish, сразу после сказанного</t>
        </is>
      </c>
    </row>
    <row r="1179">
      <c r="A1179" s="37" t="n">
        <v>9</v>
      </c>
      <c r="B1179" s="11" t="inlineStr">
        <is>
          <t>Module 8 · Challenges</t>
        </is>
      </c>
      <c r="C1179" s="11" t="inlineStr">
        <is>
          <t>8c</t>
        </is>
      </c>
      <c r="D1179" s="11" t="inlineStr">
        <is>
          <t>Reported Speech</t>
        </is>
      </c>
      <c r="E1179" s="35" t="inlineStr">
        <is>
          <t>Reported Speech: сдвиг времён (Present → Past, Past → Past Perfect, will → would)</t>
        </is>
      </c>
      <c r="F1179" s="11" t="inlineStr">
        <is>
          <t>Ст-297</t>
        </is>
      </c>
      <c r="G1179" s="41" t="inlineStr">
        <is>
          <t>расширение</t>
        </is>
      </c>
      <c r="H1179" s="11" t="inlineStr">
        <is>
          <t>Past Simple → Past Simple/Past Perfect</t>
        </is>
      </c>
      <c r="I1179" s="37" t="inlineStr">
        <is>
          <t>10+</t>
        </is>
      </c>
      <c r="J1179" s="11">
        <f>IFERROR(INDEX('Уроки'!$H:$H,MATCH(F1179,'Уроки'!$A:$A,0)),"")</f>
        <v/>
      </c>
      <c r="K1179" s="11">
        <f>IFERROR(INDEX('Уроки'!$J:$J,MATCH(F1179,'Уроки'!$A:$A,0)),"")</f>
        <v/>
      </c>
      <c r="L1179" s="11" t="inlineStr">
        <is>
          <t>Spotlight / 9 класс / Module 8 · Challenges / Reported Speech / Reported Speech: сдвиг времён (Present → Past, Past → Past Perfect, will → would)</t>
        </is>
      </c>
    </row>
    <row r="1180">
      <c r="A1180" s="37" t="n">
        <v>9</v>
      </c>
      <c r="B1180" s="11" t="inlineStr">
        <is>
          <t>Module 8 · Challenges</t>
        </is>
      </c>
      <c r="C1180" s="11" t="inlineStr">
        <is>
          <t>8c</t>
        </is>
      </c>
      <c r="D1180" s="11" t="inlineStr">
        <is>
          <t>Reported Speech</t>
        </is>
      </c>
      <c r="E1180" s="35" t="inlineStr">
        <is>
          <t>Reported Speech: слова времени и места (now → then, yesterday → the day before…)</t>
        </is>
      </c>
      <c r="F1180" s="11" t="inlineStr">
        <is>
          <t>Ст-298</t>
        </is>
      </c>
      <c r="G1180" s="37" t="inlineStr">
        <is>
          <t>повторение</t>
        </is>
      </c>
      <c r="H1180" s="11" t="inlineStr">
        <is>
          <t>today → в OCR таблица сбита</t>
        </is>
      </c>
      <c r="I1180" s="37" t="inlineStr">
        <is>
          <t>10+</t>
        </is>
      </c>
      <c r="J1180" s="11">
        <f>IFERROR(INDEX('Уроки'!$H:$H,MATCH(F1180,'Уроки'!$A:$A,0)),"")</f>
        <v/>
      </c>
      <c r="K1180" s="11">
        <f>IFERROR(INDEX('Уроки'!$J:$J,MATCH(F1180,'Уроки'!$A:$A,0)),"")</f>
        <v/>
      </c>
      <c r="L1180" s="11" t="inlineStr">
        <is>
          <t>Spotlight / 9 класс / Module 8 · Challenges / Reported Speech / Reported Speech: слова времени и места (now → then, yesterday → the day before…)</t>
        </is>
      </c>
    </row>
    <row r="1181">
      <c r="A1181" s="37" t="n">
        <v>9</v>
      </c>
      <c r="B1181" s="11" t="inlineStr">
        <is>
          <t>Module 8 · Challenges</t>
        </is>
      </c>
      <c r="C1181" s="11" t="inlineStr">
        <is>
          <t>8c</t>
        </is>
      </c>
      <c r="D1181" s="11" t="inlineStr">
        <is>
          <t>Reported commands/requests</t>
        </is>
      </c>
      <c r="E1181" s="35" t="inlineStr">
        <is>
          <t>Reported commands: приказы — order/tell + sb + (not) to-inf</t>
        </is>
      </c>
      <c r="F1181" s="11" t="inlineStr">
        <is>
          <t>Ст-299</t>
        </is>
      </c>
      <c r="G1181" s="37" t="inlineStr">
        <is>
          <t>повторение</t>
        </is>
      </c>
      <c r="H1181" s="11" t="inlineStr"/>
      <c r="I1181" s="37" t="inlineStr">
        <is>
          <t>10+</t>
        </is>
      </c>
      <c r="J1181" s="11">
        <f>IFERROR(INDEX('Уроки'!$H:$H,MATCH(F1181,'Уроки'!$A:$A,0)),"")</f>
        <v/>
      </c>
      <c r="K1181" s="11">
        <f>IFERROR(INDEX('Уроки'!$J:$J,MATCH(F1181,'Уроки'!$A:$A,0)),"")</f>
        <v/>
      </c>
      <c r="L1181" s="11" t="inlineStr">
        <is>
          <t>Spotlight / 9 класс / Module 8 · Challenges / Reported commands/requests / Reported commands: приказы — order/tell + sb + (not) to-inf</t>
        </is>
      </c>
    </row>
    <row r="1182">
      <c r="A1182" s="37" t="n">
        <v>9</v>
      </c>
      <c r="B1182" s="11" t="inlineStr">
        <is>
          <t>Module 8 · Challenges</t>
        </is>
      </c>
      <c r="C1182" s="11" t="inlineStr">
        <is>
          <t>8c</t>
        </is>
      </c>
      <c r="D1182" s="11" t="inlineStr">
        <is>
          <t>Reported commands/requests</t>
        </is>
      </c>
      <c r="E1182" s="35" t="inlineStr">
        <is>
          <t>Reported requests: ask/beg + sb + (not) to-inf</t>
        </is>
      </c>
      <c r="F1182" s="11" t="inlineStr">
        <is>
          <t>Ст-300</t>
        </is>
      </c>
      <c r="G1182" s="37" t="inlineStr">
        <is>
          <t>повторение</t>
        </is>
      </c>
      <c r="H1182" s="11" t="inlineStr"/>
      <c r="I1182" s="37" t="inlineStr">
        <is>
          <t>10+</t>
        </is>
      </c>
      <c r="J1182" s="11">
        <f>IFERROR(INDEX('Уроки'!$H:$H,MATCH(F1182,'Уроки'!$A:$A,0)),"")</f>
        <v/>
      </c>
      <c r="K1182" s="11">
        <f>IFERROR(INDEX('Уроки'!$J:$J,MATCH(F1182,'Уроки'!$A:$A,0)),"")</f>
        <v/>
      </c>
      <c r="L1182" s="11" t="inlineStr">
        <is>
          <t>Spotlight / 9 класс / Module 8 · Challenges / Reported commands/requests / Reported requests: ask/beg + sb + (not) to-inf</t>
        </is>
      </c>
    </row>
    <row r="1183">
      <c r="A1183" s="37" t="n">
        <v>9</v>
      </c>
      <c r="B1183" s="11" t="inlineStr">
        <is>
          <t>Module 8 · Challenges</t>
        </is>
      </c>
      <c r="C1183" s="11" t="inlineStr">
        <is>
          <t>8c</t>
        </is>
      </c>
      <c r="D1183" s="11" t="inlineStr">
        <is>
          <t>Reported commands/requests</t>
        </is>
      </c>
      <c r="E1183" s="35" t="inlineStr">
        <is>
          <t>Reported suggestions: suggest + -ing / that sb (should) …</t>
        </is>
      </c>
      <c r="F1183" s="11" t="inlineStr">
        <is>
          <t>Ст-301</t>
        </is>
      </c>
      <c r="G1183" s="37" t="inlineStr">
        <is>
          <t>повторение</t>
        </is>
      </c>
      <c r="H1183" s="11" t="inlineStr"/>
      <c r="I1183" s="37" t="inlineStr">
        <is>
          <t>10+</t>
        </is>
      </c>
      <c r="J1183" s="11">
        <f>IFERROR(INDEX('Уроки'!$H:$H,MATCH(F1183,'Уроки'!$A:$A,0)),"")</f>
        <v/>
      </c>
      <c r="K1183" s="11">
        <f>IFERROR(INDEX('Уроки'!$J:$J,MATCH(F1183,'Уроки'!$A:$A,0)),"")</f>
        <v/>
      </c>
      <c r="L1183" s="11" t="inlineStr">
        <is>
          <t>Spotlight / 9 класс / Module 8 · Challenges / Reported commands/requests / Reported suggestions: suggest + -ing / that sb (should) …</t>
        </is>
      </c>
    </row>
    <row r="1184">
      <c r="A1184" s="37" t="n">
        <v>9</v>
      </c>
      <c r="B1184" s="11" t="inlineStr">
        <is>
          <t>Module 8 · Challenges</t>
        </is>
      </c>
      <c r="C1184" s="11" t="inlineStr">
        <is>
          <t>8c</t>
        </is>
      </c>
      <c r="D1184" s="11" t="inlineStr">
        <is>
          <t>Reported commands/requests</t>
        </is>
      </c>
      <c r="E1184" s="35" t="inlineStr">
        <is>
          <t>Reported advice: advise + sb + (not) to-inf</t>
        </is>
      </c>
      <c r="F1184" s="11" t="inlineStr">
        <is>
          <t>Ст-302</t>
        </is>
      </c>
      <c r="G1184" s="37" t="inlineStr">
        <is>
          <t>повторение</t>
        </is>
      </c>
      <c r="H1184" s="11" t="inlineStr">
        <is>
          <t>advise в группе приказов</t>
        </is>
      </c>
      <c r="I1184" s="37" t="inlineStr">
        <is>
          <t>10+</t>
        </is>
      </c>
      <c r="J1184" s="11">
        <f>IFERROR(INDEX('Уроки'!$H:$H,MATCH(F1184,'Уроки'!$A:$A,0)),"")</f>
        <v/>
      </c>
      <c r="K1184" s="11">
        <f>IFERROR(INDEX('Уроки'!$J:$J,MATCH(F1184,'Уроки'!$A:$A,0)),"")</f>
        <v/>
      </c>
      <c r="L1184" s="11" t="inlineStr">
        <is>
          <t>Spotlight / 9 класс / Module 8 · Challenges / Reported commands/requests / Reported advice: advise + sb + (not) to-inf</t>
        </is>
      </c>
    </row>
    <row r="1185">
      <c r="A1185" s="37" t="n">
        <v>9</v>
      </c>
      <c r="B1185" s="11" t="inlineStr">
        <is>
          <t>Module 8 · Challenges</t>
        </is>
      </c>
      <c r="C1185" s="11" t="inlineStr">
        <is>
          <t>8c</t>
        </is>
      </c>
      <c r="D1185" s="11" t="inlineStr">
        <is>
          <t>Reporting verbs</t>
        </is>
      </c>
      <c r="E1185" s="35" t="inlineStr">
        <is>
          <t>Reporting verbs: + to-inf (agree, claim, offer, promise, refuse, threaten…)</t>
        </is>
      </c>
      <c r="F1185" s="11" t="inlineStr">
        <is>
          <t>Ст-310</t>
        </is>
      </c>
      <c r="G1185" s="40" t="inlineStr">
        <is>
          <t>новое</t>
        </is>
      </c>
      <c r="H1185" s="11" t="inlineStr">
        <is>
          <t>agree, claim, demand, offer, promise, refuse, threaten</t>
        </is>
      </c>
      <c r="I1185" s="37" t="inlineStr">
        <is>
          <t>10+</t>
        </is>
      </c>
      <c r="J1185" s="11">
        <f>IFERROR(INDEX('Уроки'!$H:$H,MATCH(F1185,'Уроки'!$A:$A,0)),"")</f>
        <v/>
      </c>
      <c r="K1185" s="11">
        <f>IFERROR(INDEX('Уроки'!$J:$J,MATCH(F1185,'Уроки'!$A:$A,0)),"")</f>
        <v/>
      </c>
      <c r="L1185" s="11" t="inlineStr">
        <is>
          <t>Spotlight / 9 класс / Module 8 · Challenges / Reporting verbs / Reporting verbs: + to-inf (agree, claim, offer, promise, refuse, threaten…)</t>
        </is>
      </c>
    </row>
    <row r="1186">
      <c r="A1186" s="37" t="n">
        <v>9</v>
      </c>
      <c r="B1186" s="11" t="inlineStr">
        <is>
          <t>Module 8 · Challenges</t>
        </is>
      </c>
      <c r="C1186" s="11" t="inlineStr">
        <is>
          <t>8c</t>
        </is>
      </c>
      <c r="D1186" s="11" t="inlineStr">
        <is>
          <t>Reporting verbs</t>
        </is>
      </c>
      <c r="E1186" s="35" t="inlineStr">
        <is>
          <t>Reporting verbs: + sb + to-inf (advise, allow, encourage, order, remind, warn…)</t>
        </is>
      </c>
      <c r="F1186" s="11" t="inlineStr">
        <is>
          <t>Ст-311</t>
        </is>
      </c>
      <c r="G1186" s="40" t="inlineStr">
        <is>
          <t>новое</t>
        </is>
      </c>
      <c r="H1186" s="11" t="inlineStr">
        <is>
          <t>advise, allow, ask, beg, command, encourage, forbid, instruct, invite, order, permit, remind, urge, warn, want</t>
        </is>
      </c>
      <c r="I1186" s="37" t="inlineStr">
        <is>
          <t>10+</t>
        </is>
      </c>
      <c r="J1186" s="11">
        <f>IFERROR(INDEX('Уроки'!$H:$H,MATCH(F1186,'Уроки'!$A:$A,0)),"")</f>
        <v/>
      </c>
      <c r="K1186" s="11">
        <f>IFERROR(INDEX('Уроки'!$J:$J,MATCH(F1186,'Уроки'!$A:$A,0)),"")</f>
        <v/>
      </c>
      <c r="L1186" s="11" t="inlineStr">
        <is>
          <t>Spotlight / 9 класс / Module 8 · Challenges / Reporting verbs / Reporting verbs: + sb + to-inf (advise, allow, encourage, order, remind, warn…)</t>
        </is>
      </c>
    </row>
    <row r="1187">
      <c r="A1187" s="37" t="n">
        <v>9</v>
      </c>
      <c r="B1187" s="11" t="inlineStr">
        <is>
          <t>Module 8 · Challenges</t>
        </is>
      </c>
      <c r="C1187" s="11" t="inlineStr">
        <is>
          <t>8c</t>
        </is>
      </c>
      <c r="D1187" s="11" t="inlineStr">
        <is>
          <t>Reporting verbs</t>
        </is>
      </c>
      <c r="E1187" s="35" t="inlineStr">
        <is>
          <t>Reporting verbs: + (предлог +) -ing (accuse sb of, apologise for, deny, insist on, suggest…)</t>
        </is>
      </c>
      <c r="F1187" s="11" t="inlineStr">
        <is>
          <t>Ст-312</t>
        </is>
      </c>
      <c r="G1187" s="40" t="inlineStr">
        <is>
          <t>новое</t>
        </is>
      </c>
      <c r="H1187" s="11" t="inlineStr">
        <is>
          <t>accuse of, apologise for, admit (to), boast about/of, complain of/about, deny, insist on, suggest</t>
        </is>
      </c>
      <c r="I1187" s="37" t="inlineStr">
        <is>
          <t>10+</t>
        </is>
      </c>
      <c r="J1187" s="11">
        <f>IFERROR(INDEX('Уроки'!$H:$H,MATCH(F1187,'Уроки'!$A:$A,0)),"")</f>
        <v/>
      </c>
      <c r="K1187" s="11">
        <f>IFERROR(INDEX('Уроки'!$J:$J,MATCH(F1187,'Уроки'!$A:$A,0)),"")</f>
        <v/>
      </c>
      <c r="L1187" s="11" t="inlineStr">
        <is>
          <t>Spotlight / 9 класс / Module 8 · Challenges / Reporting verbs / Reporting verbs: + (предлог +) -ing (accuse sb of, apologise for, deny, insist on, suggest…)</t>
        </is>
      </c>
    </row>
    <row r="1188">
      <c r="A1188" s="37" t="n">
        <v>9</v>
      </c>
      <c r="B1188" s="11" t="inlineStr">
        <is>
          <t>Module 8 · Challenges</t>
        </is>
      </c>
      <c r="C1188" s="11" t="inlineStr">
        <is>
          <t>8c</t>
        </is>
      </c>
      <c r="D1188" s="11" t="inlineStr">
        <is>
          <t>Reporting verbs</t>
        </is>
      </c>
      <c r="E1188" s="35" t="inlineStr">
        <is>
          <t>Reporting verbs: + that-clause (agree, claim, explain, inform sb, promise…)</t>
        </is>
      </c>
      <c r="F1188" s="11" t="inlineStr">
        <is>
          <t>Ст-313</t>
        </is>
      </c>
      <c r="G1188" s="40" t="inlineStr">
        <is>
          <t>новое</t>
        </is>
      </c>
      <c r="H1188" s="11" t="inlineStr"/>
      <c r="I1188" s="37" t="inlineStr">
        <is>
          <t>10+</t>
        </is>
      </c>
      <c r="J1188" s="11">
        <f>IFERROR(INDEX('Уроки'!$H:$H,MATCH(F1188,'Уроки'!$A:$A,0)),"")</f>
        <v/>
      </c>
      <c r="K1188" s="11">
        <f>IFERROR(INDEX('Уроки'!$J:$J,MATCH(F1188,'Уроки'!$A:$A,0)),"")</f>
        <v/>
      </c>
      <c r="L1188" s="11" t="inlineStr">
        <is>
          <t>Spotlight / 9 класс / Module 8 · Challenges / Reporting verbs / Reporting verbs: + that-clause (agree, claim, explain, inform sb, promise…)</t>
        </is>
      </c>
    </row>
    <row r="1189">
      <c r="A1189" s="37" t="n">
        <v>9</v>
      </c>
      <c r="B1189" s="11" t="inlineStr">
        <is>
          <t>Module 8 · Challenges</t>
        </is>
      </c>
      <c r="C1189" s="11" t="inlineStr">
        <is>
          <t>8c</t>
        </is>
      </c>
      <c r="D1189" s="11" t="inlineStr">
        <is>
          <t>Reporting verbs</t>
        </is>
      </c>
      <c r="E1189" s="35" t="inlineStr">
        <is>
          <t>Reporting verbs: explain/wonder + вопросительное слово (+ to-inf / clause)</t>
        </is>
      </c>
      <c r="F1189" s="11" t="inlineStr">
        <is>
          <t>Ст-314</t>
        </is>
      </c>
      <c r="G1189" s="40" t="inlineStr">
        <is>
          <t>новое</t>
        </is>
      </c>
      <c r="H1189" s="11" t="inlineStr"/>
      <c r="I1189" s="37" t="inlineStr">
        <is>
          <t>10+</t>
        </is>
      </c>
      <c r="J1189" s="11">
        <f>IFERROR(INDEX('Уроки'!$H:$H,MATCH(F1189,'Уроки'!$A:$A,0)),"")</f>
        <v/>
      </c>
      <c r="K1189" s="11">
        <f>IFERROR(INDEX('Уроки'!$J:$J,MATCH(F1189,'Уроки'!$A:$A,0)),"")</f>
        <v/>
      </c>
      <c r="L1189" s="11" t="inlineStr">
        <is>
          <t>Spotlight / 9 класс / Module 8 · Challenges / Reporting verbs / Reporting verbs: explain/wonder + вопросительное слово (+ to-inf / clause)</t>
        </is>
      </c>
    </row>
    <row r="1190">
      <c r="A1190" s="37" t="n">
        <v>9</v>
      </c>
      <c r="B1190" s="11" t="inlineStr">
        <is>
          <t>Module 8 · Challenges</t>
        </is>
      </c>
      <c r="C1190" s="11" t="inlineStr">
        <is>
          <t>8d</t>
        </is>
      </c>
      <c r="D1190" s="11" t="inlineStr">
        <is>
          <t>a few/a little</t>
        </is>
      </c>
      <c r="E1190" s="33" t="inlineStr">
        <is>
          <t>a few/a little: a few — с исчисляемыми мн. ч. («несколько»)</t>
        </is>
      </c>
      <c r="F1190" s="11" t="inlineStr">
        <is>
          <t>Ст-377</t>
        </is>
      </c>
      <c r="G1190" s="37" t="inlineStr">
        <is>
          <t>повторение</t>
        </is>
      </c>
      <c r="H1190" s="11" t="inlineStr"/>
      <c r="I1190" s="37" t="inlineStr">
        <is>
          <t>10+</t>
        </is>
      </c>
      <c r="J1190" s="11">
        <f>IFERROR(INDEX('Уроки'!$H:$H,MATCH(F1190,'Уроки'!$A:$A,0)),"")</f>
        <v/>
      </c>
      <c r="K1190" s="11">
        <f>IFERROR(INDEX('Уроки'!$J:$J,MATCH(F1190,'Уроки'!$A:$A,0)),"")</f>
        <v/>
      </c>
      <c r="L1190" s="11" t="inlineStr">
        <is>
          <t>Spotlight / 9 класс / Module 8 · Challenges / a few/a little / a few/a little: a few — с исчисляемыми мн. ч. («несколько»)</t>
        </is>
      </c>
    </row>
    <row r="1191">
      <c r="A1191" s="37" t="n">
        <v>9</v>
      </c>
      <c r="B1191" s="11" t="inlineStr">
        <is>
          <t>Module 8 · Challenges</t>
        </is>
      </c>
      <c r="C1191" s="11" t="inlineStr">
        <is>
          <t>8d</t>
        </is>
      </c>
      <c r="D1191" s="11" t="inlineStr">
        <is>
          <t>a few/a little</t>
        </is>
      </c>
      <c r="E1191" s="33" t="inlineStr">
        <is>
          <t>a few/a little: a little — с неисчисляемыми («немного»)</t>
        </is>
      </c>
      <c r="F1191" s="11" t="inlineStr">
        <is>
          <t>Ст-378</t>
        </is>
      </c>
      <c r="G1191" s="37" t="inlineStr">
        <is>
          <t>повторение</t>
        </is>
      </c>
      <c r="H1191" s="11" t="inlineStr"/>
      <c r="I1191" s="37" t="inlineStr">
        <is>
          <t>10+</t>
        </is>
      </c>
      <c r="J1191" s="11">
        <f>IFERROR(INDEX('Уроки'!$H:$H,MATCH(F1191,'Уроки'!$A:$A,0)),"")</f>
        <v/>
      </c>
      <c r="K1191" s="11">
        <f>IFERROR(INDEX('Уроки'!$J:$J,MATCH(F1191,'Уроки'!$A:$A,0)),"")</f>
        <v/>
      </c>
      <c r="L1191" s="11" t="inlineStr">
        <is>
          <t>Spotlight / 9 класс / Module 8 · Challenges / a few/a little / a few/a little: a little — с неисчисляемыми («немного»)</t>
        </is>
      </c>
    </row>
    <row r="1192">
      <c r="A1192" s="37" t="n">
        <v>9</v>
      </c>
      <c r="B1192" s="11" t="inlineStr">
        <is>
          <t>Module 8 · Challenges</t>
        </is>
      </c>
      <c r="C1192" s="11" t="inlineStr">
        <is>
          <t>8d</t>
        </is>
      </c>
      <c r="D1192" s="11" t="inlineStr">
        <is>
          <t>a few/a little</t>
        </is>
      </c>
      <c r="E1192" s="33" t="inlineStr">
        <is>
          <t>a few/a little: few / little — «мало»</t>
        </is>
      </c>
      <c r="F1192" s="11" t="inlineStr">
        <is>
          <t>Ст-379</t>
        </is>
      </c>
      <c r="G1192" s="37" t="inlineStr">
        <is>
          <t>повторение</t>
        </is>
      </c>
      <c r="H1192" s="11" t="inlineStr"/>
      <c r="I1192" s="37" t="inlineStr">
        <is>
          <t>10+</t>
        </is>
      </c>
      <c r="J1192" s="11">
        <f>IFERROR(INDEX('Уроки'!$H:$H,MATCH(F1192,'Уроки'!$A:$A,0)),"")</f>
        <v/>
      </c>
      <c r="K1192" s="11">
        <f>IFERROR(INDEX('Уроки'!$J:$J,MATCH(F1192,'Уроки'!$A:$A,0)),"")</f>
        <v/>
      </c>
      <c r="L1192" s="11" t="inlineStr">
        <is>
          <t>Spotlight / 9 класс / Module 8 · Challenges / a few/a little / a few/a little: few / little — «мало»</t>
        </is>
      </c>
    </row>
    <row r="1193">
      <c r="A1193" s="37" t="n">
        <v>9</v>
      </c>
      <c r="B1193" s="11" t="inlineStr">
        <is>
          <t>Module 8 · Challenges</t>
        </is>
      </c>
      <c r="C1193" s="11" t="inlineStr">
        <is>
          <t>8d</t>
        </is>
      </c>
      <c r="D1193" s="11" t="inlineStr">
        <is>
          <t>a few/a little</t>
        </is>
      </c>
      <c r="E1193" s="33" t="inlineStr">
        <is>
          <t>a few/a little: a few vs few, a little vs little — «немного, но достаточно» vs «почти нет»</t>
        </is>
      </c>
      <c r="F1193" s="11" t="inlineStr">
        <is>
          <t>Ст-380</t>
        </is>
      </c>
      <c r="G1193" s="41" t="inlineStr">
        <is>
          <t>расширение</t>
        </is>
      </c>
      <c r="H1193" s="11" t="inlineStr">
        <is>
          <t>формулировка «немного, но достаточно / почти нет»</t>
        </is>
      </c>
      <c r="I1193" s="37" t="inlineStr">
        <is>
          <t>10+</t>
        </is>
      </c>
      <c r="J1193" s="11">
        <f>IFERROR(INDEX('Уроки'!$H:$H,MATCH(F1193,'Уроки'!$A:$A,0)),"")</f>
        <v/>
      </c>
      <c r="K1193" s="11">
        <f>IFERROR(INDEX('Уроки'!$J:$J,MATCH(F1193,'Уроки'!$A:$A,0)),"")</f>
        <v/>
      </c>
      <c r="L1193" s="11" t="inlineStr">
        <is>
          <t>Spotlight / 9 класс / Module 8 · Challenges / a few/a little / a few/a little: a few vs few, a little vs little — «немного, но достаточно» vs «почти нет»</t>
        </is>
      </c>
    </row>
    <row r="1194">
      <c r="A1194" s="37" t="n">
        <v>9</v>
      </c>
      <c r="B1194" s="11" t="inlineStr">
        <is>
          <t>Module 8 · Challenges</t>
        </is>
      </c>
      <c r="C1194" s="11" t="inlineStr">
        <is>
          <t>8d</t>
        </is>
      </c>
      <c r="D1194" s="11" t="inlineStr">
        <is>
          <t>a few/a little</t>
        </is>
      </c>
      <c r="E1194" s="35" t="inlineStr">
        <is>
          <t>a few/a little: very few / very little</t>
        </is>
      </c>
      <c r="F1194" s="11" t="inlineStr">
        <is>
          <t>Ст-381</t>
        </is>
      </c>
      <c r="G1194" s="40" t="inlineStr">
        <is>
          <t>новое</t>
        </is>
      </c>
      <c r="H1194" s="11" t="inlineStr"/>
      <c r="I1194" s="37" t="inlineStr">
        <is>
          <t>10+</t>
        </is>
      </c>
      <c r="J1194" s="11">
        <f>IFERROR(INDEX('Уроки'!$H:$H,MATCH(F1194,'Уроки'!$A:$A,0)),"")</f>
        <v/>
      </c>
      <c r="K1194" s="11">
        <f>IFERROR(INDEX('Уроки'!$J:$J,MATCH(F1194,'Уроки'!$A:$A,0)),"")</f>
        <v/>
      </c>
      <c r="L1194" s="11" t="inlineStr">
        <is>
          <t>Spotlight / 9 класс / Module 8 · Challenges / a few/a little / a few/a little: very few / very little</t>
        </is>
      </c>
    </row>
    <row r="1195">
      <c r="A1195" s="37" t="n">
        <v>9</v>
      </c>
      <c r="B1195" s="11" t="inlineStr">
        <is>
          <t>Module 8 · Challenges</t>
        </is>
      </c>
      <c r="C1195" s="11" t="inlineStr">
        <is>
          <t>8d</t>
        </is>
      </c>
      <c r="D1195" s="11" t="inlineStr">
        <is>
          <t>Determiners (every/each)</t>
        </is>
      </c>
      <c r="E1195" s="33" t="inlineStr">
        <is>
          <t>Determiners (every/each): every + ед. ч. — вся группа (= all)</t>
        </is>
      </c>
      <c r="F1195" s="11" t="inlineStr">
        <is>
          <t>Ст-415</t>
        </is>
      </c>
      <c r="G1195" s="40" t="inlineStr">
        <is>
          <t>новое</t>
        </is>
      </c>
      <c r="H1195" s="11" t="inlineStr">
        <is>
          <t>Every student has a library card</t>
        </is>
      </c>
      <c r="I1195" s="37" t="inlineStr">
        <is>
          <t>10+</t>
        </is>
      </c>
      <c r="J1195" s="11">
        <f>IFERROR(INDEX('Уроки'!$H:$H,MATCH(F1195,'Уроки'!$A:$A,0)),"")</f>
        <v/>
      </c>
      <c r="K1195" s="11">
        <f>IFERROR(INDEX('Уроки'!$J:$J,MATCH(F1195,'Уроки'!$A:$A,0)),"")</f>
        <v/>
      </c>
      <c r="L1195" s="11" t="inlineStr">
        <is>
          <t>Spotlight / 9 класс / Module 8 · Challenges / Determiners (every/each) / Determiners (every/each): every + ед. ч. — вся группа (= all)</t>
        </is>
      </c>
    </row>
    <row r="1196">
      <c r="A1196" s="37" t="n">
        <v>9</v>
      </c>
      <c r="B1196" s="11" t="inlineStr">
        <is>
          <t>Module 8 · Challenges</t>
        </is>
      </c>
      <c r="C1196" s="11" t="inlineStr">
        <is>
          <t>8d</t>
        </is>
      </c>
      <c r="D1196" s="11" t="inlineStr">
        <is>
          <t>Determiners (every/each)</t>
        </is>
      </c>
      <c r="E1196" s="33" t="inlineStr">
        <is>
          <t>Determiners (every/each): each + ед. ч. — каждый в отдельности</t>
        </is>
      </c>
      <c r="F1196" s="11" t="inlineStr">
        <is>
          <t>Ст-416</t>
        </is>
      </c>
      <c r="G1196" s="40" t="inlineStr">
        <is>
          <t>новое</t>
        </is>
      </c>
      <c r="H1196" s="11" t="inlineStr"/>
      <c r="I1196" s="37" t="inlineStr">
        <is>
          <t>10+</t>
        </is>
      </c>
      <c r="J1196" s="11">
        <f>IFERROR(INDEX('Уроки'!$H:$H,MATCH(F1196,'Уроки'!$A:$A,0)),"")</f>
        <v/>
      </c>
      <c r="K1196" s="11">
        <f>IFERROR(INDEX('Уроки'!$J:$J,MATCH(F1196,'Уроки'!$A:$A,0)),"")</f>
        <v/>
      </c>
      <c r="L1196" s="11" t="inlineStr">
        <is>
          <t>Spotlight / 9 класс / Module 8 · Challenges / Determiners (every/each) / Determiners (every/each): each + ед. ч. — каждый в отдельности</t>
        </is>
      </c>
    </row>
    <row r="1197">
      <c r="A1197" s="37" t="n">
        <v>9</v>
      </c>
      <c r="B1197" s="11" t="inlineStr">
        <is>
          <t>Module 8 · Challenges</t>
        </is>
      </c>
      <c r="C1197" s="11" t="inlineStr">
        <is>
          <t>8d</t>
        </is>
      </c>
      <c r="D1197" s="11" t="inlineStr">
        <is>
          <t>Determiners (every/each)</t>
        </is>
      </c>
      <c r="E1197" s="35" t="inlineStr">
        <is>
          <t>Determiners (every/each): every vs each — о двух vs о трёх и более</t>
        </is>
      </c>
      <c r="F1197" s="11" t="inlineStr">
        <is>
          <t>Ст-417</t>
        </is>
      </c>
      <c r="G1197" s="40" t="inlineStr">
        <is>
          <t>новое</t>
        </is>
      </c>
      <c r="H1197" s="11" t="inlineStr"/>
      <c r="I1197" s="37" t="inlineStr">
        <is>
          <t>10+</t>
        </is>
      </c>
      <c r="J1197" s="11">
        <f>IFERROR(INDEX('Уроки'!$H:$H,MATCH(F1197,'Уроки'!$A:$A,0)),"")</f>
        <v/>
      </c>
      <c r="K1197" s="11">
        <f>IFERROR(INDEX('Уроки'!$J:$J,MATCH(F1197,'Уроки'!$A:$A,0)),"")</f>
        <v/>
      </c>
      <c r="L1197" s="11" t="inlineStr">
        <is>
          <t>Spotlight / 9 класс / Module 8 · Challenges / Determiners (every/each) / Determiners (every/each): every vs each — о двух vs о трёх и более</t>
        </is>
      </c>
    </row>
    <row r="1198">
      <c r="A1198" s="37" t="n">
        <v>9</v>
      </c>
      <c r="B1198" s="11" t="inlineStr">
        <is>
          <t>Module 8 · Challenges</t>
        </is>
      </c>
      <c r="C1198" s="11" t="inlineStr">
        <is>
          <t>8d</t>
        </is>
      </c>
      <c r="D1198" s="11" t="inlineStr">
        <is>
          <t>Determiners (every/each)</t>
        </is>
      </c>
      <c r="E1198" s="35" t="inlineStr">
        <is>
          <t>Determiners (every/each): each (one) of / every one of</t>
        </is>
      </c>
      <c r="F1198" s="11" t="inlineStr">
        <is>
          <t>Ст-418</t>
        </is>
      </c>
      <c r="G1198" s="40" t="inlineStr">
        <is>
          <t>новое</t>
        </is>
      </c>
      <c r="H1198" s="11" t="inlineStr"/>
      <c r="I1198" s="37" t="inlineStr">
        <is>
          <t>10+</t>
        </is>
      </c>
      <c r="J1198" s="11">
        <f>IFERROR(INDEX('Уроки'!$H:$H,MATCH(F1198,'Уроки'!$A:$A,0)),"")</f>
        <v/>
      </c>
      <c r="K1198" s="11">
        <f>IFERROR(INDEX('Уроки'!$J:$J,MATCH(F1198,'Уроки'!$A:$A,0)),"")</f>
        <v/>
      </c>
      <c r="L1198" s="11" t="inlineStr">
        <is>
          <t>Spotlight / 9 класс / Module 8 · Challenges / Determiners (every/each) / Determiners (every/each): each (one) of / every one of</t>
        </is>
      </c>
    </row>
    <row r="1199">
      <c r="A1199" s="37" t="n">
        <v>9</v>
      </c>
      <c r="B1199" s="11" t="inlineStr">
        <is>
          <t>Module 8 · Challenges</t>
        </is>
      </c>
      <c r="C1199" s="11" t="inlineStr">
        <is>
          <t>8d</t>
        </is>
      </c>
      <c r="D1199" s="11" t="inlineStr">
        <is>
          <t>Indefinite pronouns (some-/any-/no-/every-)</t>
        </is>
      </c>
      <c r="E1199" s="35" t="inlineStr">
        <is>
          <t>Indefinite pronouns: some/any/no + неисчисляемые и мн. ч.</t>
        </is>
      </c>
      <c r="F1199" s="11" t="inlineStr">
        <is>
          <t>Ст-419</t>
        </is>
      </c>
      <c r="G1199" s="40" t="inlineStr">
        <is>
          <t>новое</t>
        </is>
      </c>
      <c r="H1199" s="11" t="inlineStr"/>
      <c r="I1199" s="37" t="inlineStr">
        <is>
          <t>10+</t>
        </is>
      </c>
      <c r="J1199" s="11">
        <f>IFERROR(INDEX('Уроки'!$H:$H,MATCH(F1199,'Уроки'!$A:$A,0)),"")</f>
        <v/>
      </c>
      <c r="K1199" s="11">
        <f>IFERROR(INDEX('Уроки'!$J:$J,MATCH(F1199,'Уроки'!$A:$A,0)),"")</f>
        <v/>
      </c>
      <c r="L1199" s="11" t="inlineStr">
        <is>
          <t>Spotlight / 9 класс / Module 8 · Challenges / Indefinite pronouns (some-/any-/no-/every-) / Indefinite pronouns: some/any/no + неисчисляемые и мн. ч.</t>
        </is>
      </c>
    </row>
    <row r="1200">
      <c r="A1200" s="37" t="n">
        <v>9</v>
      </c>
      <c r="B1200" s="11" t="inlineStr">
        <is>
          <t>Module 8 · Challenges</t>
        </is>
      </c>
      <c r="C1200" s="11" t="inlineStr">
        <is>
          <t>8d</t>
        </is>
      </c>
      <c r="D1200" s="11" t="inlineStr">
        <is>
          <t>Indefinite pronouns (some-/any-/no-/every-)</t>
        </is>
      </c>
      <c r="E1200" s="33" t="inlineStr">
        <is>
          <t>Indefinite pronouns: производные — люди, вещи, места (somebody, anything, nowhere)</t>
        </is>
      </c>
      <c r="F1200" s="11" t="inlineStr">
        <is>
          <t>Ст-420</t>
        </is>
      </c>
      <c r="G1200" s="40" t="inlineStr">
        <is>
          <t>новое</t>
        </is>
      </c>
      <c r="H1200" s="11" t="inlineStr">
        <is>
          <t>-body/-one, -thing, -where</t>
        </is>
      </c>
      <c r="I1200" s="37" t="inlineStr">
        <is>
          <t>10+</t>
        </is>
      </c>
      <c r="J1200" s="11">
        <f>IFERROR(INDEX('Уроки'!$H:$H,MATCH(F1200,'Уроки'!$A:$A,0)),"")</f>
        <v/>
      </c>
      <c r="K1200" s="11">
        <f>IFERROR(INDEX('Уроки'!$J:$J,MATCH(F1200,'Уроки'!$A:$A,0)),"")</f>
        <v/>
      </c>
      <c r="L1200" s="11" t="inlineStr">
        <is>
          <t>Spotlight / 9 класс / Module 8 · Challenges / Indefinite pronouns (some-/any-/no-/every-) / Indefinite pronouns: производные — люди, вещи, места (somebody, anything, nowhere)</t>
        </is>
      </c>
    </row>
    <row r="1201">
      <c r="A1201" s="37" t="n">
        <v>9</v>
      </c>
      <c r="B1201" s="11" t="inlineStr">
        <is>
          <t>Module 8 · Challenges</t>
        </is>
      </c>
      <c r="C1201" s="11" t="inlineStr">
        <is>
          <t>8d</t>
        </is>
      </c>
      <c r="D1201" s="11" t="inlineStr">
        <is>
          <t>Indefinite pronouns (some-/any-/no-/every-)</t>
        </is>
      </c>
      <c r="E1201" s="33" t="inlineStr">
        <is>
          <t>Indefinite pronouns: some- — в утверждениях</t>
        </is>
      </c>
      <c r="F1201" s="11" t="inlineStr">
        <is>
          <t>Ст-421</t>
        </is>
      </c>
      <c r="G1201" s="40" t="inlineStr">
        <is>
          <t>новое</t>
        </is>
      </c>
      <c r="H1201" s="11" t="inlineStr"/>
      <c r="I1201" s="37" t="inlineStr">
        <is>
          <t>10+</t>
        </is>
      </c>
      <c r="J1201" s="11">
        <f>IFERROR(INDEX('Уроки'!$H:$H,MATCH(F1201,'Уроки'!$A:$A,0)),"")</f>
        <v/>
      </c>
      <c r="K1201" s="11">
        <f>IFERROR(INDEX('Уроки'!$J:$J,MATCH(F1201,'Уроки'!$A:$A,0)),"")</f>
        <v/>
      </c>
      <c r="L1201" s="11" t="inlineStr">
        <is>
          <t>Spotlight / 9 класс / Module 8 · Challenges / Indefinite pronouns (some-/any-/no-/every-) / Indefinite pronouns: some- — в утверждениях</t>
        </is>
      </c>
    </row>
    <row r="1202">
      <c r="A1202" s="37" t="n">
        <v>9</v>
      </c>
      <c r="B1202" s="11" t="inlineStr">
        <is>
          <t>Module 8 · Challenges</t>
        </is>
      </c>
      <c r="C1202" s="11" t="inlineStr">
        <is>
          <t>8d</t>
        </is>
      </c>
      <c r="D1202" s="11" t="inlineStr">
        <is>
          <t>Indefinite pronouns (some-/any-/no-/every-)</t>
        </is>
      </c>
      <c r="E1202" s="35" t="inlineStr">
        <is>
          <t>Indefinite pronouns: some- в вопросах — предложения и просьбы</t>
        </is>
      </c>
      <c r="F1202" s="11" t="inlineStr">
        <is>
          <t>Ст-422</t>
        </is>
      </c>
      <c r="G1202" s="40" t="inlineStr">
        <is>
          <t>новое</t>
        </is>
      </c>
      <c r="H1202" s="11" t="inlineStr">
        <is>
          <t>Would you like some cake?</t>
        </is>
      </c>
      <c r="I1202" s="37" t="inlineStr">
        <is>
          <t>10+</t>
        </is>
      </c>
      <c r="J1202" s="11">
        <f>IFERROR(INDEX('Уроки'!$H:$H,MATCH(F1202,'Уроки'!$A:$A,0)),"")</f>
        <v/>
      </c>
      <c r="K1202" s="11">
        <f>IFERROR(INDEX('Уроки'!$J:$J,MATCH(F1202,'Уроки'!$A:$A,0)),"")</f>
        <v/>
      </c>
      <c r="L1202" s="11" t="inlineStr">
        <is>
          <t>Spotlight / 9 класс / Module 8 · Challenges / Indefinite pronouns (some-/any-/no-/every-) / Indefinite pronouns: some- в вопросах — предложения и просьбы</t>
        </is>
      </c>
    </row>
    <row r="1203">
      <c r="A1203" s="37" t="n">
        <v>9</v>
      </c>
      <c r="B1203" s="11" t="inlineStr">
        <is>
          <t>Module 8 · Challenges</t>
        </is>
      </c>
      <c r="C1203" s="11" t="inlineStr">
        <is>
          <t>8d</t>
        </is>
      </c>
      <c r="D1203" s="11" t="inlineStr">
        <is>
          <t>Indefinite pronouns (some-/any-/no-/every-)</t>
        </is>
      </c>
      <c r="E1203" s="33" t="inlineStr">
        <is>
          <t>Indefinite pronouns: any- — в вопросах</t>
        </is>
      </c>
      <c r="F1203" s="11" t="inlineStr">
        <is>
          <t>Ст-423</t>
        </is>
      </c>
      <c r="G1203" s="40" t="inlineStr">
        <is>
          <t>новое</t>
        </is>
      </c>
      <c r="H1203" s="11" t="inlineStr"/>
      <c r="I1203" s="37" t="inlineStr">
        <is>
          <t>10+</t>
        </is>
      </c>
      <c r="J1203" s="11">
        <f>IFERROR(INDEX('Уроки'!$H:$H,MATCH(F1203,'Уроки'!$A:$A,0)),"")</f>
        <v/>
      </c>
      <c r="K1203" s="11">
        <f>IFERROR(INDEX('Уроки'!$J:$J,MATCH(F1203,'Уроки'!$A:$A,0)),"")</f>
        <v/>
      </c>
      <c r="L1203" s="11" t="inlineStr">
        <is>
          <t>Spotlight / 9 класс / Module 8 · Challenges / Indefinite pronouns (some-/any-/no-/every-) / Indefinite pronouns: any- — в вопросах</t>
        </is>
      </c>
    </row>
    <row r="1204">
      <c r="A1204" s="37" t="n">
        <v>9</v>
      </c>
      <c r="B1204" s="11" t="inlineStr">
        <is>
          <t>Module 8 · Challenges</t>
        </is>
      </c>
      <c r="C1204" s="11" t="inlineStr">
        <is>
          <t>8d</t>
        </is>
      </c>
      <c r="D1204" s="11" t="inlineStr">
        <is>
          <t>Indefinite pronouns (some-/any-/no-/every-)</t>
        </is>
      </c>
      <c r="E1204" s="33" t="inlineStr">
        <is>
          <t>Indefinite pronouns: not any- в отрицаниях; any после without, never, rarely</t>
        </is>
      </c>
      <c r="F1204" s="11" t="inlineStr">
        <is>
          <t>Ст-424</t>
        </is>
      </c>
      <c r="G1204" s="40" t="inlineStr">
        <is>
          <t>новое</t>
        </is>
      </c>
      <c r="H1204" s="11" t="inlineStr"/>
      <c r="I1204" s="37" t="inlineStr">
        <is>
          <t>10+</t>
        </is>
      </c>
      <c r="J1204" s="11">
        <f>IFERROR(INDEX('Уроки'!$H:$H,MATCH(F1204,'Уроки'!$A:$A,0)),"")</f>
        <v/>
      </c>
      <c r="K1204" s="11">
        <f>IFERROR(INDEX('Уроки'!$J:$J,MATCH(F1204,'Уроки'!$A:$A,0)),"")</f>
        <v/>
      </c>
      <c r="L1204" s="11" t="inlineStr">
        <is>
          <t>Spotlight / 9 класс / Module 8 · Challenges / Indefinite pronouns (some-/any-/no-/every-) / Indefinite pronouns: not any- в отрицаниях; any после without, never, rarely</t>
        </is>
      </c>
    </row>
    <row r="1205">
      <c r="A1205" s="37" t="n">
        <v>9</v>
      </c>
      <c r="B1205" s="11" t="inlineStr">
        <is>
          <t>Module 8 · Challenges</t>
        </is>
      </c>
      <c r="C1205" s="11" t="inlineStr">
        <is>
          <t>8d</t>
        </is>
      </c>
      <c r="D1205" s="11" t="inlineStr">
        <is>
          <t>Indefinite pronouns (some-/any-/no-/every-)</t>
        </is>
      </c>
      <c r="E1205" s="35" t="inlineStr">
        <is>
          <t>Indefinite pronouns: any в утверждении = «любой, неважно кто/что»</t>
        </is>
      </c>
      <c r="F1205" s="11" t="inlineStr">
        <is>
          <t>Ст-425</t>
        </is>
      </c>
      <c r="G1205" s="40" t="inlineStr">
        <is>
          <t>новое</t>
        </is>
      </c>
      <c r="H1205" s="11" t="inlineStr"/>
      <c r="I1205" s="37" t="inlineStr">
        <is>
          <t>10+</t>
        </is>
      </c>
      <c r="J1205" s="11">
        <f>IFERROR(INDEX('Уроки'!$H:$H,MATCH(F1205,'Уроки'!$A:$A,0)),"")</f>
        <v/>
      </c>
      <c r="K1205" s="11">
        <f>IFERROR(INDEX('Уроки'!$J:$J,MATCH(F1205,'Уроки'!$A:$A,0)),"")</f>
        <v/>
      </c>
      <c r="L1205" s="11" t="inlineStr">
        <is>
          <t>Spotlight / 9 класс / Module 8 · Challenges / Indefinite pronouns (some-/any-/no-/every-) / Indefinite pronouns: any в утверждении = «любой, неважно кто/что»</t>
        </is>
      </c>
    </row>
    <row r="1206">
      <c r="A1206" s="37" t="n">
        <v>9</v>
      </c>
      <c r="B1206" s="11" t="inlineStr">
        <is>
          <t>Module 8 · Challenges</t>
        </is>
      </c>
      <c r="C1206" s="11" t="inlineStr">
        <is>
          <t>8d</t>
        </is>
      </c>
      <c r="D1206" s="11" t="inlineStr">
        <is>
          <t>Indefinite pronouns (some-/any-/no-/every-)</t>
        </is>
      </c>
      <c r="E1206" s="33" t="inlineStr">
        <is>
          <t>Indefinite pronouns: no- вместо not any (глагол утвердительный)</t>
        </is>
      </c>
      <c r="F1206" s="11" t="inlineStr">
        <is>
          <t>Ст-426</t>
        </is>
      </c>
      <c r="G1206" s="40" t="inlineStr">
        <is>
          <t>новое</t>
        </is>
      </c>
      <c r="H1206" s="11" t="inlineStr"/>
      <c r="I1206" s="37" t="inlineStr">
        <is>
          <t>10+</t>
        </is>
      </c>
      <c r="J1206" s="11">
        <f>IFERROR(INDEX('Уроки'!$H:$H,MATCH(F1206,'Уроки'!$A:$A,0)),"")</f>
        <v/>
      </c>
      <c r="K1206" s="11">
        <f>IFERROR(INDEX('Уроки'!$J:$J,MATCH(F1206,'Уроки'!$A:$A,0)),"")</f>
        <v/>
      </c>
      <c r="L1206" s="11" t="inlineStr">
        <is>
          <t>Spotlight / 9 класс / Module 8 · Challenges / Indefinite pronouns (some-/any-/no-/every-) / Indefinite pronouns: no- вместо not any (глагол утвердительный)</t>
        </is>
      </c>
    </row>
    <row r="1207">
      <c r="A1207" s="37" t="n">
        <v>9</v>
      </c>
      <c r="B1207" s="11" t="inlineStr">
        <is>
          <t>Module 8 · Challenges</t>
        </is>
      </c>
      <c r="C1207" s="11" t="inlineStr">
        <is>
          <t>8d</t>
        </is>
      </c>
      <c r="D1207" s="11" t="inlineStr">
        <is>
          <t>Indefinite pronouns (some-/any-/no-/every-)</t>
        </is>
      </c>
      <c r="E1207" s="33" t="inlineStr">
        <is>
          <t>Indefinite pronouns: hardly any</t>
        </is>
      </c>
      <c r="F1207" s="11" t="inlineStr">
        <is>
          <t>Ст-427</t>
        </is>
      </c>
      <c r="G1207" s="40" t="inlineStr">
        <is>
          <t>новое</t>
        </is>
      </c>
      <c r="H1207" s="11" t="inlineStr"/>
      <c r="I1207" s="37" t="inlineStr">
        <is>
          <t>10+</t>
        </is>
      </c>
      <c r="J1207" s="11">
        <f>IFERROR(INDEX('Уроки'!$H:$H,MATCH(F1207,'Уроки'!$A:$A,0)),"")</f>
        <v/>
      </c>
      <c r="K1207" s="11">
        <f>IFERROR(INDEX('Уроки'!$J:$J,MATCH(F1207,'Уроки'!$A:$A,0)),"")</f>
        <v/>
      </c>
      <c r="L1207" s="11" t="inlineStr">
        <is>
          <t>Spotlight / 9 класс / Module 8 · Challenges / Indefinite pronouns (some-/any-/no-/every-) / Indefinite pronouns: hardly any</t>
        </is>
      </c>
    </row>
    <row r="1208">
      <c r="A1208" s="37" t="n">
        <v>9</v>
      </c>
      <c r="B1208" s="11" t="inlineStr">
        <is>
          <t>Module 8 · Challenges</t>
        </is>
      </c>
      <c r="C1208" s="11" t="inlineStr">
        <is>
          <t>8d</t>
        </is>
      </c>
      <c r="D1208" s="11" t="inlineStr">
        <is>
          <t>Indefinite pronouns (some-/any-/no-/every-)</t>
        </is>
      </c>
      <c r="E1208" s="35" t="inlineStr">
        <is>
          <t>Indefinite pronouns: every + ед. ч.; everybody, everything, everywhere</t>
        </is>
      </c>
      <c r="F1208" s="11" t="inlineStr">
        <is>
          <t>Ст-428</t>
        </is>
      </c>
      <c r="G1208" s="40" t="inlineStr">
        <is>
          <t>новое</t>
        </is>
      </c>
      <c r="H1208" s="11" t="inlineStr"/>
      <c r="I1208" s="37" t="inlineStr">
        <is>
          <t>10+</t>
        </is>
      </c>
      <c r="J1208" s="11">
        <f>IFERROR(INDEX('Уроки'!$H:$H,MATCH(F1208,'Уроки'!$A:$A,0)),"")</f>
        <v/>
      </c>
      <c r="K1208" s="11">
        <f>IFERROR(INDEX('Уроки'!$J:$J,MATCH(F1208,'Уроки'!$A:$A,0)),"")</f>
        <v/>
      </c>
      <c r="L1208" s="11" t="inlineStr">
        <is>
          <t>Spotlight / 9 класс / Module 8 · Challenges / Indefinite pronouns (some-/any-/no-/every-) / Indefinite pronouns: every + ед. ч.; everybody, everything, everywhere</t>
        </is>
      </c>
    </row>
    <row r="1209">
      <c r="A1209" s="37" t="n">
        <v>9</v>
      </c>
      <c r="B1209" s="11" t="inlineStr">
        <is>
          <t>Module 8 · Challenges</t>
        </is>
      </c>
      <c r="C1209" s="11" t="inlineStr">
        <is>
          <t>8d</t>
        </is>
      </c>
      <c r="D1209" s="11" t="inlineStr">
        <is>
          <t>Indefinite pronouns (some-/any-/no-/every-)</t>
        </is>
      </c>
      <c r="E1209" s="35" t="inlineStr">
        <is>
          <t>Indefinite pronouns: глагол после производных — в ед. ч.</t>
        </is>
      </c>
      <c r="F1209" s="11" t="inlineStr">
        <is>
          <t>Ст-429</t>
        </is>
      </c>
      <c r="G1209" s="40" t="inlineStr">
        <is>
          <t>новое</t>
        </is>
      </c>
      <c r="H1209" s="11" t="inlineStr"/>
      <c r="I1209" s="37" t="inlineStr">
        <is>
          <t>10+</t>
        </is>
      </c>
      <c r="J1209" s="11">
        <f>IFERROR(INDEX('Уроки'!$H:$H,MATCH(F1209,'Уроки'!$A:$A,0)),"")</f>
        <v/>
      </c>
      <c r="K1209" s="11">
        <f>IFERROR(INDEX('Уроки'!$J:$J,MATCH(F1209,'Уроки'!$A:$A,0)),"")</f>
        <v/>
      </c>
      <c r="L1209" s="11" t="inlineStr">
        <is>
          <t>Spotlight / 9 класс / Module 8 · Challenges / Indefinite pronouns (some-/any-/no-/every-) / Indefinite pronouns: глагол после производных — в ед. ч.</t>
        </is>
      </c>
    </row>
    <row r="1210">
      <c r="A1210" s="37" t="n">
        <v>9</v>
      </c>
      <c r="B1210" s="11" t="inlineStr">
        <is>
          <t>Module 8 · Challenges</t>
        </is>
      </c>
      <c r="C1210" s="11" t="inlineStr">
        <is>
          <t>8d</t>
        </is>
      </c>
      <c r="D1210" s="11" t="inlineStr">
        <is>
          <t>Question tags</t>
        </is>
      </c>
      <c r="E1210" s="33" t="inlineStr">
        <is>
          <t>Question tags: образование — вспомогательный глагол + местоимение (do/does)</t>
        </is>
      </c>
      <c r="F1210" s="11" t="inlineStr">
        <is>
          <t>Ст-515</t>
        </is>
      </c>
      <c r="G1210" s="41" t="inlineStr">
        <is>
          <t>расширение</t>
        </is>
      </c>
      <c r="H1210" s="11" t="inlineStr">
        <is>
          <t>добавлено did; do/does/did при отсутствии вспомогательного</t>
        </is>
      </c>
      <c r="I1210" s="37" t="inlineStr">
        <is>
          <t>10+</t>
        </is>
      </c>
      <c r="J1210" s="11">
        <f>IFERROR(INDEX('Уроки'!$H:$H,MATCH(F1210,'Уроки'!$A:$A,0)),"")</f>
        <v/>
      </c>
      <c r="K1210" s="11">
        <f>IFERROR(INDEX('Уроки'!$J:$J,MATCH(F1210,'Уроки'!$A:$A,0)),"")</f>
        <v/>
      </c>
      <c r="L1210" s="11" t="inlineStr">
        <is>
          <t>Spotlight / 9 класс / Module 8 · Challenges / Question tags / Question tags: образование — вспомогательный глагол + местоимение (do/does)</t>
        </is>
      </c>
    </row>
    <row r="1211">
      <c r="A1211" s="37" t="n">
        <v>9</v>
      </c>
      <c r="B1211" s="11" t="inlineStr">
        <is>
          <t>Module 8 · Challenges</t>
        </is>
      </c>
      <c r="C1211" s="11" t="inlineStr">
        <is>
          <t>8d</t>
        </is>
      </c>
      <c r="D1211" s="11" t="inlineStr">
        <is>
          <t>Question tags</t>
        </is>
      </c>
      <c r="E1211" s="33" t="inlineStr">
        <is>
          <t>Question tags: с be и модальными глаголами (isn't she, can't she)</t>
        </is>
      </c>
      <c r="F1211" s="11" t="inlineStr">
        <is>
          <t>Ст-516</t>
        </is>
      </c>
      <c r="G1211" s="37" t="inlineStr">
        <is>
          <t>повторение</t>
        </is>
      </c>
      <c r="H1211" s="11" t="inlineStr"/>
      <c r="I1211" s="37" t="inlineStr">
        <is>
          <t>10+</t>
        </is>
      </c>
      <c r="J1211" s="11">
        <f>IFERROR(INDEX('Уроки'!$H:$H,MATCH(F1211,'Уроки'!$A:$A,0)),"")</f>
        <v/>
      </c>
      <c r="K1211" s="11">
        <f>IFERROR(INDEX('Уроки'!$J:$J,MATCH(F1211,'Уроки'!$A:$A,0)),"")</f>
        <v/>
      </c>
      <c r="L1211" s="11" t="inlineStr">
        <is>
          <t>Spotlight / 9 класс / Module 8 · Challenges / Question tags / Question tags: с be и модальными глаголами (isn't she, can't she)</t>
        </is>
      </c>
    </row>
    <row r="1212">
      <c r="A1212" s="37" t="n">
        <v>9</v>
      </c>
      <c r="B1212" s="11" t="inlineStr">
        <is>
          <t>Module 8 · Challenges</t>
        </is>
      </c>
      <c r="C1212" s="11" t="inlineStr">
        <is>
          <t>8d</t>
        </is>
      </c>
      <c r="D1212" s="11" t="inlineStr">
        <is>
          <t>Question tags</t>
        </is>
      </c>
      <c r="E1212" s="33" t="inlineStr">
        <is>
          <t>Question tags: утверждение → отрицательный хвост, отрицание → утвердительный</t>
        </is>
      </c>
      <c r="F1212" s="11" t="inlineStr">
        <is>
          <t>Ст-517</t>
        </is>
      </c>
      <c r="G1212" s="37" t="inlineStr">
        <is>
          <t>повторение</t>
        </is>
      </c>
      <c r="H1212" s="11" t="inlineStr"/>
      <c r="I1212" s="37" t="inlineStr">
        <is>
          <t>10+</t>
        </is>
      </c>
      <c r="J1212" s="11">
        <f>IFERROR(INDEX('Уроки'!$H:$H,MATCH(F1212,'Уроки'!$A:$A,0)),"")</f>
        <v/>
      </c>
      <c r="K1212" s="11">
        <f>IFERROR(INDEX('Уроки'!$J:$J,MATCH(F1212,'Уроки'!$A:$A,0)),"")</f>
        <v/>
      </c>
      <c r="L1212" s="11" t="inlineStr">
        <is>
          <t>Spotlight / 9 класс / Module 8 · Challenges / Question tags / Question tags: утверждение → отрицательный хвост, отрицание → утвердительный</t>
        </is>
      </c>
    </row>
    <row r="1213">
      <c r="A1213" s="37" t="n">
        <v>9</v>
      </c>
      <c r="B1213" s="11" t="inlineStr">
        <is>
          <t>Module 8 · Challenges</t>
        </is>
      </c>
      <c r="C1213" s="11" t="inlineStr">
        <is>
          <t>8d</t>
        </is>
      </c>
      <c r="D1213" s="11" t="inlineStr">
        <is>
          <t>Question tags</t>
        </is>
      </c>
      <c r="E1213" s="34" t="inlineStr">
        <is>
          <t>Question tags: I am → aren't I?</t>
        </is>
      </c>
      <c r="F1213" s="11" t="inlineStr">
        <is>
          <t>Ст-520</t>
        </is>
      </c>
      <c r="G1213" s="40" t="inlineStr">
        <is>
          <t>новое</t>
        </is>
      </c>
      <c r="H1213" s="11" t="inlineStr">
        <is>
          <t>I am late, aren't I?</t>
        </is>
      </c>
      <c r="I1213" s="37" t="inlineStr">
        <is>
          <t>10+</t>
        </is>
      </c>
      <c r="J1213" s="11">
        <f>IFERROR(INDEX('Уроки'!$H:$H,MATCH(F1213,'Уроки'!$A:$A,0)),"")</f>
        <v/>
      </c>
      <c r="K1213" s="11">
        <f>IFERROR(INDEX('Уроки'!$J:$J,MATCH(F1213,'Уроки'!$A:$A,0)),"")</f>
        <v/>
      </c>
      <c r="L1213" s="11" t="inlineStr">
        <is>
          <t>Spotlight / 9 класс / Module 8 · Challenges / Question tags / Question tags: I am → aren't I?</t>
        </is>
      </c>
    </row>
    <row r="1214">
      <c r="A1214" s="37" t="n">
        <v>9</v>
      </c>
      <c r="B1214" s="11" t="inlineStr">
        <is>
          <t>Module 8 · Challenges</t>
        </is>
      </c>
      <c r="C1214" s="11" t="inlineStr">
        <is>
          <t>8d</t>
        </is>
      </c>
      <c r="D1214" s="11" t="inlineStr">
        <is>
          <t>Question tags</t>
        </is>
      </c>
      <c r="E1214" s="34" t="inlineStr">
        <is>
          <t>Question tags: Let's → shall we? / Let me → will you?</t>
        </is>
      </c>
      <c r="F1214" s="11" t="inlineStr">
        <is>
          <t>Ст-521</t>
        </is>
      </c>
      <c r="G1214" s="40" t="inlineStr">
        <is>
          <t>новое</t>
        </is>
      </c>
      <c r="H1214" s="11" t="inlineStr">
        <is>
          <t>Let's → shall we?; Let me/him → will you/won't you?</t>
        </is>
      </c>
      <c r="I1214" s="37" t="inlineStr">
        <is>
          <t>10+</t>
        </is>
      </c>
      <c r="J1214" s="11">
        <f>IFERROR(INDEX('Уроки'!$H:$H,MATCH(F1214,'Уроки'!$A:$A,0)),"")</f>
        <v/>
      </c>
      <c r="K1214" s="11">
        <f>IFERROR(INDEX('Уроки'!$J:$J,MATCH(F1214,'Уроки'!$A:$A,0)),"")</f>
        <v/>
      </c>
      <c r="L1214" s="11" t="inlineStr">
        <is>
          <t>Spotlight / 9 класс / Module 8 · Challenges / Question tags / Question tags: Let's → shall we? / Let me → will you?</t>
        </is>
      </c>
    </row>
    <row r="1215">
      <c r="A1215" s="37" t="n">
        <v>9</v>
      </c>
      <c r="B1215" s="11" t="inlineStr">
        <is>
          <t>Module 8 · Challenges</t>
        </is>
      </c>
      <c r="C1215" s="11" t="inlineStr">
        <is>
          <t>8d</t>
        </is>
      </c>
      <c r="D1215" s="11" t="inlineStr">
        <is>
          <t>Question tags</t>
        </is>
      </c>
      <c r="E1215" s="34" t="inlineStr">
        <is>
          <t>Question tags: повелительное наклонение → will you?</t>
        </is>
      </c>
      <c r="F1215" s="11" t="inlineStr">
        <is>
          <t>Ст-522</t>
        </is>
      </c>
      <c r="G1215" s="40" t="inlineStr">
        <is>
          <t>новое</t>
        </is>
      </c>
      <c r="H1215" s="11" t="inlineStr">
        <is>
          <t>отрицательный императив → will you?</t>
        </is>
      </c>
      <c r="I1215" s="37" t="inlineStr">
        <is>
          <t>10+</t>
        </is>
      </c>
      <c r="J1215" s="11">
        <f>IFERROR(INDEX('Уроки'!$H:$H,MATCH(F1215,'Уроки'!$A:$A,0)),"")</f>
        <v/>
      </c>
      <c r="K1215" s="11">
        <f>IFERROR(INDEX('Уроки'!$J:$J,MATCH(F1215,'Уроки'!$A:$A,0)),"")</f>
        <v/>
      </c>
      <c r="L1215" s="11" t="inlineStr">
        <is>
          <t>Spotlight / 9 класс / Module 8 · Challenges / Question tags / Question tags: повелительное наклонение → will you?</t>
        </is>
      </c>
    </row>
    <row r="1216">
      <c r="A1216" s="37" t="n">
        <v>9</v>
      </c>
      <c r="B1216" s="11" t="inlineStr">
        <is>
          <t>Module 8 · Challenges</t>
        </is>
      </c>
      <c r="C1216" s="11" t="inlineStr">
        <is>
          <t>8d</t>
        </is>
      </c>
      <c r="D1216" s="11" t="inlineStr">
        <is>
          <t>Question tags</t>
        </is>
      </c>
      <c r="E1216" s="35" t="inlineStr">
        <is>
          <t>Question tags: have (владеть) → haven't I? vs have в идиоме → don't I?</t>
        </is>
      </c>
      <c r="F1216" s="11" t="inlineStr">
        <is>
          <t>Ст-523</t>
        </is>
      </c>
      <c r="G1216" s="40" t="inlineStr">
        <is>
          <t>новое</t>
        </is>
      </c>
      <c r="H1216" s="11" t="inlineStr">
        <is>
          <t>I have (владеть) → haven't I?; идиома → don't/didn't I?</t>
        </is>
      </c>
      <c r="I1216" s="37" t="inlineStr">
        <is>
          <t>10+</t>
        </is>
      </c>
      <c r="J1216" s="11">
        <f>IFERROR(INDEX('Уроки'!$H:$H,MATCH(F1216,'Уроки'!$A:$A,0)),"")</f>
        <v/>
      </c>
      <c r="K1216" s="11">
        <f>IFERROR(INDEX('Уроки'!$J:$J,MATCH(F1216,'Уроки'!$A:$A,0)),"")</f>
        <v/>
      </c>
      <c r="L1216" s="11" t="inlineStr">
        <is>
          <t>Spotlight / 9 класс / Module 8 · Challenges / Question tags / Question tags: have (владеть) → haven't I? vs have в идиоме → don't I?</t>
        </is>
      </c>
    </row>
    <row r="1217">
      <c r="A1217" s="37" t="n">
        <v>9</v>
      </c>
      <c r="B1217" s="11" t="inlineStr">
        <is>
          <t>Module 8 · Challenges</t>
        </is>
      </c>
      <c r="C1217" s="11" t="inlineStr">
        <is>
          <t>8d</t>
        </is>
      </c>
      <c r="D1217" s="11" t="inlineStr">
        <is>
          <t>Question tags</t>
        </is>
      </c>
      <c r="E1217" s="35" t="inlineStr">
        <is>
          <t>Question tags: This/That is → isn't it?</t>
        </is>
      </c>
      <c r="F1217" s="11" t="inlineStr">
        <is>
          <t>Ст-524</t>
        </is>
      </c>
      <c r="G1217" s="40" t="inlineStr">
        <is>
          <t>новое</t>
        </is>
      </c>
      <c r="H1217" s="11" t="inlineStr">
        <is>
          <t>This/That is → isn't it?</t>
        </is>
      </c>
      <c r="I1217" s="37" t="inlineStr">
        <is>
          <t>10+</t>
        </is>
      </c>
      <c r="J1217" s="11">
        <f>IFERROR(INDEX('Уроки'!$H:$H,MATCH(F1217,'Уроки'!$A:$A,0)),"")</f>
        <v/>
      </c>
      <c r="K1217" s="11">
        <f>IFERROR(INDEX('Уроки'!$J:$J,MATCH(F1217,'Уроки'!$A:$A,0)),"")</f>
        <v/>
      </c>
      <c r="L1217" s="11" t="inlineStr">
        <is>
          <t>Spotlight / 9 класс / Module 8 · Challenges / Question tags / Question tags: This/That is → isn't it?</t>
        </is>
      </c>
    </row>
    <row r="1218">
      <c r="A1218" s="37" t="n">
        <v>9</v>
      </c>
      <c r="B1218" s="11" t="inlineStr">
        <is>
          <t>Module 8 · Challenges</t>
        </is>
      </c>
      <c r="C1218" s="11" t="inlineStr">
        <is>
          <t>8c</t>
        </is>
      </c>
      <c r="D1218" s="11" t="inlineStr">
        <is>
          <t>Reported questions</t>
        </is>
      </c>
      <c r="E1218" s="35" t="inlineStr">
        <is>
          <t>Reported questions: специальные вопросы — то же вопросительное слово</t>
        </is>
      </c>
      <c r="F1218" s="11" t="inlineStr">
        <is>
          <t>Ст-543</t>
        </is>
      </c>
      <c r="G1218" s="37" t="inlineStr">
        <is>
          <t>повторение</t>
        </is>
      </c>
      <c r="H1218" s="11" t="inlineStr"/>
      <c r="I1218" s="37" t="inlineStr">
        <is>
          <t>10+</t>
        </is>
      </c>
      <c r="J1218" s="11">
        <f>IFERROR(INDEX('Уроки'!$H:$H,MATCH(F1218,'Уроки'!$A:$A,0)),"")</f>
        <v/>
      </c>
      <c r="K1218" s="11">
        <f>IFERROR(INDEX('Уроки'!$J:$J,MATCH(F1218,'Уроки'!$A:$A,0)),"")</f>
        <v/>
      </c>
      <c r="L1218" s="11" t="inlineStr">
        <is>
          <t>Spotlight / 9 класс / Module 8 · Challenges / Reported questions / Reported questions: специальные вопросы — то же вопросительное слово</t>
        </is>
      </c>
    </row>
    <row r="1219">
      <c r="A1219" s="37" t="n">
        <v>9</v>
      </c>
      <c r="B1219" s="11" t="inlineStr">
        <is>
          <t>Module 8 · Challenges</t>
        </is>
      </c>
      <c r="C1219" s="11" t="inlineStr">
        <is>
          <t>8c</t>
        </is>
      </c>
      <c r="D1219" s="11" t="inlineStr">
        <is>
          <t>Reported questions</t>
        </is>
      </c>
      <c r="E1219" s="35" t="inlineStr">
        <is>
          <t>Reported questions: общие вопросы — if/whether</t>
        </is>
      </c>
      <c r="F1219" s="11" t="inlineStr">
        <is>
          <t>Ст-544</t>
        </is>
      </c>
      <c r="G1219" s="37" t="inlineStr">
        <is>
          <t>повторение</t>
        </is>
      </c>
      <c r="H1219" s="11" t="inlineStr"/>
      <c r="I1219" s="37" t="inlineStr">
        <is>
          <t>10+</t>
        </is>
      </c>
      <c r="J1219" s="11">
        <f>IFERROR(INDEX('Уроки'!$H:$H,MATCH(F1219,'Уроки'!$A:$A,0)),"")</f>
        <v/>
      </c>
      <c r="K1219" s="11">
        <f>IFERROR(INDEX('Уроки'!$J:$J,MATCH(F1219,'Уроки'!$A:$A,0)),"")</f>
        <v/>
      </c>
      <c r="L1219" s="11" t="inlineStr">
        <is>
          <t>Spotlight / 9 класс / Module 8 · Challenges / Reported questions / Reported questions: общие вопросы — if/whether</t>
        </is>
      </c>
    </row>
    <row r="1220">
      <c r="A1220" s="37" t="n">
        <v>9</v>
      </c>
      <c r="B1220" s="11" t="inlineStr">
        <is>
          <t>Module 8 · Challenges</t>
        </is>
      </c>
      <c r="C1220" s="11" t="inlineStr">
        <is>
          <t>8c</t>
        </is>
      </c>
      <c r="D1220" s="11" t="inlineStr">
        <is>
          <t>Reported questions</t>
        </is>
      </c>
      <c r="E1220" s="35" t="inlineStr">
        <is>
          <t>Reported questions: прямой порядок слов, без «?», без please/well/oh</t>
        </is>
      </c>
      <c r="F1220" s="11" t="inlineStr">
        <is>
          <t>Ст-545</t>
        </is>
      </c>
      <c r="G1220" s="37" t="inlineStr">
        <is>
          <t>повторение</t>
        </is>
      </c>
      <c r="H1220" s="11" t="inlineStr"/>
      <c r="I1220" s="37" t="inlineStr">
        <is>
          <t>10+</t>
        </is>
      </c>
      <c r="J1220" s="11">
        <f>IFERROR(INDEX('Уроки'!$H:$H,MATCH(F1220,'Уроки'!$A:$A,0)),"")</f>
        <v/>
      </c>
      <c r="K1220" s="11">
        <f>IFERROR(INDEX('Уроки'!$J:$J,MATCH(F1220,'Уроки'!$A:$A,0)),"")</f>
        <v/>
      </c>
      <c r="L1220" s="11" t="inlineStr">
        <is>
          <t>Spotlight / 9 класс / Module 8 · Challenges / Reported questions / Reported questions: прямой порядок слов, без «?», без please/well/oh</t>
        </is>
      </c>
    </row>
    <row r="1221">
      <c r="A1221" s="37" t="n">
        <v>9</v>
      </c>
      <c r="B1221" s="11" t="inlineStr">
        <is>
          <t>Module 8 · Challenges</t>
        </is>
      </c>
      <c r="C1221" s="11" t="inlineStr">
        <is>
          <t>8f</t>
        </is>
      </c>
      <c r="D1221" s="11" t="inlineStr">
        <is>
          <t>Phrasal verbs</t>
        </is>
      </c>
      <c r="E1221" s="35" t="inlineStr">
        <is>
          <t>Phrasal verbs: carry</t>
        </is>
      </c>
      <c r="F1221" s="11" t="inlineStr">
        <is>
          <t>Ст-594</t>
        </is>
      </c>
      <c r="G1221" s="40" t="inlineStr">
        <is>
          <t>новое</t>
        </is>
      </c>
      <c r="H1221" s="11" t="inlineStr">
        <is>
          <t>carry: carry away (увлечься), carry off (справляться), carry on (продолжать что-либо делать), carry out (выполнять), carry through (доводить до конца).</t>
        </is>
      </c>
      <c r="I1221" s="37" t="inlineStr">
        <is>
          <t>10+</t>
        </is>
      </c>
      <c r="J1221" s="11">
        <f>IFERROR(INDEX('Уроки'!$H:$H,MATCH(F1221,'Уроки'!$A:$A,0)),"")</f>
        <v/>
      </c>
      <c r="K1221" s="11">
        <f>IFERROR(INDEX('Уроки'!$J:$J,MATCH(F1221,'Уроки'!$A:$A,0)),"")</f>
        <v/>
      </c>
      <c r="L1221" s="11" t="inlineStr">
        <is>
          <t>Spotlight / 9 класс / Module 8 · Challenges / Phrasal verbs / Phrasal verbs: carry</t>
        </is>
      </c>
    </row>
    <row r="1222">
      <c r="A1222" s="37" t="n">
        <v>9</v>
      </c>
      <c r="B1222" s="11" t="inlineStr">
        <is>
          <t>Module 8 · Challenges</t>
        </is>
      </c>
      <c r="C1222" s="11" t="inlineStr">
        <is>
          <t>8f</t>
        </is>
      </c>
      <c r="D1222" s="11" t="inlineStr">
        <is>
          <t>Word formation</t>
        </is>
      </c>
      <c r="E1222" s="35" t="inlineStr">
        <is>
          <t>Word formation: revision</t>
        </is>
      </c>
      <c r="F1222" s="11" t="inlineStr">
        <is>
          <t>Ст-626</t>
        </is>
      </c>
      <c r="G1222" s="40" t="inlineStr">
        <is>
          <t>новое</t>
        </is>
      </c>
      <c r="H1222" s="11" t="inlineStr">
        <is>
          <t>Word formation: повторение словообразования (word formation: revision).</t>
        </is>
      </c>
      <c r="I1222" s="37" t="inlineStr">
        <is>
          <t>10+</t>
        </is>
      </c>
      <c r="J1222" s="11">
        <f>IFERROR(INDEX('Уроки'!$H:$H,MATCH(F1222,'Уроки'!$A:$A,0)),"")</f>
        <v/>
      </c>
      <c r="K1222" s="11">
        <f>IFERROR(INDEX('Уроки'!$J:$J,MATCH(F1222,'Уроки'!$A:$A,0)),"")</f>
        <v/>
      </c>
      <c r="L1222" s="11" t="inlineStr">
        <is>
          <t>Spotlight / 9 класс / Module 8 · Challenges / Word formation / Word formation: revision</t>
        </is>
      </c>
    </row>
    <row r="1223">
      <c r="A1223" s="37" t="n">
        <v>9</v>
      </c>
      <c r="B1223" s="11" t="inlineStr">
        <is>
          <t>Module 8 · Challenges</t>
        </is>
      </c>
      <c r="C1223" s="11" t="inlineStr">
        <is>
          <t>8f</t>
        </is>
      </c>
      <c r="D1223" s="11" t="inlineStr">
        <is>
          <t>Words often confused</t>
        </is>
      </c>
      <c r="E1223" s="35" t="inlineStr">
        <is>
          <t>Words often confused</t>
        </is>
      </c>
      <c r="F1223" s="11" t="inlineStr">
        <is>
          <t>Ст-635</t>
        </is>
      </c>
      <c r="G1223" s="37" t="inlineStr">
        <is>
          <t>повторение</t>
        </is>
      </c>
      <c r="H1223" s="11" t="inlineStr">
        <is>
          <t>Words often confused — слова, которые часто путают (заголовок раздела English in Use).</t>
        </is>
      </c>
      <c r="I1223" s="37" t="inlineStr">
        <is>
          <t>10+</t>
        </is>
      </c>
      <c r="J1223" s="11">
        <f>IFERROR(INDEX('Уроки'!$H:$H,MATCH(F1223,'Уроки'!$A:$A,0)),"")</f>
        <v/>
      </c>
      <c r="K1223" s="11">
        <f>IFERROR(INDEX('Уроки'!$J:$J,MATCH(F1223,'Уроки'!$A:$A,0)),"")</f>
        <v/>
      </c>
      <c r="L1223" s="11" t="inlineStr">
        <is>
          <t>Spotlight / 9 класс / Module 8 · Challenges / Words often confused / Words often confused</t>
        </is>
      </c>
    </row>
    <row r="1224">
      <c r="A1224" s="37" t="n">
        <v>10</v>
      </c>
      <c r="B1224" s="11" t="inlineStr">
        <is>
          <t>Irregular Verbs</t>
        </is>
      </c>
      <c r="C1224" s="11" t="inlineStr"/>
      <c r="D1224" s="11" t="inlineStr">
        <is>
          <t>Irregular verbs (list)</t>
        </is>
      </c>
      <c r="E1224" s="35" t="inlineStr">
        <is>
          <t>Irregular verbs: таблица Infinitive – Past – Past Participle</t>
        </is>
      </c>
      <c r="F1224" s="11" t="inlineStr">
        <is>
          <t>Ст-214</t>
        </is>
      </c>
      <c r="G1224" s="37" t="inlineStr">
        <is>
          <t>повторение</t>
        </is>
      </c>
      <c r="H1224" s="11" t="inlineStr"/>
      <c r="I1224" s="37" t="inlineStr">
        <is>
          <t>10+</t>
        </is>
      </c>
      <c r="J1224" s="11">
        <f>IFERROR(INDEX('Уроки'!$H:$H,MATCH(F1224,'Уроки'!$A:$A,0)),"")</f>
        <v/>
      </c>
      <c r="K1224" s="11">
        <f>IFERROR(INDEX('Уроки'!$J:$J,MATCH(F1224,'Уроки'!$A:$A,0)),"")</f>
        <v/>
      </c>
      <c r="L1224" s="11" t="inlineStr">
        <is>
          <t>Spotlight / 10 класс / Irregular Verbs / Irregular verbs (list) / Irregular verbs: таблица Infinitive – Past – Past Participle</t>
        </is>
      </c>
    </row>
    <row r="1225">
      <c r="A1225" s="37" t="n">
        <v>10</v>
      </c>
      <c r="B1225" s="11" t="inlineStr">
        <is>
          <t>Irregular Verbs</t>
        </is>
      </c>
      <c r="C1225" s="11" t="inlineStr"/>
      <c r="D1225" s="11" t="inlineStr">
        <is>
          <t>Irregular verbs (list)</t>
        </is>
      </c>
      <c r="E1225" s="35" t="inlineStr">
        <is>
          <t>Irregular verbs: двойные и особые формы (burnt/burned, got/gotten, can – could)</t>
        </is>
      </c>
      <c r="F1225" s="11" t="inlineStr">
        <is>
          <t>Ст-215</t>
        </is>
      </c>
      <c r="G1225" s="37" t="inlineStr">
        <is>
          <t>повторение</t>
        </is>
      </c>
      <c r="H1225" s="11" t="inlineStr">
        <is>
          <t>sew – sewn</t>
        </is>
      </c>
      <c r="I1225" s="37" t="inlineStr">
        <is>
          <t>10+</t>
        </is>
      </c>
      <c r="J1225" s="11">
        <f>IFERROR(INDEX('Уроки'!$H:$H,MATCH(F1225,'Уроки'!$A:$A,0)),"")</f>
        <v/>
      </c>
      <c r="K1225" s="11">
        <f>IFERROR(INDEX('Уроки'!$J:$J,MATCH(F1225,'Уроки'!$A:$A,0)),"")</f>
        <v/>
      </c>
      <c r="L1225" s="11" t="inlineStr">
        <is>
          <t>Spotlight / 10 класс / Irregular Verbs / Irregular verbs (list) / Irregular verbs: двойные и особые формы (burnt/burned, got/gotten, can – could)</t>
        </is>
      </c>
    </row>
    <row r="1226">
      <c r="A1226" s="37" t="n">
        <v>10</v>
      </c>
      <c r="B1226" s="11" t="inlineStr">
        <is>
          <t>Module 1 · Strong ties</t>
        </is>
      </c>
      <c r="C1226" s="11" t="inlineStr">
        <is>
          <t>1c</t>
        </is>
      </c>
      <c r="D1226" s="11" t="inlineStr">
        <is>
          <t>Present Continuous</t>
        </is>
      </c>
      <c r="E1226" s="35" t="inlineStr">
        <is>
          <t>Present Continuous: утверждение (am/is/are + V-ing)</t>
        </is>
      </c>
      <c r="F1226" s="11" t="inlineStr">
        <is>
          <t>Ст-015</t>
        </is>
      </c>
      <c r="G1226" s="37" t="inlineStr">
        <is>
          <t>повторение</t>
        </is>
      </c>
      <c r="H1226" s="11" t="inlineStr"/>
      <c r="I1226" s="37" t="inlineStr">
        <is>
          <t>10+</t>
        </is>
      </c>
      <c r="J1226" s="11">
        <f>IFERROR(INDEX('Уроки'!$H:$H,MATCH(F1226,'Уроки'!$A:$A,0)),"")</f>
        <v/>
      </c>
      <c r="K1226" s="11">
        <f>IFERROR(INDEX('Уроки'!$J:$J,MATCH(F1226,'Уроки'!$A:$A,0)),"")</f>
        <v/>
      </c>
      <c r="L1226" s="11" t="inlineStr">
        <is>
          <t>Spotlight / 10 класс / Module 1 · Strong ties / Present Continuous / Present Continuous: утверждение (am/is/are + V-ing)</t>
        </is>
      </c>
    </row>
    <row r="1227">
      <c r="A1227" s="37" t="n">
        <v>10</v>
      </c>
      <c r="B1227" s="11" t="inlineStr">
        <is>
          <t>Module 1 · Strong ties</t>
        </is>
      </c>
      <c r="C1227" s="11" t="inlineStr">
        <is>
          <t>1c</t>
        </is>
      </c>
      <c r="D1227" s="11" t="inlineStr">
        <is>
          <t>Present Continuous</t>
        </is>
      </c>
      <c r="E1227" s="35" t="inlineStr">
        <is>
          <t>Present Continuous: орфография -ing</t>
        </is>
      </c>
      <c r="F1227" s="11" t="inlineStr">
        <is>
          <t>Ст-019</t>
        </is>
      </c>
      <c r="G1227" s="37" t="inlineStr">
        <is>
          <t>повторение</t>
        </is>
      </c>
      <c r="H1227" s="11" t="inlineStr"/>
      <c r="I1227" s="37" t="inlineStr">
        <is>
          <t>10+</t>
        </is>
      </c>
      <c r="J1227" s="11">
        <f>IFERROR(INDEX('Уроки'!$H:$H,MATCH(F1227,'Уроки'!$A:$A,0)),"")</f>
        <v/>
      </c>
      <c r="K1227" s="11">
        <f>IFERROR(INDEX('Уроки'!$J:$J,MATCH(F1227,'Уроки'!$A:$A,0)),"")</f>
        <v/>
      </c>
      <c r="L1227" s="11" t="inlineStr">
        <is>
          <t>Spotlight / 10 класс / Module 1 · Strong ties / Present Continuous / Present Continuous: орфография -ing</t>
        </is>
      </c>
    </row>
    <row r="1228">
      <c r="A1228" s="37" t="n">
        <v>10</v>
      </c>
      <c r="B1228" s="11" t="inlineStr">
        <is>
          <t>Module 1 · Strong ties</t>
        </is>
      </c>
      <c r="C1228" s="11" t="inlineStr">
        <is>
          <t>1c</t>
        </is>
      </c>
      <c r="D1228" s="11" t="inlineStr">
        <is>
          <t>Present Continuous</t>
        </is>
      </c>
      <c r="E1228" s="33" t="inlineStr">
        <is>
          <t>Present Continuous: значение — действие сейчас (now)</t>
        </is>
      </c>
      <c r="F1228" s="11" t="inlineStr">
        <is>
          <t>Ст-020</t>
        </is>
      </c>
      <c r="G1228" s="37" t="inlineStr">
        <is>
          <t>повторение</t>
        </is>
      </c>
      <c r="H1228" s="11" t="inlineStr"/>
      <c r="I1228" s="37" t="inlineStr">
        <is>
          <t>10+</t>
        </is>
      </c>
      <c r="J1228" s="11">
        <f>IFERROR(INDEX('Уроки'!$H:$H,MATCH(F1228,'Уроки'!$A:$A,0)),"")</f>
        <v/>
      </c>
      <c r="K1228" s="11">
        <f>IFERROR(INDEX('Уроки'!$J:$J,MATCH(F1228,'Уроки'!$A:$A,0)),"")</f>
        <v/>
      </c>
      <c r="L1228" s="11" t="inlineStr">
        <is>
          <t>Spotlight / 10 класс / Module 1 · Strong ties / Present Continuous / Present Continuous: значение — действие сейчас (now)</t>
        </is>
      </c>
    </row>
    <row r="1229">
      <c r="A1229" s="37" t="n">
        <v>10</v>
      </c>
      <c r="B1229" s="11" t="inlineStr">
        <is>
          <t>Module 1 · Strong ties</t>
        </is>
      </c>
      <c r="C1229" s="11" t="inlineStr">
        <is>
          <t>1c</t>
        </is>
      </c>
      <c r="D1229" s="11" t="inlineStr">
        <is>
          <t>Present Continuous</t>
        </is>
      </c>
      <c r="E1229" s="33" t="inlineStr">
        <is>
          <t>Present Continuous: значение — действие в настоящий период (these days)</t>
        </is>
      </c>
      <c r="F1229" s="11" t="inlineStr">
        <is>
          <t>Ст-021</t>
        </is>
      </c>
      <c r="G1229" s="37" t="inlineStr">
        <is>
          <t>повторение</t>
        </is>
      </c>
      <c r="H1229" s="11" t="inlineStr"/>
      <c r="I1229" s="37" t="inlineStr">
        <is>
          <t>10+</t>
        </is>
      </c>
      <c r="J1229" s="11">
        <f>IFERROR(INDEX('Уроки'!$H:$H,MATCH(F1229,'Уроки'!$A:$A,0)),"")</f>
        <v/>
      </c>
      <c r="K1229" s="11">
        <f>IFERROR(INDEX('Уроки'!$J:$J,MATCH(F1229,'Уроки'!$A:$A,0)),"")</f>
        <v/>
      </c>
      <c r="L1229" s="11" t="inlineStr">
        <is>
          <t>Spotlight / 10 класс / Module 1 · Strong ties / Present Continuous / Present Continuous: значение — действие в настоящий период (these days)</t>
        </is>
      </c>
    </row>
    <row r="1230">
      <c r="A1230" s="37" t="n">
        <v>10</v>
      </c>
      <c r="B1230" s="11" t="inlineStr">
        <is>
          <t>Module 1 · Strong ties</t>
        </is>
      </c>
      <c r="C1230" s="11" t="inlineStr">
        <is>
          <t>1c</t>
        </is>
      </c>
      <c r="D1230" s="11" t="inlineStr">
        <is>
          <t>Present Continuous</t>
        </is>
      </c>
      <c r="E1230" s="33" t="inlineStr">
        <is>
          <t>Present Continuous: значение — запланированное будущее</t>
        </is>
      </c>
      <c r="F1230" s="11" t="inlineStr">
        <is>
          <t>Ст-022</t>
        </is>
      </c>
      <c r="G1230" s="37" t="inlineStr">
        <is>
          <t>повторение</t>
        </is>
      </c>
      <c r="H1230" s="11" t="inlineStr"/>
      <c r="I1230" s="37" t="inlineStr">
        <is>
          <t>10+</t>
        </is>
      </c>
      <c r="J1230" s="11">
        <f>IFERROR(INDEX('Уроки'!$H:$H,MATCH(F1230,'Уроки'!$A:$A,0)),"")</f>
        <v/>
      </c>
      <c r="K1230" s="11">
        <f>IFERROR(INDEX('Уроки'!$J:$J,MATCH(F1230,'Уроки'!$A:$A,0)),"")</f>
        <v/>
      </c>
      <c r="L1230" s="11" t="inlineStr">
        <is>
          <t>Spotlight / 10 класс / Module 1 · Strong ties / Present Continuous / Present Continuous: значение — запланированное будущее</t>
        </is>
      </c>
    </row>
    <row r="1231">
      <c r="A1231" s="37" t="n">
        <v>10</v>
      </c>
      <c r="B1231" s="11" t="inlineStr">
        <is>
          <t>Module 1 · Strong ties</t>
        </is>
      </c>
      <c r="C1231" s="11" t="inlineStr">
        <is>
          <t>1c</t>
        </is>
      </c>
      <c r="D1231" s="11" t="inlineStr">
        <is>
          <t>Present Continuous</t>
        </is>
      </c>
      <c r="E1231" s="33" t="inlineStr">
        <is>
          <t>Present Continuous: значение — временные ситуации</t>
        </is>
      </c>
      <c r="F1231" s="11" t="inlineStr">
        <is>
          <t>Ст-023</t>
        </is>
      </c>
      <c r="G1231" s="37" t="inlineStr">
        <is>
          <t>повторение</t>
        </is>
      </c>
      <c r="H1231" s="11" t="inlineStr"/>
      <c r="I1231" s="37" t="inlineStr">
        <is>
          <t>10+</t>
        </is>
      </c>
      <c r="J1231" s="11">
        <f>IFERROR(INDEX('Уроки'!$H:$H,MATCH(F1231,'Уроки'!$A:$A,0)),"")</f>
        <v/>
      </c>
      <c r="K1231" s="11">
        <f>IFERROR(INDEX('Уроки'!$J:$J,MATCH(F1231,'Уроки'!$A:$A,0)),"")</f>
        <v/>
      </c>
      <c r="L1231" s="11" t="inlineStr">
        <is>
          <t>Spotlight / 10 класс / Module 1 · Strong ties / Present Continuous / Present Continuous: значение — временные ситуации</t>
        </is>
      </c>
    </row>
    <row r="1232">
      <c r="A1232" s="37" t="n">
        <v>10</v>
      </c>
      <c r="B1232" s="11" t="inlineStr">
        <is>
          <t>Module 1 · Strong ties</t>
        </is>
      </c>
      <c r="C1232" s="11" t="inlineStr">
        <is>
          <t>1c</t>
        </is>
      </c>
      <c r="D1232" s="11" t="inlineStr">
        <is>
          <t>Present Continuous</t>
        </is>
      </c>
      <c r="E1232" s="35" t="inlineStr">
        <is>
          <t>Present Continuous: значение — меняющиеся и развивающиеся ситуации</t>
        </is>
      </c>
      <c r="F1232" s="11" t="inlineStr">
        <is>
          <t>Ст-024</t>
        </is>
      </c>
      <c r="G1232" s="37" t="inlineStr">
        <is>
          <t>повторение</t>
        </is>
      </c>
      <c r="H1232" s="11" t="inlineStr"/>
      <c r="I1232" s="37" t="inlineStr">
        <is>
          <t>10+</t>
        </is>
      </c>
      <c r="J1232" s="11">
        <f>IFERROR(INDEX('Уроки'!$H:$H,MATCH(F1232,'Уроки'!$A:$A,0)),"")</f>
        <v/>
      </c>
      <c r="K1232" s="11">
        <f>IFERROR(INDEX('Уроки'!$J:$J,MATCH(F1232,'Уроки'!$A:$A,0)),"")</f>
        <v/>
      </c>
      <c r="L1232" s="11" t="inlineStr">
        <is>
          <t>Spotlight / 10 класс / Module 1 · Strong ties / Present Continuous / Present Continuous: значение — меняющиеся и развивающиеся ситуации</t>
        </is>
      </c>
    </row>
    <row r="1233">
      <c r="A1233" s="37" t="n">
        <v>10</v>
      </c>
      <c r="B1233" s="11" t="inlineStr">
        <is>
          <t>Module 1 · Strong ties</t>
        </is>
      </c>
      <c r="C1233" s="11" t="inlineStr">
        <is>
          <t>1c</t>
        </is>
      </c>
      <c r="D1233" s="11" t="inlineStr">
        <is>
          <t>Present Continuous</t>
        </is>
      </c>
      <c r="E1233" s="35" t="inlineStr">
        <is>
          <t>Present Continuous: значение — always + раздражение</t>
        </is>
      </c>
      <c r="F1233" s="11" t="inlineStr">
        <is>
          <t>Ст-025</t>
        </is>
      </c>
      <c r="G1233" s="37" t="inlineStr">
        <is>
          <t>повторение</t>
        </is>
      </c>
      <c r="H1233" s="11" t="inlineStr"/>
      <c r="I1233" s="37" t="inlineStr">
        <is>
          <t>10+</t>
        </is>
      </c>
      <c r="J1233" s="11">
        <f>IFERROR(INDEX('Уроки'!$H:$H,MATCH(F1233,'Уроки'!$A:$A,0)),"")</f>
        <v/>
      </c>
      <c r="K1233" s="11">
        <f>IFERROR(INDEX('Уроки'!$J:$J,MATCH(F1233,'Уроки'!$A:$A,0)),"")</f>
        <v/>
      </c>
      <c r="L1233" s="11" t="inlineStr">
        <is>
          <t>Spotlight / 10 класс / Module 1 · Strong ties / Present Continuous / Present Continuous: значение — always + раздражение</t>
        </is>
      </c>
    </row>
    <row r="1234">
      <c r="A1234" s="37" t="n">
        <v>10</v>
      </c>
      <c r="B1234" s="11" t="inlineStr">
        <is>
          <t>Module 1 · Strong ties</t>
        </is>
      </c>
      <c r="C1234" s="11" t="inlineStr">
        <is>
          <t>1c</t>
        </is>
      </c>
      <c r="D1234" s="11" t="inlineStr">
        <is>
          <t>Present Simple</t>
        </is>
      </c>
      <c r="E1234" s="35" t="inlineStr">
        <is>
          <t>Present Simple: утверждение (I/you/we/they V, he/she/it V-s)</t>
        </is>
      </c>
      <c r="F1234" s="11" t="inlineStr">
        <is>
          <t>Ст-026</t>
        </is>
      </c>
      <c r="G1234" s="37" t="inlineStr">
        <is>
          <t>повторение</t>
        </is>
      </c>
      <c r="H1234" s="11" t="inlineStr">
        <is>
          <t>только V/V-s</t>
        </is>
      </c>
      <c r="I1234" s="37" t="inlineStr">
        <is>
          <t>10+</t>
        </is>
      </c>
      <c r="J1234" s="11">
        <f>IFERROR(INDEX('Уроки'!$H:$H,MATCH(F1234,'Уроки'!$A:$A,0)),"")</f>
        <v/>
      </c>
      <c r="K1234" s="11">
        <f>IFERROR(INDEX('Уроки'!$J:$J,MATCH(F1234,'Уроки'!$A:$A,0)),"")</f>
        <v/>
      </c>
      <c r="L1234" s="11" t="inlineStr">
        <is>
          <t>Spotlight / 10 класс / Module 1 · Strong ties / Present Simple / Present Simple: утверждение (I/you/we/they V, he/she/it V-s)</t>
        </is>
      </c>
    </row>
    <row r="1235">
      <c r="A1235" s="37" t="n">
        <v>10</v>
      </c>
      <c r="B1235" s="11" t="inlineStr">
        <is>
          <t>Module 1 · Strong ties</t>
        </is>
      </c>
      <c r="C1235" s="11" t="inlineStr">
        <is>
          <t>1c</t>
        </is>
      </c>
      <c r="D1235" s="11" t="inlineStr">
        <is>
          <t>Present Simple</t>
        </is>
      </c>
      <c r="E1235" s="35" t="inlineStr">
        <is>
          <t>Present Simple: орфография окончания -s/-es (3 л. ед. ч.)</t>
        </is>
      </c>
      <c r="F1235" s="11" t="inlineStr">
        <is>
          <t>Ст-030</t>
        </is>
      </c>
      <c r="G1235" s="37" t="inlineStr">
        <is>
          <t>повторение</t>
        </is>
      </c>
      <c r="H1235" s="11" t="inlineStr"/>
      <c r="I1235" s="37" t="inlineStr">
        <is>
          <t>10+</t>
        </is>
      </c>
      <c r="J1235" s="11">
        <f>IFERROR(INDEX('Уроки'!$H:$H,MATCH(F1235,'Уроки'!$A:$A,0)),"")</f>
        <v/>
      </c>
      <c r="K1235" s="11">
        <f>IFERROR(INDEX('Уроки'!$J:$J,MATCH(F1235,'Уроки'!$A:$A,0)),"")</f>
        <v/>
      </c>
      <c r="L1235" s="11" t="inlineStr">
        <is>
          <t>Spotlight / 10 класс / Module 1 · Strong ties / Present Simple / Present Simple: орфография окончания -s/-es (3 л. ед. ч.)</t>
        </is>
      </c>
    </row>
    <row r="1236">
      <c r="A1236" s="37" t="n">
        <v>10</v>
      </c>
      <c r="B1236" s="11" t="inlineStr">
        <is>
          <t>Module 1 · Strong ties</t>
        </is>
      </c>
      <c r="C1236" s="11" t="inlineStr">
        <is>
          <t>1c</t>
        </is>
      </c>
      <c r="D1236" s="11" t="inlineStr">
        <is>
          <t>Present Simple</t>
        </is>
      </c>
      <c r="E1236" s="33" t="inlineStr">
        <is>
          <t>Present Simple: значение — регулярные действия, распорядок дня, привычки</t>
        </is>
      </c>
      <c r="F1236" s="11" t="inlineStr">
        <is>
          <t>Ст-031</t>
        </is>
      </c>
      <c r="G1236" s="37" t="inlineStr">
        <is>
          <t>повторение</t>
        </is>
      </c>
      <c r="H1236" s="11" t="inlineStr">
        <is>
          <t>распорядок дня, повторяющиеся действия, привычки</t>
        </is>
      </c>
      <c r="I1236" s="37" t="inlineStr">
        <is>
          <t>10+</t>
        </is>
      </c>
      <c r="J1236" s="11">
        <f>IFERROR(INDEX('Уроки'!$H:$H,MATCH(F1236,'Уроки'!$A:$A,0)),"")</f>
        <v/>
      </c>
      <c r="K1236" s="11">
        <f>IFERROR(INDEX('Уроки'!$J:$J,MATCH(F1236,'Уроки'!$A:$A,0)),"")</f>
        <v/>
      </c>
      <c r="L1236" s="11" t="inlineStr">
        <is>
          <t>Spotlight / 10 класс / Module 1 · Strong ties / Present Simple / Present Simple: значение — регулярные действия, распорядок дня, привычки</t>
        </is>
      </c>
    </row>
    <row r="1237">
      <c r="A1237" s="37" t="n">
        <v>10</v>
      </c>
      <c r="B1237" s="11" t="inlineStr">
        <is>
          <t>Module 1 · Strong ties</t>
        </is>
      </c>
      <c r="C1237" s="11" t="inlineStr">
        <is>
          <t>1c</t>
        </is>
      </c>
      <c r="D1237" s="11" t="inlineStr">
        <is>
          <t>Present Simple</t>
        </is>
      </c>
      <c r="E1237" s="33" t="inlineStr">
        <is>
          <t>Present Simple: значение — постоянные состояния и действия</t>
        </is>
      </c>
      <c r="F1237" s="11" t="inlineStr">
        <is>
          <t>Ст-032</t>
        </is>
      </c>
      <c r="G1237" s="37" t="inlineStr">
        <is>
          <t>повторение</t>
        </is>
      </c>
      <c r="H1237" s="11" t="inlineStr"/>
      <c r="I1237" s="37" t="inlineStr">
        <is>
          <t>10+</t>
        </is>
      </c>
      <c r="J1237" s="11">
        <f>IFERROR(INDEX('Уроки'!$H:$H,MATCH(F1237,'Уроки'!$A:$A,0)),"")</f>
        <v/>
      </c>
      <c r="K1237" s="11">
        <f>IFERROR(INDEX('Уроки'!$J:$J,MATCH(F1237,'Уроки'!$A:$A,0)),"")</f>
        <v/>
      </c>
      <c r="L1237" s="11" t="inlineStr">
        <is>
          <t>Spotlight / 10 класс / Module 1 · Strong ties / Present Simple / Present Simple: значение — постоянные состояния и действия</t>
        </is>
      </c>
    </row>
    <row r="1238">
      <c r="A1238" s="37" t="n">
        <v>10</v>
      </c>
      <c r="B1238" s="11" t="inlineStr">
        <is>
          <t>Module 1 · Strong ties</t>
        </is>
      </c>
      <c r="C1238" s="11" t="inlineStr">
        <is>
          <t>1c</t>
        </is>
      </c>
      <c r="D1238" s="11" t="inlineStr">
        <is>
          <t>Present Simple</t>
        </is>
      </c>
      <c r="E1238" s="33" t="inlineStr">
        <is>
          <t>Present Simple: значение — расписания и программы (будущее по расписанию)</t>
        </is>
      </c>
      <c r="F1238" s="11" t="inlineStr">
        <is>
          <t>Ст-034</t>
        </is>
      </c>
      <c r="G1238" s="37" t="inlineStr">
        <is>
          <t>повторение</t>
        </is>
      </c>
      <c r="H1238" s="11" t="inlineStr">
        <is>
          <t>значение будущего</t>
        </is>
      </c>
      <c r="I1238" s="37" t="inlineStr">
        <is>
          <t>10+</t>
        </is>
      </c>
      <c r="J1238" s="11">
        <f>IFERROR(INDEX('Уроки'!$H:$H,MATCH(F1238,'Уроки'!$A:$A,0)),"")</f>
        <v/>
      </c>
      <c r="K1238" s="11">
        <f>IFERROR(INDEX('Уроки'!$J:$J,MATCH(F1238,'Уроки'!$A:$A,0)),"")</f>
        <v/>
      </c>
      <c r="L1238" s="11" t="inlineStr">
        <is>
          <t>Spotlight / 10 класс / Module 1 · Strong ties / Present Simple / Present Simple: значение — расписания и программы (будущее по расписанию)</t>
        </is>
      </c>
    </row>
    <row r="1239">
      <c r="A1239" s="37" t="n">
        <v>10</v>
      </c>
      <c r="B1239" s="11" t="inlineStr">
        <is>
          <t>Module 1 · Strong ties</t>
        </is>
      </c>
      <c r="C1239" s="11" t="inlineStr">
        <is>
          <t>1c</t>
        </is>
      </c>
      <c r="D1239" s="11" t="inlineStr">
        <is>
          <t>Present Simple</t>
        </is>
      </c>
      <c r="E1239" s="35" t="inlineStr">
        <is>
          <t>Present Simple: значение — обзоры, спортивные комментарии, повествование</t>
        </is>
      </c>
      <c r="F1239" s="11" t="inlineStr">
        <is>
          <t>Ст-036</t>
        </is>
      </c>
      <c r="G1239" s="37" t="inlineStr">
        <is>
          <t>повторение</t>
        </is>
      </c>
      <c r="H1239" s="11" t="inlineStr"/>
      <c r="I1239" s="37" t="inlineStr">
        <is>
          <t>10+</t>
        </is>
      </c>
      <c r="J1239" s="11">
        <f>IFERROR(INDEX('Уроки'!$H:$H,MATCH(F1239,'Уроки'!$A:$A,0)),"")</f>
        <v/>
      </c>
      <c r="K1239" s="11">
        <f>IFERROR(INDEX('Уроки'!$J:$J,MATCH(F1239,'Уроки'!$A:$A,0)),"")</f>
        <v/>
      </c>
      <c r="L1239" s="11" t="inlineStr">
        <is>
          <t>Spotlight / 10 класс / Module 1 · Strong ties / Present Simple / Present Simple: значение — обзоры, спортивные комментарии, повествование</t>
        </is>
      </c>
    </row>
    <row r="1240">
      <c r="A1240" s="37" t="n">
        <v>10</v>
      </c>
      <c r="B1240" s="11" t="inlineStr">
        <is>
          <t>Module 1 · Strong ties</t>
        </is>
      </c>
      <c r="C1240" s="11" t="inlineStr">
        <is>
          <t>1c</t>
        </is>
      </c>
      <c r="D1240" s="11" t="inlineStr">
        <is>
          <t>Present Simple</t>
        </is>
      </c>
      <c r="E1240" s="35" t="inlineStr">
        <is>
          <t>Present Simple: значение — восклицания (Here comes …!)</t>
        </is>
      </c>
      <c r="F1240" s="11" t="inlineStr">
        <is>
          <t>Ст-037</t>
        </is>
      </c>
      <c r="G1240" s="37" t="inlineStr">
        <is>
          <t>повторение</t>
        </is>
      </c>
      <c r="H1240" s="11" t="inlineStr"/>
      <c r="I1240" s="37" t="inlineStr">
        <is>
          <t>10+</t>
        </is>
      </c>
      <c r="J1240" s="11">
        <f>IFERROR(INDEX('Уроки'!$H:$H,MATCH(F1240,'Уроки'!$A:$A,0)),"")</f>
        <v/>
      </c>
      <c r="K1240" s="11">
        <f>IFERROR(INDEX('Уроки'!$J:$J,MATCH(F1240,'Уроки'!$A:$A,0)),"")</f>
        <v/>
      </c>
      <c r="L1240" s="11" t="inlineStr">
        <is>
          <t>Spotlight / 10 класс / Module 1 · Strong ties / Present Simple / Present Simple: значение — восклицания (Here comes …!)</t>
        </is>
      </c>
    </row>
    <row r="1241">
      <c r="A1241" s="37" t="n">
        <v>10</v>
      </c>
      <c r="B1241" s="11" t="inlineStr">
        <is>
          <t>Module 1 · Strong ties</t>
        </is>
      </c>
      <c r="C1241" s="11" t="inlineStr">
        <is>
          <t>1c</t>
        </is>
      </c>
      <c r="D1241" s="11" t="inlineStr">
        <is>
          <t>Present Simple vs Present Continuous</t>
        </is>
      </c>
      <c r="E1241" s="35" t="inlineStr">
        <is>
          <t>Present Simple vs Present Continuous: постоянное состояние vs временная ситуация</t>
        </is>
      </c>
      <c r="F1241" s="11" t="inlineStr">
        <is>
          <t>Ст-052</t>
        </is>
      </c>
      <c r="G1241" s="37" t="inlineStr">
        <is>
          <t>повторение</t>
        </is>
      </c>
      <c r="H1241" s="11" t="inlineStr"/>
      <c r="I1241" s="37" t="inlineStr">
        <is>
          <t>10+</t>
        </is>
      </c>
      <c r="J1241" s="11">
        <f>IFERROR(INDEX('Уроки'!$H:$H,MATCH(F1241,'Уроки'!$A:$A,0)),"")</f>
        <v/>
      </c>
      <c r="K1241" s="11">
        <f>IFERROR(INDEX('Уроки'!$J:$J,MATCH(F1241,'Уроки'!$A:$A,0)),"")</f>
        <v/>
      </c>
      <c r="L1241" s="11" t="inlineStr">
        <is>
          <t>Spotlight / 10 класс / Module 1 · Strong ties / Present Simple vs Present Continuous / Present Simple vs Present Continuous: постоянное состояние vs временная ситуация</t>
        </is>
      </c>
    </row>
    <row r="1242">
      <c r="A1242" s="37" t="n">
        <v>10</v>
      </c>
      <c r="B1242" s="11" t="inlineStr">
        <is>
          <t>Module 1 · Strong ties</t>
        </is>
      </c>
      <c r="C1242" s="11" t="inlineStr">
        <is>
          <t>1c</t>
        </is>
      </c>
      <c r="D1242" s="11" t="inlineStr">
        <is>
          <t>Present Simple vs Present Continuous</t>
        </is>
      </c>
      <c r="E1242" s="35" t="inlineStr">
        <is>
          <t>Present Simple vs Present Continuous: повторяющиеся действия vs настоящий период (these days)</t>
        </is>
      </c>
      <c r="F1242" s="11" t="inlineStr">
        <is>
          <t>Ст-053</t>
        </is>
      </c>
      <c r="G1242" s="37" t="inlineStr">
        <is>
          <t>повторение</t>
        </is>
      </c>
      <c r="H1242" s="11" t="inlineStr"/>
      <c r="I1242" s="37" t="inlineStr">
        <is>
          <t>10+</t>
        </is>
      </c>
      <c r="J1242" s="11">
        <f>IFERROR(INDEX('Уроки'!$H:$H,MATCH(F1242,'Уроки'!$A:$A,0)),"")</f>
        <v/>
      </c>
      <c r="K1242" s="11">
        <f>IFERROR(INDEX('Уроки'!$J:$J,MATCH(F1242,'Уроки'!$A:$A,0)),"")</f>
        <v/>
      </c>
      <c r="L1242" s="11" t="inlineStr">
        <is>
          <t>Spotlight / 10 класс / Module 1 · Strong ties / Present Simple vs Present Continuous / Present Simple vs Present Continuous: повторяющиеся действия vs настоящий период (these days)</t>
        </is>
      </c>
    </row>
    <row r="1243">
      <c r="A1243" s="37" t="n">
        <v>10</v>
      </c>
      <c r="B1243" s="11" t="inlineStr">
        <is>
          <t>Module 1 · Strong ties</t>
        </is>
      </c>
      <c r="C1243" s="11" t="inlineStr">
        <is>
          <t>1c</t>
        </is>
      </c>
      <c r="D1243" s="11" t="inlineStr">
        <is>
          <t>Present Perfect</t>
        </is>
      </c>
      <c r="E1243" s="33" t="inlineStr">
        <is>
          <t>Present Perfect: утверждение (have/has + V3)</t>
        </is>
      </c>
      <c r="F1243" s="11" t="inlineStr">
        <is>
          <t>Ст-062</t>
        </is>
      </c>
      <c r="G1243" s="37" t="inlineStr">
        <is>
          <t>повторение</t>
        </is>
      </c>
      <c r="H1243" s="11" t="inlineStr"/>
      <c r="I1243" s="37" t="inlineStr">
        <is>
          <t>10+</t>
        </is>
      </c>
      <c r="J1243" s="11">
        <f>IFERROR(INDEX('Уроки'!$H:$H,MATCH(F1243,'Уроки'!$A:$A,0)),"")</f>
        <v/>
      </c>
      <c r="K1243" s="11">
        <f>IFERROR(INDEX('Уроки'!$J:$J,MATCH(F1243,'Уроки'!$A:$A,0)),"")</f>
        <v/>
      </c>
      <c r="L1243" s="11" t="inlineStr">
        <is>
          <t>Spotlight / 10 класс / Module 1 · Strong ties / Present Perfect / Present Perfect: утверждение (have/has + V3)</t>
        </is>
      </c>
    </row>
    <row r="1244">
      <c r="A1244" s="37" t="n">
        <v>10</v>
      </c>
      <c r="B1244" s="11" t="inlineStr">
        <is>
          <t>Module 1 · Strong ties</t>
        </is>
      </c>
      <c r="C1244" s="11" t="inlineStr">
        <is>
          <t>1c</t>
        </is>
      </c>
      <c r="D1244" s="11" t="inlineStr">
        <is>
          <t>Present Perfect</t>
        </is>
      </c>
      <c r="E1244" s="34" t="inlineStr">
        <is>
          <t>Present Perfect: V3 правильных глаголов (-ed, орфография)</t>
        </is>
      </c>
      <c r="F1244" s="11" t="inlineStr">
        <is>
          <t>Ст-065</t>
        </is>
      </c>
      <c r="G1244" s="37" t="inlineStr">
        <is>
          <t>повторение</t>
        </is>
      </c>
      <c r="H1244" s="11" t="inlineStr">
        <is>
          <t>complain – complained</t>
        </is>
      </c>
      <c r="I1244" s="37" t="inlineStr">
        <is>
          <t>10+</t>
        </is>
      </c>
      <c r="J1244" s="11">
        <f>IFERROR(INDEX('Уроки'!$H:$H,MATCH(F1244,'Уроки'!$A:$A,0)),"")</f>
        <v/>
      </c>
      <c r="K1244" s="11">
        <f>IFERROR(INDEX('Уроки'!$J:$J,MATCH(F1244,'Уроки'!$A:$A,0)),"")</f>
        <v/>
      </c>
      <c r="L1244" s="11" t="inlineStr">
        <is>
          <t>Spotlight / 10 класс / Module 1 · Strong ties / Present Perfect / Present Perfect: V3 правильных глаголов (-ed, орфография)</t>
        </is>
      </c>
    </row>
    <row r="1245">
      <c r="A1245" s="37" t="n">
        <v>10</v>
      </c>
      <c r="B1245" s="11" t="inlineStr">
        <is>
          <t>Module 1 · Strong ties</t>
        </is>
      </c>
      <c r="C1245" s="11" t="inlineStr">
        <is>
          <t>1c</t>
        </is>
      </c>
      <c r="D1245" s="11" t="inlineStr">
        <is>
          <t>Present Perfect</t>
        </is>
      </c>
      <c r="E1245" s="34" t="inlineStr">
        <is>
          <t>Present Perfect: V3 неправильных глаголов</t>
        </is>
      </c>
      <c r="F1245" s="11" t="inlineStr">
        <is>
          <t>Ст-066</t>
        </is>
      </c>
      <c r="G1245" s="37" t="inlineStr">
        <is>
          <t>повторение</t>
        </is>
      </c>
      <c r="H1245" s="11" t="inlineStr">
        <is>
          <t>по таблице Irregular Verbs</t>
        </is>
      </c>
      <c r="I1245" s="37" t="inlineStr">
        <is>
          <t>10+</t>
        </is>
      </c>
      <c r="J1245" s="11">
        <f>IFERROR(INDEX('Уроки'!$H:$H,MATCH(F1245,'Уроки'!$A:$A,0)),"")</f>
        <v/>
      </c>
      <c r="K1245" s="11">
        <f>IFERROR(INDEX('Уроки'!$J:$J,MATCH(F1245,'Уроки'!$A:$A,0)),"")</f>
        <v/>
      </c>
      <c r="L1245" s="11" t="inlineStr">
        <is>
          <t>Spotlight / 10 класс / Module 1 · Strong ties / Present Perfect / Present Perfect: V3 неправильных глаголов</t>
        </is>
      </c>
    </row>
    <row r="1246">
      <c r="A1246" s="37" t="n">
        <v>10</v>
      </c>
      <c r="B1246" s="11" t="inlineStr">
        <is>
          <t>Module 1 · Strong ties</t>
        </is>
      </c>
      <c r="C1246" s="11" t="inlineStr">
        <is>
          <t>1c</t>
        </is>
      </c>
      <c r="D1246" s="11" t="inlineStr">
        <is>
          <t>Present Perfect</t>
        </is>
      </c>
      <c r="E1246" s="33" t="inlineStr">
        <is>
          <t>Present Perfect: значение — жизненный опыт, перемены (ever/never)</t>
        </is>
      </c>
      <c r="F1246" s="11" t="inlineStr">
        <is>
          <t>Ст-067</t>
        </is>
      </c>
      <c r="G1246" s="37" t="inlineStr">
        <is>
          <t>повторение</t>
        </is>
      </c>
      <c r="H1246" s="11" t="inlineStr"/>
      <c r="I1246" s="37" t="inlineStr">
        <is>
          <t>10+</t>
        </is>
      </c>
      <c r="J1246" s="11">
        <f>IFERROR(INDEX('Уроки'!$H:$H,MATCH(F1246,'Уроки'!$A:$A,0)),"")</f>
        <v/>
      </c>
      <c r="K1246" s="11">
        <f>IFERROR(INDEX('Уроки'!$J:$J,MATCH(F1246,'Уроки'!$A:$A,0)),"")</f>
        <v/>
      </c>
      <c r="L1246" s="11" t="inlineStr">
        <is>
          <t>Spotlight / 10 класс / Module 1 · Strong ties / Present Perfect / Present Perfect: значение — жизненный опыт, перемены (ever/never)</t>
        </is>
      </c>
    </row>
    <row r="1247">
      <c r="A1247" s="37" t="n">
        <v>10</v>
      </c>
      <c r="B1247" s="11" t="inlineStr">
        <is>
          <t>Module 1 · Strong ties</t>
        </is>
      </c>
      <c r="C1247" s="11" t="inlineStr">
        <is>
          <t>1c</t>
        </is>
      </c>
      <c r="D1247" s="11" t="inlineStr">
        <is>
          <t>Present Perfect</t>
        </is>
      </c>
      <c r="E1247" s="33" t="inlineStr">
        <is>
          <t>Present Perfect: значение — результат в настоящем</t>
        </is>
      </c>
      <c r="F1247" s="11" t="inlineStr">
        <is>
          <t>Ст-068</t>
        </is>
      </c>
      <c r="G1247" s="37" t="inlineStr">
        <is>
          <t>повторение</t>
        </is>
      </c>
      <c r="H1247" s="11" t="inlineStr"/>
      <c r="I1247" s="37" t="inlineStr">
        <is>
          <t>10+</t>
        </is>
      </c>
      <c r="J1247" s="11">
        <f>IFERROR(INDEX('Уроки'!$H:$H,MATCH(F1247,'Уроки'!$A:$A,0)),"")</f>
        <v/>
      </c>
      <c r="K1247" s="11">
        <f>IFERROR(INDEX('Уроки'!$J:$J,MATCH(F1247,'Уроки'!$A:$A,0)),"")</f>
        <v/>
      </c>
      <c r="L1247" s="11" t="inlineStr">
        <is>
          <t>Spotlight / 10 класс / Module 1 · Strong ties / Present Perfect / Present Perfect: значение — результат в настоящем</t>
        </is>
      </c>
    </row>
    <row r="1248">
      <c r="A1248" s="37" t="n">
        <v>10</v>
      </c>
      <c r="B1248" s="11" t="inlineStr">
        <is>
          <t>Module 1 · Strong ties</t>
        </is>
      </c>
      <c r="C1248" s="11" t="inlineStr">
        <is>
          <t>1c</t>
        </is>
      </c>
      <c r="D1248" s="11" t="inlineStr">
        <is>
          <t>Present Perfect</t>
        </is>
      </c>
      <c r="E1248" s="33" t="inlineStr">
        <is>
          <t>Present Perfect: значение — недавно завершённое действие (just)</t>
        </is>
      </c>
      <c r="F1248" s="11" t="inlineStr">
        <is>
          <t>Ст-069</t>
        </is>
      </c>
      <c r="G1248" s="37" t="inlineStr">
        <is>
          <t>повторение</t>
        </is>
      </c>
      <c r="H1248" s="11" t="inlineStr"/>
      <c r="I1248" s="37" t="inlineStr">
        <is>
          <t>10+</t>
        </is>
      </c>
      <c r="J1248" s="11">
        <f>IFERROR(INDEX('Уроки'!$H:$H,MATCH(F1248,'Уроки'!$A:$A,0)),"")</f>
        <v/>
      </c>
      <c r="K1248" s="11">
        <f>IFERROR(INDEX('Уроки'!$J:$J,MATCH(F1248,'Уроки'!$A:$A,0)),"")</f>
        <v/>
      </c>
      <c r="L1248" s="11" t="inlineStr">
        <is>
          <t>Spotlight / 10 класс / Module 1 · Strong ties / Present Perfect / Present Perfect: значение — недавно завершённое действие (just)</t>
        </is>
      </c>
    </row>
    <row r="1249">
      <c r="A1249" s="37" t="n">
        <v>10</v>
      </c>
      <c r="B1249" s="11" t="inlineStr">
        <is>
          <t>Module 1 · Strong ties</t>
        </is>
      </c>
      <c r="C1249" s="11" t="inlineStr">
        <is>
          <t>1c</t>
        </is>
      </c>
      <c r="D1249" s="11" t="inlineStr">
        <is>
          <t>Present Perfect</t>
        </is>
      </c>
      <c r="E1249" s="35" t="inlineStr">
        <is>
          <t>Present Perfect: значение — неуказанное время в прошлом</t>
        </is>
      </c>
      <c r="F1249" s="11" t="inlineStr">
        <is>
          <t>Ст-070</t>
        </is>
      </c>
      <c r="G1249" s="37" t="inlineStr">
        <is>
          <t>повторение</t>
        </is>
      </c>
      <c r="H1249" s="11" t="inlineStr"/>
      <c r="I1249" s="37" t="inlineStr">
        <is>
          <t>10+</t>
        </is>
      </c>
      <c r="J1249" s="11">
        <f>IFERROR(INDEX('Уроки'!$H:$H,MATCH(F1249,'Уроки'!$A:$A,0)),"")</f>
        <v/>
      </c>
      <c r="K1249" s="11">
        <f>IFERROR(INDEX('Уроки'!$J:$J,MATCH(F1249,'Уроки'!$A:$A,0)),"")</f>
        <v/>
      </c>
      <c r="L1249" s="11" t="inlineStr">
        <is>
          <t>Spotlight / 10 класс / Module 1 · Strong ties / Present Perfect / Present Perfect: значение — неуказанное время в прошлом</t>
        </is>
      </c>
    </row>
    <row r="1250">
      <c r="A1250" s="37" t="n">
        <v>10</v>
      </c>
      <c r="B1250" s="11" t="inlineStr">
        <is>
          <t>Module 1 · Strong ties</t>
        </is>
      </c>
      <c r="C1250" s="11" t="inlineStr">
        <is>
          <t>1c</t>
        </is>
      </c>
      <c r="D1250" s="11" t="inlineStr">
        <is>
          <t>Present Perfect</t>
        </is>
      </c>
      <c r="E1250" s="33" t="inlineStr">
        <is>
          <t>Present Perfect: значение — с прошлого до настоящего (stative verbs, for/since)</t>
        </is>
      </c>
      <c r="F1250" s="11" t="inlineStr">
        <is>
          <t>Ст-071</t>
        </is>
      </c>
      <c r="G1250" s="37" t="inlineStr">
        <is>
          <t>повторение</t>
        </is>
      </c>
      <c r="H1250" s="11" t="inlineStr"/>
      <c r="I1250" s="37" t="inlineStr">
        <is>
          <t>10+</t>
        </is>
      </c>
      <c r="J1250" s="11">
        <f>IFERROR(INDEX('Уроки'!$H:$H,MATCH(F1250,'Уроки'!$A:$A,0)),"")</f>
        <v/>
      </c>
      <c r="K1250" s="11">
        <f>IFERROR(INDEX('Уроки'!$J:$J,MATCH(F1250,'Уроки'!$A:$A,0)),"")</f>
        <v/>
      </c>
      <c r="L1250" s="11" t="inlineStr">
        <is>
          <t>Spotlight / 10 класс / Module 1 · Strong ties / Present Perfect / Present Perfect: значение — с прошлого до настоящего (stative verbs, for/since)</t>
        </is>
      </c>
    </row>
    <row r="1251">
      <c r="A1251" s="37" t="n">
        <v>10</v>
      </c>
      <c r="B1251" s="11" t="inlineStr">
        <is>
          <t>Module 1 · Strong ties</t>
        </is>
      </c>
      <c r="C1251" s="11" t="inlineStr">
        <is>
          <t>1c</t>
        </is>
      </c>
      <c r="D1251" s="11" t="inlineStr">
        <is>
          <t>Present Perfect</t>
        </is>
      </c>
      <c r="E1251" s="34" t="inlineStr">
        <is>
          <t>Present Perfect: значение — незаконченный период (today, this week, so far)</t>
        </is>
      </c>
      <c r="F1251" s="11" t="inlineStr">
        <is>
          <t>Ст-072</t>
        </is>
      </c>
      <c r="G1251" s="37" t="inlineStr">
        <is>
          <t>повторение</t>
        </is>
      </c>
      <c r="H1251" s="11" t="inlineStr"/>
      <c r="I1251" s="37" t="inlineStr">
        <is>
          <t>10+</t>
        </is>
      </c>
      <c r="J1251" s="11">
        <f>IFERROR(INDEX('Уроки'!$H:$H,MATCH(F1251,'Уроки'!$A:$A,0)),"")</f>
        <v/>
      </c>
      <c r="K1251" s="11">
        <f>IFERROR(INDEX('Уроки'!$J:$J,MATCH(F1251,'Уроки'!$A:$A,0)),"")</f>
        <v/>
      </c>
      <c r="L1251" s="11" t="inlineStr">
        <is>
          <t>Spotlight / 10 класс / Module 1 · Strong ties / Present Perfect / Present Perfect: значение — незаконченный период (today, this week, so far)</t>
        </is>
      </c>
    </row>
    <row r="1252">
      <c r="A1252" s="37" t="n">
        <v>10</v>
      </c>
      <c r="B1252" s="11" t="inlineStr">
        <is>
          <t>Module 1 · Strong ties</t>
        </is>
      </c>
      <c r="C1252" s="11" t="inlineStr">
        <is>
          <t>1c</t>
        </is>
      </c>
      <c r="D1252" s="11" t="inlineStr">
        <is>
          <t>Present Perfect</t>
        </is>
      </c>
      <c r="E1252" s="35" t="inlineStr">
        <is>
          <t>Present Perfect: значение — акцент на количестве (seven times this week)</t>
        </is>
      </c>
      <c r="F1252" s="11" t="inlineStr">
        <is>
          <t>Ст-073</t>
        </is>
      </c>
      <c r="G1252" s="37" t="inlineStr">
        <is>
          <t>повторение</t>
        </is>
      </c>
      <c r="H1252" s="11" t="inlineStr"/>
      <c r="I1252" s="37" t="inlineStr">
        <is>
          <t>10+</t>
        </is>
      </c>
      <c r="J1252" s="11">
        <f>IFERROR(INDEX('Уроки'!$H:$H,MATCH(F1252,'Уроки'!$A:$A,0)),"")</f>
        <v/>
      </c>
      <c r="K1252" s="11">
        <f>IFERROR(INDEX('Уроки'!$J:$J,MATCH(F1252,'Уроки'!$A:$A,0)),"")</f>
        <v/>
      </c>
      <c r="L1252" s="11" t="inlineStr">
        <is>
          <t>Spotlight / 10 класс / Module 1 · Strong ties / Present Perfect / Present Perfect: значение — акцент на количестве (seven times this week)</t>
        </is>
      </c>
    </row>
    <row r="1253">
      <c r="A1253" s="37" t="n">
        <v>10</v>
      </c>
      <c r="B1253" s="11" t="inlineStr">
        <is>
          <t>Module 1 · Strong ties</t>
        </is>
      </c>
      <c r="C1253" s="11" t="inlineStr">
        <is>
          <t>1c</t>
        </is>
      </c>
      <c r="D1253" s="11" t="inlineStr">
        <is>
          <t>Present Perfect</t>
        </is>
      </c>
      <c r="E1253" s="33" t="inlineStr">
        <is>
          <t>Present Perfect: слова-маркеры already / yet / just / ever / never</t>
        </is>
      </c>
      <c r="F1253" s="11" t="inlineStr">
        <is>
          <t>Ст-074</t>
        </is>
      </c>
      <c r="G1253" s="37" t="inlineStr">
        <is>
          <t>повторение</t>
        </is>
      </c>
      <c r="H1253" s="11" t="inlineStr">
        <is>
          <t>just, already, yet, for, since, ever, never</t>
        </is>
      </c>
      <c r="I1253" s="37" t="inlineStr">
        <is>
          <t>10+</t>
        </is>
      </c>
      <c r="J1253" s="11">
        <f>IFERROR(INDEX('Уроки'!$H:$H,MATCH(F1253,'Уроки'!$A:$A,0)),"")</f>
        <v/>
      </c>
      <c r="K1253" s="11">
        <f>IFERROR(INDEX('Уроки'!$J:$J,MATCH(F1253,'Уроки'!$A:$A,0)),"")</f>
        <v/>
      </c>
      <c r="L1253" s="11" t="inlineStr">
        <is>
          <t>Spotlight / 10 класс / Module 1 · Strong ties / Present Perfect / Present Perfect: слова-маркеры already / yet / just / ever / never</t>
        </is>
      </c>
    </row>
    <row r="1254">
      <c r="A1254" s="37" t="n">
        <v>10</v>
      </c>
      <c r="B1254" s="11" t="inlineStr">
        <is>
          <t>Module 1 · Strong ties</t>
        </is>
      </c>
      <c r="C1254" s="11" t="inlineStr">
        <is>
          <t>1c</t>
        </is>
      </c>
      <c r="D1254" s="11" t="inlineStr">
        <is>
          <t>Stative verbs</t>
        </is>
      </c>
      <c r="E1254" s="33" t="inlineStr">
        <is>
          <t>Stative verbs: глаголы состояния не употребляются в Continuous</t>
        </is>
      </c>
      <c r="F1254" s="11" t="inlineStr">
        <is>
          <t>Ст-075</t>
        </is>
      </c>
      <c r="G1254" s="37" t="inlineStr">
        <is>
          <t>повторение</t>
        </is>
      </c>
      <c r="H1254" s="11" t="inlineStr"/>
      <c r="I1254" s="37" t="inlineStr">
        <is>
          <t>10+</t>
        </is>
      </c>
      <c r="J1254" s="11">
        <f>IFERROR(INDEX('Уроки'!$H:$H,MATCH(F1254,'Уроки'!$A:$A,0)),"")</f>
        <v/>
      </c>
      <c r="K1254" s="11">
        <f>IFERROR(INDEX('Уроки'!$J:$J,MATCH(F1254,'Уроки'!$A:$A,0)),"")</f>
        <v/>
      </c>
      <c r="L1254" s="11" t="inlineStr">
        <is>
          <t>Spotlight / 10 класс / Module 1 · Strong ties / Stative verbs / Stative verbs: глаголы состояния не употребляются в Continuous</t>
        </is>
      </c>
    </row>
    <row r="1255">
      <c r="A1255" s="37" t="n">
        <v>10</v>
      </c>
      <c r="B1255" s="11" t="inlineStr">
        <is>
          <t>Module 1 · Strong ties</t>
        </is>
      </c>
      <c r="C1255" s="11" t="inlineStr">
        <is>
          <t>1c</t>
        </is>
      </c>
      <c r="D1255" s="11" t="inlineStr">
        <is>
          <t>Stative verbs</t>
        </is>
      </c>
      <c r="E1255" s="33" t="inlineStr">
        <is>
          <t>Stative verbs: группы глаголов (восприятие, мышление, чувства, прочие)</t>
        </is>
      </c>
      <c r="F1255" s="11" t="inlineStr">
        <is>
          <t>Ст-076</t>
        </is>
      </c>
      <c r="G1255" s="37" t="inlineStr">
        <is>
          <t>повторение</t>
        </is>
      </c>
      <c r="H1255" s="11" t="inlineStr"/>
      <c r="I1255" s="37" t="inlineStr">
        <is>
          <t>10+</t>
        </is>
      </c>
      <c r="J1255" s="11">
        <f>IFERROR(INDEX('Уроки'!$H:$H,MATCH(F1255,'Уроки'!$A:$A,0)),"")</f>
        <v/>
      </c>
      <c r="K1255" s="11">
        <f>IFERROR(INDEX('Уроки'!$J:$J,MATCH(F1255,'Уроки'!$A:$A,0)),"")</f>
        <v/>
      </c>
      <c r="L1255" s="11" t="inlineStr">
        <is>
          <t>Spotlight / 10 класс / Module 1 · Strong ties / Stative verbs / Stative verbs: группы глаголов (восприятие, мышление, чувства, прочие)</t>
        </is>
      </c>
    </row>
    <row r="1256">
      <c r="A1256" s="37" t="n">
        <v>10</v>
      </c>
      <c r="B1256" s="11" t="inlineStr">
        <is>
          <t>Module 1 · Strong ties</t>
        </is>
      </c>
      <c r="C1256" s="11" t="inlineStr">
        <is>
          <t>1c</t>
        </is>
      </c>
      <c r="D1256" s="11" t="inlineStr">
        <is>
          <t>Stative verbs</t>
        </is>
      </c>
      <c r="E1256" s="33" t="inlineStr">
        <is>
          <t>Stative verbs: разное значение в Simple и Continuous (think, have, see, taste…)</t>
        </is>
      </c>
      <c r="F1256" s="11" t="inlineStr">
        <is>
          <t>Ст-077</t>
        </is>
      </c>
      <c r="G1256" s="37" t="inlineStr">
        <is>
          <t>повторение</t>
        </is>
      </c>
      <c r="H1256" s="11" t="inlineStr"/>
      <c r="I1256" s="37" t="inlineStr">
        <is>
          <t>10+</t>
        </is>
      </c>
      <c r="J1256" s="11">
        <f>IFERROR(INDEX('Уроки'!$H:$H,MATCH(F1256,'Уроки'!$A:$A,0)),"")</f>
        <v/>
      </c>
      <c r="K1256" s="11">
        <f>IFERROR(INDEX('Уроки'!$J:$J,MATCH(F1256,'Уроки'!$A:$A,0)),"")</f>
        <v/>
      </c>
      <c r="L1256" s="11" t="inlineStr">
        <is>
          <t>Spotlight / 10 класс / Module 1 · Strong ties / Stative verbs / Stative verbs: разное значение в Simple и Continuous (think, have, see, taste…)</t>
        </is>
      </c>
    </row>
    <row r="1257">
      <c r="A1257" s="37" t="n">
        <v>10</v>
      </c>
      <c r="B1257" s="11" t="inlineStr">
        <is>
          <t>Module 1 · Strong ties</t>
        </is>
      </c>
      <c r="C1257" s="11" t="inlineStr">
        <is>
          <t>1c</t>
        </is>
      </c>
      <c r="D1257" s="11" t="inlineStr">
        <is>
          <t>Stative verbs</t>
        </is>
      </c>
      <c r="E1257" s="35" t="inlineStr">
        <is>
          <t>Stative verbs: look, feel, hurt, ache — Simple = Continuous</t>
        </is>
      </c>
      <c r="F1257" s="11" t="inlineStr">
        <is>
          <t>Ст-078</t>
        </is>
      </c>
      <c r="G1257" s="37" t="inlineStr">
        <is>
          <t>повторение</t>
        </is>
      </c>
      <c r="H1257" s="11" t="inlineStr"/>
      <c r="I1257" s="37" t="inlineStr">
        <is>
          <t>10+</t>
        </is>
      </c>
      <c r="J1257" s="11">
        <f>IFERROR(INDEX('Уроки'!$H:$H,MATCH(F1257,'Уроки'!$A:$A,0)),"")</f>
        <v/>
      </c>
      <c r="K1257" s="11">
        <f>IFERROR(INDEX('Уроки'!$J:$J,MATCH(F1257,'Уроки'!$A:$A,0)),"")</f>
        <v/>
      </c>
      <c r="L1257" s="11" t="inlineStr">
        <is>
          <t>Spotlight / 10 класс / Module 1 · Strong ties / Stative verbs / Stative verbs: look, feel, hurt, ache — Simple = Continuous</t>
        </is>
      </c>
    </row>
    <row r="1258">
      <c r="A1258" s="37" t="n">
        <v>10</v>
      </c>
      <c r="B1258" s="11" t="inlineStr">
        <is>
          <t>Module 1 · Strong ties</t>
        </is>
      </c>
      <c r="C1258" s="11" t="inlineStr">
        <is>
          <t>1c</t>
        </is>
      </c>
      <c r="D1258" s="11" t="inlineStr">
        <is>
          <t>Stative verbs</t>
        </is>
      </c>
      <c r="E1258" s="35" t="inlineStr">
        <is>
          <t>Stative verbs: enjoy в Continuous — конкретное удовольствие</t>
        </is>
      </c>
      <c r="F1258" s="11" t="inlineStr">
        <is>
          <t>Ст-079</t>
        </is>
      </c>
      <c r="G1258" s="37" t="inlineStr">
        <is>
          <t>повторение</t>
        </is>
      </c>
      <c r="H1258" s="11" t="inlineStr"/>
      <c r="I1258" s="37" t="inlineStr">
        <is>
          <t>10+</t>
        </is>
      </c>
      <c r="J1258" s="11">
        <f>IFERROR(INDEX('Уроки'!$H:$H,MATCH(F1258,'Уроки'!$A:$A,0)),"")</f>
        <v/>
      </c>
      <c r="K1258" s="11">
        <f>IFERROR(INDEX('Уроки'!$J:$J,MATCH(F1258,'Уроки'!$A:$A,0)),"")</f>
        <v/>
      </c>
      <c r="L1258" s="11" t="inlineStr">
        <is>
          <t>Spotlight / 10 класс / Module 1 · Strong ties / Stative verbs / Stative verbs: enjoy в Continuous — конкретное удовольствие</t>
        </is>
      </c>
    </row>
    <row r="1259">
      <c r="A1259" s="37" t="n">
        <v>10</v>
      </c>
      <c r="B1259" s="11" t="inlineStr">
        <is>
          <t>Module 1 · Strong ties</t>
        </is>
      </c>
      <c r="C1259" s="11" t="inlineStr">
        <is>
          <t>1c</t>
        </is>
      </c>
      <c r="D1259" s="11" t="inlineStr">
        <is>
          <t>Present Perfect Continuous</t>
        </is>
      </c>
      <c r="E1259" s="33" t="inlineStr">
        <is>
          <t>Present Perfect Continuous: образование (have/has been + V-ing)</t>
        </is>
      </c>
      <c r="F1259" s="11" t="inlineStr">
        <is>
          <t>Ст-095</t>
        </is>
      </c>
      <c r="G1259" s="37" t="inlineStr">
        <is>
          <t>повторение</t>
        </is>
      </c>
      <c r="H1259" s="11" t="inlineStr"/>
      <c r="I1259" s="37" t="inlineStr">
        <is>
          <t>10+</t>
        </is>
      </c>
      <c r="J1259" s="11">
        <f>IFERROR(INDEX('Уроки'!$H:$H,MATCH(F1259,'Уроки'!$A:$A,0)),"")</f>
        <v/>
      </c>
      <c r="K1259" s="11">
        <f>IFERROR(INDEX('Уроки'!$J:$J,MATCH(F1259,'Уроки'!$A:$A,0)),"")</f>
        <v/>
      </c>
      <c r="L1259" s="11" t="inlineStr">
        <is>
          <t>Spotlight / 10 класс / Module 1 · Strong ties / Present Perfect Continuous / Present Perfect Continuous: образование (have/has been + V-ing)</t>
        </is>
      </c>
    </row>
    <row r="1260">
      <c r="A1260" s="37" t="n">
        <v>10</v>
      </c>
      <c r="B1260" s="11" t="inlineStr">
        <is>
          <t>Module 1 · Strong ties</t>
        </is>
      </c>
      <c r="C1260" s="11" t="inlineStr">
        <is>
          <t>1c</t>
        </is>
      </c>
      <c r="D1260" s="11" t="inlineStr">
        <is>
          <t>Present Perfect Continuous</t>
        </is>
      </c>
      <c r="E1260" s="33" t="inlineStr">
        <is>
          <t>Present Perfect Continuous: значение — длительность до настоящего (since/for/how long)</t>
        </is>
      </c>
      <c r="F1260" s="11" t="inlineStr">
        <is>
          <t>Ст-096</t>
        </is>
      </c>
      <c r="G1260" s="37" t="inlineStr">
        <is>
          <t>повторение</t>
        </is>
      </c>
      <c r="H1260" s="11" t="inlineStr"/>
      <c r="I1260" s="37" t="inlineStr">
        <is>
          <t>10+</t>
        </is>
      </c>
      <c r="J1260" s="11">
        <f>IFERROR(INDEX('Уроки'!$H:$H,MATCH(F1260,'Уроки'!$A:$A,0)),"")</f>
        <v/>
      </c>
      <c r="K1260" s="11">
        <f>IFERROR(INDEX('Уроки'!$J:$J,MATCH(F1260,'Уроки'!$A:$A,0)),"")</f>
        <v/>
      </c>
      <c r="L1260" s="11" t="inlineStr">
        <is>
          <t>Spotlight / 10 класс / Module 1 · Strong ties / Present Perfect Continuous / Present Perfect Continuous: значение — длительность до настоящего (since/for/how long)</t>
        </is>
      </c>
    </row>
    <row r="1261">
      <c r="A1261" s="37" t="n">
        <v>10</v>
      </c>
      <c r="B1261" s="11" t="inlineStr">
        <is>
          <t>Module 1 · Strong ties</t>
        </is>
      </c>
      <c r="C1261" s="11" t="inlineStr">
        <is>
          <t>1c</t>
        </is>
      </c>
      <c r="D1261" s="11" t="inlineStr">
        <is>
          <t>Present Perfect Continuous</t>
        </is>
      </c>
      <c r="E1261" s="33" t="inlineStr">
        <is>
          <t>Present Perfect Continuous: значение — видимый результат длительного действия</t>
        </is>
      </c>
      <c r="F1261" s="11" t="inlineStr">
        <is>
          <t>Ст-097</t>
        </is>
      </c>
      <c r="G1261" s="37" t="inlineStr">
        <is>
          <t>повторение</t>
        </is>
      </c>
      <c r="H1261" s="11" t="inlineStr">
        <is>
          <t>могло закончиться</t>
        </is>
      </c>
      <c r="I1261" s="37" t="inlineStr">
        <is>
          <t>10+</t>
        </is>
      </c>
      <c r="J1261" s="11">
        <f>IFERROR(INDEX('Уроки'!$H:$H,MATCH(F1261,'Уроки'!$A:$A,0)),"")</f>
        <v/>
      </c>
      <c r="K1261" s="11">
        <f>IFERROR(INDEX('Уроки'!$J:$J,MATCH(F1261,'Уроки'!$A:$A,0)),"")</f>
        <v/>
      </c>
      <c r="L1261" s="11" t="inlineStr">
        <is>
          <t>Spotlight / 10 класс / Module 1 · Strong ties / Present Perfect Continuous / Present Perfect Continuous: значение — видимый результат длительного действия</t>
        </is>
      </c>
    </row>
    <row r="1262">
      <c r="A1262" s="37" t="n">
        <v>10</v>
      </c>
      <c r="B1262" s="11" t="inlineStr">
        <is>
          <t>Module 1 · Strong ties</t>
        </is>
      </c>
      <c r="C1262" s="11" t="inlineStr">
        <is>
          <t>1c</t>
        </is>
      </c>
      <c r="D1262" s="11" t="inlineStr">
        <is>
          <t>Present Perfect Continuous</t>
        </is>
      </c>
      <c r="E1262" s="35" t="inlineStr">
        <is>
          <t>Present Perfect Continuous: значение — раздражение/критика</t>
        </is>
      </c>
      <c r="F1262" s="11" t="inlineStr">
        <is>
          <t>Ст-098</t>
        </is>
      </c>
      <c r="G1262" s="37" t="inlineStr">
        <is>
          <t>повторение</t>
        </is>
      </c>
      <c r="H1262" s="11" t="inlineStr"/>
      <c r="I1262" s="37" t="inlineStr">
        <is>
          <t>10+</t>
        </is>
      </c>
      <c r="J1262" s="11">
        <f>IFERROR(INDEX('Уроки'!$H:$H,MATCH(F1262,'Уроки'!$A:$A,0)),"")</f>
        <v/>
      </c>
      <c r="K1262" s="11">
        <f>IFERROR(INDEX('Уроки'!$J:$J,MATCH(F1262,'Уроки'!$A:$A,0)),"")</f>
        <v/>
      </c>
      <c r="L1262" s="11" t="inlineStr">
        <is>
          <t>Spotlight / 10 класс / Module 1 · Strong ties / Present Perfect Continuous / Present Perfect Continuous: значение — раздражение/критика</t>
        </is>
      </c>
    </row>
    <row r="1263">
      <c r="A1263" s="37" t="n">
        <v>10</v>
      </c>
      <c r="B1263" s="11" t="inlineStr">
        <is>
          <t>Module 1 · Strong ties</t>
        </is>
      </c>
      <c r="C1263" s="11" t="inlineStr">
        <is>
          <t>1c</t>
        </is>
      </c>
      <c r="D1263" s="11" t="inlineStr">
        <is>
          <t>Present Perfect Continuous</t>
        </is>
      </c>
      <c r="E1263" s="35" t="inlineStr">
        <is>
          <t>Present Perfect Continuous: значение — повторяющиеся действия до настоящего</t>
        </is>
      </c>
      <c r="F1263" s="11" t="inlineStr">
        <is>
          <t>Ст-099</t>
        </is>
      </c>
      <c r="G1263" s="37" t="inlineStr">
        <is>
          <t>повторение</t>
        </is>
      </c>
      <c r="H1263" s="11" t="inlineStr"/>
      <c r="I1263" s="37" t="inlineStr">
        <is>
          <t>10+</t>
        </is>
      </c>
      <c r="J1263" s="11">
        <f>IFERROR(INDEX('Уроки'!$H:$H,MATCH(F1263,'Уроки'!$A:$A,0)),"")</f>
        <v/>
      </c>
      <c r="K1263" s="11">
        <f>IFERROR(INDEX('Уроки'!$J:$J,MATCH(F1263,'Уроки'!$A:$A,0)),"")</f>
        <v/>
      </c>
      <c r="L1263" s="11" t="inlineStr">
        <is>
          <t>Spotlight / 10 класс / Module 1 · Strong ties / Present Perfect Continuous / Present Perfect Continuous: значение — повторяющиеся действия до настоящего</t>
        </is>
      </c>
    </row>
    <row r="1264">
      <c r="A1264" s="37" t="n">
        <v>10</v>
      </c>
      <c r="B1264" s="11" t="inlineStr">
        <is>
          <t>Module 1 · Strong ties</t>
        </is>
      </c>
      <c r="C1264" s="11" t="inlineStr">
        <is>
          <t>1c</t>
        </is>
      </c>
      <c r="D1264" s="11" t="inlineStr">
        <is>
          <t>Present Perfect vs Past Simple</t>
        </is>
      </c>
      <c r="E1264" s="33" t="inlineStr">
        <is>
          <t>Present Perfect vs Past Simple: указанное время vs неуказанное время</t>
        </is>
      </c>
      <c r="F1264" s="11" t="inlineStr">
        <is>
          <t>Ст-101</t>
        </is>
      </c>
      <c r="G1264" s="37" t="inlineStr">
        <is>
          <t>повторение</t>
        </is>
      </c>
      <c r="H1264" s="11" t="inlineStr"/>
      <c r="I1264" s="37" t="inlineStr">
        <is>
          <t>10+</t>
        </is>
      </c>
      <c r="J1264" s="11">
        <f>IFERROR(INDEX('Уроки'!$H:$H,MATCH(F1264,'Уроки'!$A:$A,0)),"")</f>
        <v/>
      </c>
      <c r="K1264" s="11">
        <f>IFERROR(INDEX('Уроки'!$J:$J,MATCH(F1264,'Уроки'!$A:$A,0)),"")</f>
        <v/>
      </c>
      <c r="L1264" s="11" t="inlineStr">
        <is>
          <t>Spotlight / 10 класс / Module 1 · Strong ties / Present Perfect vs Past Simple / Present Perfect vs Past Simple: указанное время vs неуказанное время</t>
        </is>
      </c>
    </row>
    <row r="1265">
      <c r="A1265" s="37" t="n">
        <v>10</v>
      </c>
      <c r="B1265" s="11" t="inlineStr">
        <is>
          <t>Module 1 · Strong ties</t>
        </is>
      </c>
      <c r="C1265" s="11" t="inlineStr">
        <is>
          <t>1c</t>
        </is>
      </c>
      <c r="D1265" s="11" t="inlineStr">
        <is>
          <t>Present Perfect vs Past Simple</t>
        </is>
      </c>
      <c r="E1265" s="35" t="inlineStr">
        <is>
          <t>Present Perfect vs Past Simple: закончилось в прошлом vs длится до сих пор</t>
        </is>
      </c>
      <c r="F1265" s="11" t="inlineStr">
        <is>
          <t>Ст-102</t>
        </is>
      </c>
      <c r="G1265" s="37" t="inlineStr">
        <is>
          <t>повторение</t>
        </is>
      </c>
      <c r="H1265" s="11" t="inlineStr"/>
      <c r="I1265" s="37" t="inlineStr">
        <is>
          <t>10+</t>
        </is>
      </c>
      <c r="J1265" s="11">
        <f>IFERROR(INDEX('Уроки'!$H:$H,MATCH(F1265,'Уроки'!$A:$A,0)),"")</f>
        <v/>
      </c>
      <c r="K1265" s="11">
        <f>IFERROR(INDEX('Уроки'!$J:$J,MATCH(F1265,'Уроки'!$A:$A,0)),"")</f>
        <v/>
      </c>
      <c r="L1265" s="11" t="inlineStr">
        <is>
          <t>Spotlight / 10 класс / Module 1 · Strong ties / Present Perfect vs Past Simple / Present Perfect vs Past Simple: закончилось в прошлом vs длится до сих пор</t>
        </is>
      </c>
    </row>
    <row r="1266">
      <c r="A1266" s="37" t="n">
        <v>10</v>
      </c>
      <c r="B1266" s="11" t="inlineStr">
        <is>
          <t>Module 1 · Strong ties</t>
        </is>
      </c>
      <c r="C1266" s="11" t="inlineStr">
        <is>
          <t>1c</t>
        </is>
      </c>
      <c r="D1266" s="11" t="inlineStr">
        <is>
          <t>have gone to / have been to / have been in</t>
        </is>
      </c>
      <c r="E1266" s="35" t="inlineStr">
        <is>
          <t>have gone to vs have been to: уехал и не вернулся vs побывал</t>
        </is>
      </c>
      <c r="F1266" s="11" t="inlineStr">
        <is>
          <t>Ст-114</t>
        </is>
      </c>
      <c r="G1266" s="37" t="inlineStr">
        <is>
          <t>повторение</t>
        </is>
      </c>
      <c r="H1266" s="11" t="inlineStr"/>
      <c r="I1266" s="37" t="inlineStr">
        <is>
          <t>10+</t>
        </is>
      </c>
      <c r="J1266" s="11">
        <f>IFERROR(INDEX('Уроки'!$H:$H,MATCH(F1266,'Уроки'!$A:$A,0)),"")</f>
        <v/>
      </c>
      <c r="K1266" s="11">
        <f>IFERROR(INDEX('Уроки'!$J:$J,MATCH(F1266,'Уроки'!$A:$A,0)),"")</f>
        <v/>
      </c>
      <c r="L1266" s="11" t="inlineStr">
        <is>
          <t>Spotlight / 10 класс / Module 1 · Strong ties / have gone to / have been to / have been in / have gone to vs have been to: уехал и не вернулся vs побывал</t>
        </is>
      </c>
    </row>
    <row r="1267">
      <c r="A1267" s="37" t="n">
        <v>10</v>
      </c>
      <c r="B1267" s="11" t="inlineStr">
        <is>
          <t>Module 1 · Strong ties</t>
        </is>
      </c>
      <c r="C1267" s="11" t="inlineStr">
        <is>
          <t>1c</t>
        </is>
      </c>
      <c r="D1267" s="11" t="inlineStr">
        <is>
          <t>have gone to / have been to / have been in</t>
        </is>
      </c>
      <c r="E1267" s="35" t="inlineStr">
        <is>
          <t>have been in: находится там (в течение периода)</t>
        </is>
      </c>
      <c r="F1267" s="11" t="inlineStr">
        <is>
          <t>Ст-115</t>
        </is>
      </c>
      <c r="G1267" s="37" t="inlineStr">
        <is>
          <t>повторение</t>
        </is>
      </c>
      <c r="H1267" s="11" t="inlineStr"/>
      <c r="I1267" s="37" t="inlineStr">
        <is>
          <t>10+</t>
        </is>
      </c>
      <c r="J1267" s="11">
        <f>IFERROR(INDEX('Уроки'!$H:$H,MATCH(F1267,'Уроки'!$A:$A,0)),"")</f>
        <v/>
      </c>
      <c r="K1267" s="11">
        <f>IFERROR(INDEX('Уроки'!$J:$J,MATCH(F1267,'Уроки'!$A:$A,0)),"")</f>
        <v/>
      </c>
      <c r="L1267" s="11" t="inlineStr">
        <is>
          <t>Spotlight / 10 класс / Module 1 · Strong ties / have gone to / have been to / have been in / have been in: находится там (в течение периода)</t>
        </is>
      </c>
    </row>
    <row r="1268">
      <c r="A1268" s="37" t="n">
        <v>10</v>
      </c>
      <c r="B1268" s="11" t="inlineStr">
        <is>
          <t>Module 1 · Strong ties</t>
        </is>
      </c>
      <c r="C1268" s="11" t="inlineStr">
        <is>
          <t>1c</t>
        </is>
      </c>
      <c r="D1268" s="11" t="inlineStr">
        <is>
          <t>Adverbs of frequency</t>
        </is>
      </c>
      <c r="E1268" s="33" t="inlineStr">
        <is>
          <t>Adverbs of frequency: место — перед смысловым глаголом, после be</t>
        </is>
      </c>
      <c r="F1268" s="11" t="inlineStr">
        <is>
          <t>Ст-437</t>
        </is>
      </c>
      <c r="G1268" s="37" t="inlineStr">
        <is>
          <t>повторение</t>
        </is>
      </c>
      <c r="H1268" s="11" t="inlineStr"/>
      <c r="I1268" s="37" t="inlineStr">
        <is>
          <t>10+</t>
        </is>
      </c>
      <c r="J1268" s="11">
        <f>IFERROR(INDEX('Уроки'!$H:$H,MATCH(F1268,'Уроки'!$A:$A,0)),"")</f>
        <v/>
      </c>
      <c r="K1268" s="11">
        <f>IFERROR(INDEX('Уроки'!$J:$J,MATCH(F1268,'Уроки'!$A:$A,0)),"")</f>
        <v/>
      </c>
      <c r="L1268" s="11" t="inlineStr">
        <is>
          <t>Spotlight / 10 класс / Module 1 · Strong ties / Adverbs of frequency / Adverbs of frequency: место — перед смысловым глаголом, после be</t>
        </is>
      </c>
    </row>
    <row r="1269">
      <c r="A1269" s="37" t="n">
        <v>10</v>
      </c>
      <c r="B1269" s="11" t="inlineStr">
        <is>
          <t>Module 1 · Strong ties</t>
        </is>
      </c>
      <c r="C1269" s="11" t="inlineStr">
        <is>
          <t>1c</t>
        </is>
      </c>
      <c r="D1269" s="11" t="inlineStr">
        <is>
          <t>Adverbs of frequency</t>
        </is>
      </c>
      <c r="E1269" s="35" t="inlineStr">
        <is>
          <t>Adverbs of frequency: место — после вспомогательных и модальных глаголов</t>
        </is>
      </c>
      <c r="F1269" s="11" t="inlineStr">
        <is>
          <t>Ст-438</t>
        </is>
      </c>
      <c r="G1269" s="37" t="inlineStr">
        <is>
          <t>повторение</t>
        </is>
      </c>
      <c r="H1269" s="11" t="inlineStr"/>
      <c r="I1269" s="37" t="inlineStr">
        <is>
          <t>10+</t>
        </is>
      </c>
      <c r="J1269" s="11">
        <f>IFERROR(INDEX('Уроки'!$H:$H,MATCH(F1269,'Уроки'!$A:$A,0)),"")</f>
        <v/>
      </c>
      <c r="K1269" s="11">
        <f>IFERROR(INDEX('Уроки'!$J:$J,MATCH(F1269,'Уроки'!$A:$A,0)),"")</f>
        <v/>
      </c>
      <c r="L1269" s="11" t="inlineStr">
        <is>
          <t>Spotlight / 10 класс / Module 1 · Strong ties / Adverbs of frequency / Adverbs of frequency: место — после вспомогательных и модальных глаголов</t>
        </is>
      </c>
    </row>
    <row r="1270">
      <c r="A1270" s="37" t="n">
        <v>10</v>
      </c>
      <c r="B1270" s="11" t="inlineStr">
        <is>
          <t>Module 1 · Strong ties</t>
        </is>
      </c>
      <c r="C1270" s="11" t="inlineStr">
        <is>
          <t>1c</t>
        </is>
      </c>
      <c r="D1270" s="11" t="inlineStr">
        <is>
          <t>Adverbs of frequency</t>
        </is>
      </c>
      <c r="E1270" s="33" t="inlineStr">
        <is>
          <t>Adverbs of frequency: шкала частотности в % (always 100% … never 0%)</t>
        </is>
      </c>
      <c r="F1270" s="11" t="inlineStr">
        <is>
          <t>Ст-440</t>
        </is>
      </c>
      <c r="G1270" s="37" t="inlineStr">
        <is>
          <t>повторение</t>
        </is>
      </c>
      <c r="H1270" s="11" t="inlineStr"/>
      <c r="I1270" s="37" t="inlineStr">
        <is>
          <t>10+</t>
        </is>
      </c>
      <c r="J1270" s="11">
        <f>IFERROR(INDEX('Уроки'!$H:$H,MATCH(F1270,'Уроки'!$A:$A,0)),"")</f>
        <v/>
      </c>
      <c r="K1270" s="11">
        <f>IFERROR(INDEX('Уроки'!$J:$J,MATCH(F1270,'Уроки'!$A:$A,0)),"")</f>
        <v/>
      </c>
      <c r="L1270" s="11" t="inlineStr">
        <is>
          <t>Spotlight / 10 класс / Module 1 · Strong ties / Adverbs of frequency / Adverbs of frequency: шкала частотности в % (always 100% … never 0%)</t>
        </is>
      </c>
    </row>
    <row r="1271">
      <c r="A1271" s="37" t="n">
        <v>10</v>
      </c>
      <c r="B1271" s="11" t="inlineStr">
        <is>
          <t>Module 1 · Strong ties</t>
        </is>
      </c>
      <c r="C1271" s="11" t="inlineStr">
        <is>
          <t>1c</t>
        </is>
      </c>
      <c r="D1271" s="11" t="inlineStr">
        <is>
          <t>Phrasal verbs</t>
        </is>
      </c>
      <c r="E1271" s="35" t="inlineStr">
        <is>
          <t>Phrasal verbs: look</t>
        </is>
      </c>
      <c r="F1271" s="11" t="inlineStr">
        <is>
          <t>Ст-601</t>
        </is>
      </c>
      <c r="G1271" s="40" t="inlineStr">
        <is>
          <t>новое</t>
        </is>
      </c>
      <c r="H1271" s="11" t="inlineStr">
        <is>
          <t>Фразовые глаголы с look (ToC: «phrasal verbs (look)»); состав частиц и значения в источнике не даны.</t>
        </is>
      </c>
      <c r="I1271" s="37" t="inlineStr">
        <is>
          <t>10+</t>
        </is>
      </c>
      <c r="J1271" s="11">
        <f>IFERROR(INDEX('Уроки'!$H:$H,MATCH(F1271,'Уроки'!$A:$A,0)),"")</f>
        <v/>
      </c>
      <c r="K1271" s="11">
        <f>IFERROR(INDEX('Уроки'!$J:$J,MATCH(F1271,'Уроки'!$A:$A,0)),"")</f>
        <v/>
      </c>
      <c r="L1271" s="11" t="inlineStr">
        <is>
          <t>Spotlight / 10 класс / Module 1 · Strong ties / Phrasal verbs / Phrasal verbs: look</t>
        </is>
      </c>
    </row>
    <row r="1272">
      <c r="A1272" s="37" t="n">
        <v>10</v>
      </c>
      <c r="B1272" s="11" t="inlineStr">
        <is>
          <t>Module 1 · Strong ties</t>
        </is>
      </c>
      <c r="C1272" s="11" t="inlineStr">
        <is>
          <t>1c</t>
        </is>
      </c>
      <c r="D1272" s="11" t="inlineStr">
        <is>
          <t>Word formation</t>
        </is>
      </c>
      <c r="E1272" s="33" t="inlineStr">
        <is>
          <t>Word formation: forming adjectives</t>
        </is>
      </c>
      <c r="F1272" s="11" t="inlineStr">
        <is>
          <t>Ст-629</t>
        </is>
      </c>
      <c r="G1272" s="40" t="inlineStr">
        <is>
          <t>новое</t>
        </is>
      </c>
      <c r="H1272" s="11" t="inlineStr">
        <is>
          <t>Образование прилагательных (ToC: «forming adjectives»).</t>
        </is>
      </c>
      <c r="I1272" s="37" t="inlineStr">
        <is>
          <t>10+</t>
        </is>
      </c>
      <c r="J1272" s="11">
        <f>IFERROR(INDEX('Уроки'!$H:$H,MATCH(F1272,'Уроки'!$A:$A,0)),"")</f>
        <v/>
      </c>
      <c r="K1272" s="11">
        <f>IFERROR(INDEX('Уроки'!$J:$J,MATCH(F1272,'Уроки'!$A:$A,0)),"")</f>
        <v/>
      </c>
      <c r="L1272" s="11" t="inlineStr">
        <is>
          <t>Spotlight / 10 класс / Module 1 · Strong ties / Word formation / Word formation: forming adjectives</t>
        </is>
      </c>
    </row>
    <row r="1273">
      <c r="A1273" s="37" t="n">
        <v>10</v>
      </c>
      <c r="B1273" s="11" t="inlineStr">
        <is>
          <t>Module 1 · Strong ties</t>
        </is>
      </c>
      <c r="C1273" s="11" t="inlineStr">
        <is>
          <t>1c</t>
        </is>
      </c>
      <c r="D1273" s="11" t="inlineStr">
        <is>
          <t>Dependent prepositions</t>
        </is>
      </c>
      <c r="E1273" s="35" t="inlineStr">
        <is>
          <t>Dependent prepositions</t>
        </is>
      </c>
      <c r="F1273" s="11" t="inlineStr">
        <is>
          <t>Ст-633</t>
        </is>
      </c>
      <c r="G1273" s="37" t="inlineStr">
        <is>
          <t>повторение</t>
        </is>
      </c>
      <c r="H1273" s="11" t="inlineStr">
        <is>
          <t>Зависимые предлоги (ToC: «dependent prepositions»). Конкретные сочетания урока в источнике не даны; общий список предлогов — в Appendix 1 (см. отдельную строку).</t>
        </is>
      </c>
      <c r="I1273" s="37" t="inlineStr">
        <is>
          <t>10+</t>
        </is>
      </c>
      <c r="J1273" s="11">
        <f>IFERROR(INDEX('Уроки'!$H:$H,MATCH(F1273,'Уроки'!$A:$A,0)),"")</f>
        <v/>
      </c>
      <c r="K1273" s="11">
        <f>IFERROR(INDEX('Уроки'!$J:$J,MATCH(F1273,'Уроки'!$A:$A,0)),"")</f>
        <v/>
      </c>
      <c r="L1273" s="11" t="inlineStr">
        <is>
          <t>Spotlight / 10 класс / Module 1 · Strong ties / Dependent prepositions / Dependent prepositions</t>
        </is>
      </c>
    </row>
    <row r="1274">
      <c r="A1274" s="37" t="n">
        <v>10</v>
      </c>
      <c r="B1274" s="11" t="inlineStr">
        <is>
          <t>Appendix 1</t>
        </is>
      </c>
      <c r="C1274" s="11" t="inlineStr"/>
      <c r="D1274" s="11" t="inlineStr">
        <is>
          <t>Dependent prepositions</t>
        </is>
      </c>
      <c r="E1274" s="35" t="inlineStr">
        <is>
          <t>Dependent prepositions</t>
        </is>
      </c>
      <c r="F1274" s="11" t="inlineStr">
        <is>
          <t>Ст-633</t>
        </is>
      </c>
      <c r="G1274" s="37" t="inlineStr">
        <is>
          <t>повторение</t>
        </is>
      </c>
      <c r="H1274" s="11" t="inlineStr">
        <is>
          <t>Глагол + предлог: advise sb against, apply for, arrive in, cope with, deal with, feel strongly about, mistake sb for, protect from, recover from, resign from, result in, suffer from. Прилагательное + предлог: avid of (? OCR), bad at, brilliant at, good at, terrible at, be careful with, be careless w</t>
        </is>
      </c>
      <c r="I1274" s="37" t="inlineStr">
        <is>
          <t>10+</t>
        </is>
      </c>
      <c r="J1274" s="11">
        <f>IFERROR(INDEX('Уроки'!$H:$H,MATCH(F1274,'Уроки'!$A:$A,0)),"")</f>
        <v/>
      </c>
      <c r="K1274" s="11">
        <f>IFERROR(INDEX('Уроки'!$J:$J,MATCH(F1274,'Уроки'!$A:$A,0)),"")</f>
        <v/>
      </c>
      <c r="L1274" s="11" t="inlineStr">
        <is>
          <t>Spotlight / 10 класс / Appendix 1 / Dependent prepositions / Dependent prepositions</t>
        </is>
      </c>
    </row>
    <row r="1275">
      <c r="A1275" s="37" t="n">
        <v>10</v>
      </c>
      <c r="B1275" s="11" t="inlineStr">
        <is>
          <t>Module 2 · Living &amp; Spending</t>
        </is>
      </c>
      <c r="C1275" s="11" t="inlineStr">
        <is>
          <t>2c</t>
        </is>
      </c>
      <c r="D1275" s="11" t="inlineStr">
        <is>
          <t>used to</t>
        </is>
      </c>
      <c r="E1275" s="35" t="inlineStr">
        <is>
          <t>used to vs be/get used to + -ing</t>
        </is>
      </c>
      <c r="F1275" s="11" t="inlineStr">
        <is>
          <t>Ст-219</t>
        </is>
      </c>
      <c r="G1275" s="40" t="inlineStr">
        <is>
          <t>новое</t>
        </is>
      </c>
      <c r="H1275" s="11" t="inlineStr">
        <is>
          <t>I'm used to working / I used to work</t>
        </is>
      </c>
      <c r="I1275" s="37" t="inlineStr">
        <is>
          <t>10+</t>
        </is>
      </c>
      <c r="J1275" s="11">
        <f>IFERROR(INDEX('Уроки'!$H:$H,MATCH(F1275,'Уроки'!$A:$A,0)),"")</f>
        <v/>
      </c>
      <c r="K1275" s="11">
        <f>IFERROR(INDEX('Уроки'!$J:$J,MATCH(F1275,'Уроки'!$A:$A,0)),"")</f>
        <v/>
      </c>
      <c r="L1275" s="11" t="inlineStr">
        <is>
          <t>Spotlight / 10 класс / Module 2 · Living &amp; Spending / used to / used to vs be/get used to + -ing</t>
        </is>
      </c>
    </row>
    <row r="1276">
      <c r="A1276" s="37" t="n">
        <v>10</v>
      </c>
      <c r="B1276" s="11" t="inlineStr">
        <is>
          <t>Module 2 · Living &amp; Spending</t>
        </is>
      </c>
      <c r="C1276" s="11" t="inlineStr">
        <is>
          <t>2c</t>
        </is>
      </c>
      <c r="D1276" s="11" t="inlineStr">
        <is>
          <t>Infinitive / -ing form</t>
        </is>
      </c>
      <c r="E1276" s="35" t="inlineStr">
        <is>
          <t>-ing form: в роли подлежащего</t>
        </is>
      </c>
      <c r="F1276" s="11" t="inlineStr">
        <is>
          <t>Ст-237</t>
        </is>
      </c>
      <c r="G1276" s="37" t="inlineStr">
        <is>
          <t>повторение</t>
        </is>
      </c>
      <c r="H1276" s="11" t="inlineStr"/>
      <c r="I1276" s="37" t="inlineStr">
        <is>
          <t>10+</t>
        </is>
      </c>
      <c r="J1276" s="11">
        <f>IFERROR(INDEX('Уроки'!$H:$H,MATCH(F1276,'Уроки'!$A:$A,0)),"")</f>
        <v/>
      </c>
      <c r="K1276" s="11">
        <f>IFERROR(INDEX('Уроки'!$J:$J,MATCH(F1276,'Уроки'!$A:$A,0)),"")</f>
        <v/>
      </c>
      <c r="L1276" s="11" t="inlineStr">
        <is>
          <t>Spotlight / 10 класс / Module 2 · Living &amp; Spending / Infinitive / -ing form / -ing form: в роли подлежащего</t>
        </is>
      </c>
    </row>
    <row r="1277">
      <c r="A1277" s="37" t="n">
        <v>10</v>
      </c>
      <c r="B1277" s="11" t="inlineStr">
        <is>
          <t>Module 2 · Living &amp; Spending</t>
        </is>
      </c>
      <c r="C1277" s="11" t="inlineStr">
        <is>
          <t>2c</t>
        </is>
      </c>
      <c r="D1277" s="11" t="inlineStr">
        <is>
          <t>Infinitive / -ing form</t>
        </is>
      </c>
      <c r="E1277" s="33" t="inlineStr">
        <is>
          <t>-ing form: после глаголов admit, avoid, consider, deny, fancy, go, imagine, mind, miss, practise, suggest…</t>
        </is>
      </c>
      <c r="F1277" s="11" t="inlineStr">
        <is>
          <t>Ст-238</t>
        </is>
      </c>
      <c r="G1277" s="37" t="inlineStr">
        <is>
          <t>повторение</t>
        </is>
      </c>
      <c r="H1277" s="11" t="inlineStr"/>
      <c r="I1277" s="37" t="inlineStr">
        <is>
          <t>10+</t>
        </is>
      </c>
      <c r="J1277" s="11">
        <f>IFERROR(INDEX('Уроки'!$H:$H,MATCH(F1277,'Уроки'!$A:$A,0)),"")</f>
        <v/>
      </c>
      <c r="K1277" s="11">
        <f>IFERROR(INDEX('Уроки'!$J:$J,MATCH(F1277,'Уроки'!$A:$A,0)),"")</f>
        <v/>
      </c>
      <c r="L1277" s="11" t="inlineStr">
        <is>
          <t>Spotlight / 10 класс / Module 2 · Living &amp; Spending / Infinitive / -ing form / -ing form: после глаголов admit, avoid, consider, deny, fancy, go, imagine, mind, miss, practise, suggest…</t>
        </is>
      </c>
    </row>
    <row r="1278">
      <c r="A1278" s="37" t="n">
        <v>10</v>
      </c>
      <c r="B1278" s="11" t="inlineStr">
        <is>
          <t>Module 2 · Living &amp; Spending</t>
        </is>
      </c>
      <c r="C1278" s="11" t="inlineStr">
        <is>
          <t>2c</t>
        </is>
      </c>
      <c r="D1278" s="11" t="inlineStr">
        <is>
          <t>Infinitive / -ing form</t>
        </is>
      </c>
      <c r="E1278" s="33" t="inlineStr">
        <is>
          <t>-ing form: после like, love, enjoy, prefer, dislike, hate — общее предпочтение</t>
        </is>
      </c>
      <c r="F1278" s="11" t="inlineStr">
        <is>
          <t>Ст-239</t>
        </is>
      </c>
      <c r="G1278" s="37" t="inlineStr">
        <is>
          <t>повторение</t>
        </is>
      </c>
      <c r="H1278" s="11" t="inlineStr"/>
      <c r="I1278" s="37" t="inlineStr">
        <is>
          <t>10+</t>
        </is>
      </c>
      <c r="J1278" s="11">
        <f>IFERROR(INDEX('Уроки'!$H:$H,MATCH(F1278,'Уроки'!$A:$A,0)),"")</f>
        <v/>
      </c>
      <c r="K1278" s="11">
        <f>IFERROR(INDEX('Уроки'!$J:$J,MATCH(F1278,'Уроки'!$A:$A,0)),"")</f>
        <v/>
      </c>
      <c r="L1278" s="11" t="inlineStr">
        <is>
          <t>Spotlight / 10 класс / Module 2 · Living &amp; Spending / Infinitive / -ing form / -ing form: после like, love, enjoy, prefer, dislike, hate — общее предпочтение</t>
        </is>
      </c>
    </row>
    <row r="1279">
      <c r="A1279" s="37" t="n">
        <v>10</v>
      </c>
      <c r="B1279" s="11" t="inlineStr">
        <is>
          <t>Module 2 · Living &amp; Spending</t>
        </is>
      </c>
      <c r="C1279" s="11" t="inlineStr">
        <is>
          <t>2c</t>
        </is>
      </c>
      <c r="D1279" s="11" t="inlineStr">
        <is>
          <t>Infinitive / -ing form</t>
        </is>
      </c>
      <c r="E1279" s="33" t="inlineStr">
        <is>
          <t>-ing form: после выражений it's no use, it's (not) worth, can't help, there's no point…</t>
        </is>
      </c>
      <c r="F1279" s="11" t="inlineStr">
        <is>
          <t>Ст-240</t>
        </is>
      </c>
      <c r="G1279" s="37" t="inlineStr">
        <is>
          <t>повторение</t>
        </is>
      </c>
      <c r="H1279" s="11" t="inlineStr"/>
      <c r="I1279" s="37" t="inlineStr">
        <is>
          <t>10+</t>
        </is>
      </c>
      <c r="J1279" s="11">
        <f>IFERROR(INDEX('Уроки'!$H:$H,MATCH(F1279,'Уроки'!$A:$A,0)),"")</f>
        <v/>
      </c>
      <c r="K1279" s="11">
        <f>IFERROR(INDEX('Уроки'!$J:$J,MATCH(F1279,'Уроки'!$A:$A,0)),"")</f>
        <v/>
      </c>
      <c r="L1279" s="11" t="inlineStr">
        <is>
          <t>Spotlight / 10 класс / Module 2 · Living &amp; Spending / Infinitive / -ing form / -ing form: после выражений it's no use, it's (not) worth, can't help, there's no point…</t>
        </is>
      </c>
    </row>
    <row r="1280">
      <c r="A1280" s="37" t="n">
        <v>10</v>
      </c>
      <c r="B1280" s="11" t="inlineStr">
        <is>
          <t>Module 2 · Living &amp; Spending</t>
        </is>
      </c>
      <c r="C1280" s="11" t="inlineStr">
        <is>
          <t>2c</t>
        </is>
      </c>
      <c r="D1280" s="11" t="inlineStr">
        <is>
          <t>Infinitive / -ing form</t>
        </is>
      </c>
      <c r="E1280" s="35" t="inlineStr">
        <is>
          <t>-ing form: после spend/waste/lose + время/деньги</t>
        </is>
      </c>
      <c r="F1280" s="11" t="inlineStr">
        <is>
          <t>Ст-241</t>
        </is>
      </c>
      <c r="G1280" s="37" t="inlineStr">
        <is>
          <t>повторение</t>
        </is>
      </c>
      <c r="H1280" s="11" t="inlineStr"/>
      <c r="I1280" s="37" t="inlineStr">
        <is>
          <t>10+</t>
        </is>
      </c>
      <c r="J1280" s="11">
        <f>IFERROR(INDEX('Уроки'!$H:$H,MATCH(F1280,'Уроки'!$A:$A,0)),"")</f>
        <v/>
      </c>
      <c r="K1280" s="11">
        <f>IFERROR(INDEX('Уроки'!$J:$J,MATCH(F1280,'Уроки'!$A:$A,0)),"")</f>
        <v/>
      </c>
      <c r="L1280" s="11" t="inlineStr">
        <is>
          <t>Spotlight / 10 класс / Module 2 · Living &amp; Spending / Infinitive / -ing form / -ing form: после spend/waste/lose + время/деньги</t>
        </is>
      </c>
    </row>
    <row r="1281">
      <c r="A1281" s="37" t="n">
        <v>10</v>
      </c>
      <c r="B1281" s="11" t="inlineStr">
        <is>
          <t>Module 2 · Living &amp; Spending</t>
        </is>
      </c>
      <c r="C1281" s="11" t="inlineStr">
        <is>
          <t>2c</t>
        </is>
      </c>
      <c r="D1281" s="11" t="inlineStr">
        <is>
          <t>Infinitive / -ing form</t>
        </is>
      </c>
      <c r="E1281" s="33" t="inlineStr">
        <is>
          <t>-ing form: после предлогов (look forward to, be used to, object to…)</t>
        </is>
      </c>
      <c r="F1281" s="11" t="inlineStr">
        <is>
          <t>Ст-242</t>
        </is>
      </c>
      <c r="G1281" s="37" t="inlineStr">
        <is>
          <t>повторение</t>
        </is>
      </c>
      <c r="H1281" s="11" t="inlineStr"/>
      <c r="I1281" s="37" t="inlineStr">
        <is>
          <t>10+</t>
        </is>
      </c>
      <c r="J1281" s="11">
        <f>IFERROR(INDEX('Уроки'!$H:$H,MATCH(F1281,'Уроки'!$A:$A,0)),"")</f>
        <v/>
      </c>
      <c r="K1281" s="11">
        <f>IFERROR(INDEX('Уроки'!$J:$J,MATCH(F1281,'Уроки'!$A:$A,0)),"")</f>
        <v/>
      </c>
      <c r="L1281" s="11" t="inlineStr">
        <is>
          <t>Spotlight / 10 класс / Module 2 · Living &amp; Spending / Infinitive / -ing form / -ing form: после предлогов (look forward to, be used to, object to…)</t>
        </is>
      </c>
    </row>
    <row r="1282">
      <c r="A1282" s="37" t="n">
        <v>10</v>
      </c>
      <c r="B1282" s="11" t="inlineStr">
        <is>
          <t>Module 2 · Living &amp; Spending</t>
        </is>
      </c>
      <c r="C1282" s="11" t="inlineStr">
        <is>
          <t>2c</t>
        </is>
      </c>
      <c r="D1282" s="11" t="inlineStr">
        <is>
          <t>Infinitive / -ing form</t>
        </is>
      </c>
      <c r="E1282" s="35" t="inlineStr">
        <is>
          <t>-ing vs bare infinitive после see, hear, watch, feel — незавершённое vs завершённое</t>
        </is>
      </c>
      <c r="F1282" s="11" t="inlineStr">
        <is>
          <t>Ст-243</t>
        </is>
      </c>
      <c r="G1282" s="37" t="inlineStr">
        <is>
          <t>повторение</t>
        </is>
      </c>
      <c r="H1282" s="11" t="inlineStr"/>
      <c r="I1282" s="37" t="inlineStr">
        <is>
          <t>10+</t>
        </is>
      </c>
      <c r="J1282" s="11">
        <f>IFERROR(INDEX('Уроки'!$H:$H,MATCH(F1282,'Уроки'!$A:$A,0)),"")</f>
        <v/>
      </c>
      <c r="K1282" s="11">
        <f>IFERROR(INDEX('Уроки'!$J:$J,MATCH(F1282,'Уроки'!$A:$A,0)),"")</f>
        <v/>
      </c>
      <c r="L1282" s="11" t="inlineStr">
        <is>
          <t>Spotlight / 10 класс / Module 2 · Living &amp; Spending / Infinitive / -ing form / -ing vs bare infinitive после see, hear, watch, feel — незавершённое vs завершённое</t>
        </is>
      </c>
    </row>
    <row r="1283">
      <c r="A1283" s="37" t="n">
        <v>10</v>
      </c>
      <c r="B1283" s="11" t="inlineStr">
        <is>
          <t>Module 2 · Living &amp; Spending</t>
        </is>
      </c>
      <c r="C1283" s="11" t="inlineStr">
        <is>
          <t>2c</t>
        </is>
      </c>
      <c r="D1283" s="11" t="inlineStr">
        <is>
          <t>Infinitive / -ing form</t>
        </is>
      </c>
      <c r="E1283" s="33" t="inlineStr">
        <is>
          <t>to-infinitive: цель</t>
        </is>
      </c>
      <c r="F1283" s="11" t="inlineStr">
        <is>
          <t>Ст-245</t>
        </is>
      </c>
      <c r="G1283" s="37" t="inlineStr">
        <is>
          <t>повторение</t>
        </is>
      </c>
      <c r="H1283" s="11" t="inlineStr"/>
      <c r="I1283" s="37" t="inlineStr">
        <is>
          <t>10+</t>
        </is>
      </c>
      <c r="J1283" s="11">
        <f>IFERROR(INDEX('Уроки'!$H:$H,MATCH(F1283,'Уроки'!$A:$A,0)),"")</f>
        <v/>
      </c>
      <c r="K1283" s="11">
        <f>IFERROR(INDEX('Уроки'!$J:$J,MATCH(F1283,'Уроки'!$A:$A,0)),"")</f>
        <v/>
      </c>
      <c r="L1283" s="11" t="inlineStr">
        <is>
          <t>Spotlight / 10 класс / Module 2 · Living &amp; Spending / Infinitive / -ing form / to-infinitive: цель</t>
        </is>
      </c>
    </row>
    <row r="1284">
      <c r="A1284" s="37" t="n">
        <v>10</v>
      </c>
      <c r="B1284" s="11" t="inlineStr">
        <is>
          <t>Module 2 · Living &amp; Spending</t>
        </is>
      </c>
      <c r="C1284" s="11" t="inlineStr">
        <is>
          <t>2c</t>
        </is>
      </c>
      <c r="D1284" s="11" t="inlineStr">
        <is>
          <t>Infinitive / -ing form</t>
        </is>
      </c>
      <c r="E1284" s="33" t="inlineStr">
        <is>
          <t>to-infinitive: после agree, decide, expect, hope, plan, promise, refuse, want</t>
        </is>
      </c>
      <c r="F1284" s="11" t="inlineStr">
        <is>
          <t>Ст-246</t>
        </is>
      </c>
      <c r="G1284" s="37" t="inlineStr">
        <is>
          <t>повторение</t>
        </is>
      </c>
      <c r="H1284" s="11" t="inlineStr"/>
      <c r="I1284" s="37" t="inlineStr">
        <is>
          <t>10+</t>
        </is>
      </c>
      <c r="J1284" s="11">
        <f>IFERROR(INDEX('Уроки'!$H:$H,MATCH(F1284,'Уроки'!$A:$A,0)),"")</f>
        <v/>
      </c>
      <c r="K1284" s="11">
        <f>IFERROR(INDEX('Уроки'!$J:$J,MATCH(F1284,'Уроки'!$A:$A,0)),"")</f>
        <v/>
      </c>
      <c r="L1284" s="11" t="inlineStr">
        <is>
          <t>Spotlight / 10 класс / Module 2 · Living &amp; Spending / Infinitive / -ing form / to-infinitive: после agree, decide, expect, hope, plan, promise, refuse, want</t>
        </is>
      </c>
    </row>
    <row r="1285">
      <c r="A1285" s="37" t="n">
        <v>10</v>
      </c>
      <c r="B1285" s="11" t="inlineStr">
        <is>
          <t>Module 2 · Living &amp; Spending</t>
        </is>
      </c>
      <c r="C1285" s="11" t="inlineStr">
        <is>
          <t>2c</t>
        </is>
      </c>
      <c r="D1285" s="11" t="inlineStr">
        <is>
          <t>Infinitive / -ing form</t>
        </is>
      </c>
      <c r="E1285" s="35" t="inlineStr">
        <is>
          <t>to-infinitive: после would like/prefer/love — конкретное предпочтение</t>
        </is>
      </c>
      <c r="F1285" s="11" t="inlineStr">
        <is>
          <t>Ст-247</t>
        </is>
      </c>
      <c r="G1285" s="37" t="inlineStr">
        <is>
          <t>повторение</t>
        </is>
      </c>
      <c r="H1285" s="11" t="inlineStr"/>
      <c r="I1285" s="37" t="inlineStr">
        <is>
          <t>10+</t>
        </is>
      </c>
      <c r="J1285" s="11">
        <f>IFERROR(INDEX('Уроки'!$H:$H,MATCH(F1285,'Уроки'!$A:$A,0)),"")</f>
        <v/>
      </c>
      <c r="K1285" s="11">
        <f>IFERROR(INDEX('Уроки'!$J:$J,MATCH(F1285,'Уроки'!$A:$A,0)),"")</f>
        <v/>
      </c>
      <c r="L1285" s="11" t="inlineStr">
        <is>
          <t>Spotlight / 10 класс / Module 2 · Living &amp; Spending / Infinitive / -ing form / to-infinitive: после would like/prefer/love — конкретное предпочтение</t>
        </is>
      </c>
    </row>
    <row r="1286">
      <c r="A1286" s="37" t="n">
        <v>10</v>
      </c>
      <c r="B1286" s="11" t="inlineStr">
        <is>
          <t>Module 2 · Living &amp; Spending</t>
        </is>
      </c>
      <c r="C1286" s="11" t="inlineStr">
        <is>
          <t>2c</t>
        </is>
      </c>
      <c r="D1286" s="11" t="inlineStr">
        <is>
          <t>Infinitive / -ing form</t>
        </is>
      </c>
      <c r="E1286" s="33" t="inlineStr">
        <is>
          <t>to-infinitive: после прилагательных (happy, eager, kind, lucky…); It was kind of you to…</t>
        </is>
      </c>
      <c r="F1286" s="11" t="inlineStr">
        <is>
          <t>Ст-248</t>
        </is>
      </c>
      <c r="G1286" s="37" t="inlineStr">
        <is>
          <t>повторение</t>
        </is>
      </c>
      <c r="H1286" s="11" t="inlineStr">
        <is>
          <t>+ it + be + adj/noun</t>
        </is>
      </c>
      <c r="I1286" s="37" t="inlineStr">
        <is>
          <t>10+</t>
        </is>
      </c>
      <c r="J1286" s="11">
        <f>IFERROR(INDEX('Уроки'!$H:$H,MATCH(F1286,'Уроки'!$A:$A,0)),"")</f>
        <v/>
      </c>
      <c r="K1286" s="11">
        <f>IFERROR(INDEX('Уроки'!$J:$J,MATCH(F1286,'Уроки'!$A:$A,0)),"")</f>
        <v/>
      </c>
      <c r="L1286" s="11" t="inlineStr">
        <is>
          <t>Spotlight / 10 класс / Module 2 · Living &amp; Spending / Infinitive / -ing form / to-infinitive: после прилагательных (happy, eager, kind, lucky…); It was kind of you to…</t>
        </is>
      </c>
    </row>
    <row r="1287">
      <c r="A1287" s="37" t="n">
        <v>10</v>
      </c>
      <c r="B1287" s="11" t="inlineStr">
        <is>
          <t>Module 2 · Living &amp; Spending</t>
        </is>
      </c>
      <c r="C1287" s="11" t="inlineStr">
        <is>
          <t>2c</t>
        </is>
      </c>
      <c r="D1287" s="11" t="inlineStr">
        <is>
          <t>Infinitive / -ing form</t>
        </is>
      </c>
      <c r="E1287" s="35" t="inlineStr">
        <is>
          <t>to-infinitive: после too/enough</t>
        </is>
      </c>
      <c r="F1287" s="11" t="inlineStr">
        <is>
          <t>Ст-249</t>
        </is>
      </c>
      <c r="G1287" s="37" t="inlineStr">
        <is>
          <t>повторение</t>
        </is>
      </c>
      <c r="H1287" s="11" t="inlineStr"/>
      <c r="I1287" s="37" t="inlineStr">
        <is>
          <t>10+</t>
        </is>
      </c>
      <c r="J1287" s="11">
        <f>IFERROR(INDEX('Уроки'!$H:$H,MATCH(F1287,'Уроки'!$A:$A,0)),"")</f>
        <v/>
      </c>
      <c r="K1287" s="11">
        <f>IFERROR(INDEX('Уроки'!$J:$J,MATCH(F1287,'Уроки'!$A:$A,0)),"")</f>
        <v/>
      </c>
      <c r="L1287" s="11" t="inlineStr">
        <is>
          <t>Spotlight / 10 класс / Module 2 · Living &amp; Spending / Infinitive / -ing form / to-infinitive: после too/enough</t>
        </is>
      </c>
    </row>
    <row r="1288">
      <c r="A1288" s="37" t="n">
        <v>10</v>
      </c>
      <c r="B1288" s="11" t="inlineStr">
        <is>
          <t>Module 2 · Living &amp; Spending</t>
        </is>
      </c>
      <c r="C1288" s="11" t="inlineStr">
        <is>
          <t>2c</t>
        </is>
      </c>
      <c r="D1288" s="11" t="inlineStr">
        <is>
          <t>Infinitive / -ing form</t>
        </is>
      </c>
      <c r="E1288" s="35" t="inlineStr">
        <is>
          <t>to-infinitive: после be the first/next/last</t>
        </is>
      </c>
      <c r="F1288" s="11" t="inlineStr">
        <is>
          <t>Ст-250</t>
        </is>
      </c>
      <c r="G1288" s="37" t="inlineStr">
        <is>
          <t>повторение</t>
        </is>
      </c>
      <c r="H1288" s="11" t="inlineStr"/>
      <c r="I1288" s="37" t="inlineStr">
        <is>
          <t>10+</t>
        </is>
      </c>
      <c r="J1288" s="11">
        <f>IFERROR(INDEX('Уроки'!$H:$H,MATCH(F1288,'Уроки'!$A:$A,0)),"")</f>
        <v/>
      </c>
      <c r="K1288" s="11">
        <f>IFERROR(INDEX('Уроки'!$J:$J,MATCH(F1288,'Уроки'!$A:$A,0)),"")</f>
        <v/>
      </c>
      <c r="L1288" s="11" t="inlineStr">
        <is>
          <t>Spotlight / 10 класс / Module 2 · Living &amp; Spending / Infinitive / -ing form / to-infinitive: после be the first/next/last</t>
        </is>
      </c>
    </row>
    <row r="1289">
      <c r="A1289" s="37" t="n">
        <v>10</v>
      </c>
      <c r="B1289" s="11" t="inlineStr">
        <is>
          <t>Module 2 · Living &amp; Spending</t>
        </is>
      </c>
      <c r="C1289" s="11" t="inlineStr">
        <is>
          <t>2c</t>
        </is>
      </c>
      <c r="D1289" s="11" t="inlineStr">
        <is>
          <t>Infinitive / -ing form</t>
        </is>
      </c>
      <c r="E1289" s="35" t="inlineStr">
        <is>
          <t>to-infinitive: устойчивые выражения (to tell you the truth, to be honest, to sum up…)</t>
        </is>
      </c>
      <c r="F1289" s="11" t="inlineStr">
        <is>
          <t>Ст-251</t>
        </is>
      </c>
      <c r="G1289" s="37" t="inlineStr">
        <is>
          <t>повторение</t>
        </is>
      </c>
      <c r="H1289" s="11" t="inlineStr"/>
      <c r="I1289" s="37" t="inlineStr">
        <is>
          <t>10+</t>
        </is>
      </c>
      <c r="J1289" s="11">
        <f>IFERROR(INDEX('Уроки'!$H:$H,MATCH(F1289,'Уроки'!$A:$A,0)),"")</f>
        <v/>
      </c>
      <c r="K1289" s="11">
        <f>IFERROR(INDEX('Уроки'!$J:$J,MATCH(F1289,'Уроки'!$A:$A,0)),"")</f>
        <v/>
      </c>
      <c r="L1289" s="11" t="inlineStr">
        <is>
          <t>Spotlight / 10 класс / Module 2 · Living &amp; Spending / Infinitive / -ing form / to-infinitive: устойчивые выражения (to tell you the truth, to be honest, to sum up…)</t>
        </is>
      </c>
    </row>
    <row r="1290">
      <c r="A1290" s="37" t="n">
        <v>10</v>
      </c>
      <c r="B1290" s="11" t="inlineStr">
        <is>
          <t>Module 2 · Living &amp; Spending</t>
        </is>
      </c>
      <c r="C1290" s="11" t="inlineStr">
        <is>
          <t>2c</t>
        </is>
      </c>
      <c r="D1290" s="11" t="inlineStr">
        <is>
          <t>Infinitive / -ing form</t>
        </is>
      </c>
      <c r="E1290" s="35" t="inlineStr">
        <is>
          <t>to-infinitive: вопросительное слово + to-inf (when to go)</t>
        </is>
      </c>
      <c r="F1290" s="11" t="inlineStr">
        <is>
          <t>Ст-252</t>
        </is>
      </c>
      <c r="G1290" s="37" t="inlineStr">
        <is>
          <t>повторение</t>
        </is>
      </c>
      <c r="H1290" s="11" t="inlineStr">
        <is>
          <t>после ask, decide, explain, find out, learn, want to know</t>
        </is>
      </c>
      <c r="I1290" s="37" t="inlineStr">
        <is>
          <t>10+</t>
        </is>
      </c>
      <c r="J1290" s="11">
        <f>IFERROR(INDEX('Уроки'!$H:$H,MATCH(F1290,'Уроки'!$A:$A,0)),"")</f>
        <v/>
      </c>
      <c r="K1290" s="11">
        <f>IFERROR(INDEX('Уроки'!$J:$J,MATCH(F1290,'Уроки'!$A:$A,0)),"")</f>
        <v/>
      </c>
      <c r="L1290" s="11" t="inlineStr">
        <is>
          <t>Spotlight / 10 класс / Module 2 · Living &amp; Spending / Infinitive / -ing form / to-infinitive: вопросительное слово + to-inf (when to go)</t>
        </is>
      </c>
    </row>
    <row r="1291">
      <c r="A1291" s="37" t="n">
        <v>10</v>
      </c>
      <c r="B1291" s="11" t="inlineStr">
        <is>
          <t>Module 2 · Living &amp; Spending</t>
        </is>
      </c>
      <c r="C1291" s="11" t="inlineStr">
        <is>
          <t>2c</t>
        </is>
      </c>
      <c r="D1291" s="11" t="inlineStr">
        <is>
          <t>Infinitive / -ing form</t>
        </is>
      </c>
      <c r="E1291" s="35" t="inlineStr">
        <is>
          <t>to-infinitive: после существительных; so + adj + as to; only + to-inf; for + sb + to-inf</t>
        </is>
      </c>
      <c r="F1291" s="11" t="inlineStr">
        <is>
          <t>Ст-253</t>
        </is>
      </c>
      <c r="G1291" s="37" t="inlineStr">
        <is>
          <t>повторение</t>
        </is>
      </c>
      <c r="H1291" s="11" t="inlineStr"/>
      <c r="I1291" s="37" t="inlineStr">
        <is>
          <t>10+</t>
        </is>
      </c>
      <c r="J1291" s="11">
        <f>IFERROR(INDEX('Уроки'!$H:$H,MATCH(F1291,'Уроки'!$A:$A,0)),"")</f>
        <v/>
      </c>
      <c r="K1291" s="11">
        <f>IFERROR(INDEX('Уроки'!$J:$J,MATCH(F1291,'Уроки'!$A:$A,0)),"")</f>
        <v/>
      </c>
      <c r="L1291" s="11" t="inlineStr">
        <is>
          <t>Spotlight / 10 класс / Module 2 · Living &amp; Spending / Infinitive / -ing form / to-infinitive: после существительных; so + adj + as to; only + to-inf; for + sb + to-inf</t>
        </is>
      </c>
    </row>
    <row r="1292">
      <c r="A1292" s="37" t="n">
        <v>10</v>
      </c>
      <c r="B1292" s="11" t="inlineStr">
        <is>
          <t>Module 2 · Living &amp; Spending</t>
        </is>
      </c>
      <c r="C1292" s="11" t="inlineStr">
        <is>
          <t>2c</t>
        </is>
      </c>
      <c r="D1292" s="11" t="inlineStr">
        <is>
          <t>Infinitive / -ing form</t>
        </is>
      </c>
      <c r="E1292" s="35" t="inlineStr">
        <is>
          <t>to-infinitive: второй инфинитив после and/or без to</t>
        </is>
      </c>
      <c r="F1292" s="11" t="inlineStr">
        <is>
          <t>Ст-254</t>
        </is>
      </c>
      <c r="G1292" s="37" t="inlineStr">
        <is>
          <t>повторение</t>
        </is>
      </c>
      <c r="H1292" s="11" t="inlineStr"/>
      <c r="I1292" s="37" t="inlineStr">
        <is>
          <t>10+</t>
        </is>
      </c>
      <c r="J1292" s="11">
        <f>IFERROR(INDEX('Уроки'!$H:$H,MATCH(F1292,'Уроки'!$A:$A,0)),"")</f>
        <v/>
      </c>
      <c r="K1292" s="11">
        <f>IFERROR(INDEX('Уроки'!$J:$J,MATCH(F1292,'Уроки'!$A:$A,0)),"")</f>
        <v/>
      </c>
      <c r="L1292" s="11" t="inlineStr">
        <is>
          <t>Spotlight / 10 класс / Module 2 · Living &amp; Spending / Infinitive / -ing form / to-infinitive: второй инфинитив после and/or без to</t>
        </is>
      </c>
    </row>
    <row r="1293">
      <c r="A1293" s="37" t="n">
        <v>10</v>
      </c>
      <c r="B1293" s="11" t="inlineStr">
        <is>
          <t>Module 2 · Living &amp; Spending</t>
        </is>
      </c>
      <c r="C1293" s="11" t="inlineStr">
        <is>
          <t>2c</t>
        </is>
      </c>
      <c r="D1293" s="11" t="inlineStr">
        <is>
          <t>Infinitive / -ing form</t>
        </is>
      </c>
      <c r="E1293" s="35" t="inlineStr">
        <is>
          <t>to-infinitive: dare — с to и без</t>
        </is>
      </c>
      <c r="F1293" s="11" t="inlineStr">
        <is>
          <t>Ст-255</t>
        </is>
      </c>
      <c r="G1293" s="37" t="inlineStr">
        <is>
          <t>повторение</t>
        </is>
      </c>
      <c r="H1293" s="11" t="inlineStr"/>
      <c r="I1293" s="37" t="inlineStr">
        <is>
          <t>10+</t>
        </is>
      </c>
      <c r="J1293" s="11">
        <f>IFERROR(INDEX('Уроки'!$H:$H,MATCH(F1293,'Уроки'!$A:$A,0)),"")</f>
        <v/>
      </c>
      <c r="K1293" s="11">
        <f>IFERROR(INDEX('Уроки'!$J:$J,MATCH(F1293,'Уроки'!$A:$A,0)),"")</f>
        <v/>
      </c>
      <c r="L1293" s="11" t="inlineStr">
        <is>
          <t>Spotlight / 10 класс / Module 2 · Living &amp; Spending / Infinitive / -ing form / to-infinitive: dare — с to и без</t>
        </is>
      </c>
    </row>
    <row r="1294">
      <c r="A1294" s="37" t="n">
        <v>10</v>
      </c>
      <c r="B1294" s="11" t="inlineStr">
        <is>
          <t>Module 2 · Living &amp; Spending</t>
        </is>
      </c>
      <c r="C1294" s="11" t="inlineStr">
        <is>
          <t>2c</t>
        </is>
      </c>
      <c r="D1294" s="11" t="inlineStr">
        <is>
          <t>Infinitive / -ing form</t>
        </is>
      </c>
      <c r="E1294" s="35" t="inlineStr">
        <is>
          <t>Bare infinitive: после модальных, had better, would rather</t>
        </is>
      </c>
      <c r="F1294" s="11" t="inlineStr">
        <is>
          <t>Ст-256</t>
        </is>
      </c>
      <c r="G1294" s="37" t="inlineStr">
        <is>
          <t>повторение</t>
        </is>
      </c>
      <c r="H1294" s="11" t="inlineStr"/>
      <c r="I1294" s="37" t="inlineStr">
        <is>
          <t>10+</t>
        </is>
      </c>
      <c r="J1294" s="11">
        <f>IFERROR(INDEX('Уроки'!$H:$H,MATCH(F1294,'Уроки'!$A:$A,0)),"")</f>
        <v/>
      </c>
      <c r="K1294" s="11">
        <f>IFERROR(INDEX('Уроки'!$J:$J,MATCH(F1294,'Уроки'!$A:$A,0)),"")</f>
        <v/>
      </c>
      <c r="L1294" s="11" t="inlineStr">
        <is>
          <t>Spotlight / 10 класс / Module 2 · Living &amp; Spending / Infinitive / -ing form / Bare infinitive: после модальных, had better, would rather</t>
        </is>
      </c>
    </row>
    <row r="1295">
      <c r="A1295" s="37" t="n">
        <v>10</v>
      </c>
      <c r="B1295" s="11" t="inlineStr">
        <is>
          <t>Module 2 · Living &amp; Spending</t>
        </is>
      </c>
      <c r="C1295" s="11" t="inlineStr">
        <is>
          <t>2c</t>
        </is>
      </c>
      <c r="D1295" s="11" t="inlineStr">
        <is>
          <t>Infinitive / -ing form</t>
        </is>
      </c>
      <c r="E1295" s="35" t="inlineStr">
        <is>
          <t>Bare infinitive: let/make/see/hear/feel + object + V; в пассиве + to (was made to)</t>
        </is>
      </c>
      <c r="F1295" s="11" t="inlineStr">
        <is>
          <t>Ст-257</t>
        </is>
      </c>
      <c r="G1295" s="41" t="inlineStr">
        <is>
          <t>расширение</t>
        </is>
      </c>
      <c r="H1295" s="11" t="inlineStr">
        <is>
          <t>+ see/hear/watch + -ing в пассиве не меняются (She was heard crying)</t>
        </is>
      </c>
      <c r="I1295" s="37" t="inlineStr">
        <is>
          <t>10+</t>
        </is>
      </c>
      <c r="J1295" s="11">
        <f>IFERROR(INDEX('Уроки'!$H:$H,MATCH(F1295,'Уроки'!$A:$A,0)),"")</f>
        <v/>
      </c>
      <c r="K1295" s="11">
        <f>IFERROR(INDEX('Уроки'!$J:$J,MATCH(F1295,'Уроки'!$A:$A,0)),"")</f>
        <v/>
      </c>
      <c r="L1295" s="11" t="inlineStr">
        <is>
          <t>Spotlight / 10 класс / Module 2 · Living &amp; Spending / Infinitive / -ing form / Bare infinitive: let/make/see/hear/feel + object + V; в пассиве + to (was made to)</t>
        </is>
      </c>
    </row>
    <row r="1296">
      <c r="A1296" s="37" t="n">
        <v>10</v>
      </c>
      <c r="B1296" s="11" t="inlineStr">
        <is>
          <t>Module 2 · Living &amp; Spending</t>
        </is>
      </c>
      <c r="C1296" s="11" t="inlineStr">
        <is>
          <t>2c</t>
        </is>
      </c>
      <c r="D1296" s="11" t="inlineStr">
        <is>
          <t>Infinitive / -ing form</t>
        </is>
      </c>
      <c r="E1296" s="35" t="inlineStr">
        <is>
          <t>Bare infinitive: help + (to) V</t>
        </is>
      </c>
      <c r="F1296" s="11" t="inlineStr">
        <is>
          <t>Ст-258</t>
        </is>
      </c>
      <c r="G1296" s="37" t="inlineStr">
        <is>
          <t>повторение</t>
        </is>
      </c>
      <c r="H1296" s="11" t="inlineStr"/>
      <c r="I1296" s="37" t="inlineStr">
        <is>
          <t>10+</t>
        </is>
      </c>
      <c r="J1296" s="11">
        <f>IFERROR(INDEX('Уроки'!$H:$H,MATCH(F1296,'Уроки'!$A:$A,0)),"")</f>
        <v/>
      </c>
      <c r="K1296" s="11">
        <f>IFERROR(INDEX('Уроки'!$J:$J,MATCH(F1296,'Уроки'!$A:$A,0)),"")</f>
        <v/>
      </c>
      <c r="L1296" s="11" t="inlineStr">
        <is>
          <t>Spotlight / 10 класс / Module 2 · Living &amp; Spending / Infinitive / -ing form / Bare infinitive: help + (to) V</t>
        </is>
      </c>
    </row>
    <row r="1297">
      <c r="A1297" s="37" t="n">
        <v>10</v>
      </c>
      <c r="B1297" s="11" t="inlineStr">
        <is>
          <t>Module 2 · Living &amp; Spending</t>
        </is>
      </c>
      <c r="C1297" s="11" t="inlineStr">
        <is>
          <t>2c</t>
        </is>
      </c>
      <c r="D1297" s="11" t="inlineStr">
        <is>
          <t>Infinitive / -ing form (difference in meaning)</t>
        </is>
      </c>
      <c r="E1297" s="35" t="inlineStr">
        <is>
          <t>Infinitive vs -ing: forget/remember</t>
        </is>
      </c>
      <c r="F1297" s="11" t="inlineStr">
        <is>
          <t>Ст-259</t>
        </is>
      </c>
      <c r="G1297" s="37" t="inlineStr">
        <is>
          <t>повторение</t>
        </is>
      </c>
      <c r="H1297" s="11" t="inlineStr"/>
      <c r="I1297" s="37" t="inlineStr">
        <is>
          <t>10+</t>
        </is>
      </c>
      <c r="J1297" s="11">
        <f>IFERROR(INDEX('Уроки'!$H:$H,MATCH(F1297,'Уроки'!$A:$A,0)),"")</f>
        <v/>
      </c>
      <c r="K1297" s="11">
        <f>IFERROR(INDEX('Уроки'!$J:$J,MATCH(F1297,'Уроки'!$A:$A,0)),"")</f>
        <v/>
      </c>
      <c r="L1297" s="11" t="inlineStr">
        <is>
          <t>Spotlight / 10 класс / Module 2 · Living &amp; Spending / Infinitive / -ing form (difference in meaning) / Infinitive vs -ing: forget/remember</t>
        </is>
      </c>
    </row>
    <row r="1298">
      <c r="A1298" s="37" t="n">
        <v>10</v>
      </c>
      <c r="B1298" s="11" t="inlineStr">
        <is>
          <t>Module 2 · Living &amp; Spending</t>
        </is>
      </c>
      <c r="C1298" s="11" t="inlineStr">
        <is>
          <t>2c</t>
        </is>
      </c>
      <c r="D1298" s="11" t="inlineStr">
        <is>
          <t>Infinitive / -ing form (difference in meaning)</t>
        </is>
      </c>
      <c r="E1298" s="35" t="inlineStr">
        <is>
          <t>Infinitive vs -ing: stop</t>
        </is>
      </c>
      <c r="F1298" s="11" t="inlineStr">
        <is>
          <t>Ст-260</t>
        </is>
      </c>
      <c r="G1298" s="37" t="inlineStr">
        <is>
          <t>повторение</t>
        </is>
      </c>
      <c r="H1298" s="11" t="inlineStr"/>
      <c r="I1298" s="37" t="inlineStr">
        <is>
          <t>10+</t>
        </is>
      </c>
      <c r="J1298" s="11">
        <f>IFERROR(INDEX('Уроки'!$H:$H,MATCH(F1298,'Уроки'!$A:$A,0)),"")</f>
        <v/>
      </c>
      <c r="K1298" s="11">
        <f>IFERROR(INDEX('Уроки'!$J:$J,MATCH(F1298,'Уроки'!$A:$A,0)),"")</f>
        <v/>
      </c>
      <c r="L1298" s="11" t="inlineStr">
        <is>
          <t>Spotlight / 10 класс / Module 2 · Living &amp; Spending / Infinitive / -ing form (difference in meaning) / Infinitive vs -ing: stop</t>
        </is>
      </c>
    </row>
    <row r="1299">
      <c r="A1299" s="37" t="n">
        <v>10</v>
      </c>
      <c r="B1299" s="11" t="inlineStr">
        <is>
          <t>Module 2 · Living &amp; Spending</t>
        </is>
      </c>
      <c r="C1299" s="11" t="inlineStr">
        <is>
          <t>2c</t>
        </is>
      </c>
      <c r="D1299" s="11" t="inlineStr">
        <is>
          <t>Infinitive / -ing form (difference in meaning)</t>
        </is>
      </c>
      <c r="E1299" s="35" t="inlineStr">
        <is>
          <t>Infinitive vs -ing: try</t>
        </is>
      </c>
      <c r="F1299" s="11" t="inlineStr">
        <is>
          <t>Ст-261</t>
        </is>
      </c>
      <c r="G1299" s="37" t="inlineStr">
        <is>
          <t>повторение</t>
        </is>
      </c>
      <c r="H1299" s="11" t="inlineStr"/>
      <c r="I1299" s="37" t="inlineStr">
        <is>
          <t>10+</t>
        </is>
      </c>
      <c r="J1299" s="11">
        <f>IFERROR(INDEX('Уроки'!$H:$H,MATCH(F1299,'Уроки'!$A:$A,0)),"")</f>
        <v/>
      </c>
      <c r="K1299" s="11">
        <f>IFERROR(INDEX('Уроки'!$J:$J,MATCH(F1299,'Уроки'!$A:$A,0)),"")</f>
        <v/>
      </c>
      <c r="L1299" s="11" t="inlineStr">
        <is>
          <t>Spotlight / 10 класс / Module 2 · Living &amp; Spending / Infinitive / -ing form (difference in meaning) / Infinitive vs -ing: try</t>
        </is>
      </c>
    </row>
    <row r="1300">
      <c r="A1300" s="37" t="n">
        <v>10</v>
      </c>
      <c r="B1300" s="11" t="inlineStr">
        <is>
          <t>Module 2 · Living &amp; Spending</t>
        </is>
      </c>
      <c r="C1300" s="11" t="inlineStr">
        <is>
          <t>2c</t>
        </is>
      </c>
      <c r="D1300" s="11" t="inlineStr">
        <is>
          <t>Infinitive / -ing form (difference in meaning)</t>
        </is>
      </c>
      <c r="E1300" s="35" t="inlineStr">
        <is>
          <t>Infinitive vs -ing: regret</t>
        </is>
      </c>
      <c r="F1300" s="11" t="inlineStr">
        <is>
          <t>Ст-262</t>
        </is>
      </c>
      <c r="G1300" s="37" t="inlineStr">
        <is>
          <t>повторение</t>
        </is>
      </c>
      <c r="H1300" s="11" t="inlineStr"/>
      <c r="I1300" s="37" t="inlineStr">
        <is>
          <t>10+</t>
        </is>
      </c>
      <c r="J1300" s="11">
        <f>IFERROR(INDEX('Уроки'!$H:$H,MATCH(F1300,'Уроки'!$A:$A,0)),"")</f>
        <v/>
      </c>
      <c r="K1300" s="11">
        <f>IFERROR(INDEX('Уроки'!$J:$J,MATCH(F1300,'Уроки'!$A:$A,0)),"")</f>
        <v/>
      </c>
      <c r="L1300" s="11" t="inlineStr">
        <is>
          <t>Spotlight / 10 класс / Module 2 · Living &amp; Spending / Infinitive / -ing form (difference in meaning) / Infinitive vs -ing: regret</t>
        </is>
      </c>
    </row>
    <row r="1301">
      <c r="A1301" s="37" t="n">
        <v>10</v>
      </c>
      <c r="B1301" s="11" t="inlineStr">
        <is>
          <t>Module 2 · Living &amp; Spending</t>
        </is>
      </c>
      <c r="C1301" s="11" t="inlineStr">
        <is>
          <t>2c</t>
        </is>
      </c>
      <c r="D1301" s="11" t="inlineStr">
        <is>
          <t>Infinitive / -ing form (difference in meaning)</t>
        </is>
      </c>
      <c r="E1301" s="35" t="inlineStr">
        <is>
          <t>Infinitive vs -ing: mean</t>
        </is>
      </c>
      <c r="F1301" s="11" t="inlineStr">
        <is>
          <t>Ст-263</t>
        </is>
      </c>
      <c r="G1301" s="37" t="inlineStr">
        <is>
          <t>повторение</t>
        </is>
      </c>
      <c r="H1301" s="11" t="inlineStr"/>
      <c r="I1301" s="37" t="inlineStr">
        <is>
          <t>10+</t>
        </is>
      </c>
      <c r="J1301" s="11">
        <f>IFERROR(INDEX('Уроки'!$H:$H,MATCH(F1301,'Уроки'!$A:$A,0)),"")</f>
        <v/>
      </c>
      <c r="K1301" s="11">
        <f>IFERROR(INDEX('Уроки'!$J:$J,MATCH(F1301,'Уроки'!$A:$A,0)),"")</f>
        <v/>
      </c>
      <c r="L1301" s="11" t="inlineStr">
        <is>
          <t>Spotlight / 10 класс / Module 2 · Living &amp; Spending / Infinitive / -ing form (difference in meaning) / Infinitive vs -ing: mean</t>
        </is>
      </c>
    </row>
    <row r="1302">
      <c r="A1302" s="37" t="n">
        <v>10</v>
      </c>
      <c r="B1302" s="11" t="inlineStr">
        <is>
          <t>Module 2 · Living &amp; Spending</t>
        </is>
      </c>
      <c r="C1302" s="11" t="inlineStr">
        <is>
          <t>2c</t>
        </is>
      </c>
      <c r="D1302" s="11" t="inlineStr">
        <is>
          <t>Infinitive / -ing form (difference in meaning)</t>
        </is>
      </c>
      <c r="E1302" s="35" t="inlineStr">
        <is>
          <t>Infinitive vs -ing: go on</t>
        </is>
      </c>
      <c r="F1302" s="11" t="inlineStr">
        <is>
          <t>Ст-264</t>
        </is>
      </c>
      <c r="G1302" s="37" t="inlineStr">
        <is>
          <t>повторение</t>
        </is>
      </c>
      <c r="H1302" s="11" t="inlineStr"/>
      <c r="I1302" s="37" t="inlineStr">
        <is>
          <t>10+</t>
        </is>
      </c>
      <c r="J1302" s="11">
        <f>IFERROR(INDEX('Уроки'!$H:$H,MATCH(F1302,'Уроки'!$A:$A,0)),"")</f>
        <v/>
      </c>
      <c r="K1302" s="11">
        <f>IFERROR(INDEX('Уроки'!$J:$J,MATCH(F1302,'Уроки'!$A:$A,0)),"")</f>
        <v/>
      </c>
      <c r="L1302" s="11" t="inlineStr">
        <is>
          <t>Spotlight / 10 класс / Module 2 · Living &amp; Spending / Infinitive / -ing form (difference in meaning) / Infinitive vs -ing: go on</t>
        </is>
      </c>
    </row>
    <row r="1303">
      <c r="A1303" s="37" t="n">
        <v>10</v>
      </c>
      <c r="B1303" s="11" t="inlineStr">
        <is>
          <t>Module 2 · Living &amp; Spending</t>
        </is>
      </c>
      <c r="C1303" s="11" t="inlineStr">
        <is>
          <t>2c</t>
        </is>
      </c>
      <c r="D1303" s="11" t="inlineStr">
        <is>
          <t>Infinitive / -ing form (difference in meaning)</t>
        </is>
      </c>
      <c r="E1303" s="35" t="inlineStr">
        <is>
          <t>Infinitive vs -ing: hate</t>
        </is>
      </c>
      <c r="F1303" s="11" t="inlineStr">
        <is>
          <t>Ст-265</t>
        </is>
      </c>
      <c r="G1303" s="37" t="inlineStr">
        <is>
          <t>повторение</t>
        </is>
      </c>
      <c r="H1303" s="11" t="inlineStr"/>
      <c r="I1303" s="37" t="inlineStr">
        <is>
          <t>10+</t>
        </is>
      </c>
      <c r="J1303" s="11">
        <f>IFERROR(INDEX('Уроки'!$H:$H,MATCH(F1303,'Уроки'!$A:$A,0)),"")</f>
        <v/>
      </c>
      <c r="K1303" s="11">
        <f>IFERROR(INDEX('Уроки'!$J:$J,MATCH(F1303,'Уроки'!$A:$A,0)),"")</f>
        <v/>
      </c>
      <c r="L1303" s="11" t="inlineStr">
        <is>
          <t>Spotlight / 10 класс / Module 2 · Living &amp; Spending / Infinitive / -ing form (difference in meaning) / Infinitive vs -ing: hate</t>
        </is>
      </c>
    </row>
    <row r="1304">
      <c r="A1304" s="37" t="n">
        <v>10</v>
      </c>
      <c r="B1304" s="11" t="inlineStr">
        <is>
          <t>Module 2 · Living &amp; Spending</t>
        </is>
      </c>
      <c r="C1304" s="11" t="inlineStr">
        <is>
          <t>2c</t>
        </is>
      </c>
      <c r="D1304" s="11" t="inlineStr">
        <is>
          <t>Infinitive / -ing form (difference in meaning)</t>
        </is>
      </c>
      <c r="E1304" s="35" t="inlineStr">
        <is>
          <t>Infinitive vs -ing: want (My car wants cleaning)</t>
        </is>
      </c>
      <c r="F1304" s="11" t="inlineStr">
        <is>
          <t>Ст-266</t>
        </is>
      </c>
      <c r="G1304" s="37" t="inlineStr">
        <is>
          <t>повторение</t>
        </is>
      </c>
      <c r="H1304" s="11" t="inlineStr"/>
      <c r="I1304" s="37" t="inlineStr">
        <is>
          <t>10+</t>
        </is>
      </c>
      <c r="J1304" s="11">
        <f>IFERROR(INDEX('Уроки'!$H:$H,MATCH(F1304,'Уроки'!$A:$A,0)),"")</f>
        <v/>
      </c>
      <c r="K1304" s="11">
        <f>IFERROR(INDEX('Уроки'!$J:$J,MATCH(F1304,'Уроки'!$A:$A,0)),"")</f>
        <v/>
      </c>
      <c r="L1304" s="11" t="inlineStr">
        <is>
          <t>Spotlight / 10 класс / Module 2 · Living &amp; Spending / Infinitive / -ing form (difference in meaning) / Infinitive vs -ing: want (My car wants cleaning)</t>
        </is>
      </c>
    </row>
    <row r="1305">
      <c r="A1305" s="37" t="n">
        <v>10</v>
      </c>
      <c r="B1305" s="11" t="inlineStr">
        <is>
          <t>Module 2 · Living &amp; Spending</t>
        </is>
      </c>
      <c r="C1305" s="11" t="inlineStr">
        <is>
          <t>2c</t>
        </is>
      </c>
      <c r="D1305" s="11" t="inlineStr">
        <is>
          <t>Infinitive / -ing form (difference in meaning)</t>
        </is>
      </c>
      <c r="E1305" s="35" t="inlineStr">
        <is>
          <t>Infinitive vs -ing: be sorry to / for -ing; be afraid to / of -ing</t>
        </is>
      </c>
      <c r="F1305" s="11" t="inlineStr">
        <is>
          <t>Ст-267</t>
        </is>
      </c>
      <c r="G1305" s="37" t="inlineStr">
        <is>
          <t>повторение</t>
        </is>
      </c>
      <c r="H1305" s="11" t="inlineStr"/>
      <c r="I1305" s="37" t="inlineStr">
        <is>
          <t>10+</t>
        </is>
      </c>
      <c r="J1305" s="11">
        <f>IFERROR(INDEX('Уроки'!$H:$H,MATCH(F1305,'Уроки'!$A:$A,0)),"")</f>
        <v/>
      </c>
      <c r="K1305" s="11">
        <f>IFERROR(INDEX('Уроки'!$J:$J,MATCH(F1305,'Уроки'!$A:$A,0)),"")</f>
        <v/>
      </c>
      <c r="L1305" s="11" t="inlineStr">
        <is>
          <t>Spotlight / 10 класс / Module 2 · Living &amp; Spending / Infinitive / -ing form (difference in meaning) / Infinitive vs -ing: be sorry to / for -ing; be afraid to / of -ing</t>
        </is>
      </c>
    </row>
    <row r="1306">
      <c r="A1306" s="37" t="n">
        <v>10</v>
      </c>
      <c r="B1306" s="11" t="inlineStr">
        <is>
          <t>Module 2 · Living &amp; Spending</t>
        </is>
      </c>
      <c r="C1306" s="11" t="inlineStr">
        <is>
          <t>2c</t>
        </is>
      </c>
      <c r="D1306" s="11" t="inlineStr">
        <is>
          <t>Infinitive / -ing form (difference in meaning)</t>
        </is>
      </c>
      <c r="E1306" s="35" t="inlineStr">
        <is>
          <t>Infinitive / -ing без смены значения: begin, start, continue, intend</t>
        </is>
      </c>
      <c r="F1306" s="11" t="inlineStr">
        <is>
          <t>Ст-268</t>
        </is>
      </c>
      <c r="G1306" s="37" t="inlineStr">
        <is>
          <t>повторение</t>
        </is>
      </c>
      <c r="H1306" s="11" t="inlineStr"/>
      <c r="I1306" s="37" t="inlineStr">
        <is>
          <t>10+</t>
        </is>
      </c>
      <c r="J1306" s="11">
        <f>IFERROR(INDEX('Уроки'!$H:$H,MATCH(F1306,'Уроки'!$A:$A,0)),"")</f>
        <v/>
      </c>
      <c r="K1306" s="11">
        <f>IFERROR(INDEX('Уроки'!$J:$J,MATCH(F1306,'Уроки'!$A:$A,0)),"")</f>
        <v/>
      </c>
      <c r="L1306" s="11" t="inlineStr">
        <is>
          <t>Spotlight / 10 класс / Module 2 · Living &amp; Spending / Infinitive / -ing form (difference in meaning) / Infinitive / -ing без смены значения: begin, start, continue, intend</t>
        </is>
      </c>
    </row>
    <row r="1307">
      <c r="A1307" s="37" t="n">
        <v>10</v>
      </c>
      <c r="B1307" s="11" t="inlineStr">
        <is>
          <t>Module 2 · Living &amp; Spending</t>
        </is>
      </c>
      <c r="C1307" s="11" t="inlineStr">
        <is>
          <t>2c</t>
        </is>
      </c>
      <c r="D1307" s="11" t="inlineStr">
        <is>
          <t>Infinitive / -ing form (difference in meaning)</t>
        </is>
      </c>
      <c r="E1307" s="35" t="inlineStr">
        <is>
          <t>Infinitive / -ing: advise, allow, encourage, permit, require + object + to-inf / + -ing; в пассиве только to-inf</t>
        </is>
      </c>
      <c r="F1307" s="11" t="inlineStr">
        <is>
          <t>Ст-269</t>
        </is>
      </c>
      <c r="G1307" s="37" t="inlineStr">
        <is>
          <t>повторение</t>
        </is>
      </c>
      <c r="H1307" s="11" t="inlineStr"/>
      <c r="I1307" s="37" t="inlineStr">
        <is>
          <t>10+</t>
        </is>
      </c>
      <c r="J1307" s="11">
        <f>IFERROR(INDEX('Уроки'!$H:$H,MATCH(F1307,'Уроки'!$A:$A,0)),"")</f>
        <v/>
      </c>
      <c r="K1307" s="11">
        <f>IFERROR(INDEX('Уроки'!$J:$J,MATCH(F1307,'Уроки'!$A:$A,0)),"")</f>
        <v/>
      </c>
      <c r="L1307" s="11" t="inlineStr">
        <is>
          <t>Spotlight / 10 класс / Module 2 · Living &amp; Spending / Infinitive / -ing form (difference in meaning) / Infinitive / -ing: advise, allow, encourage, permit, require + object + to-inf / + -ing; в пассиве только to-inf</t>
        </is>
      </c>
    </row>
    <row r="1308">
      <c r="A1308" s="37" t="n">
        <v>10</v>
      </c>
      <c r="B1308" s="11" t="inlineStr">
        <is>
          <t>Module 2 · Living &amp; Spending</t>
        </is>
      </c>
      <c r="C1308" s="11" t="inlineStr">
        <is>
          <t>2c</t>
        </is>
      </c>
      <c r="D1308" s="11" t="inlineStr">
        <is>
          <t>Infinitive / -ing form (difference in meaning)</t>
        </is>
      </c>
      <c r="E1308" s="35" t="inlineStr">
        <is>
          <t>Infinitive / -ing: need/require/want + -ing / to be done (пассивное значение)</t>
        </is>
      </c>
      <c r="F1308" s="11" t="inlineStr">
        <is>
          <t>Ст-270</t>
        </is>
      </c>
      <c r="G1308" s="37" t="inlineStr">
        <is>
          <t>повторение</t>
        </is>
      </c>
      <c r="H1308" s="11" t="inlineStr"/>
      <c r="I1308" s="37" t="inlineStr">
        <is>
          <t>10+</t>
        </is>
      </c>
      <c r="J1308" s="11">
        <f>IFERROR(INDEX('Уроки'!$H:$H,MATCH(F1308,'Уроки'!$A:$A,0)),"")</f>
        <v/>
      </c>
      <c r="K1308" s="11">
        <f>IFERROR(INDEX('Уроки'!$J:$J,MATCH(F1308,'Уроки'!$A:$A,0)),"")</f>
        <v/>
      </c>
      <c r="L1308" s="11" t="inlineStr">
        <is>
          <t>Spotlight / 10 класс / Module 2 · Living &amp; Spending / Infinitive / -ing form (difference in meaning) / Infinitive / -ing: need/require/want + -ing / to be done (пассивное значение)</t>
        </is>
      </c>
    </row>
    <row r="1309">
      <c r="A1309" s="37" t="n">
        <v>10</v>
      </c>
      <c r="B1309" s="11" t="inlineStr">
        <is>
          <t>Module 2 · Living &amp; Spending</t>
        </is>
      </c>
      <c r="C1309" s="11" t="inlineStr">
        <is>
          <t>2c</t>
        </is>
      </c>
      <c r="D1309" s="11" t="inlineStr">
        <is>
          <t>Expressing preference (prefer / would rather)</t>
        </is>
      </c>
      <c r="E1309" s="33" t="inlineStr">
        <is>
          <t>Expressing preference: prefer + noun/-ing to noun/-ing — общее предпочтение</t>
        </is>
      </c>
      <c r="F1309" s="11" t="inlineStr">
        <is>
          <t>Ст-306</t>
        </is>
      </c>
      <c r="G1309" s="37" t="inlineStr">
        <is>
          <t>повторение</t>
        </is>
      </c>
      <c r="H1309" s="11" t="inlineStr"/>
      <c r="I1309" s="37" t="inlineStr">
        <is>
          <t>10+</t>
        </is>
      </c>
      <c r="J1309" s="11">
        <f>IFERROR(INDEX('Уроки'!$H:$H,MATCH(F1309,'Уроки'!$A:$A,0)),"")</f>
        <v/>
      </c>
      <c r="K1309" s="11">
        <f>IFERROR(INDEX('Уроки'!$J:$J,MATCH(F1309,'Уроки'!$A:$A,0)),"")</f>
        <v/>
      </c>
      <c r="L1309" s="11" t="inlineStr">
        <is>
          <t>Spotlight / 10 класс / Module 2 · Living &amp; Spending / Expressing preference (prefer / would rather) / Expressing preference: prefer + noun/-ing to noun/-ing — общее предпочтение</t>
        </is>
      </c>
    </row>
    <row r="1310">
      <c r="A1310" s="37" t="n">
        <v>10</v>
      </c>
      <c r="B1310" s="11" t="inlineStr">
        <is>
          <t>Module 2 · Living &amp; Spending</t>
        </is>
      </c>
      <c r="C1310" s="11" t="inlineStr">
        <is>
          <t>2c</t>
        </is>
      </c>
      <c r="D1310" s="11" t="inlineStr">
        <is>
          <t>Expressing preference (prefer / would rather)</t>
        </is>
      </c>
      <c r="E1310" s="35" t="inlineStr">
        <is>
          <t>Expressing preference: prefer + to-inf rather than + bare inf</t>
        </is>
      </c>
      <c r="F1310" s="11" t="inlineStr">
        <is>
          <t>Ст-307</t>
        </is>
      </c>
      <c r="G1310" s="37" t="inlineStr">
        <is>
          <t>повторение</t>
        </is>
      </c>
      <c r="H1310" s="11" t="inlineStr"/>
      <c r="I1310" s="37" t="inlineStr">
        <is>
          <t>10+</t>
        </is>
      </c>
      <c r="J1310" s="11">
        <f>IFERROR(INDEX('Уроки'!$H:$H,MATCH(F1310,'Уроки'!$A:$A,0)),"")</f>
        <v/>
      </c>
      <c r="K1310" s="11">
        <f>IFERROR(INDEX('Уроки'!$J:$J,MATCH(F1310,'Уроки'!$A:$A,0)),"")</f>
        <v/>
      </c>
      <c r="L1310" s="11" t="inlineStr">
        <is>
          <t>Spotlight / 10 класс / Module 2 · Living &amp; Spending / Expressing preference (prefer / would rather) / Expressing preference: prefer + to-inf rather than + bare inf</t>
        </is>
      </c>
    </row>
    <row r="1311">
      <c r="A1311" s="37" t="n">
        <v>10</v>
      </c>
      <c r="B1311" s="11" t="inlineStr">
        <is>
          <t>Module 2 · Living &amp; Spending</t>
        </is>
      </c>
      <c r="C1311" s="11" t="inlineStr">
        <is>
          <t>2c</t>
        </is>
      </c>
      <c r="D1311" s="11" t="inlineStr">
        <is>
          <t>Expressing preference (prefer / would rather)</t>
        </is>
      </c>
      <c r="E1311" s="35" t="inlineStr">
        <is>
          <t>Expressing preference: I'd prefer + to-inf / noun (rather than) — конкретное предпочтение</t>
        </is>
      </c>
      <c r="F1311" s="11" t="inlineStr">
        <is>
          <t>Ст-308</t>
        </is>
      </c>
      <c r="G1311" s="37" t="inlineStr">
        <is>
          <t>повторение</t>
        </is>
      </c>
      <c r="H1311" s="11" t="inlineStr"/>
      <c r="I1311" s="37" t="inlineStr">
        <is>
          <t>10+</t>
        </is>
      </c>
      <c r="J1311" s="11">
        <f>IFERROR(INDEX('Уроки'!$H:$H,MATCH(F1311,'Уроки'!$A:$A,0)),"")</f>
        <v/>
      </c>
      <c r="K1311" s="11">
        <f>IFERROR(INDEX('Уроки'!$J:$J,MATCH(F1311,'Уроки'!$A:$A,0)),"")</f>
        <v/>
      </c>
      <c r="L1311" s="11" t="inlineStr">
        <is>
          <t>Spotlight / 10 класс / Module 2 · Living &amp; Spending / Expressing preference (prefer / would rather) / Expressing preference: I'd prefer + to-inf / noun (rather than) — конкретное предпочтение</t>
        </is>
      </c>
    </row>
    <row r="1312">
      <c r="A1312" s="37" t="n">
        <v>10</v>
      </c>
      <c r="B1312" s="11" t="inlineStr">
        <is>
          <t>Module 2 · Living &amp; Spending</t>
        </is>
      </c>
      <c r="C1312" s="11" t="inlineStr">
        <is>
          <t>2c</t>
        </is>
      </c>
      <c r="D1312" s="11" t="inlineStr">
        <is>
          <t>Expressing preference (prefer / would rather)</t>
        </is>
      </c>
      <c r="E1312" s="35" t="inlineStr">
        <is>
          <t>Expressing preference: I'd rather + bare inf (than + bare inf)</t>
        </is>
      </c>
      <c r="F1312" s="11" t="inlineStr">
        <is>
          <t>Ст-309</t>
        </is>
      </c>
      <c r="G1312" s="37" t="inlineStr">
        <is>
          <t>повторение</t>
        </is>
      </c>
      <c r="H1312" s="11" t="inlineStr">
        <is>
          <t>без I'd rather you did</t>
        </is>
      </c>
      <c r="I1312" s="37" t="inlineStr">
        <is>
          <t>10+</t>
        </is>
      </c>
      <c r="J1312" s="11">
        <f>IFERROR(INDEX('Уроки'!$H:$H,MATCH(F1312,'Уроки'!$A:$A,0)),"")</f>
        <v/>
      </c>
      <c r="K1312" s="11">
        <f>IFERROR(INDEX('Уроки'!$J:$J,MATCH(F1312,'Уроки'!$A:$A,0)),"")</f>
        <v/>
      </c>
      <c r="L1312" s="11" t="inlineStr">
        <is>
          <t>Spotlight / 10 класс / Module 2 · Living &amp; Spending / Expressing preference (prefer / would rather) / Expressing preference: I'd rather + bare inf (than + bare inf)</t>
        </is>
      </c>
    </row>
    <row r="1313">
      <c r="A1313" s="37" t="n">
        <v>10</v>
      </c>
      <c r="B1313" s="11" t="inlineStr">
        <is>
          <t>Module 2 · Living &amp; Spending</t>
        </is>
      </c>
      <c r="C1313" s="11" t="inlineStr">
        <is>
          <t>2c</t>
        </is>
      </c>
      <c r="D1313" s="11" t="inlineStr">
        <is>
          <t>Phrasal verbs</t>
        </is>
      </c>
      <c r="E1313" s="33" t="inlineStr">
        <is>
          <t>Phrasal verbs: take</t>
        </is>
      </c>
      <c r="F1313" s="11" t="inlineStr">
        <is>
          <t>Ст-592</t>
        </is>
      </c>
      <c r="G1313" s="37" t="inlineStr">
        <is>
          <t>повторение</t>
        </is>
      </c>
      <c r="H1313" s="11" t="inlineStr">
        <is>
          <t>Фразовые глаголы с take (ToC: «phrasal verbs (take)»); состав частиц и значения в источнике не даны.</t>
        </is>
      </c>
      <c r="I1313" s="37" t="inlineStr">
        <is>
          <t>10+</t>
        </is>
      </c>
      <c r="J1313" s="11">
        <f>IFERROR(INDEX('Уроки'!$H:$H,MATCH(F1313,'Уроки'!$A:$A,0)),"")</f>
        <v/>
      </c>
      <c r="K1313" s="11">
        <f>IFERROR(INDEX('Уроки'!$J:$J,MATCH(F1313,'Уроки'!$A:$A,0)),"")</f>
        <v/>
      </c>
      <c r="L1313" s="11" t="inlineStr">
        <is>
          <t>Spotlight / 10 класс / Module 2 · Living &amp; Spending / Phrasal verbs / Phrasal verbs: take</t>
        </is>
      </c>
    </row>
    <row r="1314">
      <c r="A1314" s="37" t="n">
        <v>10</v>
      </c>
      <c r="B1314" s="11" t="inlineStr">
        <is>
          <t>Module 2 · Living &amp; Spending</t>
        </is>
      </c>
      <c r="C1314" s="11" t="inlineStr">
        <is>
          <t>2c</t>
        </is>
      </c>
      <c r="D1314" s="11" t="inlineStr">
        <is>
          <t>Word formation</t>
        </is>
      </c>
      <c r="E1314" s="35" t="inlineStr">
        <is>
          <t>Word formation: abstract nouns</t>
        </is>
      </c>
      <c r="F1314" s="11" t="inlineStr">
        <is>
          <t>Ст-622</t>
        </is>
      </c>
      <c r="G1314" s="37" t="inlineStr">
        <is>
          <t>повторение</t>
        </is>
      </c>
      <c r="H1314" s="11" t="inlineStr">
        <is>
          <t>Образование абстрактных существительных (ToC: «forming abstract nouns»).</t>
        </is>
      </c>
      <c r="I1314" s="37" t="inlineStr">
        <is>
          <t>10+</t>
        </is>
      </c>
      <c r="J1314" s="11">
        <f>IFERROR(INDEX('Уроки'!$H:$H,MATCH(F1314,'Уроки'!$A:$A,0)),"")</f>
        <v/>
      </c>
      <c r="K1314" s="11">
        <f>IFERROR(INDEX('Уроки'!$J:$J,MATCH(F1314,'Уроки'!$A:$A,0)),"")</f>
        <v/>
      </c>
      <c r="L1314" s="11" t="inlineStr">
        <is>
          <t>Spotlight / 10 класс / Module 2 · Living &amp; Spending / Word formation / Word formation: abstract nouns</t>
        </is>
      </c>
    </row>
    <row r="1315">
      <c r="A1315" s="37" t="n">
        <v>10</v>
      </c>
      <c r="B1315" s="11" t="inlineStr">
        <is>
          <t>Module 3 · Schooldays &amp; Work</t>
        </is>
      </c>
      <c r="C1315" s="11" t="inlineStr">
        <is>
          <t>3c</t>
        </is>
      </c>
      <c r="D1315" s="11" t="inlineStr">
        <is>
          <t>Future Simple (will)</t>
        </is>
      </c>
      <c r="E1315" s="34" t="inlineStr">
        <is>
          <t>Future Simple (will): утверждение (will/'ll + V)</t>
        </is>
      </c>
      <c r="F1315" s="11" t="inlineStr">
        <is>
          <t>Ст-039</t>
        </is>
      </c>
      <c r="G1315" s="37" t="inlineStr">
        <is>
          <t>повторение</t>
        </is>
      </c>
      <c r="H1315" s="11" t="inlineStr"/>
      <c r="I1315" s="37" t="inlineStr">
        <is>
          <t>10+</t>
        </is>
      </c>
      <c r="J1315" s="11">
        <f>IFERROR(INDEX('Уроки'!$H:$H,MATCH(F1315,'Уроки'!$A:$A,0)),"")</f>
        <v/>
      </c>
      <c r="K1315" s="11">
        <f>IFERROR(INDEX('Уроки'!$J:$J,MATCH(F1315,'Уроки'!$A:$A,0)),"")</f>
        <v/>
      </c>
      <c r="L1315" s="11" t="inlineStr">
        <is>
          <t>Spotlight / 10 класс / Module 3 · Schooldays &amp; Work / Future Simple (will) / Future Simple (will): утверждение (will/'ll + V)</t>
        </is>
      </c>
    </row>
    <row r="1316">
      <c r="A1316" s="37" t="n">
        <v>10</v>
      </c>
      <c r="B1316" s="11" t="inlineStr">
        <is>
          <t>Module 3 · Schooldays &amp; Work</t>
        </is>
      </c>
      <c r="C1316" s="11" t="inlineStr">
        <is>
          <t>3c</t>
        </is>
      </c>
      <c r="D1316" s="11" t="inlineStr">
        <is>
          <t>Future Simple (will)</t>
        </is>
      </c>
      <c r="E1316" s="33" t="inlineStr">
        <is>
          <t>Future Simple (will): значение — предсказание/предположение</t>
        </is>
      </c>
      <c r="F1316" s="11" t="inlineStr">
        <is>
          <t>Ст-042</t>
        </is>
      </c>
      <c r="G1316" s="37" t="inlineStr">
        <is>
          <t>повторение</t>
        </is>
      </c>
      <c r="H1316" s="11" t="inlineStr">
        <is>
          <t>hope, think, believe, expect, imagine; I'm sure, I'm afraid; probably, perhaps</t>
        </is>
      </c>
      <c r="I1316" s="37" t="inlineStr">
        <is>
          <t>10+</t>
        </is>
      </c>
      <c r="J1316" s="11">
        <f>IFERROR(INDEX('Уроки'!$H:$H,MATCH(F1316,'Уроки'!$A:$A,0)),"")</f>
        <v/>
      </c>
      <c r="K1316" s="11">
        <f>IFERROR(INDEX('Уроки'!$J:$J,MATCH(F1316,'Уроки'!$A:$A,0)),"")</f>
        <v/>
      </c>
      <c r="L1316" s="11" t="inlineStr">
        <is>
          <t>Spotlight / 10 класс / Module 3 · Schooldays &amp; Work / Future Simple (will) / Future Simple (will): значение — предсказание/предположение</t>
        </is>
      </c>
    </row>
    <row r="1317">
      <c r="A1317" s="37" t="n">
        <v>10</v>
      </c>
      <c r="B1317" s="11" t="inlineStr">
        <is>
          <t>Module 3 · Schooldays &amp; Work</t>
        </is>
      </c>
      <c r="C1317" s="11" t="inlineStr">
        <is>
          <t>3c</t>
        </is>
      </c>
      <c r="D1317" s="11" t="inlineStr">
        <is>
          <t>Future Simple (will)</t>
        </is>
      </c>
      <c r="E1317" s="33" t="inlineStr">
        <is>
          <t>Future Simple (will): значение — решение в момент речи</t>
        </is>
      </c>
      <c r="F1317" s="11" t="inlineStr">
        <is>
          <t>Ст-043</t>
        </is>
      </c>
      <c r="G1317" s="37" t="inlineStr">
        <is>
          <t>повторение</t>
        </is>
      </c>
      <c r="H1317" s="11" t="inlineStr"/>
      <c r="I1317" s="37" t="inlineStr">
        <is>
          <t>10+</t>
        </is>
      </c>
      <c r="J1317" s="11">
        <f>IFERROR(INDEX('Уроки'!$H:$H,MATCH(F1317,'Уроки'!$A:$A,0)),"")</f>
        <v/>
      </c>
      <c r="K1317" s="11">
        <f>IFERROR(INDEX('Уроки'!$J:$J,MATCH(F1317,'Уроки'!$A:$A,0)),"")</f>
        <v/>
      </c>
      <c r="L1317" s="11" t="inlineStr">
        <is>
          <t>Spotlight / 10 класс / Module 3 · Schooldays &amp; Work / Future Simple (will) / Future Simple (will): значение — решение в момент речи</t>
        </is>
      </c>
    </row>
    <row r="1318">
      <c r="A1318" s="37" t="n">
        <v>10</v>
      </c>
      <c r="B1318" s="11" t="inlineStr">
        <is>
          <t>Module 3 · Schooldays &amp; Work</t>
        </is>
      </c>
      <c r="C1318" s="11" t="inlineStr">
        <is>
          <t>3c</t>
        </is>
      </c>
      <c r="D1318" s="11" t="inlineStr">
        <is>
          <t>Future Simple (will)</t>
        </is>
      </c>
      <c r="E1318" s="34" t="inlineStr">
        <is>
          <t>Future Simple (will): значение — обещания</t>
        </is>
      </c>
      <c r="F1318" s="11" t="inlineStr">
        <is>
          <t>Ст-044</t>
        </is>
      </c>
      <c r="G1318" s="37" t="inlineStr">
        <is>
          <t>повторение</t>
        </is>
      </c>
      <c r="H1318" s="11" t="inlineStr"/>
      <c r="I1318" s="37" t="inlineStr">
        <is>
          <t>10+</t>
        </is>
      </c>
      <c r="J1318" s="11">
        <f>IFERROR(INDEX('Уроки'!$H:$H,MATCH(F1318,'Уроки'!$A:$A,0)),"")</f>
        <v/>
      </c>
      <c r="K1318" s="11">
        <f>IFERROR(INDEX('Уроки'!$J:$J,MATCH(F1318,'Уроки'!$A:$A,0)),"")</f>
        <v/>
      </c>
      <c r="L1318" s="11" t="inlineStr">
        <is>
          <t>Spotlight / 10 класс / Module 3 · Schooldays &amp; Work / Future Simple (will) / Future Simple (will): значение — обещания</t>
        </is>
      </c>
    </row>
    <row r="1319">
      <c r="A1319" s="37" t="n">
        <v>10</v>
      </c>
      <c r="B1319" s="11" t="inlineStr">
        <is>
          <t>Module 3 · Schooldays &amp; Work</t>
        </is>
      </c>
      <c r="C1319" s="11" t="inlineStr">
        <is>
          <t>3c</t>
        </is>
      </c>
      <c r="D1319" s="11" t="inlineStr">
        <is>
          <t>Future Simple (will)</t>
        </is>
      </c>
      <c r="E1319" s="34" t="inlineStr">
        <is>
          <t>Future Simple (will): значение — просьбы (Will you…?)</t>
        </is>
      </c>
      <c r="F1319" s="11" t="inlineStr">
        <is>
          <t>Ст-045</t>
        </is>
      </c>
      <c r="G1319" s="37" t="inlineStr">
        <is>
          <t>повторение</t>
        </is>
      </c>
      <c r="H1319" s="11" t="inlineStr"/>
      <c r="I1319" s="37" t="inlineStr">
        <is>
          <t>10+</t>
        </is>
      </c>
      <c r="J1319" s="11">
        <f>IFERROR(INDEX('Уроки'!$H:$H,MATCH(F1319,'Уроки'!$A:$A,0)),"")</f>
        <v/>
      </c>
      <c r="K1319" s="11">
        <f>IFERROR(INDEX('Уроки'!$J:$J,MATCH(F1319,'Уроки'!$A:$A,0)),"")</f>
        <v/>
      </c>
      <c r="L1319" s="11" t="inlineStr">
        <is>
          <t>Spotlight / 10 класс / Module 3 · Schooldays &amp; Work / Future Simple (will) / Future Simple (will): значение — просьбы (Will you…?)</t>
        </is>
      </c>
    </row>
    <row r="1320">
      <c r="A1320" s="37" t="n">
        <v>10</v>
      </c>
      <c r="B1320" s="11" t="inlineStr">
        <is>
          <t>Module 3 · Schooldays &amp; Work</t>
        </is>
      </c>
      <c r="C1320" s="11" t="inlineStr">
        <is>
          <t>3c</t>
        </is>
      </c>
      <c r="D1320" s="11" t="inlineStr">
        <is>
          <t>Future Simple (will)</t>
        </is>
      </c>
      <c r="E1320" s="34" t="inlineStr">
        <is>
          <t>Future Simple (will): значение — угрозы и предупреждения</t>
        </is>
      </c>
      <c r="F1320" s="11" t="inlineStr">
        <is>
          <t>Ст-046</t>
        </is>
      </c>
      <c r="G1320" s="37" t="inlineStr">
        <is>
          <t>повторение</t>
        </is>
      </c>
      <c r="H1320" s="11" t="inlineStr">
        <is>
          <t>угрозы, предупреждения</t>
        </is>
      </c>
      <c r="I1320" s="37" t="inlineStr">
        <is>
          <t>10+</t>
        </is>
      </c>
      <c r="J1320" s="11">
        <f>IFERROR(INDEX('Уроки'!$H:$H,MATCH(F1320,'Уроки'!$A:$A,0)),"")</f>
        <v/>
      </c>
      <c r="K1320" s="11">
        <f>IFERROR(INDEX('Уроки'!$J:$J,MATCH(F1320,'Уроки'!$A:$A,0)),"")</f>
        <v/>
      </c>
      <c r="L1320" s="11" t="inlineStr">
        <is>
          <t>Spotlight / 10 класс / Module 3 · Schooldays &amp; Work / Future Simple (will) / Future Simple (will): значение — угрозы и предупреждения</t>
        </is>
      </c>
    </row>
    <row r="1321">
      <c r="A1321" s="37" t="n">
        <v>10</v>
      </c>
      <c r="B1321" s="11" t="inlineStr">
        <is>
          <t>Module 3 · Schooldays &amp; Work</t>
        </is>
      </c>
      <c r="C1321" s="11" t="inlineStr">
        <is>
          <t>3c</t>
        </is>
      </c>
      <c r="D1321" s="11" t="inlineStr">
        <is>
          <t>Future Simple (will)</t>
        </is>
      </c>
      <c r="E1321" s="35" t="inlineStr">
        <is>
          <t>Future Simple (will): значение — надежды, страхи, предложения, комментарии</t>
        </is>
      </c>
      <c r="F1321" s="11" t="inlineStr">
        <is>
          <t>Ст-047</t>
        </is>
      </c>
      <c r="G1321" s="41" t="inlineStr">
        <is>
          <t>расширение</t>
        </is>
      </c>
      <c r="H1321" s="11" t="inlineStr">
        <is>
          <t>добавлены страхи, комментарии</t>
        </is>
      </c>
      <c r="I1321" s="37" t="inlineStr">
        <is>
          <t>10+</t>
        </is>
      </c>
      <c r="J1321" s="11">
        <f>IFERROR(INDEX('Уроки'!$H:$H,MATCH(F1321,'Уроки'!$A:$A,0)),"")</f>
        <v/>
      </c>
      <c r="K1321" s="11">
        <f>IFERROR(INDEX('Уроки'!$J:$J,MATCH(F1321,'Уроки'!$A:$A,0)),"")</f>
        <v/>
      </c>
      <c r="L1321" s="11" t="inlineStr">
        <is>
          <t>Spotlight / 10 класс / Module 3 · Schooldays &amp; Work / Future Simple (will) / Future Simple (will): значение — надежды, страхи, предложения, комментарии</t>
        </is>
      </c>
    </row>
    <row r="1322">
      <c r="A1322" s="37" t="n">
        <v>10</v>
      </c>
      <c r="B1322" s="11" t="inlineStr">
        <is>
          <t>Module 3 · Schooldays &amp; Work</t>
        </is>
      </c>
      <c r="C1322" s="11" t="inlineStr">
        <is>
          <t>3c</t>
        </is>
      </c>
      <c r="D1322" s="11" t="inlineStr">
        <is>
          <t>Future Simple (will)</t>
        </is>
      </c>
      <c r="E1322" s="34" t="inlineStr">
        <is>
          <t>Future Simple (will): значение — ещё не решили/не уверены (Maybe I'll…)</t>
        </is>
      </c>
      <c r="F1322" s="11" t="inlineStr">
        <is>
          <t>Ст-049</t>
        </is>
      </c>
      <c r="G1322" s="40" t="inlineStr">
        <is>
          <t>новое</t>
        </is>
      </c>
      <c r="H1322" s="11" t="inlineStr">
        <is>
          <t>Maybe I'll…</t>
        </is>
      </c>
      <c r="I1322" s="37" t="inlineStr">
        <is>
          <t>10+</t>
        </is>
      </c>
      <c r="J1322" s="11">
        <f>IFERROR(INDEX('Уроки'!$H:$H,MATCH(F1322,'Уроки'!$A:$A,0)),"")</f>
        <v/>
      </c>
      <c r="K1322" s="11">
        <f>IFERROR(INDEX('Уроки'!$J:$J,MATCH(F1322,'Уроки'!$A:$A,0)),"")</f>
        <v/>
      </c>
      <c r="L1322" s="11" t="inlineStr">
        <is>
          <t>Spotlight / 10 класс / Module 3 · Schooldays &amp; Work / Future Simple (will) / Future Simple (will): значение — ещё не решили/не уверены (Maybe I'll…)</t>
        </is>
      </c>
    </row>
    <row r="1323">
      <c r="A1323" s="37" t="n">
        <v>10</v>
      </c>
      <c r="B1323" s="11" t="inlineStr">
        <is>
          <t>Module 3 · Schooldays &amp; Work</t>
        </is>
      </c>
      <c r="C1323" s="11" t="inlineStr">
        <is>
          <t>3c</t>
        </is>
      </c>
      <c r="D1323" s="11" t="inlineStr">
        <is>
          <t>Future Simple (will)</t>
        </is>
      </c>
      <c r="E1323" s="34" t="inlineStr">
        <is>
          <t>Future Simple (will): Shall I/we? — предложение, просьба о совете</t>
        </is>
      </c>
      <c r="F1323" s="11" t="inlineStr">
        <is>
          <t>Ст-050</t>
        </is>
      </c>
      <c r="G1323" s="37" t="inlineStr">
        <is>
          <t>повторение</t>
        </is>
      </c>
      <c r="H1323" s="11" t="inlineStr">
        <is>
          <t>предложения, советы</t>
        </is>
      </c>
      <c r="I1323" s="37" t="inlineStr">
        <is>
          <t>10+</t>
        </is>
      </c>
      <c r="J1323" s="11">
        <f>IFERROR(INDEX('Уроки'!$H:$H,MATCH(F1323,'Уроки'!$A:$A,0)),"")</f>
        <v/>
      </c>
      <c r="K1323" s="11">
        <f>IFERROR(INDEX('Уроки'!$J:$J,MATCH(F1323,'Уроки'!$A:$A,0)),"")</f>
        <v/>
      </c>
      <c r="L1323" s="11" t="inlineStr">
        <is>
          <t>Spotlight / 10 класс / Module 3 · Schooldays &amp; Work / Future Simple (will) / Future Simple (will): Shall I/we? — предложение, просьба о совете</t>
        </is>
      </c>
    </row>
    <row r="1324">
      <c r="A1324" s="37" t="n">
        <v>10</v>
      </c>
      <c r="B1324" s="11" t="inlineStr">
        <is>
          <t>Module 3 · Schooldays &amp; Work</t>
        </is>
      </c>
      <c r="C1324" s="11" t="inlineStr">
        <is>
          <t>3c</t>
        </is>
      </c>
      <c r="D1324" s="11" t="inlineStr">
        <is>
          <t>be going to</t>
        </is>
      </c>
      <c r="E1324" s="33" t="inlineStr">
        <is>
          <t>be going to: утверждение (am/is/are going to + V)</t>
        </is>
      </c>
      <c r="F1324" s="11" t="inlineStr">
        <is>
          <t>Ст-055</t>
        </is>
      </c>
      <c r="G1324" s="37" t="inlineStr">
        <is>
          <t>повторение</t>
        </is>
      </c>
      <c r="H1324" s="11" t="inlineStr"/>
      <c r="I1324" s="37" t="inlineStr">
        <is>
          <t>10+</t>
        </is>
      </c>
      <c r="J1324" s="11">
        <f>IFERROR(INDEX('Уроки'!$H:$H,MATCH(F1324,'Уроки'!$A:$A,0)),"")</f>
        <v/>
      </c>
      <c r="K1324" s="11">
        <f>IFERROR(INDEX('Уроки'!$J:$J,MATCH(F1324,'Уроки'!$A:$A,0)),"")</f>
        <v/>
      </c>
      <c r="L1324" s="11" t="inlineStr">
        <is>
          <t>Spotlight / 10 класс / Module 3 · Schooldays &amp; Work / be going to / be going to: утверждение (am/is/are going to + V)</t>
        </is>
      </c>
    </row>
    <row r="1325">
      <c r="A1325" s="37" t="n">
        <v>10</v>
      </c>
      <c r="B1325" s="11" t="inlineStr">
        <is>
          <t>Module 3 · Schooldays &amp; Work</t>
        </is>
      </c>
      <c r="C1325" s="11" t="inlineStr">
        <is>
          <t>3c</t>
        </is>
      </c>
      <c r="D1325" s="11" t="inlineStr">
        <is>
          <t>be going to</t>
        </is>
      </c>
      <c r="E1325" s="33" t="inlineStr">
        <is>
          <t>be going to: значение — планы и намерения</t>
        </is>
      </c>
      <c r="F1325" s="11" t="inlineStr">
        <is>
          <t>Ст-058</t>
        </is>
      </c>
      <c r="G1325" s="37" t="inlineStr">
        <is>
          <t>повторение</t>
        </is>
      </c>
      <c r="H1325" s="11" t="inlineStr"/>
      <c r="I1325" s="37" t="inlineStr">
        <is>
          <t>10+</t>
        </is>
      </c>
      <c r="J1325" s="11">
        <f>IFERROR(INDEX('Уроки'!$H:$H,MATCH(F1325,'Уроки'!$A:$A,0)),"")</f>
        <v/>
      </c>
      <c r="K1325" s="11">
        <f>IFERROR(INDEX('Уроки'!$J:$J,MATCH(F1325,'Уроки'!$A:$A,0)),"")</f>
        <v/>
      </c>
      <c r="L1325" s="11" t="inlineStr">
        <is>
          <t>Spotlight / 10 класс / Module 3 · Schooldays &amp; Work / be going to / be going to: значение — планы и намерения</t>
        </is>
      </c>
    </row>
    <row r="1326">
      <c r="A1326" s="37" t="n">
        <v>10</v>
      </c>
      <c r="B1326" s="11" t="inlineStr">
        <is>
          <t>Module 3 · Schooldays &amp; Work</t>
        </is>
      </c>
      <c r="C1326" s="11" t="inlineStr">
        <is>
          <t>3c</t>
        </is>
      </c>
      <c r="D1326" s="11" t="inlineStr">
        <is>
          <t>be going to</t>
        </is>
      </c>
      <c r="E1326" s="34" t="inlineStr">
        <is>
          <t>be going to: значение — уже принятое решение на ближайшее будущее</t>
        </is>
      </c>
      <c r="F1326" s="11" t="inlineStr">
        <is>
          <t>Ст-059</t>
        </is>
      </c>
      <c r="G1326" s="37" t="inlineStr">
        <is>
          <t>повторение</t>
        </is>
      </c>
      <c r="H1326" s="11" t="inlineStr"/>
      <c r="I1326" s="37" t="inlineStr">
        <is>
          <t>10+</t>
        </is>
      </c>
      <c r="J1326" s="11">
        <f>IFERROR(INDEX('Уроки'!$H:$H,MATCH(F1326,'Уроки'!$A:$A,0)),"")</f>
        <v/>
      </c>
      <c r="K1326" s="11">
        <f>IFERROR(INDEX('Уроки'!$J:$J,MATCH(F1326,'Уроки'!$A:$A,0)),"")</f>
        <v/>
      </c>
      <c r="L1326" s="11" t="inlineStr">
        <is>
          <t>Spotlight / 10 класс / Module 3 · Schooldays &amp; Work / be going to / be going to: значение — уже принятое решение на ближайшее будущее</t>
        </is>
      </c>
    </row>
    <row r="1327">
      <c r="A1327" s="37" t="n">
        <v>10</v>
      </c>
      <c r="B1327" s="11" t="inlineStr">
        <is>
          <t>Module 3 · Schooldays &amp; Work</t>
        </is>
      </c>
      <c r="C1327" s="11" t="inlineStr">
        <is>
          <t>3c</t>
        </is>
      </c>
      <c r="D1327" s="11" t="inlineStr">
        <is>
          <t>be going to</t>
        </is>
      </c>
      <c r="E1327" s="33" t="inlineStr">
        <is>
          <t>be going to: значение — предсказание по очевидным признакам</t>
        </is>
      </c>
      <c r="F1327" s="11" t="inlineStr">
        <is>
          <t>Ст-060</t>
        </is>
      </c>
      <c r="G1327" s="37" t="inlineStr">
        <is>
          <t>повторение</t>
        </is>
      </c>
      <c r="H1327" s="11" t="inlineStr"/>
      <c r="I1327" s="37" t="inlineStr">
        <is>
          <t>10+</t>
        </is>
      </c>
      <c r="J1327" s="11">
        <f>IFERROR(INDEX('Уроки'!$H:$H,MATCH(F1327,'Уроки'!$A:$A,0)),"")</f>
        <v/>
      </c>
      <c r="K1327" s="11">
        <f>IFERROR(INDEX('Уроки'!$J:$J,MATCH(F1327,'Уроки'!$A:$A,0)),"")</f>
        <v/>
      </c>
      <c r="L1327" s="11" t="inlineStr">
        <is>
          <t>Spotlight / 10 класс / Module 3 · Schooldays &amp; Work / be going to / be going to: значение — предсказание по очевидным признакам</t>
        </is>
      </c>
    </row>
    <row r="1328">
      <c r="A1328" s="37" t="n">
        <v>10</v>
      </c>
      <c r="B1328" s="11" t="inlineStr">
        <is>
          <t>Module 3 · Schooldays &amp; Work</t>
        </is>
      </c>
      <c r="C1328" s="11" t="inlineStr">
        <is>
          <t>3c</t>
        </is>
      </c>
      <c r="D1328" s="11" t="inlineStr">
        <is>
          <t>be going to</t>
        </is>
      </c>
      <c r="E1328" s="33" t="inlineStr">
        <is>
          <t>be going to vs will: план/признаки vs решение в момент речи/мнение</t>
        </is>
      </c>
      <c r="F1328" s="11" t="inlineStr">
        <is>
          <t>Ст-061</t>
        </is>
      </c>
      <c r="G1328" s="37" t="inlineStr">
        <is>
          <t>повторение</t>
        </is>
      </c>
      <c r="H1328" s="11" t="inlineStr">
        <is>
          <t>спонтанные решения / предсказание-мнение — will</t>
        </is>
      </c>
      <c r="I1328" s="37" t="inlineStr">
        <is>
          <t>10+</t>
        </is>
      </c>
      <c r="J1328" s="11">
        <f>IFERROR(INDEX('Уроки'!$H:$H,MATCH(F1328,'Уроки'!$A:$A,0)),"")</f>
        <v/>
      </c>
      <c r="K1328" s="11">
        <f>IFERROR(INDEX('Уроки'!$J:$J,MATCH(F1328,'Уроки'!$A:$A,0)),"")</f>
        <v/>
      </c>
      <c r="L1328" s="11" t="inlineStr">
        <is>
          <t>Spotlight / 10 класс / Module 3 · Schooldays &amp; Work / be going to / be going to vs will: план/признаки vs решение в момент речи/мнение</t>
        </is>
      </c>
    </row>
    <row r="1329">
      <c r="A1329" s="37" t="n">
        <v>10</v>
      </c>
      <c r="B1329" s="11" t="inlineStr">
        <is>
          <t>Module 3 · Schooldays &amp; Work</t>
        </is>
      </c>
      <c r="C1329" s="11" t="inlineStr">
        <is>
          <t>3c</t>
        </is>
      </c>
      <c r="D1329" s="11" t="inlineStr">
        <is>
          <t>Future forms (comparison)</t>
        </is>
      </c>
      <c r="E1329" s="33" t="inlineStr">
        <is>
          <t>Future forms: Present Continuous — договорённости на ближайшее будущее</t>
        </is>
      </c>
      <c r="F1329" s="11" t="inlineStr">
        <is>
          <t>Ст-080</t>
        </is>
      </c>
      <c r="G1329" s="37" t="inlineStr">
        <is>
          <t>повторение</t>
        </is>
      </c>
      <c r="H1329" s="11" t="inlineStr"/>
      <c r="I1329" s="37" t="inlineStr">
        <is>
          <t>10+</t>
        </is>
      </c>
      <c r="J1329" s="11">
        <f>IFERROR(INDEX('Уроки'!$H:$H,MATCH(F1329,'Уроки'!$A:$A,0)),"")</f>
        <v/>
      </c>
      <c r="K1329" s="11">
        <f>IFERROR(INDEX('Уроки'!$J:$J,MATCH(F1329,'Уроки'!$A:$A,0)),"")</f>
        <v/>
      </c>
      <c r="L1329" s="11" t="inlineStr">
        <is>
          <t>Spotlight / 10 класс / Module 3 · Schooldays &amp; Work / Future forms (comparison) / Future forms: Present Continuous — договорённости на ближайшее будущее</t>
        </is>
      </c>
    </row>
    <row r="1330">
      <c r="A1330" s="37" t="n">
        <v>10</v>
      </c>
      <c r="B1330" s="11" t="inlineStr">
        <is>
          <t>Module 3 · Schooldays &amp; Work</t>
        </is>
      </c>
      <c r="C1330" s="11" t="inlineStr">
        <is>
          <t>3c</t>
        </is>
      </c>
      <c r="D1330" s="11" t="inlineStr">
        <is>
          <t>Future forms (comparison)</t>
        </is>
      </c>
      <c r="E1330" s="33" t="inlineStr">
        <is>
          <t>Future forms: Present Simple — расписания и программы</t>
        </is>
      </c>
      <c r="F1330" s="11" t="inlineStr">
        <is>
          <t>Ст-081</t>
        </is>
      </c>
      <c r="G1330" s="37" t="inlineStr">
        <is>
          <t>повторение</t>
        </is>
      </c>
      <c r="H1330" s="11" t="inlineStr"/>
      <c r="I1330" s="37" t="inlineStr">
        <is>
          <t>10+</t>
        </is>
      </c>
      <c r="J1330" s="11">
        <f>IFERROR(INDEX('Уроки'!$H:$H,MATCH(F1330,'Уроки'!$A:$A,0)),"")</f>
        <v/>
      </c>
      <c r="K1330" s="11">
        <f>IFERROR(INDEX('Уроки'!$J:$J,MATCH(F1330,'Уроки'!$A:$A,0)),"")</f>
        <v/>
      </c>
      <c r="L1330" s="11" t="inlineStr">
        <is>
          <t>Spotlight / 10 класс / Module 3 · Schooldays &amp; Work / Future forms (comparison) / Future forms: Present Simple — расписания и программы</t>
        </is>
      </c>
    </row>
    <row r="1331">
      <c r="A1331" s="37" t="n">
        <v>10</v>
      </c>
      <c r="B1331" s="11" t="inlineStr">
        <is>
          <t>Module 3 · Schooldays &amp; Work</t>
        </is>
      </c>
      <c r="C1331" s="11" t="inlineStr">
        <is>
          <t>3c</t>
        </is>
      </c>
      <c r="D1331" s="11" t="inlineStr">
        <is>
          <t>Future forms (comparison)</t>
        </is>
      </c>
      <c r="E1331" s="33" t="inlineStr">
        <is>
          <t>Future forms: will vs be going to — решение в момент речи vs план</t>
        </is>
      </c>
      <c r="F1331" s="11" t="inlineStr">
        <is>
          <t>Ст-082</t>
        </is>
      </c>
      <c r="G1331" s="37" t="inlineStr">
        <is>
          <t>повторение</t>
        </is>
      </c>
      <c r="H1331" s="11" t="inlineStr"/>
      <c r="I1331" s="37" t="inlineStr">
        <is>
          <t>10+</t>
        </is>
      </c>
      <c r="J1331" s="11">
        <f>IFERROR(INDEX('Уроки'!$H:$H,MATCH(F1331,'Уроки'!$A:$A,0)),"")</f>
        <v/>
      </c>
      <c r="K1331" s="11">
        <f>IFERROR(INDEX('Уроки'!$J:$J,MATCH(F1331,'Уроки'!$A:$A,0)),"")</f>
        <v/>
      </c>
      <c r="L1331" s="11" t="inlineStr">
        <is>
          <t>Spotlight / 10 класс / Module 3 · Schooldays &amp; Work / Future forms (comparison) / Future forms: will vs be going to — решение в момент речи vs план</t>
        </is>
      </c>
    </row>
    <row r="1332">
      <c r="A1332" s="37" t="n">
        <v>10</v>
      </c>
      <c r="B1332" s="11" t="inlineStr">
        <is>
          <t>Module 3 · Schooldays &amp; Work</t>
        </is>
      </c>
      <c r="C1332" s="11" t="inlineStr">
        <is>
          <t>3c</t>
        </is>
      </c>
      <c r="D1332" s="11" t="inlineStr">
        <is>
          <t>Future forms (comparison)</t>
        </is>
      </c>
      <c r="E1332" s="33" t="inlineStr">
        <is>
          <t>Future forms: will vs be going to — прогноз-мнение vs прогноз по признакам</t>
        </is>
      </c>
      <c r="F1332" s="11" t="inlineStr">
        <is>
          <t>Ст-083</t>
        </is>
      </c>
      <c r="G1332" s="37" t="inlineStr">
        <is>
          <t>повторение</t>
        </is>
      </c>
      <c r="H1332" s="11" t="inlineStr"/>
      <c r="I1332" s="37" t="inlineStr">
        <is>
          <t>10+</t>
        </is>
      </c>
      <c r="J1332" s="11">
        <f>IFERROR(INDEX('Уроки'!$H:$H,MATCH(F1332,'Уроки'!$A:$A,0)),"")</f>
        <v/>
      </c>
      <c r="K1332" s="11">
        <f>IFERROR(INDEX('Уроки'!$J:$J,MATCH(F1332,'Уроки'!$A:$A,0)),"")</f>
        <v/>
      </c>
      <c r="L1332" s="11" t="inlineStr">
        <is>
          <t>Spotlight / 10 класс / Module 3 · Schooldays &amp; Work / Future forms (comparison) / Future forms: will vs be going to — прогноз-мнение vs прогноз по признакам</t>
        </is>
      </c>
    </row>
    <row r="1333">
      <c r="A1333" s="37" t="n">
        <v>10</v>
      </c>
      <c r="B1333" s="11" t="inlineStr">
        <is>
          <t>Module 3 · Schooldays &amp; Work</t>
        </is>
      </c>
      <c r="C1333" s="11" t="inlineStr">
        <is>
          <t>3c</t>
        </is>
      </c>
      <c r="D1333" s="11" t="inlineStr">
        <is>
          <t>Future forms (comparison)</t>
        </is>
      </c>
      <c r="E1333" s="33" t="inlineStr">
        <is>
          <t>Future forms: обзор всех способов выражения будущего</t>
        </is>
      </c>
      <c r="F1333" s="11" t="inlineStr">
        <is>
          <t>Ст-084</t>
        </is>
      </c>
      <c r="G1333" s="37" t="inlineStr">
        <is>
          <t>повторение</t>
        </is>
      </c>
      <c r="H1333" s="11" t="inlineStr">
        <is>
          <t>will; be going to; Present Simple; Present Continuous</t>
        </is>
      </c>
      <c r="I1333" s="37" t="inlineStr">
        <is>
          <t>10+</t>
        </is>
      </c>
      <c r="J1333" s="11">
        <f>IFERROR(INDEX('Уроки'!$H:$H,MATCH(F1333,'Уроки'!$A:$A,0)),"")</f>
        <v/>
      </c>
      <c r="K1333" s="11">
        <f>IFERROR(INDEX('Уроки'!$J:$J,MATCH(F1333,'Уроки'!$A:$A,0)),"")</f>
        <v/>
      </c>
      <c r="L1333" s="11" t="inlineStr">
        <is>
          <t>Spotlight / 10 класс / Module 3 · Schooldays &amp; Work / Future forms (comparison) / Future forms: обзор всех способов выражения будущего</t>
        </is>
      </c>
    </row>
    <row r="1334">
      <c r="A1334" s="37" t="n">
        <v>10</v>
      </c>
      <c r="B1334" s="11" t="inlineStr">
        <is>
          <t>Module 3 · Schooldays &amp; Work</t>
        </is>
      </c>
      <c r="C1334" s="11" t="inlineStr">
        <is>
          <t>3c</t>
        </is>
      </c>
      <c r="D1334" s="11" t="inlineStr">
        <is>
          <t>Future Continuous</t>
        </is>
      </c>
      <c r="E1334" s="33" t="inlineStr">
        <is>
          <t>Future Continuous: образование (will be + V-ing)</t>
        </is>
      </c>
      <c r="F1334" s="11" t="inlineStr">
        <is>
          <t>Ст-116</t>
        </is>
      </c>
      <c r="G1334" s="37" t="inlineStr">
        <is>
          <t>повторение</t>
        </is>
      </c>
      <c r="H1334" s="11" t="inlineStr"/>
      <c r="I1334" s="37" t="inlineStr">
        <is>
          <t>10+</t>
        </is>
      </c>
      <c r="J1334" s="11">
        <f>IFERROR(INDEX('Уроки'!$H:$H,MATCH(F1334,'Уроки'!$A:$A,0)),"")</f>
        <v/>
      </c>
      <c r="K1334" s="11">
        <f>IFERROR(INDEX('Уроки'!$J:$J,MATCH(F1334,'Уроки'!$A:$A,0)),"")</f>
        <v/>
      </c>
      <c r="L1334" s="11" t="inlineStr">
        <is>
          <t>Spotlight / 10 класс / Module 3 · Schooldays &amp; Work / Future Continuous / Future Continuous: образование (will be + V-ing)</t>
        </is>
      </c>
    </row>
    <row r="1335">
      <c r="A1335" s="37" t="n">
        <v>10</v>
      </c>
      <c r="B1335" s="11" t="inlineStr">
        <is>
          <t>Module 3 · Schooldays &amp; Work</t>
        </is>
      </c>
      <c r="C1335" s="11" t="inlineStr">
        <is>
          <t>3c</t>
        </is>
      </c>
      <c r="D1335" s="11" t="inlineStr">
        <is>
          <t>Future Continuous</t>
        </is>
      </c>
      <c r="E1335" s="33" t="inlineStr">
        <is>
          <t>Future Continuous: значение — действие в процессе в момент будущего</t>
        </is>
      </c>
      <c r="F1335" s="11" t="inlineStr">
        <is>
          <t>Ст-117</t>
        </is>
      </c>
      <c r="G1335" s="37" t="inlineStr">
        <is>
          <t>повторение</t>
        </is>
      </c>
      <c r="H1335" s="11" t="inlineStr"/>
      <c r="I1335" s="37" t="inlineStr">
        <is>
          <t>10+</t>
        </is>
      </c>
      <c r="J1335" s="11">
        <f>IFERROR(INDEX('Уроки'!$H:$H,MATCH(F1335,'Уроки'!$A:$A,0)),"")</f>
        <v/>
      </c>
      <c r="K1335" s="11">
        <f>IFERROR(INDEX('Уроки'!$J:$J,MATCH(F1335,'Уроки'!$A:$A,0)),"")</f>
        <v/>
      </c>
      <c r="L1335" s="11" t="inlineStr">
        <is>
          <t>Spotlight / 10 класс / Module 3 · Schooldays &amp; Work / Future Continuous / Future Continuous: значение — действие в процессе в момент будущего</t>
        </is>
      </c>
    </row>
    <row r="1336">
      <c r="A1336" s="37" t="n">
        <v>10</v>
      </c>
      <c r="B1336" s="11" t="inlineStr">
        <is>
          <t>Module 3 · Schooldays &amp; Work</t>
        </is>
      </c>
      <c r="C1336" s="11" t="inlineStr">
        <is>
          <t>3c</t>
        </is>
      </c>
      <c r="D1336" s="11" t="inlineStr">
        <is>
          <t>Future Continuous</t>
        </is>
      </c>
      <c r="E1336" s="35" t="inlineStr">
        <is>
          <t>Future Continuous: значение — по распорядку/договорённости</t>
        </is>
      </c>
      <c r="F1336" s="11" t="inlineStr">
        <is>
          <t>Ст-118</t>
        </is>
      </c>
      <c r="G1336" s="37" t="inlineStr">
        <is>
          <t>повторение</t>
        </is>
      </c>
      <c r="H1336" s="11" t="inlineStr"/>
      <c r="I1336" s="37" t="inlineStr">
        <is>
          <t>10+</t>
        </is>
      </c>
      <c r="J1336" s="11">
        <f>IFERROR(INDEX('Уроки'!$H:$H,MATCH(F1336,'Уроки'!$A:$A,0)),"")</f>
        <v/>
      </c>
      <c r="K1336" s="11">
        <f>IFERROR(INDEX('Уроки'!$J:$J,MATCH(F1336,'Уроки'!$A:$A,0)),"")</f>
        <v/>
      </c>
      <c r="L1336" s="11" t="inlineStr">
        <is>
          <t>Spotlight / 10 класс / Module 3 · Schooldays &amp; Work / Future Continuous / Future Continuous: значение — по распорядку/договорённости</t>
        </is>
      </c>
    </row>
    <row r="1337">
      <c r="A1337" s="37" t="n">
        <v>10</v>
      </c>
      <c r="B1337" s="11" t="inlineStr">
        <is>
          <t>Module 3 · Schooldays &amp; Work</t>
        </is>
      </c>
      <c r="C1337" s="11" t="inlineStr">
        <is>
          <t>3c</t>
        </is>
      </c>
      <c r="D1337" s="11" t="inlineStr">
        <is>
          <t>Future Continuous</t>
        </is>
      </c>
      <c r="E1337" s="35" t="inlineStr">
        <is>
          <t>Future Continuous: значение — вежливый вопрос о планах</t>
        </is>
      </c>
      <c r="F1337" s="11" t="inlineStr">
        <is>
          <t>Ст-119</t>
        </is>
      </c>
      <c r="G1337" s="37" t="inlineStr">
        <is>
          <t>повторение</t>
        </is>
      </c>
      <c r="H1337" s="11" t="inlineStr"/>
      <c r="I1337" s="37" t="inlineStr">
        <is>
          <t>10+</t>
        </is>
      </c>
      <c r="J1337" s="11">
        <f>IFERROR(INDEX('Уроки'!$H:$H,MATCH(F1337,'Уроки'!$A:$A,0)),"")</f>
        <v/>
      </c>
      <c r="K1337" s="11">
        <f>IFERROR(INDEX('Уроки'!$J:$J,MATCH(F1337,'Уроки'!$A:$A,0)),"")</f>
        <v/>
      </c>
      <c r="L1337" s="11" t="inlineStr">
        <is>
          <t>Spotlight / 10 класс / Module 3 · Schooldays &amp; Work / Future Continuous / Future Continuous: значение — вежливый вопрос о планах</t>
        </is>
      </c>
    </row>
    <row r="1338">
      <c r="A1338" s="37" t="n">
        <v>10</v>
      </c>
      <c r="B1338" s="11" t="inlineStr">
        <is>
          <t>Module 3 · Schooldays &amp; Work</t>
        </is>
      </c>
      <c r="C1338" s="11" t="inlineStr">
        <is>
          <t>3c</t>
        </is>
      </c>
      <c r="D1338" s="11" t="inlineStr">
        <is>
          <t>Future Perfect</t>
        </is>
      </c>
      <c r="E1338" s="33" t="inlineStr">
        <is>
          <t>Future Perfect: образование (will have + V3)</t>
        </is>
      </c>
      <c r="F1338" s="11" t="inlineStr">
        <is>
          <t>Ст-120</t>
        </is>
      </c>
      <c r="G1338" s="37" t="inlineStr">
        <is>
          <t>повторение</t>
        </is>
      </c>
      <c r="H1338" s="11" t="inlineStr"/>
      <c r="I1338" s="37" t="inlineStr">
        <is>
          <t>10+</t>
        </is>
      </c>
      <c r="J1338" s="11">
        <f>IFERROR(INDEX('Уроки'!$H:$H,MATCH(F1338,'Уроки'!$A:$A,0)),"")</f>
        <v/>
      </c>
      <c r="K1338" s="11">
        <f>IFERROR(INDEX('Уроки'!$J:$J,MATCH(F1338,'Уроки'!$A:$A,0)),"")</f>
        <v/>
      </c>
      <c r="L1338" s="11" t="inlineStr">
        <is>
          <t>Spotlight / 10 класс / Module 3 · Schooldays &amp; Work / Future Perfect / Future Perfect: образование (will have + V3)</t>
        </is>
      </c>
    </row>
    <row r="1339">
      <c r="A1339" s="37" t="n">
        <v>10</v>
      </c>
      <c r="B1339" s="11" t="inlineStr">
        <is>
          <t>Module 3 · Schooldays &amp; Work</t>
        </is>
      </c>
      <c r="C1339" s="11" t="inlineStr">
        <is>
          <t>3c</t>
        </is>
      </c>
      <c r="D1339" s="11" t="inlineStr">
        <is>
          <t>Future Perfect</t>
        </is>
      </c>
      <c r="E1339" s="33" t="inlineStr">
        <is>
          <t>Future Perfect: значение — завершится к моменту в будущем</t>
        </is>
      </c>
      <c r="F1339" s="11" t="inlineStr">
        <is>
          <t>Ст-121</t>
        </is>
      </c>
      <c r="G1339" s="37" t="inlineStr">
        <is>
          <t>повторение</t>
        </is>
      </c>
      <c r="H1339" s="11" t="inlineStr">
        <is>
          <t>before, by, by then, by the time, until/till</t>
        </is>
      </c>
      <c r="I1339" s="37" t="inlineStr">
        <is>
          <t>10+</t>
        </is>
      </c>
      <c r="J1339" s="11">
        <f>IFERROR(INDEX('Уроки'!$H:$H,MATCH(F1339,'Уроки'!$A:$A,0)),"")</f>
        <v/>
      </c>
      <c r="K1339" s="11">
        <f>IFERROR(INDEX('Уроки'!$J:$J,MATCH(F1339,'Уроки'!$A:$A,0)),"")</f>
        <v/>
      </c>
      <c r="L1339" s="11" t="inlineStr">
        <is>
          <t>Spotlight / 10 класс / Module 3 · Schooldays &amp; Work / Future Perfect / Future Perfect: значение — завершится к моменту в будущем</t>
        </is>
      </c>
    </row>
    <row r="1340">
      <c r="A1340" s="37" t="n">
        <v>10</v>
      </c>
      <c r="B1340" s="11" t="inlineStr">
        <is>
          <t>Module 3 · Schooldays &amp; Work</t>
        </is>
      </c>
      <c r="C1340" s="11" t="inlineStr">
        <is>
          <t>3c</t>
        </is>
      </c>
      <c r="D1340" s="11" t="inlineStr">
        <is>
          <t>Comparatives &amp; Superlatives</t>
        </is>
      </c>
      <c r="E1340" s="33" t="inlineStr">
        <is>
          <t>Comparatives &amp; Superlatives: сравнительная степень — -er + than</t>
        </is>
      </c>
      <c r="F1340" s="11" t="inlineStr">
        <is>
          <t>Ст-441</t>
        </is>
      </c>
      <c r="G1340" s="37" t="inlineStr">
        <is>
          <t>повторение</t>
        </is>
      </c>
      <c r="H1340" s="11" t="inlineStr"/>
      <c r="I1340" s="37" t="inlineStr">
        <is>
          <t>10+</t>
        </is>
      </c>
      <c r="J1340" s="11">
        <f>IFERROR(INDEX('Уроки'!$H:$H,MATCH(F1340,'Уроки'!$A:$A,0)),"")</f>
        <v/>
      </c>
      <c r="K1340" s="11">
        <f>IFERROR(INDEX('Уроки'!$J:$J,MATCH(F1340,'Уроки'!$A:$A,0)),"")</f>
        <v/>
      </c>
      <c r="L1340" s="11" t="inlineStr">
        <is>
          <t>Spotlight / 10 класс / Module 3 · Schooldays &amp; Work / Comparatives &amp; Superlatives / Comparatives &amp; Superlatives: сравнительная степень — -er + than</t>
        </is>
      </c>
    </row>
    <row r="1341">
      <c r="A1341" s="37" t="n">
        <v>10</v>
      </c>
      <c r="B1341" s="11" t="inlineStr">
        <is>
          <t>Module 3 · Schooldays &amp; Work</t>
        </is>
      </c>
      <c r="C1341" s="11" t="inlineStr">
        <is>
          <t>3c</t>
        </is>
      </c>
      <c r="D1341" s="11" t="inlineStr">
        <is>
          <t>Comparatives &amp; Superlatives</t>
        </is>
      </c>
      <c r="E1341" s="33" t="inlineStr">
        <is>
          <t>Comparatives &amp; Superlatives: сравнительная степень — more (многосложные)</t>
        </is>
      </c>
      <c r="F1341" s="11" t="inlineStr">
        <is>
          <t>Ст-442</t>
        </is>
      </c>
      <c r="G1341" s="37" t="inlineStr">
        <is>
          <t>повторение</t>
        </is>
      </c>
      <c r="H1341" s="11" t="inlineStr"/>
      <c r="I1341" s="37" t="inlineStr">
        <is>
          <t>10+</t>
        </is>
      </c>
      <c r="J1341" s="11">
        <f>IFERROR(INDEX('Уроки'!$H:$H,MATCH(F1341,'Уроки'!$A:$A,0)),"")</f>
        <v/>
      </c>
      <c r="K1341" s="11">
        <f>IFERROR(INDEX('Уроки'!$J:$J,MATCH(F1341,'Уроки'!$A:$A,0)),"")</f>
        <v/>
      </c>
      <c r="L1341" s="11" t="inlineStr">
        <is>
          <t>Spotlight / 10 класс / Module 3 · Schooldays &amp; Work / Comparatives &amp; Superlatives / Comparatives &amp; Superlatives: сравнительная степень — more (многосложные)</t>
        </is>
      </c>
    </row>
    <row r="1342">
      <c r="A1342" s="37" t="n">
        <v>10</v>
      </c>
      <c r="B1342" s="11" t="inlineStr">
        <is>
          <t>Module 3 · Schooldays &amp; Work</t>
        </is>
      </c>
      <c r="C1342" s="11" t="inlineStr">
        <is>
          <t>3c</t>
        </is>
      </c>
      <c r="D1342" s="11" t="inlineStr">
        <is>
          <t>Comparatives &amp; Superlatives</t>
        </is>
      </c>
      <c r="E1342" s="35" t="inlineStr">
        <is>
          <t>Comparatives &amp; Superlatives: орфография -er/-est (удвоение, -e, y → i)</t>
        </is>
      </c>
      <c r="F1342" s="11" t="inlineStr">
        <is>
          <t>Ст-443</t>
        </is>
      </c>
      <c r="G1342" s="37" t="inlineStr">
        <is>
          <t>повторение</t>
        </is>
      </c>
      <c r="H1342" s="11" t="inlineStr">
        <is>
          <t>big – bigger, -ier</t>
        </is>
      </c>
      <c r="I1342" s="37" t="inlineStr">
        <is>
          <t>10+</t>
        </is>
      </c>
      <c r="J1342" s="11">
        <f>IFERROR(INDEX('Уроки'!$H:$H,MATCH(F1342,'Уроки'!$A:$A,0)),"")</f>
        <v/>
      </c>
      <c r="K1342" s="11">
        <f>IFERROR(INDEX('Уроки'!$J:$J,MATCH(F1342,'Уроки'!$A:$A,0)),"")</f>
        <v/>
      </c>
      <c r="L1342" s="11" t="inlineStr">
        <is>
          <t>Spotlight / 10 класс / Module 3 · Schooldays &amp; Work / Comparatives &amp; Superlatives / Comparatives &amp; Superlatives: орфография -er/-est (удвоение, -e, y → i)</t>
        </is>
      </c>
    </row>
    <row r="1343">
      <c r="A1343" s="37" t="n">
        <v>10</v>
      </c>
      <c r="B1343" s="11" t="inlineStr">
        <is>
          <t>Module 3 · Schooldays &amp; Work</t>
        </is>
      </c>
      <c r="C1343" s="11" t="inlineStr">
        <is>
          <t>3c</t>
        </is>
      </c>
      <c r="D1343" s="11" t="inlineStr">
        <is>
          <t>Comparatives &amp; Superlatives</t>
        </is>
      </c>
      <c r="E1343" s="33" t="inlineStr">
        <is>
          <t>Comparatives &amp; Superlatives: превосходная степень — the -est + of/in</t>
        </is>
      </c>
      <c r="F1343" s="11" t="inlineStr">
        <is>
          <t>Ст-444</t>
        </is>
      </c>
      <c r="G1343" s="37" t="inlineStr">
        <is>
          <t>повторение</t>
        </is>
      </c>
      <c r="H1343" s="11" t="inlineStr">
        <is>
          <t>the + in (места) / of</t>
        </is>
      </c>
      <c r="I1343" s="37" t="inlineStr">
        <is>
          <t>10+</t>
        </is>
      </c>
      <c r="J1343" s="11">
        <f>IFERROR(INDEX('Уроки'!$H:$H,MATCH(F1343,'Уроки'!$A:$A,0)),"")</f>
        <v/>
      </c>
      <c r="K1343" s="11">
        <f>IFERROR(INDEX('Уроки'!$J:$J,MATCH(F1343,'Уроки'!$A:$A,0)),"")</f>
        <v/>
      </c>
      <c r="L1343" s="11" t="inlineStr">
        <is>
          <t>Spotlight / 10 класс / Module 3 · Schooldays &amp; Work / Comparatives &amp; Superlatives / Comparatives &amp; Superlatives: превосходная степень — the -est + of/in</t>
        </is>
      </c>
    </row>
    <row r="1344">
      <c r="A1344" s="37" t="n">
        <v>10</v>
      </c>
      <c r="B1344" s="11" t="inlineStr">
        <is>
          <t>Module 3 · Schooldays &amp; Work</t>
        </is>
      </c>
      <c r="C1344" s="11" t="inlineStr">
        <is>
          <t>3c</t>
        </is>
      </c>
      <c r="D1344" s="11" t="inlineStr">
        <is>
          <t>Comparatives &amp; Superlatives</t>
        </is>
      </c>
      <c r="E1344" s="33" t="inlineStr">
        <is>
          <t>Comparatives &amp; Superlatives: превосходная степень — the most</t>
        </is>
      </c>
      <c r="F1344" s="11" t="inlineStr">
        <is>
          <t>Ст-445</t>
        </is>
      </c>
      <c r="G1344" s="37" t="inlineStr">
        <is>
          <t>повторение</t>
        </is>
      </c>
      <c r="H1344" s="11" t="inlineStr"/>
      <c r="I1344" s="37" t="inlineStr">
        <is>
          <t>10+</t>
        </is>
      </c>
      <c r="J1344" s="11">
        <f>IFERROR(INDEX('Уроки'!$H:$H,MATCH(F1344,'Уроки'!$A:$A,0)),"")</f>
        <v/>
      </c>
      <c r="K1344" s="11">
        <f>IFERROR(INDEX('Уроки'!$J:$J,MATCH(F1344,'Уроки'!$A:$A,0)),"")</f>
        <v/>
      </c>
      <c r="L1344" s="11" t="inlineStr">
        <is>
          <t>Spotlight / 10 класс / Module 3 · Schooldays &amp; Work / Comparatives &amp; Superlatives / Comparatives &amp; Superlatives: превосходная степень — the most</t>
        </is>
      </c>
    </row>
    <row r="1345">
      <c r="A1345" s="37" t="n">
        <v>10</v>
      </c>
      <c r="B1345" s="11" t="inlineStr">
        <is>
          <t>Module 3 · Schooldays &amp; Work</t>
        </is>
      </c>
      <c r="C1345" s="11" t="inlineStr">
        <is>
          <t>3c</t>
        </is>
      </c>
      <c r="D1345" s="11" t="inlineStr">
        <is>
          <t>Comparatives &amp; Superlatives</t>
        </is>
      </c>
      <c r="E1345" s="35" t="inlineStr">
        <is>
          <t>Comparatives &amp; Superlatives: неправильные прилагательные (good, bad, many/much, little)</t>
        </is>
      </c>
      <c r="F1345" s="11" t="inlineStr">
        <is>
          <t>Ст-446</t>
        </is>
      </c>
      <c r="G1345" s="37" t="inlineStr">
        <is>
          <t>повторение</t>
        </is>
      </c>
      <c r="H1345" s="11" t="inlineStr">
        <is>
          <t>good/well, bad/badly, much, many/lots, little</t>
        </is>
      </c>
      <c r="I1345" s="37" t="inlineStr">
        <is>
          <t>10+</t>
        </is>
      </c>
      <c r="J1345" s="11">
        <f>IFERROR(INDEX('Уроки'!$H:$H,MATCH(F1345,'Уроки'!$A:$A,0)),"")</f>
        <v/>
      </c>
      <c r="K1345" s="11">
        <f>IFERROR(INDEX('Уроки'!$J:$J,MATCH(F1345,'Уроки'!$A:$A,0)),"")</f>
        <v/>
      </c>
      <c r="L1345" s="11" t="inlineStr">
        <is>
          <t>Spotlight / 10 класс / Module 3 · Schooldays &amp; Work / Comparatives &amp; Superlatives / Comparatives &amp; Superlatives: неправильные прилагательные (good, bad, many/much, little)</t>
        </is>
      </c>
    </row>
    <row r="1346">
      <c r="A1346" s="37" t="n">
        <v>10</v>
      </c>
      <c r="B1346" s="11" t="inlineStr">
        <is>
          <t>Module 3 · Schooldays &amp; Work</t>
        </is>
      </c>
      <c r="C1346" s="11" t="inlineStr">
        <is>
          <t>3c</t>
        </is>
      </c>
      <c r="D1346" s="11" t="inlineStr">
        <is>
          <t>Comparatives &amp; Superlatives</t>
        </is>
      </c>
      <c r="E1346" s="35" t="inlineStr">
        <is>
          <t>Comparatives &amp; Superlatives: двусложные на -y/-er/-ow — -er/-est</t>
        </is>
      </c>
      <c r="F1346" s="11" t="inlineStr">
        <is>
          <t>Ст-447</t>
        </is>
      </c>
      <c r="G1346" s="37" t="inlineStr">
        <is>
          <t>повторение</t>
        </is>
      </c>
      <c r="H1346" s="11" t="inlineStr">
        <is>
          <t>согласная + y → -ier/-iest</t>
        </is>
      </c>
      <c r="I1346" s="37" t="inlineStr">
        <is>
          <t>10+</t>
        </is>
      </c>
      <c r="J1346" s="11">
        <f>IFERROR(INDEX('Уроки'!$H:$H,MATCH(F1346,'Уроки'!$A:$A,0)),"")</f>
        <v/>
      </c>
      <c r="K1346" s="11">
        <f>IFERROR(INDEX('Уроки'!$J:$J,MATCH(F1346,'Уроки'!$A:$A,0)),"")</f>
        <v/>
      </c>
      <c r="L1346" s="11" t="inlineStr">
        <is>
          <t>Spotlight / 10 класс / Module 3 · Schooldays &amp; Work / Comparatives &amp; Superlatives / Comparatives &amp; Superlatives: двусложные на -y/-er/-ow — -er/-est</t>
        </is>
      </c>
    </row>
    <row r="1347">
      <c r="A1347" s="37" t="n">
        <v>10</v>
      </c>
      <c r="B1347" s="11" t="inlineStr">
        <is>
          <t>Module 3 · Schooldays &amp; Work</t>
        </is>
      </c>
      <c r="C1347" s="11" t="inlineStr">
        <is>
          <t>3c</t>
        </is>
      </c>
      <c r="D1347" s="11" t="inlineStr">
        <is>
          <t>Comparatives &amp; Superlatives</t>
        </is>
      </c>
      <c r="E1347" s="35" t="inlineStr">
        <is>
          <t>Comparatives &amp; Superlatives: прилагательные с двумя способами (clever, quiet, friendly…)</t>
        </is>
      </c>
      <c r="F1347" s="11" t="inlineStr">
        <is>
          <t>Ст-448</t>
        </is>
      </c>
      <c r="G1347" s="37" t="inlineStr">
        <is>
          <t>повторение</t>
        </is>
      </c>
      <c r="H1347" s="11" t="inlineStr">
        <is>
          <t>clever, common, …, stupid</t>
        </is>
      </c>
      <c r="I1347" s="37" t="inlineStr">
        <is>
          <t>10+</t>
        </is>
      </c>
      <c r="J1347" s="11">
        <f>IFERROR(INDEX('Уроки'!$H:$H,MATCH(F1347,'Уроки'!$A:$A,0)),"")</f>
        <v/>
      </c>
      <c r="K1347" s="11">
        <f>IFERROR(INDEX('Уроки'!$J:$J,MATCH(F1347,'Уроки'!$A:$A,0)),"")</f>
        <v/>
      </c>
      <c r="L1347" s="11" t="inlineStr">
        <is>
          <t>Spotlight / 10 класс / Module 3 · Schooldays &amp; Work / Comparatives &amp; Superlatives / Comparatives &amp; Superlatives: прилагательные с двумя способами (clever, quiet, friendly…)</t>
        </is>
      </c>
    </row>
    <row r="1348">
      <c r="A1348" s="37" t="n">
        <v>10</v>
      </c>
      <c r="B1348" s="11" t="inlineStr">
        <is>
          <t>Module 3 · Schooldays &amp; Work</t>
        </is>
      </c>
      <c r="C1348" s="11" t="inlineStr">
        <is>
          <t>3c</t>
        </is>
      </c>
      <c r="D1348" s="11" t="inlineStr">
        <is>
          <t>Comparatives &amp; Superlatives</t>
        </is>
      </c>
      <c r="E1348" s="35" t="inlineStr">
        <is>
          <t>Comparatives &amp; Superlatives: far — farther/further, old — elder/eldest</t>
        </is>
      </c>
      <c r="F1348" s="11" t="inlineStr">
        <is>
          <t>Ст-449</t>
        </is>
      </c>
      <c r="G1348" s="37" t="inlineStr">
        <is>
          <t>повторение</t>
        </is>
      </c>
      <c r="H1348" s="11" t="inlineStr">
        <is>
          <t>far – farther/further; elder/eldest</t>
        </is>
      </c>
      <c r="I1348" s="37" t="inlineStr">
        <is>
          <t>10+</t>
        </is>
      </c>
      <c r="J1348" s="11">
        <f>IFERROR(INDEX('Уроки'!$H:$H,MATCH(F1348,'Уроки'!$A:$A,0)),"")</f>
        <v/>
      </c>
      <c r="K1348" s="11">
        <f>IFERROR(INDEX('Уроки'!$J:$J,MATCH(F1348,'Уроки'!$A:$A,0)),"")</f>
        <v/>
      </c>
      <c r="L1348" s="11" t="inlineStr">
        <is>
          <t>Spotlight / 10 класс / Module 3 · Schooldays &amp; Work / Comparatives &amp; Superlatives / Comparatives &amp; Superlatives: far — farther/further, old — elder/eldest</t>
        </is>
      </c>
    </row>
    <row r="1349">
      <c r="A1349" s="37" t="n">
        <v>10</v>
      </c>
      <c r="B1349" s="11" t="inlineStr">
        <is>
          <t>Module 3 · Schooldays &amp; Work</t>
        </is>
      </c>
      <c r="C1349" s="11" t="inlineStr">
        <is>
          <t>3c</t>
        </is>
      </c>
      <c r="D1349" s="11" t="inlineStr">
        <is>
          <t>Comparatives &amp; Superlatives</t>
        </is>
      </c>
      <c r="E1349" s="33" t="inlineStr">
        <is>
          <t>Comparatives &amp; Superlatives: наречия — -er/-est (hard, fast, early)</t>
        </is>
      </c>
      <c r="F1349" s="11" t="inlineStr">
        <is>
          <t>Ст-450</t>
        </is>
      </c>
      <c r="G1349" s="37" t="inlineStr">
        <is>
          <t>повторение</t>
        </is>
      </c>
      <c r="H1349" s="11" t="inlineStr"/>
      <c r="I1349" s="37" t="inlineStr">
        <is>
          <t>10+</t>
        </is>
      </c>
      <c r="J1349" s="11">
        <f>IFERROR(INDEX('Уроки'!$H:$H,MATCH(F1349,'Уроки'!$A:$A,0)),"")</f>
        <v/>
      </c>
      <c r="K1349" s="11">
        <f>IFERROR(INDEX('Уроки'!$J:$J,MATCH(F1349,'Уроки'!$A:$A,0)),"")</f>
        <v/>
      </c>
      <c r="L1349" s="11" t="inlineStr">
        <is>
          <t>Spotlight / 10 класс / Module 3 · Schooldays &amp; Work / Comparatives &amp; Superlatives / Comparatives &amp; Superlatives: наречия — -er/-est (hard, fast, early)</t>
        </is>
      </c>
    </row>
    <row r="1350">
      <c r="A1350" s="37" t="n">
        <v>10</v>
      </c>
      <c r="B1350" s="11" t="inlineStr">
        <is>
          <t>Module 3 · Schooldays &amp; Work</t>
        </is>
      </c>
      <c r="C1350" s="11" t="inlineStr">
        <is>
          <t>3c</t>
        </is>
      </c>
      <c r="D1350" s="11" t="inlineStr">
        <is>
          <t>Comparatives &amp; Superlatives</t>
        </is>
      </c>
      <c r="E1350" s="33" t="inlineStr">
        <is>
          <t>Comparatives &amp; Superlatives: наречия — more/most (slowly)</t>
        </is>
      </c>
      <c r="F1350" s="11" t="inlineStr">
        <is>
          <t>Ст-451</t>
        </is>
      </c>
      <c r="G1350" s="37" t="inlineStr">
        <is>
          <t>повторение</t>
        </is>
      </c>
      <c r="H1350" s="11" t="inlineStr"/>
      <c r="I1350" s="37" t="inlineStr">
        <is>
          <t>10+</t>
        </is>
      </c>
      <c r="J1350" s="11">
        <f>IFERROR(INDEX('Уроки'!$H:$H,MATCH(F1350,'Уроки'!$A:$A,0)),"")</f>
        <v/>
      </c>
      <c r="K1350" s="11">
        <f>IFERROR(INDEX('Уроки'!$J:$J,MATCH(F1350,'Уроки'!$A:$A,0)),"")</f>
        <v/>
      </c>
      <c r="L1350" s="11" t="inlineStr">
        <is>
          <t>Spotlight / 10 класс / Module 3 · Schooldays &amp; Work / Comparatives &amp; Superlatives / Comparatives &amp; Superlatives: наречия — more/most (slowly)</t>
        </is>
      </c>
    </row>
    <row r="1351">
      <c r="A1351" s="37" t="n">
        <v>10</v>
      </c>
      <c r="B1351" s="11" t="inlineStr">
        <is>
          <t>Module 3 · Schooldays &amp; Work</t>
        </is>
      </c>
      <c r="C1351" s="11" t="inlineStr">
        <is>
          <t>3c</t>
        </is>
      </c>
      <c r="D1351" s="11" t="inlineStr">
        <is>
          <t>Comparatives &amp; Superlatives</t>
        </is>
      </c>
      <c r="E1351" s="33" t="inlineStr">
        <is>
          <t>Comparatives &amp; Superlatives: неправильные наречия (well, badly)</t>
        </is>
      </c>
      <c r="F1351" s="11" t="inlineStr">
        <is>
          <t>Ст-452</t>
        </is>
      </c>
      <c r="G1351" s="37" t="inlineStr">
        <is>
          <t>повторение</t>
        </is>
      </c>
      <c r="H1351" s="11" t="inlineStr"/>
      <c r="I1351" s="37" t="inlineStr">
        <is>
          <t>10+</t>
        </is>
      </c>
      <c r="J1351" s="11">
        <f>IFERROR(INDEX('Уроки'!$H:$H,MATCH(F1351,'Уроки'!$A:$A,0)),"")</f>
        <v/>
      </c>
      <c r="K1351" s="11">
        <f>IFERROR(INDEX('Уроки'!$J:$J,MATCH(F1351,'Уроки'!$A:$A,0)),"")</f>
        <v/>
      </c>
      <c r="L1351" s="11" t="inlineStr">
        <is>
          <t>Spotlight / 10 класс / Module 3 · Schooldays &amp; Work / Comparatives &amp; Superlatives / Comparatives &amp; Superlatives: неправильные наречия (well, badly)</t>
        </is>
      </c>
    </row>
    <row r="1352">
      <c r="A1352" s="37" t="n">
        <v>10</v>
      </c>
      <c r="B1352" s="11" t="inlineStr">
        <is>
          <t>Module 3 · Schooldays &amp; Work</t>
        </is>
      </c>
      <c r="C1352" s="11" t="inlineStr">
        <is>
          <t>3c</t>
        </is>
      </c>
      <c r="D1352" s="11" t="inlineStr">
        <is>
          <t>Comparative structures</t>
        </is>
      </c>
      <c r="E1352" s="33" t="inlineStr">
        <is>
          <t>Comparative structures: as … as / not as (so) … as</t>
        </is>
      </c>
      <c r="F1352" s="11" t="inlineStr">
        <is>
          <t>Ст-461</t>
        </is>
      </c>
      <c r="G1352" s="37" t="inlineStr">
        <is>
          <t>повторение</t>
        </is>
      </c>
      <c r="H1352" s="11" t="inlineStr"/>
      <c r="I1352" s="37" t="inlineStr">
        <is>
          <t>10+</t>
        </is>
      </c>
      <c r="J1352" s="11">
        <f>IFERROR(INDEX('Уроки'!$H:$H,MATCH(F1352,'Уроки'!$A:$A,0)),"")</f>
        <v/>
      </c>
      <c r="K1352" s="11">
        <f>IFERROR(INDEX('Уроки'!$J:$J,MATCH(F1352,'Уроки'!$A:$A,0)),"")</f>
        <v/>
      </c>
      <c r="L1352" s="11" t="inlineStr">
        <is>
          <t>Spotlight / 10 класс / Module 3 · Schooldays &amp; Work / Comparative structures / Comparative structures: as … as / not as (so) … as</t>
        </is>
      </c>
    </row>
    <row r="1353">
      <c r="A1353" s="37" t="n">
        <v>10</v>
      </c>
      <c r="B1353" s="11" t="inlineStr">
        <is>
          <t>Module 3 · Schooldays &amp; Work</t>
        </is>
      </c>
      <c r="C1353" s="11" t="inlineStr">
        <is>
          <t>3c</t>
        </is>
      </c>
      <c r="D1353" s="11" t="inlineStr">
        <is>
          <t>Comparative structures</t>
        </is>
      </c>
      <c r="E1353" s="33" t="inlineStr">
        <is>
          <t>Comparative structures: less … than / the least … of/in</t>
        </is>
      </c>
      <c r="F1353" s="11" t="inlineStr">
        <is>
          <t>Ст-462</t>
        </is>
      </c>
      <c r="G1353" s="37" t="inlineStr">
        <is>
          <t>повторение</t>
        </is>
      </c>
      <c r="H1353" s="11" t="inlineStr"/>
      <c r="I1353" s="37" t="inlineStr">
        <is>
          <t>10+</t>
        </is>
      </c>
      <c r="J1353" s="11">
        <f>IFERROR(INDEX('Уроки'!$H:$H,MATCH(F1353,'Уроки'!$A:$A,0)),"")</f>
        <v/>
      </c>
      <c r="K1353" s="11">
        <f>IFERROR(INDEX('Уроки'!$J:$J,MATCH(F1353,'Уроки'!$A:$A,0)),"")</f>
        <v/>
      </c>
      <c r="L1353" s="11" t="inlineStr">
        <is>
          <t>Spotlight / 10 класс / Module 3 · Schooldays &amp; Work / Comparative structures / Comparative structures: less … than / the least … of/in</t>
        </is>
      </c>
    </row>
    <row r="1354">
      <c r="A1354" s="37" t="n">
        <v>10</v>
      </c>
      <c r="B1354" s="11" t="inlineStr">
        <is>
          <t>Module 3 · Schooldays &amp; Work</t>
        </is>
      </c>
      <c r="C1354" s="11" t="inlineStr">
        <is>
          <t>3c</t>
        </is>
      </c>
      <c r="D1354" s="11" t="inlineStr">
        <is>
          <t>Comparative structures</t>
        </is>
      </c>
      <c r="E1354" s="33" t="inlineStr">
        <is>
          <t>Comparative structures: much/a lot/far/a bit/slightly + comparative</t>
        </is>
      </c>
      <c r="F1354" s="11" t="inlineStr">
        <is>
          <t>Ст-463</t>
        </is>
      </c>
      <c r="G1354" s="37" t="inlineStr">
        <is>
          <t>повторение</t>
        </is>
      </c>
      <c r="H1354" s="11" t="inlineStr"/>
      <c r="I1354" s="37" t="inlineStr">
        <is>
          <t>10+</t>
        </is>
      </c>
      <c r="J1354" s="11">
        <f>IFERROR(INDEX('Уроки'!$H:$H,MATCH(F1354,'Уроки'!$A:$A,0)),"")</f>
        <v/>
      </c>
      <c r="K1354" s="11">
        <f>IFERROR(INDEX('Уроки'!$J:$J,MATCH(F1354,'Уроки'!$A:$A,0)),"")</f>
        <v/>
      </c>
      <c r="L1354" s="11" t="inlineStr">
        <is>
          <t>Spotlight / 10 класс / Module 3 · Schooldays &amp; Work / Comparative structures / Comparative structures: much/a lot/far/a bit/slightly + comparative</t>
        </is>
      </c>
    </row>
    <row r="1355">
      <c r="A1355" s="37" t="n">
        <v>10</v>
      </c>
      <c r="B1355" s="11" t="inlineStr">
        <is>
          <t>Module 3 · Schooldays &amp; Work</t>
        </is>
      </c>
      <c r="C1355" s="11" t="inlineStr">
        <is>
          <t>3c</t>
        </is>
      </c>
      <c r="D1355" s="11" t="inlineStr">
        <is>
          <t>Comparative structures</t>
        </is>
      </c>
      <c r="E1355" s="33" t="inlineStr">
        <is>
          <t>Comparative structures: the + comparative …, the + comparative</t>
        </is>
      </c>
      <c r="F1355" s="11" t="inlineStr">
        <is>
          <t>Ст-464</t>
        </is>
      </c>
      <c r="G1355" s="37" t="inlineStr">
        <is>
          <t>повторение</t>
        </is>
      </c>
      <c r="H1355" s="11" t="inlineStr">
        <is>
          <t>The harder you study, the better…</t>
        </is>
      </c>
      <c r="I1355" s="37" t="inlineStr">
        <is>
          <t>10+</t>
        </is>
      </c>
      <c r="J1355" s="11">
        <f>IFERROR(INDEX('Уроки'!$H:$H,MATCH(F1355,'Уроки'!$A:$A,0)),"")</f>
        <v/>
      </c>
      <c r="K1355" s="11">
        <f>IFERROR(INDEX('Уроки'!$J:$J,MATCH(F1355,'Уроки'!$A:$A,0)),"")</f>
        <v/>
      </c>
      <c r="L1355" s="11" t="inlineStr">
        <is>
          <t>Spotlight / 10 класс / Module 3 · Schooldays &amp; Work / Comparative structures / Comparative structures: the + comparative …, the + comparative</t>
        </is>
      </c>
    </row>
    <row r="1356">
      <c r="A1356" s="37" t="n">
        <v>10</v>
      </c>
      <c r="B1356" s="11" t="inlineStr">
        <is>
          <t>Module 3 · Schooldays &amp; Work</t>
        </is>
      </c>
      <c r="C1356" s="11" t="inlineStr">
        <is>
          <t>3c</t>
        </is>
      </c>
      <c r="D1356" s="11" t="inlineStr">
        <is>
          <t>Comparative structures</t>
        </is>
      </c>
      <c r="E1356" s="33" t="inlineStr">
        <is>
          <t>Comparative structures: comparative and comparative (shorter and shorter)</t>
        </is>
      </c>
      <c r="F1356" s="11" t="inlineStr">
        <is>
          <t>Ст-465</t>
        </is>
      </c>
      <c r="G1356" s="37" t="inlineStr">
        <is>
          <t>повторение</t>
        </is>
      </c>
      <c r="H1356" s="11" t="inlineStr">
        <is>
          <t>warmer and warmer</t>
        </is>
      </c>
      <c r="I1356" s="37" t="inlineStr">
        <is>
          <t>10+</t>
        </is>
      </c>
      <c r="J1356" s="11">
        <f>IFERROR(INDEX('Уроки'!$H:$H,MATCH(F1356,'Уроки'!$A:$A,0)),"")</f>
        <v/>
      </c>
      <c r="K1356" s="11">
        <f>IFERROR(INDEX('Уроки'!$J:$J,MATCH(F1356,'Уроки'!$A:$A,0)),"")</f>
        <v/>
      </c>
      <c r="L1356" s="11" t="inlineStr">
        <is>
          <t>Spotlight / 10 класс / Module 3 · Schooldays &amp; Work / Comparative structures / Comparative structures: comparative and comparative (shorter and shorter)</t>
        </is>
      </c>
    </row>
    <row r="1357">
      <c r="A1357" s="37" t="n">
        <v>10</v>
      </c>
      <c r="B1357" s="11" t="inlineStr">
        <is>
          <t>Module 3 · Schooldays &amp; Work</t>
        </is>
      </c>
      <c r="C1357" s="11" t="inlineStr">
        <is>
          <t>3c</t>
        </is>
      </c>
      <c r="D1357" s="11" t="inlineStr">
        <is>
          <t>Comparative structures</t>
        </is>
      </c>
      <c r="E1357" s="33" t="inlineStr">
        <is>
          <t>Comparative structures: by far + the superlative</t>
        </is>
      </c>
      <c r="F1357" s="11" t="inlineStr">
        <is>
          <t>Ст-466</t>
        </is>
      </c>
      <c r="G1357" s="37" t="inlineStr">
        <is>
          <t>повторение</t>
        </is>
      </c>
      <c r="H1357" s="11" t="inlineStr"/>
      <c r="I1357" s="37" t="inlineStr">
        <is>
          <t>10+</t>
        </is>
      </c>
      <c r="J1357" s="11">
        <f>IFERROR(INDEX('Уроки'!$H:$H,MATCH(F1357,'Уроки'!$A:$A,0)),"")</f>
        <v/>
      </c>
      <c r="K1357" s="11">
        <f>IFERROR(INDEX('Уроки'!$J:$J,MATCH(F1357,'Уроки'!$A:$A,0)),"")</f>
        <v/>
      </c>
      <c r="L1357" s="11" t="inlineStr">
        <is>
          <t>Spotlight / 10 класс / Module 3 · Schooldays &amp; Work / Comparative structures / Comparative structures: by far + the superlative</t>
        </is>
      </c>
    </row>
    <row r="1358">
      <c r="A1358" s="37" t="n">
        <v>10</v>
      </c>
      <c r="B1358" s="11" t="inlineStr">
        <is>
          <t>Module 3 · Schooldays &amp; Work</t>
        </is>
      </c>
      <c r="C1358" s="11" t="inlineStr">
        <is>
          <t>3c</t>
        </is>
      </c>
      <c r="D1358" s="11" t="inlineStr">
        <is>
          <t>Comparative structures</t>
        </is>
      </c>
      <c r="E1358" s="35" t="inlineStr">
        <is>
          <t>Comparative structures: twice / three times / half as … as</t>
        </is>
      </c>
      <c r="F1358" s="11" t="inlineStr">
        <is>
          <t>Ст-467</t>
        </is>
      </c>
      <c r="G1358" s="40" t="inlineStr">
        <is>
          <t>новое</t>
        </is>
      </c>
      <c r="H1358" s="11" t="inlineStr">
        <is>
          <t>twice/three times/half as … as</t>
        </is>
      </c>
      <c r="I1358" s="37" t="inlineStr">
        <is>
          <t>10+</t>
        </is>
      </c>
      <c r="J1358" s="11">
        <f>IFERROR(INDEX('Уроки'!$H:$H,MATCH(F1358,'Уроки'!$A:$A,0)),"")</f>
        <v/>
      </c>
      <c r="K1358" s="11">
        <f>IFERROR(INDEX('Уроки'!$J:$J,MATCH(F1358,'Уроки'!$A:$A,0)),"")</f>
        <v/>
      </c>
      <c r="L1358" s="11" t="inlineStr">
        <is>
          <t>Spotlight / 10 класс / Module 3 · Schooldays &amp; Work / Comparative structures / Comparative structures: twice / three times / half as … as</t>
        </is>
      </c>
    </row>
    <row r="1359">
      <c r="A1359" s="37" t="n">
        <v>10</v>
      </c>
      <c r="B1359" s="11" t="inlineStr">
        <is>
          <t>Module 3 · Schooldays &amp; Work</t>
        </is>
      </c>
      <c r="C1359" s="11" t="inlineStr">
        <is>
          <t>3c</t>
        </is>
      </c>
      <c r="D1359" s="11" t="inlineStr">
        <is>
          <t>Comparative structures</t>
        </is>
      </c>
      <c r="E1359" s="35" t="inlineStr">
        <is>
          <t>Comparative structures: the same … as</t>
        </is>
      </c>
      <c r="F1359" s="11" t="inlineStr">
        <is>
          <t>Ст-468</t>
        </is>
      </c>
      <c r="G1359" s="40" t="inlineStr">
        <is>
          <t>новое</t>
        </is>
      </c>
      <c r="H1359" s="11" t="inlineStr">
        <is>
          <t>the same … as</t>
        </is>
      </c>
      <c r="I1359" s="37" t="inlineStr">
        <is>
          <t>10+</t>
        </is>
      </c>
      <c r="J1359" s="11">
        <f>IFERROR(INDEX('Уроки'!$H:$H,MATCH(F1359,'Уроки'!$A:$A,0)),"")</f>
        <v/>
      </c>
      <c r="K1359" s="11">
        <f>IFERROR(INDEX('Уроки'!$J:$J,MATCH(F1359,'Уроки'!$A:$A,0)),"")</f>
        <v/>
      </c>
      <c r="L1359" s="11" t="inlineStr">
        <is>
          <t>Spotlight / 10 класс / Module 3 · Schooldays &amp; Work / Comparative structures / Comparative structures: the same … as</t>
        </is>
      </c>
    </row>
    <row r="1360">
      <c r="A1360" s="37" t="n">
        <v>10</v>
      </c>
      <c r="B1360" s="11" t="inlineStr">
        <is>
          <t>Module 3 · Schooldays &amp; Work</t>
        </is>
      </c>
      <c r="C1360" s="11" t="inlineStr">
        <is>
          <t>3c</t>
        </is>
      </c>
      <c r="D1360" s="11" t="inlineStr">
        <is>
          <t>Comparative structures</t>
        </is>
      </c>
      <c r="E1360" s="35" t="inlineStr">
        <is>
          <t>Comparative structures: look/sound/smell/taste + like</t>
        </is>
      </c>
      <c r="F1360" s="11" t="inlineStr">
        <is>
          <t>Ст-469</t>
        </is>
      </c>
      <c r="G1360" s="40" t="inlineStr">
        <is>
          <t>новое</t>
        </is>
      </c>
      <c r="H1360" s="11" t="inlineStr">
        <is>
          <t>look/sound/smell/taste + like</t>
        </is>
      </c>
      <c r="I1360" s="37" t="inlineStr">
        <is>
          <t>10+</t>
        </is>
      </c>
      <c r="J1360" s="11">
        <f>IFERROR(INDEX('Уроки'!$H:$H,MATCH(F1360,'Уроки'!$A:$A,0)),"")</f>
        <v/>
      </c>
      <c r="K1360" s="11">
        <f>IFERROR(INDEX('Уроки'!$J:$J,MATCH(F1360,'Уроки'!$A:$A,0)),"")</f>
        <v/>
      </c>
      <c r="L1360" s="11" t="inlineStr">
        <is>
          <t>Spotlight / 10 класс / Module 3 · Schooldays &amp; Work / Comparative structures / Comparative structures: look/sound/smell/taste + like</t>
        </is>
      </c>
    </row>
    <row r="1361">
      <c r="A1361" s="37" t="n">
        <v>10</v>
      </c>
      <c r="B1361" s="11" t="inlineStr">
        <is>
          <t>Module 3 · Schooldays &amp; Work</t>
        </is>
      </c>
      <c r="C1361" s="11" t="inlineStr">
        <is>
          <t>3c</t>
        </is>
      </c>
      <c r="D1361" s="11" t="inlineStr">
        <is>
          <t>Like / As</t>
        </is>
      </c>
      <c r="E1361" s="35" t="inlineStr">
        <is>
          <t>Like / As: like — сходство; после feel, look, smell, taste, sound</t>
        </is>
      </c>
      <c r="F1361" s="11" t="inlineStr">
        <is>
          <t>Ст-497</t>
        </is>
      </c>
      <c r="G1361" s="40" t="inlineStr">
        <is>
          <t>новое</t>
        </is>
      </c>
      <c r="H1361" s="11" t="inlineStr">
        <is>
          <t>works like a dog; like + noun/pronoun/-ing</t>
        </is>
      </c>
      <c r="I1361" s="37" t="inlineStr">
        <is>
          <t>10+</t>
        </is>
      </c>
      <c r="J1361" s="11">
        <f>IFERROR(INDEX('Уроки'!$H:$H,MATCH(F1361,'Уроки'!$A:$A,0)),"")</f>
        <v/>
      </c>
      <c r="K1361" s="11">
        <f>IFERROR(INDEX('Уроки'!$J:$J,MATCH(F1361,'Уроки'!$A:$A,0)),"")</f>
        <v/>
      </c>
      <c r="L1361" s="11" t="inlineStr">
        <is>
          <t>Spotlight / 10 класс / Module 3 · Schooldays &amp; Work / Like / As / Like / As: like — сходство; после feel, look, smell, taste, sound</t>
        </is>
      </c>
    </row>
    <row r="1362">
      <c r="A1362" s="37" t="n">
        <v>10</v>
      </c>
      <c r="B1362" s="11" t="inlineStr">
        <is>
          <t>Module 3 · Schooldays &amp; Work</t>
        </is>
      </c>
      <c r="C1362" s="11" t="inlineStr">
        <is>
          <t>3c</t>
        </is>
      </c>
      <c r="D1362" s="11" t="inlineStr">
        <is>
          <t>Like / As</t>
        </is>
      </c>
      <c r="E1362" s="35" t="inlineStr">
        <is>
          <t>Like / As: as — роль, профессия; после regard, describe, be known; as usual, such as, the same as</t>
        </is>
      </c>
      <c r="F1362" s="11" t="inlineStr">
        <is>
          <t>Ст-498</t>
        </is>
      </c>
      <c r="G1362" s="40" t="inlineStr">
        <is>
          <t>новое</t>
        </is>
      </c>
      <c r="H1362" s="11" t="inlineStr">
        <is>
          <t>works as a clerk; придаточные образа действия</t>
        </is>
      </c>
      <c r="I1362" s="37" t="inlineStr">
        <is>
          <t>10+</t>
        </is>
      </c>
      <c r="J1362" s="11">
        <f>IFERROR(INDEX('Уроки'!$H:$H,MATCH(F1362,'Уроки'!$A:$A,0)),"")</f>
        <v/>
      </c>
      <c r="K1362" s="11">
        <f>IFERROR(INDEX('Уроки'!$J:$J,MATCH(F1362,'Уроки'!$A:$A,0)),"")</f>
        <v/>
      </c>
      <c r="L1362" s="11" t="inlineStr">
        <is>
          <t>Spotlight / 10 класс / Module 3 · Schooldays &amp; Work / Like / As / Like / As: as — роль, профессия; после regard, describe, be known; as usual, such as, the same as</t>
        </is>
      </c>
    </row>
    <row r="1363">
      <c r="A1363" s="37" t="n">
        <v>10</v>
      </c>
      <c r="B1363" s="11" t="inlineStr">
        <is>
          <t>Module 3 · Schooldays &amp; Work</t>
        </is>
      </c>
      <c r="C1363" s="11" t="inlineStr">
        <is>
          <t>3c</t>
        </is>
      </c>
      <c r="D1363" s="11" t="inlineStr">
        <is>
          <t>Like / As</t>
        </is>
      </c>
      <c r="E1363" s="35" t="inlineStr">
        <is>
          <t>Like / As: like vs as — сходство vs реальная роль</t>
        </is>
      </c>
      <c r="F1363" s="11" t="inlineStr">
        <is>
          <t>Ст-499</t>
        </is>
      </c>
      <c r="G1363" s="40" t="inlineStr">
        <is>
          <t>новое</t>
        </is>
      </c>
      <c r="H1363" s="11" t="inlineStr">
        <is>
          <t>works like a dog vs works as a clerk</t>
        </is>
      </c>
      <c r="I1363" s="37" t="inlineStr">
        <is>
          <t>10+</t>
        </is>
      </c>
      <c r="J1363" s="11">
        <f>IFERROR(INDEX('Уроки'!$H:$H,MATCH(F1363,'Уроки'!$A:$A,0)),"")</f>
        <v/>
      </c>
      <c r="K1363" s="11">
        <f>IFERROR(INDEX('Уроки'!$J:$J,MATCH(F1363,'Уроки'!$A:$A,0)),"")</f>
        <v/>
      </c>
      <c r="L1363" s="11" t="inlineStr">
        <is>
          <t>Spotlight / 10 класс / Module 3 · Schooldays &amp; Work / Like / As / Like / As: like vs as — сходство vs реальная роль</t>
        </is>
      </c>
    </row>
    <row r="1364">
      <c r="A1364" s="37" t="n">
        <v>10</v>
      </c>
      <c r="B1364" s="11" t="inlineStr">
        <is>
          <t>Module 3 · Schooldays &amp; Work</t>
        </is>
      </c>
      <c r="C1364" s="11" t="inlineStr">
        <is>
          <t>3c</t>
        </is>
      </c>
      <c r="D1364" s="11" t="inlineStr">
        <is>
          <t>Time clauses</t>
        </is>
      </c>
      <c r="E1364" s="34" t="inlineStr">
        <is>
          <t>Time clauses: Present Simple вместо будущего после when/before/after/until/as soon as…</t>
        </is>
      </c>
      <c r="F1364" s="11" t="inlineStr">
        <is>
          <t>Ст-535</t>
        </is>
      </c>
      <c r="G1364" s="37" t="inlineStr">
        <is>
          <t>повторение</t>
        </is>
      </c>
      <c r="H1364" s="11" t="inlineStr">
        <is>
          <t>while, before, until, as soon as, after, by the time, as</t>
        </is>
      </c>
      <c r="I1364" s="37" t="inlineStr">
        <is>
          <t>10+</t>
        </is>
      </c>
      <c r="J1364" s="11">
        <f>IFERROR(INDEX('Уроки'!$H:$H,MATCH(F1364,'Уроки'!$A:$A,0)),"")</f>
        <v/>
      </c>
      <c r="K1364" s="11">
        <f>IFERROR(INDEX('Уроки'!$J:$J,MATCH(F1364,'Уроки'!$A:$A,0)),"")</f>
        <v/>
      </c>
      <c r="L1364" s="11" t="inlineStr">
        <is>
          <t>Spotlight / 10 класс / Module 3 · Schooldays &amp; Work / Time clauses / Time clauses: Present Simple вместо будущего после when/before/after/until/as soon as…</t>
        </is>
      </c>
    </row>
    <row r="1365">
      <c r="A1365" s="37" t="n">
        <v>10</v>
      </c>
      <c r="B1365" s="11" t="inlineStr">
        <is>
          <t>Module 3 · Schooldays &amp; Work</t>
        </is>
      </c>
      <c r="C1365" s="11" t="inlineStr">
        <is>
          <t>3c</t>
        </is>
      </c>
      <c r="D1365" s="11" t="inlineStr">
        <is>
          <t>Time clauses</t>
        </is>
      </c>
      <c r="E1365" s="34" t="inlineStr">
        <is>
          <t>Time clauses: Present Perfect в придаточном времени</t>
        </is>
      </c>
      <c r="F1365" s="11" t="inlineStr">
        <is>
          <t>Ст-536</t>
        </is>
      </c>
      <c r="G1365" s="37" t="inlineStr">
        <is>
          <t>повторение</t>
        </is>
      </c>
      <c r="H1365" s="11" t="inlineStr"/>
      <c r="I1365" s="37" t="inlineStr">
        <is>
          <t>10+</t>
        </is>
      </c>
      <c r="J1365" s="11">
        <f>IFERROR(INDEX('Уроки'!$H:$H,MATCH(F1365,'Уроки'!$A:$A,0)),"")</f>
        <v/>
      </c>
      <c r="K1365" s="11">
        <f>IFERROR(INDEX('Уроки'!$J:$J,MATCH(F1365,'Уроки'!$A:$A,0)),"")</f>
        <v/>
      </c>
      <c r="L1365" s="11" t="inlineStr">
        <is>
          <t>Spotlight / 10 класс / Module 3 · Schooldays &amp; Work / Time clauses / Time clauses: Present Perfect в придаточном времени</t>
        </is>
      </c>
    </row>
    <row r="1366">
      <c r="A1366" s="37" t="n">
        <v>10</v>
      </c>
      <c r="B1366" s="11" t="inlineStr">
        <is>
          <t>Module 3 · Schooldays &amp; Work</t>
        </is>
      </c>
      <c r="C1366" s="11" t="inlineStr">
        <is>
          <t>3c</t>
        </is>
      </c>
      <c r="D1366" s="11" t="inlineStr">
        <is>
          <t>Time clauses</t>
        </is>
      </c>
      <c r="E1366" s="35" t="inlineStr">
        <is>
          <t>Time clauses: то же после if, unless, in case, supposing</t>
        </is>
      </c>
      <c r="F1366" s="11" t="inlineStr">
        <is>
          <t>Ст-537</t>
        </is>
      </c>
      <c r="G1366" s="37" t="inlineStr">
        <is>
          <t>повторение</t>
        </is>
      </c>
      <c r="H1366" s="11" t="inlineStr">
        <is>
          <t>только if</t>
        </is>
      </c>
      <c r="I1366" s="37" t="inlineStr">
        <is>
          <t>10+</t>
        </is>
      </c>
      <c r="J1366" s="11">
        <f>IFERROR(INDEX('Уроки'!$H:$H,MATCH(F1366,'Уроки'!$A:$A,0)),"")</f>
        <v/>
      </c>
      <c r="K1366" s="11">
        <f>IFERROR(INDEX('Уроки'!$J:$J,MATCH(F1366,'Уроки'!$A:$A,0)),"")</f>
        <v/>
      </c>
      <c r="L1366" s="11" t="inlineStr">
        <is>
          <t>Spotlight / 10 класс / Module 3 · Schooldays &amp; Work / Time clauses / Time clauses: то же после if, unless, in case, supposing</t>
        </is>
      </c>
    </row>
    <row r="1367">
      <c r="A1367" s="37" t="n">
        <v>10</v>
      </c>
      <c r="B1367" s="11" t="inlineStr">
        <is>
          <t>Module 3 · Schooldays &amp; Work</t>
        </is>
      </c>
      <c r="C1367" s="11" t="inlineStr">
        <is>
          <t>3c</t>
        </is>
      </c>
      <c r="D1367" s="11" t="inlineStr">
        <is>
          <t>Time clauses</t>
        </is>
      </c>
      <c r="E1367" s="35" t="inlineStr">
        <is>
          <t>Time clauses: when/if как вопросительное слово или после I don't know/wonder — с will</t>
        </is>
      </c>
      <c r="F1367" s="11" t="inlineStr">
        <is>
          <t>Ст-538</t>
        </is>
      </c>
      <c r="G1367" s="37" t="inlineStr">
        <is>
          <t>повторение</t>
        </is>
      </c>
      <c r="H1367" s="11" t="inlineStr">
        <is>
          <t>только when: вопросительное слово vs союз</t>
        </is>
      </c>
      <c r="I1367" s="37" t="inlineStr">
        <is>
          <t>10+</t>
        </is>
      </c>
      <c r="J1367" s="11">
        <f>IFERROR(INDEX('Уроки'!$H:$H,MATCH(F1367,'Уроки'!$A:$A,0)),"")</f>
        <v/>
      </c>
      <c r="K1367" s="11">
        <f>IFERROR(INDEX('Уроки'!$J:$J,MATCH(F1367,'Уроки'!$A:$A,0)),"")</f>
        <v/>
      </c>
      <c r="L1367" s="11" t="inlineStr">
        <is>
          <t>Spotlight / 10 класс / Module 3 · Schooldays &amp; Work / Time clauses / Time clauses: when/if как вопросительное слово или после I don't know/wonder — с will</t>
        </is>
      </c>
    </row>
    <row r="1368">
      <c r="A1368" s="37" t="n">
        <v>10</v>
      </c>
      <c r="B1368" s="11" t="inlineStr">
        <is>
          <t>Module 3 · Schooldays &amp; Work</t>
        </is>
      </c>
      <c r="C1368" s="11" t="inlineStr">
        <is>
          <t>3c</t>
        </is>
      </c>
      <c r="D1368" s="11" t="inlineStr">
        <is>
          <t>Phrasal verbs</t>
        </is>
      </c>
      <c r="E1368" s="35" t="inlineStr">
        <is>
          <t>Phrasal verbs: pick</t>
        </is>
      </c>
      <c r="F1368" s="11" t="inlineStr">
        <is>
          <t>Ст-602</t>
        </is>
      </c>
      <c r="G1368" s="40" t="inlineStr">
        <is>
          <t>новое</t>
        </is>
      </c>
      <c r="H1368" s="11" t="inlineStr">
        <is>
          <t>Фразовые глаголы с pick (ToC: «phrasal verbs (pick)»); состав частиц и значения в источнике не даны.</t>
        </is>
      </c>
      <c r="I1368" s="37" t="inlineStr">
        <is>
          <t>10+</t>
        </is>
      </c>
      <c r="J1368" s="11">
        <f>IFERROR(INDEX('Уроки'!$H:$H,MATCH(F1368,'Уроки'!$A:$A,0)),"")</f>
        <v/>
      </c>
      <c r="K1368" s="11">
        <f>IFERROR(INDEX('Уроки'!$J:$J,MATCH(F1368,'Уроки'!$A:$A,0)),"")</f>
        <v/>
      </c>
      <c r="L1368" s="11" t="inlineStr">
        <is>
          <t>Spotlight / 10 класс / Module 3 · Schooldays &amp; Work / Phrasal verbs / Phrasal verbs: pick</t>
        </is>
      </c>
    </row>
    <row r="1369">
      <c r="A1369" s="37" t="n">
        <v>10</v>
      </c>
      <c r="B1369" s="11" t="inlineStr">
        <is>
          <t>Module 3 · Schooldays &amp; Work</t>
        </is>
      </c>
      <c r="C1369" s="11" t="inlineStr">
        <is>
          <t>3c</t>
        </is>
      </c>
      <c r="D1369" s="11" t="inlineStr">
        <is>
          <t>Word formation</t>
        </is>
      </c>
      <c r="E1369" s="35" t="inlineStr">
        <is>
          <t>Word formation: personal nouns</t>
        </is>
      </c>
      <c r="F1369" s="11" t="inlineStr">
        <is>
          <t>Ст-631</t>
        </is>
      </c>
      <c r="G1369" s="40" t="inlineStr">
        <is>
          <t>новое</t>
        </is>
      </c>
      <c r="H1369" s="11" t="inlineStr">
        <is>
          <t>Образование существительных, обозначающих лиц (ToC: «forming personal pronouns»).</t>
        </is>
      </c>
      <c r="I1369" s="37" t="inlineStr">
        <is>
          <t>10+</t>
        </is>
      </c>
      <c r="J1369" s="11">
        <f>IFERROR(INDEX('Уроки'!$H:$H,MATCH(F1369,'Уроки'!$A:$A,0)),"")</f>
        <v/>
      </c>
      <c r="K1369" s="11">
        <f>IFERROR(INDEX('Уроки'!$J:$J,MATCH(F1369,'Уроки'!$A:$A,0)),"")</f>
        <v/>
      </c>
      <c r="L1369" s="11" t="inlineStr">
        <is>
          <t>Spotlight / 10 класс / Module 3 · Schooldays &amp; Work / Word formation / Word formation: personal nouns</t>
        </is>
      </c>
    </row>
    <row r="1370">
      <c r="A1370" s="37" t="n">
        <v>10</v>
      </c>
      <c r="B1370" s="11" t="inlineStr">
        <is>
          <t>Module 4 · Earth Alert!</t>
        </is>
      </c>
      <c r="C1370" s="11" t="inlineStr">
        <is>
          <t>4c</t>
        </is>
      </c>
      <c r="D1370" s="11" t="inlineStr">
        <is>
          <t>have to</t>
        </is>
      </c>
      <c r="E1370" s="33" t="inlineStr">
        <is>
          <t>have to: значение — необходимость из-за обстоятельств (утверждение)</t>
        </is>
      </c>
      <c r="F1370" s="11" t="inlineStr">
        <is>
          <t>Ст-137</t>
        </is>
      </c>
      <c r="G1370" s="41" t="inlineStr">
        <is>
          <t>расширение</t>
        </is>
      </c>
      <c r="H1370" s="11" t="inlineStr">
        <is>
          <t>объективная необходимость, решённая не говорящим</t>
        </is>
      </c>
      <c r="I1370" s="37" t="inlineStr">
        <is>
          <t>10+</t>
        </is>
      </c>
      <c r="J1370" s="11">
        <f>IFERROR(INDEX('Уроки'!$H:$H,MATCH(F1370,'Уроки'!$A:$A,0)),"")</f>
        <v/>
      </c>
      <c r="K1370" s="11">
        <f>IFERROR(INDEX('Уроки'!$J:$J,MATCH(F1370,'Уроки'!$A:$A,0)),"")</f>
        <v/>
      </c>
      <c r="L1370" s="11" t="inlineStr">
        <is>
          <t>Spotlight / 10 класс / Module 4 · Earth Alert! / have to / have to: значение — необходимость из-за обстоятельств (утверждение)</t>
        </is>
      </c>
    </row>
    <row r="1371">
      <c r="A1371" s="37" t="n">
        <v>10</v>
      </c>
      <c r="B1371" s="11" t="inlineStr">
        <is>
          <t>Module 4 · Earth Alert!</t>
        </is>
      </c>
      <c r="C1371" s="11" t="inlineStr">
        <is>
          <t>4c</t>
        </is>
      </c>
      <c r="D1371" s="11" t="inlineStr">
        <is>
          <t>have to</t>
        </is>
      </c>
      <c r="E1371" s="33" t="inlineStr">
        <is>
          <t>have to: don't / doesn't have to — отсутствие необходимости</t>
        </is>
      </c>
      <c r="F1371" s="11" t="inlineStr">
        <is>
          <t>Ст-138</t>
        </is>
      </c>
      <c r="G1371" s="37" t="inlineStr">
        <is>
          <t>повторение</t>
        </is>
      </c>
      <c r="H1371" s="11" t="inlineStr"/>
      <c r="I1371" s="37" t="inlineStr">
        <is>
          <t>10+</t>
        </is>
      </c>
      <c r="J1371" s="11">
        <f>IFERROR(INDEX('Уроки'!$H:$H,MATCH(F1371,'Уроки'!$A:$A,0)),"")</f>
        <v/>
      </c>
      <c r="K1371" s="11">
        <f>IFERROR(INDEX('Уроки'!$J:$J,MATCH(F1371,'Уроки'!$A:$A,0)),"")</f>
        <v/>
      </c>
      <c r="L1371" s="11" t="inlineStr">
        <is>
          <t>Spotlight / 10 класс / Module 4 · Earth Alert! / have to / have to: don't / doesn't have to — отсутствие необходимости</t>
        </is>
      </c>
    </row>
    <row r="1372">
      <c r="A1372" s="37" t="n">
        <v>10</v>
      </c>
      <c r="B1372" s="11" t="inlineStr">
        <is>
          <t>Module 4 · Earth Alert!</t>
        </is>
      </c>
      <c r="C1372" s="11" t="inlineStr">
        <is>
          <t>4c</t>
        </is>
      </c>
      <c r="D1372" s="11" t="inlineStr">
        <is>
          <t>have to</t>
        </is>
      </c>
      <c r="E1372" s="35" t="inlineStr">
        <is>
          <t>have to: had to — прошедшее время</t>
        </is>
      </c>
      <c r="F1372" s="11" t="inlineStr">
        <is>
          <t>Ст-139</t>
        </is>
      </c>
      <c r="G1372" s="37" t="inlineStr">
        <is>
          <t>повторение</t>
        </is>
      </c>
      <c r="H1372" s="11" t="inlineStr">
        <is>
          <t>прошедшее для must и have to</t>
        </is>
      </c>
      <c r="I1372" s="37" t="inlineStr">
        <is>
          <t>10+</t>
        </is>
      </c>
      <c r="J1372" s="11">
        <f>IFERROR(INDEX('Уроки'!$H:$H,MATCH(F1372,'Уроки'!$A:$A,0)),"")</f>
        <v/>
      </c>
      <c r="K1372" s="11">
        <f>IFERROR(INDEX('Уроки'!$J:$J,MATCH(F1372,'Уроки'!$A:$A,0)),"")</f>
        <v/>
      </c>
      <c r="L1372" s="11" t="inlineStr">
        <is>
          <t>Spotlight / 10 класс / Module 4 · Earth Alert! / have to / have to: had to — прошедшее время</t>
        </is>
      </c>
    </row>
    <row r="1373">
      <c r="A1373" s="37" t="n">
        <v>10</v>
      </c>
      <c r="B1373" s="11" t="inlineStr">
        <is>
          <t>Module 4 · Earth Alert!</t>
        </is>
      </c>
      <c r="C1373" s="11" t="inlineStr">
        <is>
          <t>4c</t>
        </is>
      </c>
      <c r="D1373" s="11" t="inlineStr">
        <is>
          <t>have to</t>
        </is>
      </c>
      <c r="E1373" s="35" t="inlineStr">
        <is>
          <t>have to: didn't have to — не было необходимости в прошлом</t>
        </is>
      </c>
      <c r="F1373" s="11" t="inlineStr">
        <is>
          <t>Ст-140</t>
        </is>
      </c>
      <c r="G1373" s="37" t="inlineStr">
        <is>
          <t>повторение</t>
        </is>
      </c>
      <c r="H1373" s="11" t="inlineStr"/>
      <c r="I1373" s="37" t="inlineStr">
        <is>
          <t>10+</t>
        </is>
      </c>
      <c r="J1373" s="11">
        <f>IFERROR(INDEX('Уроки'!$H:$H,MATCH(F1373,'Уроки'!$A:$A,0)),"")</f>
        <v/>
      </c>
      <c r="K1373" s="11">
        <f>IFERROR(INDEX('Уроки'!$J:$J,MATCH(F1373,'Уроки'!$A:$A,0)),"")</f>
        <v/>
      </c>
      <c r="L1373" s="11" t="inlineStr">
        <is>
          <t>Spotlight / 10 класс / Module 4 · Earth Alert! / have to / have to: didn't have to — не было необходимости в прошлом</t>
        </is>
      </c>
    </row>
    <row r="1374">
      <c r="A1374" s="37" t="n">
        <v>10</v>
      </c>
      <c r="B1374" s="11" t="inlineStr">
        <is>
          <t>Module 4 · Earth Alert!</t>
        </is>
      </c>
      <c r="C1374" s="11" t="inlineStr">
        <is>
          <t>4c</t>
        </is>
      </c>
      <c r="D1374" s="11" t="inlineStr">
        <is>
          <t>have to</t>
        </is>
      </c>
      <c r="E1374" s="35" t="inlineStr">
        <is>
          <t>have to: have got to (= have to)</t>
        </is>
      </c>
      <c r="F1374" s="11" t="inlineStr">
        <is>
          <t>Ст-141</t>
        </is>
      </c>
      <c r="G1374" s="40" t="inlineStr">
        <is>
          <t>новое</t>
        </is>
      </c>
      <c r="H1374" s="11" t="inlineStr">
        <is>
          <t>have got to</t>
        </is>
      </c>
      <c r="I1374" s="37" t="inlineStr">
        <is>
          <t>10+</t>
        </is>
      </c>
      <c r="J1374" s="11">
        <f>IFERROR(INDEX('Уроки'!$H:$H,MATCH(F1374,'Уроки'!$A:$A,0)),"")</f>
        <v/>
      </c>
      <c r="K1374" s="11">
        <f>IFERROR(INDEX('Уроки'!$J:$J,MATCH(F1374,'Уроки'!$A:$A,0)),"")</f>
        <v/>
      </c>
      <c r="L1374" s="11" t="inlineStr">
        <is>
          <t>Spotlight / 10 класс / Module 4 · Earth Alert! / have to / have to: have got to (= have to)</t>
        </is>
      </c>
    </row>
    <row r="1375">
      <c r="A1375" s="37" t="n">
        <v>10</v>
      </c>
      <c r="B1375" s="11" t="inlineStr">
        <is>
          <t>Module 4 · Earth Alert!</t>
        </is>
      </c>
      <c r="C1375" s="11" t="inlineStr">
        <is>
          <t>4c</t>
        </is>
      </c>
      <c r="D1375" s="11" t="inlineStr">
        <is>
          <t>may/might</t>
        </is>
      </c>
      <c r="E1375" s="35" t="inlineStr">
        <is>
          <t>may/might: can — общая (теоретическая) возможность</t>
        </is>
      </c>
      <c r="F1375" s="11" t="inlineStr">
        <is>
          <t>Ст-142</t>
        </is>
      </c>
      <c r="G1375" s="37" t="inlineStr">
        <is>
          <t>повторение</t>
        </is>
      </c>
      <c r="H1375" s="11" t="inlineStr"/>
      <c r="I1375" s="37" t="inlineStr">
        <is>
          <t>10+</t>
        </is>
      </c>
      <c r="J1375" s="11">
        <f>IFERROR(INDEX('Уроки'!$H:$H,MATCH(F1375,'Уроки'!$A:$A,0)),"")</f>
        <v/>
      </c>
      <c r="K1375" s="11">
        <f>IFERROR(INDEX('Уроки'!$J:$J,MATCH(F1375,'Уроки'!$A:$A,0)),"")</f>
        <v/>
      </c>
      <c r="L1375" s="11" t="inlineStr">
        <is>
          <t>Spotlight / 10 класс / Module 4 · Earth Alert! / may/might / may/might: can — общая (теоретическая) возможность</t>
        </is>
      </c>
    </row>
    <row r="1376">
      <c r="A1376" s="37" t="n">
        <v>10</v>
      </c>
      <c r="B1376" s="11" t="inlineStr">
        <is>
          <t>Module 4 · Earth Alert!</t>
        </is>
      </c>
      <c r="C1376" s="11" t="inlineStr">
        <is>
          <t>4c</t>
        </is>
      </c>
      <c r="D1376" s="11" t="inlineStr">
        <is>
          <t>may/might</t>
        </is>
      </c>
      <c r="E1376" s="35" t="inlineStr">
        <is>
          <t>may/might: could/may/might — возможность в конкретной ситуации</t>
        </is>
      </c>
      <c r="F1376" s="11" t="inlineStr">
        <is>
          <t>Ст-143</t>
        </is>
      </c>
      <c r="G1376" s="37" t="inlineStr">
        <is>
          <t>повторение</t>
        </is>
      </c>
      <c r="H1376" s="11" t="inlineStr"/>
      <c r="I1376" s="37" t="inlineStr">
        <is>
          <t>10+</t>
        </is>
      </c>
      <c r="J1376" s="11">
        <f>IFERROR(INDEX('Уроки'!$H:$H,MATCH(F1376,'Уроки'!$A:$A,0)),"")</f>
        <v/>
      </c>
      <c r="K1376" s="11">
        <f>IFERROR(INDEX('Уроки'!$J:$J,MATCH(F1376,'Уроки'!$A:$A,0)),"")</f>
        <v/>
      </c>
      <c r="L1376" s="11" t="inlineStr">
        <is>
          <t>Spotlight / 10 класс / Module 4 · Earth Alert! / may/might / may/might: could/may/might — возможность в конкретной ситуации</t>
        </is>
      </c>
    </row>
    <row r="1377">
      <c r="A1377" s="37" t="n">
        <v>10</v>
      </c>
      <c r="B1377" s="11" t="inlineStr">
        <is>
          <t>Module 4 · Earth Alert!</t>
        </is>
      </c>
      <c r="C1377" s="11" t="inlineStr">
        <is>
          <t>4c</t>
        </is>
      </c>
      <c r="D1377" s="11" t="inlineStr">
        <is>
          <t>may/might</t>
        </is>
      </c>
      <c r="E1377" s="35" t="inlineStr">
        <is>
          <t>may/might: возможность в вопросах — can/could/might, но не may</t>
        </is>
      </c>
      <c r="F1377" s="11" t="inlineStr">
        <is>
          <t>Ст-144</t>
        </is>
      </c>
      <c r="G1377" s="37" t="inlineStr">
        <is>
          <t>повторение</t>
        </is>
      </c>
      <c r="H1377" s="11" t="inlineStr"/>
      <c r="I1377" s="37" t="inlineStr">
        <is>
          <t>10+</t>
        </is>
      </c>
      <c r="J1377" s="11">
        <f>IFERROR(INDEX('Уроки'!$H:$H,MATCH(F1377,'Уроки'!$A:$A,0)),"")</f>
        <v/>
      </c>
      <c r="K1377" s="11">
        <f>IFERROR(INDEX('Уроки'!$J:$J,MATCH(F1377,'Уроки'!$A:$A,0)),"")</f>
        <v/>
      </c>
      <c r="L1377" s="11" t="inlineStr">
        <is>
          <t>Spotlight / 10 класс / Module 4 · Earth Alert! / may/might / may/might: возможность в вопросах — can/could/might, но не may</t>
        </is>
      </c>
    </row>
    <row r="1378">
      <c r="A1378" s="37" t="n">
        <v>10</v>
      </c>
      <c r="B1378" s="11" t="inlineStr">
        <is>
          <t>Module 4 · Earth Alert!</t>
        </is>
      </c>
      <c r="C1378" s="11" t="inlineStr">
        <is>
          <t>4c</t>
        </is>
      </c>
      <c r="D1378" s="11" t="inlineStr">
        <is>
          <t>may/might</t>
        </is>
      </c>
      <c r="E1378" s="35" t="inlineStr">
        <is>
          <t>may/might: could/might/would + have V3 — было возможно, но не случилось</t>
        </is>
      </c>
      <c r="F1378" s="11" t="inlineStr">
        <is>
          <t>Ст-145</t>
        </is>
      </c>
      <c r="G1378" s="37" t="inlineStr">
        <is>
          <t>повторение</t>
        </is>
      </c>
      <c r="H1378" s="11" t="inlineStr">
        <is>
          <t>He could have come with us, if…</t>
        </is>
      </c>
      <c r="I1378" s="37" t="inlineStr">
        <is>
          <t>10+</t>
        </is>
      </c>
      <c r="J1378" s="11">
        <f>IFERROR(INDEX('Уроки'!$H:$H,MATCH(F1378,'Уроки'!$A:$A,0)),"")</f>
        <v/>
      </c>
      <c r="K1378" s="11">
        <f>IFERROR(INDEX('Уроки'!$J:$J,MATCH(F1378,'Уроки'!$A:$A,0)),"")</f>
        <v/>
      </c>
      <c r="L1378" s="11" t="inlineStr">
        <is>
          <t>Spotlight / 10 класс / Module 4 · Earth Alert! / may/might / may/might: could/might/would + have V3 — было возможно, но не случилось</t>
        </is>
      </c>
    </row>
    <row r="1379">
      <c r="A1379" s="37" t="n">
        <v>10</v>
      </c>
      <c r="B1379" s="11" t="inlineStr">
        <is>
          <t>Module 4 · Earth Alert!</t>
        </is>
      </c>
      <c r="C1379" s="11" t="inlineStr">
        <is>
          <t>4c</t>
        </is>
      </c>
      <c r="D1379" s="11" t="inlineStr">
        <is>
          <t>must/mustn't</t>
        </is>
      </c>
      <c r="E1379" s="33" t="inlineStr">
        <is>
          <t>must/mustn't: must — обязанность, необходимость</t>
        </is>
      </c>
      <c r="F1379" s="11" t="inlineStr">
        <is>
          <t>Ст-146</t>
        </is>
      </c>
      <c r="G1379" s="41" t="inlineStr">
        <is>
          <t>расширение</t>
        </is>
      </c>
      <c r="H1379" s="11" t="inlineStr">
        <is>
          <t>субъективное решение говорящего</t>
        </is>
      </c>
      <c r="I1379" s="37" t="inlineStr">
        <is>
          <t>10+</t>
        </is>
      </c>
      <c r="J1379" s="11">
        <f>IFERROR(INDEX('Уроки'!$H:$H,MATCH(F1379,'Уроки'!$A:$A,0)),"")</f>
        <v/>
      </c>
      <c r="K1379" s="11">
        <f>IFERROR(INDEX('Уроки'!$J:$J,MATCH(F1379,'Уроки'!$A:$A,0)),"")</f>
        <v/>
      </c>
      <c r="L1379" s="11" t="inlineStr">
        <is>
          <t>Spotlight / 10 класс / Module 4 · Earth Alert! / must/mustn't / must/mustn't: must — обязанность, необходимость</t>
        </is>
      </c>
    </row>
    <row r="1380">
      <c r="A1380" s="37" t="n">
        <v>10</v>
      </c>
      <c r="B1380" s="11" t="inlineStr">
        <is>
          <t>Module 4 · Earth Alert!</t>
        </is>
      </c>
      <c r="C1380" s="11" t="inlineStr">
        <is>
          <t>4c</t>
        </is>
      </c>
      <c r="D1380" s="11" t="inlineStr">
        <is>
          <t>must/mustn't</t>
        </is>
      </c>
      <c r="E1380" s="33" t="inlineStr">
        <is>
          <t>must/mustn't: mustn't — запрет</t>
        </is>
      </c>
      <c r="F1380" s="11" t="inlineStr">
        <is>
          <t>Ст-147</t>
        </is>
      </c>
      <c r="G1380" s="37" t="inlineStr">
        <is>
          <t>повторение</t>
        </is>
      </c>
      <c r="H1380" s="11" t="inlineStr"/>
      <c r="I1380" s="37" t="inlineStr">
        <is>
          <t>10+</t>
        </is>
      </c>
      <c r="J1380" s="11">
        <f>IFERROR(INDEX('Уроки'!$H:$H,MATCH(F1380,'Уроки'!$A:$A,0)),"")</f>
        <v/>
      </c>
      <c r="K1380" s="11">
        <f>IFERROR(INDEX('Уроки'!$J:$J,MATCH(F1380,'Уроки'!$A:$A,0)),"")</f>
        <v/>
      </c>
      <c r="L1380" s="11" t="inlineStr">
        <is>
          <t>Spotlight / 10 класс / Module 4 · Earth Alert! / must/mustn't / must/mustn't: mustn't — запрет</t>
        </is>
      </c>
    </row>
    <row r="1381">
      <c r="A1381" s="37" t="n">
        <v>10</v>
      </c>
      <c r="B1381" s="11" t="inlineStr">
        <is>
          <t>Module 4 · Earth Alert!</t>
        </is>
      </c>
      <c r="C1381" s="11" t="inlineStr">
        <is>
          <t>4c</t>
        </is>
      </c>
      <c r="D1381" s="11" t="inlineStr">
        <is>
          <t>must/mustn't</t>
        </is>
      </c>
      <c r="E1381" s="35" t="inlineStr">
        <is>
          <t>must/mustn't: can't как запрет (= mustn't)</t>
        </is>
      </c>
      <c r="F1381" s="11" t="inlineStr">
        <is>
          <t>Ст-148</t>
        </is>
      </c>
      <c r="G1381" s="37" t="inlineStr">
        <is>
          <t>повторение</t>
        </is>
      </c>
      <c r="H1381" s="11" t="inlineStr">
        <is>
          <t>mustn't = can't</t>
        </is>
      </c>
      <c r="I1381" s="37" t="inlineStr">
        <is>
          <t>10+</t>
        </is>
      </c>
      <c r="J1381" s="11">
        <f>IFERROR(INDEX('Уроки'!$H:$H,MATCH(F1381,'Уроки'!$A:$A,0)),"")</f>
        <v/>
      </c>
      <c r="K1381" s="11">
        <f>IFERROR(INDEX('Уроки'!$J:$J,MATCH(F1381,'Уроки'!$A:$A,0)),"")</f>
        <v/>
      </c>
      <c r="L1381" s="11" t="inlineStr">
        <is>
          <t>Spotlight / 10 класс / Module 4 · Earth Alert! / must/mustn't / must/mustn't: can't как запрет (= mustn't)</t>
        </is>
      </c>
    </row>
    <row r="1382">
      <c r="A1382" s="37" t="n">
        <v>10</v>
      </c>
      <c r="B1382" s="11" t="inlineStr">
        <is>
          <t>Module 4 · Earth Alert!</t>
        </is>
      </c>
      <c r="C1382" s="11" t="inlineStr">
        <is>
          <t>4c</t>
        </is>
      </c>
      <c r="D1382" s="11" t="inlineStr">
        <is>
          <t>must/mustn't</t>
        </is>
      </c>
      <c r="E1382" s="35" t="inlineStr">
        <is>
          <t>must/mustn't: must — логический вывод</t>
        </is>
      </c>
      <c r="F1382" s="11" t="inlineStr">
        <is>
          <t>Ст-151</t>
        </is>
      </c>
      <c r="G1382" s="40" t="inlineStr">
        <is>
          <t>новое</t>
        </is>
      </c>
      <c r="H1382" s="11" t="inlineStr">
        <is>
          <t>с простым и перфектным инфинитивом</t>
        </is>
      </c>
      <c r="I1382" s="37" t="inlineStr">
        <is>
          <t>10+</t>
        </is>
      </c>
      <c r="J1382" s="11">
        <f>IFERROR(INDEX('Уроки'!$H:$H,MATCH(F1382,'Уроки'!$A:$A,0)),"")</f>
        <v/>
      </c>
      <c r="K1382" s="11">
        <f>IFERROR(INDEX('Уроки'!$J:$J,MATCH(F1382,'Уроки'!$A:$A,0)),"")</f>
        <v/>
      </c>
      <c r="L1382" s="11" t="inlineStr">
        <is>
          <t>Spotlight / 10 класс / Module 4 · Earth Alert! / must/mustn't / must/mustn't: must — логический вывод</t>
        </is>
      </c>
    </row>
    <row r="1383">
      <c r="A1383" s="37" t="n">
        <v>10</v>
      </c>
      <c r="B1383" s="11" t="inlineStr">
        <is>
          <t>Module 4 · Earth Alert!</t>
        </is>
      </c>
      <c r="C1383" s="11" t="inlineStr">
        <is>
          <t>4c</t>
        </is>
      </c>
      <c r="D1383" s="11" t="inlineStr">
        <is>
          <t>can (permission/request)</t>
        </is>
      </c>
      <c r="E1383" s="33" t="inlineStr">
        <is>
          <t>can (permission/request): can't — запрет</t>
        </is>
      </c>
      <c r="F1383" s="11" t="inlineStr">
        <is>
          <t>Ст-155</t>
        </is>
      </c>
      <c r="G1383" s="37" t="inlineStr">
        <is>
          <t>повторение</t>
        </is>
      </c>
      <c r="H1383" s="11" t="inlineStr">
        <is>
          <t>mustn't/can't</t>
        </is>
      </c>
      <c r="I1383" s="37" t="inlineStr">
        <is>
          <t>10+</t>
        </is>
      </c>
      <c r="J1383" s="11">
        <f>IFERROR(INDEX('Уроки'!$H:$H,MATCH(F1383,'Уроки'!$A:$A,0)),"")</f>
        <v/>
      </c>
      <c r="K1383" s="11">
        <f>IFERROR(INDEX('Уроки'!$J:$J,MATCH(F1383,'Уроки'!$A:$A,0)),"")</f>
        <v/>
      </c>
      <c r="L1383" s="11" t="inlineStr">
        <is>
          <t>Spotlight / 10 класс / Module 4 · Earth Alert! / can (permission/request) / can (permission/request): can't — запрет</t>
        </is>
      </c>
    </row>
    <row r="1384">
      <c r="A1384" s="37" t="n">
        <v>10</v>
      </c>
      <c r="B1384" s="11" t="inlineStr">
        <is>
          <t>Module 4 · Earth Alert!</t>
        </is>
      </c>
      <c r="C1384" s="11" t="inlineStr">
        <is>
          <t>4c</t>
        </is>
      </c>
      <c r="D1384" s="11" t="inlineStr">
        <is>
          <t>can (permission/request)</t>
        </is>
      </c>
      <c r="E1384" s="35" t="inlineStr">
        <is>
          <t>can (permission/request): can vs may — разрешение (may формальнее)</t>
        </is>
      </c>
      <c r="F1384" s="11" t="inlineStr">
        <is>
          <t>Ст-156</t>
        </is>
      </c>
      <c r="G1384" s="37" t="inlineStr">
        <is>
          <t>повторение</t>
        </is>
      </c>
      <c r="H1384" s="11" t="inlineStr"/>
      <c r="I1384" s="37" t="inlineStr">
        <is>
          <t>10+</t>
        </is>
      </c>
      <c r="J1384" s="11">
        <f>IFERROR(INDEX('Уроки'!$H:$H,MATCH(F1384,'Уроки'!$A:$A,0)),"")</f>
        <v/>
      </c>
      <c r="K1384" s="11">
        <f>IFERROR(INDEX('Уроки'!$J:$J,MATCH(F1384,'Уроки'!$A:$A,0)),"")</f>
        <v/>
      </c>
      <c r="L1384" s="11" t="inlineStr">
        <is>
          <t>Spotlight / 10 класс / Module 4 · Earth Alert! / can (permission/request) / can (permission/request): can vs may — разрешение (may формальнее)</t>
        </is>
      </c>
    </row>
    <row r="1385">
      <c r="A1385" s="37" t="n">
        <v>10</v>
      </c>
      <c r="B1385" s="11" t="inlineStr">
        <is>
          <t>Module 4 · Earth Alert!</t>
        </is>
      </c>
      <c r="C1385" s="11" t="inlineStr">
        <is>
          <t>4c</t>
        </is>
      </c>
      <c r="D1385" s="11" t="inlineStr">
        <is>
          <t>can (permission/request)</t>
        </is>
      </c>
      <c r="E1385" s="35" t="inlineStr">
        <is>
          <t>can (permission/request): предложения (offers/suggestions) — can, could, would, shall</t>
        </is>
      </c>
      <c r="F1385" s="11" t="inlineStr">
        <is>
          <t>Ст-157</t>
        </is>
      </c>
      <c r="G1385" s="37" t="inlineStr">
        <is>
          <t>повторение</t>
        </is>
      </c>
      <c r="H1385" s="11" t="inlineStr">
        <is>
          <t>Can we…? Would you like…? Shall I…? We can/could…</t>
        </is>
      </c>
      <c r="I1385" s="37" t="inlineStr">
        <is>
          <t>10+</t>
        </is>
      </c>
      <c r="J1385" s="11">
        <f>IFERROR(INDEX('Уроки'!$H:$H,MATCH(F1385,'Уроки'!$A:$A,0)),"")</f>
        <v/>
      </c>
      <c r="K1385" s="11">
        <f>IFERROR(INDEX('Уроки'!$J:$J,MATCH(F1385,'Уроки'!$A:$A,0)),"")</f>
        <v/>
      </c>
      <c r="L1385" s="11" t="inlineStr">
        <is>
          <t>Spotlight / 10 класс / Module 4 · Earth Alert! / can (permission/request) / can (permission/request): предложения (offers/suggestions) — can, could, would, shall</t>
        </is>
      </c>
    </row>
    <row r="1386">
      <c r="A1386" s="37" t="n">
        <v>10</v>
      </c>
      <c r="B1386" s="11" t="inlineStr">
        <is>
          <t>Module 4 · Earth Alert!</t>
        </is>
      </c>
      <c r="C1386" s="11" t="inlineStr">
        <is>
          <t>4c</t>
        </is>
      </c>
      <c r="D1386" s="11" t="inlineStr">
        <is>
          <t>need/needn't</t>
        </is>
      </c>
      <c r="E1386" s="35" t="inlineStr">
        <is>
          <t>need/needn't: needn't / don't need to — нет необходимости (наст./буд.)</t>
        </is>
      </c>
      <c r="F1386" s="11" t="inlineStr">
        <is>
          <t>Ст-158</t>
        </is>
      </c>
      <c r="G1386" s="37" t="inlineStr">
        <is>
          <t>повторение</t>
        </is>
      </c>
      <c r="H1386" s="11" t="inlineStr"/>
      <c r="I1386" s="37" t="inlineStr">
        <is>
          <t>10+</t>
        </is>
      </c>
      <c r="J1386" s="11">
        <f>IFERROR(INDEX('Уроки'!$H:$H,MATCH(F1386,'Уроки'!$A:$A,0)),"")</f>
        <v/>
      </c>
      <c r="K1386" s="11">
        <f>IFERROR(INDEX('Уроки'!$J:$J,MATCH(F1386,'Уроки'!$A:$A,0)),"")</f>
        <v/>
      </c>
      <c r="L1386" s="11" t="inlineStr">
        <is>
          <t>Spotlight / 10 класс / Module 4 · Earth Alert! / need/needn't / need/needn't: needn't / don't need to — нет необходимости (наст./буд.)</t>
        </is>
      </c>
    </row>
    <row r="1387">
      <c r="A1387" s="37" t="n">
        <v>10</v>
      </c>
      <c r="B1387" s="11" t="inlineStr">
        <is>
          <t>Module 4 · Earth Alert!</t>
        </is>
      </c>
      <c r="C1387" s="11" t="inlineStr">
        <is>
          <t>4c</t>
        </is>
      </c>
      <c r="D1387" s="11" t="inlineStr">
        <is>
          <t>need/needn't</t>
        </is>
      </c>
      <c r="E1387" s="35" t="inlineStr">
        <is>
          <t>need/needn't: need (= must) как эквивалент модального</t>
        </is>
      </c>
      <c r="F1387" s="11" t="inlineStr">
        <is>
          <t>Ст-161</t>
        </is>
      </c>
      <c r="G1387" s="40" t="inlineStr">
        <is>
          <t>новое</t>
        </is>
      </c>
      <c r="H1387" s="11" t="inlineStr">
        <is>
          <t>need как эквивалент must</t>
        </is>
      </c>
      <c r="I1387" s="37" t="inlineStr">
        <is>
          <t>10+</t>
        </is>
      </c>
      <c r="J1387" s="11">
        <f>IFERROR(INDEX('Уроки'!$H:$H,MATCH(F1387,'Уроки'!$A:$A,0)),"")</f>
        <v/>
      </c>
      <c r="K1387" s="11">
        <f>IFERROR(INDEX('Уроки'!$J:$J,MATCH(F1387,'Уроки'!$A:$A,0)),"")</f>
        <v/>
      </c>
      <c r="L1387" s="11" t="inlineStr">
        <is>
          <t>Spotlight / 10 класс / Module 4 · Earth Alert! / need/needn't / need/needn't: need (= must) как эквивалент модального</t>
        </is>
      </c>
    </row>
    <row r="1388">
      <c r="A1388" s="37" t="n">
        <v>10</v>
      </c>
      <c r="B1388" s="11" t="inlineStr">
        <is>
          <t>Module 4 · Earth Alert!</t>
        </is>
      </c>
      <c r="C1388" s="11" t="inlineStr">
        <is>
          <t>4c</t>
        </is>
      </c>
      <c r="D1388" s="11" t="inlineStr">
        <is>
          <t>should/shouldn't</t>
        </is>
      </c>
      <c r="E1388" s="33" t="inlineStr">
        <is>
          <t>should/shouldn't: значение — совет, рекомендация; утверждение should + глагол без to</t>
        </is>
      </c>
      <c r="F1388" s="11" t="inlineStr">
        <is>
          <t>Ст-162</t>
        </is>
      </c>
      <c r="G1388" s="37" t="inlineStr">
        <is>
          <t>повторение</t>
        </is>
      </c>
      <c r="H1388" s="11" t="inlineStr"/>
      <c r="I1388" s="37" t="inlineStr">
        <is>
          <t>10+</t>
        </is>
      </c>
      <c r="J1388" s="11">
        <f>IFERROR(INDEX('Уроки'!$H:$H,MATCH(F1388,'Уроки'!$A:$A,0)),"")</f>
        <v/>
      </c>
      <c r="K1388" s="11">
        <f>IFERROR(INDEX('Уроки'!$J:$J,MATCH(F1388,'Уроки'!$A:$A,0)),"")</f>
        <v/>
      </c>
      <c r="L1388" s="11" t="inlineStr">
        <is>
          <t>Spotlight / 10 класс / Module 4 · Earth Alert! / should/shouldn't / should/shouldn't: значение — совет, рекомендация; утверждение should + глагол без to</t>
        </is>
      </c>
    </row>
    <row r="1389">
      <c r="A1389" s="37" t="n">
        <v>10</v>
      </c>
      <c r="B1389" s="11" t="inlineStr">
        <is>
          <t>Module 4 · Earth Alert!</t>
        </is>
      </c>
      <c r="C1389" s="11" t="inlineStr">
        <is>
          <t>4c</t>
        </is>
      </c>
      <c r="D1389" s="11" t="inlineStr">
        <is>
          <t>should/shouldn't</t>
        </is>
      </c>
      <c r="E1389" s="34" t="inlineStr">
        <is>
          <t>should/shouldn't: ought to (= should)</t>
        </is>
      </c>
      <c r="F1389" s="11" t="inlineStr">
        <is>
          <t>Ст-165</t>
        </is>
      </c>
      <c r="G1389" s="37" t="inlineStr">
        <is>
          <t>повторение</t>
        </is>
      </c>
      <c r="H1389" s="11" t="inlineStr">
        <is>
          <t>You ought to abide by the rules</t>
        </is>
      </c>
      <c r="I1389" s="37" t="inlineStr">
        <is>
          <t>10+</t>
        </is>
      </c>
      <c r="J1389" s="11">
        <f>IFERROR(INDEX('Уроки'!$H:$H,MATCH(F1389,'Уроки'!$A:$A,0)),"")</f>
        <v/>
      </c>
      <c r="K1389" s="11">
        <f>IFERROR(INDEX('Уроки'!$J:$J,MATCH(F1389,'Уроки'!$A:$A,0)),"")</f>
        <v/>
      </c>
      <c r="L1389" s="11" t="inlineStr">
        <is>
          <t>Spotlight / 10 класс / Module 4 · Earth Alert! / should/shouldn't / should/shouldn't: ought to (= should)</t>
        </is>
      </c>
    </row>
    <row r="1390">
      <c r="A1390" s="37" t="n">
        <v>10</v>
      </c>
      <c r="B1390" s="11" t="inlineStr">
        <is>
          <t>Module 4 · Earth Alert!</t>
        </is>
      </c>
      <c r="C1390" s="11" t="inlineStr">
        <is>
          <t>4c</t>
        </is>
      </c>
      <c r="D1390" s="11" t="inlineStr">
        <is>
          <t>should/shouldn't</t>
        </is>
      </c>
      <c r="E1390" s="34" t="inlineStr">
        <is>
          <t>should/shouldn't: значение — обязательство, долг (слабая обязанность)</t>
        </is>
      </c>
      <c r="F1390" s="11" t="inlineStr">
        <is>
          <t>Ст-166</t>
        </is>
      </c>
      <c r="G1390" s="37" t="inlineStr">
        <is>
          <t>повторение</t>
        </is>
      </c>
      <c r="H1390" s="11" t="inlineStr">
        <is>
          <t>долг, слабая обязанность</t>
        </is>
      </c>
      <c r="I1390" s="37" t="inlineStr">
        <is>
          <t>10+</t>
        </is>
      </c>
      <c r="J1390" s="11">
        <f>IFERROR(INDEX('Уроки'!$H:$H,MATCH(F1390,'Уроки'!$A:$A,0)),"")</f>
        <v/>
      </c>
      <c r="K1390" s="11">
        <f>IFERROR(INDEX('Уроки'!$J:$J,MATCH(F1390,'Уроки'!$A:$A,0)),"")</f>
        <v/>
      </c>
      <c r="L1390" s="11" t="inlineStr">
        <is>
          <t>Spotlight / 10 класс / Module 4 · Earth Alert! / should/shouldn't / should/shouldn't: значение — обязательство, долг (слабая обязанность)</t>
        </is>
      </c>
    </row>
    <row r="1391">
      <c r="A1391" s="37" t="n">
        <v>10</v>
      </c>
      <c r="B1391" s="11" t="inlineStr">
        <is>
          <t>Module 4 · Earth Alert!</t>
        </is>
      </c>
      <c r="C1391" s="11" t="inlineStr">
        <is>
          <t>4c</t>
        </is>
      </c>
      <c r="D1391" s="11" t="inlineStr">
        <is>
          <t>should/shouldn't</t>
        </is>
      </c>
      <c r="E1391" s="34" t="inlineStr">
        <is>
          <t>should/shouldn't: значение — критика (should / should have V3)</t>
        </is>
      </c>
      <c r="F1391" s="11" t="inlineStr">
        <is>
          <t>Ст-167</t>
        </is>
      </c>
      <c r="G1391" s="37" t="inlineStr">
        <is>
          <t>повторение</t>
        </is>
      </c>
      <c r="H1391" s="11" t="inlineStr"/>
      <c r="I1391" s="37" t="inlineStr">
        <is>
          <t>10+</t>
        </is>
      </c>
      <c r="J1391" s="11">
        <f>IFERROR(INDEX('Уроки'!$H:$H,MATCH(F1391,'Уроки'!$A:$A,0)),"")</f>
        <v/>
      </c>
      <c r="K1391" s="11">
        <f>IFERROR(INDEX('Уроки'!$J:$J,MATCH(F1391,'Уроки'!$A:$A,0)),"")</f>
        <v/>
      </c>
      <c r="L1391" s="11" t="inlineStr">
        <is>
          <t>Spotlight / 10 класс / Module 4 · Earth Alert! / should/shouldn't / should/shouldn't: значение — критика (should / should have V3)</t>
        </is>
      </c>
    </row>
    <row r="1392">
      <c r="A1392" s="37" t="n">
        <v>10</v>
      </c>
      <c r="B1392" s="11" t="inlineStr">
        <is>
          <t>Module 4 · Earth Alert!</t>
        </is>
      </c>
      <c r="C1392" s="11" t="inlineStr">
        <is>
          <t>4c</t>
        </is>
      </c>
      <c r="D1392" s="11" t="inlineStr">
        <is>
          <t>should/shouldn't</t>
        </is>
      </c>
      <c r="E1392" s="35" t="inlineStr">
        <is>
          <t>should/shouldn't: значение — вероятность ~90% (о будущем)</t>
        </is>
      </c>
      <c r="F1392" s="11" t="inlineStr">
        <is>
          <t>Ст-168</t>
        </is>
      </c>
      <c r="G1392" s="37" t="inlineStr">
        <is>
          <t>повторение</t>
        </is>
      </c>
      <c r="H1392" s="11" t="inlineStr"/>
      <c r="I1392" s="37" t="inlineStr">
        <is>
          <t>10+</t>
        </is>
      </c>
      <c r="J1392" s="11">
        <f>IFERROR(INDEX('Уроки'!$H:$H,MATCH(F1392,'Уроки'!$A:$A,0)),"")</f>
        <v/>
      </c>
      <c r="K1392" s="11">
        <f>IFERROR(INDEX('Уроки'!$J:$J,MATCH(F1392,'Уроки'!$A:$A,0)),"")</f>
        <v/>
      </c>
      <c r="L1392" s="11" t="inlineStr">
        <is>
          <t>Spotlight / 10 класс / Module 4 · Earth Alert! / should/shouldn't / should/shouldn't: значение — вероятность ~90% (о будущем)</t>
        </is>
      </c>
    </row>
    <row r="1393">
      <c r="A1393" s="37" t="n">
        <v>10</v>
      </c>
      <c r="B1393" s="11" t="inlineStr">
        <is>
          <t>Module 4 · Earth Alert!</t>
        </is>
      </c>
      <c r="C1393" s="11" t="inlineStr">
        <is>
          <t>4c</t>
        </is>
      </c>
      <c r="D1393" s="11" t="inlineStr">
        <is>
          <t>should/shouldn't</t>
        </is>
      </c>
      <c r="E1393" s="34" t="inlineStr">
        <is>
          <t>should/shouldn't: Shall I…? — просьба о совете</t>
        </is>
      </c>
      <c r="F1393" s="11" t="inlineStr">
        <is>
          <t>Ст-169</t>
        </is>
      </c>
      <c r="G1393" s="37" t="inlineStr">
        <is>
          <t>повторение</t>
        </is>
      </c>
      <c r="H1393" s="11" t="inlineStr"/>
      <c r="I1393" s="37" t="inlineStr">
        <is>
          <t>10+</t>
        </is>
      </c>
      <c r="J1393" s="11">
        <f>IFERROR(INDEX('Уроки'!$H:$H,MATCH(F1393,'Уроки'!$A:$A,0)),"")</f>
        <v/>
      </c>
      <c r="K1393" s="11">
        <f>IFERROR(INDEX('Уроки'!$J:$J,MATCH(F1393,'Уроки'!$A:$A,0)),"")</f>
        <v/>
      </c>
      <c r="L1393" s="11" t="inlineStr">
        <is>
          <t>Spotlight / 10 класс / Module 4 · Earth Alert! / should/shouldn't / should/shouldn't: Shall I…? — просьба о совете</t>
        </is>
      </c>
    </row>
    <row r="1394">
      <c r="A1394" s="37" t="n">
        <v>10</v>
      </c>
      <c r="B1394" s="11" t="inlineStr">
        <is>
          <t>Module 4 · Earth Alert!</t>
        </is>
      </c>
      <c r="C1394" s="11" t="inlineStr">
        <is>
          <t>4c</t>
        </is>
      </c>
      <c r="D1394" s="11" t="inlineStr">
        <is>
          <t>should/shouldn't</t>
        </is>
      </c>
      <c r="E1394" s="34" t="inlineStr">
        <is>
          <t>should/shouldn't: Shall I…? — предложение помощи</t>
        </is>
      </c>
      <c r="F1394" s="11" t="inlineStr">
        <is>
          <t>Ст-170</t>
        </is>
      </c>
      <c r="G1394" s="40" t="inlineStr">
        <is>
          <t>новое</t>
        </is>
      </c>
      <c r="H1394" s="11" t="inlineStr">
        <is>
          <t>Shall I give you a lift?</t>
        </is>
      </c>
      <c r="I1394" s="37" t="inlineStr">
        <is>
          <t>10+</t>
        </is>
      </c>
      <c r="J1394" s="11">
        <f>IFERROR(INDEX('Уроки'!$H:$H,MATCH(F1394,'Уроки'!$A:$A,0)),"")</f>
        <v/>
      </c>
      <c r="K1394" s="11">
        <f>IFERROR(INDEX('Уроки'!$J:$J,MATCH(F1394,'Уроки'!$A:$A,0)),"")</f>
        <v/>
      </c>
      <c r="L1394" s="11" t="inlineStr">
        <is>
          <t>Spotlight / 10 класс / Module 4 · Earth Alert! / should/shouldn't / should/shouldn't: Shall I…? — предложение помощи</t>
        </is>
      </c>
    </row>
    <row r="1395">
      <c r="A1395" s="37" t="n">
        <v>10</v>
      </c>
      <c r="B1395" s="11" t="inlineStr">
        <is>
          <t>Module 4 · Earth Alert!</t>
        </is>
      </c>
      <c r="C1395" s="11" t="inlineStr">
        <is>
          <t>4c</t>
        </is>
      </c>
      <c r="D1395" s="11" t="inlineStr">
        <is>
          <t>Modal verbs (deduction)</t>
        </is>
      </c>
      <c r="E1395" s="35" t="inlineStr">
        <is>
          <t>Modal verbs (deduction): must — уверенность (о настоящем)</t>
        </is>
      </c>
      <c r="F1395" s="11" t="inlineStr">
        <is>
          <t>Ст-172</t>
        </is>
      </c>
      <c r="G1395" s="37" t="inlineStr">
        <is>
          <t>повторение</t>
        </is>
      </c>
      <c r="H1395" s="11" t="inlineStr"/>
      <c r="I1395" s="37" t="inlineStr">
        <is>
          <t>10+</t>
        </is>
      </c>
      <c r="J1395" s="11">
        <f>IFERROR(INDEX('Уроки'!$H:$H,MATCH(F1395,'Уроки'!$A:$A,0)),"")</f>
        <v/>
      </c>
      <c r="K1395" s="11">
        <f>IFERROR(INDEX('Уроки'!$J:$J,MATCH(F1395,'Уроки'!$A:$A,0)),"")</f>
        <v/>
      </c>
      <c r="L1395" s="11" t="inlineStr">
        <is>
          <t>Spotlight / 10 класс / Module 4 · Earth Alert! / Modal verbs (deduction) / Modal verbs (deduction): must — уверенность (о настоящем)</t>
        </is>
      </c>
    </row>
    <row r="1396">
      <c r="A1396" s="37" t="n">
        <v>10</v>
      </c>
      <c r="B1396" s="11" t="inlineStr">
        <is>
          <t>Module 4 · Earth Alert!</t>
        </is>
      </c>
      <c r="C1396" s="11" t="inlineStr">
        <is>
          <t>4c</t>
        </is>
      </c>
      <c r="D1396" s="11" t="inlineStr">
        <is>
          <t>Modal verbs (deduction)</t>
        </is>
      </c>
      <c r="E1396" s="35" t="inlineStr">
        <is>
          <t>Modal verbs (deduction): may/might/could — вероятность (о настоящем)</t>
        </is>
      </c>
      <c r="F1396" s="11" t="inlineStr">
        <is>
          <t>Ст-173</t>
        </is>
      </c>
      <c r="G1396" s="37" t="inlineStr">
        <is>
          <t>повторение</t>
        </is>
      </c>
      <c r="H1396" s="11" t="inlineStr"/>
      <c r="I1396" s="37" t="inlineStr">
        <is>
          <t>10+</t>
        </is>
      </c>
      <c r="J1396" s="11">
        <f>IFERROR(INDEX('Уроки'!$H:$H,MATCH(F1396,'Уроки'!$A:$A,0)),"")</f>
        <v/>
      </c>
      <c r="K1396" s="11">
        <f>IFERROR(INDEX('Уроки'!$J:$J,MATCH(F1396,'Уроки'!$A:$A,0)),"")</f>
        <v/>
      </c>
      <c r="L1396" s="11" t="inlineStr">
        <is>
          <t>Spotlight / 10 класс / Module 4 · Earth Alert! / Modal verbs (deduction) / Modal verbs (deduction): may/might/could — вероятность (о настоящем)</t>
        </is>
      </c>
    </row>
    <row r="1397">
      <c r="A1397" s="37" t="n">
        <v>10</v>
      </c>
      <c r="B1397" s="11" t="inlineStr">
        <is>
          <t>Module 4 · Earth Alert!</t>
        </is>
      </c>
      <c r="C1397" s="11" t="inlineStr">
        <is>
          <t>4c</t>
        </is>
      </c>
      <c r="D1397" s="11" t="inlineStr">
        <is>
          <t>Modal verbs (deduction)</t>
        </is>
      </c>
      <c r="E1397" s="35" t="inlineStr">
        <is>
          <t>Modal verbs (deduction): can't/couldn't — невозможность (о настоящем)</t>
        </is>
      </c>
      <c r="F1397" s="11" t="inlineStr">
        <is>
          <t>Ст-174</t>
        </is>
      </c>
      <c r="G1397" s="37" t="inlineStr">
        <is>
          <t>повторение</t>
        </is>
      </c>
      <c r="H1397" s="11" t="inlineStr"/>
      <c r="I1397" s="37" t="inlineStr">
        <is>
          <t>10+</t>
        </is>
      </c>
      <c r="J1397" s="11">
        <f>IFERROR(INDEX('Уроки'!$H:$H,MATCH(F1397,'Уроки'!$A:$A,0)),"")</f>
        <v/>
      </c>
      <c r="K1397" s="11">
        <f>IFERROR(INDEX('Уроки'!$J:$J,MATCH(F1397,'Уроки'!$A:$A,0)),"")</f>
        <v/>
      </c>
      <c r="L1397" s="11" t="inlineStr">
        <is>
          <t>Spotlight / 10 класс / Module 4 · Earth Alert! / Modal verbs (deduction) / Modal verbs (deduction): can't/couldn't — невозможность (о настоящем)</t>
        </is>
      </c>
    </row>
    <row r="1398">
      <c r="A1398" s="37" t="n">
        <v>10</v>
      </c>
      <c r="B1398" s="11" t="inlineStr">
        <is>
          <t>Module 4 · Earth Alert!</t>
        </is>
      </c>
      <c r="C1398" s="11" t="inlineStr">
        <is>
          <t>4c</t>
        </is>
      </c>
      <c r="D1398" s="11" t="inlineStr">
        <is>
          <t>Modal verbs (deduction)</t>
        </is>
      </c>
      <c r="E1398" s="35" t="inlineStr">
        <is>
          <t>Modal verbs (deduction): выводы о прошлом — must/may/might/could/can't + have V3</t>
        </is>
      </c>
      <c r="F1398" s="11" t="inlineStr">
        <is>
          <t>Ст-175</t>
        </is>
      </c>
      <c r="G1398" s="37" t="inlineStr">
        <is>
          <t>повторение</t>
        </is>
      </c>
      <c r="H1398" s="11" t="inlineStr">
        <is>
          <t>must have been delayed, couldn't have cooked</t>
        </is>
      </c>
      <c r="I1398" s="37" t="inlineStr">
        <is>
          <t>10+</t>
        </is>
      </c>
      <c r="J1398" s="11">
        <f>IFERROR(INDEX('Уроки'!$H:$H,MATCH(F1398,'Уроки'!$A:$A,0)),"")</f>
        <v/>
      </c>
      <c r="K1398" s="11">
        <f>IFERROR(INDEX('Уроки'!$J:$J,MATCH(F1398,'Уроки'!$A:$A,0)),"")</f>
        <v/>
      </c>
      <c r="L1398" s="11" t="inlineStr">
        <is>
          <t>Spotlight / 10 класс / Module 4 · Earth Alert! / Modal verbs (deduction) / Modal verbs (deduction): выводы о прошлом — must/may/might/could/can't + have V3</t>
        </is>
      </c>
    </row>
    <row r="1399">
      <c r="A1399" s="37" t="n">
        <v>10</v>
      </c>
      <c r="B1399" s="11" t="inlineStr">
        <is>
          <t>Module 4 · Earth Alert!</t>
        </is>
      </c>
      <c r="C1399" s="11" t="inlineStr">
        <is>
          <t>4c</t>
        </is>
      </c>
      <c r="D1399" s="11" t="inlineStr">
        <is>
          <t>Modal verbs (deduction)</t>
        </is>
      </c>
      <c r="E1399" s="35" t="inlineStr">
        <is>
          <t>Modal verbs (deduction): вероятность — will (100%) vs should/ought to (90%)</t>
        </is>
      </c>
      <c r="F1399" s="11" t="inlineStr">
        <is>
          <t>Ст-176</t>
        </is>
      </c>
      <c r="G1399" s="40" t="inlineStr">
        <is>
          <t>новое</t>
        </is>
      </c>
      <c r="H1399" s="11" t="inlineStr">
        <is>
          <t>will 100%, should/ought to 90%</t>
        </is>
      </c>
      <c r="I1399" s="37" t="inlineStr">
        <is>
          <t>10+</t>
        </is>
      </c>
      <c r="J1399" s="11">
        <f>IFERROR(INDEX('Уроки'!$H:$H,MATCH(F1399,'Уроки'!$A:$A,0)),"")</f>
        <v/>
      </c>
      <c r="K1399" s="11">
        <f>IFERROR(INDEX('Уроки'!$J:$J,MATCH(F1399,'Уроки'!$A:$A,0)),"")</f>
        <v/>
      </c>
      <c r="L1399" s="11" t="inlineStr">
        <is>
          <t>Spotlight / 10 класс / Module 4 · Earth Alert! / Modal verbs (deduction) / Modal verbs (deduction): вероятность — will (100%) vs should/ought to (90%)</t>
        </is>
      </c>
    </row>
    <row r="1400">
      <c r="A1400" s="37" t="n">
        <v>10</v>
      </c>
      <c r="B1400" s="11" t="inlineStr">
        <is>
          <t>Module 4 · Earth Alert!</t>
        </is>
      </c>
      <c r="C1400" s="11" t="inlineStr">
        <is>
          <t>4c</t>
        </is>
      </c>
      <c r="D1400" s="11" t="inlineStr">
        <is>
          <t>Modal verbs (deduction)</t>
        </is>
      </c>
      <c r="E1400" s="35" t="inlineStr">
        <is>
          <t>Modal verbs (deduction): критика — could/should/ought to (+ have V3)</t>
        </is>
      </c>
      <c r="F1400" s="11" t="inlineStr">
        <is>
          <t>Ст-177</t>
        </is>
      </c>
      <c r="G1400" s="40" t="inlineStr">
        <is>
          <t>новое</t>
        </is>
      </c>
      <c r="H1400" s="11" t="inlineStr">
        <is>
          <t>could (at least), should, ought to</t>
        </is>
      </c>
      <c r="I1400" s="37" t="inlineStr">
        <is>
          <t>10+</t>
        </is>
      </c>
      <c r="J1400" s="11">
        <f>IFERROR(INDEX('Уроки'!$H:$H,MATCH(F1400,'Уроки'!$A:$A,0)),"")</f>
        <v/>
      </c>
      <c r="K1400" s="11">
        <f>IFERROR(INDEX('Уроки'!$J:$J,MATCH(F1400,'Уроки'!$A:$A,0)),"")</f>
        <v/>
      </c>
      <c r="L1400" s="11" t="inlineStr">
        <is>
          <t>Spotlight / 10 класс / Module 4 · Earth Alert! / Modal verbs (deduction) / Modal verbs (deduction): критика — could/should/ought to (+ have V3)</t>
        </is>
      </c>
    </row>
    <row r="1401">
      <c r="A1401" s="37" t="n">
        <v>10</v>
      </c>
      <c r="B1401" s="11" t="inlineStr">
        <is>
          <t>Module 4 · Earth Alert!</t>
        </is>
      </c>
      <c r="C1401" s="11" t="inlineStr">
        <is>
          <t>4c</t>
        </is>
      </c>
      <c r="D1401" s="11" t="inlineStr">
        <is>
          <t>Modal verbs (functions)</t>
        </is>
      </c>
      <c r="E1401" s="33" t="inlineStr">
        <is>
          <t>Modal verbs: общие правила формы — без -s/-ing/-ed, + инфинитив без to</t>
        </is>
      </c>
      <c r="F1401" s="11" t="inlineStr">
        <is>
          <t>Ст-178</t>
        </is>
      </c>
      <c r="G1401" s="37" t="inlineStr">
        <is>
          <t>повторение</t>
        </is>
      </c>
      <c r="H1401" s="11" t="inlineStr"/>
      <c r="I1401" s="37" t="inlineStr">
        <is>
          <t>10+</t>
        </is>
      </c>
      <c r="J1401" s="11">
        <f>IFERROR(INDEX('Уроки'!$H:$H,MATCH(F1401,'Уроки'!$A:$A,0)),"")</f>
        <v/>
      </c>
      <c r="K1401" s="11">
        <f>IFERROR(INDEX('Уроки'!$J:$J,MATCH(F1401,'Уроки'!$A:$A,0)),"")</f>
        <v/>
      </c>
      <c r="L1401" s="11" t="inlineStr">
        <is>
          <t>Spotlight / 10 класс / Module 4 · Earth Alert! / Modal verbs (functions) / Modal verbs: общие правила формы — без -s/-ing/-ed, + инфинитив без to</t>
        </is>
      </c>
    </row>
    <row r="1402">
      <c r="A1402" s="37" t="n">
        <v>10</v>
      </c>
      <c r="B1402" s="11" t="inlineStr">
        <is>
          <t>Module 4 · Earth Alert!</t>
        </is>
      </c>
      <c r="C1402" s="11" t="inlineStr">
        <is>
          <t>4c</t>
        </is>
      </c>
      <c r="D1402" s="11" t="inlineStr">
        <is>
          <t>Modal verbs (functions)</t>
        </is>
      </c>
      <c r="E1402" s="35" t="inlineStr">
        <is>
          <t>Modal verbs: вопрос и отрицание (инверсия, not)</t>
        </is>
      </c>
      <c r="F1402" s="11" t="inlineStr">
        <is>
          <t>Ст-179</t>
        </is>
      </c>
      <c r="G1402" s="37" t="inlineStr">
        <is>
          <t>повторение</t>
        </is>
      </c>
      <c r="H1402" s="11" t="inlineStr"/>
      <c r="I1402" s="37" t="inlineStr">
        <is>
          <t>10+</t>
        </is>
      </c>
      <c r="J1402" s="11">
        <f>IFERROR(INDEX('Уроки'!$H:$H,MATCH(F1402,'Уроки'!$A:$A,0)),"")</f>
        <v/>
      </c>
      <c r="K1402" s="11">
        <f>IFERROR(INDEX('Уроки'!$J:$J,MATCH(F1402,'Уроки'!$A:$A,0)),"")</f>
        <v/>
      </c>
      <c r="L1402" s="11" t="inlineStr">
        <is>
          <t>Spotlight / 10 класс / Module 4 · Earth Alert! / Modal verbs (functions) / Modal verbs: вопрос и отрицание (инверсия, not)</t>
        </is>
      </c>
    </row>
    <row r="1403">
      <c r="A1403" s="37" t="n">
        <v>10</v>
      </c>
      <c r="B1403" s="11" t="inlineStr">
        <is>
          <t>Module 4 · Earth Alert!</t>
        </is>
      </c>
      <c r="C1403" s="11" t="inlineStr">
        <is>
          <t>4c</t>
        </is>
      </c>
      <c r="D1403" s="11" t="inlineStr">
        <is>
          <t>Modal verbs (functions)</t>
        </is>
      </c>
      <c r="E1403" s="35" t="inlineStr">
        <is>
          <t>Modal verbs: + простой инфинитив (наст./буд.) vs + перфектный инфинитив (прошлое)</t>
        </is>
      </c>
      <c r="F1403" s="11" t="inlineStr">
        <is>
          <t>Ст-180</t>
        </is>
      </c>
      <c r="G1403" s="37" t="inlineStr">
        <is>
          <t>повторение</t>
        </is>
      </c>
      <c r="H1403" s="11" t="inlineStr"/>
      <c r="I1403" s="37" t="inlineStr">
        <is>
          <t>10+</t>
        </is>
      </c>
      <c r="J1403" s="11">
        <f>IFERROR(INDEX('Уроки'!$H:$H,MATCH(F1403,'Уроки'!$A:$A,0)),"")</f>
        <v/>
      </c>
      <c r="K1403" s="11">
        <f>IFERROR(INDEX('Уроки'!$J:$J,MATCH(F1403,'Уроки'!$A:$A,0)),"")</f>
        <v/>
      </c>
      <c r="L1403" s="11" t="inlineStr">
        <is>
          <t>Spotlight / 10 класс / Module 4 · Earth Alert! / Modal verbs (functions) / Modal verbs: + простой инфинитив (наст./буд.) vs + перфектный инфинитив (прошлое)</t>
        </is>
      </c>
    </row>
    <row r="1404">
      <c r="A1404" s="37" t="n">
        <v>10</v>
      </c>
      <c r="B1404" s="11" t="inlineStr">
        <is>
          <t>Module 4 · Earth Alert!</t>
        </is>
      </c>
      <c r="C1404" s="11" t="inlineStr">
        <is>
          <t>4c</t>
        </is>
      </c>
      <c r="D1404" s="11" t="inlineStr">
        <is>
          <t>Modal verbs (functions)</t>
        </is>
      </c>
      <c r="E1404" s="35" t="inlineStr">
        <is>
          <t>Modal verbs: формы инфинитива — simple / continuous / perfect / perfect continuous</t>
        </is>
      </c>
      <c r="F1404" s="11" t="inlineStr">
        <is>
          <t>Ст-181</t>
        </is>
      </c>
      <c r="G1404" s="37" t="inlineStr">
        <is>
          <t>повторение</t>
        </is>
      </c>
      <c r="H1404" s="11" t="inlineStr"/>
      <c r="I1404" s="37" t="inlineStr">
        <is>
          <t>10+</t>
        </is>
      </c>
      <c r="J1404" s="11">
        <f>IFERROR(INDEX('Уроки'!$H:$H,MATCH(F1404,'Уроки'!$A:$A,0)),"")</f>
        <v/>
      </c>
      <c r="K1404" s="11">
        <f>IFERROR(INDEX('Уроки'!$J:$J,MATCH(F1404,'Уроки'!$A:$A,0)),"")</f>
        <v/>
      </c>
      <c r="L1404" s="11" t="inlineStr">
        <is>
          <t>Spotlight / 10 класс / Module 4 · Earth Alert! / Modal verbs (functions) / Modal verbs: формы инфинитива — simple / continuous / perfect / perfect continuous</t>
        </is>
      </c>
    </row>
    <row r="1405">
      <c r="A1405" s="37" t="n">
        <v>10</v>
      </c>
      <c r="B1405" s="11" t="inlineStr">
        <is>
          <t>Module 4 · Earth Alert!</t>
        </is>
      </c>
      <c r="C1405" s="11" t="inlineStr">
        <is>
          <t>4c</t>
        </is>
      </c>
      <c r="D1405" s="11" t="inlineStr">
        <is>
          <t>Modal verbs (functions)</t>
        </is>
      </c>
      <c r="E1405" s="35" t="inlineStr">
        <is>
          <t>Modal verbs: эквиваленты модальных (need, had better, have (got) to, be able to, used to)</t>
        </is>
      </c>
      <c r="F1405" s="11" t="inlineStr">
        <is>
          <t>Ст-185</t>
        </is>
      </c>
      <c r="G1405" s="40" t="inlineStr">
        <is>
          <t>новое</t>
        </is>
      </c>
      <c r="H1405" s="11" t="inlineStr">
        <is>
          <t>need, had better, have (got) to, be able to, used to</t>
        </is>
      </c>
      <c r="I1405" s="37" t="inlineStr">
        <is>
          <t>10+</t>
        </is>
      </c>
      <c r="J1405" s="11">
        <f>IFERROR(INDEX('Уроки'!$H:$H,MATCH(F1405,'Уроки'!$A:$A,0)),"")</f>
        <v/>
      </c>
      <c r="K1405" s="11">
        <f>IFERROR(INDEX('Уроки'!$J:$J,MATCH(F1405,'Уроки'!$A:$A,0)),"")</f>
        <v/>
      </c>
      <c r="L1405" s="11" t="inlineStr">
        <is>
          <t>Spotlight / 10 класс / Module 4 · Earth Alert! / Modal verbs (functions) / Modal verbs: эквиваленты модальных (need, had better, have (got) to, be able to, used to)</t>
        </is>
      </c>
    </row>
    <row r="1406">
      <c r="A1406" s="37" t="n">
        <v>10</v>
      </c>
      <c r="B1406" s="11" t="inlineStr">
        <is>
          <t>Module 4 · Earth Alert!</t>
        </is>
      </c>
      <c r="C1406" s="11" t="inlineStr">
        <is>
          <t>4c</t>
        </is>
      </c>
      <c r="D1406" s="11" t="inlineStr">
        <is>
          <t>can/could (ability past)</t>
        </is>
      </c>
      <c r="E1406" s="35" t="inlineStr">
        <is>
          <t>can/could (ability past): could — общая способность в прошлом</t>
        </is>
      </c>
      <c r="F1406" s="11" t="inlineStr">
        <is>
          <t>Ст-195</t>
        </is>
      </c>
      <c r="G1406" s="41" t="inlineStr">
        <is>
          <t>расширение</t>
        </is>
      </c>
      <c r="H1406" s="11" t="inlineStr">
        <is>
          <t>общая повторяющаяся способность</t>
        </is>
      </c>
      <c r="I1406" s="37" t="inlineStr">
        <is>
          <t>10+</t>
        </is>
      </c>
      <c r="J1406" s="11">
        <f>IFERROR(INDEX('Уроки'!$H:$H,MATCH(F1406,'Уроки'!$A:$A,0)),"")</f>
        <v/>
      </c>
      <c r="K1406" s="11">
        <f>IFERROR(INDEX('Уроки'!$J:$J,MATCH(F1406,'Уроки'!$A:$A,0)),"")</f>
        <v/>
      </c>
      <c r="L1406" s="11" t="inlineStr">
        <is>
          <t>Spotlight / 10 класс / Module 4 · Earth Alert! / can/could (ability past) / can/could (ability past): could — общая способность в прошлом</t>
        </is>
      </c>
    </row>
    <row r="1407">
      <c r="A1407" s="37" t="n">
        <v>10</v>
      </c>
      <c r="B1407" s="11" t="inlineStr">
        <is>
          <t>Module 4 · Earth Alert!</t>
        </is>
      </c>
      <c r="C1407" s="11" t="inlineStr">
        <is>
          <t>4c</t>
        </is>
      </c>
      <c r="D1407" s="11" t="inlineStr">
        <is>
          <t>can/could (ability past)</t>
        </is>
      </c>
      <c r="E1407" s="35" t="inlineStr">
        <is>
          <t>can/could (ability past): was/were able to — способность в конкретной ситуации</t>
        </is>
      </c>
      <c r="F1407" s="11" t="inlineStr">
        <is>
          <t>Ст-196</t>
        </is>
      </c>
      <c r="G1407" s="37" t="inlineStr">
        <is>
          <t>повторение</t>
        </is>
      </c>
      <c r="H1407" s="11" t="inlineStr"/>
      <c r="I1407" s="37" t="inlineStr">
        <is>
          <t>10+</t>
        </is>
      </c>
      <c r="J1407" s="11">
        <f>IFERROR(INDEX('Уроки'!$H:$H,MATCH(F1407,'Уроки'!$A:$A,0)),"")</f>
        <v/>
      </c>
      <c r="K1407" s="11">
        <f>IFERROR(INDEX('Уроки'!$J:$J,MATCH(F1407,'Уроки'!$A:$A,0)),"")</f>
        <v/>
      </c>
      <c r="L1407" s="11" t="inlineStr">
        <is>
          <t>Spotlight / 10 класс / Module 4 · Earth Alert! / can/could (ability past) / can/could (ability past): was/were able to — способность в конкретной ситуации</t>
        </is>
      </c>
    </row>
    <row r="1408">
      <c r="A1408" s="37" t="n">
        <v>10</v>
      </c>
      <c r="B1408" s="11" t="inlineStr">
        <is>
          <t>Module 4 · Earth Alert!</t>
        </is>
      </c>
      <c r="C1408" s="11" t="inlineStr">
        <is>
          <t>4c</t>
        </is>
      </c>
      <c r="D1408" s="11" t="inlineStr">
        <is>
          <t>can/could (ability past)</t>
        </is>
      </c>
      <c r="E1408" s="35" t="inlineStr">
        <is>
          <t>can/could (ability past): couldn't — неспособность в прошлом</t>
        </is>
      </c>
      <c r="F1408" s="11" t="inlineStr">
        <is>
          <t>Ст-197</t>
        </is>
      </c>
      <c r="G1408" s="41" t="inlineStr">
        <is>
          <t>расширение</t>
        </is>
      </c>
      <c r="H1408" s="11" t="inlineStr">
        <is>
          <t>любая неспособность в прошлом</t>
        </is>
      </c>
      <c r="I1408" s="37" t="inlineStr">
        <is>
          <t>10+</t>
        </is>
      </c>
      <c r="J1408" s="11">
        <f>IFERROR(INDEX('Уроки'!$H:$H,MATCH(F1408,'Уроки'!$A:$A,0)),"")</f>
        <v/>
      </c>
      <c r="K1408" s="11">
        <f>IFERROR(INDEX('Уроки'!$J:$J,MATCH(F1408,'Уроки'!$A:$A,0)),"")</f>
        <v/>
      </c>
      <c r="L1408" s="11" t="inlineStr">
        <is>
          <t>Spotlight / 10 класс / Module 4 · Earth Alert! / can/could (ability past) / can/could (ability past): couldn't — неспособность в прошлом</t>
        </is>
      </c>
    </row>
    <row r="1409">
      <c r="A1409" s="37" t="n">
        <v>10</v>
      </c>
      <c r="B1409" s="11" t="inlineStr">
        <is>
          <t>Module 4 · Earth Alert!</t>
        </is>
      </c>
      <c r="C1409" s="11" t="inlineStr">
        <is>
          <t>4c</t>
        </is>
      </c>
      <c r="D1409" s="11" t="inlineStr">
        <is>
          <t>Phrasal verbs</t>
        </is>
      </c>
      <c r="E1409" s="35" t="inlineStr">
        <is>
          <t>Phrasal verbs: run</t>
        </is>
      </c>
      <c r="F1409" s="11" t="inlineStr">
        <is>
          <t>Ст-599</t>
        </is>
      </c>
      <c r="G1409" s="37" t="inlineStr">
        <is>
          <t>повторение</t>
        </is>
      </c>
      <c r="H1409" s="11" t="inlineStr">
        <is>
          <t>Фразовые глаголы с run (ToC: «phrasal verbs (run)»); состав частиц и значения в источнике не даны.</t>
        </is>
      </c>
      <c r="I1409" s="37" t="inlineStr">
        <is>
          <t>10+</t>
        </is>
      </c>
      <c r="J1409" s="11">
        <f>IFERROR(INDEX('Уроки'!$H:$H,MATCH(F1409,'Уроки'!$A:$A,0)),"")</f>
        <v/>
      </c>
      <c r="K1409" s="11">
        <f>IFERROR(INDEX('Уроки'!$J:$J,MATCH(F1409,'Уроки'!$A:$A,0)),"")</f>
        <v/>
      </c>
      <c r="L1409" s="11" t="inlineStr">
        <is>
          <t>Spotlight / 10 класс / Module 4 · Earth Alert! / Phrasal verbs / Phrasal verbs: run</t>
        </is>
      </c>
    </row>
    <row r="1410">
      <c r="A1410" s="37" t="n">
        <v>10</v>
      </c>
      <c r="B1410" s="11" t="inlineStr">
        <is>
          <t>Module 4 · Earth Alert!</t>
        </is>
      </c>
      <c r="C1410" s="11" t="inlineStr">
        <is>
          <t>4c</t>
        </is>
      </c>
      <c r="D1410" s="11" t="inlineStr">
        <is>
          <t>Word formation</t>
        </is>
      </c>
      <c r="E1410" s="35" t="inlineStr">
        <is>
          <t>Word formation: negative adjectives</t>
        </is>
      </c>
      <c r="F1410" s="11" t="inlineStr">
        <is>
          <t>Ст-621</t>
        </is>
      </c>
      <c r="G1410" s="37" t="inlineStr">
        <is>
          <t>повторение</t>
        </is>
      </c>
      <c r="H1410" s="11" t="inlineStr">
        <is>
          <t>Образование отрицательных прилагательных (ToC: «forming negative adjectives»).</t>
        </is>
      </c>
      <c r="I1410" s="37" t="inlineStr">
        <is>
          <t>10+</t>
        </is>
      </c>
      <c r="J1410" s="11">
        <f>IFERROR(INDEX('Уроки'!$H:$H,MATCH(F1410,'Уроки'!$A:$A,0)),"")</f>
        <v/>
      </c>
      <c r="K1410" s="11">
        <f>IFERROR(INDEX('Уроки'!$J:$J,MATCH(F1410,'Уроки'!$A:$A,0)),"")</f>
        <v/>
      </c>
      <c r="L1410" s="11" t="inlineStr">
        <is>
          <t>Spotlight / 10 класс / Module 4 · Earth Alert! / Word formation / Word formation: negative adjectives</t>
        </is>
      </c>
    </row>
    <row r="1411">
      <c r="A1411" s="37" t="n">
        <v>10</v>
      </c>
      <c r="B1411" s="11" t="inlineStr">
        <is>
          <t>Module 5 · Holidays</t>
        </is>
      </c>
      <c r="C1411" s="11" t="inlineStr">
        <is>
          <t>5c</t>
        </is>
      </c>
      <c r="D1411" s="11" t="inlineStr">
        <is>
          <t>Past Simple</t>
        </is>
      </c>
      <c r="E1411" s="33" t="inlineStr">
        <is>
          <t>Past Simple: правильные глаголы — утверждение (-ed)</t>
        </is>
      </c>
      <c r="F1411" s="11" t="inlineStr">
        <is>
          <t>Ст-001</t>
        </is>
      </c>
      <c r="G1411" s="37" t="inlineStr">
        <is>
          <t>повторение</t>
        </is>
      </c>
      <c r="H1411" s="11" t="inlineStr"/>
      <c r="I1411" s="37" t="inlineStr">
        <is>
          <t>10+</t>
        </is>
      </c>
      <c r="J1411" s="11">
        <f>IFERROR(INDEX('Уроки'!$H:$H,MATCH(F1411,'Уроки'!$A:$A,0)),"")</f>
        <v/>
      </c>
      <c r="K1411" s="11">
        <f>IFERROR(INDEX('Уроки'!$J:$J,MATCH(F1411,'Уроки'!$A:$A,0)),"")</f>
        <v/>
      </c>
      <c r="L1411" s="11" t="inlineStr">
        <is>
          <t>Spotlight / 10 класс / Module 5 · Holidays / Past Simple / Past Simple: правильные глаголы — утверждение (-ed)</t>
        </is>
      </c>
    </row>
    <row r="1412">
      <c r="A1412" s="37" t="n">
        <v>10</v>
      </c>
      <c r="B1412" s="11" t="inlineStr">
        <is>
          <t>Module 5 · Holidays</t>
        </is>
      </c>
      <c r="C1412" s="11" t="inlineStr">
        <is>
          <t>5c</t>
        </is>
      </c>
      <c r="D1412" s="11" t="inlineStr">
        <is>
          <t>Past Simple</t>
        </is>
      </c>
      <c r="E1412" s="33" t="inlineStr">
        <is>
          <t>Past Simple: орфография -ed</t>
        </is>
      </c>
      <c r="F1412" s="11" t="inlineStr">
        <is>
          <t>Ст-005</t>
        </is>
      </c>
      <c r="G1412" s="37" t="inlineStr">
        <is>
          <t>повторение</t>
        </is>
      </c>
      <c r="H1412" s="11" t="inlineStr"/>
      <c r="I1412" s="37" t="inlineStr">
        <is>
          <t>10+</t>
        </is>
      </c>
      <c r="J1412" s="11">
        <f>IFERROR(INDEX('Уроки'!$H:$H,MATCH(F1412,'Уроки'!$A:$A,0)),"")</f>
        <v/>
      </c>
      <c r="K1412" s="11">
        <f>IFERROR(INDEX('Уроки'!$J:$J,MATCH(F1412,'Уроки'!$A:$A,0)),"")</f>
        <v/>
      </c>
      <c r="L1412" s="11" t="inlineStr">
        <is>
          <t>Spotlight / 10 класс / Module 5 · Holidays / Past Simple / Past Simple: орфография -ed</t>
        </is>
      </c>
    </row>
    <row r="1413">
      <c r="A1413" s="37" t="n">
        <v>10</v>
      </c>
      <c r="B1413" s="11" t="inlineStr">
        <is>
          <t>Module 5 · Holidays</t>
        </is>
      </c>
      <c r="C1413" s="11" t="inlineStr">
        <is>
          <t>5c</t>
        </is>
      </c>
      <c r="D1413" s="11" t="inlineStr">
        <is>
          <t>Past Simple</t>
        </is>
      </c>
      <c r="E1413" s="33" t="inlineStr">
        <is>
          <t>Past Simple: неправильные глаголы — утверждение</t>
        </is>
      </c>
      <c r="F1413" s="11" t="inlineStr">
        <is>
          <t>Ст-006</t>
        </is>
      </c>
      <c r="G1413" s="37" t="inlineStr">
        <is>
          <t>повторение</t>
        </is>
      </c>
      <c r="H1413" s="11" t="inlineStr">
        <is>
          <t>по таблице GR20</t>
        </is>
      </c>
      <c r="I1413" s="37" t="inlineStr">
        <is>
          <t>10+</t>
        </is>
      </c>
      <c r="J1413" s="11">
        <f>IFERROR(INDEX('Уроки'!$H:$H,MATCH(F1413,'Уроки'!$A:$A,0)),"")</f>
        <v/>
      </c>
      <c r="K1413" s="11">
        <f>IFERROR(INDEX('Уроки'!$J:$J,MATCH(F1413,'Уроки'!$A:$A,0)),"")</f>
        <v/>
      </c>
      <c r="L1413" s="11" t="inlineStr">
        <is>
          <t>Spotlight / 10 класс / Module 5 · Holidays / Past Simple / Past Simple: неправильные глаголы — утверждение</t>
        </is>
      </c>
    </row>
    <row r="1414">
      <c r="A1414" s="37" t="n">
        <v>10</v>
      </c>
      <c r="B1414" s="11" t="inlineStr">
        <is>
          <t>Module 5 · Holidays</t>
        </is>
      </c>
      <c r="C1414" s="11" t="inlineStr">
        <is>
          <t>5c</t>
        </is>
      </c>
      <c r="D1414" s="11" t="inlineStr">
        <is>
          <t>Past Simple</t>
        </is>
      </c>
      <c r="E1414" s="33" t="inlineStr">
        <is>
          <t>Past Simple: одна форма для всех лиц, исключение was/were</t>
        </is>
      </c>
      <c r="F1414" s="11" t="inlineStr">
        <is>
          <t>Ст-009</t>
        </is>
      </c>
      <c r="G1414" s="37" t="inlineStr">
        <is>
          <t>повторение</t>
        </is>
      </c>
      <c r="H1414" s="11" t="inlineStr"/>
      <c r="I1414" s="37" t="inlineStr">
        <is>
          <t>10+</t>
        </is>
      </c>
      <c r="J1414" s="11">
        <f>IFERROR(INDEX('Уроки'!$H:$H,MATCH(F1414,'Уроки'!$A:$A,0)),"")</f>
        <v/>
      </c>
      <c r="K1414" s="11">
        <f>IFERROR(INDEX('Уроки'!$J:$J,MATCH(F1414,'Уроки'!$A:$A,0)),"")</f>
        <v/>
      </c>
      <c r="L1414" s="11" t="inlineStr">
        <is>
          <t>Spotlight / 10 класс / Module 5 · Holidays / Past Simple / Past Simple: одна форма для всех лиц, исключение was/were</t>
        </is>
      </c>
    </row>
    <row r="1415">
      <c r="A1415" s="37" t="n">
        <v>10</v>
      </c>
      <c r="B1415" s="11" t="inlineStr">
        <is>
          <t>Module 5 · Holidays</t>
        </is>
      </c>
      <c r="C1415" s="11" t="inlineStr">
        <is>
          <t>5c</t>
        </is>
      </c>
      <c r="D1415" s="11" t="inlineStr">
        <is>
          <t>Past Simple</t>
        </is>
      </c>
      <c r="E1415" s="33" t="inlineStr">
        <is>
          <t>Past Simple: значение — действие в прошлом (yesterday, ago)</t>
        </is>
      </c>
      <c r="F1415" s="11" t="inlineStr">
        <is>
          <t>Ст-010</t>
        </is>
      </c>
      <c r="G1415" s="37" t="inlineStr">
        <is>
          <t>повторение</t>
        </is>
      </c>
      <c r="H1415" s="11" t="inlineStr">
        <is>
          <t>завершённые действия</t>
        </is>
      </c>
      <c r="I1415" s="37" t="inlineStr">
        <is>
          <t>10+</t>
        </is>
      </c>
      <c r="J1415" s="11">
        <f>IFERROR(INDEX('Уроки'!$H:$H,MATCH(F1415,'Уроки'!$A:$A,0)),"")</f>
        <v/>
      </c>
      <c r="K1415" s="11">
        <f>IFERROR(INDEX('Уроки'!$J:$J,MATCH(F1415,'Уроки'!$A:$A,0)),"")</f>
        <v/>
      </c>
      <c r="L1415" s="11" t="inlineStr">
        <is>
          <t>Spotlight / 10 класс / Module 5 · Holidays / Past Simple / Past Simple: значение — действие в прошлом (yesterday, ago)</t>
        </is>
      </c>
    </row>
    <row r="1416">
      <c r="A1416" s="37" t="n">
        <v>10</v>
      </c>
      <c r="B1416" s="11" t="inlineStr">
        <is>
          <t>Module 5 · Holidays</t>
        </is>
      </c>
      <c r="C1416" s="11" t="inlineStr">
        <is>
          <t>5c</t>
        </is>
      </c>
      <c r="D1416" s="11" t="inlineStr">
        <is>
          <t>Past Simple</t>
        </is>
      </c>
      <c r="E1416" s="33" t="inlineStr">
        <is>
          <t>Past Simple: значение — действие в указанное время в прошлом</t>
        </is>
      </c>
      <c r="F1416" s="11" t="inlineStr">
        <is>
          <t>Ст-011</t>
        </is>
      </c>
      <c r="G1416" s="37" t="inlineStr">
        <is>
          <t>повторение</t>
        </is>
      </c>
      <c r="H1416" s="11" t="inlineStr"/>
      <c r="I1416" s="37" t="inlineStr">
        <is>
          <t>10+</t>
        </is>
      </c>
      <c r="J1416" s="11">
        <f>IFERROR(INDEX('Уроки'!$H:$H,MATCH(F1416,'Уроки'!$A:$A,0)),"")</f>
        <v/>
      </c>
      <c r="K1416" s="11">
        <f>IFERROR(INDEX('Уроки'!$J:$J,MATCH(F1416,'Уроки'!$A:$A,0)),"")</f>
        <v/>
      </c>
      <c r="L1416" s="11" t="inlineStr">
        <is>
          <t>Spotlight / 10 класс / Module 5 · Holidays / Past Simple / Past Simple: значение — действие в указанное время в прошлом</t>
        </is>
      </c>
    </row>
    <row r="1417">
      <c r="A1417" s="37" t="n">
        <v>10</v>
      </c>
      <c r="B1417" s="11" t="inlineStr">
        <is>
          <t>Module 5 · Holidays</t>
        </is>
      </c>
      <c r="C1417" s="11" t="inlineStr">
        <is>
          <t>5c</t>
        </is>
      </c>
      <c r="D1417" s="11" t="inlineStr">
        <is>
          <t>Past Simple</t>
        </is>
      </c>
      <c r="E1417" s="35" t="inlineStr">
        <is>
          <t>Past Simple: значение — повторяющиеся действия и привычки в прошлом</t>
        </is>
      </c>
      <c r="F1417" s="11" t="inlineStr">
        <is>
          <t>Ст-012</t>
        </is>
      </c>
      <c r="G1417" s="37" t="inlineStr">
        <is>
          <t>повторение</t>
        </is>
      </c>
      <c r="H1417" s="11" t="inlineStr">
        <is>
          <t>прошлые привычки</t>
        </is>
      </c>
      <c r="I1417" s="37" t="inlineStr">
        <is>
          <t>10+</t>
        </is>
      </c>
      <c r="J1417" s="11">
        <f>IFERROR(INDEX('Уроки'!$H:$H,MATCH(F1417,'Уроки'!$A:$A,0)),"")</f>
        <v/>
      </c>
      <c r="K1417" s="11">
        <f>IFERROR(INDEX('Уроки'!$J:$J,MATCH(F1417,'Уроки'!$A:$A,0)),"")</f>
        <v/>
      </c>
      <c r="L1417" s="11" t="inlineStr">
        <is>
          <t>Spotlight / 10 класс / Module 5 · Holidays / Past Simple / Past Simple: значение — повторяющиеся действия и привычки в прошлом</t>
        </is>
      </c>
    </row>
    <row r="1418">
      <c r="A1418" s="37" t="n">
        <v>10</v>
      </c>
      <c r="B1418" s="11" t="inlineStr">
        <is>
          <t>Module 5 · Holidays</t>
        </is>
      </c>
      <c r="C1418" s="11" t="inlineStr">
        <is>
          <t>5c</t>
        </is>
      </c>
      <c r="D1418" s="11" t="inlineStr">
        <is>
          <t>Past Simple</t>
        </is>
      </c>
      <c r="E1418" s="34" t="inlineStr">
        <is>
          <t>Past Simple: значение — последовательные действия</t>
        </is>
      </c>
      <c r="F1418" s="11" t="inlineStr">
        <is>
          <t>Ст-013</t>
        </is>
      </c>
      <c r="G1418" s="37" t="inlineStr">
        <is>
          <t>повторение</t>
        </is>
      </c>
      <c r="H1418" s="11" t="inlineStr"/>
      <c r="I1418" s="37" t="inlineStr">
        <is>
          <t>10+</t>
        </is>
      </c>
      <c r="J1418" s="11">
        <f>IFERROR(INDEX('Уроки'!$H:$H,MATCH(F1418,'Уроки'!$A:$A,0)),"")</f>
        <v/>
      </c>
      <c r="K1418" s="11">
        <f>IFERROR(INDEX('Уроки'!$J:$J,MATCH(F1418,'Уроки'!$A:$A,0)),"")</f>
        <v/>
      </c>
      <c r="L1418" s="11" t="inlineStr">
        <is>
          <t>Spotlight / 10 класс / Module 5 · Holidays / Past Simple / Past Simple: значение — последовательные действия</t>
        </is>
      </c>
    </row>
    <row r="1419">
      <c r="A1419" s="37" t="n">
        <v>10</v>
      </c>
      <c r="B1419" s="11" t="inlineStr">
        <is>
          <t>Module 5 · Holidays</t>
        </is>
      </c>
      <c r="C1419" s="11" t="inlineStr">
        <is>
          <t>5c</t>
        </is>
      </c>
      <c r="D1419" s="11" t="inlineStr">
        <is>
          <t>Past Simple</t>
        </is>
      </c>
      <c r="E1419" s="35" t="inlineStr">
        <is>
          <t>Past Simple: значение — завершённые действия без связи с настоящим</t>
        </is>
      </c>
      <c r="F1419" s="11" t="inlineStr">
        <is>
          <t>Ст-014</t>
        </is>
      </c>
      <c r="G1419" s="37" t="inlineStr">
        <is>
          <t>повторение</t>
        </is>
      </c>
      <c r="H1419" s="11" t="inlineStr"/>
      <c r="I1419" s="37" t="inlineStr">
        <is>
          <t>10+</t>
        </is>
      </c>
      <c r="J1419" s="11">
        <f>IFERROR(INDEX('Уроки'!$H:$H,MATCH(F1419,'Уроки'!$A:$A,0)),"")</f>
        <v/>
      </c>
      <c r="K1419" s="11">
        <f>IFERROR(INDEX('Уроки'!$J:$J,MATCH(F1419,'Уроки'!$A:$A,0)),"")</f>
        <v/>
      </c>
      <c r="L1419" s="11" t="inlineStr">
        <is>
          <t>Spotlight / 10 класс / Module 5 · Holidays / Past Simple / Past Simple: значение — завершённые действия без связи с настоящим</t>
        </is>
      </c>
    </row>
    <row r="1420">
      <c r="A1420" s="37" t="n">
        <v>10</v>
      </c>
      <c r="B1420" s="11" t="inlineStr">
        <is>
          <t>Module 5 · Holidays</t>
        </is>
      </c>
      <c r="C1420" s="11" t="inlineStr">
        <is>
          <t>5c</t>
        </is>
      </c>
      <c r="D1420" s="11" t="inlineStr">
        <is>
          <t>Past Continuous</t>
        </is>
      </c>
      <c r="E1420" s="33" t="inlineStr">
        <is>
          <t>Past Continuous: утверждение (was/were + V-ing)</t>
        </is>
      </c>
      <c r="F1420" s="11" t="inlineStr">
        <is>
          <t>Ст-086</t>
        </is>
      </c>
      <c r="G1420" s="37" t="inlineStr">
        <is>
          <t>повторение</t>
        </is>
      </c>
      <c r="H1420" s="11" t="inlineStr"/>
      <c r="I1420" s="37" t="inlineStr">
        <is>
          <t>10+</t>
        </is>
      </c>
      <c r="J1420" s="11">
        <f>IFERROR(INDEX('Уроки'!$H:$H,MATCH(F1420,'Уроки'!$A:$A,0)),"")</f>
        <v/>
      </c>
      <c r="K1420" s="11">
        <f>IFERROR(INDEX('Уроки'!$J:$J,MATCH(F1420,'Уроки'!$A:$A,0)),"")</f>
        <v/>
      </c>
      <c r="L1420" s="11" t="inlineStr">
        <is>
          <t>Spotlight / 10 класс / Module 5 · Holidays / Past Continuous / Past Continuous: утверждение (was/were + V-ing)</t>
        </is>
      </c>
    </row>
    <row r="1421">
      <c r="A1421" s="37" t="n">
        <v>10</v>
      </c>
      <c r="B1421" s="11" t="inlineStr">
        <is>
          <t>Module 5 · Holidays</t>
        </is>
      </c>
      <c r="C1421" s="11" t="inlineStr">
        <is>
          <t>5c</t>
        </is>
      </c>
      <c r="D1421" s="11" t="inlineStr">
        <is>
          <t>Past Continuous</t>
        </is>
      </c>
      <c r="E1421" s="33" t="inlineStr">
        <is>
          <t>Past Continuous: значение — действие в процессе в момент прошлого</t>
        </is>
      </c>
      <c r="F1421" s="11" t="inlineStr">
        <is>
          <t>Ст-087</t>
        </is>
      </c>
      <c r="G1421" s="37" t="inlineStr">
        <is>
          <t>повторение</t>
        </is>
      </c>
      <c r="H1421" s="11" t="inlineStr"/>
      <c r="I1421" s="37" t="inlineStr">
        <is>
          <t>10+</t>
        </is>
      </c>
      <c r="J1421" s="11">
        <f>IFERROR(INDEX('Уроки'!$H:$H,MATCH(F1421,'Уроки'!$A:$A,0)),"")</f>
        <v/>
      </c>
      <c r="K1421" s="11">
        <f>IFERROR(INDEX('Уроки'!$J:$J,MATCH(F1421,'Уроки'!$A:$A,0)),"")</f>
        <v/>
      </c>
      <c r="L1421" s="11" t="inlineStr">
        <is>
          <t>Spotlight / 10 класс / Module 5 · Holidays / Past Continuous / Past Continuous: значение — действие в процессе в момент прошлого</t>
        </is>
      </c>
    </row>
    <row r="1422">
      <c r="A1422" s="37" t="n">
        <v>10</v>
      </c>
      <c r="B1422" s="11" t="inlineStr">
        <is>
          <t>Module 5 · Holidays</t>
        </is>
      </c>
      <c r="C1422" s="11" t="inlineStr">
        <is>
          <t>5c</t>
        </is>
      </c>
      <c r="D1422" s="11" t="inlineStr">
        <is>
          <t>Past Continuous</t>
        </is>
      </c>
      <c r="E1422" s="33" t="inlineStr">
        <is>
          <t>Past Continuous: значение — длительное действие, прерванное другим (when)</t>
        </is>
      </c>
      <c r="F1422" s="11" t="inlineStr">
        <is>
          <t>Ст-088</t>
        </is>
      </c>
      <c r="G1422" s="37" t="inlineStr">
        <is>
          <t>повторение</t>
        </is>
      </c>
      <c r="H1422" s="11" t="inlineStr"/>
      <c r="I1422" s="37" t="inlineStr">
        <is>
          <t>10+</t>
        </is>
      </c>
      <c r="J1422" s="11">
        <f>IFERROR(INDEX('Уроки'!$H:$H,MATCH(F1422,'Уроки'!$A:$A,0)),"")</f>
        <v/>
      </c>
      <c r="K1422" s="11">
        <f>IFERROR(INDEX('Уроки'!$J:$J,MATCH(F1422,'Уроки'!$A:$A,0)),"")</f>
        <v/>
      </c>
      <c r="L1422" s="11" t="inlineStr">
        <is>
          <t>Spotlight / 10 класс / Module 5 · Holidays / Past Continuous / Past Continuous: значение — длительное действие, прерванное другим (when)</t>
        </is>
      </c>
    </row>
    <row r="1423">
      <c r="A1423" s="37" t="n">
        <v>10</v>
      </c>
      <c r="B1423" s="11" t="inlineStr">
        <is>
          <t>Module 5 · Holidays</t>
        </is>
      </c>
      <c r="C1423" s="11" t="inlineStr">
        <is>
          <t>5c</t>
        </is>
      </c>
      <c r="D1423" s="11" t="inlineStr">
        <is>
          <t>Past Continuous</t>
        </is>
      </c>
      <c r="E1423" s="33" t="inlineStr">
        <is>
          <t>Past Continuous: значение — одновременные действия (while)</t>
        </is>
      </c>
      <c r="F1423" s="11" t="inlineStr">
        <is>
          <t>Ст-089</t>
        </is>
      </c>
      <c r="G1423" s="37" t="inlineStr">
        <is>
          <t>повторение</t>
        </is>
      </c>
      <c r="H1423" s="11" t="inlineStr"/>
      <c r="I1423" s="37" t="inlineStr">
        <is>
          <t>10+</t>
        </is>
      </c>
      <c r="J1423" s="11">
        <f>IFERROR(INDEX('Уроки'!$H:$H,MATCH(F1423,'Уроки'!$A:$A,0)),"")</f>
        <v/>
      </c>
      <c r="K1423" s="11">
        <f>IFERROR(INDEX('Уроки'!$J:$J,MATCH(F1423,'Уроки'!$A:$A,0)),"")</f>
        <v/>
      </c>
      <c r="L1423" s="11" t="inlineStr">
        <is>
          <t>Spotlight / 10 класс / Module 5 · Holidays / Past Continuous / Past Continuous: значение — одновременные действия (while)</t>
        </is>
      </c>
    </row>
    <row r="1424">
      <c r="A1424" s="37" t="n">
        <v>10</v>
      </c>
      <c r="B1424" s="11" t="inlineStr">
        <is>
          <t>Module 5 · Holidays</t>
        </is>
      </c>
      <c r="C1424" s="11" t="inlineStr">
        <is>
          <t>5c</t>
        </is>
      </c>
      <c r="D1424" s="11" t="inlineStr">
        <is>
          <t>Past Continuous</t>
        </is>
      </c>
      <c r="E1424" s="33" t="inlineStr">
        <is>
          <t>Past Continuous: значение — фон и атмосфера в рассказе</t>
        </is>
      </c>
      <c r="F1424" s="11" t="inlineStr">
        <is>
          <t>Ст-090</t>
        </is>
      </c>
      <c r="G1424" s="37" t="inlineStr">
        <is>
          <t>повторение</t>
        </is>
      </c>
      <c r="H1424" s="11" t="inlineStr"/>
      <c r="I1424" s="37" t="inlineStr">
        <is>
          <t>10+</t>
        </is>
      </c>
      <c r="J1424" s="11">
        <f>IFERROR(INDEX('Уроки'!$H:$H,MATCH(F1424,'Уроки'!$A:$A,0)),"")</f>
        <v/>
      </c>
      <c r="K1424" s="11">
        <f>IFERROR(INDEX('Уроки'!$J:$J,MATCH(F1424,'Уроки'!$A:$A,0)),"")</f>
        <v/>
      </c>
      <c r="L1424" s="11" t="inlineStr">
        <is>
          <t>Spotlight / 10 класс / Module 5 · Holidays / Past Continuous / Past Continuous: значение — фон и атмосфера в рассказе</t>
        </is>
      </c>
    </row>
    <row r="1425">
      <c r="A1425" s="37" t="n">
        <v>10</v>
      </c>
      <c r="B1425" s="11" t="inlineStr">
        <is>
          <t>Module 5 · Holidays</t>
        </is>
      </c>
      <c r="C1425" s="11" t="inlineStr">
        <is>
          <t>5c</t>
        </is>
      </c>
      <c r="D1425" s="11" t="inlineStr">
        <is>
          <t>Past Simple vs Past Continuous</t>
        </is>
      </c>
      <c r="E1425" s="35" t="inlineStr">
        <is>
          <t>Past Simple vs Past Continuous: указанное время — завершённое vs в процессе</t>
        </is>
      </c>
      <c r="F1425" s="11" t="inlineStr">
        <is>
          <t>Ст-092</t>
        </is>
      </c>
      <c r="G1425" s="37" t="inlineStr">
        <is>
          <t>повторение</t>
        </is>
      </c>
      <c r="H1425" s="11" t="inlineStr"/>
      <c r="I1425" s="37" t="inlineStr">
        <is>
          <t>10+</t>
        </is>
      </c>
      <c r="J1425" s="11">
        <f>IFERROR(INDEX('Уроки'!$H:$H,MATCH(F1425,'Уроки'!$A:$A,0)),"")</f>
        <v/>
      </c>
      <c r="K1425" s="11">
        <f>IFERROR(INDEX('Уроки'!$J:$J,MATCH(F1425,'Уроки'!$A:$A,0)),"")</f>
        <v/>
      </c>
      <c r="L1425" s="11" t="inlineStr">
        <is>
          <t>Spotlight / 10 класс / Module 5 · Holidays / Past Simple vs Past Continuous / Past Simple vs Past Continuous: указанное время — завершённое vs в процессе</t>
        </is>
      </c>
    </row>
    <row r="1426">
      <c r="A1426" s="37" t="n">
        <v>10</v>
      </c>
      <c r="B1426" s="11" t="inlineStr">
        <is>
          <t>Module 5 · Holidays</t>
        </is>
      </c>
      <c r="C1426" s="11" t="inlineStr">
        <is>
          <t>5c</t>
        </is>
      </c>
      <c r="D1426" s="11" t="inlineStr">
        <is>
          <t>Past Simple vs Past Continuous</t>
        </is>
      </c>
      <c r="E1426" s="35" t="inlineStr">
        <is>
          <t>Past Simple vs Past Continuous: последовательные vs одновременные действия</t>
        </is>
      </c>
      <c r="F1426" s="11" t="inlineStr">
        <is>
          <t>Ст-093</t>
        </is>
      </c>
      <c r="G1426" s="37" t="inlineStr">
        <is>
          <t>повторение</t>
        </is>
      </c>
      <c r="H1426" s="11" t="inlineStr"/>
      <c r="I1426" s="37" t="inlineStr">
        <is>
          <t>10+</t>
        </is>
      </c>
      <c r="J1426" s="11">
        <f>IFERROR(INDEX('Уроки'!$H:$H,MATCH(F1426,'Уроки'!$A:$A,0)),"")</f>
        <v/>
      </c>
      <c r="K1426" s="11">
        <f>IFERROR(INDEX('Уроки'!$J:$J,MATCH(F1426,'Уроки'!$A:$A,0)),"")</f>
        <v/>
      </c>
      <c r="L1426" s="11" t="inlineStr">
        <is>
          <t>Spotlight / 10 класс / Module 5 · Holidays / Past Simple vs Past Continuous / Past Simple vs Past Continuous: последовательные vs одновременные действия</t>
        </is>
      </c>
    </row>
    <row r="1427">
      <c r="A1427" s="37" t="n">
        <v>10</v>
      </c>
      <c r="B1427" s="11" t="inlineStr">
        <is>
          <t>Module 5 · Holidays</t>
        </is>
      </c>
      <c r="C1427" s="11" t="inlineStr">
        <is>
          <t>5c</t>
        </is>
      </c>
      <c r="D1427" s="11" t="inlineStr">
        <is>
          <t>Past Simple vs Past Continuous</t>
        </is>
      </c>
      <c r="E1427" s="34" t="inlineStr">
        <is>
          <t>Past Simple vs Past Continuous: прерванное (PC) и прерывающее (PS) действие</t>
        </is>
      </c>
      <c r="F1427" s="11" t="inlineStr">
        <is>
          <t>Ст-094</t>
        </is>
      </c>
      <c r="G1427" s="37" t="inlineStr">
        <is>
          <t>повторение</t>
        </is>
      </c>
      <c r="H1427" s="11" t="inlineStr"/>
      <c r="I1427" s="37" t="inlineStr">
        <is>
          <t>10+</t>
        </is>
      </c>
      <c r="J1427" s="11">
        <f>IFERROR(INDEX('Уроки'!$H:$H,MATCH(F1427,'Уроки'!$A:$A,0)),"")</f>
        <v/>
      </c>
      <c r="K1427" s="11">
        <f>IFERROR(INDEX('Уроки'!$J:$J,MATCH(F1427,'Уроки'!$A:$A,0)),"")</f>
        <v/>
      </c>
      <c r="L1427" s="11" t="inlineStr">
        <is>
          <t>Spotlight / 10 класс / Module 5 · Holidays / Past Simple vs Past Continuous / Past Simple vs Past Continuous: прерванное (PC) и прерывающее (PS) действие</t>
        </is>
      </c>
    </row>
    <row r="1428">
      <c r="A1428" s="37" t="n">
        <v>10</v>
      </c>
      <c r="B1428" s="11" t="inlineStr">
        <is>
          <t>Module 5 · Holidays</t>
        </is>
      </c>
      <c r="C1428" s="11" t="inlineStr">
        <is>
          <t>5c</t>
        </is>
      </c>
      <c r="D1428" s="11" t="inlineStr">
        <is>
          <t>Past Perfect</t>
        </is>
      </c>
      <c r="E1428" s="33" t="inlineStr">
        <is>
          <t>Past Perfect: образование (had + V3)</t>
        </is>
      </c>
      <c r="F1428" s="11" t="inlineStr">
        <is>
          <t>Ст-107</t>
        </is>
      </c>
      <c r="G1428" s="37" t="inlineStr">
        <is>
          <t>повторение</t>
        </is>
      </c>
      <c r="H1428" s="11" t="inlineStr"/>
      <c r="I1428" s="37" t="inlineStr">
        <is>
          <t>10+</t>
        </is>
      </c>
      <c r="J1428" s="11">
        <f>IFERROR(INDEX('Уроки'!$H:$H,MATCH(F1428,'Уроки'!$A:$A,0)),"")</f>
        <v/>
      </c>
      <c r="K1428" s="11">
        <f>IFERROR(INDEX('Уроки'!$J:$J,MATCH(F1428,'Уроки'!$A:$A,0)),"")</f>
        <v/>
      </c>
      <c r="L1428" s="11" t="inlineStr">
        <is>
          <t>Spotlight / 10 класс / Module 5 · Holidays / Past Perfect / Past Perfect: образование (had + V3)</t>
        </is>
      </c>
    </row>
    <row r="1429">
      <c r="A1429" s="37" t="n">
        <v>10</v>
      </c>
      <c r="B1429" s="11" t="inlineStr">
        <is>
          <t>Module 5 · Holidays</t>
        </is>
      </c>
      <c r="C1429" s="11" t="inlineStr">
        <is>
          <t>5c</t>
        </is>
      </c>
      <c r="D1429" s="11" t="inlineStr">
        <is>
          <t>Past Perfect</t>
        </is>
      </c>
      <c r="E1429" s="33" t="inlineStr">
        <is>
          <t>Past Perfect: значение — действие до другого действия/момента в прошлом</t>
        </is>
      </c>
      <c r="F1429" s="11" t="inlineStr">
        <is>
          <t>Ст-108</t>
        </is>
      </c>
      <c r="G1429" s="41" t="inlineStr">
        <is>
          <t>расширение</t>
        </is>
      </c>
      <c r="H1429" s="11" t="inlineStr">
        <is>
          <t>добавлено «до момента в прошлом»</t>
        </is>
      </c>
      <c r="I1429" s="37" t="inlineStr">
        <is>
          <t>10+</t>
        </is>
      </c>
      <c r="J1429" s="11">
        <f>IFERROR(INDEX('Уроки'!$H:$H,MATCH(F1429,'Уроки'!$A:$A,0)),"")</f>
        <v/>
      </c>
      <c r="K1429" s="11">
        <f>IFERROR(INDEX('Уроки'!$J:$J,MATCH(F1429,'Уроки'!$A:$A,0)),"")</f>
        <v/>
      </c>
      <c r="L1429" s="11" t="inlineStr">
        <is>
          <t>Spotlight / 10 класс / Module 5 · Holidays / Past Perfect / Past Perfect: значение — действие до другого действия/момента в прошлом</t>
        </is>
      </c>
    </row>
    <row r="1430">
      <c r="A1430" s="37" t="n">
        <v>10</v>
      </c>
      <c r="B1430" s="11" t="inlineStr">
        <is>
          <t>Module 5 · Holidays</t>
        </is>
      </c>
      <c r="C1430" s="11" t="inlineStr">
        <is>
          <t>5c</t>
        </is>
      </c>
      <c r="D1430" s="11" t="inlineStr">
        <is>
          <t>Past Perfect</t>
        </is>
      </c>
      <c r="E1430" s="35" t="inlineStr">
        <is>
          <t>Past Perfect: значение — завершённое действие с результатом в прошлом</t>
        </is>
      </c>
      <c r="F1430" s="11" t="inlineStr">
        <is>
          <t>Ст-109</t>
        </is>
      </c>
      <c r="G1430" s="37" t="inlineStr">
        <is>
          <t>повторение</t>
        </is>
      </c>
      <c r="H1430" s="11" t="inlineStr">
        <is>
          <t>прошедший эквивалент Present Perfect</t>
        </is>
      </c>
      <c r="I1430" s="37" t="inlineStr">
        <is>
          <t>10+</t>
        </is>
      </c>
      <c r="J1430" s="11">
        <f>IFERROR(INDEX('Уроки'!$H:$H,MATCH(F1430,'Уроки'!$A:$A,0)),"")</f>
        <v/>
      </c>
      <c r="K1430" s="11">
        <f>IFERROR(INDEX('Уроки'!$J:$J,MATCH(F1430,'Уроки'!$A:$A,0)),"")</f>
        <v/>
      </c>
      <c r="L1430" s="11" t="inlineStr">
        <is>
          <t>Spotlight / 10 класс / Module 5 · Holidays / Past Perfect / Past Perfect: значение — завершённое действие с результатом в прошлом</t>
        </is>
      </c>
    </row>
    <row r="1431">
      <c r="A1431" s="37" t="n">
        <v>10</v>
      </c>
      <c r="B1431" s="11" t="inlineStr">
        <is>
          <t>Module 5 · Holidays</t>
        </is>
      </c>
      <c r="C1431" s="11" t="inlineStr">
        <is>
          <t>5c</t>
        </is>
      </c>
      <c r="D1431" s="11" t="inlineStr">
        <is>
          <t>Past Perfect</t>
        </is>
      </c>
      <c r="E1431" s="35" t="inlineStr">
        <is>
          <t>Past Perfect vs Past Simple: с before/after без разницы</t>
        </is>
      </c>
      <c r="F1431" s="11" t="inlineStr">
        <is>
          <t>Ст-110</t>
        </is>
      </c>
      <c r="G1431" s="40" t="inlineStr">
        <is>
          <t>новое</t>
        </is>
      </c>
      <c r="H1431" s="11" t="inlineStr">
        <is>
          <t>с before/after возможен Past Simple без разницы</t>
        </is>
      </c>
      <c r="I1431" s="37" t="inlineStr">
        <is>
          <t>10+</t>
        </is>
      </c>
      <c r="J1431" s="11">
        <f>IFERROR(INDEX('Уроки'!$H:$H,MATCH(F1431,'Уроки'!$A:$A,0)),"")</f>
        <v/>
      </c>
      <c r="K1431" s="11">
        <f>IFERROR(INDEX('Уроки'!$J:$J,MATCH(F1431,'Уроки'!$A:$A,0)),"")</f>
        <v/>
      </c>
      <c r="L1431" s="11" t="inlineStr">
        <is>
          <t>Spotlight / 10 класс / Module 5 · Holidays / Past Perfect / Past Perfect vs Past Simple: с before/after без разницы</t>
        </is>
      </c>
    </row>
    <row r="1432">
      <c r="A1432" s="37" t="n">
        <v>10</v>
      </c>
      <c r="B1432" s="11" t="inlineStr">
        <is>
          <t>Module 5 · Holidays</t>
        </is>
      </c>
      <c r="C1432" s="11" t="inlineStr">
        <is>
          <t>5c</t>
        </is>
      </c>
      <c r="D1432" s="11" t="inlineStr">
        <is>
          <t>Past Perfect Continuous</t>
        </is>
      </c>
      <c r="E1432" s="33" t="inlineStr">
        <is>
          <t>Past Perfect Continuous: образование (had been + V-ing)</t>
        </is>
      </c>
      <c r="F1432" s="11" t="inlineStr">
        <is>
          <t>Ст-111</t>
        </is>
      </c>
      <c r="G1432" s="37" t="inlineStr">
        <is>
          <t>повторение</t>
        </is>
      </c>
      <c r="H1432" s="11" t="inlineStr"/>
      <c r="I1432" s="37" t="inlineStr">
        <is>
          <t>10+</t>
        </is>
      </c>
      <c r="J1432" s="11">
        <f>IFERROR(INDEX('Уроки'!$H:$H,MATCH(F1432,'Уроки'!$A:$A,0)),"")</f>
        <v/>
      </c>
      <c r="K1432" s="11">
        <f>IFERROR(INDEX('Уроки'!$J:$J,MATCH(F1432,'Уроки'!$A:$A,0)),"")</f>
        <v/>
      </c>
      <c r="L1432" s="11" t="inlineStr">
        <is>
          <t>Spotlight / 10 класс / Module 5 · Holidays / Past Perfect Continuous / Past Perfect Continuous: образование (had been + V-ing)</t>
        </is>
      </c>
    </row>
    <row r="1433">
      <c r="A1433" s="37" t="n">
        <v>10</v>
      </c>
      <c r="B1433" s="11" t="inlineStr">
        <is>
          <t>Module 5 · Holidays</t>
        </is>
      </c>
      <c r="C1433" s="11" t="inlineStr">
        <is>
          <t>5c</t>
        </is>
      </c>
      <c r="D1433" s="11" t="inlineStr">
        <is>
          <t>Past Perfect Continuous</t>
        </is>
      </c>
      <c r="E1433" s="33" t="inlineStr">
        <is>
          <t>Past Perfect Continuous: значение — длительность до другого прошлого действия</t>
        </is>
      </c>
      <c r="F1433" s="11" t="inlineStr">
        <is>
          <t>Ст-112</t>
        </is>
      </c>
      <c r="G1433" s="37" t="inlineStr">
        <is>
          <t>повторение</t>
        </is>
      </c>
      <c r="H1433" s="11" t="inlineStr">
        <is>
          <t>since/for, до другого действия или момента</t>
        </is>
      </c>
      <c r="I1433" s="37" t="inlineStr">
        <is>
          <t>10+</t>
        </is>
      </c>
      <c r="J1433" s="11">
        <f>IFERROR(INDEX('Уроки'!$H:$H,MATCH(F1433,'Уроки'!$A:$A,0)),"")</f>
        <v/>
      </c>
      <c r="K1433" s="11">
        <f>IFERROR(INDEX('Уроки'!$J:$J,MATCH(F1433,'Уроки'!$A:$A,0)),"")</f>
        <v/>
      </c>
      <c r="L1433" s="11" t="inlineStr">
        <is>
          <t>Spotlight / 10 класс / Module 5 · Holidays / Past Perfect Continuous / Past Perfect Continuous: значение — длительность до другого прошлого действия</t>
        </is>
      </c>
    </row>
    <row r="1434">
      <c r="A1434" s="37" t="n">
        <v>10</v>
      </c>
      <c r="B1434" s="11" t="inlineStr">
        <is>
          <t>Module 5 · Holidays</t>
        </is>
      </c>
      <c r="C1434" s="11" t="inlineStr">
        <is>
          <t>5c</t>
        </is>
      </c>
      <c r="D1434" s="11" t="inlineStr">
        <is>
          <t>Past Perfect Continuous</t>
        </is>
      </c>
      <c r="E1434" s="35" t="inlineStr">
        <is>
          <t>Past Perfect Continuous: значение — длительное действие с видимым результатом в прошлом</t>
        </is>
      </c>
      <c r="F1434" s="11" t="inlineStr">
        <is>
          <t>Ст-113</t>
        </is>
      </c>
      <c r="G1434" s="37" t="inlineStr">
        <is>
          <t>повторение</t>
        </is>
      </c>
      <c r="H1434" s="11" t="inlineStr"/>
      <c r="I1434" s="37" t="inlineStr">
        <is>
          <t>10+</t>
        </is>
      </c>
      <c r="J1434" s="11">
        <f>IFERROR(INDEX('Уроки'!$H:$H,MATCH(F1434,'Уроки'!$A:$A,0)),"")</f>
        <v/>
      </c>
      <c r="K1434" s="11">
        <f>IFERROR(INDEX('Уроки'!$J:$J,MATCH(F1434,'Уроки'!$A:$A,0)),"")</f>
        <v/>
      </c>
      <c r="L1434" s="11" t="inlineStr">
        <is>
          <t>Spotlight / 10 класс / Module 5 · Holidays / Past Perfect Continuous / Past Perfect Continuous: значение — длительное действие с видимым результатом в прошлом</t>
        </is>
      </c>
    </row>
    <row r="1435">
      <c r="A1435" s="37" t="n">
        <v>10</v>
      </c>
      <c r="B1435" s="11" t="inlineStr">
        <is>
          <t>Module 5 · Holidays</t>
        </is>
      </c>
      <c r="C1435" s="11" t="inlineStr">
        <is>
          <t>5c</t>
        </is>
      </c>
      <c r="D1435" s="11" t="inlineStr">
        <is>
          <t>much/many/a lot of</t>
        </is>
      </c>
      <c r="E1435" s="33" t="inlineStr">
        <is>
          <t>much/many/a lot of: a lot of / lots of — в утверждениях (исчисляемые и неисчисляемые)</t>
        </is>
      </c>
      <c r="F1435" s="11" t="inlineStr">
        <is>
          <t>Ст-359</t>
        </is>
      </c>
      <c r="G1435" s="37" t="inlineStr">
        <is>
          <t>повторение</t>
        </is>
      </c>
      <c r="H1435" s="11" t="inlineStr"/>
      <c r="I1435" s="37" t="inlineStr">
        <is>
          <t>10+</t>
        </is>
      </c>
      <c r="J1435" s="11">
        <f>IFERROR(INDEX('Уроки'!$H:$H,MATCH(F1435,'Уроки'!$A:$A,0)),"")</f>
        <v/>
      </c>
      <c r="K1435" s="11">
        <f>IFERROR(INDEX('Уроки'!$J:$J,MATCH(F1435,'Уроки'!$A:$A,0)),"")</f>
        <v/>
      </c>
      <c r="L1435" s="11" t="inlineStr">
        <is>
          <t>Spotlight / 10 класс / Module 5 · Holidays / much/many/a lot of / much/many/a lot of: a lot of / lots of — в утверждениях (исчисляемые и неисчисляемые)</t>
        </is>
      </c>
    </row>
    <row r="1436">
      <c r="A1436" s="37" t="n">
        <v>10</v>
      </c>
      <c r="B1436" s="11" t="inlineStr">
        <is>
          <t>Module 5 · Holidays</t>
        </is>
      </c>
      <c r="C1436" s="11" t="inlineStr">
        <is>
          <t>5c</t>
        </is>
      </c>
      <c r="D1436" s="11" t="inlineStr">
        <is>
          <t>much/many/a lot of</t>
        </is>
      </c>
      <c r="E1436" s="33" t="inlineStr">
        <is>
          <t>much/many/a lot of: much/many — отрицание</t>
        </is>
      </c>
      <c r="F1436" s="11" t="inlineStr">
        <is>
          <t>Ст-360</t>
        </is>
      </c>
      <c r="G1436" s="37" t="inlineStr">
        <is>
          <t>повторение</t>
        </is>
      </c>
      <c r="H1436" s="11" t="inlineStr"/>
      <c r="I1436" s="37" t="inlineStr">
        <is>
          <t>10+</t>
        </is>
      </c>
      <c r="J1436" s="11">
        <f>IFERROR(INDEX('Уроки'!$H:$H,MATCH(F1436,'Уроки'!$A:$A,0)),"")</f>
        <v/>
      </c>
      <c r="K1436" s="11">
        <f>IFERROR(INDEX('Уроки'!$J:$J,MATCH(F1436,'Уроки'!$A:$A,0)),"")</f>
        <v/>
      </c>
      <c r="L1436" s="11" t="inlineStr">
        <is>
          <t>Spotlight / 10 класс / Module 5 · Holidays / much/many/a lot of / much/many/a lot of: much/many — отрицание</t>
        </is>
      </c>
    </row>
    <row r="1437">
      <c r="A1437" s="37" t="n">
        <v>10</v>
      </c>
      <c r="B1437" s="11" t="inlineStr">
        <is>
          <t>Module 5 · Holidays</t>
        </is>
      </c>
      <c r="C1437" s="11" t="inlineStr">
        <is>
          <t>5c</t>
        </is>
      </c>
      <c r="D1437" s="11" t="inlineStr">
        <is>
          <t>much/many/a lot of</t>
        </is>
      </c>
      <c r="E1437" s="33" t="inlineStr">
        <is>
          <t>much/many/a lot of: much/many — вопросы</t>
        </is>
      </c>
      <c r="F1437" s="11" t="inlineStr">
        <is>
          <t>Ст-361</t>
        </is>
      </c>
      <c r="G1437" s="37" t="inlineStr">
        <is>
          <t>повторение</t>
        </is>
      </c>
      <c r="H1437" s="11" t="inlineStr"/>
      <c r="I1437" s="37" t="inlineStr">
        <is>
          <t>10+</t>
        </is>
      </c>
      <c r="J1437" s="11">
        <f>IFERROR(INDEX('Уроки'!$H:$H,MATCH(F1437,'Уроки'!$A:$A,0)),"")</f>
        <v/>
      </c>
      <c r="K1437" s="11">
        <f>IFERROR(INDEX('Уроки'!$J:$J,MATCH(F1437,'Уроки'!$A:$A,0)),"")</f>
        <v/>
      </c>
      <c r="L1437" s="11" t="inlineStr">
        <is>
          <t>Spotlight / 10 класс / Module 5 · Holidays / much/many/a lot of / much/many/a lot of: much/many — вопросы</t>
        </is>
      </c>
    </row>
    <row r="1438">
      <c r="A1438" s="37" t="n">
        <v>10</v>
      </c>
      <c r="B1438" s="11" t="inlineStr">
        <is>
          <t>Module 5 · Holidays</t>
        </is>
      </c>
      <c r="C1438" s="11" t="inlineStr">
        <is>
          <t>5c</t>
        </is>
      </c>
      <c r="D1438" s="11" t="inlineStr">
        <is>
          <t>much/many/a lot of</t>
        </is>
      </c>
      <c r="E1438" s="35" t="inlineStr">
        <is>
          <t>much/many/a lot of: краткие ответы и a lot / lots без существительного</t>
        </is>
      </c>
      <c r="F1438" s="11" t="inlineStr">
        <is>
          <t>Ст-363</t>
        </is>
      </c>
      <c r="G1438" s="37" t="inlineStr">
        <is>
          <t>повторение</t>
        </is>
      </c>
      <c r="H1438" s="11" t="inlineStr">
        <is>
          <t>There's lots going on</t>
        </is>
      </c>
      <c r="I1438" s="37" t="inlineStr">
        <is>
          <t>10+</t>
        </is>
      </c>
      <c r="J1438" s="11">
        <f>IFERROR(INDEX('Уроки'!$H:$H,MATCH(F1438,'Уроки'!$A:$A,0)),"")</f>
        <v/>
      </c>
      <c r="K1438" s="11">
        <f>IFERROR(INDEX('Уроки'!$J:$J,MATCH(F1438,'Уроки'!$A:$A,0)),"")</f>
        <v/>
      </c>
      <c r="L1438" s="11" t="inlineStr">
        <is>
          <t>Spotlight / 10 класс / Module 5 · Holidays / much/many/a lot of / much/many/a lot of: краткие ответы и a lot / lots без существительного</t>
        </is>
      </c>
    </row>
    <row r="1439">
      <c r="A1439" s="37" t="n">
        <v>10</v>
      </c>
      <c r="B1439" s="11" t="inlineStr">
        <is>
          <t>Module 5 · Holidays</t>
        </is>
      </c>
      <c r="C1439" s="11" t="inlineStr">
        <is>
          <t>5c</t>
        </is>
      </c>
      <c r="D1439" s="11" t="inlineStr">
        <is>
          <t>Articles (a/an/the/zero)</t>
        </is>
      </c>
      <c r="E1439" s="33" t="inlineStr">
        <is>
          <t>Articles: a/an — первое упоминание, значение «один»</t>
        </is>
      </c>
      <c r="F1439" s="11" t="inlineStr">
        <is>
          <t>Ст-364</t>
        </is>
      </c>
      <c r="G1439" s="37" t="inlineStr">
        <is>
          <t>повторение</t>
        </is>
      </c>
      <c r="H1439" s="11" t="inlineStr"/>
      <c r="I1439" s="37" t="inlineStr">
        <is>
          <t>10+</t>
        </is>
      </c>
      <c r="J1439" s="11">
        <f>IFERROR(INDEX('Уроки'!$H:$H,MATCH(F1439,'Уроки'!$A:$A,0)),"")</f>
        <v/>
      </c>
      <c r="K1439" s="11">
        <f>IFERROR(INDEX('Уроки'!$J:$J,MATCH(F1439,'Уроки'!$A:$A,0)),"")</f>
        <v/>
      </c>
      <c r="L1439" s="11" t="inlineStr">
        <is>
          <t>Spotlight / 10 класс / Module 5 · Holidays / Articles (a/an/the/zero) / Articles: a/an — первое упоминание, значение «один»</t>
        </is>
      </c>
    </row>
    <row r="1440">
      <c r="A1440" s="37" t="n">
        <v>10</v>
      </c>
      <c r="B1440" s="11" t="inlineStr">
        <is>
          <t>Module 5 · Holidays</t>
        </is>
      </c>
      <c r="C1440" s="11" t="inlineStr">
        <is>
          <t>5c</t>
        </is>
      </c>
      <c r="D1440" s="11" t="inlineStr">
        <is>
          <t>Articles (a/an/the/zero)</t>
        </is>
      </c>
      <c r="E1440" s="33" t="inlineStr">
        <is>
          <t>Articles: the — известный, упомянутый ранее предмет</t>
        </is>
      </c>
      <c r="F1440" s="11" t="inlineStr">
        <is>
          <t>Ст-365</t>
        </is>
      </c>
      <c r="G1440" s="37" t="inlineStr">
        <is>
          <t>повторение</t>
        </is>
      </c>
      <c r="H1440" s="11" t="inlineStr"/>
      <c r="I1440" s="37" t="inlineStr">
        <is>
          <t>10+</t>
        </is>
      </c>
      <c r="J1440" s="11">
        <f>IFERROR(INDEX('Уроки'!$H:$H,MATCH(F1440,'Уроки'!$A:$A,0)),"")</f>
        <v/>
      </c>
      <c r="K1440" s="11">
        <f>IFERROR(INDEX('Уроки'!$J:$J,MATCH(F1440,'Уроки'!$A:$A,0)),"")</f>
        <v/>
      </c>
      <c r="L1440" s="11" t="inlineStr">
        <is>
          <t>Spotlight / 10 класс / Module 5 · Holidays / Articles (a/an/the/zero) / Articles: the — известный, упомянутый ранее предмет</t>
        </is>
      </c>
    </row>
    <row r="1441">
      <c r="A1441" s="37" t="n">
        <v>10</v>
      </c>
      <c r="B1441" s="11" t="inlineStr">
        <is>
          <t>Module 5 · Holidays</t>
        </is>
      </c>
      <c r="C1441" s="11" t="inlineStr">
        <is>
          <t>5c</t>
        </is>
      </c>
      <c r="D1441" s="11" t="inlineStr">
        <is>
          <t>Articles (a/an/the/zero)</t>
        </is>
      </c>
      <c r="E1441" s="33" t="inlineStr">
        <is>
          <t>Articles: нулевой артикль — мн. ч. и неисчисляемые в общем значении</t>
        </is>
      </c>
      <c r="F1441" s="11" t="inlineStr">
        <is>
          <t>Ст-366</t>
        </is>
      </c>
      <c r="G1441" s="37" t="inlineStr">
        <is>
          <t>повторение</t>
        </is>
      </c>
      <c r="H1441" s="11" t="inlineStr">
        <is>
          <t>не the + мн. ч.</t>
        </is>
      </c>
      <c r="I1441" s="37" t="inlineStr">
        <is>
          <t>10+</t>
        </is>
      </c>
      <c r="J1441" s="11">
        <f>IFERROR(INDEX('Уроки'!$H:$H,MATCH(F1441,'Уроки'!$A:$A,0)),"")</f>
        <v/>
      </c>
      <c r="K1441" s="11">
        <f>IFERROR(INDEX('Уроки'!$J:$J,MATCH(F1441,'Уроки'!$A:$A,0)),"")</f>
        <v/>
      </c>
      <c r="L1441" s="11" t="inlineStr">
        <is>
          <t>Spotlight / 10 класс / Module 5 · Holidays / Articles (a/an/the/zero) / Articles: нулевой артикль — мн. ч. и неисчисляемые в общем значении</t>
        </is>
      </c>
    </row>
    <row r="1442">
      <c r="A1442" s="37" t="n">
        <v>10</v>
      </c>
      <c r="B1442" s="11" t="inlineStr">
        <is>
          <t>Module 5 · Holidays</t>
        </is>
      </c>
      <c r="C1442" s="11" t="inlineStr">
        <is>
          <t>5c</t>
        </is>
      </c>
      <c r="D1442" s="11" t="inlineStr">
        <is>
          <t>Articles (a/an/the/zero)</t>
        </is>
      </c>
      <c r="E1442" s="35" t="inlineStr">
        <is>
          <t>Articles: a/an = per; деньги, дроби, меры, частота, скорость</t>
        </is>
      </c>
      <c r="F1442" s="11" t="inlineStr">
        <is>
          <t>Ст-368</t>
        </is>
      </c>
      <c r="G1442" s="37" t="inlineStr">
        <is>
          <t>повторение</t>
        </is>
      </c>
      <c r="H1442" s="11" t="inlineStr">
        <is>
          <t>+ a million, £4 a litre</t>
        </is>
      </c>
      <c r="I1442" s="37" t="inlineStr">
        <is>
          <t>10+</t>
        </is>
      </c>
      <c r="J1442" s="11">
        <f>IFERROR(INDEX('Уроки'!$H:$H,MATCH(F1442,'Уроки'!$A:$A,0)),"")</f>
        <v/>
      </c>
      <c r="K1442" s="11">
        <f>IFERROR(INDEX('Уроки'!$J:$J,MATCH(F1442,'Уроки'!$A:$A,0)),"")</f>
        <v/>
      </c>
      <c r="L1442" s="11" t="inlineStr">
        <is>
          <t>Spotlight / 10 класс / Module 5 · Holidays / Articles (a/an/the/zero) / Articles: a/an = per; деньги, дроби, меры, частота, скорость</t>
        </is>
      </c>
    </row>
    <row r="1443">
      <c r="A1443" s="37" t="n">
        <v>10</v>
      </c>
      <c r="B1443" s="11" t="inlineStr">
        <is>
          <t>Module 5 · Holidays</t>
        </is>
      </c>
      <c r="C1443" s="11" t="inlineStr">
        <is>
          <t>5c</t>
        </is>
      </c>
      <c r="D1443" s="11" t="inlineStr">
        <is>
          <t>Articles (a/an/the/zero)</t>
        </is>
      </c>
      <c r="E1443" s="35" t="inlineStr">
        <is>
          <t>Articles: a/an с болезнями (a cold, но flu)</t>
        </is>
      </c>
      <c r="F1443" s="11" t="inlineStr">
        <is>
          <t>Ст-369</t>
        </is>
      </c>
      <c r="G1443" s="37" t="inlineStr">
        <is>
          <t>повторение</t>
        </is>
      </c>
      <c r="H1443" s="11" t="inlineStr"/>
      <c r="I1443" s="37" t="inlineStr">
        <is>
          <t>10+</t>
        </is>
      </c>
      <c r="J1443" s="11">
        <f>IFERROR(INDEX('Уроки'!$H:$H,MATCH(F1443,'Уроки'!$A:$A,0)),"")</f>
        <v/>
      </c>
      <c r="K1443" s="11">
        <f>IFERROR(INDEX('Уроки'!$J:$J,MATCH(F1443,'Уроки'!$A:$A,0)),"")</f>
        <v/>
      </c>
      <c r="L1443" s="11" t="inlineStr">
        <is>
          <t>Spotlight / 10 класс / Module 5 · Holidays / Articles (a/an/the/zero) / Articles: a/an с болезнями (a cold, но flu)</t>
        </is>
      </c>
    </row>
    <row r="1444">
      <c r="A1444" s="37" t="n">
        <v>10</v>
      </c>
      <c r="B1444" s="11" t="inlineStr">
        <is>
          <t>Module 5 · Holidays</t>
        </is>
      </c>
      <c r="C1444" s="11" t="inlineStr">
        <is>
          <t>5c</t>
        </is>
      </c>
      <c r="D1444" s="11" t="inlineStr">
        <is>
          <t>Articles (a/an/the/zero)</t>
        </is>
      </c>
      <c r="E1444" s="35" t="inlineStr">
        <is>
          <t>Articles: a/the + ед. ч. — обобщение группы</t>
        </is>
      </c>
      <c r="F1444" s="11" t="inlineStr">
        <is>
          <t>Ст-370</t>
        </is>
      </c>
      <c r="G1444" s="40" t="inlineStr">
        <is>
          <t>новое</t>
        </is>
      </c>
      <c r="H1444" s="11" t="inlineStr"/>
      <c r="I1444" s="37" t="inlineStr">
        <is>
          <t>10+</t>
        </is>
      </c>
      <c r="J1444" s="11">
        <f>IFERROR(INDEX('Уроки'!$H:$H,MATCH(F1444,'Уроки'!$A:$A,0)),"")</f>
        <v/>
      </c>
      <c r="K1444" s="11">
        <f>IFERROR(INDEX('Уроки'!$J:$J,MATCH(F1444,'Уроки'!$A:$A,0)),"")</f>
        <v/>
      </c>
      <c r="L1444" s="11" t="inlineStr">
        <is>
          <t>Spotlight / 10 класс / Module 5 · Holidays / Articles (a/an/the/zero) / Articles: a/the + ед. ч. — обобщение группы</t>
        </is>
      </c>
    </row>
    <row r="1445">
      <c r="A1445" s="37" t="n">
        <v>10</v>
      </c>
      <c r="B1445" s="11" t="inlineStr">
        <is>
          <t>Module 5 · Holidays</t>
        </is>
      </c>
      <c r="C1445" s="11" t="inlineStr">
        <is>
          <t>5c</t>
        </is>
      </c>
      <c r="D1445" s="11" t="inlineStr">
        <is>
          <t>Articles (a/an/the/zero)</t>
        </is>
      </c>
      <c r="E1445" s="33" t="inlineStr">
        <is>
          <t>Articles: the — уникальные объекты, музыкальные инструменты, исторические события</t>
        </is>
      </c>
      <c r="F1445" s="11" t="inlineStr">
        <is>
          <t>Ст-371</t>
        </is>
      </c>
      <c r="G1445" s="37" t="inlineStr">
        <is>
          <t>повторение</t>
        </is>
      </c>
      <c r="H1445" s="11" t="inlineStr">
        <is>
          <t>the moon, play the flute</t>
        </is>
      </c>
      <c r="I1445" s="37" t="inlineStr">
        <is>
          <t>10+</t>
        </is>
      </c>
      <c r="J1445" s="11">
        <f>IFERROR(INDEX('Уроки'!$H:$H,MATCH(F1445,'Уроки'!$A:$A,0)),"")</f>
        <v/>
      </c>
      <c r="K1445" s="11">
        <f>IFERROR(INDEX('Уроки'!$J:$J,MATCH(F1445,'Уроки'!$A:$A,0)),"")</f>
        <v/>
      </c>
      <c r="L1445" s="11" t="inlineStr">
        <is>
          <t>Spotlight / 10 класс / Module 5 · Holidays / Articles (a/an/the/zero) / Articles: the — уникальные объекты, музыкальные инструменты, исторические события</t>
        </is>
      </c>
    </row>
    <row r="1446">
      <c r="A1446" s="37" t="n">
        <v>10</v>
      </c>
      <c r="B1446" s="11" t="inlineStr">
        <is>
          <t>Module 5 · Holidays</t>
        </is>
      </c>
      <c r="C1446" s="11" t="inlineStr">
        <is>
          <t>5c</t>
        </is>
      </c>
      <c r="D1446" s="11" t="inlineStr">
        <is>
          <t>Articles (a/an/the/zero)</t>
        </is>
      </c>
      <c r="E1446" s="33" t="inlineStr">
        <is>
          <t>Articles: the и нулевой — географические названия</t>
        </is>
      </c>
      <c r="F1446" s="11" t="inlineStr">
        <is>
          <t>Ст-372</t>
        </is>
      </c>
      <c r="G1446" s="37" t="inlineStr">
        <is>
          <t>повторение</t>
        </is>
      </c>
      <c r="H1446" s="11" t="inlineStr"/>
      <c r="I1446" s="37" t="inlineStr">
        <is>
          <t>10+</t>
        </is>
      </c>
      <c r="J1446" s="11">
        <f>IFERROR(INDEX('Уроки'!$H:$H,MATCH(F1446,'Уроки'!$A:$A,0)),"")</f>
        <v/>
      </c>
      <c r="K1446" s="11">
        <f>IFERROR(INDEX('Уроки'!$J:$J,MATCH(F1446,'Уроки'!$A:$A,0)),"")</f>
        <v/>
      </c>
      <c r="L1446" s="11" t="inlineStr">
        <is>
          <t>Spotlight / 10 класс / Module 5 · Holidays / Articles (a/an/the/zero) / Articles: the и нулевой — географические названия</t>
        </is>
      </c>
    </row>
    <row r="1447">
      <c r="A1447" s="37" t="n">
        <v>10</v>
      </c>
      <c r="B1447" s="11" t="inlineStr">
        <is>
          <t>Module 5 · Holidays</t>
        </is>
      </c>
      <c r="C1447" s="11" t="inlineStr">
        <is>
          <t>5c</t>
        </is>
      </c>
      <c r="D1447" s="11" t="inlineStr">
        <is>
          <t>Articles (a/an/the/zero)</t>
        </is>
      </c>
      <c r="E1447" s="35" t="inlineStr">
        <is>
          <t>Articles: the и нулевой — театры, отели, музеи, газеты; названия с именем (Victoria Station, Harrods)</t>
        </is>
      </c>
      <c r="F1447" s="11" t="inlineStr">
        <is>
          <t>Ст-373</t>
        </is>
      </c>
      <c r="G1447" s="37" t="inlineStr">
        <is>
          <t>повторение</t>
        </is>
      </c>
      <c r="H1447" s="11" t="inlineStr">
        <is>
          <t>Glasgow Airport, Harrods, но the White House</t>
        </is>
      </c>
      <c r="I1447" s="37" t="inlineStr">
        <is>
          <t>10+</t>
        </is>
      </c>
      <c r="J1447" s="11">
        <f>IFERROR(INDEX('Уроки'!$H:$H,MATCH(F1447,'Уроки'!$A:$A,0)),"")</f>
        <v/>
      </c>
      <c r="K1447" s="11">
        <f>IFERROR(INDEX('Уроки'!$J:$J,MATCH(F1447,'Уроки'!$A:$A,0)),"")</f>
        <v/>
      </c>
      <c r="L1447" s="11" t="inlineStr">
        <is>
          <t>Spotlight / 10 класс / Module 5 · Holidays / Articles (a/an/the/zero) / Articles: the и нулевой — театры, отели, музеи, газеты; названия с именем (Victoria Station, Harrods)</t>
        </is>
      </c>
    </row>
    <row r="1448">
      <c r="A1448" s="37" t="n">
        <v>10</v>
      </c>
      <c r="B1448" s="11" t="inlineStr">
        <is>
          <t>Module 5 · Holidays</t>
        </is>
      </c>
      <c r="C1448" s="11" t="inlineStr">
        <is>
          <t>5c</t>
        </is>
      </c>
      <c r="D1448" s="11" t="inlineStr">
        <is>
          <t>Articles (a/an/the/zero)</t>
        </is>
      </c>
      <c r="E1448" s="35" t="inlineStr">
        <is>
          <t>Articles: the — люди: фамилии, титулы, the + прилагательное (the rich)</t>
        </is>
      </c>
      <c r="F1448" s="11" t="inlineStr">
        <is>
          <t>Ст-374</t>
        </is>
      </c>
      <c r="G1448" s="37" t="inlineStr">
        <is>
          <t>повторение</t>
        </is>
      </c>
      <c r="H1448" s="11" t="inlineStr">
        <is>
          <t>the Smiths, the elderly</t>
        </is>
      </c>
      <c r="I1448" s="37" t="inlineStr">
        <is>
          <t>10+</t>
        </is>
      </c>
      <c r="J1448" s="11">
        <f>IFERROR(INDEX('Уроки'!$H:$H,MATCH(F1448,'Уроки'!$A:$A,0)),"")</f>
        <v/>
      </c>
      <c r="K1448" s="11">
        <f>IFERROR(INDEX('Уроки'!$J:$J,MATCH(F1448,'Уроки'!$A:$A,0)),"")</f>
        <v/>
      </c>
      <c r="L1448" s="11" t="inlineStr">
        <is>
          <t>Spotlight / 10 класс / Module 5 · Holidays / Articles (a/an/the/zero) / Articles: the — люди: фамилии, титулы, the + прилагательное (the rich)</t>
        </is>
      </c>
    </row>
    <row r="1449">
      <c r="A1449" s="37" t="n">
        <v>10</v>
      </c>
      <c r="B1449" s="11" t="inlineStr">
        <is>
          <t>Module 5 · Holidays</t>
        </is>
      </c>
      <c r="C1449" s="11" t="inlineStr">
        <is>
          <t>5c</t>
        </is>
      </c>
      <c r="D1449" s="11" t="inlineStr">
        <is>
          <t>Articles (a/an/the/zero)</t>
        </is>
      </c>
      <c r="E1449" s="33" t="inlineStr">
        <is>
          <t>Articles: нулевой артикль — имена, спорт, дни, месяцы, праздники, цвета, напитки, еда, языки</t>
        </is>
      </c>
      <c r="F1449" s="11" t="inlineStr">
        <is>
          <t>Ст-375</t>
        </is>
      </c>
      <c r="G1449" s="37" t="inlineStr">
        <is>
          <t>повторение</t>
        </is>
      </c>
      <c r="H1449" s="11" t="inlineStr"/>
      <c r="I1449" s="37" t="inlineStr">
        <is>
          <t>10+</t>
        </is>
      </c>
      <c r="J1449" s="11">
        <f>IFERROR(INDEX('Уроки'!$H:$H,MATCH(F1449,'Уроки'!$A:$A,0)),"")</f>
        <v/>
      </c>
      <c r="K1449" s="11">
        <f>IFERROR(INDEX('Уроки'!$J:$J,MATCH(F1449,'Уроки'!$A:$A,0)),"")</f>
        <v/>
      </c>
      <c r="L1449" s="11" t="inlineStr">
        <is>
          <t>Spotlight / 10 класс / Module 5 · Holidays / Articles (a/an/the/zero) / Articles: нулевой артикль — имена, спорт, дни, месяцы, праздники, цвета, напитки, еда, языки</t>
        </is>
      </c>
    </row>
    <row r="1450">
      <c r="A1450" s="37" t="n">
        <v>10</v>
      </c>
      <c r="B1450" s="11" t="inlineStr">
        <is>
          <t>Module 5 · Holidays</t>
        </is>
      </c>
      <c r="C1450" s="11" t="inlineStr">
        <is>
          <t>5c</t>
        </is>
      </c>
      <c r="D1450" s="11" t="inlineStr">
        <is>
          <t>Articles (a/an/the/zero)</t>
        </is>
      </c>
      <c r="E1450" s="34" t="inlineStr">
        <is>
          <t>Articles: нулевой артикль — school, hospital, church, bed по назначению</t>
        </is>
      </c>
      <c r="F1450" s="11" t="inlineStr">
        <is>
          <t>Ст-376</t>
        </is>
      </c>
      <c r="G1450" s="37" t="inlineStr">
        <is>
          <t>повторение</t>
        </is>
      </c>
      <c r="H1450" s="11" t="inlineStr"/>
      <c r="I1450" s="37" t="inlineStr">
        <is>
          <t>10+</t>
        </is>
      </c>
      <c r="J1450" s="11">
        <f>IFERROR(INDEX('Уроки'!$H:$H,MATCH(F1450,'Уроки'!$A:$A,0)),"")</f>
        <v/>
      </c>
      <c r="K1450" s="11">
        <f>IFERROR(INDEX('Уроки'!$J:$J,MATCH(F1450,'Уроки'!$A:$A,0)),"")</f>
        <v/>
      </c>
      <c r="L1450" s="11" t="inlineStr">
        <is>
          <t>Spotlight / 10 класс / Module 5 · Holidays / Articles (a/an/the/zero) / Articles: нулевой артикль — school, hospital, church, bed по назначению</t>
        </is>
      </c>
    </row>
    <row r="1451">
      <c r="A1451" s="37" t="n">
        <v>10</v>
      </c>
      <c r="B1451" s="11" t="inlineStr">
        <is>
          <t>Module 5 · Holidays</t>
        </is>
      </c>
      <c r="C1451" s="11" t="inlineStr">
        <is>
          <t>5c</t>
        </is>
      </c>
      <c r="D1451" s="11" t="inlineStr">
        <is>
          <t>a few/a little</t>
        </is>
      </c>
      <c r="E1451" s="33" t="inlineStr">
        <is>
          <t>a few/a little: a few — с исчисляемыми мн. ч. («несколько»)</t>
        </is>
      </c>
      <c r="F1451" s="11" t="inlineStr">
        <is>
          <t>Ст-377</t>
        </is>
      </c>
      <c r="G1451" s="37" t="inlineStr">
        <is>
          <t>повторение</t>
        </is>
      </c>
      <c r="H1451" s="11" t="inlineStr"/>
      <c r="I1451" s="37" t="inlineStr">
        <is>
          <t>10+</t>
        </is>
      </c>
      <c r="J1451" s="11">
        <f>IFERROR(INDEX('Уроки'!$H:$H,MATCH(F1451,'Уроки'!$A:$A,0)),"")</f>
        <v/>
      </c>
      <c r="K1451" s="11">
        <f>IFERROR(INDEX('Уроки'!$J:$J,MATCH(F1451,'Уроки'!$A:$A,0)),"")</f>
        <v/>
      </c>
      <c r="L1451" s="11" t="inlineStr">
        <is>
          <t>Spotlight / 10 класс / Module 5 · Holidays / a few/a little / a few/a little: a few — с исчисляемыми мн. ч. («несколько»)</t>
        </is>
      </c>
    </row>
    <row r="1452">
      <c r="A1452" s="37" t="n">
        <v>10</v>
      </c>
      <c r="B1452" s="11" t="inlineStr">
        <is>
          <t>Module 5 · Holidays</t>
        </is>
      </c>
      <c r="C1452" s="11" t="inlineStr">
        <is>
          <t>5c</t>
        </is>
      </c>
      <c r="D1452" s="11" t="inlineStr">
        <is>
          <t>a few/a little</t>
        </is>
      </c>
      <c r="E1452" s="33" t="inlineStr">
        <is>
          <t>a few/a little: a little — с неисчисляемыми («немного»)</t>
        </is>
      </c>
      <c r="F1452" s="11" t="inlineStr">
        <is>
          <t>Ст-378</t>
        </is>
      </c>
      <c r="G1452" s="37" t="inlineStr">
        <is>
          <t>повторение</t>
        </is>
      </c>
      <c r="H1452" s="11" t="inlineStr"/>
      <c r="I1452" s="37" t="inlineStr">
        <is>
          <t>10+</t>
        </is>
      </c>
      <c r="J1452" s="11">
        <f>IFERROR(INDEX('Уроки'!$H:$H,MATCH(F1452,'Уроки'!$A:$A,0)),"")</f>
        <v/>
      </c>
      <c r="K1452" s="11">
        <f>IFERROR(INDEX('Уроки'!$J:$J,MATCH(F1452,'Уроки'!$A:$A,0)),"")</f>
        <v/>
      </c>
      <c r="L1452" s="11" t="inlineStr">
        <is>
          <t>Spotlight / 10 класс / Module 5 · Holidays / a few/a little / a few/a little: a little — с неисчисляемыми («немного»)</t>
        </is>
      </c>
    </row>
    <row r="1453">
      <c r="A1453" s="37" t="n">
        <v>10</v>
      </c>
      <c r="B1453" s="11" t="inlineStr">
        <is>
          <t>Module 5 · Holidays</t>
        </is>
      </c>
      <c r="C1453" s="11" t="inlineStr">
        <is>
          <t>5c</t>
        </is>
      </c>
      <c r="D1453" s="11" t="inlineStr">
        <is>
          <t>a few/a little</t>
        </is>
      </c>
      <c r="E1453" s="33" t="inlineStr">
        <is>
          <t>a few/a little: few / little — «мало»</t>
        </is>
      </c>
      <c r="F1453" s="11" t="inlineStr">
        <is>
          <t>Ст-379</t>
        </is>
      </c>
      <c r="G1453" s="37" t="inlineStr">
        <is>
          <t>повторение</t>
        </is>
      </c>
      <c r="H1453" s="11" t="inlineStr"/>
      <c r="I1453" s="37" t="inlineStr">
        <is>
          <t>10+</t>
        </is>
      </c>
      <c r="J1453" s="11">
        <f>IFERROR(INDEX('Уроки'!$H:$H,MATCH(F1453,'Уроки'!$A:$A,0)),"")</f>
        <v/>
      </c>
      <c r="K1453" s="11">
        <f>IFERROR(INDEX('Уроки'!$J:$J,MATCH(F1453,'Уроки'!$A:$A,0)),"")</f>
        <v/>
      </c>
      <c r="L1453" s="11" t="inlineStr">
        <is>
          <t>Spotlight / 10 класс / Module 5 · Holidays / a few/a little / a few/a little: few / little — «мало»</t>
        </is>
      </c>
    </row>
    <row r="1454">
      <c r="A1454" s="37" t="n">
        <v>10</v>
      </c>
      <c r="B1454" s="11" t="inlineStr">
        <is>
          <t>Module 5 · Holidays</t>
        </is>
      </c>
      <c r="C1454" s="11" t="inlineStr">
        <is>
          <t>5c</t>
        </is>
      </c>
      <c r="D1454" s="11" t="inlineStr">
        <is>
          <t>a few/a little</t>
        </is>
      </c>
      <c r="E1454" s="33" t="inlineStr">
        <is>
          <t>a few/a little: a few vs few, a little vs little — «немного, но достаточно» vs «почти нет»</t>
        </is>
      </c>
      <c r="F1454" s="11" t="inlineStr">
        <is>
          <t>Ст-380</t>
        </is>
      </c>
      <c r="G1454" s="37" t="inlineStr">
        <is>
          <t>повторение</t>
        </is>
      </c>
      <c r="H1454" s="11" t="inlineStr"/>
      <c r="I1454" s="37" t="inlineStr">
        <is>
          <t>10+</t>
        </is>
      </c>
      <c r="J1454" s="11">
        <f>IFERROR(INDEX('Уроки'!$H:$H,MATCH(F1454,'Уроки'!$A:$A,0)),"")</f>
        <v/>
      </c>
      <c r="K1454" s="11">
        <f>IFERROR(INDEX('Уроки'!$J:$J,MATCH(F1454,'Уроки'!$A:$A,0)),"")</f>
        <v/>
      </c>
      <c r="L1454" s="11" t="inlineStr">
        <is>
          <t>Spotlight / 10 класс / Module 5 · Holidays / a few/a little / a few/a little: a few vs few, a little vs little — «немного, но достаточно» vs «почти нет»</t>
        </is>
      </c>
    </row>
    <row r="1455">
      <c r="A1455" s="37" t="n">
        <v>10</v>
      </c>
      <c r="B1455" s="11" t="inlineStr">
        <is>
          <t>Module 5 · Holidays</t>
        </is>
      </c>
      <c r="C1455" s="11" t="inlineStr">
        <is>
          <t>5c</t>
        </is>
      </c>
      <c r="D1455" s="11" t="inlineStr">
        <is>
          <t>a few/a little</t>
        </is>
      </c>
      <c r="E1455" s="35" t="inlineStr">
        <is>
          <t>a few/a little: very few / very little</t>
        </is>
      </c>
      <c r="F1455" s="11" t="inlineStr">
        <is>
          <t>Ст-381</t>
        </is>
      </c>
      <c r="G1455" s="37" t="inlineStr">
        <is>
          <t>повторение</t>
        </is>
      </c>
      <c r="H1455" s="11" t="inlineStr"/>
      <c r="I1455" s="37" t="inlineStr">
        <is>
          <t>10+</t>
        </is>
      </c>
      <c r="J1455" s="11">
        <f>IFERROR(INDEX('Уроки'!$H:$H,MATCH(F1455,'Уроки'!$A:$A,0)),"")</f>
        <v/>
      </c>
      <c r="K1455" s="11">
        <f>IFERROR(INDEX('Уроки'!$J:$J,MATCH(F1455,'Уроки'!$A:$A,0)),"")</f>
        <v/>
      </c>
      <c r="L1455" s="11" t="inlineStr">
        <is>
          <t>Spotlight / 10 класс / Module 5 · Holidays / a few/a little / a few/a little: very few / very little</t>
        </is>
      </c>
    </row>
    <row r="1456">
      <c r="A1456" s="37" t="n">
        <v>10</v>
      </c>
      <c r="B1456" s="11" t="inlineStr">
        <is>
          <t>Module 5 · Holidays</t>
        </is>
      </c>
      <c r="C1456" s="11" t="inlineStr">
        <is>
          <t>5c</t>
        </is>
      </c>
      <c r="D1456" s="11" t="inlineStr">
        <is>
          <t>Determiners (every/each)</t>
        </is>
      </c>
      <c r="E1456" s="33" t="inlineStr">
        <is>
          <t>Determiners (every/each): every + ед. ч. — вся группа (= all)</t>
        </is>
      </c>
      <c r="F1456" s="11" t="inlineStr">
        <is>
          <t>Ст-415</t>
        </is>
      </c>
      <c r="G1456" s="37" t="inlineStr">
        <is>
          <t>повторение</t>
        </is>
      </c>
      <c r="H1456" s="11" t="inlineStr"/>
      <c r="I1456" s="37" t="inlineStr">
        <is>
          <t>10+</t>
        </is>
      </c>
      <c r="J1456" s="11">
        <f>IFERROR(INDEX('Уроки'!$H:$H,MATCH(F1456,'Уроки'!$A:$A,0)),"")</f>
        <v/>
      </c>
      <c r="K1456" s="11">
        <f>IFERROR(INDEX('Уроки'!$J:$J,MATCH(F1456,'Уроки'!$A:$A,0)),"")</f>
        <v/>
      </c>
      <c r="L1456" s="11" t="inlineStr">
        <is>
          <t>Spotlight / 10 класс / Module 5 · Holidays / Determiners (every/each) / Determiners (every/each): every + ед. ч. — вся группа (= all)</t>
        </is>
      </c>
    </row>
    <row r="1457">
      <c r="A1457" s="37" t="n">
        <v>10</v>
      </c>
      <c r="B1457" s="11" t="inlineStr">
        <is>
          <t>Module 5 · Holidays</t>
        </is>
      </c>
      <c r="C1457" s="11" t="inlineStr">
        <is>
          <t>5c</t>
        </is>
      </c>
      <c r="D1457" s="11" t="inlineStr">
        <is>
          <t>Determiners (every/each)</t>
        </is>
      </c>
      <c r="E1457" s="33" t="inlineStr">
        <is>
          <t>Determiners (every/each): each + ед. ч. — каждый в отдельности</t>
        </is>
      </c>
      <c r="F1457" s="11" t="inlineStr">
        <is>
          <t>Ст-416</t>
        </is>
      </c>
      <c r="G1457" s="37" t="inlineStr">
        <is>
          <t>повторение</t>
        </is>
      </c>
      <c r="H1457" s="11" t="inlineStr"/>
      <c r="I1457" s="37" t="inlineStr">
        <is>
          <t>10+</t>
        </is>
      </c>
      <c r="J1457" s="11">
        <f>IFERROR(INDEX('Уроки'!$H:$H,MATCH(F1457,'Уроки'!$A:$A,0)),"")</f>
        <v/>
      </c>
      <c r="K1457" s="11">
        <f>IFERROR(INDEX('Уроки'!$J:$J,MATCH(F1457,'Уроки'!$A:$A,0)),"")</f>
        <v/>
      </c>
      <c r="L1457" s="11" t="inlineStr">
        <is>
          <t>Spotlight / 10 класс / Module 5 · Holidays / Determiners (every/each) / Determiners (every/each): each + ед. ч. — каждый в отдельности</t>
        </is>
      </c>
    </row>
    <row r="1458">
      <c r="A1458" s="37" t="n">
        <v>10</v>
      </c>
      <c r="B1458" s="11" t="inlineStr">
        <is>
          <t>Module 5 · Holidays</t>
        </is>
      </c>
      <c r="C1458" s="11" t="inlineStr">
        <is>
          <t>5c</t>
        </is>
      </c>
      <c r="D1458" s="11" t="inlineStr">
        <is>
          <t>Determiners (every/each)</t>
        </is>
      </c>
      <c r="E1458" s="35" t="inlineStr">
        <is>
          <t>Determiners (every/each): every vs each — о двух vs о трёх и более</t>
        </is>
      </c>
      <c r="F1458" s="11" t="inlineStr">
        <is>
          <t>Ст-417</t>
        </is>
      </c>
      <c r="G1458" s="37" t="inlineStr">
        <is>
          <t>повторение</t>
        </is>
      </c>
      <c r="H1458" s="11" t="inlineStr"/>
      <c r="I1458" s="37" t="inlineStr">
        <is>
          <t>10+</t>
        </is>
      </c>
      <c r="J1458" s="11">
        <f>IFERROR(INDEX('Уроки'!$H:$H,MATCH(F1458,'Уроки'!$A:$A,0)),"")</f>
        <v/>
      </c>
      <c r="K1458" s="11">
        <f>IFERROR(INDEX('Уроки'!$J:$J,MATCH(F1458,'Уроки'!$A:$A,0)),"")</f>
        <v/>
      </c>
      <c r="L1458" s="11" t="inlineStr">
        <is>
          <t>Spotlight / 10 класс / Module 5 · Holidays / Determiners (every/each) / Determiners (every/each): every vs each — о двух vs о трёх и более</t>
        </is>
      </c>
    </row>
    <row r="1459">
      <c r="A1459" s="37" t="n">
        <v>10</v>
      </c>
      <c r="B1459" s="11" t="inlineStr">
        <is>
          <t>Module 5 · Holidays</t>
        </is>
      </c>
      <c r="C1459" s="11" t="inlineStr">
        <is>
          <t>5c</t>
        </is>
      </c>
      <c r="D1459" s="11" t="inlineStr">
        <is>
          <t>Determiners (every/each)</t>
        </is>
      </c>
      <c r="E1459" s="35" t="inlineStr">
        <is>
          <t>Determiners (every/each): each (one) of / every one of</t>
        </is>
      </c>
      <c r="F1459" s="11" t="inlineStr">
        <is>
          <t>Ст-418</t>
        </is>
      </c>
      <c r="G1459" s="37" t="inlineStr">
        <is>
          <t>повторение</t>
        </is>
      </c>
      <c r="H1459" s="11" t="inlineStr"/>
      <c r="I1459" s="37" t="inlineStr">
        <is>
          <t>10+</t>
        </is>
      </c>
      <c r="J1459" s="11">
        <f>IFERROR(INDEX('Уроки'!$H:$H,MATCH(F1459,'Уроки'!$A:$A,0)),"")</f>
        <v/>
      </c>
      <c r="K1459" s="11">
        <f>IFERROR(INDEX('Уроки'!$J:$J,MATCH(F1459,'Уроки'!$A:$A,0)),"")</f>
        <v/>
      </c>
      <c r="L1459" s="11" t="inlineStr">
        <is>
          <t>Spotlight / 10 класс / Module 5 · Holidays / Determiners (every/each) / Determiners (every/each): each (one) of / every one of</t>
        </is>
      </c>
    </row>
    <row r="1460">
      <c r="A1460" s="37" t="n">
        <v>10</v>
      </c>
      <c r="B1460" s="11" t="inlineStr">
        <is>
          <t>Module 5 · Holidays</t>
        </is>
      </c>
      <c r="C1460" s="11" t="inlineStr">
        <is>
          <t>5c</t>
        </is>
      </c>
      <c r="D1460" s="11" t="inlineStr">
        <is>
          <t>Indefinite pronouns (some-/any-/no-/every-)</t>
        </is>
      </c>
      <c r="E1460" s="35" t="inlineStr">
        <is>
          <t>Indefinite pronouns: some/any/no + неисчисляемые и мн. ч.</t>
        </is>
      </c>
      <c r="F1460" s="11" t="inlineStr">
        <is>
          <t>Ст-419</t>
        </is>
      </c>
      <c r="G1460" s="37" t="inlineStr">
        <is>
          <t>повторение</t>
        </is>
      </c>
      <c r="H1460" s="11" t="inlineStr"/>
      <c r="I1460" s="37" t="inlineStr">
        <is>
          <t>10+</t>
        </is>
      </c>
      <c r="J1460" s="11">
        <f>IFERROR(INDEX('Уроки'!$H:$H,MATCH(F1460,'Уроки'!$A:$A,0)),"")</f>
        <v/>
      </c>
      <c r="K1460" s="11">
        <f>IFERROR(INDEX('Уроки'!$J:$J,MATCH(F1460,'Уроки'!$A:$A,0)),"")</f>
        <v/>
      </c>
      <c r="L1460" s="11" t="inlineStr">
        <is>
          <t>Spotlight / 10 класс / Module 5 · Holidays / Indefinite pronouns (some-/any-/no-/every-) / Indefinite pronouns: some/any/no + неисчисляемые и мн. ч.</t>
        </is>
      </c>
    </row>
    <row r="1461">
      <c r="A1461" s="37" t="n">
        <v>10</v>
      </c>
      <c r="B1461" s="11" t="inlineStr">
        <is>
          <t>Module 5 · Holidays</t>
        </is>
      </c>
      <c r="C1461" s="11" t="inlineStr">
        <is>
          <t>5c</t>
        </is>
      </c>
      <c r="D1461" s="11" t="inlineStr">
        <is>
          <t>Indefinite pronouns (some-/any-/no-/every-)</t>
        </is>
      </c>
      <c r="E1461" s="33" t="inlineStr">
        <is>
          <t>Indefinite pronouns: производные — люди, вещи, места (somebody, anything, nowhere)</t>
        </is>
      </c>
      <c r="F1461" s="11" t="inlineStr">
        <is>
          <t>Ст-420</t>
        </is>
      </c>
      <c r="G1461" s="37" t="inlineStr">
        <is>
          <t>повторение</t>
        </is>
      </c>
      <c r="H1461" s="11" t="inlineStr">
        <is>
          <t>производные упомянуты без таблицы</t>
        </is>
      </c>
      <c r="I1461" s="37" t="inlineStr">
        <is>
          <t>10+</t>
        </is>
      </c>
      <c r="J1461" s="11">
        <f>IFERROR(INDEX('Уроки'!$H:$H,MATCH(F1461,'Уроки'!$A:$A,0)),"")</f>
        <v/>
      </c>
      <c r="K1461" s="11">
        <f>IFERROR(INDEX('Уроки'!$J:$J,MATCH(F1461,'Уроки'!$A:$A,0)),"")</f>
        <v/>
      </c>
      <c r="L1461" s="11" t="inlineStr">
        <is>
          <t>Spotlight / 10 класс / Module 5 · Holidays / Indefinite pronouns (some-/any-/no-/every-) / Indefinite pronouns: производные — люди, вещи, места (somebody, anything, nowhere)</t>
        </is>
      </c>
    </row>
    <row r="1462">
      <c r="A1462" s="37" t="n">
        <v>10</v>
      </c>
      <c r="B1462" s="11" t="inlineStr">
        <is>
          <t>Module 5 · Holidays</t>
        </is>
      </c>
      <c r="C1462" s="11" t="inlineStr">
        <is>
          <t>5c</t>
        </is>
      </c>
      <c r="D1462" s="11" t="inlineStr">
        <is>
          <t>Indefinite pronouns (some-/any-/no-/every-)</t>
        </is>
      </c>
      <c r="E1462" s="33" t="inlineStr">
        <is>
          <t>Indefinite pronouns: some- — в утверждениях</t>
        </is>
      </c>
      <c r="F1462" s="11" t="inlineStr">
        <is>
          <t>Ст-421</t>
        </is>
      </c>
      <c r="G1462" s="37" t="inlineStr">
        <is>
          <t>повторение</t>
        </is>
      </c>
      <c r="H1462" s="11" t="inlineStr"/>
      <c r="I1462" s="37" t="inlineStr">
        <is>
          <t>10+</t>
        </is>
      </c>
      <c r="J1462" s="11">
        <f>IFERROR(INDEX('Уроки'!$H:$H,MATCH(F1462,'Уроки'!$A:$A,0)),"")</f>
        <v/>
      </c>
      <c r="K1462" s="11">
        <f>IFERROR(INDEX('Уроки'!$J:$J,MATCH(F1462,'Уроки'!$A:$A,0)),"")</f>
        <v/>
      </c>
      <c r="L1462" s="11" t="inlineStr">
        <is>
          <t>Spotlight / 10 класс / Module 5 · Holidays / Indefinite pronouns (some-/any-/no-/every-) / Indefinite pronouns: some- — в утверждениях</t>
        </is>
      </c>
    </row>
    <row r="1463">
      <c r="A1463" s="37" t="n">
        <v>10</v>
      </c>
      <c r="B1463" s="11" t="inlineStr">
        <is>
          <t>Module 5 · Holidays</t>
        </is>
      </c>
      <c r="C1463" s="11" t="inlineStr">
        <is>
          <t>5c</t>
        </is>
      </c>
      <c r="D1463" s="11" t="inlineStr">
        <is>
          <t>Indefinite pronouns (some-/any-/no-/every-)</t>
        </is>
      </c>
      <c r="E1463" s="35" t="inlineStr">
        <is>
          <t>Indefinite pronouns: some- в вопросах — предложения и просьбы</t>
        </is>
      </c>
      <c r="F1463" s="11" t="inlineStr">
        <is>
          <t>Ст-422</t>
        </is>
      </c>
      <c r="G1463" s="37" t="inlineStr">
        <is>
          <t>повторение</t>
        </is>
      </c>
      <c r="H1463" s="11" t="inlineStr"/>
      <c r="I1463" s="37" t="inlineStr">
        <is>
          <t>10+</t>
        </is>
      </c>
      <c r="J1463" s="11">
        <f>IFERROR(INDEX('Уроки'!$H:$H,MATCH(F1463,'Уроки'!$A:$A,0)),"")</f>
        <v/>
      </c>
      <c r="K1463" s="11">
        <f>IFERROR(INDEX('Уроки'!$J:$J,MATCH(F1463,'Уроки'!$A:$A,0)),"")</f>
        <v/>
      </c>
      <c r="L1463" s="11" t="inlineStr">
        <is>
          <t>Spotlight / 10 класс / Module 5 · Holidays / Indefinite pronouns (some-/any-/no-/every-) / Indefinite pronouns: some- в вопросах — предложения и просьбы</t>
        </is>
      </c>
    </row>
    <row r="1464">
      <c r="A1464" s="37" t="n">
        <v>10</v>
      </c>
      <c r="B1464" s="11" t="inlineStr">
        <is>
          <t>Module 5 · Holidays</t>
        </is>
      </c>
      <c r="C1464" s="11" t="inlineStr">
        <is>
          <t>5c</t>
        </is>
      </c>
      <c r="D1464" s="11" t="inlineStr">
        <is>
          <t>Indefinite pronouns (some-/any-/no-/every-)</t>
        </is>
      </c>
      <c r="E1464" s="33" t="inlineStr">
        <is>
          <t>Indefinite pronouns: any- — в вопросах</t>
        </is>
      </c>
      <c r="F1464" s="11" t="inlineStr">
        <is>
          <t>Ст-423</t>
        </is>
      </c>
      <c r="G1464" s="37" t="inlineStr">
        <is>
          <t>повторение</t>
        </is>
      </c>
      <c r="H1464" s="11" t="inlineStr"/>
      <c r="I1464" s="37" t="inlineStr">
        <is>
          <t>10+</t>
        </is>
      </c>
      <c r="J1464" s="11">
        <f>IFERROR(INDEX('Уроки'!$H:$H,MATCH(F1464,'Уроки'!$A:$A,0)),"")</f>
        <v/>
      </c>
      <c r="K1464" s="11">
        <f>IFERROR(INDEX('Уроки'!$J:$J,MATCH(F1464,'Уроки'!$A:$A,0)),"")</f>
        <v/>
      </c>
      <c r="L1464" s="11" t="inlineStr">
        <is>
          <t>Spotlight / 10 класс / Module 5 · Holidays / Indefinite pronouns (some-/any-/no-/every-) / Indefinite pronouns: any- — в вопросах</t>
        </is>
      </c>
    </row>
    <row r="1465">
      <c r="A1465" s="37" t="n">
        <v>10</v>
      </c>
      <c r="B1465" s="11" t="inlineStr">
        <is>
          <t>Module 5 · Holidays</t>
        </is>
      </c>
      <c r="C1465" s="11" t="inlineStr">
        <is>
          <t>5c</t>
        </is>
      </c>
      <c r="D1465" s="11" t="inlineStr">
        <is>
          <t>Indefinite pronouns (some-/any-/no-/every-)</t>
        </is>
      </c>
      <c r="E1465" s="33" t="inlineStr">
        <is>
          <t>Indefinite pronouns: not any- в отрицаниях; any после without, never, rarely</t>
        </is>
      </c>
      <c r="F1465" s="11" t="inlineStr">
        <is>
          <t>Ст-424</t>
        </is>
      </c>
      <c r="G1465" s="37" t="inlineStr">
        <is>
          <t>повторение</t>
        </is>
      </c>
      <c r="H1465" s="11" t="inlineStr"/>
      <c r="I1465" s="37" t="inlineStr">
        <is>
          <t>10+</t>
        </is>
      </c>
      <c r="J1465" s="11">
        <f>IFERROR(INDEX('Уроки'!$H:$H,MATCH(F1465,'Уроки'!$A:$A,0)),"")</f>
        <v/>
      </c>
      <c r="K1465" s="11">
        <f>IFERROR(INDEX('Уроки'!$J:$J,MATCH(F1465,'Уроки'!$A:$A,0)),"")</f>
        <v/>
      </c>
      <c r="L1465" s="11" t="inlineStr">
        <is>
          <t>Spotlight / 10 класс / Module 5 · Holidays / Indefinite pronouns (some-/any-/no-/every-) / Indefinite pronouns: not any- в отрицаниях; any после without, never, rarely</t>
        </is>
      </c>
    </row>
    <row r="1466">
      <c r="A1466" s="37" t="n">
        <v>10</v>
      </c>
      <c r="B1466" s="11" t="inlineStr">
        <is>
          <t>Module 5 · Holidays</t>
        </is>
      </c>
      <c r="C1466" s="11" t="inlineStr">
        <is>
          <t>5c</t>
        </is>
      </c>
      <c r="D1466" s="11" t="inlineStr">
        <is>
          <t>Indefinite pronouns (some-/any-/no-/every-)</t>
        </is>
      </c>
      <c r="E1466" s="35" t="inlineStr">
        <is>
          <t>Indefinite pronouns: any в утверждении = «любой, неважно кто/что»</t>
        </is>
      </c>
      <c r="F1466" s="11" t="inlineStr">
        <is>
          <t>Ст-425</t>
        </is>
      </c>
      <c r="G1466" s="37" t="inlineStr">
        <is>
          <t>повторение</t>
        </is>
      </c>
      <c r="H1466" s="11" t="inlineStr">
        <is>
          <t>Anyone can take part</t>
        </is>
      </c>
      <c r="I1466" s="37" t="inlineStr">
        <is>
          <t>10+</t>
        </is>
      </c>
      <c r="J1466" s="11">
        <f>IFERROR(INDEX('Уроки'!$H:$H,MATCH(F1466,'Уроки'!$A:$A,0)),"")</f>
        <v/>
      </c>
      <c r="K1466" s="11">
        <f>IFERROR(INDEX('Уроки'!$J:$J,MATCH(F1466,'Уроки'!$A:$A,0)),"")</f>
        <v/>
      </c>
      <c r="L1466" s="11" t="inlineStr">
        <is>
          <t>Spotlight / 10 класс / Module 5 · Holidays / Indefinite pronouns (some-/any-/no-/every-) / Indefinite pronouns: any в утверждении = «любой, неважно кто/что»</t>
        </is>
      </c>
    </row>
    <row r="1467">
      <c r="A1467" s="37" t="n">
        <v>10</v>
      </c>
      <c r="B1467" s="11" t="inlineStr">
        <is>
          <t>Module 5 · Holidays</t>
        </is>
      </c>
      <c r="C1467" s="11" t="inlineStr">
        <is>
          <t>5c</t>
        </is>
      </c>
      <c r="D1467" s="11" t="inlineStr">
        <is>
          <t>Indefinite pronouns (some-/any-/no-/every-)</t>
        </is>
      </c>
      <c r="E1467" s="33" t="inlineStr">
        <is>
          <t>Indefinite pronouns: no- вместо not any (глагол утвердительный)</t>
        </is>
      </c>
      <c r="F1467" s="11" t="inlineStr">
        <is>
          <t>Ст-426</t>
        </is>
      </c>
      <c r="G1467" s="41" t="inlineStr">
        <is>
          <t>расширение</t>
        </is>
      </c>
      <c r="H1467" s="11" t="inlineStr">
        <is>
          <t>примеры замен: haven't got any → 've got no; wasn't anybody → was nobody</t>
        </is>
      </c>
      <c r="I1467" s="37" t="inlineStr">
        <is>
          <t>10+</t>
        </is>
      </c>
      <c r="J1467" s="11">
        <f>IFERROR(INDEX('Уроки'!$H:$H,MATCH(F1467,'Уроки'!$A:$A,0)),"")</f>
        <v/>
      </c>
      <c r="K1467" s="11">
        <f>IFERROR(INDEX('Уроки'!$J:$J,MATCH(F1467,'Уроки'!$A:$A,0)),"")</f>
        <v/>
      </c>
      <c r="L1467" s="11" t="inlineStr">
        <is>
          <t>Spotlight / 10 класс / Module 5 · Holidays / Indefinite pronouns (some-/any-/no-/every-) / Indefinite pronouns: no- вместо not any (глагол утвердительный)</t>
        </is>
      </c>
    </row>
    <row r="1468">
      <c r="A1468" s="37" t="n">
        <v>10</v>
      </c>
      <c r="B1468" s="11" t="inlineStr">
        <is>
          <t>Module 5 · Holidays</t>
        </is>
      </c>
      <c r="C1468" s="11" t="inlineStr">
        <is>
          <t>5c</t>
        </is>
      </c>
      <c r="D1468" s="11" t="inlineStr">
        <is>
          <t>Indefinite pronouns (some-/any-/no-/every-)</t>
        </is>
      </c>
      <c r="E1468" s="35" t="inlineStr">
        <is>
          <t>Indefinite pronouns: глагол после производных — в ед. ч.</t>
        </is>
      </c>
      <c r="F1468" s="11" t="inlineStr">
        <is>
          <t>Ст-429</t>
        </is>
      </c>
      <c r="G1468" s="37" t="inlineStr">
        <is>
          <t>повторение</t>
        </is>
      </c>
      <c r="H1468" s="11" t="inlineStr"/>
      <c r="I1468" s="37" t="inlineStr">
        <is>
          <t>10+</t>
        </is>
      </c>
      <c r="J1468" s="11">
        <f>IFERROR(INDEX('Уроки'!$H:$H,MATCH(F1468,'Уроки'!$A:$A,0)),"")</f>
        <v/>
      </c>
      <c r="K1468" s="11">
        <f>IFERROR(INDEX('Уроки'!$J:$J,MATCH(F1468,'Уроки'!$A:$A,0)),"")</f>
        <v/>
      </c>
      <c r="L1468" s="11" t="inlineStr">
        <is>
          <t>Spotlight / 10 класс / Module 5 · Holidays / Indefinite pronouns (some-/any-/no-/every-) / Indefinite pronouns: глагол после производных — в ед. ч.</t>
        </is>
      </c>
    </row>
    <row r="1469">
      <c r="A1469" s="37" t="n">
        <v>10</v>
      </c>
      <c r="B1469" s="11" t="inlineStr">
        <is>
          <t>Module 5 · Holidays</t>
        </is>
      </c>
      <c r="C1469" s="11" t="inlineStr">
        <is>
          <t>5e</t>
        </is>
      </c>
      <c r="D1469" s="11" t="inlineStr">
        <is>
          <t>Adjectives -ed/-ing</t>
        </is>
      </c>
      <c r="E1469" s="33" t="inlineStr">
        <is>
          <t>Adjectives -ed/-ing: -ing — каков предмет/явление (amazing)</t>
        </is>
      </c>
      <c r="F1469" s="11" t="inlineStr">
        <is>
          <t>Ст-459</t>
        </is>
      </c>
      <c r="G1469" s="37" t="inlineStr">
        <is>
          <t>повторение</t>
        </is>
      </c>
      <c r="H1469" s="11" t="inlineStr">
        <is>
          <t>It was an exciting story</t>
        </is>
      </c>
      <c r="I1469" s="37" t="inlineStr">
        <is>
          <t>10+</t>
        </is>
      </c>
      <c r="J1469" s="11">
        <f>IFERROR(INDEX('Уроки'!$H:$H,MATCH(F1469,'Уроки'!$A:$A,0)),"")</f>
        <v/>
      </c>
      <c r="K1469" s="11">
        <f>IFERROR(INDEX('Уроки'!$J:$J,MATCH(F1469,'Уроки'!$A:$A,0)),"")</f>
        <v/>
      </c>
      <c r="L1469" s="11" t="inlineStr">
        <is>
          <t>Spotlight / 10 класс / Module 5 · Holidays / Adjectives -ed/-ing / Adjectives -ed/-ing: -ing — каков предмет/явление (amazing)</t>
        </is>
      </c>
    </row>
    <row r="1470">
      <c r="A1470" s="37" t="n">
        <v>10</v>
      </c>
      <c r="B1470" s="11" t="inlineStr">
        <is>
          <t>Module 5 · Holidays</t>
        </is>
      </c>
      <c r="C1470" s="11" t="inlineStr">
        <is>
          <t>5e</t>
        </is>
      </c>
      <c r="D1470" s="11" t="inlineStr">
        <is>
          <t>Adjectives -ed/-ing</t>
        </is>
      </c>
      <c r="E1470" s="33" t="inlineStr">
        <is>
          <t>Adjectives -ed/-ing: -ed — что чувствует человек (amazed)</t>
        </is>
      </c>
      <c r="F1470" s="11" t="inlineStr">
        <is>
          <t>Ст-460</t>
        </is>
      </c>
      <c r="G1470" s="37" t="inlineStr">
        <is>
          <t>повторение</t>
        </is>
      </c>
      <c r="H1470" s="11" t="inlineStr">
        <is>
          <t>We were excited by the news</t>
        </is>
      </c>
      <c r="I1470" s="37" t="inlineStr">
        <is>
          <t>10+</t>
        </is>
      </c>
      <c r="J1470" s="11">
        <f>IFERROR(INDEX('Уроки'!$H:$H,MATCH(F1470,'Уроки'!$A:$A,0)),"")</f>
        <v/>
      </c>
      <c r="K1470" s="11">
        <f>IFERROR(INDEX('Уроки'!$J:$J,MATCH(F1470,'Уроки'!$A:$A,0)),"")</f>
        <v/>
      </c>
      <c r="L1470" s="11" t="inlineStr">
        <is>
          <t>Spotlight / 10 класс / Module 5 · Holidays / Adjectives -ed/-ing / Adjectives -ed/-ing: -ed — что чувствует человек (amazed)</t>
        </is>
      </c>
    </row>
    <row r="1471">
      <c r="A1471" s="37" t="n">
        <v>10</v>
      </c>
      <c r="B1471" s="11" t="inlineStr">
        <is>
          <t>Module 5 · Holidays</t>
        </is>
      </c>
      <c r="C1471" s="11" t="inlineStr">
        <is>
          <t>5c</t>
        </is>
      </c>
      <c r="D1471" s="11" t="inlineStr">
        <is>
          <t>Phrasal verbs</t>
        </is>
      </c>
      <c r="E1471" s="33" t="inlineStr">
        <is>
          <t>Phrasal verbs: get</t>
        </is>
      </c>
      <c r="F1471" s="11" t="inlineStr">
        <is>
          <t>Ст-587</t>
        </is>
      </c>
      <c r="G1471" s="37" t="inlineStr">
        <is>
          <t>повторение</t>
        </is>
      </c>
      <c r="H1471" s="11" t="inlineStr">
        <is>
          <t>Фразовые глаголы с get (ToC: «phrasal verbs (get)»); состав частиц и значения в источнике не даны.</t>
        </is>
      </c>
      <c r="I1471" s="37" t="inlineStr">
        <is>
          <t>10+</t>
        </is>
      </c>
      <c r="J1471" s="11">
        <f>IFERROR(INDEX('Уроки'!$H:$H,MATCH(F1471,'Уроки'!$A:$A,0)),"")</f>
        <v/>
      </c>
      <c r="K1471" s="11">
        <f>IFERROR(INDEX('Уроки'!$J:$J,MATCH(F1471,'Уроки'!$A:$A,0)),"")</f>
        <v/>
      </c>
      <c r="L1471" s="11" t="inlineStr">
        <is>
          <t>Spotlight / 10 класс / Module 5 · Holidays / Phrasal verbs / Phrasal verbs: get</t>
        </is>
      </c>
    </row>
    <row r="1472">
      <c r="A1472" s="37" t="n">
        <v>10</v>
      </c>
      <c r="B1472" s="11" t="inlineStr">
        <is>
          <t>Module 5 · Holidays</t>
        </is>
      </c>
      <c r="C1472" s="11" t="inlineStr">
        <is>
          <t>5c</t>
        </is>
      </c>
      <c r="D1472" s="11" t="inlineStr">
        <is>
          <t>Word formation</t>
        </is>
      </c>
      <c r="E1472" s="33" t="inlineStr">
        <is>
          <t>Word formation: compound nouns</t>
        </is>
      </c>
      <c r="F1472" s="11" t="inlineStr">
        <is>
          <t>Ст-611</t>
        </is>
      </c>
      <c r="G1472" s="37" t="inlineStr">
        <is>
          <t>повторение</t>
        </is>
      </c>
      <c r="H1472" s="11" t="inlineStr">
        <is>
          <t>Сложные существительные (ToC: «compound nouns»).</t>
        </is>
      </c>
      <c r="I1472" s="37" t="inlineStr">
        <is>
          <t>10+</t>
        </is>
      </c>
      <c r="J1472" s="11">
        <f>IFERROR(INDEX('Уроки'!$H:$H,MATCH(F1472,'Уроки'!$A:$A,0)),"")</f>
        <v/>
      </c>
      <c r="K1472" s="11">
        <f>IFERROR(INDEX('Уроки'!$J:$J,MATCH(F1472,'Уроки'!$A:$A,0)),"")</f>
        <v/>
      </c>
      <c r="L1472" s="11" t="inlineStr">
        <is>
          <t>Spotlight / 10 класс / Module 5 · Holidays / Word formation / Word formation: compound nouns</t>
        </is>
      </c>
    </row>
    <row r="1473">
      <c r="A1473" s="37" t="n">
        <v>10</v>
      </c>
      <c r="B1473" s="11" t="inlineStr">
        <is>
          <t>Module 5 · Holidays</t>
        </is>
      </c>
      <c r="C1473" s="11" t="inlineStr">
        <is>
          <t>5c</t>
        </is>
      </c>
      <c r="D1473" s="11" t="inlineStr">
        <is>
          <t>Idioms &amp; collocations</t>
        </is>
      </c>
      <c r="E1473" s="33" t="inlineStr">
        <is>
          <t>Idioms &amp; collocations</t>
        </is>
      </c>
      <c r="F1473" s="11" t="inlineStr">
        <is>
          <t>Ст-634</t>
        </is>
      </c>
      <c r="G1473" s="37" t="inlineStr">
        <is>
          <t>повторение</t>
        </is>
      </c>
      <c r="H1473" s="11" t="inlineStr">
        <is>
          <t>Сочетания прилагательное + существительное (ToC: «adjective noun collocations»).</t>
        </is>
      </c>
      <c r="I1473" s="37" t="inlineStr">
        <is>
          <t>10+</t>
        </is>
      </c>
      <c r="J1473" s="11">
        <f>IFERROR(INDEX('Уроки'!$H:$H,MATCH(F1473,'Уроки'!$A:$A,0)),"")</f>
        <v/>
      </c>
      <c r="K1473" s="11">
        <f>IFERROR(INDEX('Уроки'!$J:$J,MATCH(F1473,'Уроки'!$A:$A,0)),"")</f>
        <v/>
      </c>
      <c r="L1473" s="11" t="inlineStr">
        <is>
          <t>Spotlight / 10 класс / Module 5 · Holidays / Idioms &amp; collocations / Idioms &amp; collocations</t>
        </is>
      </c>
    </row>
    <row r="1474">
      <c r="A1474" s="37" t="n">
        <v>10</v>
      </c>
      <c r="B1474" s="11" t="inlineStr">
        <is>
          <t>Module 6 · Food &amp; Health</t>
        </is>
      </c>
      <c r="C1474" s="11" t="inlineStr">
        <is>
          <t>6c</t>
        </is>
      </c>
      <c r="D1474" s="11" t="inlineStr">
        <is>
          <t>Conditionals (Type 0)</t>
        </is>
      </c>
      <c r="E1474" s="33" t="inlineStr">
        <is>
          <t>Conditionals Type 0: форма If/When + Present Simple — Present Simple</t>
        </is>
      </c>
      <c r="F1474" s="11" t="inlineStr">
        <is>
          <t>Ст-206</t>
        </is>
      </c>
      <c r="G1474" s="37" t="inlineStr">
        <is>
          <t>повторение</t>
        </is>
      </c>
      <c r="H1474" s="11" t="inlineStr"/>
      <c r="I1474" s="37" t="inlineStr">
        <is>
          <t>10+</t>
        </is>
      </c>
      <c r="J1474" s="11">
        <f>IFERROR(INDEX('Уроки'!$H:$H,MATCH(F1474,'Уроки'!$A:$A,0)),"")</f>
        <v/>
      </c>
      <c r="K1474" s="11">
        <f>IFERROR(INDEX('Уроки'!$J:$J,MATCH(F1474,'Уроки'!$A:$A,0)),"")</f>
        <v/>
      </c>
      <c r="L1474" s="11" t="inlineStr">
        <is>
          <t>Spotlight / 10 класс / Module 6 · Food &amp; Health / Conditionals (Type 0) / Conditionals Type 0: форма If/When + Present Simple — Present Simple</t>
        </is>
      </c>
    </row>
    <row r="1475">
      <c r="A1475" s="37" t="n">
        <v>10</v>
      </c>
      <c r="B1475" s="11" t="inlineStr">
        <is>
          <t>Module 6 · Food &amp; Health</t>
        </is>
      </c>
      <c r="C1475" s="11" t="inlineStr">
        <is>
          <t>6c</t>
        </is>
      </c>
      <c r="D1475" s="11" t="inlineStr">
        <is>
          <t>Conditionals (Type 0)</t>
        </is>
      </c>
      <c r="E1475" s="33" t="inlineStr">
        <is>
          <t>Conditionals Type 0: значение — общие истины, научные факты</t>
        </is>
      </c>
      <c r="F1475" s="11" t="inlineStr">
        <is>
          <t>Ст-207</t>
        </is>
      </c>
      <c r="G1475" s="37" t="inlineStr">
        <is>
          <t>повторение</t>
        </is>
      </c>
      <c r="H1475" s="11" t="inlineStr"/>
      <c r="I1475" s="37" t="inlineStr">
        <is>
          <t>10+</t>
        </is>
      </c>
      <c r="J1475" s="11">
        <f>IFERROR(INDEX('Уроки'!$H:$H,MATCH(F1475,'Уроки'!$A:$A,0)),"")</f>
        <v/>
      </c>
      <c r="K1475" s="11">
        <f>IFERROR(INDEX('Уроки'!$J:$J,MATCH(F1475,'Уроки'!$A:$A,0)),"")</f>
        <v/>
      </c>
      <c r="L1475" s="11" t="inlineStr">
        <is>
          <t>Spotlight / 10 класс / Module 6 · Food &amp; Health / Conditionals (Type 0) / Conditionals Type 0: значение — общие истины, научные факты</t>
        </is>
      </c>
    </row>
    <row r="1476">
      <c r="A1476" s="37" t="n">
        <v>10</v>
      </c>
      <c r="B1476" s="11" t="inlineStr">
        <is>
          <t>Module 6 · Food &amp; Health</t>
        </is>
      </c>
      <c r="C1476" s="11" t="inlineStr">
        <is>
          <t>6c</t>
        </is>
      </c>
      <c r="D1476" s="11" t="inlineStr">
        <is>
          <t>Conditionals (Type 0)</t>
        </is>
      </c>
      <c r="E1476" s="35" t="inlineStr">
        <is>
          <t>Conditionals Type 0: when вместо if</t>
        </is>
      </c>
      <c r="F1476" s="11" t="inlineStr">
        <is>
          <t>Ст-208</t>
        </is>
      </c>
      <c r="G1476" s="37" t="inlineStr">
        <is>
          <t>повторение</t>
        </is>
      </c>
      <c r="H1476" s="11" t="inlineStr"/>
      <c r="I1476" s="37" t="inlineStr">
        <is>
          <t>10+</t>
        </is>
      </c>
      <c r="J1476" s="11">
        <f>IFERROR(INDEX('Уроки'!$H:$H,MATCH(F1476,'Уроки'!$A:$A,0)),"")</f>
        <v/>
      </c>
      <c r="K1476" s="11">
        <f>IFERROR(INDEX('Уроки'!$J:$J,MATCH(F1476,'Уроки'!$A:$A,0)),"")</f>
        <v/>
      </c>
      <c r="L1476" s="11" t="inlineStr">
        <is>
          <t>Spotlight / 10 класс / Module 6 · Food &amp; Health / Conditionals (Type 0) / Conditionals Type 0: when вместо if</t>
        </is>
      </c>
    </row>
    <row r="1477">
      <c r="A1477" s="37" t="n">
        <v>10</v>
      </c>
      <c r="B1477" s="11" t="inlineStr">
        <is>
          <t>Module 6 · Food &amp; Health</t>
        </is>
      </c>
      <c r="C1477" s="11" t="inlineStr">
        <is>
          <t>6c</t>
        </is>
      </c>
      <c r="D1477" s="11" t="inlineStr">
        <is>
          <t>Conditionals (Type 1)</t>
        </is>
      </c>
      <c r="E1477" s="33" t="inlineStr">
        <is>
          <t>Conditionals Type 1: форма If + Present Simple — will + V</t>
        </is>
      </c>
      <c r="F1477" s="11" t="inlineStr">
        <is>
          <t>Ст-209</t>
        </is>
      </c>
      <c r="G1477" s="37" t="inlineStr">
        <is>
          <t>повторение</t>
        </is>
      </c>
      <c r="H1477" s="11" t="inlineStr"/>
      <c r="I1477" s="37" t="inlineStr">
        <is>
          <t>10+</t>
        </is>
      </c>
      <c r="J1477" s="11">
        <f>IFERROR(INDEX('Уроки'!$H:$H,MATCH(F1477,'Уроки'!$A:$A,0)),"")</f>
        <v/>
      </c>
      <c r="K1477" s="11">
        <f>IFERROR(INDEX('Уроки'!$J:$J,MATCH(F1477,'Уроки'!$A:$A,0)),"")</f>
        <v/>
      </c>
      <c r="L1477" s="11" t="inlineStr">
        <is>
          <t>Spotlight / 10 класс / Module 6 · Food &amp; Health / Conditionals (Type 1) / Conditionals Type 1: форма If + Present Simple — will + V</t>
        </is>
      </c>
    </row>
    <row r="1478">
      <c r="A1478" s="37" t="n">
        <v>10</v>
      </c>
      <c r="B1478" s="11" t="inlineStr">
        <is>
          <t>Module 6 · Food &amp; Health</t>
        </is>
      </c>
      <c r="C1478" s="11" t="inlineStr">
        <is>
          <t>6c</t>
        </is>
      </c>
      <c r="D1478" s="11" t="inlineStr">
        <is>
          <t>Conditionals (Type 1)</t>
        </is>
      </c>
      <c r="E1478" s="35" t="inlineStr">
        <is>
          <t>Conditionals Type 1: главная часть с Imperative / can, must, may</t>
        </is>
      </c>
      <c r="F1478" s="11" t="inlineStr">
        <is>
          <t>Ст-210</t>
        </is>
      </c>
      <c r="G1478" s="37" t="inlineStr">
        <is>
          <t>повторение</t>
        </is>
      </c>
      <c r="H1478" s="11" t="inlineStr"/>
      <c r="I1478" s="37" t="inlineStr">
        <is>
          <t>10+</t>
        </is>
      </c>
      <c r="J1478" s="11">
        <f>IFERROR(INDEX('Уроки'!$H:$H,MATCH(F1478,'Уроки'!$A:$A,0)),"")</f>
        <v/>
      </c>
      <c r="K1478" s="11">
        <f>IFERROR(INDEX('Уроки'!$J:$J,MATCH(F1478,'Уроки'!$A:$A,0)),"")</f>
        <v/>
      </c>
      <c r="L1478" s="11" t="inlineStr">
        <is>
          <t>Spotlight / 10 класс / Module 6 · Food &amp; Health / Conditionals (Type 1) / Conditionals Type 1: главная часть с Imperative / can, must, may</t>
        </is>
      </c>
    </row>
    <row r="1479">
      <c r="A1479" s="37" t="n">
        <v>10</v>
      </c>
      <c r="B1479" s="11" t="inlineStr">
        <is>
          <t>Module 6 · Food &amp; Health</t>
        </is>
      </c>
      <c r="C1479" s="11" t="inlineStr">
        <is>
          <t>6c</t>
        </is>
      </c>
      <c r="D1479" s="11" t="inlineStr">
        <is>
          <t>Conditionals (Type 1)</t>
        </is>
      </c>
      <c r="E1479" s="33" t="inlineStr">
        <is>
          <t>Conditionals Type 1: значение — реальная/вероятная ситуация в настоящем/будущем</t>
        </is>
      </c>
      <c r="F1479" s="11" t="inlineStr">
        <is>
          <t>Ст-211</t>
        </is>
      </c>
      <c r="G1479" s="37" t="inlineStr">
        <is>
          <t>повторение</t>
        </is>
      </c>
      <c r="H1479" s="11" t="inlineStr"/>
      <c r="I1479" s="37" t="inlineStr">
        <is>
          <t>10+</t>
        </is>
      </c>
      <c r="J1479" s="11">
        <f>IFERROR(INDEX('Уроки'!$H:$H,MATCH(F1479,'Уроки'!$A:$A,0)),"")</f>
        <v/>
      </c>
      <c r="K1479" s="11">
        <f>IFERROR(INDEX('Уроки'!$J:$J,MATCH(F1479,'Уроки'!$A:$A,0)),"")</f>
        <v/>
      </c>
      <c r="L1479" s="11" t="inlineStr">
        <is>
          <t>Spotlight / 10 класс / Module 6 · Food &amp; Health / Conditionals (Type 1) / Conditionals Type 1: значение — реальная/вероятная ситуация в настоящем/будущем</t>
        </is>
      </c>
    </row>
    <row r="1480">
      <c r="A1480" s="37" t="n">
        <v>10</v>
      </c>
      <c r="B1480" s="11" t="inlineStr">
        <is>
          <t>Module 6 · Food &amp; Health</t>
        </is>
      </c>
      <c r="C1480" s="11" t="inlineStr">
        <is>
          <t>6c</t>
        </is>
      </c>
      <c r="D1480" s="11" t="inlineStr">
        <is>
          <t>Conditionals (Type 1)</t>
        </is>
      </c>
      <c r="E1480" s="35" t="inlineStr">
        <is>
          <t>Conditionals Type 1: запятая, если if-часть впереди</t>
        </is>
      </c>
      <c r="F1480" s="11" t="inlineStr">
        <is>
          <t>Ст-212</t>
        </is>
      </c>
      <c r="G1480" s="37" t="inlineStr">
        <is>
          <t>повторение</t>
        </is>
      </c>
      <c r="H1480" s="11" t="inlineStr"/>
      <c r="I1480" s="37" t="inlineStr">
        <is>
          <t>10+</t>
        </is>
      </c>
      <c r="J1480" s="11">
        <f>IFERROR(INDEX('Уроки'!$H:$H,MATCH(F1480,'Уроки'!$A:$A,0)),"")</f>
        <v/>
      </c>
      <c r="K1480" s="11">
        <f>IFERROR(INDEX('Уроки'!$J:$J,MATCH(F1480,'Уроки'!$A:$A,0)),"")</f>
        <v/>
      </c>
      <c r="L1480" s="11" t="inlineStr">
        <is>
          <t>Spotlight / 10 класс / Module 6 · Food &amp; Health / Conditionals (Type 1) / Conditionals Type 1: запятая, если if-часть впереди</t>
        </is>
      </c>
    </row>
    <row r="1481">
      <c r="A1481" s="37" t="n">
        <v>10</v>
      </c>
      <c r="B1481" s="11" t="inlineStr">
        <is>
          <t>Module 6 · Food &amp; Health</t>
        </is>
      </c>
      <c r="C1481" s="11" t="inlineStr">
        <is>
          <t>6c</t>
        </is>
      </c>
      <c r="D1481" s="11" t="inlineStr">
        <is>
          <t>Conditionals (Type 1)</t>
        </is>
      </c>
      <c r="E1481" s="35" t="inlineStr">
        <is>
          <t>Conditionals Type 1: unless = if not</t>
        </is>
      </c>
      <c r="F1481" s="11" t="inlineStr">
        <is>
          <t>Ст-213</t>
        </is>
      </c>
      <c r="G1481" s="37" t="inlineStr">
        <is>
          <t>повторение</t>
        </is>
      </c>
      <c r="H1481" s="11" t="inlineStr"/>
      <c r="I1481" s="37" t="inlineStr">
        <is>
          <t>10+</t>
        </is>
      </c>
      <c r="J1481" s="11">
        <f>IFERROR(INDEX('Уроки'!$H:$H,MATCH(F1481,'Уроки'!$A:$A,0)),"")</f>
        <v/>
      </c>
      <c r="K1481" s="11">
        <f>IFERROR(INDEX('Уроки'!$J:$J,MATCH(F1481,'Уроки'!$A:$A,0)),"")</f>
        <v/>
      </c>
      <c r="L1481" s="11" t="inlineStr">
        <is>
          <t>Spotlight / 10 класс / Module 6 · Food &amp; Health / Conditionals (Type 1) / Conditionals Type 1: unless = if not</t>
        </is>
      </c>
    </row>
    <row r="1482">
      <c r="A1482" s="37" t="n">
        <v>10</v>
      </c>
      <c r="B1482" s="11" t="inlineStr">
        <is>
          <t>Module 6 · Food &amp; Health</t>
        </is>
      </c>
      <c r="C1482" s="11" t="inlineStr">
        <is>
          <t>6c</t>
        </is>
      </c>
      <c r="D1482" s="11" t="inlineStr">
        <is>
          <t>Conditionals (Type 2)</t>
        </is>
      </c>
      <c r="E1482" s="34" t="inlineStr">
        <is>
          <t>Conditionals Type 2: форма If + Past Simple — would/could/might + V</t>
        </is>
      </c>
      <c r="F1482" s="11" t="inlineStr">
        <is>
          <t>Ст-228</t>
        </is>
      </c>
      <c r="G1482" s="37" t="inlineStr">
        <is>
          <t>повторение</t>
        </is>
      </c>
      <c r="H1482" s="11" t="inlineStr"/>
      <c r="I1482" s="37" t="inlineStr">
        <is>
          <t>10+</t>
        </is>
      </c>
      <c r="J1482" s="11">
        <f>IFERROR(INDEX('Уроки'!$H:$H,MATCH(F1482,'Уроки'!$A:$A,0)),"")</f>
        <v/>
      </c>
      <c r="K1482" s="11">
        <f>IFERROR(INDEX('Уроки'!$J:$J,MATCH(F1482,'Уроки'!$A:$A,0)),"")</f>
        <v/>
      </c>
      <c r="L1482" s="11" t="inlineStr">
        <is>
          <t>Spotlight / 10 класс / Module 6 · Food &amp; Health / Conditionals (Type 2) / Conditionals Type 2: форма If + Past Simple — would/could/might + V</t>
        </is>
      </c>
    </row>
    <row r="1483">
      <c r="A1483" s="37" t="n">
        <v>10</v>
      </c>
      <c r="B1483" s="11" t="inlineStr">
        <is>
          <t>Module 6 · Food &amp; Health</t>
        </is>
      </c>
      <c r="C1483" s="11" t="inlineStr">
        <is>
          <t>6c</t>
        </is>
      </c>
      <c r="D1483" s="11" t="inlineStr">
        <is>
          <t>Conditionals (Type 2)</t>
        </is>
      </c>
      <c r="E1483" s="35" t="inlineStr">
        <is>
          <t>Conditionals Type 2: If + Past Continuous</t>
        </is>
      </c>
      <c r="F1483" s="11" t="inlineStr">
        <is>
          <t>Ст-229</t>
        </is>
      </c>
      <c r="G1483" s="37" t="inlineStr">
        <is>
          <t>повторение</t>
        </is>
      </c>
      <c r="H1483" s="11" t="inlineStr"/>
      <c r="I1483" s="37" t="inlineStr">
        <is>
          <t>10+</t>
        </is>
      </c>
      <c r="J1483" s="11">
        <f>IFERROR(INDEX('Уроки'!$H:$H,MATCH(F1483,'Уроки'!$A:$A,0)),"")</f>
        <v/>
      </c>
      <c r="K1483" s="11">
        <f>IFERROR(INDEX('Уроки'!$J:$J,MATCH(F1483,'Уроки'!$A:$A,0)),"")</f>
        <v/>
      </c>
      <c r="L1483" s="11" t="inlineStr">
        <is>
          <t>Spotlight / 10 класс / Module 6 · Food &amp; Health / Conditionals (Type 2) / Conditionals Type 2: If + Past Continuous</t>
        </is>
      </c>
    </row>
    <row r="1484">
      <c r="A1484" s="37" t="n">
        <v>10</v>
      </c>
      <c r="B1484" s="11" t="inlineStr">
        <is>
          <t>Module 6 · Food &amp; Health</t>
        </is>
      </c>
      <c r="C1484" s="11" t="inlineStr">
        <is>
          <t>6c</t>
        </is>
      </c>
      <c r="D1484" s="11" t="inlineStr">
        <is>
          <t>Conditionals (Type 2)</t>
        </is>
      </c>
      <c r="E1484" s="34" t="inlineStr">
        <is>
          <t>Conditionals Type 2: значение — воображаемая/маловероятная ситуация в настоящем/будущем</t>
        </is>
      </c>
      <c r="F1484" s="11" t="inlineStr">
        <is>
          <t>Ст-230</t>
        </is>
      </c>
      <c r="G1484" s="37" t="inlineStr">
        <is>
          <t>повторение</t>
        </is>
      </c>
      <c r="H1484" s="11" t="inlineStr"/>
      <c r="I1484" s="37" t="inlineStr">
        <is>
          <t>10+</t>
        </is>
      </c>
      <c r="J1484" s="11">
        <f>IFERROR(INDEX('Уроки'!$H:$H,MATCH(F1484,'Уроки'!$A:$A,0)),"")</f>
        <v/>
      </c>
      <c r="K1484" s="11">
        <f>IFERROR(INDEX('Уроки'!$J:$J,MATCH(F1484,'Уроки'!$A:$A,0)),"")</f>
        <v/>
      </c>
      <c r="L1484" s="11" t="inlineStr">
        <is>
          <t>Spotlight / 10 класс / Module 6 · Food &amp; Health / Conditionals (Type 2) / Conditionals Type 2: значение — воображаемая/маловероятная ситуация в настоящем/будущем</t>
        </is>
      </c>
    </row>
    <row r="1485">
      <c r="A1485" s="37" t="n">
        <v>10</v>
      </c>
      <c r="B1485" s="11" t="inlineStr">
        <is>
          <t>Module 6 · Food &amp; Health</t>
        </is>
      </c>
      <c r="C1485" s="11" t="inlineStr">
        <is>
          <t>6c</t>
        </is>
      </c>
      <c r="D1485" s="11" t="inlineStr">
        <is>
          <t>Conditionals (Type 2)</t>
        </is>
      </c>
      <c r="E1485" s="35" t="inlineStr">
        <is>
          <t>Conditionals Type 2: were/was для I, he, she, it</t>
        </is>
      </c>
      <c r="F1485" s="11" t="inlineStr">
        <is>
          <t>Ст-231</t>
        </is>
      </c>
      <c r="G1485" s="37" t="inlineStr">
        <is>
          <t>повторение</t>
        </is>
      </c>
      <c r="H1485" s="11" t="inlineStr"/>
      <c r="I1485" s="37" t="inlineStr">
        <is>
          <t>10+</t>
        </is>
      </c>
      <c r="J1485" s="11">
        <f>IFERROR(INDEX('Уроки'!$H:$H,MATCH(F1485,'Уроки'!$A:$A,0)),"")</f>
        <v/>
      </c>
      <c r="K1485" s="11">
        <f>IFERROR(INDEX('Уроки'!$J:$J,MATCH(F1485,'Уроки'!$A:$A,0)),"")</f>
        <v/>
      </c>
      <c r="L1485" s="11" t="inlineStr">
        <is>
          <t>Spotlight / 10 класс / Module 6 · Food &amp; Health / Conditionals (Type 2) / Conditionals Type 2: were/was для I, he, she, it</t>
        </is>
      </c>
    </row>
    <row r="1486">
      <c r="A1486" s="37" t="n">
        <v>10</v>
      </c>
      <c r="B1486" s="11" t="inlineStr">
        <is>
          <t>Module 6 · Food &amp; Health</t>
        </is>
      </c>
      <c r="C1486" s="11" t="inlineStr">
        <is>
          <t>6c</t>
        </is>
      </c>
      <c r="D1486" s="11" t="inlineStr">
        <is>
          <t>Conditionals (Type 2)</t>
        </is>
      </c>
      <c r="E1486" s="35" t="inlineStr">
        <is>
          <t>Conditionals Type 2: If I were you — совет</t>
        </is>
      </c>
      <c r="F1486" s="11" t="inlineStr">
        <is>
          <t>Ст-232</t>
        </is>
      </c>
      <c r="G1486" s="37" t="inlineStr">
        <is>
          <t>повторение</t>
        </is>
      </c>
      <c r="H1486" s="11" t="inlineStr"/>
      <c r="I1486" s="37" t="inlineStr">
        <is>
          <t>10+</t>
        </is>
      </c>
      <c r="J1486" s="11">
        <f>IFERROR(INDEX('Уроки'!$H:$H,MATCH(F1486,'Уроки'!$A:$A,0)),"")</f>
        <v/>
      </c>
      <c r="K1486" s="11">
        <f>IFERROR(INDEX('Уроки'!$J:$J,MATCH(F1486,'Уроки'!$A:$A,0)),"")</f>
        <v/>
      </c>
      <c r="L1486" s="11" t="inlineStr">
        <is>
          <t>Spotlight / 10 класс / Module 6 · Food &amp; Health / Conditionals (Type 2) / Conditionals Type 2: If I were you — совет</t>
        </is>
      </c>
    </row>
    <row r="1487">
      <c r="A1487" s="37" t="n">
        <v>10</v>
      </c>
      <c r="B1487" s="11" t="inlineStr">
        <is>
          <t>Module 6 · Food &amp; Health</t>
        </is>
      </c>
      <c r="C1487" s="11" t="inlineStr">
        <is>
          <t>6c</t>
        </is>
      </c>
      <c r="D1487" s="11" t="inlineStr">
        <is>
          <t>Conditionals (Type 3)</t>
        </is>
      </c>
      <c r="E1487" s="34" t="inlineStr">
        <is>
          <t>Conditionals Type 3: форма If + Past Perfect — would/could/might have + V3</t>
        </is>
      </c>
      <c r="F1487" s="11" t="inlineStr">
        <is>
          <t>Ст-233</t>
        </is>
      </c>
      <c r="G1487" s="37" t="inlineStr">
        <is>
          <t>повторение</t>
        </is>
      </c>
      <c r="H1487" s="11" t="inlineStr"/>
      <c r="I1487" s="37" t="inlineStr">
        <is>
          <t>10+</t>
        </is>
      </c>
      <c r="J1487" s="11">
        <f>IFERROR(INDEX('Уроки'!$H:$H,MATCH(F1487,'Уроки'!$A:$A,0)),"")</f>
        <v/>
      </c>
      <c r="K1487" s="11">
        <f>IFERROR(INDEX('Уроки'!$J:$J,MATCH(F1487,'Уроки'!$A:$A,0)),"")</f>
        <v/>
      </c>
      <c r="L1487" s="11" t="inlineStr">
        <is>
          <t>Spotlight / 10 класс / Module 6 · Food &amp; Health / Conditionals (Type 3) / Conditionals Type 3: форма If + Past Perfect — would/could/might have + V3</t>
        </is>
      </c>
    </row>
    <row r="1488">
      <c r="A1488" s="37" t="n">
        <v>10</v>
      </c>
      <c r="B1488" s="11" t="inlineStr">
        <is>
          <t>Module 6 · Food &amp; Health</t>
        </is>
      </c>
      <c r="C1488" s="11" t="inlineStr">
        <is>
          <t>6c</t>
        </is>
      </c>
      <c r="D1488" s="11" t="inlineStr">
        <is>
          <t>Conditionals (Type 3)</t>
        </is>
      </c>
      <c r="E1488" s="35" t="inlineStr">
        <is>
          <t>Conditionals Type 3: If + Past Perfect Continuous</t>
        </is>
      </c>
      <c r="F1488" s="11" t="inlineStr">
        <is>
          <t>Ст-234</t>
        </is>
      </c>
      <c r="G1488" s="37" t="inlineStr">
        <is>
          <t>повторение</t>
        </is>
      </c>
      <c r="H1488" s="11" t="inlineStr"/>
      <c r="I1488" s="37" t="inlineStr">
        <is>
          <t>10+</t>
        </is>
      </c>
      <c r="J1488" s="11">
        <f>IFERROR(INDEX('Уроки'!$H:$H,MATCH(F1488,'Уроки'!$A:$A,0)),"")</f>
        <v/>
      </c>
      <c r="K1488" s="11">
        <f>IFERROR(INDEX('Уроки'!$J:$J,MATCH(F1488,'Уроки'!$A:$A,0)),"")</f>
        <v/>
      </c>
      <c r="L1488" s="11" t="inlineStr">
        <is>
          <t>Spotlight / 10 класс / Module 6 · Food &amp; Health / Conditionals (Type 3) / Conditionals Type 3: If + Past Perfect Continuous</t>
        </is>
      </c>
    </row>
    <row r="1489">
      <c r="A1489" s="37" t="n">
        <v>10</v>
      </c>
      <c r="B1489" s="11" t="inlineStr">
        <is>
          <t>Module 6 · Food &amp; Health</t>
        </is>
      </c>
      <c r="C1489" s="11" t="inlineStr">
        <is>
          <t>6c</t>
        </is>
      </c>
      <c r="D1489" s="11" t="inlineStr">
        <is>
          <t>Conditionals (Type 3)</t>
        </is>
      </c>
      <c r="E1489" s="34" t="inlineStr">
        <is>
          <t>Conditionals Type 3: значение — нереальная ситуация в прошлом</t>
        </is>
      </c>
      <c r="F1489" s="11" t="inlineStr">
        <is>
          <t>Ст-235</t>
        </is>
      </c>
      <c r="G1489" s="37" t="inlineStr">
        <is>
          <t>повторение</t>
        </is>
      </c>
      <c r="H1489" s="11" t="inlineStr"/>
      <c r="I1489" s="37" t="inlineStr">
        <is>
          <t>10+</t>
        </is>
      </c>
      <c r="J1489" s="11">
        <f>IFERROR(INDEX('Уроки'!$H:$H,MATCH(F1489,'Уроки'!$A:$A,0)),"")</f>
        <v/>
      </c>
      <c r="K1489" s="11">
        <f>IFERROR(INDEX('Уроки'!$J:$J,MATCH(F1489,'Уроки'!$A:$A,0)),"")</f>
        <v/>
      </c>
      <c r="L1489" s="11" t="inlineStr">
        <is>
          <t>Spotlight / 10 класс / Module 6 · Food &amp; Health / Conditionals (Type 3) / Conditionals Type 3: значение — нереальная ситуация в прошлом</t>
        </is>
      </c>
    </row>
    <row r="1490">
      <c r="A1490" s="37" t="n">
        <v>10</v>
      </c>
      <c r="B1490" s="11" t="inlineStr">
        <is>
          <t>Module 6 · Food &amp; Health</t>
        </is>
      </c>
      <c r="C1490" s="11" t="inlineStr">
        <is>
          <t>6c</t>
        </is>
      </c>
      <c r="D1490" s="11" t="inlineStr">
        <is>
          <t>Conditionals (Type 3)</t>
        </is>
      </c>
      <c r="E1490" s="34" t="inlineStr">
        <is>
          <t>Conditionals Type 3: значение — сожаление, критика</t>
        </is>
      </c>
      <c r="F1490" s="11" t="inlineStr">
        <is>
          <t>Ст-236</t>
        </is>
      </c>
      <c r="G1490" s="37" t="inlineStr">
        <is>
          <t>повторение</t>
        </is>
      </c>
      <c r="H1490" s="11" t="inlineStr"/>
      <c r="I1490" s="37" t="inlineStr">
        <is>
          <t>10+</t>
        </is>
      </c>
      <c r="J1490" s="11">
        <f>IFERROR(INDEX('Уроки'!$H:$H,MATCH(F1490,'Уроки'!$A:$A,0)),"")</f>
        <v/>
      </c>
      <c r="K1490" s="11">
        <f>IFERROR(INDEX('Уроки'!$J:$J,MATCH(F1490,'Уроки'!$A:$A,0)),"")</f>
        <v/>
      </c>
      <c r="L1490" s="11" t="inlineStr">
        <is>
          <t>Spotlight / 10 класс / Module 6 · Food &amp; Health / Conditionals (Type 3) / Conditionals Type 3: значение — сожаление, критика</t>
        </is>
      </c>
    </row>
    <row r="1491">
      <c r="A1491" s="37" t="n">
        <v>10</v>
      </c>
      <c r="B1491" s="11" t="inlineStr">
        <is>
          <t>Module 6 · Food &amp; Health</t>
        </is>
      </c>
      <c r="C1491" s="11" t="inlineStr">
        <is>
          <t>6c</t>
        </is>
      </c>
      <c r="D1491" s="11" t="inlineStr">
        <is>
          <t>Wishes (I wish / If only)</t>
        </is>
      </c>
      <c r="E1491" s="35" t="inlineStr">
        <is>
          <t>Wishes: I wish / If only + Past Simple/Continuous — желание изменить настоящее</t>
        </is>
      </c>
      <c r="F1491" s="11" t="inlineStr">
        <is>
          <t>Ст-316</t>
        </is>
      </c>
      <c r="G1491" s="37" t="inlineStr">
        <is>
          <t>повторение</t>
        </is>
      </c>
      <c r="H1491" s="11" t="inlineStr"/>
      <c r="I1491" s="37" t="inlineStr">
        <is>
          <t>10+</t>
        </is>
      </c>
      <c r="J1491" s="11">
        <f>IFERROR(INDEX('Уроки'!$H:$H,MATCH(F1491,'Уроки'!$A:$A,0)),"")</f>
        <v/>
      </c>
      <c r="K1491" s="11">
        <f>IFERROR(INDEX('Уроки'!$J:$J,MATCH(F1491,'Уроки'!$A:$A,0)),"")</f>
        <v/>
      </c>
      <c r="L1491" s="11" t="inlineStr">
        <is>
          <t>Spotlight / 10 класс / Module 6 · Food &amp; Health / Wishes (I wish / If only) / Wishes: I wish / If only + Past Simple/Continuous — желание изменить настоящее</t>
        </is>
      </c>
    </row>
    <row r="1492">
      <c r="A1492" s="37" t="n">
        <v>10</v>
      </c>
      <c r="B1492" s="11" t="inlineStr">
        <is>
          <t>Module 6 · Food &amp; Health</t>
        </is>
      </c>
      <c r="C1492" s="11" t="inlineStr">
        <is>
          <t>6c</t>
        </is>
      </c>
      <c r="D1492" s="11" t="inlineStr">
        <is>
          <t>Wishes (I wish / If only)</t>
        </is>
      </c>
      <c r="E1492" s="35" t="inlineStr">
        <is>
          <t>Wishes: I wish / If only + Past Perfect — сожаление о прошлом</t>
        </is>
      </c>
      <c r="F1492" s="11" t="inlineStr">
        <is>
          <t>Ст-317</t>
        </is>
      </c>
      <c r="G1492" s="37" t="inlineStr">
        <is>
          <t>повторение</t>
        </is>
      </c>
      <c r="H1492" s="11" t="inlineStr"/>
      <c r="I1492" s="37" t="inlineStr">
        <is>
          <t>10+</t>
        </is>
      </c>
      <c r="J1492" s="11">
        <f>IFERROR(INDEX('Уроки'!$H:$H,MATCH(F1492,'Уроки'!$A:$A,0)),"")</f>
        <v/>
      </c>
      <c r="K1492" s="11">
        <f>IFERROR(INDEX('Уроки'!$J:$J,MATCH(F1492,'Уроки'!$A:$A,0)),"")</f>
        <v/>
      </c>
      <c r="L1492" s="11" t="inlineStr">
        <is>
          <t>Spotlight / 10 класс / Module 6 · Food &amp; Health / Wishes (I wish / If only) / Wishes: I wish / If only + Past Perfect — сожаление о прошлом</t>
        </is>
      </c>
    </row>
    <row r="1493">
      <c r="A1493" s="37" t="n">
        <v>10</v>
      </c>
      <c r="B1493" s="11" t="inlineStr">
        <is>
          <t>Module 6 · Food &amp; Health</t>
        </is>
      </c>
      <c r="C1493" s="11" t="inlineStr">
        <is>
          <t>6c</t>
        </is>
      </c>
      <c r="D1493" s="11" t="inlineStr">
        <is>
          <t>Wishes (I wish / If only)</t>
        </is>
      </c>
      <c r="E1493" s="35" t="inlineStr">
        <is>
          <t>Wishes: I wish / If only + would + V — раздражение, просьба изменить поведение</t>
        </is>
      </c>
      <c r="F1493" s="11" t="inlineStr">
        <is>
          <t>Ст-318</t>
        </is>
      </c>
      <c r="G1493" s="37" t="inlineStr">
        <is>
          <t>повторение</t>
        </is>
      </c>
      <c r="H1493" s="11" t="inlineStr"/>
      <c r="I1493" s="37" t="inlineStr">
        <is>
          <t>10+</t>
        </is>
      </c>
      <c r="J1493" s="11">
        <f>IFERROR(INDEX('Уроки'!$H:$H,MATCH(F1493,'Уроки'!$A:$A,0)),"")</f>
        <v/>
      </c>
      <c r="K1493" s="11">
        <f>IFERROR(INDEX('Уроки'!$J:$J,MATCH(F1493,'Уроки'!$A:$A,0)),"")</f>
        <v/>
      </c>
      <c r="L1493" s="11" t="inlineStr">
        <is>
          <t>Spotlight / 10 класс / Module 6 · Food &amp; Health / Wishes (I wish / If only) / Wishes: I wish / If only + would + V — раздражение, просьба изменить поведение</t>
        </is>
      </c>
    </row>
    <row r="1494">
      <c r="A1494" s="37" t="n">
        <v>10</v>
      </c>
      <c r="B1494" s="11" t="inlineStr">
        <is>
          <t>Module 6 · Food &amp; Health</t>
        </is>
      </c>
      <c r="C1494" s="11" t="inlineStr">
        <is>
          <t>6c</t>
        </is>
      </c>
      <c r="D1494" s="11" t="inlineStr">
        <is>
          <t>Wishes (I wish / If only)</t>
        </is>
      </c>
      <c r="E1494" s="35" t="inlineStr">
        <is>
          <t>Wishes: were вместо was</t>
        </is>
      </c>
      <c r="F1494" s="11" t="inlineStr">
        <is>
          <t>Ст-319</t>
        </is>
      </c>
      <c r="G1494" s="37" t="inlineStr">
        <is>
          <t>повторение</t>
        </is>
      </c>
      <c r="H1494" s="11" t="inlineStr"/>
      <c r="I1494" s="37" t="inlineStr">
        <is>
          <t>10+</t>
        </is>
      </c>
      <c r="J1494" s="11">
        <f>IFERROR(INDEX('Уроки'!$H:$H,MATCH(F1494,'Уроки'!$A:$A,0)),"")</f>
        <v/>
      </c>
      <c r="K1494" s="11">
        <f>IFERROR(INDEX('Уроки'!$J:$J,MATCH(F1494,'Уроки'!$A:$A,0)),"")</f>
        <v/>
      </c>
      <c r="L1494" s="11" t="inlineStr">
        <is>
          <t>Spotlight / 10 класс / Module 6 · Food &amp; Health / Wishes (I wish / If only) / Wishes: were вместо was</t>
        </is>
      </c>
    </row>
    <row r="1495">
      <c r="A1495" s="37" t="n">
        <v>10</v>
      </c>
      <c r="B1495" s="11" t="inlineStr">
        <is>
          <t>Module 6 · Food &amp; Health</t>
        </is>
      </c>
      <c r="C1495" s="11" t="inlineStr">
        <is>
          <t>6c</t>
        </is>
      </c>
      <c r="D1495" s="11" t="inlineStr">
        <is>
          <t>Wishes (I wish / If only)</t>
        </is>
      </c>
      <c r="E1495" s="35" t="inlineStr">
        <is>
          <t>Wishes: If only vs I wish — эмоциональность</t>
        </is>
      </c>
      <c r="F1495" s="11" t="inlineStr">
        <is>
          <t>Ст-320</t>
        </is>
      </c>
      <c r="G1495" s="37" t="inlineStr">
        <is>
          <t>повторение</t>
        </is>
      </c>
      <c r="H1495" s="11" t="inlineStr"/>
      <c r="I1495" s="37" t="inlineStr">
        <is>
          <t>10+</t>
        </is>
      </c>
      <c r="J1495" s="11">
        <f>IFERROR(INDEX('Уроки'!$H:$H,MATCH(F1495,'Уроки'!$A:$A,0)),"")</f>
        <v/>
      </c>
      <c r="K1495" s="11">
        <f>IFERROR(INDEX('Уроки'!$J:$J,MATCH(F1495,'Уроки'!$A:$A,0)),"")</f>
        <v/>
      </c>
      <c r="L1495" s="11" t="inlineStr">
        <is>
          <t>Spotlight / 10 класс / Module 6 · Food &amp; Health / Wishes (I wish / If only) / Wishes: If only vs I wish — эмоциональность</t>
        </is>
      </c>
    </row>
    <row r="1496">
      <c r="A1496" s="37" t="n">
        <v>10</v>
      </c>
      <c r="B1496" s="11" t="inlineStr">
        <is>
          <t>Module 6 · Food &amp; Health</t>
        </is>
      </c>
      <c r="C1496" s="11" t="inlineStr">
        <is>
          <t>6c</t>
        </is>
      </c>
      <c r="D1496" s="11" t="inlineStr">
        <is>
          <t>Conditional linkers (unless, provided…)</t>
        </is>
      </c>
      <c r="E1496" s="35" t="inlineStr">
        <is>
          <t>Conditional linkers: unless, provided/providing (that), as long as, on condition (that)</t>
        </is>
      </c>
      <c r="F1496" s="11" t="inlineStr">
        <is>
          <t>Ст-559</t>
        </is>
      </c>
      <c r="G1496" s="37" t="inlineStr">
        <is>
          <t>повторение</t>
        </is>
      </c>
      <c r="H1496" s="11" t="inlineStr"/>
      <c r="I1496" s="37" t="inlineStr">
        <is>
          <t>10+</t>
        </is>
      </c>
      <c r="J1496" s="11">
        <f>IFERROR(INDEX('Уроки'!$H:$H,MATCH(F1496,'Уроки'!$A:$A,0)),"")</f>
        <v/>
      </c>
      <c r="K1496" s="11">
        <f>IFERROR(INDEX('Уроки'!$J:$J,MATCH(F1496,'Уроки'!$A:$A,0)),"")</f>
        <v/>
      </c>
      <c r="L1496" s="11" t="inlineStr">
        <is>
          <t>Spotlight / 10 класс / Module 6 · Food &amp; Health / Conditional linkers (unless, provided…) / Conditional linkers: unless, provided/providing (that), as long as, on condition (that)</t>
        </is>
      </c>
    </row>
    <row r="1497">
      <c r="A1497" s="37" t="n">
        <v>10</v>
      </c>
      <c r="B1497" s="11" t="inlineStr">
        <is>
          <t>Module 6 · Food &amp; Health</t>
        </is>
      </c>
      <c r="C1497" s="11" t="inlineStr">
        <is>
          <t>6c</t>
        </is>
      </c>
      <c r="D1497" s="11" t="inlineStr">
        <is>
          <t>Conditional linkers (unless, provided…)</t>
        </is>
      </c>
      <c r="E1497" s="35" t="inlineStr">
        <is>
          <t>Conditional linkers: but for, otherwise, or else</t>
        </is>
      </c>
      <c r="F1497" s="11" t="inlineStr">
        <is>
          <t>Ст-560</t>
        </is>
      </c>
      <c r="G1497" s="37" t="inlineStr">
        <is>
          <t>повторение</t>
        </is>
      </c>
      <c r="H1497" s="11" t="inlineStr"/>
      <c r="I1497" s="37" t="inlineStr">
        <is>
          <t>10+</t>
        </is>
      </c>
      <c r="J1497" s="11">
        <f>IFERROR(INDEX('Уроки'!$H:$H,MATCH(F1497,'Уроки'!$A:$A,0)),"")</f>
        <v/>
      </c>
      <c r="K1497" s="11">
        <f>IFERROR(INDEX('Уроки'!$J:$J,MATCH(F1497,'Уроки'!$A:$A,0)),"")</f>
        <v/>
      </c>
      <c r="L1497" s="11" t="inlineStr">
        <is>
          <t>Spotlight / 10 класс / Module 6 · Food &amp; Health / Conditional linkers (unless, provided…) / Conditional linkers: but for, otherwise, or else</t>
        </is>
      </c>
    </row>
    <row r="1498">
      <c r="A1498" s="37" t="n">
        <v>10</v>
      </c>
      <c r="B1498" s="11" t="inlineStr">
        <is>
          <t>Module 6 · Food &amp; Health</t>
        </is>
      </c>
      <c r="C1498" s="11" t="inlineStr">
        <is>
          <t>6c</t>
        </is>
      </c>
      <c r="D1498" s="11" t="inlineStr">
        <is>
          <t>Conditional linkers (unless, provided…)</t>
        </is>
      </c>
      <c r="E1498" s="35" t="inlineStr">
        <is>
          <t>Conditional linkers: what if, supposing, even if</t>
        </is>
      </c>
      <c r="F1498" s="11" t="inlineStr">
        <is>
          <t>Ст-561</t>
        </is>
      </c>
      <c r="G1498" s="37" t="inlineStr">
        <is>
          <t>повторение</t>
        </is>
      </c>
      <c r="H1498" s="11" t="inlineStr"/>
      <c r="I1498" s="37" t="inlineStr">
        <is>
          <t>10+</t>
        </is>
      </c>
      <c r="J1498" s="11">
        <f>IFERROR(INDEX('Уроки'!$H:$H,MATCH(F1498,'Уроки'!$A:$A,0)),"")</f>
        <v/>
      </c>
      <c r="K1498" s="11">
        <f>IFERROR(INDEX('Уроки'!$J:$J,MATCH(F1498,'Уроки'!$A:$A,0)),"")</f>
        <v/>
      </c>
      <c r="L1498" s="11" t="inlineStr">
        <is>
          <t>Spotlight / 10 класс / Module 6 · Food &amp; Health / Conditional linkers (unless, provided…) / Conditional linkers: what if, supposing, even if</t>
        </is>
      </c>
    </row>
    <row r="1499">
      <c r="A1499" s="37" t="n">
        <v>10</v>
      </c>
      <c r="B1499" s="11" t="inlineStr">
        <is>
          <t>Module 6 · Food &amp; Health</t>
        </is>
      </c>
      <c r="C1499" s="11" t="inlineStr">
        <is>
          <t>6c</t>
        </is>
      </c>
      <c r="D1499" s="11" t="inlineStr">
        <is>
          <t>Conditional linkers (unless, provided…)</t>
        </is>
      </c>
      <c r="E1499" s="35" t="inlineStr">
        <is>
          <t>Conditional linkers: only if (+ инверсия в главном предложении)</t>
        </is>
      </c>
      <c r="F1499" s="11" t="inlineStr">
        <is>
          <t>Ст-562</t>
        </is>
      </c>
      <c r="G1499" s="37" t="inlineStr">
        <is>
          <t>повторение</t>
        </is>
      </c>
      <c r="H1499" s="11" t="inlineStr">
        <is>
          <t>Only if you are dressed formally, will you…</t>
        </is>
      </c>
      <c r="I1499" s="37" t="inlineStr">
        <is>
          <t>10+</t>
        </is>
      </c>
      <c r="J1499" s="11">
        <f>IFERROR(INDEX('Уроки'!$H:$H,MATCH(F1499,'Уроки'!$A:$A,0)),"")</f>
        <v/>
      </c>
      <c r="K1499" s="11">
        <f>IFERROR(INDEX('Уроки'!$J:$J,MATCH(F1499,'Уроки'!$A:$A,0)),"")</f>
        <v/>
      </c>
      <c r="L1499" s="11" t="inlineStr">
        <is>
          <t>Spotlight / 10 класс / Module 6 · Food &amp; Health / Conditional linkers (unless, provided…) / Conditional linkers: only if (+ инверсия в главном предложении)</t>
        </is>
      </c>
    </row>
    <row r="1500">
      <c r="A1500" s="37" t="n">
        <v>10</v>
      </c>
      <c r="B1500" s="11" t="inlineStr">
        <is>
          <t>Module 6 · Food &amp; Health</t>
        </is>
      </c>
      <c r="C1500" s="11" t="inlineStr">
        <is>
          <t>6c</t>
        </is>
      </c>
      <c r="D1500" s="11" t="inlineStr">
        <is>
          <t>Conditional linkers (unless, provided…)</t>
        </is>
      </c>
      <c r="E1500" s="35" t="inlineStr">
        <is>
          <t>Conditional linkers: will/would/should в if-части (просьба, раздражение, сомнение)</t>
        </is>
      </c>
      <c r="F1500" s="11" t="inlineStr">
        <is>
          <t>Ст-563</t>
        </is>
      </c>
      <c r="G1500" s="37" t="inlineStr">
        <is>
          <t>повторение</t>
        </is>
      </c>
      <c r="H1500" s="11" t="inlineStr">
        <is>
          <t>If she should need help…</t>
        </is>
      </c>
      <c r="I1500" s="37" t="inlineStr">
        <is>
          <t>10+</t>
        </is>
      </c>
      <c r="J1500" s="11">
        <f>IFERROR(INDEX('Уроки'!$H:$H,MATCH(F1500,'Уроки'!$A:$A,0)),"")</f>
        <v/>
      </c>
      <c r="K1500" s="11">
        <f>IFERROR(INDEX('Уроки'!$J:$J,MATCH(F1500,'Уроки'!$A:$A,0)),"")</f>
        <v/>
      </c>
      <c r="L1500" s="11" t="inlineStr">
        <is>
          <t>Spotlight / 10 класс / Module 6 · Food &amp; Health / Conditional linkers (unless, provided…) / Conditional linkers: will/would/should в if-части (просьба, раздражение, сомнение)</t>
        </is>
      </c>
    </row>
    <row r="1501">
      <c r="A1501" s="37" t="n">
        <v>10</v>
      </c>
      <c r="B1501" s="11" t="inlineStr">
        <is>
          <t>Module 6 · Food &amp; Health</t>
        </is>
      </c>
      <c r="C1501" s="11" t="inlineStr">
        <is>
          <t>6c</t>
        </is>
      </c>
      <c r="D1501" s="11" t="inlineStr">
        <is>
          <t>Inversion</t>
        </is>
      </c>
      <c r="E1501" s="35" t="inlineStr">
        <is>
          <t>Inversion: условные без if — Should/Were/Had + подлежащее</t>
        </is>
      </c>
      <c r="F1501" s="11" t="inlineStr">
        <is>
          <t>Ст-568</t>
        </is>
      </c>
      <c r="G1501" s="37" t="inlineStr">
        <is>
          <t>повторение</t>
        </is>
      </c>
      <c r="H1501" s="11" t="inlineStr">
        <is>
          <t>Should he pass / Were I / Had I known</t>
        </is>
      </c>
      <c r="I1501" s="37" t="inlineStr">
        <is>
          <t>10+</t>
        </is>
      </c>
      <c r="J1501" s="11">
        <f>IFERROR(INDEX('Уроки'!$H:$H,MATCH(F1501,'Уроки'!$A:$A,0)),"")</f>
        <v/>
      </c>
      <c r="K1501" s="11">
        <f>IFERROR(INDEX('Уроки'!$J:$J,MATCH(F1501,'Уроки'!$A:$A,0)),"")</f>
        <v/>
      </c>
      <c r="L1501" s="11" t="inlineStr">
        <is>
          <t>Spotlight / 10 класс / Module 6 · Food &amp; Health / Inversion / Inversion: условные без if — Should/Were/Had + подлежащее</t>
        </is>
      </c>
    </row>
    <row r="1502">
      <c r="A1502" s="37" t="n">
        <v>10</v>
      </c>
      <c r="B1502" s="11" t="inlineStr">
        <is>
          <t>Module 6 · Food &amp; Health</t>
        </is>
      </c>
      <c r="C1502" s="11" t="inlineStr">
        <is>
          <t>6c</t>
        </is>
      </c>
      <c r="D1502" s="11" t="inlineStr">
        <is>
          <t>Phrasal verbs</t>
        </is>
      </c>
      <c r="E1502" s="35" t="inlineStr">
        <is>
          <t>Phrasal verbs: give</t>
        </is>
      </c>
      <c r="F1502" s="11" t="inlineStr">
        <is>
          <t>Ст-588</t>
        </is>
      </c>
      <c r="G1502" s="37" t="inlineStr">
        <is>
          <t>повторение</t>
        </is>
      </c>
      <c r="H1502" s="11" t="inlineStr">
        <is>
          <t>Фразовые глаголы с give (ToC: «phrasal verbs (give)»); состав частиц и значения в источнике не даны.</t>
        </is>
      </c>
      <c r="I1502" s="37" t="inlineStr">
        <is>
          <t>10+</t>
        </is>
      </c>
      <c r="J1502" s="11">
        <f>IFERROR(INDEX('Уроки'!$H:$H,MATCH(F1502,'Уроки'!$A:$A,0)),"")</f>
        <v/>
      </c>
      <c r="K1502" s="11">
        <f>IFERROR(INDEX('Уроки'!$J:$J,MATCH(F1502,'Уроки'!$A:$A,0)),"")</f>
        <v/>
      </c>
      <c r="L1502" s="11" t="inlineStr">
        <is>
          <t>Spotlight / 10 класс / Module 6 · Food &amp; Health / Phrasal verbs / Phrasal verbs: give</t>
        </is>
      </c>
    </row>
    <row r="1503">
      <c r="A1503" s="37" t="n">
        <v>10</v>
      </c>
      <c r="B1503" s="11" t="inlineStr">
        <is>
          <t>Module 6 · Food &amp; Health</t>
        </is>
      </c>
      <c r="C1503" s="11" t="inlineStr">
        <is>
          <t>6c</t>
        </is>
      </c>
      <c r="D1503" s="11" t="inlineStr">
        <is>
          <t>Word formation</t>
        </is>
      </c>
      <c r="E1503" s="35" t="inlineStr">
        <is>
          <t>Word formation: prefixes</t>
        </is>
      </c>
      <c r="F1503" s="11" t="inlineStr">
        <is>
          <t>Ст-632</t>
        </is>
      </c>
      <c r="G1503" s="40" t="inlineStr">
        <is>
          <t>новое</t>
        </is>
      </c>
      <c r="H1503" s="11" t="inlineStr">
        <is>
          <t>Приставки (ToC: «prefixes»).</t>
        </is>
      </c>
      <c r="I1503" s="37" t="inlineStr">
        <is>
          <t>10+</t>
        </is>
      </c>
      <c r="J1503" s="11">
        <f>IFERROR(INDEX('Уроки'!$H:$H,MATCH(F1503,'Уроки'!$A:$A,0)),"")</f>
        <v/>
      </c>
      <c r="K1503" s="11">
        <f>IFERROR(INDEX('Уроки'!$J:$J,MATCH(F1503,'Уроки'!$A:$A,0)),"")</f>
        <v/>
      </c>
      <c r="L1503" s="11" t="inlineStr">
        <is>
          <t>Spotlight / 10 класс / Module 6 · Food &amp; Health / Word formation / Word formation: prefixes</t>
        </is>
      </c>
    </row>
    <row r="1504">
      <c r="A1504" s="37" t="n">
        <v>10</v>
      </c>
      <c r="B1504" s="11" t="inlineStr">
        <is>
          <t>Module 7 · Let's have fun</t>
        </is>
      </c>
      <c r="C1504" s="11" t="inlineStr">
        <is>
          <t>7e</t>
        </is>
      </c>
      <c r="D1504" s="11" t="inlineStr">
        <is>
          <t>Modal verbs (functions)</t>
        </is>
      </c>
      <c r="E1504" s="35" t="inlineStr">
        <is>
          <t>Modal verbs: обзор значений модальных (систематизация)</t>
        </is>
      </c>
      <c r="F1504" s="11" t="inlineStr">
        <is>
          <t>Ст-187</t>
        </is>
      </c>
      <c r="G1504" s="37" t="inlineStr">
        <is>
          <t>повторение</t>
        </is>
      </c>
      <c r="H1504" s="11" t="inlineStr">
        <is>
          <t>7e: повторение модальных по разделу Module 4 (рецензия) — проверить</t>
        </is>
      </c>
      <c r="I1504" s="37" t="inlineStr">
        <is>
          <t>10+</t>
        </is>
      </c>
      <c r="J1504" s="11">
        <f>IFERROR(INDEX('Уроки'!$H:$H,MATCH(F1504,'Уроки'!$A:$A,0)),"")</f>
        <v/>
      </c>
      <c r="K1504" s="11">
        <f>IFERROR(INDEX('Уроки'!$J:$J,MATCH(F1504,'Уроки'!$A:$A,0)),"")</f>
        <v/>
      </c>
      <c r="L1504" s="11" t="inlineStr">
        <is>
          <t>Spotlight / 10 класс / Module 7 · Let's have fun / Modal verbs (functions) / Modal verbs: обзор значений модальных (систематизация)</t>
        </is>
      </c>
    </row>
    <row r="1505">
      <c r="A1505" s="37" t="n">
        <v>10</v>
      </c>
      <c r="B1505" s="11" t="inlineStr">
        <is>
          <t>Module 7 · Let's have fun</t>
        </is>
      </c>
      <c r="C1505" s="11" t="inlineStr">
        <is>
          <t>7c</t>
        </is>
      </c>
      <c r="D1505" s="11" t="inlineStr">
        <is>
          <t>Passive Voice</t>
        </is>
      </c>
      <c r="E1505" s="35" t="inlineStr">
        <is>
          <t>Passive Voice: форма be + V3 — Present Simple и Past Simple</t>
        </is>
      </c>
      <c r="F1505" s="11" t="inlineStr">
        <is>
          <t>Ст-271</t>
        </is>
      </c>
      <c r="G1505" s="37" t="inlineStr">
        <is>
          <t>повторение</t>
        </is>
      </c>
      <c r="H1505" s="11" t="inlineStr"/>
      <c r="I1505" s="37" t="inlineStr">
        <is>
          <t>10+</t>
        </is>
      </c>
      <c r="J1505" s="11">
        <f>IFERROR(INDEX('Уроки'!$H:$H,MATCH(F1505,'Уроки'!$A:$A,0)),"")</f>
        <v/>
      </c>
      <c r="K1505" s="11">
        <f>IFERROR(INDEX('Уроки'!$J:$J,MATCH(F1505,'Уроки'!$A:$A,0)),"")</f>
        <v/>
      </c>
      <c r="L1505" s="11" t="inlineStr">
        <is>
          <t>Spotlight / 10 класс / Module 7 · Let's have fun / Passive Voice / Passive Voice: форма be + V3 — Present Simple и Past Simple</t>
        </is>
      </c>
    </row>
    <row r="1506">
      <c r="A1506" s="37" t="n">
        <v>10</v>
      </c>
      <c r="B1506" s="11" t="inlineStr">
        <is>
          <t>Module 7 · Let's have fun</t>
        </is>
      </c>
      <c r="C1506" s="11" t="inlineStr">
        <is>
          <t>7c</t>
        </is>
      </c>
      <c r="D1506" s="11" t="inlineStr">
        <is>
          <t>Passive Voice</t>
        </is>
      </c>
      <c r="E1506" s="35" t="inlineStr">
        <is>
          <t>Passive Voice: Continuous (is/was being + V3)</t>
        </is>
      </c>
      <c r="F1506" s="11" t="inlineStr">
        <is>
          <t>Ст-272</t>
        </is>
      </c>
      <c r="G1506" s="37" t="inlineStr">
        <is>
          <t>повторение</t>
        </is>
      </c>
      <c r="H1506" s="11" t="inlineStr"/>
      <c r="I1506" s="37" t="inlineStr">
        <is>
          <t>10+</t>
        </is>
      </c>
      <c r="J1506" s="11">
        <f>IFERROR(INDEX('Уроки'!$H:$H,MATCH(F1506,'Уроки'!$A:$A,0)),"")</f>
        <v/>
      </c>
      <c r="K1506" s="11">
        <f>IFERROR(INDEX('Уроки'!$J:$J,MATCH(F1506,'Уроки'!$A:$A,0)),"")</f>
        <v/>
      </c>
      <c r="L1506" s="11" t="inlineStr">
        <is>
          <t>Spotlight / 10 класс / Module 7 · Let's have fun / Passive Voice / Passive Voice: Continuous (is/was being + V3)</t>
        </is>
      </c>
    </row>
    <row r="1507">
      <c r="A1507" s="37" t="n">
        <v>10</v>
      </c>
      <c r="B1507" s="11" t="inlineStr">
        <is>
          <t>Module 7 · Let's have fun</t>
        </is>
      </c>
      <c r="C1507" s="11" t="inlineStr">
        <is>
          <t>7c</t>
        </is>
      </c>
      <c r="D1507" s="11" t="inlineStr">
        <is>
          <t>Passive Voice</t>
        </is>
      </c>
      <c r="E1507" s="35" t="inlineStr">
        <is>
          <t>Passive Voice: Present/Past Perfect (has/had been + V3)</t>
        </is>
      </c>
      <c r="F1507" s="11" t="inlineStr">
        <is>
          <t>Ст-273</t>
        </is>
      </c>
      <c r="G1507" s="37" t="inlineStr">
        <is>
          <t>повторение</t>
        </is>
      </c>
      <c r="H1507" s="11" t="inlineStr"/>
      <c r="I1507" s="37" t="inlineStr">
        <is>
          <t>10+</t>
        </is>
      </c>
      <c r="J1507" s="11">
        <f>IFERROR(INDEX('Уроки'!$H:$H,MATCH(F1507,'Уроки'!$A:$A,0)),"")</f>
        <v/>
      </c>
      <c r="K1507" s="11">
        <f>IFERROR(INDEX('Уроки'!$J:$J,MATCH(F1507,'Уроки'!$A:$A,0)),"")</f>
        <v/>
      </c>
      <c r="L1507" s="11" t="inlineStr">
        <is>
          <t>Spotlight / 10 класс / Module 7 · Let's have fun / Passive Voice / Passive Voice: Present/Past Perfect (has/had been + V3)</t>
        </is>
      </c>
    </row>
    <row r="1508">
      <c r="A1508" s="37" t="n">
        <v>10</v>
      </c>
      <c r="B1508" s="11" t="inlineStr">
        <is>
          <t>Module 7 · Let's have fun</t>
        </is>
      </c>
      <c r="C1508" s="11" t="inlineStr">
        <is>
          <t>7c</t>
        </is>
      </c>
      <c r="D1508" s="11" t="inlineStr">
        <is>
          <t>Passive Voice</t>
        </is>
      </c>
      <c r="E1508" s="35" t="inlineStr">
        <is>
          <t>Passive Voice: Future Simple (will be + V3)</t>
        </is>
      </c>
      <c r="F1508" s="11" t="inlineStr">
        <is>
          <t>Ст-274</t>
        </is>
      </c>
      <c r="G1508" s="37" t="inlineStr">
        <is>
          <t>повторение</t>
        </is>
      </c>
      <c r="H1508" s="11" t="inlineStr"/>
      <c r="I1508" s="37" t="inlineStr">
        <is>
          <t>10+</t>
        </is>
      </c>
      <c r="J1508" s="11">
        <f>IFERROR(INDEX('Уроки'!$H:$H,MATCH(F1508,'Уроки'!$A:$A,0)),"")</f>
        <v/>
      </c>
      <c r="K1508" s="11">
        <f>IFERROR(INDEX('Уроки'!$J:$J,MATCH(F1508,'Уроки'!$A:$A,0)),"")</f>
        <v/>
      </c>
      <c r="L1508" s="11" t="inlineStr">
        <is>
          <t>Spotlight / 10 класс / Module 7 · Let's have fun / Passive Voice / Passive Voice: Future Simple (will be + V3)</t>
        </is>
      </c>
    </row>
    <row r="1509">
      <c r="A1509" s="37" t="n">
        <v>10</v>
      </c>
      <c r="B1509" s="11" t="inlineStr">
        <is>
          <t>Module 7 · Let's have fun</t>
        </is>
      </c>
      <c r="C1509" s="11" t="inlineStr">
        <is>
          <t>7c</t>
        </is>
      </c>
      <c r="D1509" s="11" t="inlineStr">
        <is>
          <t>Passive Voice</t>
        </is>
      </c>
      <c r="E1509" s="35" t="inlineStr">
        <is>
          <t>Passive Voice: Future Perfect (will have been + V3)</t>
        </is>
      </c>
      <c r="F1509" s="11" t="inlineStr">
        <is>
          <t>Ст-275</t>
        </is>
      </c>
      <c r="G1509" s="37" t="inlineStr">
        <is>
          <t>повторение</t>
        </is>
      </c>
      <c r="H1509" s="11" t="inlineStr"/>
      <c r="I1509" s="37" t="inlineStr">
        <is>
          <t>10+</t>
        </is>
      </c>
      <c r="J1509" s="11">
        <f>IFERROR(INDEX('Уроки'!$H:$H,MATCH(F1509,'Уроки'!$A:$A,0)),"")</f>
        <v/>
      </c>
      <c r="K1509" s="11">
        <f>IFERROR(INDEX('Уроки'!$J:$J,MATCH(F1509,'Уроки'!$A:$A,0)),"")</f>
        <v/>
      </c>
      <c r="L1509" s="11" t="inlineStr">
        <is>
          <t>Spotlight / 10 класс / Module 7 · Let's have fun / Passive Voice / Passive Voice: Future Perfect (will have been + V3)</t>
        </is>
      </c>
    </row>
    <row r="1510">
      <c r="A1510" s="37" t="n">
        <v>10</v>
      </c>
      <c r="B1510" s="11" t="inlineStr">
        <is>
          <t>Module 7 · Let's have fun</t>
        </is>
      </c>
      <c r="C1510" s="11" t="inlineStr">
        <is>
          <t>7c</t>
        </is>
      </c>
      <c r="D1510" s="11" t="inlineStr">
        <is>
          <t>Passive Voice</t>
        </is>
      </c>
      <c r="E1510" s="35" t="inlineStr">
        <is>
          <t>Passive Voice: инфинитив и модальные (has to be / can be + V3)</t>
        </is>
      </c>
      <c r="F1510" s="11" t="inlineStr">
        <is>
          <t>Ст-276</t>
        </is>
      </c>
      <c r="G1510" s="37" t="inlineStr">
        <is>
          <t>повторение</t>
        </is>
      </c>
      <c r="H1510" s="11" t="inlineStr"/>
      <c r="I1510" s="37" t="inlineStr">
        <is>
          <t>10+</t>
        </is>
      </c>
      <c r="J1510" s="11">
        <f>IFERROR(INDEX('Уроки'!$H:$H,MATCH(F1510,'Уроки'!$A:$A,0)),"")</f>
        <v/>
      </c>
      <c r="K1510" s="11">
        <f>IFERROR(INDEX('Уроки'!$J:$J,MATCH(F1510,'Уроки'!$A:$A,0)),"")</f>
        <v/>
      </c>
      <c r="L1510" s="11" t="inlineStr">
        <is>
          <t>Spotlight / 10 класс / Module 7 · Let's have fun / Passive Voice / Passive Voice: инфинитив и модальные (has to be / can be + V3)</t>
        </is>
      </c>
    </row>
    <row r="1511">
      <c r="A1511" s="37" t="n">
        <v>10</v>
      </c>
      <c r="B1511" s="11" t="inlineStr">
        <is>
          <t>Module 7 · Let's have fun</t>
        </is>
      </c>
      <c r="C1511" s="11" t="inlineStr">
        <is>
          <t>7c</t>
        </is>
      </c>
      <c r="D1511" s="11" t="inlineStr">
        <is>
          <t>Passive Voice</t>
        </is>
      </c>
      <c r="E1511" s="35" t="inlineStr">
        <is>
          <t>Passive Voice: преобразование active → passive</t>
        </is>
      </c>
      <c r="F1511" s="11" t="inlineStr">
        <is>
          <t>Ст-277</t>
        </is>
      </c>
      <c r="G1511" s="37" t="inlineStr">
        <is>
          <t>повторение</t>
        </is>
      </c>
      <c r="H1511" s="11" t="inlineStr"/>
      <c r="I1511" s="37" t="inlineStr">
        <is>
          <t>10+</t>
        </is>
      </c>
      <c r="J1511" s="11">
        <f>IFERROR(INDEX('Уроки'!$H:$H,MATCH(F1511,'Уроки'!$A:$A,0)),"")</f>
        <v/>
      </c>
      <c r="K1511" s="11">
        <f>IFERROR(INDEX('Уроки'!$J:$J,MATCH(F1511,'Уроки'!$A:$A,0)),"")</f>
        <v/>
      </c>
      <c r="L1511" s="11" t="inlineStr">
        <is>
          <t>Spotlight / 10 класс / Module 7 · Let's have fun / Passive Voice / Passive Voice: преобразование active → passive</t>
        </is>
      </c>
    </row>
    <row r="1512">
      <c r="A1512" s="37" t="n">
        <v>10</v>
      </c>
      <c r="B1512" s="11" t="inlineStr">
        <is>
          <t>Module 7 · Let's have fun</t>
        </is>
      </c>
      <c r="C1512" s="11" t="inlineStr">
        <is>
          <t>7c</t>
        </is>
      </c>
      <c r="D1512" s="11" t="inlineStr">
        <is>
          <t>Passive Voice</t>
        </is>
      </c>
      <c r="E1512" s="35" t="inlineStr">
        <is>
          <t>Passive Voice: значение — исполнитель неизвестен/неважен/очевиден</t>
        </is>
      </c>
      <c r="F1512" s="11" t="inlineStr">
        <is>
          <t>Ст-278</t>
        </is>
      </c>
      <c r="G1512" s="37" t="inlineStr">
        <is>
          <t>повторение</t>
        </is>
      </c>
      <c r="H1512" s="11" t="inlineStr"/>
      <c r="I1512" s="37" t="inlineStr">
        <is>
          <t>10+</t>
        </is>
      </c>
      <c r="J1512" s="11">
        <f>IFERROR(INDEX('Уроки'!$H:$H,MATCH(F1512,'Уроки'!$A:$A,0)),"")</f>
        <v/>
      </c>
      <c r="K1512" s="11">
        <f>IFERROR(INDEX('Уроки'!$J:$J,MATCH(F1512,'Уроки'!$A:$A,0)),"")</f>
        <v/>
      </c>
      <c r="L1512" s="11" t="inlineStr">
        <is>
          <t>Spotlight / 10 класс / Module 7 · Let's have fun / Passive Voice / Passive Voice: значение — исполнитель неизвестен/неважен/очевиден</t>
        </is>
      </c>
    </row>
    <row r="1513">
      <c r="A1513" s="37" t="n">
        <v>10</v>
      </c>
      <c r="B1513" s="11" t="inlineStr">
        <is>
          <t>Module 7 · Let's have fun</t>
        </is>
      </c>
      <c r="C1513" s="11" t="inlineStr">
        <is>
          <t>7c</t>
        </is>
      </c>
      <c r="D1513" s="11" t="inlineStr">
        <is>
          <t>Passive Voice</t>
        </is>
      </c>
      <c r="E1513" s="35" t="inlineStr">
        <is>
          <t>Passive Voice: значение — действие важнее исполнителя (новости, инструкции, реклама)</t>
        </is>
      </c>
      <c r="F1513" s="11" t="inlineStr">
        <is>
          <t>Ст-279</t>
        </is>
      </c>
      <c r="G1513" s="37" t="inlineStr">
        <is>
          <t>повторение</t>
        </is>
      </c>
      <c r="H1513" s="11" t="inlineStr"/>
      <c r="I1513" s="37" t="inlineStr">
        <is>
          <t>10+</t>
        </is>
      </c>
      <c r="J1513" s="11">
        <f>IFERROR(INDEX('Уроки'!$H:$H,MATCH(F1513,'Уроки'!$A:$A,0)),"")</f>
        <v/>
      </c>
      <c r="K1513" s="11">
        <f>IFERROR(INDEX('Уроки'!$J:$J,MATCH(F1513,'Уроки'!$A:$A,0)),"")</f>
        <v/>
      </c>
      <c r="L1513" s="11" t="inlineStr">
        <is>
          <t>Spotlight / 10 класс / Module 7 · Let's have fun / Passive Voice / Passive Voice: значение — действие важнее исполнителя (новости, инструкции, реклама)</t>
        </is>
      </c>
    </row>
    <row r="1514">
      <c r="A1514" s="37" t="n">
        <v>10</v>
      </c>
      <c r="B1514" s="11" t="inlineStr">
        <is>
          <t>Module 7 · Let's have fun</t>
        </is>
      </c>
      <c r="C1514" s="11" t="inlineStr">
        <is>
          <t>7c</t>
        </is>
      </c>
      <c r="D1514" s="11" t="inlineStr">
        <is>
          <t>Passive Voice</t>
        </is>
      </c>
      <c r="E1514" s="35" t="inlineStr">
        <is>
          <t>Passive Voice: значение — уход от ответственности</t>
        </is>
      </c>
      <c r="F1514" s="11" t="inlineStr">
        <is>
          <t>Ст-280</t>
        </is>
      </c>
      <c r="G1514" s="37" t="inlineStr">
        <is>
          <t>повторение</t>
        </is>
      </c>
      <c r="H1514" s="11" t="inlineStr"/>
      <c r="I1514" s="37" t="inlineStr">
        <is>
          <t>10+</t>
        </is>
      </c>
      <c r="J1514" s="11">
        <f>IFERROR(INDEX('Уроки'!$H:$H,MATCH(F1514,'Уроки'!$A:$A,0)),"")</f>
        <v/>
      </c>
      <c r="K1514" s="11">
        <f>IFERROR(INDEX('Уроки'!$J:$J,MATCH(F1514,'Уроки'!$A:$A,0)),"")</f>
        <v/>
      </c>
      <c r="L1514" s="11" t="inlineStr">
        <is>
          <t>Spotlight / 10 класс / Module 7 · Let's have fun / Passive Voice / Passive Voice: значение — уход от ответственности</t>
        </is>
      </c>
    </row>
    <row r="1515">
      <c r="A1515" s="37" t="n">
        <v>10</v>
      </c>
      <c r="B1515" s="11" t="inlineStr">
        <is>
          <t>Module 7 · Let's have fun</t>
        </is>
      </c>
      <c r="C1515" s="11" t="inlineStr">
        <is>
          <t>7c</t>
        </is>
      </c>
      <c r="D1515" s="11" t="inlineStr">
        <is>
          <t>Passive Voice</t>
        </is>
      </c>
      <c r="E1515" s="35" t="inlineStr">
        <is>
          <t>Passive Voice: значение — акцент на исполнителе</t>
        </is>
      </c>
      <c r="F1515" s="11" t="inlineStr">
        <is>
          <t>Ст-281</t>
        </is>
      </c>
      <c r="G1515" s="37" t="inlineStr">
        <is>
          <t>повторение</t>
        </is>
      </c>
      <c r="H1515" s="11" t="inlineStr"/>
      <c r="I1515" s="37" t="inlineStr">
        <is>
          <t>10+</t>
        </is>
      </c>
      <c r="J1515" s="11">
        <f>IFERROR(INDEX('Уроки'!$H:$H,MATCH(F1515,'Уроки'!$A:$A,0)),"")</f>
        <v/>
      </c>
      <c r="K1515" s="11">
        <f>IFERROR(INDEX('Уроки'!$J:$J,MATCH(F1515,'Уроки'!$A:$A,0)),"")</f>
        <v/>
      </c>
      <c r="L1515" s="11" t="inlineStr">
        <is>
          <t>Spotlight / 10 класс / Module 7 · Let's have fun / Passive Voice / Passive Voice: значение — акцент на исполнителе</t>
        </is>
      </c>
    </row>
    <row r="1516">
      <c r="A1516" s="37" t="n">
        <v>10</v>
      </c>
      <c r="B1516" s="11" t="inlineStr">
        <is>
          <t>Module 7 · Let's have fun</t>
        </is>
      </c>
      <c r="C1516" s="11" t="inlineStr">
        <is>
          <t>7c</t>
        </is>
      </c>
      <c r="D1516" s="11" t="inlineStr">
        <is>
          <t>Passive Voice</t>
        </is>
      </c>
      <c r="E1516" s="35" t="inlineStr">
        <is>
          <t>Passive Voice: значение — формальность, вежливость</t>
        </is>
      </c>
      <c r="F1516" s="11" t="inlineStr">
        <is>
          <t>Ст-282</t>
        </is>
      </c>
      <c r="G1516" s="37" t="inlineStr">
        <is>
          <t>повторение</t>
        </is>
      </c>
      <c r="H1516" s="11" t="inlineStr"/>
      <c r="I1516" s="37" t="inlineStr">
        <is>
          <t>10+</t>
        </is>
      </c>
      <c r="J1516" s="11">
        <f>IFERROR(INDEX('Уроки'!$H:$H,MATCH(F1516,'Уроки'!$A:$A,0)),"")</f>
        <v/>
      </c>
      <c r="K1516" s="11">
        <f>IFERROR(INDEX('Уроки'!$J:$J,MATCH(F1516,'Уроки'!$A:$A,0)),"")</f>
        <v/>
      </c>
      <c r="L1516" s="11" t="inlineStr">
        <is>
          <t>Spotlight / 10 класс / Module 7 · Let's have fun / Passive Voice / Passive Voice: значение — формальность, вежливость</t>
        </is>
      </c>
    </row>
    <row r="1517">
      <c r="A1517" s="37" t="n">
        <v>10</v>
      </c>
      <c r="B1517" s="11" t="inlineStr">
        <is>
          <t>Module 7 · Let's have fun</t>
        </is>
      </c>
      <c r="C1517" s="11" t="inlineStr">
        <is>
          <t>7c</t>
        </is>
      </c>
      <c r="D1517" s="11" t="inlineStr">
        <is>
          <t>Passive Voice</t>
        </is>
      </c>
      <c r="E1517" s="35" t="inlineStr">
        <is>
          <t>Passive Voice: by + исполнитель vs with + инструмент/материал</t>
        </is>
      </c>
      <c r="F1517" s="11" t="inlineStr">
        <is>
          <t>Ст-283</t>
        </is>
      </c>
      <c r="G1517" s="37" t="inlineStr">
        <is>
          <t>повторение</t>
        </is>
      </c>
      <c r="H1517" s="11" t="inlineStr"/>
      <c r="I1517" s="37" t="inlineStr">
        <is>
          <t>10+</t>
        </is>
      </c>
      <c r="J1517" s="11">
        <f>IFERROR(INDEX('Уроки'!$H:$H,MATCH(F1517,'Уроки'!$A:$A,0)),"")</f>
        <v/>
      </c>
      <c r="K1517" s="11">
        <f>IFERROR(INDEX('Уроки'!$J:$J,MATCH(F1517,'Уроки'!$A:$A,0)),"")</f>
        <v/>
      </c>
      <c r="L1517" s="11" t="inlineStr">
        <is>
          <t>Spotlight / 10 класс / Module 7 · Let's have fun / Passive Voice / Passive Voice: by + исполнитель vs with + инструмент/материал</t>
        </is>
      </c>
    </row>
    <row r="1518">
      <c r="A1518" s="37" t="n">
        <v>10</v>
      </c>
      <c r="B1518" s="11" t="inlineStr">
        <is>
          <t>Module 7 · Let's have fun</t>
        </is>
      </c>
      <c r="C1518" s="11" t="inlineStr">
        <is>
          <t>7c</t>
        </is>
      </c>
      <c r="D1518" s="11" t="inlineStr">
        <is>
          <t>Passive Voice</t>
        </is>
      </c>
      <c r="E1518" s="35" t="inlineStr">
        <is>
          <t>Passive Voice: когда агент опускается (they, people, someone…)</t>
        </is>
      </c>
      <c r="F1518" s="11" t="inlineStr">
        <is>
          <t>Ст-284</t>
        </is>
      </c>
      <c r="G1518" s="37" t="inlineStr">
        <is>
          <t>повторение</t>
        </is>
      </c>
      <c r="H1518" s="11" t="inlineStr"/>
      <c r="I1518" s="37" t="inlineStr">
        <is>
          <t>10+</t>
        </is>
      </c>
      <c r="J1518" s="11">
        <f>IFERROR(INDEX('Уроки'!$H:$H,MATCH(F1518,'Уроки'!$A:$A,0)),"")</f>
        <v/>
      </c>
      <c r="K1518" s="11">
        <f>IFERROR(INDEX('Уроки'!$J:$J,MATCH(F1518,'Уроки'!$A:$A,0)),"")</f>
        <v/>
      </c>
      <c r="L1518" s="11" t="inlineStr">
        <is>
          <t>Spotlight / 10 класс / Module 7 · Let's have fun / Passive Voice / Passive Voice: когда агент опускается (they, people, someone…)</t>
        </is>
      </c>
    </row>
    <row r="1519">
      <c r="A1519" s="37" t="n">
        <v>10</v>
      </c>
      <c r="B1519" s="11" t="inlineStr">
        <is>
          <t>Module 7 · Let's have fun</t>
        </is>
      </c>
      <c r="C1519" s="11" t="inlineStr">
        <is>
          <t>7c</t>
        </is>
      </c>
      <c r="D1519" s="11" t="inlineStr">
        <is>
          <t>Passive Voice</t>
        </is>
      </c>
      <c r="E1519" s="35" t="inlineStr">
        <is>
          <t>Passive Voice: глаголы без пассива (непереходные; have, fit, suit, resemble…)</t>
        </is>
      </c>
      <c r="F1519" s="11" t="inlineStr">
        <is>
          <t>Ст-285</t>
        </is>
      </c>
      <c r="G1519" s="37" t="inlineStr">
        <is>
          <t>повторение</t>
        </is>
      </c>
      <c r="H1519" s="11" t="inlineStr"/>
      <c r="I1519" s="37" t="inlineStr">
        <is>
          <t>10+</t>
        </is>
      </c>
      <c r="J1519" s="11">
        <f>IFERROR(INDEX('Уроки'!$H:$H,MATCH(F1519,'Уроки'!$A:$A,0)),"")</f>
        <v/>
      </c>
      <c r="K1519" s="11">
        <f>IFERROR(INDEX('Уроки'!$J:$J,MATCH(F1519,'Уроки'!$A:$A,0)),"")</f>
        <v/>
      </c>
      <c r="L1519" s="11" t="inlineStr">
        <is>
          <t>Spotlight / 10 класс / Module 7 · Let's have fun / Passive Voice / Passive Voice: глаголы без пассива (непереходные; have, fit, suit, resemble…)</t>
        </is>
      </c>
    </row>
    <row r="1520">
      <c r="A1520" s="37" t="n">
        <v>10</v>
      </c>
      <c r="B1520" s="11" t="inlineStr">
        <is>
          <t>Module 7 · Let's have fun</t>
        </is>
      </c>
      <c r="C1520" s="11" t="inlineStr">
        <is>
          <t>7c</t>
        </is>
      </c>
      <c r="D1520" s="11" t="inlineStr">
        <is>
          <t>Passive Voice</t>
        </is>
      </c>
      <c r="E1520" s="35" t="inlineStr">
        <is>
          <t>Passive Voice: get вместо be</t>
        </is>
      </c>
      <c r="F1520" s="11" t="inlineStr">
        <is>
          <t>Ст-286</t>
        </is>
      </c>
      <c r="G1520" s="37" t="inlineStr">
        <is>
          <t>повторение</t>
        </is>
      </c>
      <c r="H1520" s="11" t="inlineStr"/>
      <c r="I1520" s="37" t="inlineStr">
        <is>
          <t>10+</t>
        </is>
      </c>
      <c r="J1520" s="11">
        <f>IFERROR(INDEX('Уроки'!$H:$H,MATCH(F1520,'Уроки'!$A:$A,0)),"")</f>
        <v/>
      </c>
      <c r="K1520" s="11">
        <f>IFERROR(INDEX('Уроки'!$J:$J,MATCH(F1520,'Уроки'!$A:$A,0)),"")</f>
        <v/>
      </c>
      <c r="L1520" s="11" t="inlineStr">
        <is>
          <t>Spotlight / 10 класс / Module 7 · Let's have fun / Passive Voice / Passive Voice: get вместо be</t>
        </is>
      </c>
    </row>
    <row r="1521">
      <c r="A1521" s="37" t="n">
        <v>10</v>
      </c>
      <c r="B1521" s="11" t="inlineStr">
        <is>
          <t>Module 7 · Let's have fun</t>
        </is>
      </c>
      <c r="C1521" s="11" t="inlineStr">
        <is>
          <t>7c</t>
        </is>
      </c>
      <c r="D1521" s="11" t="inlineStr">
        <is>
          <t>Passive Voice</t>
        </is>
      </c>
      <c r="E1521" s="35" t="inlineStr">
        <is>
          <t>Passive Voice: глаголы с двумя дополнениями (give, offer, send…)</t>
        </is>
      </c>
      <c r="F1521" s="11" t="inlineStr">
        <is>
          <t>Ст-287</t>
        </is>
      </c>
      <c r="G1521" s="37" t="inlineStr">
        <is>
          <t>повторение</t>
        </is>
      </c>
      <c r="H1521" s="11" t="inlineStr"/>
      <c r="I1521" s="37" t="inlineStr">
        <is>
          <t>10+</t>
        </is>
      </c>
      <c r="J1521" s="11">
        <f>IFERROR(INDEX('Уроки'!$H:$H,MATCH(F1521,'Уроки'!$A:$A,0)),"")</f>
        <v/>
      </c>
      <c r="K1521" s="11">
        <f>IFERROR(INDEX('Уроки'!$J:$J,MATCH(F1521,'Уроки'!$A:$A,0)),"")</f>
        <v/>
      </c>
      <c r="L1521" s="11" t="inlineStr">
        <is>
          <t>Spotlight / 10 класс / Module 7 · Let's have fun / Passive Voice / Passive Voice: глаголы с двумя дополнениями (give, offer, send…)</t>
        </is>
      </c>
    </row>
    <row r="1522">
      <c r="A1522" s="37" t="n">
        <v>10</v>
      </c>
      <c r="B1522" s="11" t="inlineStr">
        <is>
          <t>Module 7 · Let's have fun</t>
        </is>
      </c>
      <c r="C1522" s="11" t="inlineStr">
        <is>
          <t>7c</t>
        </is>
      </c>
      <c r="D1522" s="11" t="inlineStr">
        <is>
          <t>Passive Voice</t>
        </is>
      </c>
      <c r="E1522" s="35" t="inlineStr">
        <is>
          <t>Passive Voice: by в вопросах с who/whom/which</t>
        </is>
      </c>
      <c r="F1522" s="11" t="inlineStr">
        <is>
          <t>Ст-288</t>
        </is>
      </c>
      <c r="G1522" s="37" t="inlineStr">
        <is>
          <t>повторение</t>
        </is>
      </c>
      <c r="H1522" s="11" t="inlineStr"/>
      <c r="I1522" s="37" t="inlineStr">
        <is>
          <t>10+</t>
        </is>
      </c>
      <c r="J1522" s="11">
        <f>IFERROR(INDEX('Уроки'!$H:$H,MATCH(F1522,'Уроки'!$A:$A,0)),"")</f>
        <v/>
      </c>
      <c r="K1522" s="11">
        <f>IFERROR(INDEX('Уроки'!$J:$J,MATCH(F1522,'Уроки'!$A:$A,0)),"")</f>
        <v/>
      </c>
      <c r="L1522" s="11" t="inlineStr">
        <is>
          <t>Spotlight / 10 класс / Module 7 · Let's have fun / Passive Voice / Passive Voice: by в вопросах с who/whom/which</t>
        </is>
      </c>
    </row>
    <row r="1523">
      <c r="A1523" s="37" t="n">
        <v>10</v>
      </c>
      <c r="B1523" s="11" t="inlineStr">
        <is>
          <t>Module 7 · Let's have fun</t>
        </is>
      </c>
      <c r="C1523" s="11" t="inlineStr">
        <is>
          <t>7c</t>
        </is>
      </c>
      <c r="D1523" s="11" t="inlineStr">
        <is>
          <t>Passive Voice</t>
        </is>
      </c>
      <c r="E1523" s="35" t="inlineStr">
        <is>
          <t>Passive Voice: make/hear/see/help + to-inf в пассиве; see/hear/watch + -ing</t>
        </is>
      </c>
      <c r="F1523" s="11" t="inlineStr">
        <is>
          <t>Ст-289</t>
        </is>
      </c>
      <c r="G1523" s="37" t="inlineStr">
        <is>
          <t>повторение</t>
        </is>
      </c>
      <c r="H1523" s="11" t="inlineStr"/>
      <c r="I1523" s="37" t="inlineStr">
        <is>
          <t>10+</t>
        </is>
      </c>
      <c r="J1523" s="11">
        <f>IFERROR(INDEX('Уроки'!$H:$H,MATCH(F1523,'Уроки'!$A:$A,0)),"")</f>
        <v/>
      </c>
      <c r="K1523" s="11">
        <f>IFERROR(INDEX('Уроки'!$J:$J,MATCH(F1523,'Уроки'!$A:$A,0)),"")</f>
        <v/>
      </c>
      <c r="L1523" s="11" t="inlineStr">
        <is>
          <t>Spotlight / 10 класс / Module 7 · Let's have fun / Passive Voice / Passive Voice: make/hear/see/help + to-inf в пассиве; see/hear/watch + -ing</t>
        </is>
      </c>
    </row>
    <row r="1524">
      <c r="A1524" s="37" t="n">
        <v>10</v>
      </c>
      <c r="B1524" s="11" t="inlineStr">
        <is>
          <t>Module 7 · Let's have fun</t>
        </is>
      </c>
      <c r="C1524" s="11" t="inlineStr">
        <is>
          <t>7c</t>
        </is>
      </c>
      <c r="D1524" s="11" t="inlineStr">
        <is>
          <t>Phrasal verbs</t>
        </is>
      </c>
      <c r="E1524" s="35" t="inlineStr">
        <is>
          <t>Phrasal verbs: turn</t>
        </is>
      </c>
      <c r="F1524" s="11" t="inlineStr">
        <is>
          <t>Ст-600</t>
        </is>
      </c>
      <c r="G1524" s="37" t="inlineStr">
        <is>
          <t>повторение</t>
        </is>
      </c>
      <c r="H1524" s="11" t="inlineStr">
        <is>
          <t>Фразовые глаголы с turn (ToC: «phrasal verbs (turn)»); состав частиц и значения в источнике не даны.</t>
        </is>
      </c>
      <c r="I1524" s="37" t="inlineStr">
        <is>
          <t>10+</t>
        </is>
      </c>
      <c r="J1524" s="11">
        <f>IFERROR(INDEX('Уроки'!$H:$H,MATCH(F1524,'Уроки'!$A:$A,0)),"")</f>
        <v/>
      </c>
      <c r="K1524" s="11">
        <f>IFERROR(INDEX('Уроки'!$J:$J,MATCH(F1524,'Уроки'!$A:$A,0)),"")</f>
        <v/>
      </c>
      <c r="L1524" s="11" t="inlineStr">
        <is>
          <t>Spotlight / 10 класс / Module 7 · Let's have fun / Phrasal verbs / Phrasal verbs: turn</t>
        </is>
      </c>
    </row>
    <row r="1525">
      <c r="A1525" s="37" t="n">
        <v>10</v>
      </c>
      <c r="B1525" s="11" t="inlineStr">
        <is>
          <t>Module 7 · Let's have fun</t>
        </is>
      </c>
      <c r="C1525" s="11" t="inlineStr">
        <is>
          <t>7c</t>
        </is>
      </c>
      <c r="D1525" s="11" t="inlineStr">
        <is>
          <t>Word formation</t>
        </is>
      </c>
      <c r="E1525" s="33" t="inlineStr">
        <is>
          <t>Word formation: compound adjectives</t>
        </is>
      </c>
      <c r="F1525" s="11" t="inlineStr">
        <is>
          <t>Ст-619</t>
        </is>
      </c>
      <c r="G1525" s="37" t="inlineStr">
        <is>
          <t>повторение</t>
        </is>
      </c>
      <c r="H1525" s="11" t="inlineStr">
        <is>
          <t>Образование сложных прилагательных (ToC: «forming compound adjectives»).</t>
        </is>
      </c>
      <c r="I1525" s="37" t="inlineStr">
        <is>
          <t>10+</t>
        </is>
      </c>
      <c r="J1525" s="11">
        <f>IFERROR(INDEX('Уроки'!$H:$H,MATCH(F1525,'Уроки'!$A:$A,0)),"")</f>
        <v/>
      </c>
      <c r="K1525" s="11">
        <f>IFERROR(INDEX('Уроки'!$J:$J,MATCH(F1525,'Уроки'!$A:$A,0)),"")</f>
        <v/>
      </c>
      <c r="L1525" s="11" t="inlineStr">
        <is>
          <t>Spotlight / 10 класс / Module 7 · Let's have fun / Word formation / Word formation: compound adjectives</t>
        </is>
      </c>
    </row>
    <row r="1526">
      <c r="A1526" s="37" t="n">
        <v>10</v>
      </c>
      <c r="B1526" s="11" t="inlineStr">
        <is>
          <t>Module 8 · Technology</t>
        </is>
      </c>
      <c r="C1526" s="11" t="inlineStr">
        <is>
          <t>8c</t>
        </is>
      </c>
      <c r="D1526" s="11" t="inlineStr">
        <is>
          <t>Reported Speech: modal verbs</t>
        </is>
      </c>
      <c r="E1526" s="35" t="inlineStr">
        <is>
          <t>Reported Speech: modal verbs: will/shall → would</t>
        </is>
      </c>
      <c r="F1526" s="11" t="inlineStr">
        <is>
          <t>Ст-188</t>
        </is>
      </c>
      <c r="G1526" s="37" t="inlineStr">
        <is>
          <t>повторение</t>
        </is>
      </c>
      <c r="H1526" s="11" t="inlineStr"/>
      <c r="I1526" s="37" t="inlineStr">
        <is>
          <t>10+</t>
        </is>
      </c>
      <c r="J1526" s="11">
        <f>IFERROR(INDEX('Уроки'!$H:$H,MATCH(F1526,'Уроки'!$A:$A,0)),"")</f>
        <v/>
      </c>
      <c r="K1526" s="11">
        <f>IFERROR(INDEX('Уроки'!$J:$J,MATCH(F1526,'Уроки'!$A:$A,0)),"")</f>
        <v/>
      </c>
      <c r="L1526" s="11" t="inlineStr">
        <is>
          <t>Spotlight / 10 класс / Module 8 · Technology / Reported Speech: modal verbs / Reported Speech: modal verbs: will/shall → would</t>
        </is>
      </c>
    </row>
    <row r="1527">
      <c r="A1527" s="37" t="n">
        <v>10</v>
      </c>
      <c r="B1527" s="11" t="inlineStr">
        <is>
          <t>Module 8 · Technology</t>
        </is>
      </c>
      <c r="C1527" s="11" t="inlineStr">
        <is>
          <t>8c</t>
        </is>
      </c>
      <c r="D1527" s="11" t="inlineStr">
        <is>
          <t>Reported Speech: modal verbs</t>
        </is>
      </c>
      <c r="E1527" s="35" t="inlineStr">
        <is>
          <t>Reported Speech: modal verbs: can → could / would be able to</t>
        </is>
      </c>
      <c r="F1527" s="11" t="inlineStr">
        <is>
          <t>Ст-189</t>
        </is>
      </c>
      <c r="G1527" s="37" t="inlineStr">
        <is>
          <t>повторение</t>
        </is>
      </c>
      <c r="H1527" s="11" t="inlineStr"/>
      <c r="I1527" s="37" t="inlineStr">
        <is>
          <t>10+</t>
        </is>
      </c>
      <c r="J1527" s="11">
        <f>IFERROR(INDEX('Уроки'!$H:$H,MATCH(F1527,'Уроки'!$A:$A,0)),"")</f>
        <v/>
      </c>
      <c r="K1527" s="11">
        <f>IFERROR(INDEX('Уроки'!$J:$J,MATCH(F1527,'Уроки'!$A:$A,0)),"")</f>
        <v/>
      </c>
      <c r="L1527" s="11" t="inlineStr">
        <is>
          <t>Spotlight / 10 класс / Module 8 · Technology / Reported Speech: modal verbs / Reported Speech: modal verbs: can → could / would be able to</t>
        </is>
      </c>
    </row>
    <row r="1528">
      <c r="A1528" s="37" t="n">
        <v>10</v>
      </c>
      <c r="B1528" s="11" t="inlineStr">
        <is>
          <t>Module 8 · Technology</t>
        </is>
      </c>
      <c r="C1528" s="11" t="inlineStr">
        <is>
          <t>8c</t>
        </is>
      </c>
      <c r="D1528" s="11" t="inlineStr">
        <is>
          <t>Reported Speech: modal verbs</t>
        </is>
      </c>
      <c r="E1528" s="35" t="inlineStr">
        <is>
          <t>Reported Speech: modal verbs: may → might/could</t>
        </is>
      </c>
      <c r="F1528" s="11" t="inlineStr">
        <is>
          <t>Ст-190</t>
        </is>
      </c>
      <c r="G1528" s="37" t="inlineStr">
        <is>
          <t>повторение</t>
        </is>
      </c>
      <c r="H1528" s="11" t="inlineStr"/>
      <c r="I1528" s="37" t="inlineStr">
        <is>
          <t>10+</t>
        </is>
      </c>
      <c r="J1528" s="11">
        <f>IFERROR(INDEX('Уроки'!$H:$H,MATCH(F1528,'Уроки'!$A:$A,0)),"")</f>
        <v/>
      </c>
      <c r="K1528" s="11">
        <f>IFERROR(INDEX('Уроки'!$J:$J,MATCH(F1528,'Уроки'!$A:$A,0)),"")</f>
        <v/>
      </c>
      <c r="L1528" s="11" t="inlineStr">
        <is>
          <t>Spotlight / 10 класс / Module 8 · Technology / Reported Speech: modal verbs / Reported Speech: modal verbs: may → might/could</t>
        </is>
      </c>
    </row>
    <row r="1529">
      <c r="A1529" s="37" t="n">
        <v>10</v>
      </c>
      <c r="B1529" s="11" t="inlineStr">
        <is>
          <t>Module 8 · Technology</t>
        </is>
      </c>
      <c r="C1529" s="11" t="inlineStr">
        <is>
          <t>8c</t>
        </is>
      </c>
      <c r="D1529" s="11" t="inlineStr">
        <is>
          <t>Reported Speech: modal verbs</t>
        </is>
      </c>
      <c r="E1529" s="35" t="inlineStr">
        <is>
          <t>Reported Speech: modal verbs: shall → should / would / offered</t>
        </is>
      </c>
      <c r="F1529" s="11" t="inlineStr">
        <is>
          <t>Ст-191</t>
        </is>
      </c>
      <c r="G1529" s="37" t="inlineStr">
        <is>
          <t>повторение</t>
        </is>
      </c>
      <c r="H1529" s="11" t="inlineStr"/>
      <c r="I1529" s="37" t="inlineStr">
        <is>
          <t>10+</t>
        </is>
      </c>
      <c r="J1529" s="11">
        <f>IFERROR(INDEX('Уроки'!$H:$H,MATCH(F1529,'Уроки'!$A:$A,0)),"")</f>
        <v/>
      </c>
      <c r="K1529" s="11">
        <f>IFERROR(INDEX('Уроки'!$J:$J,MATCH(F1529,'Уроки'!$A:$A,0)),"")</f>
        <v/>
      </c>
      <c r="L1529" s="11" t="inlineStr">
        <is>
          <t>Spotlight / 10 класс / Module 8 · Technology / Reported Speech: modal verbs / Reported Speech: modal verbs: shall → should / would / offered</t>
        </is>
      </c>
    </row>
    <row r="1530">
      <c r="A1530" s="37" t="n">
        <v>10</v>
      </c>
      <c r="B1530" s="11" t="inlineStr">
        <is>
          <t>Module 8 · Technology</t>
        </is>
      </c>
      <c r="C1530" s="11" t="inlineStr">
        <is>
          <t>8c</t>
        </is>
      </c>
      <c r="D1530" s="11" t="inlineStr">
        <is>
          <t>Reported Speech: modal verbs</t>
        </is>
      </c>
      <c r="E1530" s="35" t="inlineStr">
        <is>
          <t>Reported Speech: modal verbs: must → had to (обязанность) / must (вывод)</t>
        </is>
      </c>
      <c r="F1530" s="11" t="inlineStr">
        <is>
          <t>Ст-192</t>
        </is>
      </c>
      <c r="G1530" s="37" t="inlineStr">
        <is>
          <t>повторение</t>
        </is>
      </c>
      <c r="H1530" s="11" t="inlineStr"/>
      <c r="I1530" s="37" t="inlineStr">
        <is>
          <t>10+</t>
        </is>
      </c>
      <c r="J1530" s="11">
        <f>IFERROR(INDEX('Уроки'!$H:$H,MATCH(F1530,'Уроки'!$A:$A,0)),"")</f>
        <v/>
      </c>
      <c r="K1530" s="11">
        <f>IFERROR(INDEX('Уроки'!$J:$J,MATCH(F1530,'Уроки'!$A:$A,0)),"")</f>
        <v/>
      </c>
      <c r="L1530" s="11" t="inlineStr">
        <is>
          <t>Spotlight / 10 класс / Module 8 · Technology / Reported Speech: modal verbs / Reported Speech: modal verbs: must → had to (обязанность) / must (вывод)</t>
        </is>
      </c>
    </row>
    <row r="1531">
      <c r="A1531" s="37" t="n">
        <v>10</v>
      </c>
      <c r="B1531" s="11" t="inlineStr">
        <is>
          <t>Module 8 · Technology</t>
        </is>
      </c>
      <c r="C1531" s="11" t="inlineStr">
        <is>
          <t>8c</t>
        </is>
      </c>
      <c r="D1531" s="11" t="inlineStr">
        <is>
          <t>Reported Speech: modal verbs</t>
        </is>
      </c>
      <c r="E1531" s="35" t="inlineStr">
        <is>
          <t>Reported Speech: modal verbs: needn't → didn't need to / didn't have to / wouldn't have to</t>
        </is>
      </c>
      <c r="F1531" s="11" t="inlineStr">
        <is>
          <t>Ст-193</t>
        </is>
      </c>
      <c r="G1531" s="37" t="inlineStr">
        <is>
          <t>повторение</t>
        </is>
      </c>
      <c r="H1531" s="11" t="inlineStr"/>
      <c r="I1531" s="37" t="inlineStr">
        <is>
          <t>10+</t>
        </is>
      </c>
      <c r="J1531" s="11">
        <f>IFERROR(INDEX('Уроки'!$H:$H,MATCH(F1531,'Уроки'!$A:$A,0)),"")</f>
        <v/>
      </c>
      <c r="K1531" s="11">
        <f>IFERROR(INDEX('Уроки'!$J:$J,MATCH(F1531,'Уроки'!$A:$A,0)),"")</f>
        <v/>
      </c>
      <c r="L1531" s="11" t="inlineStr">
        <is>
          <t>Spotlight / 10 класс / Module 8 · Technology / Reported Speech: modal verbs / Reported Speech: modal verbs: needn't → didn't need to / didn't have to / wouldn't have to</t>
        </is>
      </c>
    </row>
    <row r="1532">
      <c r="A1532" s="37" t="n">
        <v>10</v>
      </c>
      <c r="B1532" s="11" t="inlineStr">
        <is>
          <t>Module 8 · Technology</t>
        </is>
      </c>
      <c r="C1532" s="11" t="inlineStr">
        <is>
          <t>8c</t>
        </is>
      </c>
      <c r="D1532" s="11" t="inlineStr">
        <is>
          <t>Reported Speech: modal verbs</t>
        </is>
      </c>
      <c r="E1532" s="35" t="inlineStr">
        <is>
          <t>Reported Speech: modal verbs: не меняются (would, could, used to, mustn't, should, might, ought to, had better)</t>
        </is>
      </c>
      <c r="F1532" s="11" t="inlineStr">
        <is>
          <t>Ст-194</t>
        </is>
      </c>
      <c r="G1532" s="37" t="inlineStr">
        <is>
          <t>повторение</t>
        </is>
      </c>
      <c r="H1532" s="11" t="inlineStr"/>
      <c r="I1532" s="37" t="inlineStr">
        <is>
          <t>10+</t>
        </is>
      </c>
      <c r="J1532" s="11">
        <f>IFERROR(INDEX('Уроки'!$H:$H,MATCH(F1532,'Уроки'!$A:$A,0)),"")</f>
        <v/>
      </c>
      <c r="K1532" s="11">
        <f>IFERROR(INDEX('Уроки'!$J:$J,MATCH(F1532,'Уроки'!$A:$A,0)),"")</f>
        <v/>
      </c>
      <c r="L1532" s="11" t="inlineStr">
        <is>
          <t>Spotlight / 10 класс / Module 8 · Technology / Reported Speech: modal verbs / Reported Speech: modal verbs: не меняются (would, could, used to, mustn't, should, might, ought to, had better)</t>
        </is>
      </c>
    </row>
    <row r="1533">
      <c r="A1533" s="37" t="n">
        <v>10</v>
      </c>
      <c r="B1533" s="11" t="inlineStr">
        <is>
          <t>Module 8 · Technology</t>
        </is>
      </c>
      <c r="C1533" s="11" t="inlineStr">
        <is>
          <t>8c</t>
        </is>
      </c>
      <c r="D1533" s="11" t="inlineStr">
        <is>
          <t>Reported Speech</t>
        </is>
      </c>
      <c r="E1533" s="35" t="inlineStr">
        <is>
          <t>Reported Speech: прямая vs косвенная речь, that можно опустить</t>
        </is>
      </c>
      <c r="F1533" s="11" t="inlineStr">
        <is>
          <t>Ст-290</t>
        </is>
      </c>
      <c r="G1533" s="37" t="inlineStr">
        <is>
          <t>повторение</t>
        </is>
      </c>
      <c r="H1533" s="11" t="inlineStr"/>
      <c r="I1533" s="37" t="inlineStr">
        <is>
          <t>10+</t>
        </is>
      </c>
      <c r="J1533" s="11">
        <f>IFERROR(INDEX('Уроки'!$H:$H,MATCH(F1533,'Уроки'!$A:$A,0)),"")</f>
        <v/>
      </c>
      <c r="K1533" s="11">
        <f>IFERROR(INDEX('Уроки'!$J:$J,MATCH(F1533,'Уроки'!$A:$A,0)),"")</f>
        <v/>
      </c>
      <c r="L1533" s="11" t="inlineStr">
        <is>
          <t>Spotlight / 10 класс / Module 8 · Technology / Reported Speech / Reported Speech: прямая vs косвенная речь, that можно опустить</t>
        </is>
      </c>
    </row>
    <row r="1534">
      <c r="A1534" s="37" t="n">
        <v>10</v>
      </c>
      <c r="B1534" s="11" t="inlineStr">
        <is>
          <t>Module 8 · Technology</t>
        </is>
      </c>
      <c r="C1534" s="11" t="inlineStr">
        <is>
          <t>8c</t>
        </is>
      </c>
      <c r="D1534" s="11" t="inlineStr">
        <is>
          <t>Reported Speech</t>
        </is>
      </c>
      <c r="E1534" s="35" t="inlineStr">
        <is>
          <t>Reported Speech: say vs tell (say to sb, tell sb)</t>
        </is>
      </c>
      <c r="F1534" s="11" t="inlineStr">
        <is>
          <t>Ст-291</t>
        </is>
      </c>
      <c r="G1534" s="37" t="inlineStr">
        <is>
          <t>повторение</t>
        </is>
      </c>
      <c r="H1534" s="11" t="inlineStr"/>
      <c r="I1534" s="37" t="inlineStr">
        <is>
          <t>10+</t>
        </is>
      </c>
      <c r="J1534" s="11">
        <f>IFERROR(INDEX('Уроки'!$H:$H,MATCH(F1534,'Уроки'!$A:$A,0)),"")</f>
        <v/>
      </c>
      <c r="K1534" s="11">
        <f>IFERROR(INDEX('Уроки'!$J:$J,MATCH(F1534,'Уроки'!$A:$A,0)),"")</f>
        <v/>
      </c>
      <c r="L1534" s="11" t="inlineStr">
        <is>
          <t>Spotlight / 10 класс / Module 8 · Technology / Reported Speech / Reported Speech: say vs tell (say to sb, tell sb)</t>
        </is>
      </c>
    </row>
    <row r="1535">
      <c r="A1535" s="37" t="n">
        <v>10</v>
      </c>
      <c r="B1535" s="11" t="inlineStr">
        <is>
          <t>Module 8 · Technology</t>
        </is>
      </c>
      <c r="C1535" s="11" t="inlineStr">
        <is>
          <t>8c</t>
        </is>
      </c>
      <c r="D1535" s="11" t="inlineStr">
        <is>
          <t>Reported Speech</t>
        </is>
      </c>
      <c r="E1535" s="35" t="inlineStr">
        <is>
          <t>Reported Speech: say + to-inf; speak/talk about (не say about)</t>
        </is>
      </c>
      <c r="F1535" s="11" t="inlineStr">
        <is>
          <t>Ст-292</t>
        </is>
      </c>
      <c r="G1535" s="37" t="inlineStr">
        <is>
          <t>повторение</t>
        </is>
      </c>
      <c r="H1535" s="11" t="inlineStr"/>
      <c r="I1535" s="37" t="inlineStr">
        <is>
          <t>10+</t>
        </is>
      </c>
      <c r="J1535" s="11">
        <f>IFERROR(INDEX('Уроки'!$H:$H,MATCH(F1535,'Уроки'!$A:$A,0)),"")</f>
        <v/>
      </c>
      <c r="K1535" s="11">
        <f>IFERROR(INDEX('Уроки'!$J:$J,MATCH(F1535,'Уроки'!$A:$A,0)),"")</f>
        <v/>
      </c>
      <c r="L1535" s="11" t="inlineStr">
        <is>
          <t>Spotlight / 10 класс / Module 8 · Technology / Reported Speech / Reported Speech: say + to-inf; speak/talk about (не say about)</t>
        </is>
      </c>
    </row>
    <row r="1536">
      <c r="A1536" s="37" t="n">
        <v>10</v>
      </c>
      <c r="B1536" s="11" t="inlineStr">
        <is>
          <t>Module 8 · Technology</t>
        </is>
      </c>
      <c r="C1536" s="11" t="inlineStr">
        <is>
          <t>8c</t>
        </is>
      </c>
      <c r="D1536" s="11" t="inlineStr">
        <is>
          <t>Reported Speech</t>
        </is>
      </c>
      <c r="E1536" s="35" t="inlineStr">
        <is>
          <t>Reported Speech: устойчивые сочетания с say/tell/ask</t>
        </is>
      </c>
      <c r="F1536" s="11" t="inlineStr">
        <is>
          <t>Ст-293</t>
        </is>
      </c>
      <c r="G1536" s="37" t="inlineStr">
        <is>
          <t>повторение</t>
        </is>
      </c>
      <c r="H1536" s="11" t="inlineStr"/>
      <c r="I1536" s="37" t="inlineStr">
        <is>
          <t>10+</t>
        </is>
      </c>
      <c r="J1536" s="11">
        <f>IFERROR(INDEX('Уроки'!$H:$H,MATCH(F1536,'Уроки'!$A:$A,0)),"")</f>
        <v/>
      </c>
      <c r="K1536" s="11">
        <f>IFERROR(INDEX('Уроки'!$J:$J,MATCH(F1536,'Уроки'!$A:$A,0)),"")</f>
        <v/>
      </c>
      <c r="L1536" s="11" t="inlineStr">
        <is>
          <t>Spotlight / 10 класс / Module 8 · Technology / Reported Speech / Reported Speech: устойчивые сочетания с say/tell/ask</t>
        </is>
      </c>
    </row>
    <row r="1537">
      <c r="A1537" s="37" t="n">
        <v>10</v>
      </c>
      <c r="B1537" s="11" t="inlineStr">
        <is>
          <t>Module 8 · Technology</t>
        </is>
      </c>
      <c r="C1537" s="11" t="inlineStr">
        <is>
          <t>8c</t>
        </is>
      </c>
      <c r="D1537" s="11" t="inlineStr">
        <is>
          <t>Reported Speech</t>
        </is>
      </c>
      <c r="E1537" s="35" t="inlineStr">
        <is>
          <t>Reported Speech: без сдвига времён — вводящий глагол в настоящем (up-to-date reporting)</t>
        </is>
      </c>
      <c r="F1537" s="11" t="inlineStr">
        <is>
          <t>Ст-295</t>
        </is>
      </c>
      <c r="G1537" s="37" t="inlineStr">
        <is>
          <t>повторение</t>
        </is>
      </c>
      <c r="H1537" s="11" t="inlineStr"/>
      <c r="I1537" s="37" t="inlineStr">
        <is>
          <t>10+</t>
        </is>
      </c>
      <c r="J1537" s="11">
        <f>IFERROR(INDEX('Уроки'!$H:$H,MATCH(F1537,'Уроки'!$A:$A,0)),"")</f>
        <v/>
      </c>
      <c r="K1537" s="11">
        <f>IFERROR(INDEX('Уроки'!$J:$J,MATCH(F1537,'Уроки'!$A:$A,0)),"")</f>
        <v/>
      </c>
      <c r="L1537" s="11" t="inlineStr">
        <is>
          <t>Spotlight / 10 класс / Module 8 · Technology / Reported Speech / Reported Speech: без сдвига времён — вводящий глагол в настоящем (up-to-date reporting)</t>
        </is>
      </c>
    </row>
    <row r="1538">
      <c r="A1538" s="37" t="n">
        <v>10</v>
      </c>
      <c r="B1538" s="11" t="inlineStr">
        <is>
          <t>Module 8 · Technology</t>
        </is>
      </c>
      <c r="C1538" s="11" t="inlineStr">
        <is>
          <t>8c</t>
        </is>
      </c>
      <c r="D1538" s="11" t="inlineStr">
        <is>
          <t>Reported Speech</t>
        </is>
      </c>
      <c r="E1538" s="35" t="inlineStr">
        <is>
          <t>Reported Speech: без сдвига времён — общие истины, условные 2/3 типа, wish, сразу после сказанного</t>
        </is>
      </c>
      <c r="F1538" s="11" t="inlineStr">
        <is>
          <t>Ст-296</t>
        </is>
      </c>
      <c r="G1538" s="37" t="inlineStr">
        <is>
          <t>повторение</t>
        </is>
      </c>
      <c r="H1538" s="11" t="inlineStr">
        <is>
          <t>+ unreal past</t>
        </is>
      </c>
      <c r="I1538" s="37" t="inlineStr">
        <is>
          <t>10+</t>
        </is>
      </c>
      <c r="J1538" s="11">
        <f>IFERROR(INDEX('Уроки'!$H:$H,MATCH(F1538,'Уроки'!$A:$A,0)),"")</f>
        <v/>
      </c>
      <c r="K1538" s="11">
        <f>IFERROR(INDEX('Уроки'!$J:$J,MATCH(F1538,'Уроки'!$A:$A,0)),"")</f>
        <v/>
      </c>
      <c r="L1538" s="11" t="inlineStr">
        <is>
          <t>Spotlight / 10 класс / Module 8 · Technology / Reported Speech / Reported Speech: без сдвига времён — общие истины, условные 2/3 типа, wish, сразу после сказанного</t>
        </is>
      </c>
    </row>
    <row r="1539">
      <c r="A1539" s="37" t="n">
        <v>10</v>
      </c>
      <c r="B1539" s="11" t="inlineStr">
        <is>
          <t>Module 8 · Technology</t>
        </is>
      </c>
      <c r="C1539" s="11" t="inlineStr">
        <is>
          <t>8c</t>
        </is>
      </c>
      <c r="D1539" s="11" t="inlineStr">
        <is>
          <t>Reported Speech</t>
        </is>
      </c>
      <c r="E1539" s="35" t="inlineStr">
        <is>
          <t>Reported Speech: сдвиг времён (Present → Past, Past → Past Perfect, will → would)</t>
        </is>
      </c>
      <c r="F1539" s="11" t="inlineStr">
        <is>
          <t>Ст-297</t>
        </is>
      </c>
      <c r="G1539" s="37" t="inlineStr">
        <is>
          <t>повторение</t>
        </is>
      </c>
      <c r="H1539" s="11" t="inlineStr"/>
      <c r="I1539" s="37" t="inlineStr">
        <is>
          <t>10+</t>
        </is>
      </c>
      <c r="J1539" s="11">
        <f>IFERROR(INDEX('Уроки'!$H:$H,MATCH(F1539,'Уроки'!$A:$A,0)),"")</f>
        <v/>
      </c>
      <c r="K1539" s="11">
        <f>IFERROR(INDEX('Уроки'!$J:$J,MATCH(F1539,'Уроки'!$A:$A,0)),"")</f>
        <v/>
      </c>
      <c r="L1539" s="11" t="inlineStr">
        <is>
          <t>Spotlight / 10 класс / Module 8 · Technology / Reported Speech / Reported Speech: сдвиг времён (Present → Past, Past → Past Perfect, will → would)</t>
        </is>
      </c>
    </row>
    <row r="1540">
      <c r="A1540" s="37" t="n">
        <v>10</v>
      </c>
      <c r="B1540" s="11" t="inlineStr">
        <is>
          <t>Module 8 · Technology</t>
        </is>
      </c>
      <c r="C1540" s="11" t="inlineStr">
        <is>
          <t>8c</t>
        </is>
      </c>
      <c r="D1540" s="11" t="inlineStr">
        <is>
          <t>Reported Speech</t>
        </is>
      </c>
      <c r="E1540" s="35" t="inlineStr">
        <is>
          <t>Reported Speech: слова времени и места (now → then, yesterday → the day before…)</t>
        </is>
      </c>
      <c r="F1540" s="11" t="inlineStr">
        <is>
          <t>Ст-298</t>
        </is>
      </c>
      <c r="G1540" s="37" t="inlineStr">
        <is>
          <t>повторение</t>
        </is>
      </c>
      <c r="H1540" s="11" t="inlineStr"/>
      <c r="I1540" s="37" t="inlineStr">
        <is>
          <t>10+</t>
        </is>
      </c>
      <c r="J1540" s="11">
        <f>IFERROR(INDEX('Уроки'!$H:$H,MATCH(F1540,'Уроки'!$A:$A,0)),"")</f>
        <v/>
      </c>
      <c r="K1540" s="11">
        <f>IFERROR(INDEX('Уроки'!$J:$J,MATCH(F1540,'Уроки'!$A:$A,0)),"")</f>
        <v/>
      </c>
      <c r="L1540" s="11" t="inlineStr">
        <is>
          <t>Spotlight / 10 класс / Module 8 · Technology / Reported Speech / Reported Speech: слова времени и места (now → then, yesterday → the day before…)</t>
        </is>
      </c>
    </row>
    <row r="1541">
      <c r="A1541" s="37" t="n">
        <v>10</v>
      </c>
      <c r="B1541" s="11" t="inlineStr">
        <is>
          <t>Module 8 · Technology</t>
        </is>
      </c>
      <c r="C1541" s="11" t="inlineStr">
        <is>
          <t>8c</t>
        </is>
      </c>
      <c r="D1541" s="11" t="inlineStr">
        <is>
          <t>Reported commands/requests</t>
        </is>
      </c>
      <c r="E1541" s="35" t="inlineStr">
        <is>
          <t>Reported commands: приказы — order/tell + sb + (not) to-inf</t>
        </is>
      </c>
      <c r="F1541" s="11" t="inlineStr">
        <is>
          <t>Ст-299</t>
        </is>
      </c>
      <c r="G1541" s="37" t="inlineStr">
        <is>
          <t>повторение</t>
        </is>
      </c>
      <c r="H1541" s="11" t="inlineStr"/>
      <c r="I1541" s="37" t="inlineStr">
        <is>
          <t>10+</t>
        </is>
      </c>
      <c r="J1541" s="11">
        <f>IFERROR(INDEX('Уроки'!$H:$H,MATCH(F1541,'Уроки'!$A:$A,0)),"")</f>
        <v/>
      </c>
      <c r="K1541" s="11">
        <f>IFERROR(INDEX('Уроки'!$J:$J,MATCH(F1541,'Уроки'!$A:$A,0)),"")</f>
        <v/>
      </c>
      <c r="L1541" s="11" t="inlineStr">
        <is>
          <t>Spotlight / 10 класс / Module 8 · Technology / Reported commands/requests / Reported commands: приказы — order/tell + sb + (not) to-inf</t>
        </is>
      </c>
    </row>
    <row r="1542">
      <c r="A1542" s="37" t="n">
        <v>10</v>
      </c>
      <c r="B1542" s="11" t="inlineStr">
        <is>
          <t>Module 8 · Technology</t>
        </is>
      </c>
      <c r="C1542" s="11" t="inlineStr">
        <is>
          <t>8c</t>
        </is>
      </c>
      <c r="D1542" s="11" t="inlineStr">
        <is>
          <t>Reported commands/requests</t>
        </is>
      </c>
      <c r="E1542" s="35" t="inlineStr">
        <is>
          <t>Reported requests: ask/beg + sb + (not) to-inf</t>
        </is>
      </c>
      <c r="F1542" s="11" t="inlineStr">
        <is>
          <t>Ст-300</t>
        </is>
      </c>
      <c r="G1542" s="37" t="inlineStr">
        <is>
          <t>повторение</t>
        </is>
      </c>
      <c r="H1542" s="11" t="inlineStr"/>
      <c r="I1542" s="37" t="inlineStr">
        <is>
          <t>10+</t>
        </is>
      </c>
      <c r="J1542" s="11">
        <f>IFERROR(INDEX('Уроки'!$H:$H,MATCH(F1542,'Уроки'!$A:$A,0)),"")</f>
        <v/>
      </c>
      <c r="K1542" s="11">
        <f>IFERROR(INDEX('Уроки'!$J:$J,MATCH(F1542,'Уроки'!$A:$A,0)),"")</f>
        <v/>
      </c>
      <c r="L1542" s="11" t="inlineStr">
        <is>
          <t>Spotlight / 10 класс / Module 8 · Technology / Reported commands/requests / Reported requests: ask/beg + sb + (not) to-inf</t>
        </is>
      </c>
    </row>
    <row r="1543">
      <c r="A1543" s="37" t="n">
        <v>10</v>
      </c>
      <c r="B1543" s="11" t="inlineStr">
        <is>
          <t>Module 8 · Technology</t>
        </is>
      </c>
      <c r="C1543" s="11" t="inlineStr">
        <is>
          <t>8c</t>
        </is>
      </c>
      <c r="D1543" s="11" t="inlineStr">
        <is>
          <t>Reported commands/requests</t>
        </is>
      </c>
      <c r="E1543" s="35" t="inlineStr">
        <is>
          <t>Reported suggestions: suggest + -ing / that sb (should) …</t>
        </is>
      </c>
      <c r="F1543" s="11" t="inlineStr">
        <is>
          <t>Ст-301</t>
        </is>
      </c>
      <c r="G1543" s="37" t="inlineStr">
        <is>
          <t>повторение</t>
        </is>
      </c>
      <c r="H1543" s="11" t="inlineStr"/>
      <c r="I1543" s="37" t="inlineStr">
        <is>
          <t>10+</t>
        </is>
      </c>
      <c r="J1543" s="11">
        <f>IFERROR(INDEX('Уроки'!$H:$H,MATCH(F1543,'Уроки'!$A:$A,0)),"")</f>
        <v/>
      </c>
      <c r="K1543" s="11">
        <f>IFERROR(INDEX('Уроки'!$J:$J,MATCH(F1543,'Уроки'!$A:$A,0)),"")</f>
        <v/>
      </c>
      <c r="L1543" s="11" t="inlineStr">
        <is>
          <t>Spotlight / 10 класс / Module 8 · Technology / Reported commands/requests / Reported suggestions: suggest + -ing / that sb (should) …</t>
        </is>
      </c>
    </row>
    <row r="1544">
      <c r="A1544" s="37" t="n">
        <v>10</v>
      </c>
      <c r="B1544" s="11" t="inlineStr">
        <is>
          <t>Module 8 · Technology</t>
        </is>
      </c>
      <c r="C1544" s="11" t="inlineStr">
        <is>
          <t>8c</t>
        </is>
      </c>
      <c r="D1544" s="11" t="inlineStr">
        <is>
          <t>Reported commands/requests</t>
        </is>
      </c>
      <c r="E1544" s="35" t="inlineStr">
        <is>
          <t>Reported advice: advise + sb + (not) to-inf</t>
        </is>
      </c>
      <c r="F1544" s="11" t="inlineStr">
        <is>
          <t>Ст-302</t>
        </is>
      </c>
      <c r="G1544" s="37" t="inlineStr">
        <is>
          <t>повторение</t>
        </is>
      </c>
      <c r="H1544" s="11" t="inlineStr"/>
      <c r="I1544" s="37" t="inlineStr">
        <is>
          <t>10+</t>
        </is>
      </c>
      <c r="J1544" s="11">
        <f>IFERROR(INDEX('Уроки'!$H:$H,MATCH(F1544,'Уроки'!$A:$A,0)),"")</f>
        <v/>
      </c>
      <c r="K1544" s="11">
        <f>IFERROR(INDEX('Уроки'!$J:$J,MATCH(F1544,'Уроки'!$A:$A,0)),"")</f>
        <v/>
      </c>
      <c r="L1544" s="11" t="inlineStr">
        <is>
          <t>Spotlight / 10 класс / Module 8 · Technology / Reported commands/requests / Reported advice: advise + sb + (not) to-inf</t>
        </is>
      </c>
    </row>
    <row r="1545">
      <c r="A1545" s="37" t="n">
        <v>10</v>
      </c>
      <c r="B1545" s="11" t="inlineStr">
        <is>
          <t>Module 8 · Technology</t>
        </is>
      </c>
      <c r="C1545" s="11" t="inlineStr">
        <is>
          <t>8c</t>
        </is>
      </c>
      <c r="D1545" s="11" t="inlineStr">
        <is>
          <t>Reporting verbs</t>
        </is>
      </c>
      <c r="E1545" s="35" t="inlineStr">
        <is>
          <t>Reporting verbs: + to-inf (agree, claim, offer, promise, refuse, threaten…)</t>
        </is>
      </c>
      <c r="F1545" s="11" t="inlineStr">
        <is>
          <t>Ст-310</t>
        </is>
      </c>
      <c r="G1545" s="37" t="inlineStr">
        <is>
          <t>повторение</t>
        </is>
      </c>
      <c r="H1545" s="11" t="inlineStr"/>
      <c r="I1545" s="37" t="inlineStr">
        <is>
          <t>10+</t>
        </is>
      </c>
      <c r="J1545" s="11">
        <f>IFERROR(INDEX('Уроки'!$H:$H,MATCH(F1545,'Уроки'!$A:$A,0)),"")</f>
        <v/>
      </c>
      <c r="K1545" s="11">
        <f>IFERROR(INDEX('Уроки'!$J:$J,MATCH(F1545,'Уроки'!$A:$A,0)),"")</f>
        <v/>
      </c>
      <c r="L1545" s="11" t="inlineStr">
        <is>
          <t>Spotlight / 10 класс / Module 8 · Technology / Reporting verbs / Reporting verbs: + to-inf (agree, claim, offer, promise, refuse, threaten…)</t>
        </is>
      </c>
    </row>
    <row r="1546">
      <c r="A1546" s="37" t="n">
        <v>10</v>
      </c>
      <c r="B1546" s="11" t="inlineStr">
        <is>
          <t>Module 8 · Technology</t>
        </is>
      </c>
      <c r="C1546" s="11" t="inlineStr">
        <is>
          <t>8c</t>
        </is>
      </c>
      <c r="D1546" s="11" t="inlineStr">
        <is>
          <t>Reporting verbs</t>
        </is>
      </c>
      <c r="E1546" s="35" t="inlineStr">
        <is>
          <t>Reporting verbs: + sb + to-inf (advise, allow, encourage, order, remind, warn…)</t>
        </is>
      </c>
      <c r="F1546" s="11" t="inlineStr">
        <is>
          <t>Ст-311</t>
        </is>
      </c>
      <c r="G1546" s="37" t="inlineStr">
        <is>
          <t>повторение</t>
        </is>
      </c>
      <c r="H1546" s="11" t="inlineStr"/>
      <c r="I1546" s="37" t="inlineStr">
        <is>
          <t>10+</t>
        </is>
      </c>
      <c r="J1546" s="11">
        <f>IFERROR(INDEX('Уроки'!$H:$H,MATCH(F1546,'Уроки'!$A:$A,0)),"")</f>
        <v/>
      </c>
      <c r="K1546" s="11">
        <f>IFERROR(INDEX('Уроки'!$J:$J,MATCH(F1546,'Уроки'!$A:$A,0)),"")</f>
        <v/>
      </c>
      <c r="L1546" s="11" t="inlineStr">
        <is>
          <t>Spotlight / 10 класс / Module 8 · Technology / Reporting verbs / Reporting verbs: + sb + to-inf (advise, allow, encourage, order, remind, warn…)</t>
        </is>
      </c>
    </row>
    <row r="1547">
      <c r="A1547" s="37" t="n">
        <v>10</v>
      </c>
      <c r="B1547" s="11" t="inlineStr">
        <is>
          <t>Module 8 · Technology</t>
        </is>
      </c>
      <c r="C1547" s="11" t="inlineStr">
        <is>
          <t>8c</t>
        </is>
      </c>
      <c r="D1547" s="11" t="inlineStr">
        <is>
          <t>Reporting verbs</t>
        </is>
      </c>
      <c r="E1547" s="35" t="inlineStr">
        <is>
          <t>Reporting verbs: + (предлог +) -ing (accuse sb of, apologise for, deny, insist on, suggest…)</t>
        </is>
      </c>
      <c r="F1547" s="11" t="inlineStr">
        <is>
          <t>Ст-312</t>
        </is>
      </c>
      <c r="G1547" s="37" t="inlineStr">
        <is>
          <t>повторение</t>
        </is>
      </c>
      <c r="H1547" s="11" t="inlineStr"/>
      <c r="I1547" s="37" t="inlineStr">
        <is>
          <t>10+</t>
        </is>
      </c>
      <c r="J1547" s="11">
        <f>IFERROR(INDEX('Уроки'!$H:$H,MATCH(F1547,'Уроки'!$A:$A,0)),"")</f>
        <v/>
      </c>
      <c r="K1547" s="11">
        <f>IFERROR(INDEX('Уроки'!$J:$J,MATCH(F1547,'Уроки'!$A:$A,0)),"")</f>
        <v/>
      </c>
      <c r="L1547" s="11" t="inlineStr">
        <is>
          <t>Spotlight / 10 класс / Module 8 · Technology / Reporting verbs / Reporting verbs: + (предлог +) -ing (accuse sb of, apologise for, deny, insist on, suggest…)</t>
        </is>
      </c>
    </row>
    <row r="1548">
      <c r="A1548" s="37" t="n">
        <v>10</v>
      </c>
      <c r="B1548" s="11" t="inlineStr">
        <is>
          <t>Module 8 · Technology</t>
        </is>
      </c>
      <c r="C1548" s="11" t="inlineStr">
        <is>
          <t>8c</t>
        </is>
      </c>
      <c r="D1548" s="11" t="inlineStr">
        <is>
          <t>Reporting verbs</t>
        </is>
      </c>
      <c r="E1548" s="35" t="inlineStr">
        <is>
          <t>Reporting verbs: + that-clause (agree, claim, explain, inform sb, promise…)</t>
        </is>
      </c>
      <c r="F1548" s="11" t="inlineStr">
        <is>
          <t>Ст-313</t>
        </is>
      </c>
      <c r="G1548" s="37" t="inlineStr">
        <is>
          <t>повторение</t>
        </is>
      </c>
      <c r="H1548" s="11" t="inlineStr"/>
      <c r="I1548" s="37" t="inlineStr">
        <is>
          <t>10+</t>
        </is>
      </c>
      <c r="J1548" s="11">
        <f>IFERROR(INDEX('Уроки'!$H:$H,MATCH(F1548,'Уроки'!$A:$A,0)),"")</f>
        <v/>
      </c>
      <c r="K1548" s="11">
        <f>IFERROR(INDEX('Уроки'!$J:$J,MATCH(F1548,'Уроки'!$A:$A,0)),"")</f>
        <v/>
      </c>
      <c r="L1548" s="11" t="inlineStr">
        <is>
          <t>Spotlight / 10 класс / Module 8 · Technology / Reporting verbs / Reporting verbs: + that-clause (agree, claim, explain, inform sb, promise…)</t>
        </is>
      </c>
    </row>
    <row r="1549">
      <c r="A1549" s="37" t="n">
        <v>10</v>
      </c>
      <c r="B1549" s="11" t="inlineStr">
        <is>
          <t>Module 8 · Technology</t>
        </is>
      </c>
      <c r="C1549" s="11" t="inlineStr">
        <is>
          <t>8c</t>
        </is>
      </c>
      <c r="D1549" s="11" t="inlineStr">
        <is>
          <t>Reporting verbs</t>
        </is>
      </c>
      <c r="E1549" s="35" t="inlineStr">
        <is>
          <t>Reporting verbs: explain/wonder + вопросительное слово (+ to-inf / clause)</t>
        </is>
      </c>
      <c r="F1549" s="11" t="inlineStr">
        <is>
          <t>Ст-314</t>
        </is>
      </c>
      <c r="G1549" s="37" t="inlineStr">
        <is>
          <t>повторение</t>
        </is>
      </c>
      <c r="H1549" s="11" t="inlineStr"/>
      <c r="I1549" s="37" t="inlineStr">
        <is>
          <t>10+</t>
        </is>
      </c>
      <c r="J1549" s="11">
        <f>IFERROR(INDEX('Уроки'!$H:$H,MATCH(F1549,'Уроки'!$A:$A,0)),"")</f>
        <v/>
      </c>
      <c r="K1549" s="11">
        <f>IFERROR(INDEX('Уроки'!$J:$J,MATCH(F1549,'Уроки'!$A:$A,0)),"")</f>
        <v/>
      </c>
      <c r="L1549" s="11" t="inlineStr">
        <is>
          <t>Spotlight / 10 класс / Module 8 · Technology / Reporting verbs / Reporting verbs: explain/wonder + вопросительное слово (+ to-inf / clause)</t>
        </is>
      </c>
    </row>
    <row r="1550">
      <c r="A1550" s="37" t="n">
        <v>10</v>
      </c>
      <c r="B1550" s="11" t="inlineStr">
        <is>
          <t>Module 8 · Technology</t>
        </is>
      </c>
      <c r="C1550" s="11" t="inlineStr">
        <is>
          <t>8c</t>
        </is>
      </c>
      <c r="D1550" s="11" t="inlineStr">
        <is>
          <t>Reporting verbs</t>
        </is>
      </c>
      <c r="E1550" s="35" t="inlineStr">
        <is>
          <t>Reporting verbs: пересказ диалогов — связки, восклицания, краткие ответы, question tags</t>
        </is>
      </c>
      <c r="F1550" s="11" t="inlineStr">
        <is>
          <t>Ст-315</t>
        </is>
      </c>
      <c r="G1550" s="40" t="inlineStr">
        <is>
          <t>новое</t>
        </is>
      </c>
      <c r="H1550" s="11" t="inlineStr">
        <is>
          <t>and, as, adding that, explaining that…; exclaim, thank; question tags опускаются</t>
        </is>
      </c>
      <c r="I1550" s="37" t="inlineStr">
        <is>
          <t>10+</t>
        </is>
      </c>
      <c r="J1550" s="11">
        <f>IFERROR(INDEX('Уроки'!$H:$H,MATCH(F1550,'Уроки'!$A:$A,0)),"")</f>
        <v/>
      </c>
      <c r="K1550" s="11">
        <f>IFERROR(INDEX('Уроки'!$J:$J,MATCH(F1550,'Уроки'!$A:$A,0)),"")</f>
        <v/>
      </c>
      <c r="L1550" s="11" t="inlineStr">
        <is>
          <t>Spotlight / 10 класс / Module 8 · Technology / Reporting verbs / Reporting verbs: пересказ диалогов — связки, восклицания, краткие ответы, question tags</t>
        </is>
      </c>
    </row>
    <row r="1551">
      <c r="A1551" s="37" t="n">
        <v>10</v>
      </c>
      <c r="B1551" s="11" t="inlineStr">
        <is>
          <t>Module 8 · Technology</t>
        </is>
      </c>
      <c r="C1551" s="11" t="inlineStr">
        <is>
          <t>8c</t>
        </is>
      </c>
      <c r="D1551" s="11" t="inlineStr">
        <is>
          <t>Relative pronouns / Relative clauses</t>
        </is>
      </c>
      <c r="E1551" s="34" t="inlineStr">
        <is>
          <t>Relative clauses: who(m) / which / that — люди и предметы</t>
        </is>
      </c>
      <c r="F1551" s="11" t="inlineStr">
        <is>
          <t>Ст-526</t>
        </is>
      </c>
      <c r="G1551" s="37" t="inlineStr">
        <is>
          <t>повторение</t>
        </is>
      </c>
      <c r="H1551" s="11" t="inlineStr"/>
      <c r="I1551" s="37" t="inlineStr">
        <is>
          <t>10+</t>
        </is>
      </c>
      <c r="J1551" s="11">
        <f>IFERROR(INDEX('Уроки'!$H:$H,MATCH(F1551,'Уроки'!$A:$A,0)),"")</f>
        <v/>
      </c>
      <c r="K1551" s="11">
        <f>IFERROR(INDEX('Уроки'!$J:$J,MATCH(F1551,'Уроки'!$A:$A,0)),"")</f>
        <v/>
      </c>
      <c r="L1551" s="11" t="inlineStr">
        <is>
          <t>Spotlight / 10 класс / Module 8 · Technology / Relative pronouns / Relative clauses / Relative clauses: who(m) / which / that — люди и предметы</t>
        </is>
      </c>
    </row>
    <row r="1552">
      <c r="A1552" s="37" t="n">
        <v>10</v>
      </c>
      <c r="B1552" s="11" t="inlineStr">
        <is>
          <t>Module 8 · Technology</t>
        </is>
      </c>
      <c r="C1552" s="11" t="inlineStr">
        <is>
          <t>8c</t>
        </is>
      </c>
      <c r="D1552" s="11" t="inlineStr">
        <is>
          <t>Relative pronouns / Relative clauses</t>
        </is>
      </c>
      <c r="E1552" s="34" t="inlineStr">
        <is>
          <t>Relative clauses: whose — принадлежность</t>
        </is>
      </c>
      <c r="F1552" s="11" t="inlineStr">
        <is>
          <t>Ст-527</t>
        </is>
      </c>
      <c r="G1552" s="37" t="inlineStr">
        <is>
          <t>повторение</t>
        </is>
      </c>
      <c r="H1552" s="11" t="inlineStr"/>
      <c r="I1552" s="37" t="inlineStr">
        <is>
          <t>10+</t>
        </is>
      </c>
      <c r="J1552" s="11">
        <f>IFERROR(INDEX('Уроки'!$H:$H,MATCH(F1552,'Уроки'!$A:$A,0)),"")</f>
        <v/>
      </c>
      <c r="K1552" s="11">
        <f>IFERROR(INDEX('Уроки'!$J:$J,MATCH(F1552,'Уроки'!$A:$A,0)),"")</f>
        <v/>
      </c>
      <c r="L1552" s="11" t="inlineStr">
        <is>
          <t>Spotlight / 10 класс / Module 8 · Technology / Relative pronouns / Relative clauses / Relative clauses: whose — принадлежность</t>
        </is>
      </c>
    </row>
    <row r="1553">
      <c r="A1553" s="37" t="n">
        <v>10</v>
      </c>
      <c r="B1553" s="11" t="inlineStr">
        <is>
          <t>Module 8 · Technology</t>
        </is>
      </c>
      <c r="C1553" s="11" t="inlineStr">
        <is>
          <t>8c</t>
        </is>
      </c>
      <c r="D1553" s="11" t="inlineStr">
        <is>
          <t>Relative pronouns / Relative clauses</t>
        </is>
      </c>
      <c r="E1553" s="34" t="inlineStr">
        <is>
          <t>Relative clauses: опущение who/which/that (дополнение vs подлежащее)</t>
        </is>
      </c>
      <c r="F1553" s="11" t="inlineStr">
        <is>
          <t>Ст-528</t>
        </is>
      </c>
      <c r="G1553" s="37" t="inlineStr">
        <is>
          <t>повторение</t>
        </is>
      </c>
      <c r="H1553" s="11" t="inlineStr"/>
      <c r="I1553" s="37" t="inlineStr">
        <is>
          <t>10+</t>
        </is>
      </c>
      <c r="J1553" s="11">
        <f>IFERROR(INDEX('Уроки'!$H:$H,MATCH(F1553,'Уроки'!$A:$A,0)),"")</f>
        <v/>
      </c>
      <c r="K1553" s="11">
        <f>IFERROR(INDEX('Уроки'!$J:$J,MATCH(F1553,'Уроки'!$A:$A,0)),"")</f>
        <v/>
      </c>
      <c r="L1553" s="11" t="inlineStr">
        <is>
          <t>Spotlight / 10 класс / Module 8 · Technology / Relative pronouns / Relative clauses / Relative clauses: опущение who/which/that (дополнение vs подлежащее)</t>
        </is>
      </c>
    </row>
    <row r="1554">
      <c r="A1554" s="37" t="n">
        <v>10</v>
      </c>
      <c r="B1554" s="11" t="inlineStr">
        <is>
          <t>Module 8 · Technology</t>
        </is>
      </c>
      <c r="C1554" s="11" t="inlineStr">
        <is>
          <t>8c</t>
        </is>
      </c>
      <c r="D1554" s="11" t="inlineStr">
        <is>
          <t>Relative pronouns / Relative clauses</t>
        </is>
      </c>
      <c r="E1554" s="34" t="inlineStr">
        <is>
          <t>Relative clauses: относительные наречия when / where / why</t>
        </is>
      </c>
      <c r="F1554" s="11" t="inlineStr">
        <is>
          <t>Ст-529</t>
        </is>
      </c>
      <c r="G1554" s="37" t="inlineStr">
        <is>
          <t>повторение</t>
        </is>
      </c>
      <c r="H1554" s="11" t="inlineStr"/>
      <c r="I1554" s="37" t="inlineStr">
        <is>
          <t>10+</t>
        </is>
      </c>
      <c r="J1554" s="11">
        <f>IFERROR(INDEX('Уроки'!$H:$H,MATCH(F1554,'Уроки'!$A:$A,0)),"")</f>
        <v/>
      </c>
      <c r="K1554" s="11">
        <f>IFERROR(INDEX('Уроки'!$J:$J,MATCH(F1554,'Уроки'!$A:$A,0)),"")</f>
        <v/>
      </c>
      <c r="L1554" s="11" t="inlineStr">
        <is>
          <t>Spotlight / 10 класс / Module 8 · Technology / Relative pronouns / Relative clauses / Relative clauses: относительные наречия when / where / why</t>
        </is>
      </c>
    </row>
    <row r="1555">
      <c r="A1555" s="37" t="n">
        <v>10</v>
      </c>
      <c r="B1555" s="11" t="inlineStr">
        <is>
          <t>Module 8 · Technology</t>
        </is>
      </c>
      <c r="C1555" s="11" t="inlineStr">
        <is>
          <t>8c</t>
        </is>
      </c>
      <c r="D1555" s="11" t="inlineStr">
        <is>
          <t>Relative pronouns / Relative clauses</t>
        </is>
      </c>
      <c r="E1555" s="35" t="inlineStr">
        <is>
          <t>Relative clauses: defining vs non-defining (запятые, без that)</t>
        </is>
      </c>
      <c r="F1555" s="11" t="inlineStr">
        <is>
          <t>Ст-530</t>
        </is>
      </c>
      <c r="G1555" s="37" t="inlineStr">
        <is>
          <t>повторение</t>
        </is>
      </c>
      <c r="H1555" s="11" t="inlineStr"/>
      <c r="I1555" s="37" t="inlineStr">
        <is>
          <t>10+</t>
        </is>
      </c>
      <c r="J1555" s="11">
        <f>IFERROR(INDEX('Уроки'!$H:$H,MATCH(F1555,'Уроки'!$A:$A,0)),"")</f>
        <v/>
      </c>
      <c r="K1555" s="11">
        <f>IFERROR(INDEX('Уроки'!$J:$J,MATCH(F1555,'Уроки'!$A:$A,0)),"")</f>
        <v/>
      </c>
      <c r="L1555" s="11" t="inlineStr">
        <is>
          <t>Spotlight / 10 класс / Module 8 · Technology / Relative pronouns / Relative clauses / Relative clauses: defining vs non-defining (запятые, без that)</t>
        </is>
      </c>
    </row>
    <row r="1556">
      <c r="A1556" s="37" t="n">
        <v>10</v>
      </c>
      <c r="B1556" s="11" t="inlineStr">
        <is>
          <t>Module 8 · Technology</t>
        </is>
      </c>
      <c r="C1556" s="11" t="inlineStr">
        <is>
          <t>8c</t>
        </is>
      </c>
      <c r="D1556" s="11" t="inlineStr">
        <is>
          <t>Relative pronouns / Relative clauses</t>
        </is>
      </c>
      <c r="E1556" s="35" t="inlineStr">
        <is>
          <t>Relative clauses: which, относящееся ко всему предложению</t>
        </is>
      </c>
      <c r="F1556" s="11" t="inlineStr">
        <is>
          <t>Ст-531</t>
        </is>
      </c>
      <c r="G1556" s="37" t="inlineStr">
        <is>
          <t>повторение</t>
        </is>
      </c>
      <c r="H1556" s="11" t="inlineStr"/>
      <c r="I1556" s="37" t="inlineStr">
        <is>
          <t>10+</t>
        </is>
      </c>
      <c r="J1556" s="11">
        <f>IFERROR(INDEX('Уроки'!$H:$H,MATCH(F1556,'Уроки'!$A:$A,0)),"")</f>
        <v/>
      </c>
      <c r="K1556" s="11">
        <f>IFERROR(INDEX('Уроки'!$J:$J,MATCH(F1556,'Уроки'!$A:$A,0)),"")</f>
        <v/>
      </c>
      <c r="L1556" s="11" t="inlineStr">
        <is>
          <t>Spotlight / 10 класс / Module 8 · Technology / Relative pronouns / Relative clauses / Relative clauses: which, относящееся ко всему предложению</t>
        </is>
      </c>
    </row>
    <row r="1557">
      <c r="A1557" s="37" t="n">
        <v>10</v>
      </c>
      <c r="B1557" s="11" t="inlineStr">
        <is>
          <t>Module 8 · Technology</t>
        </is>
      </c>
      <c r="C1557" s="11" t="inlineStr">
        <is>
          <t>8c</t>
        </is>
      </c>
      <c r="D1557" s="11" t="inlineStr">
        <is>
          <t>Relative pronouns / Relative clauses</t>
        </is>
      </c>
      <c r="E1557" s="35" t="inlineStr">
        <is>
          <t>Relative clauses: of which / whose для предметов</t>
        </is>
      </c>
      <c r="F1557" s="11" t="inlineStr">
        <is>
          <t>Ст-532</t>
        </is>
      </c>
      <c r="G1557" s="37" t="inlineStr">
        <is>
          <t>повторение</t>
        </is>
      </c>
      <c r="H1557" s="11" t="inlineStr"/>
      <c r="I1557" s="37" t="inlineStr">
        <is>
          <t>10+</t>
        </is>
      </c>
      <c r="J1557" s="11">
        <f>IFERROR(INDEX('Уроки'!$H:$H,MATCH(F1557,'Уроки'!$A:$A,0)),"")</f>
        <v/>
      </c>
      <c r="K1557" s="11">
        <f>IFERROR(INDEX('Уроки'!$J:$J,MATCH(F1557,'Уроки'!$A:$A,0)),"")</f>
        <v/>
      </c>
      <c r="L1557" s="11" t="inlineStr">
        <is>
          <t>Spotlight / 10 класс / Module 8 · Technology / Relative pronouns / Relative clauses / Relative clauses: of which / whose для предметов</t>
        </is>
      </c>
    </row>
    <row r="1558">
      <c r="A1558" s="37" t="n">
        <v>10</v>
      </c>
      <c r="B1558" s="11" t="inlineStr">
        <is>
          <t>Module 8 · Technology</t>
        </is>
      </c>
      <c r="C1558" s="11" t="inlineStr">
        <is>
          <t>8c</t>
        </is>
      </c>
      <c r="D1558" s="11" t="inlineStr">
        <is>
          <t>Relative pronouns / Relative clauses</t>
        </is>
      </c>
      <c r="E1558" s="35" t="inlineStr">
        <is>
          <t>Relative clauses: some of / most of + whom/which/whose</t>
        </is>
      </c>
      <c r="F1558" s="11" t="inlineStr">
        <is>
          <t>Ст-533</t>
        </is>
      </c>
      <c r="G1558" s="37" t="inlineStr">
        <is>
          <t>повторение</t>
        </is>
      </c>
      <c r="H1558" s="11" t="inlineStr"/>
      <c r="I1558" s="37" t="inlineStr">
        <is>
          <t>10+</t>
        </is>
      </c>
      <c r="J1558" s="11">
        <f>IFERROR(INDEX('Уроки'!$H:$H,MATCH(F1558,'Уроки'!$A:$A,0)),"")</f>
        <v/>
      </c>
      <c r="K1558" s="11">
        <f>IFERROR(INDEX('Уроки'!$J:$J,MATCH(F1558,'Уроки'!$A:$A,0)),"")</f>
        <v/>
      </c>
      <c r="L1558" s="11" t="inlineStr">
        <is>
          <t>Spotlight / 10 класс / Module 8 · Technology / Relative pronouns / Relative clauses / Relative clauses: some of / most of + whom/which/whose</t>
        </is>
      </c>
    </row>
    <row r="1559">
      <c r="A1559" s="37" t="n">
        <v>10</v>
      </c>
      <c r="B1559" s="11" t="inlineStr">
        <is>
          <t>Module 8 · Technology</t>
        </is>
      </c>
      <c r="C1559" s="11" t="inlineStr">
        <is>
          <t>8c</t>
        </is>
      </c>
      <c r="D1559" s="11" t="inlineStr">
        <is>
          <t>Relative pronouns / Relative clauses</t>
        </is>
      </c>
      <c r="E1559" s="35" t="inlineStr">
        <is>
          <t>Relative clauses: that не после запятой и не после предлога</t>
        </is>
      </c>
      <c r="F1559" s="11" t="inlineStr">
        <is>
          <t>Ст-534</t>
        </is>
      </c>
      <c r="G1559" s="37" t="inlineStr">
        <is>
          <t>повторение</t>
        </is>
      </c>
      <c r="H1559" s="11" t="inlineStr"/>
      <c r="I1559" s="37" t="inlineStr">
        <is>
          <t>10+</t>
        </is>
      </c>
      <c r="J1559" s="11">
        <f>IFERROR(INDEX('Уроки'!$H:$H,MATCH(F1559,'Уроки'!$A:$A,0)),"")</f>
        <v/>
      </c>
      <c r="K1559" s="11">
        <f>IFERROR(INDEX('Уроки'!$J:$J,MATCH(F1559,'Уроки'!$A:$A,0)),"")</f>
        <v/>
      </c>
      <c r="L1559" s="11" t="inlineStr">
        <is>
          <t>Spotlight / 10 класс / Module 8 · Technology / Relative pronouns / Relative clauses / Relative clauses: that не после запятой и не после предлога</t>
        </is>
      </c>
    </row>
    <row r="1560">
      <c r="A1560" s="37" t="n">
        <v>10</v>
      </c>
      <c r="B1560" s="11" t="inlineStr">
        <is>
          <t>Module 8 · Technology</t>
        </is>
      </c>
      <c r="C1560" s="11" t="inlineStr">
        <is>
          <t>8c</t>
        </is>
      </c>
      <c r="D1560" s="11" t="inlineStr">
        <is>
          <t>Indirect questions</t>
        </is>
      </c>
      <c r="E1560" s="34" t="inlineStr">
        <is>
          <t>Indirect questions: Could you tell me…? / Do you know…? — прямой порядок слов</t>
        </is>
      </c>
      <c r="F1560" s="11" t="inlineStr">
        <is>
          <t>Ст-539</t>
        </is>
      </c>
      <c r="G1560" s="37" t="inlineStr">
        <is>
          <t>повторение</t>
        </is>
      </c>
      <c r="H1560" s="11" t="inlineStr"/>
      <c r="I1560" s="37" t="inlineStr">
        <is>
          <t>10+</t>
        </is>
      </c>
      <c r="J1560" s="11">
        <f>IFERROR(INDEX('Уроки'!$H:$H,MATCH(F1560,'Уроки'!$A:$A,0)),"")</f>
        <v/>
      </c>
      <c r="K1560" s="11">
        <f>IFERROR(INDEX('Уроки'!$J:$J,MATCH(F1560,'Уроки'!$A:$A,0)),"")</f>
        <v/>
      </c>
      <c r="L1560" s="11" t="inlineStr">
        <is>
          <t>Spotlight / 10 класс / Module 8 · Technology / Indirect questions / Indirect questions: Could you tell me…? / Do you know…? — прямой порядок слов</t>
        </is>
      </c>
    </row>
    <row r="1561">
      <c r="A1561" s="37" t="n">
        <v>10</v>
      </c>
      <c r="B1561" s="11" t="inlineStr">
        <is>
          <t>Module 8 · Technology</t>
        </is>
      </c>
      <c r="C1561" s="11" t="inlineStr">
        <is>
          <t>8c</t>
        </is>
      </c>
      <c r="D1561" s="11" t="inlineStr">
        <is>
          <t>Indirect questions</t>
        </is>
      </c>
      <c r="E1561" s="34" t="inlineStr">
        <is>
          <t>Indirect questions: I wonder / I want to know / I doubt — без вопросительного знака</t>
        </is>
      </c>
      <c r="F1561" s="11" t="inlineStr">
        <is>
          <t>Ст-540</t>
        </is>
      </c>
      <c r="G1561" s="37" t="inlineStr">
        <is>
          <t>повторение</t>
        </is>
      </c>
      <c r="H1561" s="11" t="inlineStr"/>
      <c r="I1561" s="37" t="inlineStr">
        <is>
          <t>10+</t>
        </is>
      </c>
      <c r="J1561" s="11">
        <f>IFERROR(INDEX('Уроки'!$H:$H,MATCH(F1561,'Уроки'!$A:$A,0)),"")</f>
        <v/>
      </c>
      <c r="K1561" s="11">
        <f>IFERROR(INDEX('Уроки'!$J:$J,MATCH(F1561,'Уроки'!$A:$A,0)),"")</f>
        <v/>
      </c>
      <c r="L1561" s="11" t="inlineStr">
        <is>
          <t>Spotlight / 10 класс / Module 8 · Technology / Indirect questions / Indirect questions: I wonder / I want to know / I doubt — без вопросительного знака</t>
        </is>
      </c>
    </row>
    <row r="1562">
      <c r="A1562" s="37" t="n">
        <v>10</v>
      </c>
      <c r="B1562" s="11" t="inlineStr">
        <is>
          <t>Module 8 · Technology</t>
        </is>
      </c>
      <c r="C1562" s="11" t="inlineStr">
        <is>
          <t>8c</t>
        </is>
      </c>
      <c r="D1562" s="11" t="inlineStr">
        <is>
          <t>Reported questions</t>
        </is>
      </c>
      <c r="E1562" s="35" t="inlineStr">
        <is>
          <t>Reported questions: вводящие глаголы ask, inquire, wonder, want to know</t>
        </is>
      </c>
      <c r="F1562" s="11" t="inlineStr">
        <is>
          <t>Ст-542</t>
        </is>
      </c>
      <c r="G1562" s="37" t="inlineStr">
        <is>
          <t>повторение</t>
        </is>
      </c>
      <c r="H1562" s="11" t="inlineStr"/>
      <c r="I1562" s="37" t="inlineStr">
        <is>
          <t>10+</t>
        </is>
      </c>
      <c r="J1562" s="11">
        <f>IFERROR(INDEX('Уроки'!$H:$H,MATCH(F1562,'Уроки'!$A:$A,0)),"")</f>
        <v/>
      </c>
      <c r="K1562" s="11">
        <f>IFERROR(INDEX('Уроки'!$J:$J,MATCH(F1562,'Уроки'!$A:$A,0)),"")</f>
        <v/>
      </c>
      <c r="L1562" s="11" t="inlineStr">
        <is>
          <t>Spotlight / 10 класс / Module 8 · Technology / Reported questions / Reported questions: вводящие глаголы ask, inquire, wonder, want to know</t>
        </is>
      </c>
    </row>
    <row r="1563">
      <c r="A1563" s="37" t="n">
        <v>10</v>
      </c>
      <c r="B1563" s="11" t="inlineStr">
        <is>
          <t>Module 8 · Technology</t>
        </is>
      </c>
      <c r="C1563" s="11" t="inlineStr">
        <is>
          <t>8c</t>
        </is>
      </c>
      <c r="D1563" s="11" t="inlineStr">
        <is>
          <t>Reported questions</t>
        </is>
      </c>
      <c r="E1563" s="35" t="inlineStr">
        <is>
          <t>Reported questions: специальные вопросы — то же вопросительное слово</t>
        </is>
      </c>
      <c r="F1563" s="11" t="inlineStr">
        <is>
          <t>Ст-543</t>
        </is>
      </c>
      <c r="G1563" s="37" t="inlineStr">
        <is>
          <t>повторение</t>
        </is>
      </c>
      <c r="H1563" s="11" t="inlineStr"/>
      <c r="I1563" s="37" t="inlineStr">
        <is>
          <t>10+</t>
        </is>
      </c>
      <c r="J1563" s="11">
        <f>IFERROR(INDEX('Уроки'!$H:$H,MATCH(F1563,'Уроки'!$A:$A,0)),"")</f>
        <v/>
      </c>
      <c r="K1563" s="11">
        <f>IFERROR(INDEX('Уроки'!$J:$J,MATCH(F1563,'Уроки'!$A:$A,0)),"")</f>
        <v/>
      </c>
      <c r="L1563" s="11" t="inlineStr">
        <is>
          <t>Spotlight / 10 класс / Module 8 · Technology / Reported questions / Reported questions: специальные вопросы — то же вопросительное слово</t>
        </is>
      </c>
    </row>
    <row r="1564">
      <c r="A1564" s="37" t="n">
        <v>10</v>
      </c>
      <c r="B1564" s="11" t="inlineStr">
        <is>
          <t>Module 8 · Technology</t>
        </is>
      </c>
      <c r="C1564" s="11" t="inlineStr">
        <is>
          <t>8c</t>
        </is>
      </c>
      <c r="D1564" s="11" t="inlineStr">
        <is>
          <t>Reported questions</t>
        </is>
      </c>
      <c r="E1564" s="35" t="inlineStr">
        <is>
          <t>Reported questions: общие вопросы — if/whether</t>
        </is>
      </c>
      <c r="F1564" s="11" t="inlineStr">
        <is>
          <t>Ст-544</t>
        </is>
      </c>
      <c r="G1564" s="37" t="inlineStr">
        <is>
          <t>повторение</t>
        </is>
      </c>
      <c r="H1564" s="11" t="inlineStr"/>
      <c r="I1564" s="37" t="inlineStr">
        <is>
          <t>10+</t>
        </is>
      </c>
      <c r="J1564" s="11">
        <f>IFERROR(INDEX('Уроки'!$H:$H,MATCH(F1564,'Уроки'!$A:$A,0)),"")</f>
        <v/>
      </c>
      <c r="K1564" s="11">
        <f>IFERROR(INDEX('Уроки'!$J:$J,MATCH(F1564,'Уроки'!$A:$A,0)),"")</f>
        <v/>
      </c>
      <c r="L1564" s="11" t="inlineStr">
        <is>
          <t>Spotlight / 10 класс / Module 8 · Technology / Reported questions / Reported questions: общие вопросы — if/whether</t>
        </is>
      </c>
    </row>
    <row r="1565">
      <c r="A1565" s="37" t="n">
        <v>10</v>
      </c>
      <c r="B1565" s="11" t="inlineStr">
        <is>
          <t>Module 8 · Technology</t>
        </is>
      </c>
      <c r="C1565" s="11" t="inlineStr">
        <is>
          <t>8c</t>
        </is>
      </c>
      <c r="D1565" s="11" t="inlineStr">
        <is>
          <t>Reported questions</t>
        </is>
      </c>
      <c r="E1565" s="35" t="inlineStr">
        <is>
          <t>Reported questions: прямой порядок слов, без «?», без please/well/oh</t>
        </is>
      </c>
      <c r="F1565" s="11" t="inlineStr">
        <is>
          <t>Ст-545</t>
        </is>
      </c>
      <c r="G1565" s="37" t="inlineStr">
        <is>
          <t>повторение</t>
        </is>
      </c>
      <c r="H1565" s="11" t="inlineStr"/>
      <c r="I1565" s="37" t="inlineStr">
        <is>
          <t>10+</t>
        </is>
      </c>
      <c r="J1565" s="11">
        <f>IFERROR(INDEX('Уроки'!$H:$H,MATCH(F1565,'Уроки'!$A:$A,0)),"")</f>
        <v/>
      </c>
      <c r="K1565" s="11">
        <f>IFERROR(INDEX('Уроки'!$J:$J,MATCH(F1565,'Уроки'!$A:$A,0)),"")</f>
        <v/>
      </c>
      <c r="L1565" s="11" t="inlineStr">
        <is>
          <t>Spotlight / 10 класс / Module 8 · Technology / Reported questions / Reported questions: прямой порядок слов, без «?», без please/well/oh</t>
        </is>
      </c>
    </row>
    <row r="1566">
      <c r="A1566" s="37" t="n">
        <v>10</v>
      </c>
      <c r="B1566" s="11" t="inlineStr">
        <is>
          <t>Module 8 · Technology</t>
        </is>
      </c>
      <c r="C1566" s="11" t="inlineStr">
        <is>
          <t>8c</t>
        </is>
      </c>
      <c r="D1566" s="11" t="inlineStr">
        <is>
          <t>Reported questions</t>
        </is>
      </c>
      <c r="E1566" s="35" t="inlineStr">
        <is>
          <t>Reported questions: сдвиг времён, местоимений и слов времени</t>
        </is>
      </c>
      <c r="F1566" s="11" t="inlineStr">
        <is>
          <t>Ст-546</t>
        </is>
      </c>
      <c r="G1566" s="37" t="inlineStr">
        <is>
          <t>повторение</t>
        </is>
      </c>
      <c r="H1566" s="11" t="inlineStr"/>
      <c r="I1566" s="37" t="inlineStr">
        <is>
          <t>10+</t>
        </is>
      </c>
      <c r="J1566" s="11">
        <f>IFERROR(INDEX('Уроки'!$H:$H,MATCH(F1566,'Уроки'!$A:$A,0)),"")</f>
        <v/>
      </c>
      <c r="K1566" s="11">
        <f>IFERROR(INDEX('Уроки'!$J:$J,MATCH(F1566,'Уроки'!$A:$A,0)),"")</f>
        <v/>
      </c>
      <c r="L1566" s="11" t="inlineStr">
        <is>
          <t>Spotlight / 10 класс / Module 8 · Technology / Reported questions / Reported questions: сдвиг времён, местоимений и слов времени</t>
        </is>
      </c>
    </row>
    <row r="1567">
      <c r="A1567" s="37" t="n">
        <v>10</v>
      </c>
      <c r="B1567" s="11" t="inlineStr">
        <is>
          <t>Module 8 · Technology</t>
        </is>
      </c>
      <c r="C1567" s="11" t="inlineStr">
        <is>
          <t>8c</t>
        </is>
      </c>
      <c r="D1567" s="11" t="inlineStr">
        <is>
          <t>Phrasal verbs</t>
        </is>
      </c>
      <c r="E1567" s="35" t="inlineStr">
        <is>
          <t>Phrasal verbs: bring</t>
        </is>
      </c>
      <c r="F1567" s="11" t="inlineStr">
        <is>
          <t>Ст-585</t>
        </is>
      </c>
      <c r="G1567" s="37" t="inlineStr">
        <is>
          <t>повторение</t>
        </is>
      </c>
      <c r="H1567" s="11" t="inlineStr">
        <is>
          <t>Фразовые глаголы с bring (ToC: «phrasal verbs (bring)»); состав частиц и значения в источнике не даны.</t>
        </is>
      </c>
      <c r="I1567" s="37" t="inlineStr">
        <is>
          <t>10+</t>
        </is>
      </c>
      <c r="J1567" s="11">
        <f>IFERROR(INDEX('Уроки'!$H:$H,MATCH(F1567,'Уроки'!$A:$A,0)),"")</f>
        <v/>
      </c>
      <c r="K1567" s="11">
        <f>IFERROR(INDEX('Уроки'!$J:$J,MATCH(F1567,'Уроки'!$A:$A,0)),"")</f>
        <v/>
      </c>
      <c r="L1567" s="11" t="inlineStr">
        <is>
          <t>Spotlight / 10 класс / Module 8 · Technology / Phrasal verbs / Phrasal verbs: bring</t>
        </is>
      </c>
    </row>
    <row r="1568">
      <c r="A1568" s="37" t="n">
        <v>10</v>
      </c>
      <c r="B1568" s="11" t="inlineStr">
        <is>
          <t>Module 8 · Technology</t>
        </is>
      </c>
      <c r="C1568" s="11" t="inlineStr">
        <is>
          <t>8c</t>
        </is>
      </c>
      <c r="D1568" s="11" t="inlineStr">
        <is>
          <t>Word formation</t>
        </is>
      </c>
      <c r="E1568" s="35" t="inlineStr">
        <is>
          <t>Word formation: forming verbs</t>
        </is>
      </c>
      <c r="F1568" s="11" t="inlineStr">
        <is>
          <t>Ст-630</t>
        </is>
      </c>
      <c r="G1568" s="40" t="inlineStr">
        <is>
          <t>новое</t>
        </is>
      </c>
      <c r="H1568" s="11" t="inlineStr">
        <is>
          <t>Образование глаголов (ToC: «forming verbs»).</t>
        </is>
      </c>
      <c r="I1568" s="37" t="inlineStr">
        <is>
          <t>10+</t>
        </is>
      </c>
      <c r="J1568" s="11">
        <f>IFERROR(INDEX('Уроки'!$H:$H,MATCH(F1568,'Уроки'!$A:$A,0)),"")</f>
        <v/>
      </c>
      <c r="K1568" s="11">
        <f>IFERROR(INDEX('Уроки'!$J:$J,MATCH(F1568,'Уроки'!$A:$A,0)),"")</f>
        <v/>
      </c>
      <c r="L1568" s="11" t="inlineStr">
        <is>
          <t>Spotlight / 10 класс / Module 8 · Technology / Word formation / Word formation: forming verbs</t>
        </is>
      </c>
    </row>
    <row r="1569">
      <c r="A1569" s="37" t="n">
        <v>11</v>
      </c>
      <c r="B1569" s="11" t="inlineStr">
        <is>
          <t>Module 1 · Relationships</t>
        </is>
      </c>
      <c r="C1569" s="11" t="inlineStr">
        <is>
          <t>1c</t>
        </is>
      </c>
      <c r="D1569" s="11" t="inlineStr">
        <is>
          <t>Past Simple</t>
        </is>
      </c>
      <c r="E1569" s="33" t="inlineStr">
        <is>
          <t>Past Simple: правильные глаголы — утверждение (-ed)</t>
        </is>
      </c>
      <c r="F1569" s="11" t="inlineStr">
        <is>
          <t>Ст-001</t>
        </is>
      </c>
      <c r="G1569" s="37" t="inlineStr">
        <is>
          <t>повторение</t>
        </is>
      </c>
      <c r="H1569" s="11" t="inlineStr"/>
      <c r="I1569" s="37" t="inlineStr">
        <is>
          <t>10+</t>
        </is>
      </c>
      <c r="J1569" s="11">
        <f>IFERROR(INDEX('Уроки'!$H:$H,MATCH(F1569,'Уроки'!$A:$A,0)),"")</f>
        <v/>
      </c>
      <c r="K1569" s="11">
        <f>IFERROR(INDEX('Уроки'!$J:$J,MATCH(F1569,'Уроки'!$A:$A,0)),"")</f>
        <v/>
      </c>
      <c r="L1569" s="11" t="inlineStr">
        <is>
          <t>Spotlight / 11 класс / Module 1 · Relationships / Past Simple / Past Simple: правильные глаголы — утверждение (-ed)</t>
        </is>
      </c>
    </row>
    <row r="1570">
      <c r="A1570" s="37" t="n">
        <v>11</v>
      </c>
      <c r="B1570" s="11" t="inlineStr">
        <is>
          <t>Module 1 · Relationships</t>
        </is>
      </c>
      <c r="C1570" s="11" t="inlineStr">
        <is>
          <t>1c</t>
        </is>
      </c>
      <c r="D1570" s="11" t="inlineStr">
        <is>
          <t>Past Simple</t>
        </is>
      </c>
      <c r="E1570" s="33" t="inlineStr">
        <is>
          <t>Past Simple: орфография -ed</t>
        </is>
      </c>
      <c r="F1570" s="11" t="inlineStr">
        <is>
          <t>Ст-005</t>
        </is>
      </c>
      <c r="G1570" s="37" t="inlineStr">
        <is>
          <t>повторение</t>
        </is>
      </c>
      <c r="H1570" s="11" t="inlineStr"/>
      <c r="I1570" s="37" t="inlineStr">
        <is>
          <t>10+</t>
        </is>
      </c>
      <c r="J1570" s="11">
        <f>IFERROR(INDEX('Уроки'!$H:$H,MATCH(F1570,'Уроки'!$A:$A,0)),"")</f>
        <v/>
      </c>
      <c r="K1570" s="11">
        <f>IFERROR(INDEX('Уроки'!$J:$J,MATCH(F1570,'Уроки'!$A:$A,0)),"")</f>
        <v/>
      </c>
      <c r="L1570" s="11" t="inlineStr">
        <is>
          <t>Spotlight / 11 класс / Module 1 · Relationships / Past Simple / Past Simple: орфография -ed</t>
        </is>
      </c>
    </row>
    <row r="1571">
      <c r="A1571" s="37" t="n">
        <v>11</v>
      </c>
      <c r="B1571" s="11" t="inlineStr">
        <is>
          <t>Module 1 · Relationships</t>
        </is>
      </c>
      <c r="C1571" s="11" t="inlineStr">
        <is>
          <t>1c</t>
        </is>
      </c>
      <c r="D1571" s="11" t="inlineStr">
        <is>
          <t>Past Simple</t>
        </is>
      </c>
      <c r="E1571" s="33" t="inlineStr">
        <is>
          <t>Past Simple: неправильные глаголы — утверждение</t>
        </is>
      </c>
      <c r="F1571" s="11" t="inlineStr">
        <is>
          <t>Ст-006</t>
        </is>
      </c>
      <c r="G1571" s="37" t="inlineStr">
        <is>
          <t>повторение</t>
        </is>
      </c>
      <c r="H1571" s="11" t="inlineStr"/>
      <c r="I1571" s="37" t="inlineStr">
        <is>
          <t>10+</t>
        </is>
      </c>
      <c r="J1571" s="11">
        <f>IFERROR(INDEX('Уроки'!$H:$H,MATCH(F1571,'Уроки'!$A:$A,0)),"")</f>
        <v/>
      </c>
      <c r="K1571" s="11">
        <f>IFERROR(INDEX('Уроки'!$J:$J,MATCH(F1571,'Уроки'!$A:$A,0)),"")</f>
        <v/>
      </c>
      <c r="L1571" s="11" t="inlineStr">
        <is>
          <t>Spotlight / 11 класс / Module 1 · Relationships / Past Simple / Past Simple: неправильные глаголы — утверждение</t>
        </is>
      </c>
    </row>
    <row r="1572">
      <c r="A1572" s="37" t="n">
        <v>11</v>
      </c>
      <c r="B1572" s="11" t="inlineStr">
        <is>
          <t>Module 1 · Relationships</t>
        </is>
      </c>
      <c r="C1572" s="11" t="inlineStr">
        <is>
          <t>1c</t>
        </is>
      </c>
      <c r="D1572" s="11" t="inlineStr">
        <is>
          <t>Past Simple</t>
        </is>
      </c>
      <c r="E1572" s="33" t="inlineStr">
        <is>
          <t>Past Simple: одна форма для всех лиц, исключение was/were</t>
        </is>
      </c>
      <c r="F1572" s="11" t="inlineStr">
        <is>
          <t>Ст-009</t>
        </is>
      </c>
      <c r="G1572" s="37" t="inlineStr">
        <is>
          <t>повторение</t>
        </is>
      </c>
      <c r="H1572" s="11" t="inlineStr"/>
      <c r="I1572" s="37" t="inlineStr">
        <is>
          <t>10+</t>
        </is>
      </c>
      <c r="J1572" s="11">
        <f>IFERROR(INDEX('Уроки'!$H:$H,MATCH(F1572,'Уроки'!$A:$A,0)),"")</f>
        <v/>
      </c>
      <c r="K1572" s="11">
        <f>IFERROR(INDEX('Уроки'!$J:$J,MATCH(F1572,'Уроки'!$A:$A,0)),"")</f>
        <v/>
      </c>
      <c r="L1572" s="11" t="inlineStr">
        <is>
          <t>Spotlight / 11 класс / Module 1 · Relationships / Past Simple / Past Simple: одна форма для всех лиц, исключение was/were</t>
        </is>
      </c>
    </row>
    <row r="1573">
      <c r="A1573" s="37" t="n">
        <v>11</v>
      </c>
      <c r="B1573" s="11" t="inlineStr">
        <is>
          <t>Module 1 · Relationships</t>
        </is>
      </c>
      <c r="C1573" s="11" t="inlineStr">
        <is>
          <t>1c</t>
        </is>
      </c>
      <c r="D1573" s="11" t="inlineStr">
        <is>
          <t>Past Simple</t>
        </is>
      </c>
      <c r="E1573" s="33" t="inlineStr">
        <is>
          <t>Past Simple: значение — действие в прошлом (yesterday, ago)</t>
        </is>
      </c>
      <c r="F1573" s="11" t="inlineStr">
        <is>
          <t>Ст-010</t>
        </is>
      </c>
      <c r="G1573" s="37" t="inlineStr">
        <is>
          <t>повторение</t>
        </is>
      </c>
      <c r="H1573" s="11" t="inlineStr"/>
      <c r="I1573" s="37" t="inlineStr">
        <is>
          <t>10+</t>
        </is>
      </c>
      <c r="J1573" s="11">
        <f>IFERROR(INDEX('Уроки'!$H:$H,MATCH(F1573,'Уроки'!$A:$A,0)),"")</f>
        <v/>
      </c>
      <c r="K1573" s="11">
        <f>IFERROR(INDEX('Уроки'!$J:$J,MATCH(F1573,'Уроки'!$A:$A,0)),"")</f>
        <v/>
      </c>
      <c r="L1573" s="11" t="inlineStr">
        <is>
          <t>Spotlight / 11 класс / Module 1 · Relationships / Past Simple / Past Simple: значение — действие в прошлом (yesterday, ago)</t>
        </is>
      </c>
    </row>
    <row r="1574">
      <c r="A1574" s="37" t="n">
        <v>11</v>
      </c>
      <c r="B1574" s="11" t="inlineStr">
        <is>
          <t>Module 1 · Relationships</t>
        </is>
      </c>
      <c r="C1574" s="11" t="inlineStr">
        <is>
          <t>1c</t>
        </is>
      </c>
      <c r="D1574" s="11" t="inlineStr">
        <is>
          <t>Past Simple</t>
        </is>
      </c>
      <c r="E1574" s="33" t="inlineStr">
        <is>
          <t>Past Simple: значение — действие в указанное время в прошлом</t>
        </is>
      </c>
      <c r="F1574" s="11" t="inlineStr">
        <is>
          <t>Ст-011</t>
        </is>
      </c>
      <c r="G1574" s="37" t="inlineStr">
        <is>
          <t>повторение</t>
        </is>
      </c>
      <c r="H1574" s="11" t="inlineStr"/>
      <c r="I1574" s="37" t="inlineStr">
        <is>
          <t>10+</t>
        </is>
      </c>
      <c r="J1574" s="11">
        <f>IFERROR(INDEX('Уроки'!$H:$H,MATCH(F1574,'Уроки'!$A:$A,0)),"")</f>
        <v/>
      </c>
      <c r="K1574" s="11">
        <f>IFERROR(INDEX('Уроки'!$J:$J,MATCH(F1574,'Уроки'!$A:$A,0)),"")</f>
        <v/>
      </c>
      <c r="L1574" s="11" t="inlineStr">
        <is>
          <t>Spotlight / 11 класс / Module 1 · Relationships / Past Simple / Past Simple: значение — действие в указанное время в прошлом</t>
        </is>
      </c>
    </row>
    <row r="1575">
      <c r="A1575" s="37" t="n">
        <v>11</v>
      </c>
      <c r="B1575" s="11" t="inlineStr">
        <is>
          <t>Module 1 · Relationships</t>
        </is>
      </c>
      <c r="C1575" s="11" t="inlineStr">
        <is>
          <t>1c</t>
        </is>
      </c>
      <c r="D1575" s="11" t="inlineStr">
        <is>
          <t>Past Simple</t>
        </is>
      </c>
      <c r="E1575" s="35" t="inlineStr">
        <is>
          <t>Past Simple: значение — повторяющиеся действия и привычки в прошлом</t>
        </is>
      </c>
      <c r="F1575" s="11" t="inlineStr">
        <is>
          <t>Ст-012</t>
        </is>
      </c>
      <c r="G1575" s="37" t="inlineStr">
        <is>
          <t>повторение</t>
        </is>
      </c>
      <c r="H1575" s="11" t="inlineStr"/>
      <c r="I1575" s="37" t="inlineStr">
        <is>
          <t>10+</t>
        </is>
      </c>
      <c r="J1575" s="11">
        <f>IFERROR(INDEX('Уроки'!$H:$H,MATCH(F1575,'Уроки'!$A:$A,0)),"")</f>
        <v/>
      </c>
      <c r="K1575" s="11">
        <f>IFERROR(INDEX('Уроки'!$J:$J,MATCH(F1575,'Уроки'!$A:$A,0)),"")</f>
        <v/>
      </c>
      <c r="L1575" s="11" t="inlineStr">
        <is>
          <t>Spotlight / 11 класс / Module 1 · Relationships / Past Simple / Past Simple: значение — повторяющиеся действия и привычки в прошлом</t>
        </is>
      </c>
    </row>
    <row r="1576">
      <c r="A1576" s="37" t="n">
        <v>11</v>
      </c>
      <c r="B1576" s="11" t="inlineStr">
        <is>
          <t>Module 1 · Relationships</t>
        </is>
      </c>
      <c r="C1576" s="11" t="inlineStr">
        <is>
          <t>1c</t>
        </is>
      </c>
      <c r="D1576" s="11" t="inlineStr">
        <is>
          <t>Past Simple</t>
        </is>
      </c>
      <c r="E1576" s="34" t="inlineStr">
        <is>
          <t>Past Simple: значение — последовательные действия</t>
        </is>
      </c>
      <c r="F1576" s="11" t="inlineStr">
        <is>
          <t>Ст-013</t>
        </is>
      </c>
      <c r="G1576" s="37" t="inlineStr">
        <is>
          <t>повторение</t>
        </is>
      </c>
      <c r="H1576" s="11" t="inlineStr"/>
      <c r="I1576" s="37" t="inlineStr">
        <is>
          <t>10+</t>
        </is>
      </c>
      <c r="J1576" s="11">
        <f>IFERROR(INDEX('Уроки'!$H:$H,MATCH(F1576,'Уроки'!$A:$A,0)),"")</f>
        <v/>
      </c>
      <c r="K1576" s="11">
        <f>IFERROR(INDEX('Уроки'!$J:$J,MATCH(F1576,'Уроки'!$A:$A,0)),"")</f>
        <v/>
      </c>
      <c r="L1576" s="11" t="inlineStr">
        <is>
          <t>Spotlight / 11 класс / Module 1 · Relationships / Past Simple / Past Simple: значение — последовательные действия</t>
        </is>
      </c>
    </row>
    <row r="1577">
      <c r="A1577" s="37" t="n">
        <v>11</v>
      </c>
      <c r="B1577" s="11" t="inlineStr">
        <is>
          <t>Module 1 · Relationships</t>
        </is>
      </c>
      <c r="C1577" s="11" t="inlineStr">
        <is>
          <t>1c</t>
        </is>
      </c>
      <c r="D1577" s="11" t="inlineStr">
        <is>
          <t>Past Simple</t>
        </is>
      </c>
      <c r="E1577" s="35" t="inlineStr">
        <is>
          <t>Past Simple: значение — завершённые действия без связи с настоящим</t>
        </is>
      </c>
      <c r="F1577" s="11" t="inlineStr">
        <is>
          <t>Ст-014</t>
        </is>
      </c>
      <c r="G1577" s="37" t="inlineStr">
        <is>
          <t>повторение</t>
        </is>
      </c>
      <c r="H1577" s="11" t="inlineStr">
        <is>
          <t>Henry James wrote many novels</t>
        </is>
      </c>
      <c r="I1577" s="37" t="inlineStr">
        <is>
          <t>10+</t>
        </is>
      </c>
      <c r="J1577" s="11">
        <f>IFERROR(INDEX('Уроки'!$H:$H,MATCH(F1577,'Уроки'!$A:$A,0)),"")</f>
        <v/>
      </c>
      <c r="K1577" s="11">
        <f>IFERROR(INDEX('Уроки'!$J:$J,MATCH(F1577,'Уроки'!$A:$A,0)),"")</f>
        <v/>
      </c>
      <c r="L1577" s="11" t="inlineStr">
        <is>
          <t>Spotlight / 11 класс / Module 1 · Relationships / Past Simple / Past Simple: значение — завершённые действия без связи с настоящим</t>
        </is>
      </c>
    </row>
    <row r="1578">
      <c r="A1578" s="37" t="n">
        <v>11</v>
      </c>
      <c r="B1578" s="11" t="inlineStr">
        <is>
          <t>Module 1 · Relationships</t>
        </is>
      </c>
      <c r="C1578" s="11" t="inlineStr">
        <is>
          <t>1c</t>
        </is>
      </c>
      <c r="D1578" s="11" t="inlineStr">
        <is>
          <t>Present Continuous</t>
        </is>
      </c>
      <c r="E1578" s="35" t="inlineStr">
        <is>
          <t>Present Continuous: утверждение (am/is/are + V-ing)</t>
        </is>
      </c>
      <c r="F1578" s="11" t="inlineStr">
        <is>
          <t>Ст-015</t>
        </is>
      </c>
      <c r="G1578" s="37" t="inlineStr">
        <is>
          <t>повторение</t>
        </is>
      </c>
      <c r="H1578" s="11" t="inlineStr"/>
      <c r="I1578" s="37" t="inlineStr">
        <is>
          <t>10+</t>
        </is>
      </c>
      <c r="J1578" s="11">
        <f>IFERROR(INDEX('Уроки'!$H:$H,MATCH(F1578,'Уроки'!$A:$A,0)),"")</f>
        <v/>
      </c>
      <c r="K1578" s="11">
        <f>IFERROR(INDEX('Уроки'!$J:$J,MATCH(F1578,'Уроки'!$A:$A,0)),"")</f>
        <v/>
      </c>
      <c r="L1578" s="11" t="inlineStr">
        <is>
          <t>Spotlight / 11 класс / Module 1 · Relationships / Present Continuous / Present Continuous: утверждение (am/is/are + V-ing)</t>
        </is>
      </c>
    </row>
    <row r="1579">
      <c r="A1579" s="37" t="n">
        <v>11</v>
      </c>
      <c r="B1579" s="11" t="inlineStr">
        <is>
          <t>Module 1 · Relationships</t>
        </is>
      </c>
      <c r="C1579" s="11" t="inlineStr">
        <is>
          <t>1c</t>
        </is>
      </c>
      <c r="D1579" s="11" t="inlineStr">
        <is>
          <t>Present Continuous</t>
        </is>
      </c>
      <c r="E1579" s="35" t="inlineStr">
        <is>
          <t>Present Continuous: орфография -ing</t>
        </is>
      </c>
      <c r="F1579" s="11" t="inlineStr">
        <is>
          <t>Ст-019</t>
        </is>
      </c>
      <c r="G1579" s="37" t="inlineStr">
        <is>
          <t>повторение</t>
        </is>
      </c>
      <c r="H1579" s="11" t="inlineStr"/>
      <c r="I1579" s="37" t="inlineStr">
        <is>
          <t>10+</t>
        </is>
      </c>
      <c r="J1579" s="11">
        <f>IFERROR(INDEX('Уроки'!$H:$H,MATCH(F1579,'Уроки'!$A:$A,0)),"")</f>
        <v/>
      </c>
      <c r="K1579" s="11">
        <f>IFERROR(INDEX('Уроки'!$J:$J,MATCH(F1579,'Уроки'!$A:$A,0)),"")</f>
        <v/>
      </c>
      <c r="L1579" s="11" t="inlineStr">
        <is>
          <t>Spotlight / 11 класс / Module 1 · Relationships / Present Continuous / Present Continuous: орфография -ing</t>
        </is>
      </c>
    </row>
    <row r="1580">
      <c r="A1580" s="37" t="n">
        <v>11</v>
      </c>
      <c r="B1580" s="11" t="inlineStr">
        <is>
          <t>Module 1 · Relationships</t>
        </is>
      </c>
      <c r="C1580" s="11" t="inlineStr">
        <is>
          <t>1c</t>
        </is>
      </c>
      <c r="D1580" s="11" t="inlineStr">
        <is>
          <t>Present Continuous</t>
        </is>
      </c>
      <c r="E1580" s="33" t="inlineStr">
        <is>
          <t>Present Continuous: значение — действие сейчас (now)</t>
        </is>
      </c>
      <c r="F1580" s="11" t="inlineStr">
        <is>
          <t>Ст-020</t>
        </is>
      </c>
      <c r="G1580" s="37" t="inlineStr">
        <is>
          <t>повторение</t>
        </is>
      </c>
      <c r="H1580" s="11" t="inlineStr"/>
      <c r="I1580" s="37" t="inlineStr">
        <is>
          <t>10+</t>
        </is>
      </c>
      <c r="J1580" s="11">
        <f>IFERROR(INDEX('Уроки'!$H:$H,MATCH(F1580,'Уроки'!$A:$A,0)),"")</f>
        <v/>
      </c>
      <c r="K1580" s="11">
        <f>IFERROR(INDEX('Уроки'!$J:$J,MATCH(F1580,'Уроки'!$A:$A,0)),"")</f>
        <v/>
      </c>
      <c r="L1580" s="11" t="inlineStr">
        <is>
          <t>Spotlight / 11 класс / Module 1 · Relationships / Present Continuous / Present Continuous: значение — действие сейчас (now)</t>
        </is>
      </c>
    </row>
    <row r="1581">
      <c r="A1581" s="37" t="n">
        <v>11</v>
      </c>
      <c r="B1581" s="11" t="inlineStr">
        <is>
          <t>Module 1 · Relationships</t>
        </is>
      </c>
      <c r="C1581" s="11" t="inlineStr">
        <is>
          <t>1c</t>
        </is>
      </c>
      <c r="D1581" s="11" t="inlineStr">
        <is>
          <t>Present Continuous</t>
        </is>
      </c>
      <c r="E1581" s="33" t="inlineStr">
        <is>
          <t>Present Continuous: значение — действие в настоящий период (these days)</t>
        </is>
      </c>
      <c r="F1581" s="11" t="inlineStr">
        <is>
          <t>Ст-021</t>
        </is>
      </c>
      <c r="G1581" s="37" t="inlineStr">
        <is>
          <t>повторение</t>
        </is>
      </c>
      <c r="H1581" s="11" t="inlineStr"/>
      <c r="I1581" s="37" t="inlineStr">
        <is>
          <t>10+</t>
        </is>
      </c>
      <c r="J1581" s="11">
        <f>IFERROR(INDEX('Уроки'!$H:$H,MATCH(F1581,'Уроки'!$A:$A,0)),"")</f>
        <v/>
      </c>
      <c r="K1581" s="11">
        <f>IFERROR(INDEX('Уроки'!$J:$J,MATCH(F1581,'Уроки'!$A:$A,0)),"")</f>
        <v/>
      </c>
      <c r="L1581" s="11" t="inlineStr">
        <is>
          <t>Spotlight / 11 класс / Module 1 · Relationships / Present Continuous / Present Continuous: значение — действие в настоящий период (these days)</t>
        </is>
      </c>
    </row>
    <row r="1582">
      <c r="A1582" s="37" t="n">
        <v>11</v>
      </c>
      <c r="B1582" s="11" t="inlineStr">
        <is>
          <t>Module 1 · Relationships</t>
        </is>
      </c>
      <c r="C1582" s="11" t="inlineStr">
        <is>
          <t>1c</t>
        </is>
      </c>
      <c r="D1582" s="11" t="inlineStr">
        <is>
          <t>Present Continuous</t>
        </is>
      </c>
      <c r="E1582" s="33" t="inlineStr">
        <is>
          <t>Present Continuous: значение — запланированное будущее</t>
        </is>
      </c>
      <c r="F1582" s="11" t="inlineStr">
        <is>
          <t>Ст-022</t>
        </is>
      </c>
      <c r="G1582" s="37" t="inlineStr">
        <is>
          <t>повторение</t>
        </is>
      </c>
      <c r="H1582" s="11" t="inlineStr"/>
      <c r="I1582" s="37" t="inlineStr">
        <is>
          <t>10+</t>
        </is>
      </c>
      <c r="J1582" s="11">
        <f>IFERROR(INDEX('Уроки'!$H:$H,MATCH(F1582,'Уроки'!$A:$A,0)),"")</f>
        <v/>
      </c>
      <c r="K1582" s="11">
        <f>IFERROR(INDEX('Уроки'!$J:$J,MATCH(F1582,'Уроки'!$A:$A,0)),"")</f>
        <v/>
      </c>
      <c r="L1582" s="11" t="inlineStr">
        <is>
          <t>Spotlight / 11 класс / Module 1 · Relationships / Present Continuous / Present Continuous: значение — запланированное будущее</t>
        </is>
      </c>
    </row>
    <row r="1583">
      <c r="A1583" s="37" t="n">
        <v>11</v>
      </c>
      <c r="B1583" s="11" t="inlineStr">
        <is>
          <t>Module 1 · Relationships</t>
        </is>
      </c>
      <c r="C1583" s="11" t="inlineStr">
        <is>
          <t>1c</t>
        </is>
      </c>
      <c r="D1583" s="11" t="inlineStr">
        <is>
          <t>Present Continuous</t>
        </is>
      </c>
      <c r="E1583" s="33" t="inlineStr">
        <is>
          <t>Present Continuous: значение — временные ситуации</t>
        </is>
      </c>
      <c r="F1583" s="11" t="inlineStr">
        <is>
          <t>Ст-023</t>
        </is>
      </c>
      <c r="G1583" s="37" t="inlineStr">
        <is>
          <t>повторение</t>
        </is>
      </c>
      <c r="H1583" s="11" t="inlineStr"/>
      <c r="I1583" s="37" t="inlineStr">
        <is>
          <t>10+</t>
        </is>
      </c>
      <c r="J1583" s="11">
        <f>IFERROR(INDEX('Уроки'!$H:$H,MATCH(F1583,'Уроки'!$A:$A,0)),"")</f>
        <v/>
      </c>
      <c r="K1583" s="11">
        <f>IFERROR(INDEX('Уроки'!$J:$J,MATCH(F1583,'Уроки'!$A:$A,0)),"")</f>
        <v/>
      </c>
      <c r="L1583" s="11" t="inlineStr">
        <is>
          <t>Spotlight / 11 класс / Module 1 · Relationships / Present Continuous / Present Continuous: значение — временные ситуации</t>
        </is>
      </c>
    </row>
    <row r="1584">
      <c r="A1584" s="37" t="n">
        <v>11</v>
      </c>
      <c r="B1584" s="11" t="inlineStr">
        <is>
          <t>Module 1 · Relationships</t>
        </is>
      </c>
      <c r="C1584" s="11" t="inlineStr">
        <is>
          <t>1c</t>
        </is>
      </c>
      <c r="D1584" s="11" t="inlineStr">
        <is>
          <t>Present Continuous</t>
        </is>
      </c>
      <c r="E1584" s="35" t="inlineStr">
        <is>
          <t>Present Continuous: значение — меняющиеся и развивающиеся ситуации</t>
        </is>
      </c>
      <c r="F1584" s="11" t="inlineStr">
        <is>
          <t>Ст-024</t>
        </is>
      </c>
      <c r="G1584" s="37" t="inlineStr">
        <is>
          <t>повторение</t>
        </is>
      </c>
      <c r="H1584" s="11" t="inlineStr"/>
      <c r="I1584" s="37" t="inlineStr">
        <is>
          <t>10+</t>
        </is>
      </c>
      <c r="J1584" s="11">
        <f>IFERROR(INDEX('Уроки'!$H:$H,MATCH(F1584,'Уроки'!$A:$A,0)),"")</f>
        <v/>
      </c>
      <c r="K1584" s="11">
        <f>IFERROR(INDEX('Уроки'!$J:$J,MATCH(F1584,'Уроки'!$A:$A,0)),"")</f>
        <v/>
      </c>
      <c r="L1584" s="11" t="inlineStr">
        <is>
          <t>Spotlight / 11 класс / Module 1 · Relationships / Present Continuous / Present Continuous: значение — меняющиеся и развивающиеся ситуации</t>
        </is>
      </c>
    </row>
    <row r="1585">
      <c r="A1585" s="37" t="n">
        <v>11</v>
      </c>
      <c r="B1585" s="11" t="inlineStr">
        <is>
          <t>Module 1 · Relationships</t>
        </is>
      </c>
      <c r="C1585" s="11" t="inlineStr">
        <is>
          <t>1c</t>
        </is>
      </c>
      <c r="D1585" s="11" t="inlineStr">
        <is>
          <t>Present Continuous</t>
        </is>
      </c>
      <c r="E1585" s="35" t="inlineStr">
        <is>
          <t>Present Continuous: значение — always + раздражение</t>
        </is>
      </c>
      <c r="F1585" s="11" t="inlineStr">
        <is>
          <t>Ст-025</t>
        </is>
      </c>
      <c r="G1585" s="37" t="inlineStr">
        <is>
          <t>повторение</t>
        </is>
      </c>
      <c r="H1585" s="11" t="inlineStr"/>
      <c r="I1585" s="37" t="inlineStr">
        <is>
          <t>10+</t>
        </is>
      </c>
      <c r="J1585" s="11">
        <f>IFERROR(INDEX('Уроки'!$H:$H,MATCH(F1585,'Уроки'!$A:$A,0)),"")</f>
        <v/>
      </c>
      <c r="K1585" s="11">
        <f>IFERROR(INDEX('Уроки'!$J:$J,MATCH(F1585,'Уроки'!$A:$A,0)),"")</f>
        <v/>
      </c>
      <c r="L1585" s="11" t="inlineStr">
        <is>
          <t>Spotlight / 11 класс / Module 1 · Relationships / Present Continuous / Present Continuous: значение — always + раздражение</t>
        </is>
      </c>
    </row>
    <row r="1586">
      <c r="A1586" s="37" t="n">
        <v>11</v>
      </c>
      <c r="B1586" s="11" t="inlineStr">
        <is>
          <t>Module 1 · Relationships</t>
        </is>
      </c>
      <c r="C1586" s="11" t="inlineStr">
        <is>
          <t>1c</t>
        </is>
      </c>
      <c r="D1586" s="11" t="inlineStr">
        <is>
          <t>Present Simple</t>
        </is>
      </c>
      <c r="E1586" s="35" t="inlineStr">
        <is>
          <t>Present Simple: утверждение (I/you/we/they V, he/she/it V-s)</t>
        </is>
      </c>
      <c r="F1586" s="11" t="inlineStr">
        <is>
          <t>Ст-026</t>
        </is>
      </c>
      <c r="G1586" s="37" t="inlineStr">
        <is>
          <t>повторение</t>
        </is>
      </c>
      <c r="H1586" s="11" t="inlineStr">
        <is>
          <t>только V/V-s</t>
        </is>
      </c>
      <c r="I1586" s="37" t="inlineStr">
        <is>
          <t>10+</t>
        </is>
      </c>
      <c r="J1586" s="11">
        <f>IFERROR(INDEX('Уроки'!$H:$H,MATCH(F1586,'Уроки'!$A:$A,0)),"")</f>
        <v/>
      </c>
      <c r="K1586" s="11">
        <f>IFERROR(INDEX('Уроки'!$J:$J,MATCH(F1586,'Уроки'!$A:$A,0)),"")</f>
        <v/>
      </c>
      <c r="L1586" s="11" t="inlineStr">
        <is>
          <t>Spotlight / 11 класс / Module 1 · Relationships / Present Simple / Present Simple: утверждение (I/you/we/they V, he/she/it V-s)</t>
        </is>
      </c>
    </row>
    <row r="1587">
      <c r="A1587" s="37" t="n">
        <v>11</v>
      </c>
      <c r="B1587" s="11" t="inlineStr">
        <is>
          <t>Module 1 · Relationships</t>
        </is>
      </c>
      <c r="C1587" s="11" t="inlineStr">
        <is>
          <t>1c</t>
        </is>
      </c>
      <c r="D1587" s="11" t="inlineStr">
        <is>
          <t>Present Simple</t>
        </is>
      </c>
      <c r="E1587" s="35" t="inlineStr">
        <is>
          <t>Present Simple: орфография окончания -s/-es (3 л. ед. ч.)</t>
        </is>
      </c>
      <c r="F1587" s="11" t="inlineStr">
        <is>
          <t>Ст-030</t>
        </is>
      </c>
      <c r="G1587" s="37" t="inlineStr">
        <is>
          <t>повторение</t>
        </is>
      </c>
      <c r="H1587" s="11" t="inlineStr">
        <is>
          <t>fry – fries, pay – pays</t>
        </is>
      </c>
      <c r="I1587" s="37" t="inlineStr">
        <is>
          <t>10+</t>
        </is>
      </c>
      <c r="J1587" s="11">
        <f>IFERROR(INDEX('Уроки'!$H:$H,MATCH(F1587,'Уроки'!$A:$A,0)),"")</f>
        <v/>
      </c>
      <c r="K1587" s="11">
        <f>IFERROR(INDEX('Уроки'!$J:$J,MATCH(F1587,'Уроки'!$A:$A,0)),"")</f>
        <v/>
      </c>
      <c r="L1587" s="11" t="inlineStr">
        <is>
          <t>Spotlight / 11 класс / Module 1 · Relationships / Present Simple / Present Simple: орфография окончания -s/-es (3 л. ед. ч.)</t>
        </is>
      </c>
    </row>
    <row r="1588">
      <c r="A1588" s="37" t="n">
        <v>11</v>
      </c>
      <c r="B1588" s="11" t="inlineStr">
        <is>
          <t>Module 1 · Relationships</t>
        </is>
      </c>
      <c r="C1588" s="11" t="inlineStr">
        <is>
          <t>1c</t>
        </is>
      </c>
      <c r="D1588" s="11" t="inlineStr">
        <is>
          <t>Present Simple</t>
        </is>
      </c>
      <c r="E1588" s="33" t="inlineStr">
        <is>
          <t>Present Simple: значение — регулярные действия, распорядок дня, привычки</t>
        </is>
      </c>
      <c r="F1588" s="11" t="inlineStr">
        <is>
          <t>Ст-031</t>
        </is>
      </c>
      <c r="G1588" s="37" t="inlineStr">
        <is>
          <t>повторение</t>
        </is>
      </c>
      <c r="H1588" s="11" t="inlineStr">
        <is>
          <t>daily routines, повторяющиеся действия, привычки</t>
        </is>
      </c>
      <c r="I1588" s="37" t="inlineStr">
        <is>
          <t>10+</t>
        </is>
      </c>
      <c r="J1588" s="11">
        <f>IFERROR(INDEX('Уроки'!$H:$H,MATCH(F1588,'Уроки'!$A:$A,0)),"")</f>
        <v/>
      </c>
      <c r="K1588" s="11">
        <f>IFERROR(INDEX('Уроки'!$J:$J,MATCH(F1588,'Уроки'!$A:$A,0)),"")</f>
        <v/>
      </c>
      <c r="L1588" s="11" t="inlineStr">
        <is>
          <t>Spotlight / 11 класс / Module 1 · Relationships / Present Simple / Present Simple: значение — регулярные действия, распорядок дня, привычки</t>
        </is>
      </c>
    </row>
    <row r="1589">
      <c r="A1589" s="37" t="n">
        <v>11</v>
      </c>
      <c r="B1589" s="11" t="inlineStr">
        <is>
          <t>Module 1 · Relationships</t>
        </is>
      </c>
      <c r="C1589" s="11" t="inlineStr">
        <is>
          <t>1c</t>
        </is>
      </c>
      <c r="D1589" s="11" t="inlineStr">
        <is>
          <t>Present Simple</t>
        </is>
      </c>
      <c r="E1589" s="33" t="inlineStr">
        <is>
          <t>Present Simple: значение — постоянные состояния и действия</t>
        </is>
      </c>
      <c r="F1589" s="11" t="inlineStr">
        <is>
          <t>Ст-032</t>
        </is>
      </c>
      <c r="G1589" s="37" t="inlineStr">
        <is>
          <t>повторение</t>
        </is>
      </c>
      <c r="H1589" s="11" t="inlineStr"/>
      <c r="I1589" s="37" t="inlineStr">
        <is>
          <t>10+</t>
        </is>
      </c>
      <c r="J1589" s="11">
        <f>IFERROR(INDEX('Уроки'!$H:$H,MATCH(F1589,'Уроки'!$A:$A,0)),"")</f>
        <v/>
      </c>
      <c r="K1589" s="11">
        <f>IFERROR(INDEX('Уроки'!$J:$J,MATCH(F1589,'Уроки'!$A:$A,0)),"")</f>
        <v/>
      </c>
      <c r="L1589" s="11" t="inlineStr">
        <is>
          <t>Spotlight / 11 класс / Module 1 · Relationships / Present Simple / Present Simple: значение — постоянные состояния и действия</t>
        </is>
      </c>
    </row>
    <row r="1590">
      <c r="A1590" s="37" t="n">
        <v>11</v>
      </c>
      <c r="B1590" s="11" t="inlineStr">
        <is>
          <t>Module 1 · Relationships</t>
        </is>
      </c>
      <c r="C1590" s="11" t="inlineStr">
        <is>
          <t>1c</t>
        </is>
      </c>
      <c r="D1590" s="11" t="inlineStr">
        <is>
          <t>Present Simple</t>
        </is>
      </c>
      <c r="E1590" s="33" t="inlineStr">
        <is>
          <t>Present Simple: значение — расписания и программы (будущее по расписанию)</t>
        </is>
      </c>
      <c r="F1590" s="11" t="inlineStr">
        <is>
          <t>Ст-034</t>
        </is>
      </c>
      <c r="G1590" s="37" t="inlineStr">
        <is>
          <t>повторение</t>
        </is>
      </c>
      <c r="H1590" s="11" t="inlineStr">
        <is>
          <t>The play starts at 8:00</t>
        </is>
      </c>
      <c r="I1590" s="37" t="inlineStr">
        <is>
          <t>10+</t>
        </is>
      </c>
      <c r="J1590" s="11">
        <f>IFERROR(INDEX('Уроки'!$H:$H,MATCH(F1590,'Уроки'!$A:$A,0)),"")</f>
        <v/>
      </c>
      <c r="K1590" s="11">
        <f>IFERROR(INDEX('Уроки'!$J:$J,MATCH(F1590,'Уроки'!$A:$A,0)),"")</f>
        <v/>
      </c>
      <c r="L1590" s="11" t="inlineStr">
        <is>
          <t>Spotlight / 11 класс / Module 1 · Relationships / Present Simple / Present Simple: значение — расписания и программы (будущее по расписанию)</t>
        </is>
      </c>
    </row>
    <row r="1591">
      <c r="A1591" s="37" t="n">
        <v>11</v>
      </c>
      <c r="B1591" s="11" t="inlineStr">
        <is>
          <t>Module 1 · Relationships</t>
        </is>
      </c>
      <c r="C1591" s="11" t="inlineStr">
        <is>
          <t>1c</t>
        </is>
      </c>
      <c r="D1591" s="11" t="inlineStr">
        <is>
          <t>Present Simple</t>
        </is>
      </c>
      <c r="E1591" s="35" t="inlineStr">
        <is>
          <t>Present Simple: значение — обзоры, спортивные комментарии, повествование</t>
        </is>
      </c>
      <c r="F1591" s="11" t="inlineStr">
        <is>
          <t>Ст-036</t>
        </is>
      </c>
      <c r="G1591" s="37" t="inlineStr">
        <is>
          <t>повторение</t>
        </is>
      </c>
      <c r="H1591" s="11" t="inlineStr"/>
      <c r="I1591" s="37" t="inlineStr">
        <is>
          <t>10+</t>
        </is>
      </c>
      <c r="J1591" s="11">
        <f>IFERROR(INDEX('Уроки'!$H:$H,MATCH(F1591,'Уроки'!$A:$A,0)),"")</f>
        <v/>
      </c>
      <c r="K1591" s="11">
        <f>IFERROR(INDEX('Уроки'!$J:$J,MATCH(F1591,'Уроки'!$A:$A,0)),"")</f>
        <v/>
      </c>
      <c r="L1591" s="11" t="inlineStr">
        <is>
          <t>Spotlight / 11 класс / Module 1 · Relationships / Present Simple / Present Simple: значение — обзоры, спортивные комментарии, повествование</t>
        </is>
      </c>
    </row>
    <row r="1592">
      <c r="A1592" s="37" t="n">
        <v>11</v>
      </c>
      <c r="B1592" s="11" t="inlineStr">
        <is>
          <t>Module 1 · Relationships</t>
        </is>
      </c>
      <c r="C1592" s="11" t="inlineStr">
        <is>
          <t>1c</t>
        </is>
      </c>
      <c r="D1592" s="11" t="inlineStr">
        <is>
          <t>Present Simple</t>
        </is>
      </c>
      <c r="E1592" s="35" t="inlineStr">
        <is>
          <t>Present Simple: значение — восклицания (Here comes …!)</t>
        </is>
      </c>
      <c r="F1592" s="11" t="inlineStr">
        <is>
          <t>Ст-037</t>
        </is>
      </c>
      <c r="G1592" s="37" t="inlineStr">
        <is>
          <t>повторение</t>
        </is>
      </c>
      <c r="H1592" s="11" t="inlineStr"/>
      <c r="I1592" s="37" t="inlineStr">
        <is>
          <t>10+</t>
        </is>
      </c>
      <c r="J1592" s="11">
        <f>IFERROR(INDEX('Уроки'!$H:$H,MATCH(F1592,'Уроки'!$A:$A,0)),"")</f>
        <v/>
      </c>
      <c r="K1592" s="11">
        <f>IFERROR(INDEX('Уроки'!$J:$J,MATCH(F1592,'Уроки'!$A:$A,0)),"")</f>
        <v/>
      </c>
      <c r="L1592" s="11" t="inlineStr">
        <is>
          <t>Spotlight / 11 класс / Module 1 · Relationships / Present Simple / Present Simple: значение — восклицания (Here comes …!)</t>
        </is>
      </c>
    </row>
    <row r="1593">
      <c r="A1593" s="37" t="n">
        <v>11</v>
      </c>
      <c r="B1593" s="11" t="inlineStr">
        <is>
          <t>Module 1 · Relationships</t>
        </is>
      </c>
      <c r="C1593" s="11" t="inlineStr">
        <is>
          <t>1c</t>
        </is>
      </c>
      <c r="D1593" s="11" t="inlineStr">
        <is>
          <t>Future Simple (will)</t>
        </is>
      </c>
      <c r="E1593" s="34" t="inlineStr">
        <is>
          <t>Future Simple (will): утверждение (will/'ll + V)</t>
        </is>
      </c>
      <c r="F1593" s="11" t="inlineStr">
        <is>
          <t>Ст-039</t>
        </is>
      </c>
      <c r="G1593" s="37" t="inlineStr">
        <is>
          <t>повторение</t>
        </is>
      </c>
      <c r="H1593" s="11" t="inlineStr"/>
      <c r="I1593" s="37" t="inlineStr">
        <is>
          <t>10+</t>
        </is>
      </c>
      <c r="J1593" s="11">
        <f>IFERROR(INDEX('Уроки'!$H:$H,MATCH(F1593,'Уроки'!$A:$A,0)),"")</f>
        <v/>
      </c>
      <c r="K1593" s="11">
        <f>IFERROR(INDEX('Уроки'!$J:$J,MATCH(F1593,'Уроки'!$A:$A,0)),"")</f>
        <v/>
      </c>
      <c r="L1593" s="11" t="inlineStr">
        <is>
          <t>Spotlight / 11 класс / Module 1 · Relationships / Future Simple (will) / Future Simple (will): утверждение (will/'ll + V)</t>
        </is>
      </c>
    </row>
    <row r="1594">
      <c r="A1594" s="37" t="n">
        <v>11</v>
      </c>
      <c r="B1594" s="11" t="inlineStr">
        <is>
          <t>Module 1 · Relationships</t>
        </is>
      </c>
      <c r="C1594" s="11" t="inlineStr">
        <is>
          <t>1c</t>
        </is>
      </c>
      <c r="D1594" s="11" t="inlineStr">
        <is>
          <t>Future Simple (will)</t>
        </is>
      </c>
      <c r="E1594" s="33" t="inlineStr">
        <is>
          <t>Future Simple (will): значение — предсказание/предположение</t>
        </is>
      </c>
      <c r="F1594" s="11" t="inlineStr">
        <is>
          <t>Ст-042</t>
        </is>
      </c>
      <c r="G1594" s="37" t="inlineStr">
        <is>
          <t>повторение</t>
        </is>
      </c>
      <c r="H1594" s="11" t="inlineStr"/>
      <c r="I1594" s="37" t="inlineStr">
        <is>
          <t>10+</t>
        </is>
      </c>
      <c r="J1594" s="11">
        <f>IFERROR(INDEX('Уроки'!$H:$H,MATCH(F1594,'Уроки'!$A:$A,0)),"")</f>
        <v/>
      </c>
      <c r="K1594" s="11">
        <f>IFERROR(INDEX('Уроки'!$J:$J,MATCH(F1594,'Уроки'!$A:$A,0)),"")</f>
        <v/>
      </c>
      <c r="L1594" s="11" t="inlineStr">
        <is>
          <t>Spotlight / 11 класс / Module 1 · Relationships / Future Simple (will) / Future Simple (will): значение — предсказание/предположение</t>
        </is>
      </c>
    </row>
    <row r="1595">
      <c r="A1595" s="37" t="n">
        <v>11</v>
      </c>
      <c r="B1595" s="11" t="inlineStr">
        <is>
          <t>Module 1 · Relationships</t>
        </is>
      </c>
      <c r="C1595" s="11" t="inlineStr">
        <is>
          <t>1c</t>
        </is>
      </c>
      <c r="D1595" s="11" t="inlineStr">
        <is>
          <t>Future Simple (will)</t>
        </is>
      </c>
      <c r="E1595" s="33" t="inlineStr">
        <is>
          <t>Future Simple (will): значение — решение в момент речи</t>
        </is>
      </c>
      <c r="F1595" s="11" t="inlineStr">
        <is>
          <t>Ст-043</t>
        </is>
      </c>
      <c r="G1595" s="37" t="inlineStr">
        <is>
          <t>повторение</t>
        </is>
      </c>
      <c r="H1595" s="11" t="inlineStr">
        <is>
          <t>on-the-spot decisions</t>
        </is>
      </c>
      <c r="I1595" s="37" t="inlineStr">
        <is>
          <t>10+</t>
        </is>
      </c>
      <c r="J1595" s="11">
        <f>IFERROR(INDEX('Уроки'!$H:$H,MATCH(F1595,'Уроки'!$A:$A,0)),"")</f>
        <v/>
      </c>
      <c r="K1595" s="11">
        <f>IFERROR(INDEX('Уроки'!$J:$J,MATCH(F1595,'Уроки'!$A:$A,0)),"")</f>
        <v/>
      </c>
      <c r="L1595" s="11" t="inlineStr">
        <is>
          <t>Spotlight / 11 класс / Module 1 · Relationships / Future Simple (will) / Future Simple (will): значение — решение в момент речи</t>
        </is>
      </c>
    </row>
    <row r="1596">
      <c r="A1596" s="37" t="n">
        <v>11</v>
      </c>
      <c r="B1596" s="11" t="inlineStr">
        <is>
          <t>Module 1 · Relationships</t>
        </is>
      </c>
      <c r="C1596" s="11" t="inlineStr">
        <is>
          <t>1c</t>
        </is>
      </c>
      <c r="D1596" s="11" t="inlineStr">
        <is>
          <t>Future Simple (will)</t>
        </is>
      </c>
      <c r="E1596" s="34" t="inlineStr">
        <is>
          <t>Future Simple (will): значение — обещания</t>
        </is>
      </c>
      <c r="F1596" s="11" t="inlineStr">
        <is>
          <t>Ст-044</t>
        </is>
      </c>
      <c r="G1596" s="37" t="inlineStr">
        <is>
          <t>повторение</t>
        </is>
      </c>
      <c r="H1596" s="11" t="inlineStr"/>
      <c r="I1596" s="37" t="inlineStr">
        <is>
          <t>10+</t>
        </is>
      </c>
      <c r="J1596" s="11">
        <f>IFERROR(INDEX('Уроки'!$H:$H,MATCH(F1596,'Уроки'!$A:$A,0)),"")</f>
        <v/>
      </c>
      <c r="K1596" s="11">
        <f>IFERROR(INDEX('Уроки'!$J:$J,MATCH(F1596,'Уроки'!$A:$A,0)),"")</f>
        <v/>
      </c>
      <c r="L1596" s="11" t="inlineStr">
        <is>
          <t>Spotlight / 11 класс / Module 1 · Relationships / Future Simple (will) / Future Simple (will): значение — обещания</t>
        </is>
      </c>
    </row>
    <row r="1597">
      <c r="A1597" s="37" t="n">
        <v>11</v>
      </c>
      <c r="B1597" s="11" t="inlineStr">
        <is>
          <t>Module 1 · Relationships</t>
        </is>
      </c>
      <c r="C1597" s="11" t="inlineStr">
        <is>
          <t>1c</t>
        </is>
      </c>
      <c r="D1597" s="11" t="inlineStr">
        <is>
          <t>Future Simple (will)</t>
        </is>
      </c>
      <c r="E1597" s="34" t="inlineStr">
        <is>
          <t>Future Simple (will): значение — просьбы (Will you…?)</t>
        </is>
      </c>
      <c r="F1597" s="11" t="inlineStr">
        <is>
          <t>Ст-045</t>
        </is>
      </c>
      <c r="G1597" s="37" t="inlineStr">
        <is>
          <t>повторение</t>
        </is>
      </c>
      <c r="H1597" s="11" t="inlineStr"/>
      <c r="I1597" s="37" t="inlineStr">
        <is>
          <t>10+</t>
        </is>
      </c>
      <c r="J1597" s="11">
        <f>IFERROR(INDEX('Уроки'!$H:$H,MATCH(F1597,'Уроки'!$A:$A,0)),"")</f>
        <v/>
      </c>
      <c r="K1597" s="11">
        <f>IFERROR(INDEX('Уроки'!$J:$J,MATCH(F1597,'Уроки'!$A:$A,0)),"")</f>
        <v/>
      </c>
      <c r="L1597" s="11" t="inlineStr">
        <is>
          <t>Spotlight / 11 класс / Module 1 · Relationships / Future Simple (will) / Future Simple (will): значение — просьбы (Will you…?)</t>
        </is>
      </c>
    </row>
    <row r="1598">
      <c r="A1598" s="37" t="n">
        <v>11</v>
      </c>
      <c r="B1598" s="11" t="inlineStr">
        <is>
          <t>Module 1 · Relationships</t>
        </is>
      </c>
      <c r="C1598" s="11" t="inlineStr">
        <is>
          <t>1c</t>
        </is>
      </c>
      <c r="D1598" s="11" t="inlineStr">
        <is>
          <t>Future Simple (will)</t>
        </is>
      </c>
      <c r="E1598" s="34" t="inlineStr">
        <is>
          <t>Future Simple (will): значение — угрозы и предупреждения</t>
        </is>
      </c>
      <c r="F1598" s="11" t="inlineStr">
        <is>
          <t>Ст-046</t>
        </is>
      </c>
      <c r="G1598" s="37" t="inlineStr">
        <is>
          <t>повторение</t>
        </is>
      </c>
      <c r="H1598" s="11" t="inlineStr"/>
      <c r="I1598" s="37" t="inlineStr">
        <is>
          <t>10+</t>
        </is>
      </c>
      <c r="J1598" s="11">
        <f>IFERROR(INDEX('Уроки'!$H:$H,MATCH(F1598,'Уроки'!$A:$A,0)),"")</f>
        <v/>
      </c>
      <c r="K1598" s="11">
        <f>IFERROR(INDEX('Уроки'!$J:$J,MATCH(F1598,'Уроки'!$A:$A,0)),"")</f>
        <v/>
      </c>
      <c r="L1598" s="11" t="inlineStr">
        <is>
          <t>Spotlight / 11 класс / Module 1 · Relationships / Future Simple (will) / Future Simple (will): значение — угрозы и предупреждения</t>
        </is>
      </c>
    </row>
    <row r="1599">
      <c r="A1599" s="37" t="n">
        <v>11</v>
      </c>
      <c r="B1599" s="11" t="inlineStr">
        <is>
          <t>Module 1 · Relationships</t>
        </is>
      </c>
      <c r="C1599" s="11" t="inlineStr">
        <is>
          <t>1c</t>
        </is>
      </c>
      <c r="D1599" s="11" t="inlineStr">
        <is>
          <t>Future Simple (will)</t>
        </is>
      </c>
      <c r="E1599" s="35" t="inlineStr">
        <is>
          <t>Future Simple (will): значение — надежды, страхи, предложения, комментарии</t>
        </is>
      </c>
      <c r="F1599" s="11" t="inlineStr">
        <is>
          <t>Ст-047</t>
        </is>
      </c>
      <c r="G1599" s="37" t="inlineStr">
        <is>
          <t>повторение</t>
        </is>
      </c>
      <c r="H1599" s="11" t="inlineStr"/>
      <c r="I1599" s="37" t="inlineStr">
        <is>
          <t>10+</t>
        </is>
      </c>
      <c r="J1599" s="11">
        <f>IFERROR(INDEX('Уроки'!$H:$H,MATCH(F1599,'Уроки'!$A:$A,0)),"")</f>
        <v/>
      </c>
      <c r="K1599" s="11">
        <f>IFERROR(INDEX('Уроки'!$J:$J,MATCH(F1599,'Уроки'!$A:$A,0)),"")</f>
        <v/>
      </c>
      <c r="L1599" s="11" t="inlineStr">
        <is>
          <t>Spotlight / 11 класс / Module 1 · Relationships / Future Simple (will) / Future Simple (will): значение — надежды, страхи, предложения, комментарии</t>
        </is>
      </c>
    </row>
    <row r="1600">
      <c r="A1600" s="37" t="n">
        <v>11</v>
      </c>
      <c r="B1600" s="11" t="inlineStr">
        <is>
          <t>Module 1 · Relationships</t>
        </is>
      </c>
      <c r="C1600" s="11" t="inlineStr">
        <is>
          <t>1c</t>
        </is>
      </c>
      <c r="D1600" s="11" t="inlineStr">
        <is>
          <t>Future Simple (will)</t>
        </is>
      </c>
      <c r="E1600" s="34" t="inlineStr">
        <is>
          <t>Future Simple (will): значение — ещё не решили/не уверены (Maybe I'll…)</t>
        </is>
      </c>
      <c r="F1600" s="11" t="inlineStr">
        <is>
          <t>Ст-049</t>
        </is>
      </c>
      <c r="G1600" s="37" t="inlineStr">
        <is>
          <t>повторение</t>
        </is>
      </c>
      <c r="H1600" s="11" t="inlineStr">
        <is>
          <t>Maybe I'll go…</t>
        </is>
      </c>
      <c r="I1600" s="37" t="inlineStr">
        <is>
          <t>10+</t>
        </is>
      </c>
      <c r="J1600" s="11">
        <f>IFERROR(INDEX('Уроки'!$H:$H,MATCH(F1600,'Уроки'!$A:$A,0)),"")</f>
        <v/>
      </c>
      <c r="K1600" s="11">
        <f>IFERROR(INDEX('Уроки'!$J:$J,MATCH(F1600,'Уроки'!$A:$A,0)),"")</f>
        <v/>
      </c>
      <c r="L1600" s="11" t="inlineStr">
        <is>
          <t>Spotlight / 11 класс / Module 1 · Relationships / Future Simple (will) / Future Simple (will): значение — ещё не решили/не уверены (Maybe I'll…)</t>
        </is>
      </c>
    </row>
    <row r="1601">
      <c r="A1601" s="37" t="n">
        <v>11</v>
      </c>
      <c r="B1601" s="11" t="inlineStr">
        <is>
          <t>Module 1 · Relationships</t>
        </is>
      </c>
      <c r="C1601" s="11" t="inlineStr">
        <is>
          <t>1c</t>
        </is>
      </c>
      <c r="D1601" s="11" t="inlineStr">
        <is>
          <t>Future Simple (will)</t>
        </is>
      </c>
      <c r="E1601" s="34" t="inlineStr">
        <is>
          <t>Future Simple (will): Shall I/we? — предложение, просьба о совете</t>
        </is>
      </c>
      <c r="F1601" s="11" t="inlineStr">
        <is>
          <t>Ст-050</t>
        </is>
      </c>
      <c r="G1601" s="37" t="inlineStr">
        <is>
          <t>повторение</t>
        </is>
      </c>
      <c r="H1601" s="11" t="inlineStr">
        <is>
          <t>предложения, помощь, совет</t>
        </is>
      </c>
      <c r="I1601" s="37" t="inlineStr">
        <is>
          <t>10+</t>
        </is>
      </c>
      <c r="J1601" s="11">
        <f>IFERROR(INDEX('Уроки'!$H:$H,MATCH(F1601,'Уроки'!$A:$A,0)),"")</f>
        <v/>
      </c>
      <c r="K1601" s="11">
        <f>IFERROR(INDEX('Уроки'!$J:$J,MATCH(F1601,'Уроки'!$A:$A,0)),"")</f>
        <v/>
      </c>
      <c r="L1601" s="11" t="inlineStr">
        <is>
          <t>Spotlight / 11 класс / Module 1 · Relationships / Future Simple (will) / Future Simple (will): Shall I/we? — предложение, просьба о совете</t>
        </is>
      </c>
    </row>
    <row r="1602">
      <c r="A1602" s="37" t="n">
        <v>11</v>
      </c>
      <c r="B1602" s="11" t="inlineStr">
        <is>
          <t>Module 1 · Relationships</t>
        </is>
      </c>
      <c r="C1602" s="11" t="inlineStr">
        <is>
          <t>1c</t>
        </is>
      </c>
      <c r="D1602" s="11" t="inlineStr">
        <is>
          <t>Present Simple vs Present Continuous</t>
        </is>
      </c>
      <c r="E1602" s="35" t="inlineStr">
        <is>
          <t>Present Simple vs Present Continuous: постоянное состояние vs временная ситуация</t>
        </is>
      </c>
      <c r="F1602" s="11" t="inlineStr">
        <is>
          <t>Ст-052</t>
        </is>
      </c>
      <c r="G1602" s="37" t="inlineStr">
        <is>
          <t>повторение</t>
        </is>
      </c>
      <c r="H1602" s="11" t="inlineStr"/>
      <c r="I1602" s="37" t="inlineStr">
        <is>
          <t>10+</t>
        </is>
      </c>
      <c r="J1602" s="11">
        <f>IFERROR(INDEX('Уроки'!$H:$H,MATCH(F1602,'Уроки'!$A:$A,0)),"")</f>
        <v/>
      </c>
      <c r="K1602" s="11">
        <f>IFERROR(INDEX('Уроки'!$J:$J,MATCH(F1602,'Уроки'!$A:$A,0)),"")</f>
        <v/>
      </c>
      <c r="L1602" s="11" t="inlineStr">
        <is>
          <t>Spotlight / 11 класс / Module 1 · Relationships / Present Simple vs Present Continuous / Present Simple vs Present Continuous: постоянное состояние vs временная ситуация</t>
        </is>
      </c>
    </row>
    <row r="1603">
      <c r="A1603" s="37" t="n">
        <v>11</v>
      </c>
      <c r="B1603" s="11" t="inlineStr">
        <is>
          <t>Module 1 · Relationships</t>
        </is>
      </c>
      <c r="C1603" s="11" t="inlineStr">
        <is>
          <t>1c</t>
        </is>
      </c>
      <c r="D1603" s="11" t="inlineStr">
        <is>
          <t>Present Simple vs Present Continuous</t>
        </is>
      </c>
      <c r="E1603" s="35" t="inlineStr">
        <is>
          <t>Present Simple vs Present Continuous: повторяющиеся действия vs настоящий период (these days)</t>
        </is>
      </c>
      <c r="F1603" s="11" t="inlineStr">
        <is>
          <t>Ст-053</t>
        </is>
      </c>
      <c r="G1603" s="37" t="inlineStr">
        <is>
          <t>повторение</t>
        </is>
      </c>
      <c r="H1603" s="11" t="inlineStr"/>
      <c r="I1603" s="37" t="inlineStr">
        <is>
          <t>10+</t>
        </is>
      </c>
      <c r="J1603" s="11">
        <f>IFERROR(INDEX('Уроки'!$H:$H,MATCH(F1603,'Уроки'!$A:$A,0)),"")</f>
        <v/>
      </c>
      <c r="K1603" s="11">
        <f>IFERROR(INDEX('Уроки'!$J:$J,MATCH(F1603,'Уроки'!$A:$A,0)),"")</f>
        <v/>
      </c>
      <c r="L1603" s="11" t="inlineStr">
        <is>
          <t>Spotlight / 11 класс / Module 1 · Relationships / Present Simple vs Present Continuous / Present Simple vs Present Continuous: повторяющиеся действия vs настоящий период (these days)</t>
        </is>
      </c>
    </row>
    <row r="1604">
      <c r="A1604" s="37" t="n">
        <v>11</v>
      </c>
      <c r="B1604" s="11" t="inlineStr">
        <is>
          <t>Module 1 · Relationships</t>
        </is>
      </c>
      <c r="C1604" s="11" t="inlineStr">
        <is>
          <t>1c</t>
        </is>
      </c>
      <c r="D1604" s="11" t="inlineStr">
        <is>
          <t>be going to</t>
        </is>
      </c>
      <c r="E1604" s="33" t="inlineStr">
        <is>
          <t>be going to: утверждение (am/is/are going to + V)</t>
        </is>
      </c>
      <c r="F1604" s="11" t="inlineStr">
        <is>
          <t>Ст-055</t>
        </is>
      </c>
      <c r="G1604" s="37" t="inlineStr">
        <is>
          <t>повторение</t>
        </is>
      </c>
      <c r="H1604" s="11" t="inlineStr">
        <is>
          <t>am/is/are + going to + bare infinitive</t>
        </is>
      </c>
      <c r="I1604" s="37" t="inlineStr">
        <is>
          <t>10+</t>
        </is>
      </c>
      <c r="J1604" s="11">
        <f>IFERROR(INDEX('Уроки'!$H:$H,MATCH(F1604,'Уроки'!$A:$A,0)),"")</f>
        <v/>
      </c>
      <c r="K1604" s="11">
        <f>IFERROR(INDEX('Уроки'!$J:$J,MATCH(F1604,'Уроки'!$A:$A,0)),"")</f>
        <v/>
      </c>
      <c r="L1604" s="11" t="inlineStr">
        <is>
          <t>Spotlight / 11 класс / Module 1 · Relationships / be going to / be going to: утверждение (am/is/are going to + V)</t>
        </is>
      </c>
    </row>
    <row r="1605">
      <c r="A1605" s="37" t="n">
        <v>11</v>
      </c>
      <c r="B1605" s="11" t="inlineStr">
        <is>
          <t>Module 1 · Relationships</t>
        </is>
      </c>
      <c r="C1605" s="11" t="inlineStr">
        <is>
          <t>1c</t>
        </is>
      </c>
      <c r="D1605" s="11" t="inlineStr">
        <is>
          <t>be going to</t>
        </is>
      </c>
      <c r="E1605" s="33" t="inlineStr">
        <is>
          <t>be going to: значение — планы и намерения</t>
        </is>
      </c>
      <c r="F1605" s="11" t="inlineStr">
        <is>
          <t>Ст-058</t>
        </is>
      </c>
      <c r="G1605" s="37" t="inlineStr">
        <is>
          <t>повторение</t>
        </is>
      </c>
      <c r="H1605" s="11" t="inlineStr"/>
      <c r="I1605" s="37" t="inlineStr">
        <is>
          <t>10+</t>
        </is>
      </c>
      <c r="J1605" s="11">
        <f>IFERROR(INDEX('Уроки'!$H:$H,MATCH(F1605,'Уроки'!$A:$A,0)),"")</f>
        <v/>
      </c>
      <c r="K1605" s="11">
        <f>IFERROR(INDEX('Уроки'!$J:$J,MATCH(F1605,'Уроки'!$A:$A,0)),"")</f>
        <v/>
      </c>
      <c r="L1605" s="11" t="inlineStr">
        <is>
          <t>Spotlight / 11 класс / Module 1 · Relationships / be going to / be going to: значение — планы и намерения</t>
        </is>
      </c>
    </row>
    <row r="1606">
      <c r="A1606" s="37" t="n">
        <v>11</v>
      </c>
      <c r="B1606" s="11" t="inlineStr">
        <is>
          <t>Module 1 · Relationships</t>
        </is>
      </c>
      <c r="C1606" s="11" t="inlineStr">
        <is>
          <t>1c</t>
        </is>
      </c>
      <c r="D1606" s="11" t="inlineStr">
        <is>
          <t>be going to</t>
        </is>
      </c>
      <c r="E1606" s="33" t="inlineStr">
        <is>
          <t>be going to: значение — предсказание по очевидным признакам</t>
        </is>
      </c>
      <c r="F1606" s="11" t="inlineStr">
        <is>
          <t>Ст-060</t>
        </is>
      </c>
      <c r="G1606" s="37" t="inlineStr">
        <is>
          <t>повторение</t>
        </is>
      </c>
      <c r="H1606" s="11" t="inlineStr"/>
      <c r="I1606" s="37" t="inlineStr">
        <is>
          <t>10+</t>
        </is>
      </c>
      <c r="J1606" s="11">
        <f>IFERROR(INDEX('Уроки'!$H:$H,MATCH(F1606,'Уроки'!$A:$A,0)),"")</f>
        <v/>
      </c>
      <c r="K1606" s="11">
        <f>IFERROR(INDEX('Уроки'!$J:$J,MATCH(F1606,'Уроки'!$A:$A,0)),"")</f>
        <v/>
      </c>
      <c r="L1606" s="11" t="inlineStr">
        <is>
          <t>Spotlight / 11 класс / Module 1 · Relationships / be going to / be going to: значение — предсказание по очевидным признакам</t>
        </is>
      </c>
    </row>
    <row r="1607">
      <c r="A1607" s="37" t="n">
        <v>11</v>
      </c>
      <c r="B1607" s="11" t="inlineStr">
        <is>
          <t>Module 1 · Relationships</t>
        </is>
      </c>
      <c r="C1607" s="11" t="inlineStr">
        <is>
          <t>1c</t>
        </is>
      </c>
      <c r="D1607" s="11" t="inlineStr">
        <is>
          <t>be going to</t>
        </is>
      </c>
      <c r="E1607" s="33" t="inlineStr">
        <is>
          <t>be going to vs will: план/признаки vs решение в момент речи/мнение</t>
        </is>
      </c>
      <c r="F1607" s="11" t="inlineStr">
        <is>
          <t>Ст-061</t>
        </is>
      </c>
      <c r="G1607" s="37" t="inlineStr">
        <is>
          <t>повторение</t>
        </is>
      </c>
      <c r="H1607" s="11" t="inlineStr">
        <is>
          <t>I'm thirsty. I think I'll have a glass of water</t>
        </is>
      </c>
      <c r="I1607" s="37" t="inlineStr">
        <is>
          <t>10+</t>
        </is>
      </c>
      <c r="J1607" s="11">
        <f>IFERROR(INDEX('Уроки'!$H:$H,MATCH(F1607,'Уроки'!$A:$A,0)),"")</f>
        <v/>
      </c>
      <c r="K1607" s="11">
        <f>IFERROR(INDEX('Уроки'!$J:$J,MATCH(F1607,'Уроки'!$A:$A,0)),"")</f>
        <v/>
      </c>
      <c r="L1607" s="11" t="inlineStr">
        <is>
          <t>Spotlight / 11 класс / Module 1 · Relationships / be going to / be going to vs will: план/признаки vs решение в момент речи/мнение</t>
        </is>
      </c>
    </row>
    <row r="1608">
      <c r="A1608" s="37" t="n">
        <v>11</v>
      </c>
      <c r="B1608" s="11" t="inlineStr">
        <is>
          <t>Module 1 · Relationships</t>
        </is>
      </c>
      <c r="C1608" s="11" t="inlineStr">
        <is>
          <t>1c</t>
        </is>
      </c>
      <c r="D1608" s="11" t="inlineStr">
        <is>
          <t>Present Perfect</t>
        </is>
      </c>
      <c r="E1608" s="33" t="inlineStr">
        <is>
          <t>Present Perfect: утверждение (have/has + V3)</t>
        </is>
      </c>
      <c r="F1608" s="11" t="inlineStr">
        <is>
          <t>Ст-062</t>
        </is>
      </c>
      <c r="G1608" s="37" t="inlineStr">
        <is>
          <t>повторение</t>
        </is>
      </c>
      <c r="H1608" s="11" t="inlineStr"/>
      <c r="I1608" s="37" t="inlineStr">
        <is>
          <t>10+</t>
        </is>
      </c>
      <c r="J1608" s="11">
        <f>IFERROR(INDEX('Уроки'!$H:$H,MATCH(F1608,'Уроки'!$A:$A,0)),"")</f>
        <v/>
      </c>
      <c r="K1608" s="11">
        <f>IFERROR(INDEX('Уроки'!$J:$J,MATCH(F1608,'Уроки'!$A:$A,0)),"")</f>
        <v/>
      </c>
      <c r="L1608" s="11" t="inlineStr">
        <is>
          <t>Spotlight / 11 класс / Module 1 · Relationships / Present Perfect / Present Perfect: утверждение (have/has + V3)</t>
        </is>
      </c>
    </row>
    <row r="1609">
      <c r="A1609" s="37" t="n">
        <v>11</v>
      </c>
      <c r="B1609" s="11" t="inlineStr">
        <is>
          <t>Module 1 · Relationships</t>
        </is>
      </c>
      <c r="C1609" s="11" t="inlineStr">
        <is>
          <t>1c</t>
        </is>
      </c>
      <c r="D1609" s="11" t="inlineStr">
        <is>
          <t>Present Perfect</t>
        </is>
      </c>
      <c r="E1609" s="34" t="inlineStr">
        <is>
          <t>Present Perfect: V3 правильных глаголов (-ed, орфография)</t>
        </is>
      </c>
      <c r="F1609" s="11" t="inlineStr">
        <is>
          <t>Ст-065</t>
        </is>
      </c>
      <c r="G1609" s="37" t="inlineStr">
        <is>
          <t>повторение</t>
        </is>
      </c>
      <c r="H1609" s="11" t="inlineStr"/>
      <c r="I1609" s="37" t="inlineStr">
        <is>
          <t>10+</t>
        </is>
      </c>
      <c r="J1609" s="11">
        <f>IFERROR(INDEX('Уроки'!$H:$H,MATCH(F1609,'Уроки'!$A:$A,0)),"")</f>
        <v/>
      </c>
      <c r="K1609" s="11">
        <f>IFERROR(INDEX('Уроки'!$J:$J,MATCH(F1609,'Уроки'!$A:$A,0)),"")</f>
        <v/>
      </c>
      <c r="L1609" s="11" t="inlineStr">
        <is>
          <t>Spotlight / 11 класс / Module 1 · Relationships / Present Perfect / Present Perfect: V3 правильных глаголов (-ed, орфография)</t>
        </is>
      </c>
    </row>
    <row r="1610">
      <c r="A1610" s="37" t="n">
        <v>11</v>
      </c>
      <c r="B1610" s="11" t="inlineStr">
        <is>
          <t>Module 1 · Relationships</t>
        </is>
      </c>
      <c r="C1610" s="11" t="inlineStr">
        <is>
          <t>1c</t>
        </is>
      </c>
      <c r="D1610" s="11" t="inlineStr">
        <is>
          <t>Present Perfect</t>
        </is>
      </c>
      <c r="E1610" s="34" t="inlineStr">
        <is>
          <t>Present Perfect: V3 неправильных глаголов</t>
        </is>
      </c>
      <c r="F1610" s="11" t="inlineStr">
        <is>
          <t>Ст-066</t>
        </is>
      </c>
      <c r="G1610" s="37" t="inlineStr">
        <is>
          <t>повторение</t>
        </is>
      </c>
      <c r="H1610" s="11" t="inlineStr"/>
      <c r="I1610" s="37" t="inlineStr">
        <is>
          <t>10+</t>
        </is>
      </c>
      <c r="J1610" s="11">
        <f>IFERROR(INDEX('Уроки'!$H:$H,MATCH(F1610,'Уроки'!$A:$A,0)),"")</f>
        <v/>
      </c>
      <c r="K1610" s="11">
        <f>IFERROR(INDEX('Уроки'!$J:$J,MATCH(F1610,'Уроки'!$A:$A,0)),"")</f>
        <v/>
      </c>
      <c r="L1610" s="11" t="inlineStr">
        <is>
          <t>Spotlight / 11 класс / Module 1 · Relationships / Present Perfect / Present Perfect: V3 неправильных глаголов</t>
        </is>
      </c>
    </row>
    <row r="1611">
      <c r="A1611" s="37" t="n">
        <v>11</v>
      </c>
      <c r="B1611" s="11" t="inlineStr">
        <is>
          <t>Module 1 · Relationships</t>
        </is>
      </c>
      <c r="C1611" s="11" t="inlineStr">
        <is>
          <t>1c</t>
        </is>
      </c>
      <c r="D1611" s="11" t="inlineStr">
        <is>
          <t>Present Perfect</t>
        </is>
      </c>
      <c r="E1611" s="33" t="inlineStr">
        <is>
          <t>Present Perfect: значение — жизненный опыт, перемены (ever/never)</t>
        </is>
      </c>
      <c r="F1611" s="11" t="inlineStr">
        <is>
          <t>Ст-067</t>
        </is>
      </c>
      <c r="G1611" s="37" t="inlineStr">
        <is>
          <t>повторение</t>
        </is>
      </c>
      <c r="H1611" s="11" t="inlineStr"/>
      <c r="I1611" s="37" t="inlineStr">
        <is>
          <t>10+</t>
        </is>
      </c>
      <c r="J1611" s="11">
        <f>IFERROR(INDEX('Уроки'!$H:$H,MATCH(F1611,'Уроки'!$A:$A,0)),"")</f>
        <v/>
      </c>
      <c r="K1611" s="11">
        <f>IFERROR(INDEX('Уроки'!$J:$J,MATCH(F1611,'Уроки'!$A:$A,0)),"")</f>
        <v/>
      </c>
      <c r="L1611" s="11" t="inlineStr">
        <is>
          <t>Spotlight / 11 класс / Module 1 · Relationships / Present Perfect / Present Perfect: значение — жизненный опыт, перемены (ever/never)</t>
        </is>
      </c>
    </row>
    <row r="1612">
      <c r="A1612" s="37" t="n">
        <v>11</v>
      </c>
      <c r="B1612" s="11" t="inlineStr">
        <is>
          <t>Module 1 · Relationships</t>
        </is>
      </c>
      <c r="C1612" s="11" t="inlineStr">
        <is>
          <t>1c</t>
        </is>
      </c>
      <c r="D1612" s="11" t="inlineStr">
        <is>
          <t>Present Perfect</t>
        </is>
      </c>
      <c r="E1612" s="33" t="inlineStr">
        <is>
          <t>Present Perfect: значение — результат в настоящем</t>
        </is>
      </c>
      <c r="F1612" s="11" t="inlineStr">
        <is>
          <t>Ст-068</t>
        </is>
      </c>
      <c r="G1612" s="37" t="inlineStr">
        <is>
          <t>повторение</t>
        </is>
      </c>
      <c r="H1612" s="11" t="inlineStr"/>
      <c r="I1612" s="37" t="inlineStr">
        <is>
          <t>10+</t>
        </is>
      </c>
      <c r="J1612" s="11">
        <f>IFERROR(INDEX('Уроки'!$H:$H,MATCH(F1612,'Уроки'!$A:$A,0)),"")</f>
        <v/>
      </c>
      <c r="K1612" s="11">
        <f>IFERROR(INDEX('Уроки'!$J:$J,MATCH(F1612,'Уроки'!$A:$A,0)),"")</f>
        <v/>
      </c>
      <c r="L1612" s="11" t="inlineStr">
        <is>
          <t>Spotlight / 11 класс / Module 1 · Relationships / Present Perfect / Present Perfect: значение — результат в настоящем</t>
        </is>
      </c>
    </row>
    <row r="1613">
      <c r="A1613" s="37" t="n">
        <v>11</v>
      </c>
      <c r="B1613" s="11" t="inlineStr">
        <is>
          <t>Module 1 · Relationships</t>
        </is>
      </c>
      <c r="C1613" s="11" t="inlineStr">
        <is>
          <t>1c</t>
        </is>
      </c>
      <c r="D1613" s="11" t="inlineStr">
        <is>
          <t>Present Perfect</t>
        </is>
      </c>
      <c r="E1613" s="33" t="inlineStr">
        <is>
          <t>Present Perfect: значение — недавно завершённое действие (just)</t>
        </is>
      </c>
      <c r="F1613" s="11" t="inlineStr">
        <is>
          <t>Ст-069</t>
        </is>
      </c>
      <c r="G1613" s="37" t="inlineStr">
        <is>
          <t>повторение</t>
        </is>
      </c>
      <c r="H1613" s="11" t="inlineStr"/>
      <c r="I1613" s="37" t="inlineStr">
        <is>
          <t>10+</t>
        </is>
      </c>
      <c r="J1613" s="11">
        <f>IFERROR(INDEX('Уроки'!$H:$H,MATCH(F1613,'Уроки'!$A:$A,0)),"")</f>
        <v/>
      </c>
      <c r="K1613" s="11">
        <f>IFERROR(INDEX('Уроки'!$J:$J,MATCH(F1613,'Уроки'!$A:$A,0)),"")</f>
        <v/>
      </c>
      <c r="L1613" s="11" t="inlineStr">
        <is>
          <t>Spotlight / 11 класс / Module 1 · Relationships / Present Perfect / Present Perfect: значение — недавно завершённое действие (just)</t>
        </is>
      </c>
    </row>
    <row r="1614">
      <c r="A1614" s="37" t="n">
        <v>11</v>
      </c>
      <c r="B1614" s="11" t="inlineStr">
        <is>
          <t>Module 1 · Relationships</t>
        </is>
      </c>
      <c r="C1614" s="11" t="inlineStr">
        <is>
          <t>1c</t>
        </is>
      </c>
      <c r="D1614" s="11" t="inlineStr">
        <is>
          <t>Present Perfect</t>
        </is>
      </c>
      <c r="E1614" s="35" t="inlineStr">
        <is>
          <t>Present Perfect: значение — неуказанное время в прошлом</t>
        </is>
      </c>
      <c r="F1614" s="11" t="inlineStr">
        <is>
          <t>Ст-070</t>
        </is>
      </c>
      <c r="G1614" s="37" t="inlineStr">
        <is>
          <t>повторение</t>
        </is>
      </c>
      <c r="H1614" s="11" t="inlineStr"/>
      <c r="I1614" s="37" t="inlineStr">
        <is>
          <t>10+</t>
        </is>
      </c>
      <c r="J1614" s="11">
        <f>IFERROR(INDEX('Уроки'!$H:$H,MATCH(F1614,'Уроки'!$A:$A,0)),"")</f>
        <v/>
      </c>
      <c r="K1614" s="11">
        <f>IFERROR(INDEX('Уроки'!$J:$J,MATCH(F1614,'Уроки'!$A:$A,0)),"")</f>
        <v/>
      </c>
      <c r="L1614" s="11" t="inlineStr">
        <is>
          <t>Spotlight / 11 класс / Module 1 · Relationships / Present Perfect / Present Perfect: значение — неуказанное время в прошлом</t>
        </is>
      </c>
    </row>
    <row r="1615">
      <c r="A1615" s="37" t="n">
        <v>11</v>
      </c>
      <c r="B1615" s="11" t="inlineStr">
        <is>
          <t>Module 1 · Relationships</t>
        </is>
      </c>
      <c r="C1615" s="11" t="inlineStr">
        <is>
          <t>1c</t>
        </is>
      </c>
      <c r="D1615" s="11" t="inlineStr">
        <is>
          <t>Present Perfect</t>
        </is>
      </c>
      <c r="E1615" s="33" t="inlineStr">
        <is>
          <t>Present Perfect: значение — с прошлого до настоящего (stative verbs, for/since)</t>
        </is>
      </c>
      <c r="F1615" s="11" t="inlineStr">
        <is>
          <t>Ст-071</t>
        </is>
      </c>
      <c r="G1615" s="37" t="inlineStr">
        <is>
          <t>повторение</t>
        </is>
      </c>
      <c r="H1615" s="11" t="inlineStr">
        <is>
          <t>know, be, have, possess, own</t>
        </is>
      </c>
      <c r="I1615" s="37" t="inlineStr">
        <is>
          <t>10+</t>
        </is>
      </c>
      <c r="J1615" s="11">
        <f>IFERROR(INDEX('Уроки'!$H:$H,MATCH(F1615,'Уроки'!$A:$A,0)),"")</f>
        <v/>
      </c>
      <c r="K1615" s="11">
        <f>IFERROR(INDEX('Уроки'!$J:$J,MATCH(F1615,'Уроки'!$A:$A,0)),"")</f>
        <v/>
      </c>
      <c r="L1615" s="11" t="inlineStr">
        <is>
          <t>Spotlight / 11 класс / Module 1 · Relationships / Present Perfect / Present Perfect: значение — с прошлого до настоящего (stative verbs, for/since)</t>
        </is>
      </c>
    </row>
    <row r="1616">
      <c r="A1616" s="37" t="n">
        <v>11</v>
      </c>
      <c r="B1616" s="11" t="inlineStr">
        <is>
          <t>Module 1 · Relationships</t>
        </is>
      </c>
      <c r="C1616" s="11" t="inlineStr">
        <is>
          <t>1c</t>
        </is>
      </c>
      <c r="D1616" s="11" t="inlineStr">
        <is>
          <t>Present Perfect</t>
        </is>
      </c>
      <c r="E1616" s="34" t="inlineStr">
        <is>
          <t>Present Perfect: значение — незаконченный период (today, this week, so far)</t>
        </is>
      </c>
      <c r="F1616" s="11" t="inlineStr">
        <is>
          <t>Ст-072</t>
        </is>
      </c>
      <c r="G1616" s="37" t="inlineStr">
        <is>
          <t>повторение</t>
        </is>
      </c>
      <c r="H1616" s="11" t="inlineStr"/>
      <c r="I1616" s="37" t="inlineStr">
        <is>
          <t>10+</t>
        </is>
      </c>
      <c r="J1616" s="11">
        <f>IFERROR(INDEX('Уроки'!$H:$H,MATCH(F1616,'Уроки'!$A:$A,0)),"")</f>
        <v/>
      </c>
      <c r="K1616" s="11">
        <f>IFERROR(INDEX('Уроки'!$J:$J,MATCH(F1616,'Уроки'!$A:$A,0)),"")</f>
        <v/>
      </c>
      <c r="L1616" s="11" t="inlineStr">
        <is>
          <t>Spotlight / 11 класс / Module 1 · Relationships / Present Perfect / Present Perfect: значение — незаконченный период (today, this week, so far)</t>
        </is>
      </c>
    </row>
    <row r="1617">
      <c r="A1617" s="37" t="n">
        <v>11</v>
      </c>
      <c r="B1617" s="11" t="inlineStr">
        <is>
          <t>Module 1 · Relationships</t>
        </is>
      </c>
      <c r="C1617" s="11" t="inlineStr">
        <is>
          <t>1c</t>
        </is>
      </c>
      <c r="D1617" s="11" t="inlineStr">
        <is>
          <t>Present Perfect</t>
        </is>
      </c>
      <c r="E1617" s="35" t="inlineStr">
        <is>
          <t>Present Perfect: значение — акцент на количестве (seven times this week)</t>
        </is>
      </c>
      <c r="F1617" s="11" t="inlineStr">
        <is>
          <t>Ст-073</t>
        </is>
      </c>
      <c r="G1617" s="37" t="inlineStr">
        <is>
          <t>повторение</t>
        </is>
      </c>
      <c r="H1617" s="11" t="inlineStr"/>
      <c r="I1617" s="37" t="inlineStr">
        <is>
          <t>10+</t>
        </is>
      </c>
      <c r="J1617" s="11">
        <f>IFERROR(INDEX('Уроки'!$H:$H,MATCH(F1617,'Уроки'!$A:$A,0)),"")</f>
        <v/>
      </c>
      <c r="K1617" s="11">
        <f>IFERROR(INDEX('Уроки'!$J:$J,MATCH(F1617,'Уроки'!$A:$A,0)),"")</f>
        <v/>
      </c>
      <c r="L1617" s="11" t="inlineStr">
        <is>
          <t>Spotlight / 11 класс / Module 1 · Relationships / Present Perfect / Present Perfect: значение — акцент на количестве (seven times this week)</t>
        </is>
      </c>
    </row>
    <row r="1618">
      <c r="A1618" s="37" t="n">
        <v>11</v>
      </c>
      <c r="B1618" s="11" t="inlineStr">
        <is>
          <t>Module 1 · Relationships</t>
        </is>
      </c>
      <c r="C1618" s="11" t="inlineStr">
        <is>
          <t>1c</t>
        </is>
      </c>
      <c r="D1618" s="11" t="inlineStr">
        <is>
          <t>Present Perfect</t>
        </is>
      </c>
      <c r="E1618" s="33" t="inlineStr">
        <is>
          <t>Present Perfect: слова-маркеры already / yet / just / ever / never</t>
        </is>
      </c>
      <c r="F1618" s="11" t="inlineStr">
        <is>
          <t>Ст-074</t>
        </is>
      </c>
      <c r="G1618" s="37" t="inlineStr">
        <is>
          <t>повторение</t>
        </is>
      </c>
      <c r="H1618" s="11" t="inlineStr"/>
      <c r="I1618" s="37" t="inlineStr">
        <is>
          <t>10+</t>
        </is>
      </c>
      <c r="J1618" s="11">
        <f>IFERROR(INDEX('Уроки'!$H:$H,MATCH(F1618,'Уроки'!$A:$A,0)),"")</f>
        <v/>
      </c>
      <c r="K1618" s="11">
        <f>IFERROR(INDEX('Уроки'!$J:$J,MATCH(F1618,'Уроки'!$A:$A,0)),"")</f>
        <v/>
      </c>
      <c r="L1618" s="11" t="inlineStr">
        <is>
          <t>Spotlight / 11 класс / Module 1 · Relationships / Present Perfect / Present Perfect: слова-маркеры already / yet / just / ever / never</t>
        </is>
      </c>
    </row>
    <row r="1619">
      <c r="A1619" s="37" t="n">
        <v>11</v>
      </c>
      <c r="B1619" s="11" t="inlineStr">
        <is>
          <t>Module 1 · Relationships</t>
        </is>
      </c>
      <c r="C1619" s="11" t="inlineStr">
        <is>
          <t>1c</t>
        </is>
      </c>
      <c r="D1619" s="11" t="inlineStr">
        <is>
          <t>Stative verbs</t>
        </is>
      </c>
      <c r="E1619" s="33" t="inlineStr">
        <is>
          <t>Stative verbs: глаголы состояния не употребляются в Continuous</t>
        </is>
      </c>
      <c r="F1619" s="11" t="inlineStr">
        <is>
          <t>Ст-075</t>
        </is>
      </c>
      <c r="G1619" s="37" t="inlineStr">
        <is>
          <t>повторение</t>
        </is>
      </c>
      <c r="H1619" s="11" t="inlineStr"/>
      <c r="I1619" s="37" t="inlineStr">
        <is>
          <t>10+</t>
        </is>
      </c>
      <c r="J1619" s="11">
        <f>IFERROR(INDEX('Уроки'!$H:$H,MATCH(F1619,'Уроки'!$A:$A,0)),"")</f>
        <v/>
      </c>
      <c r="K1619" s="11">
        <f>IFERROR(INDEX('Уроки'!$J:$J,MATCH(F1619,'Уроки'!$A:$A,0)),"")</f>
        <v/>
      </c>
      <c r="L1619" s="11" t="inlineStr">
        <is>
          <t>Spotlight / 11 класс / Module 1 · Relationships / Stative verbs / Stative verbs: глаголы состояния не употребляются в Continuous</t>
        </is>
      </c>
    </row>
    <row r="1620">
      <c r="A1620" s="37" t="n">
        <v>11</v>
      </c>
      <c r="B1620" s="11" t="inlineStr">
        <is>
          <t>Module 1 · Relationships</t>
        </is>
      </c>
      <c r="C1620" s="11" t="inlineStr">
        <is>
          <t>1c</t>
        </is>
      </c>
      <c r="D1620" s="11" t="inlineStr">
        <is>
          <t>Stative verbs</t>
        </is>
      </c>
      <c r="E1620" s="33" t="inlineStr">
        <is>
          <t>Stative verbs: группы глаголов (восприятие, мышление, чувства, прочие)</t>
        </is>
      </c>
      <c r="F1620" s="11" t="inlineStr">
        <is>
          <t>Ст-076</t>
        </is>
      </c>
      <c r="G1620" s="37" t="inlineStr">
        <is>
          <t>повторение</t>
        </is>
      </c>
      <c r="H1620" s="11" t="inlineStr"/>
      <c r="I1620" s="37" t="inlineStr">
        <is>
          <t>10+</t>
        </is>
      </c>
      <c r="J1620" s="11">
        <f>IFERROR(INDEX('Уроки'!$H:$H,MATCH(F1620,'Уроки'!$A:$A,0)),"")</f>
        <v/>
      </c>
      <c r="K1620" s="11">
        <f>IFERROR(INDEX('Уроки'!$J:$J,MATCH(F1620,'Уроки'!$A:$A,0)),"")</f>
        <v/>
      </c>
      <c r="L1620" s="11" t="inlineStr">
        <is>
          <t>Spotlight / 11 класс / Module 1 · Relationships / Stative verbs / Stative verbs: группы глаголов (восприятие, мышление, чувства, прочие)</t>
        </is>
      </c>
    </row>
    <row r="1621">
      <c r="A1621" s="37" t="n">
        <v>11</v>
      </c>
      <c r="B1621" s="11" t="inlineStr">
        <is>
          <t>Module 1 · Relationships</t>
        </is>
      </c>
      <c r="C1621" s="11" t="inlineStr">
        <is>
          <t>1c</t>
        </is>
      </c>
      <c r="D1621" s="11" t="inlineStr">
        <is>
          <t>Stative verbs</t>
        </is>
      </c>
      <c r="E1621" s="33" t="inlineStr">
        <is>
          <t>Stative verbs: разное значение в Simple и Continuous (think, have, see, taste…)</t>
        </is>
      </c>
      <c r="F1621" s="11" t="inlineStr">
        <is>
          <t>Ст-077</t>
        </is>
      </c>
      <c r="G1621" s="37" t="inlineStr">
        <is>
          <t>повторение</t>
        </is>
      </c>
      <c r="H1621" s="11" t="inlineStr"/>
      <c r="I1621" s="37" t="inlineStr">
        <is>
          <t>10+</t>
        </is>
      </c>
      <c r="J1621" s="11">
        <f>IFERROR(INDEX('Уроки'!$H:$H,MATCH(F1621,'Уроки'!$A:$A,0)),"")</f>
        <v/>
      </c>
      <c r="K1621" s="11">
        <f>IFERROR(INDEX('Уроки'!$J:$J,MATCH(F1621,'Уроки'!$A:$A,0)),"")</f>
        <v/>
      </c>
      <c r="L1621" s="11" t="inlineStr">
        <is>
          <t>Spotlight / 11 класс / Module 1 · Relationships / Stative verbs / Stative verbs: разное значение в Simple и Continuous (think, have, see, taste…)</t>
        </is>
      </c>
    </row>
    <row r="1622">
      <c r="A1622" s="37" t="n">
        <v>11</v>
      </c>
      <c r="B1622" s="11" t="inlineStr">
        <is>
          <t>Module 1 · Relationships</t>
        </is>
      </c>
      <c r="C1622" s="11" t="inlineStr">
        <is>
          <t>1c</t>
        </is>
      </c>
      <c r="D1622" s="11" t="inlineStr">
        <is>
          <t>Stative verbs</t>
        </is>
      </c>
      <c r="E1622" s="35" t="inlineStr">
        <is>
          <t>Stative verbs: look, feel, hurt, ache — Simple = Continuous</t>
        </is>
      </c>
      <c r="F1622" s="11" t="inlineStr">
        <is>
          <t>Ст-078</t>
        </is>
      </c>
      <c r="G1622" s="37" t="inlineStr">
        <is>
          <t>повторение</t>
        </is>
      </c>
      <c r="H1622" s="11" t="inlineStr"/>
      <c r="I1622" s="37" t="inlineStr">
        <is>
          <t>10+</t>
        </is>
      </c>
      <c r="J1622" s="11">
        <f>IFERROR(INDEX('Уроки'!$H:$H,MATCH(F1622,'Уроки'!$A:$A,0)),"")</f>
        <v/>
      </c>
      <c r="K1622" s="11">
        <f>IFERROR(INDEX('Уроки'!$J:$J,MATCH(F1622,'Уроки'!$A:$A,0)),"")</f>
        <v/>
      </c>
      <c r="L1622" s="11" t="inlineStr">
        <is>
          <t>Spotlight / 11 класс / Module 1 · Relationships / Stative verbs / Stative verbs: look, feel, hurt, ache — Simple = Continuous</t>
        </is>
      </c>
    </row>
    <row r="1623">
      <c r="A1623" s="37" t="n">
        <v>11</v>
      </c>
      <c r="B1623" s="11" t="inlineStr">
        <is>
          <t>Module 1 · Relationships</t>
        </is>
      </c>
      <c r="C1623" s="11" t="inlineStr">
        <is>
          <t>1c</t>
        </is>
      </c>
      <c r="D1623" s="11" t="inlineStr">
        <is>
          <t>Stative verbs</t>
        </is>
      </c>
      <c r="E1623" s="35" t="inlineStr">
        <is>
          <t>Stative verbs: enjoy в Continuous — конкретное удовольствие</t>
        </is>
      </c>
      <c r="F1623" s="11" t="inlineStr">
        <is>
          <t>Ст-079</t>
        </is>
      </c>
      <c r="G1623" s="37" t="inlineStr">
        <is>
          <t>повторение</t>
        </is>
      </c>
      <c r="H1623" s="11" t="inlineStr"/>
      <c r="I1623" s="37" t="inlineStr">
        <is>
          <t>10+</t>
        </is>
      </c>
      <c r="J1623" s="11">
        <f>IFERROR(INDEX('Уроки'!$H:$H,MATCH(F1623,'Уроки'!$A:$A,0)),"")</f>
        <v/>
      </c>
      <c r="K1623" s="11">
        <f>IFERROR(INDEX('Уроки'!$J:$J,MATCH(F1623,'Уроки'!$A:$A,0)),"")</f>
        <v/>
      </c>
      <c r="L1623" s="11" t="inlineStr">
        <is>
          <t>Spotlight / 11 класс / Module 1 · Relationships / Stative verbs / Stative verbs: enjoy в Continuous — конкретное удовольствие</t>
        </is>
      </c>
    </row>
    <row r="1624">
      <c r="A1624" s="37" t="n">
        <v>11</v>
      </c>
      <c r="B1624" s="11" t="inlineStr">
        <is>
          <t>Module 1 · Relationships</t>
        </is>
      </c>
      <c r="C1624" s="11" t="inlineStr">
        <is>
          <t>1c</t>
        </is>
      </c>
      <c r="D1624" s="11" t="inlineStr">
        <is>
          <t>Future forms (comparison)</t>
        </is>
      </c>
      <c r="E1624" s="33" t="inlineStr">
        <is>
          <t>Future forms: Present Continuous — договорённости на ближайшее будущее</t>
        </is>
      </c>
      <c r="F1624" s="11" t="inlineStr">
        <is>
          <t>Ст-080</t>
        </is>
      </c>
      <c r="G1624" s="37" t="inlineStr">
        <is>
          <t>повторение</t>
        </is>
      </c>
      <c r="H1624" s="11" t="inlineStr">
        <is>
          <t>твёрдые договорённости</t>
        </is>
      </c>
      <c r="I1624" s="37" t="inlineStr">
        <is>
          <t>10+</t>
        </is>
      </c>
      <c r="J1624" s="11">
        <f>IFERROR(INDEX('Уроки'!$H:$H,MATCH(F1624,'Уроки'!$A:$A,0)),"")</f>
        <v/>
      </c>
      <c r="K1624" s="11">
        <f>IFERROR(INDEX('Уроки'!$J:$J,MATCH(F1624,'Уроки'!$A:$A,0)),"")</f>
        <v/>
      </c>
      <c r="L1624" s="11" t="inlineStr">
        <is>
          <t>Spotlight / 11 класс / Module 1 · Relationships / Future forms (comparison) / Future forms: Present Continuous — договорённости на ближайшее будущее</t>
        </is>
      </c>
    </row>
    <row r="1625">
      <c r="A1625" s="37" t="n">
        <v>11</v>
      </c>
      <c r="B1625" s="11" t="inlineStr">
        <is>
          <t>Module 1 · Relationships</t>
        </is>
      </c>
      <c r="C1625" s="11" t="inlineStr">
        <is>
          <t>1c</t>
        </is>
      </c>
      <c r="D1625" s="11" t="inlineStr">
        <is>
          <t>Future forms (comparison)</t>
        </is>
      </c>
      <c r="E1625" s="33" t="inlineStr">
        <is>
          <t>Future forms: Present Simple — расписания и программы</t>
        </is>
      </c>
      <c r="F1625" s="11" t="inlineStr">
        <is>
          <t>Ст-081</t>
        </is>
      </c>
      <c r="G1625" s="37" t="inlineStr">
        <is>
          <t>повторение</t>
        </is>
      </c>
      <c r="H1625" s="11" t="inlineStr"/>
      <c r="I1625" s="37" t="inlineStr">
        <is>
          <t>10+</t>
        </is>
      </c>
      <c r="J1625" s="11">
        <f>IFERROR(INDEX('Уроки'!$H:$H,MATCH(F1625,'Уроки'!$A:$A,0)),"")</f>
        <v/>
      </c>
      <c r="K1625" s="11">
        <f>IFERROR(INDEX('Уроки'!$J:$J,MATCH(F1625,'Уроки'!$A:$A,0)),"")</f>
        <v/>
      </c>
      <c r="L1625" s="11" t="inlineStr">
        <is>
          <t>Spotlight / 11 класс / Module 1 · Relationships / Future forms (comparison) / Future forms: Present Simple — расписания и программы</t>
        </is>
      </c>
    </row>
    <row r="1626">
      <c r="A1626" s="37" t="n">
        <v>11</v>
      </c>
      <c r="B1626" s="11" t="inlineStr">
        <is>
          <t>Module 1 · Relationships</t>
        </is>
      </c>
      <c r="C1626" s="11" t="inlineStr">
        <is>
          <t>1c</t>
        </is>
      </c>
      <c r="D1626" s="11" t="inlineStr">
        <is>
          <t>Future forms (comparison)</t>
        </is>
      </c>
      <c r="E1626" s="33" t="inlineStr">
        <is>
          <t>Future forms: will vs be going to — решение в момент речи vs план</t>
        </is>
      </c>
      <c r="F1626" s="11" t="inlineStr">
        <is>
          <t>Ст-082</t>
        </is>
      </c>
      <c r="G1626" s="37" t="inlineStr">
        <is>
          <t>повторение</t>
        </is>
      </c>
      <c r="H1626" s="11" t="inlineStr"/>
      <c r="I1626" s="37" t="inlineStr">
        <is>
          <t>10+</t>
        </is>
      </c>
      <c r="J1626" s="11">
        <f>IFERROR(INDEX('Уроки'!$H:$H,MATCH(F1626,'Уроки'!$A:$A,0)),"")</f>
        <v/>
      </c>
      <c r="K1626" s="11">
        <f>IFERROR(INDEX('Уроки'!$J:$J,MATCH(F1626,'Уроки'!$A:$A,0)),"")</f>
        <v/>
      </c>
      <c r="L1626" s="11" t="inlineStr">
        <is>
          <t>Spotlight / 11 класс / Module 1 · Relationships / Future forms (comparison) / Future forms: will vs be going to — решение в момент речи vs план</t>
        </is>
      </c>
    </row>
    <row r="1627">
      <c r="A1627" s="37" t="n">
        <v>11</v>
      </c>
      <c r="B1627" s="11" t="inlineStr">
        <is>
          <t>Module 1 · Relationships</t>
        </is>
      </c>
      <c r="C1627" s="11" t="inlineStr">
        <is>
          <t>1c</t>
        </is>
      </c>
      <c r="D1627" s="11" t="inlineStr">
        <is>
          <t>Future forms (comparison)</t>
        </is>
      </c>
      <c r="E1627" s="33" t="inlineStr">
        <is>
          <t>Future forms: will vs be going to — прогноз-мнение vs прогноз по признакам</t>
        </is>
      </c>
      <c r="F1627" s="11" t="inlineStr">
        <is>
          <t>Ст-083</t>
        </is>
      </c>
      <c r="G1627" s="37" t="inlineStr">
        <is>
          <t>повторение</t>
        </is>
      </c>
      <c r="H1627" s="11" t="inlineStr"/>
      <c r="I1627" s="37" t="inlineStr">
        <is>
          <t>10+</t>
        </is>
      </c>
      <c r="J1627" s="11">
        <f>IFERROR(INDEX('Уроки'!$H:$H,MATCH(F1627,'Уроки'!$A:$A,0)),"")</f>
        <v/>
      </c>
      <c r="K1627" s="11">
        <f>IFERROR(INDEX('Уроки'!$J:$J,MATCH(F1627,'Уроки'!$A:$A,0)),"")</f>
        <v/>
      </c>
      <c r="L1627" s="11" t="inlineStr">
        <is>
          <t>Spotlight / 11 класс / Module 1 · Relationships / Future forms (comparison) / Future forms: will vs be going to — прогноз-мнение vs прогноз по признакам</t>
        </is>
      </c>
    </row>
    <row r="1628">
      <c r="A1628" s="37" t="n">
        <v>11</v>
      </c>
      <c r="B1628" s="11" t="inlineStr">
        <is>
          <t>Module 1 · Relationships</t>
        </is>
      </c>
      <c r="C1628" s="11" t="inlineStr">
        <is>
          <t>1c</t>
        </is>
      </c>
      <c r="D1628" s="11" t="inlineStr">
        <is>
          <t>Future forms (comparison)</t>
        </is>
      </c>
      <c r="E1628" s="33" t="inlineStr">
        <is>
          <t>Future forms: обзор всех способов выражения будущего</t>
        </is>
      </c>
      <c r="F1628" s="11" t="inlineStr">
        <is>
          <t>Ст-084</t>
        </is>
      </c>
      <c r="G1628" s="37" t="inlineStr">
        <is>
          <t>повторение</t>
        </is>
      </c>
      <c r="H1628" s="11" t="inlineStr">
        <is>
          <t>сводной таблицы нет</t>
        </is>
      </c>
      <c r="I1628" s="37" t="inlineStr">
        <is>
          <t>10+</t>
        </is>
      </c>
      <c r="J1628" s="11">
        <f>IFERROR(INDEX('Уроки'!$H:$H,MATCH(F1628,'Уроки'!$A:$A,0)),"")</f>
        <v/>
      </c>
      <c r="K1628" s="11">
        <f>IFERROR(INDEX('Уроки'!$J:$J,MATCH(F1628,'Уроки'!$A:$A,0)),"")</f>
        <v/>
      </c>
      <c r="L1628" s="11" t="inlineStr">
        <is>
          <t>Spotlight / 11 класс / Module 1 · Relationships / Future forms (comparison) / Future forms: обзор всех способов выражения будущего</t>
        </is>
      </c>
    </row>
    <row r="1629">
      <c r="A1629" s="37" t="n">
        <v>11</v>
      </c>
      <c r="B1629" s="11" t="inlineStr">
        <is>
          <t>Module 1 · Relationships</t>
        </is>
      </c>
      <c r="C1629" s="11" t="inlineStr">
        <is>
          <t>1c</t>
        </is>
      </c>
      <c r="D1629" s="11" t="inlineStr">
        <is>
          <t>Future forms (comparison)</t>
        </is>
      </c>
      <c r="E1629" s="33" t="inlineStr">
        <is>
          <t>Future forms: Future Continuous/Future Perfect в системе будущих форм</t>
        </is>
      </c>
      <c r="F1629" s="11" t="inlineStr">
        <is>
          <t>Ст-085</t>
        </is>
      </c>
      <c r="G1629" s="37" t="inlineStr">
        <is>
          <t>повторение</t>
        </is>
      </c>
      <c r="H1629" s="11" t="inlineStr">
        <is>
          <t>только Future Continuous</t>
        </is>
      </c>
      <c r="I1629" s="37" t="inlineStr">
        <is>
          <t>10+</t>
        </is>
      </c>
      <c r="J1629" s="11">
        <f>IFERROR(INDEX('Уроки'!$H:$H,MATCH(F1629,'Уроки'!$A:$A,0)),"")</f>
        <v/>
      </c>
      <c r="K1629" s="11">
        <f>IFERROR(INDEX('Уроки'!$J:$J,MATCH(F1629,'Уроки'!$A:$A,0)),"")</f>
        <v/>
      </c>
      <c r="L1629" s="11" t="inlineStr">
        <is>
          <t>Spotlight / 11 класс / Module 1 · Relationships / Future forms (comparison) / Future forms: Future Continuous/Future Perfect в системе будущих форм</t>
        </is>
      </c>
    </row>
    <row r="1630">
      <c r="A1630" s="37" t="n">
        <v>11</v>
      </c>
      <c r="B1630" s="11" t="inlineStr">
        <is>
          <t>Module 1 · Relationships</t>
        </is>
      </c>
      <c r="C1630" s="11" t="inlineStr">
        <is>
          <t>1c</t>
        </is>
      </c>
      <c r="D1630" s="11" t="inlineStr">
        <is>
          <t>Past Continuous</t>
        </is>
      </c>
      <c r="E1630" s="33" t="inlineStr">
        <is>
          <t>Past Continuous: утверждение (was/were + V-ing)</t>
        </is>
      </c>
      <c r="F1630" s="11" t="inlineStr">
        <is>
          <t>Ст-086</t>
        </is>
      </c>
      <c r="G1630" s="37" t="inlineStr">
        <is>
          <t>повторение</t>
        </is>
      </c>
      <c r="H1630" s="11" t="inlineStr"/>
      <c r="I1630" s="37" t="inlineStr">
        <is>
          <t>10+</t>
        </is>
      </c>
      <c r="J1630" s="11">
        <f>IFERROR(INDEX('Уроки'!$H:$H,MATCH(F1630,'Уроки'!$A:$A,0)),"")</f>
        <v/>
      </c>
      <c r="K1630" s="11">
        <f>IFERROR(INDEX('Уроки'!$J:$J,MATCH(F1630,'Уроки'!$A:$A,0)),"")</f>
        <v/>
      </c>
      <c r="L1630" s="11" t="inlineStr">
        <is>
          <t>Spotlight / 11 класс / Module 1 · Relationships / Past Continuous / Past Continuous: утверждение (was/were + V-ing)</t>
        </is>
      </c>
    </row>
    <row r="1631">
      <c r="A1631" s="37" t="n">
        <v>11</v>
      </c>
      <c r="B1631" s="11" t="inlineStr">
        <is>
          <t>Module 1 · Relationships</t>
        </is>
      </c>
      <c r="C1631" s="11" t="inlineStr">
        <is>
          <t>1c</t>
        </is>
      </c>
      <c r="D1631" s="11" t="inlineStr">
        <is>
          <t>Past Continuous</t>
        </is>
      </c>
      <c r="E1631" s="33" t="inlineStr">
        <is>
          <t>Past Continuous: значение — действие в процессе в момент прошлого</t>
        </is>
      </c>
      <c r="F1631" s="11" t="inlineStr">
        <is>
          <t>Ст-087</t>
        </is>
      </c>
      <c r="G1631" s="37" t="inlineStr">
        <is>
          <t>повторение</t>
        </is>
      </c>
      <c r="H1631" s="11" t="inlineStr"/>
      <c r="I1631" s="37" t="inlineStr">
        <is>
          <t>10+</t>
        </is>
      </c>
      <c r="J1631" s="11">
        <f>IFERROR(INDEX('Уроки'!$H:$H,MATCH(F1631,'Уроки'!$A:$A,0)),"")</f>
        <v/>
      </c>
      <c r="K1631" s="11">
        <f>IFERROR(INDEX('Уроки'!$J:$J,MATCH(F1631,'Уроки'!$A:$A,0)),"")</f>
        <v/>
      </c>
      <c r="L1631" s="11" t="inlineStr">
        <is>
          <t>Spotlight / 11 класс / Module 1 · Relationships / Past Continuous / Past Continuous: значение — действие в процессе в момент прошлого</t>
        </is>
      </c>
    </row>
    <row r="1632">
      <c r="A1632" s="37" t="n">
        <v>11</v>
      </c>
      <c r="B1632" s="11" t="inlineStr">
        <is>
          <t>Module 1 · Relationships</t>
        </is>
      </c>
      <c r="C1632" s="11" t="inlineStr">
        <is>
          <t>1c</t>
        </is>
      </c>
      <c r="D1632" s="11" t="inlineStr">
        <is>
          <t>Past Continuous</t>
        </is>
      </c>
      <c r="E1632" s="33" t="inlineStr">
        <is>
          <t>Past Continuous: значение — длительное действие, прерванное другим (when)</t>
        </is>
      </c>
      <c r="F1632" s="11" t="inlineStr">
        <is>
          <t>Ст-088</t>
        </is>
      </c>
      <c r="G1632" s="37" t="inlineStr">
        <is>
          <t>повторение</t>
        </is>
      </c>
      <c r="H1632" s="11" t="inlineStr"/>
      <c r="I1632" s="37" t="inlineStr">
        <is>
          <t>10+</t>
        </is>
      </c>
      <c r="J1632" s="11">
        <f>IFERROR(INDEX('Уроки'!$H:$H,MATCH(F1632,'Уроки'!$A:$A,0)),"")</f>
        <v/>
      </c>
      <c r="K1632" s="11">
        <f>IFERROR(INDEX('Уроки'!$J:$J,MATCH(F1632,'Уроки'!$A:$A,0)),"")</f>
        <v/>
      </c>
      <c r="L1632" s="11" t="inlineStr">
        <is>
          <t>Spotlight / 11 класс / Module 1 · Relationships / Past Continuous / Past Continuous: значение — длительное действие, прерванное другим (when)</t>
        </is>
      </c>
    </row>
    <row r="1633">
      <c r="A1633" s="37" t="n">
        <v>11</v>
      </c>
      <c r="B1633" s="11" t="inlineStr">
        <is>
          <t>Module 1 · Relationships</t>
        </is>
      </c>
      <c r="C1633" s="11" t="inlineStr">
        <is>
          <t>1c</t>
        </is>
      </c>
      <c r="D1633" s="11" t="inlineStr">
        <is>
          <t>Past Continuous</t>
        </is>
      </c>
      <c r="E1633" s="33" t="inlineStr">
        <is>
          <t>Past Continuous: значение — одновременные действия (while)</t>
        </is>
      </c>
      <c r="F1633" s="11" t="inlineStr">
        <is>
          <t>Ст-089</t>
        </is>
      </c>
      <c r="G1633" s="37" t="inlineStr">
        <is>
          <t>повторение</t>
        </is>
      </c>
      <c r="H1633" s="11" t="inlineStr"/>
      <c r="I1633" s="37" t="inlineStr">
        <is>
          <t>10+</t>
        </is>
      </c>
      <c r="J1633" s="11">
        <f>IFERROR(INDEX('Уроки'!$H:$H,MATCH(F1633,'Уроки'!$A:$A,0)),"")</f>
        <v/>
      </c>
      <c r="K1633" s="11">
        <f>IFERROR(INDEX('Уроки'!$J:$J,MATCH(F1633,'Уроки'!$A:$A,0)),"")</f>
        <v/>
      </c>
      <c r="L1633" s="11" t="inlineStr">
        <is>
          <t>Spotlight / 11 класс / Module 1 · Relationships / Past Continuous / Past Continuous: значение — одновременные действия (while)</t>
        </is>
      </c>
    </row>
    <row r="1634">
      <c r="A1634" s="37" t="n">
        <v>11</v>
      </c>
      <c r="B1634" s="11" t="inlineStr">
        <is>
          <t>Module 1 · Relationships</t>
        </is>
      </c>
      <c r="C1634" s="11" t="inlineStr">
        <is>
          <t>1c</t>
        </is>
      </c>
      <c r="D1634" s="11" t="inlineStr">
        <is>
          <t>Past Continuous</t>
        </is>
      </c>
      <c r="E1634" s="33" t="inlineStr">
        <is>
          <t>Past Continuous: значение — фон и атмосфера в рассказе</t>
        </is>
      </c>
      <c r="F1634" s="11" t="inlineStr">
        <is>
          <t>Ст-090</t>
        </is>
      </c>
      <c r="G1634" s="37" t="inlineStr">
        <is>
          <t>повторение</t>
        </is>
      </c>
      <c r="H1634" s="11" t="inlineStr">
        <is>
          <t>background</t>
        </is>
      </c>
      <c r="I1634" s="37" t="inlineStr">
        <is>
          <t>10+</t>
        </is>
      </c>
      <c r="J1634" s="11">
        <f>IFERROR(INDEX('Уроки'!$H:$H,MATCH(F1634,'Уроки'!$A:$A,0)),"")</f>
        <v/>
      </c>
      <c r="K1634" s="11">
        <f>IFERROR(INDEX('Уроки'!$J:$J,MATCH(F1634,'Уроки'!$A:$A,0)),"")</f>
        <v/>
      </c>
      <c r="L1634" s="11" t="inlineStr">
        <is>
          <t>Spotlight / 11 класс / Module 1 · Relationships / Past Continuous / Past Continuous: значение — фон и атмосфера в рассказе</t>
        </is>
      </c>
    </row>
    <row r="1635">
      <c r="A1635" s="37" t="n">
        <v>11</v>
      </c>
      <c r="B1635" s="11" t="inlineStr">
        <is>
          <t>Module 1 · Relationships</t>
        </is>
      </c>
      <c r="C1635" s="11" t="inlineStr">
        <is>
          <t>1c</t>
        </is>
      </c>
      <c r="D1635" s="11" t="inlineStr">
        <is>
          <t>Past Simple vs Past Continuous</t>
        </is>
      </c>
      <c r="E1635" s="35" t="inlineStr">
        <is>
          <t>Past Simple vs Past Continuous: указанное время — завершённое vs в процессе</t>
        </is>
      </c>
      <c r="F1635" s="11" t="inlineStr">
        <is>
          <t>Ст-092</t>
        </is>
      </c>
      <c r="G1635" s="37" t="inlineStr">
        <is>
          <t>повторение</t>
        </is>
      </c>
      <c r="H1635" s="11" t="inlineStr"/>
      <c r="I1635" s="37" t="inlineStr">
        <is>
          <t>10+</t>
        </is>
      </c>
      <c r="J1635" s="11">
        <f>IFERROR(INDEX('Уроки'!$H:$H,MATCH(F1635,'Уроки'!$A:$A,0)),"")</f>
        <v/>
      </c>
      <c r="K1635" s="11">
        <f>IFERROR(INDEX('Уроки'!$J:$J,MATCH(F1635,'Уроки'!$A:$A,0)),"")</f>
        <v/>
      </c>
      <c r="L1635" s="11" t="inlineStr">
        <is>
          <t>Spotlight / 11 класс / Module 1 · Relationships / Past Simple vs Past Continuous / Past Simple vs Past Continuous: указанное время — завершённое vs в процессе</t>
        </is>
      </c>
    </row>
    <row r="1636">
      <c r="A1636" s="37" t="n">
        <v>11</v>
      </c>
      <c r="B1636" s="11" t="inlineStr">
        <is>
          <t>Module 1 · Relationships</t>
        </is>
      </c>
      <c r="C1636" s="11" t="inlineStr">
        <is>
          <t>1c</t>
        </is>
      </c>
      <c r="D1636" s="11" t="inlineStr">
        <is>
          <t>Past Simple vs Past Continuous</t>
        </is>
      </c>
      <c r="E1636" s="35" t="inlineStr">
        <is>
          <t>Past Simple vs Past Continuous: последовательные vs одновременные действия</t>
        </is>
      </c>
      <c r="F1636" s="11" t="inlineStr">
        <is>
          <t>Ст-093</t>
        </is>
      </c>
      <c r="G1636" s="37" t="inlineStr">
        <is>
          <t>повторение</t>
        </is>
      </c>
      <c r="H1636" s="11" t="inlineStr"/>
      <c r="I1636" s="37" t="inlineStr">
        <is>
          <t>10+</t>
        </is>
      </c>
      <c r="J1636" s="11">
        <f>IFERROR(INDEX('Уроки'!$H:$H,MATCH(F1636,'Уроки'!$A:$A,0)),"")</f>
        <v/>
      </c>
      <c r="K1636" s="11">
        <f>IFERROR(INDEX('Уроки'!$J:$J,MATCH(F1636,'Уроки'!$A:$A,0)),"")</f>
        <v/>
      </c>
      <c r="L1636" s="11" t="inlineStr">
        <is>
          <t>Spotlight / 11 класс / Module 1 · Relationships / Past Simple vs Past Continuous / Past Simple vs Past Continuous: последовательные vs одновременные действия</t>
        </is>
      </c>
    </row>
    <row r="1637">
      <c r="A1637" s="37" t="n">
        <v>11</v>
      </c>
      <c r="B1637" s="11" t="inlineStr">
        <is>
          <t>Module 1 · Relationships</t>
        </is>
      </c>
      <c r="C1637" s="11" t="inlineStr">
        <is>
          <t>1c</t>
        </is>
      </c>
      <c r="D1637" s="11" t="inlineStr">
        <is>
          <t>Past Simple vs Past Continuous</t>
        </is>
      </c>
      <c r="E1637" s="34" t="inlineStr">
        <is>
          <t>Past Simple vs Past Continuous: прерванное (PC) и прерывающее (PS) действие</t>
        </is>
      </c>
      <c r="F1637" s="11" t="inlineStr">
        <is>
          <t>Ст-094</t>
        </is>
      </c>
      <c r="G1637" s="37" t="inlineStr">
        <is>
          <t>повторение</t>
        </is>
      </c>
      <c r="H1637" s="11" t="inlineStr"/>
      <c r="I1637" s="37" t="inlineStr">
        <is>
          <t>10+</t>
        </is>
      </c>
      <c r="J1637" s="11">
        <f>IFERROR(INDEX('Уроки'!$H:$H,MATCH(F1637,'Уроки'!$A:$A,0)),"")</f>
        <v/>
      </c>
      <c r="K1637" s="11">
        <f>IFERROR(INDEX('Уроки'!$J:$J,MATCH(F1637,'Уроки'!$A:$A,0)),"")</f>
        <v/>
      </c>
      <c r="L1637" s="11" t="inlineStr">
        <is>
          <t>Spotlight / 11 класс / Module 1 · Relationships / Past Simple vs Past Continuous / Past Simple vs Past Continuous: прерванное (PC) и прерывающее (PS) действие</t>
        </is>
      </c>
    </row>
    <row r="1638">
      <c r="A1638" s="37" t="n">
        <v>11</v>
      </c>
      <c r="B1638" s="11" t="inlineStr">
        <is>
          <t>Module 1 · Relationships</t>
        </is>
      </c>
      <c r="C1638" s="11" t="inlineStr">
        <is>
          <t>1c</t>
        </is>
      </c>
      <c r="D1638" s="11" t="inlineStr">
        <is>
          <t>Present Perfect Continuous</t>
        </is>
      </c>
      <c r="E1638" s="33" t="inlineStr">
        <is>
          <t>Present Perfect Continuous: образование (have/has been + V-ing)</t>
        </is>
      </c>
      <c r="F1638" s="11" t="inlineStr">
        <is>
          <t>Ст-095</t>
        </is>
      </c>
      <c r="G1638" s="37" t="inlineStr">
        <is>
          <t>повторение</t>
        </is>
      </c>
      <c r="H1638" s="11" t="inlineStr"/>
      <c r="I1638" s="37" t="inlineStr">
        <is>
          <t>10+</t>
        </is>
      </c>
      <c r="J1638" s="11">
        <f>IFERROR(INDEX('Уроки'!$H:$H,MATCH(F1638,'Уроки'!$A:$A,0)),"")</f>
        <v/>
      </c>
      <c r="K1638" s="11">
        <f>IFERROR(INDEX('Уроки'!$J:$J,MATCH(F1638,'Уроки'!$A:$A,0)),"")</f>
        <v/>
      </c>
      <c r="L1638" s="11" t="inlineStr">
        <is>
          <t>Spotlight / 11 класс / Module 1 · Relationships / Present Perfect Continuous / Present Perfect Continuous: образование (have/has been + V-ing)</t>
        </is>
      </c>
    </row>
    <row r="1639">
      <c r="A1639" s="37" t="n">
        <v>11</v>
      </c>
      <c r="B1639" s="11" t="inlineStr">
        <is>
          <t>Module 1 · Relationships</t>
        </is>
      </c>
      <c r="C1639" s="11" t="inlineStr">
        <is>
          <t>1c</t>
        </is>
      </c>
      <c r="D1639" s="11" t="inlineStr">
        <is>
          <t>Present Perfect Continuous</t>
        </is>
      </c>
      <c r="E1639" s="33" t="inlineStr">
        <is>
          <t>Present Perfect Continuous: значение — длительность до настоящего (since/for/how long)</t>
        </is>
      </c>
      <c r="F1639" s="11" t="inlineStr">
        <is>
          <t>Ст-096</t>
        </is>
      </c>
      <c r="G1639" s="37" t="inlineStr">
        <is>
          <t>повторение</t>
        </is>
      </c>
      <c r="H1639" s="11" t="inlineStr"/>
      <c r="I1639" s="37" t="inlineStr">
        <is>
          <t>10+</t>
        </is>
      </c>
      <c r="J1639" s="11">
        <f>IFERROR(INDEX('Уроки'!$H:$H,MATCH(F1639,'Уроки'!$A:$A,0)),"")</f>
        <v/>
      </c>
      <c r="K1639" s="11">
        <f>IFERROR(INDEX('Уроки'!$J:$J,MATCH(F1639,'Уроки'!$A:$A,0)),"")</f>
        <v/>
      </c>
      <c r="L1639" s="11" t="inlineStr">
        <is>
          <t>Spotlight / 11 класс / Module 1 · Relationships / Present Perfect Continuous / Present Perfect Continuous: значение — длительность до настоящего (since/for/how long)</t>
        </is>
      </c>
    </row>
    <row r="1640">
      <c r="A1640" s="37" t="n">
        <v>11</v>
      </c>
      <c r="B1640" s="11" t="inlineStr">
        <is>
          <t>Module 1 · Relationships</t>
        </is>
      </c>
      <c r="C1640" s="11" t="inlineStr">
        <is>
          <t>1c</t>
        </is>
      </c>
      <c r="D1640" s="11" t="inlineStr">
        <is>
          <t>Present Perfect Continuous</t>
        </is>
      </c>
      <c r="E1640" s="33" t="inlineStr">
        <is>
          <t>Present Perfect Continuous: значение — видимый результат длительного действия</t>
        </is>
      </c>
      <c r="F1640" s="11" t="inlineStr">
        <is>
          <t>Ст-097</t>
        </is>
      </c>
      <c r="G1640" s="37" t="inlineStr">
        <is>
          <t>повторение</t>
        </is>
      </c>
      <c r="H1640" s="11" t="inlineStr"/>
      <c r="I1640" s="37" t="inlineStr">
        <is>
          <t>10+</t>
        </is>
      </c>
      <c r="J1640" s="11">
        <f>IFERROR(INDEX('Уроки'!$H:$H,MATCH(F1640,'Уроки'!$A:$A,0)),"")</f>
        <v/>
      </c>
      <c r="K1640" s="11">
        <f>IFERROR(INDEX('Уроки'!$J:$J,MATCH(F1640,'Уроки'!$A:$A,0)),"")</f>
        <v/>
      </c>
      <c r="L1640" s="11" t="inlineStr">
        <is>
          <t>Spotlight / 11 класс / Module 1 · Relationships / Present Perfect Continuous / Present Perfect Continuous: значение — видимый результат длительного действия</t>
        </is>
      </c>
    </row>
    <row r="1641">
      <c r="A1641" s="37" t="n">
        <v>11</v>
      </c>
      <c r="B1641" s="11" t="inlineStr">
        <is>
          <t>Module 1 · Relationships</t>
        </is>
      </c>
      <c r="C1641" s="11" t="inlineStr">
        <is>
          <t>1c</t>
        </is>
      </c>
      <c r="D1641" s="11" t="inlineStr">
        <is>
          <t>Present Perfect Continuous</t>
        </is>
      </c>
      <c r="E1641" s="35" t="inlineStr">
        <is>
          <t>Present Perfect Continuous: значение — раздражение/критика</t>
        </is>
      </c>
      <c r="F1641" s="11" t="inlineStr">
        <is>
          <t>Ст-098</t>
        </is>
      </c>
      <c r="G1641" s="37" t="inlineStr">
        <is>
          <t>повторение</t>
        </is>
      </c>
      <c r="H1641" s="11" t="inlineStr">
        <is>
          <t>раздражение/гнев/критика</t>
        </is>
      </c>
      <c r="I1641" s="37" t="inlineStr">
        <is>
          <t>10+</t>
        </is>
      </c>
      <c r="J1641" s="11">
        <f>IFERROR(INDEX('Уроки'!$H:$H,MATCH(F1641,'Уроки'!$A:$A,0)),"")</f>
        <v/>
      </c>
      <c r="K1641" s="11">
        <f>IFERROR(INDEX('Уроки'!$J:$J,MATCH(F1641,'Уроки'!$A:$A,0)),"")</f>
        <v/>
      </c>
      <c r="L1641" s="11" t="inlineStr">
        <is>
          <t>Spotlight / 11 класс / Module 1 · Relationships / Present Perfect Continuous / Present Perfect Continuous: значение — раздражение/критика</t>
        </is>
      </c>
    </row>
    <row r="1642">
      <c r="A1642" s="37" t="n">
        <v>11</v>
      </c>
      <c r="B1642" s="11" t="inlineStr">
        <is>
          <t>Module 1 · Relationships</t>
        </is>
      </c>
      <c r="C1642" s="11" t="inlineStr">
        <is>
          <t>1c</t>
        </is>
      </c>
      <c r="D1642" s="11" t="inlineStr">
        <is>
          <t>Present Perfect Continuous</t>
        </is>
      </c>
      <c r="E1642" s="35" t="inlineStr">
        <is>
          <t>Present Perfect Continuous: значение — повторяющиеся действия до настоящего</t>
        </is>
      </c>
      <c r="F1642" s="11" t="inlineStr">
        <is>
          <t>Ст-099</t>
        </is>
      </c>
      <c r="G1642" s="37" t="inlineStr">
        <is>
          <t>повторение</t>
        </is>
      </c>
      <c r="H1642" s="11" t="inlineStr"/>
      <c r="I1642" s="37" t="inlineStr">
        <is>
          <t>10+</t>
        </is>
      </c>
      <c r="J1642" s="11">
        <f>IFERROR(INDEX('Уроки'!$H:$H,MATCH(F1642,'Уроки'!$A:$A,0)),"")</f>
        <v/>
      </c>
      <c r="K1642" s="11">
        <f>IFERROR(INDEX('Уроки'!$J:$J,MATCH(F1642,'Уроки'!$A:$A,0)),"")</f>
        <v/>
      </c>
      <c r="L1642" s="11" t="inlineStr">
        <is>
          <t>Spotlight / 11 класс / Module 1 · Relationships / Present Perfect Continuous / Present Perfect Continuous: значение — повторяющиеся действия до настоящего</t>
        </is>
      </c>
    </row>
    <row r="1643">
      <c r="A1643" s="37" t="n">
        <v>11</v>
      </c>
      <c r="B1643" s="11" t="inlineStr">
        <is>
          <t>Module 1 · Relationships</t>
        </is>
      </c>
      <c r="C1643" s="11" t="inlineStr">
        <is>
          <t>1c</t>
        </is>
      </c>
      <c r="D1643" s="11" t="inlineStr">
        <is>
          <t>Present Perfect vs Past Simple</t>
        </is>
      </c>
      <c r="E1643" s="33" t="inlineStr">
        <is>
          <t>Present Perfect vs Past Simple: указанное время vs неуказанное время</t>
        </is>
      </c>
      <c r="F1643" s="11" t="inlineStr">
        <is>
          <t>Ст-101</t>
        </is>
      </c>
      <c r="G1643" s="37" t="inlineStr">
        <is>
          <t>повторение</t>
        </is>
      </c>
      <c r="H1643" s="11" t="inlineStr">
        <is>
          <t>Liz watched a film yesterday vs Liz has watched a film</t>
        </is>
      </c>
      <c r="I1643" s="37" t="inlineStr">
        <is>
          <t>10+</t>
        </is>
      </c>
      <c r="J1643" s="11">
        <f>IFERROR(INDEX('Уроки'!$H:$H,MATCH(F1643,'Уроки'!$A:$A,0)),"")</f>
        <v/>
      </c>
      <c r="K1643" s="11">
        <f>IFERROR(INDEX('Уроки'!$J:$J,MATCH(F1643,'Уроки'!$A:$A,0)),"")</f>
        <v/>
      </c>
      <c r="L1643" s="11" t="inlineStr">
        <is>
          <t>Spotlight / 11 класс / Module 1 · Relationships / Present Perfect vs Past Simple / Present Perfect vs Past Simple: указанное время vs неуказанное время</t>
        </is>
      </c>
    </row>
    <row r="1644">
      <c r="A1644" s="37" t="n">
        <v>11</v>
      </c>
      <c r="B1644" s="11" t="inlineStr">
        <is>
          <t>Module 1 · Relationships</t>
        </is>
      </c>
      <c r="C1644" s="11" t="inlineStr">
        <is>
          <t>1c</t>
        </is>
      </c>
      <c r="D1644" s="11" t="inlineStr">
        <is>
          <t>Present Perfect vs Past Simple</t>
        </is>
      </c>
      <c r="E1644" s="35" t="inlineStr">
        <is>
          <t>Present Perfect vs Past Simple: закончилось в прошлом vs длится до сих пор</t>
        </is>
      </c>
      <c r="F1644" s="11" t="inlineStr">
        <is>
          <t>Ст-102</t>
        </is>
      </c>
      <c r="G1644" s="37" t="inlineStr">
        <is>
          <t>повторение</t>
        </is>
      </c>
      <c r="H1644" s="11" t="inlineStr">
        <is>
          <t>had an earache for a week vs has lived here for two years</t>
        </is>
      </c>
      <c r="I1644" s="37" t="inlineStr">
        <is>
          <t>10+</t>
        </is>
      </c>
      <c r="J1644" s="11">
        <f>IFERROR(INDEX('Уроки'!$H:$H,MATCH(F1644,'Уроки'!$A:$A,0)),"")</f>
        <v/>
      </c>
      <c r="K1644" s="11">
        <f>IFERROR(INDEX('Уроки'!$J:$J,MATCH(F1644,'Уроки'!$A:$A,0)),"")</f>
        <v/>
      </c>
      <c r="L1644" s="11" t="inlineStr">
        <is>
          <t>Spotlight / 11 класс / Module 1 · Relationships / Present Perfect vs Past Simple / Present Perfect vs Past Simple: закончилось в прошлом vs длится до сих пор</t>
        </is>
      </c>
    </row>
    <row r="1645">
      <c r="A1645" s="37" t="n">
        <v>11</v>
      </c>
      <c r="B1645" s="11" t="inlineStr">
        <is>
          <t>Module 1 · Relationships</t>
        </is>
      </c>
      <c r="C1645" s="11" t="inlineStr">
        <is>
          <t>1c</t>
        </is>
      </c>
      <c r="D1645" s="11" t="inlineStr">
        <is>
          <t>have gone to / have been to / have been in</t>
        </is>
      </c>
      <c r="E1645" s="35" t="inlineStr">
        <is>
          <t>have gone to vs have been to: уехал и не вернулся vs побывал</t>
        </is>
      </c>
      <c r="F1645" s="11" t="inlineStr">
        <is>
          <t>Ст-114</t>
        </is>
      </c>
      <c r="G1645" s="37" t="inlineStr">
        <is>
          <t>повторение</t>
        </is>
      </c>
      <c r="H1645" s="11" t="inlineStr">
        <is>
          <t>в пути или там</t>
        </is>
      </c>
      <c r="I1645" s="37" t="inlineStr">
        <is>
          <t>10+</t>
        </is>
      </c>
      <c r="J1645" s="11">
        <f>IFERROR(INDEX('Уроки'!$H:$H,MATCH(F1645,'Уроки'!$A:$A,0)),"")</f>
        <v/>
      </c>
      <c r="K1645" s="11">
        <f>IFERROR(INDEX('Уроки'!$J:$J,MATCH(F1645,'Уроки'!$A:$A,0)),"")</f>
        <v/>
      </c>
      <c r="L1645" s="11" t="inlineStr">
        <is>
          <t>Spotlight / 11 класс / Module 1 · Relationships / have gone to / have been to / have been in / have gone to vs have been to: уехал и не вернулся vs побывал</t>
        </is>
      </c>
    </row>
    <row r="1646">
      <c r="A1646" s="37" t="n">
        <v>11</v>
      </c>
      <c r="B1646" s="11" t="inlineStr">
        <is>
          <t>Module 1 · Relationships</t>
        </is>
      </c>
      <c r="C1646" s="11" t="inlineStr">
        <is>
          <t>1c</t>
        </is>
      </c>
      <c r="D1646" s="11" t="inlineStr">
        <is>
          <t>have gone to / have been to / have been in</t>
        </is>
      </c>
      <c r="E1646" s="35" t="inlineStr">
        <is>
          <t>have been in: находится там (в течение периода)</t>
        </is>
      </c>
      <c r="F1646" s="11" t="inlineStr">
        <is>
          <t>Ст-115</t>
        </is>
      </c>
      <c r="G1646" s="37" t="inlineStr">
        <is>
          <t>повторение</t>
        </is>
      </c>
      <c r="H1646" s="11" t="inlineStr"/>
      <c r="I1646" s="37" t="inlineStr">
        <is>
          <t>10+</t>
        </is>
      </c>
      <c r="J1646" s="11">
        <f>IFERROR(INDEX('Уроки'!$H:$H,MATCH(F1646,'Уроки'!$A:$A,0)),"")</f>
        <v/>
      </c>
      <c r="K1646" s="11">
        <f>IFERROR(INDEX('Уроки'!$J:$J,MATCH(F1646,'Уроки'!$A:$A,0)),"")</f>
        <v/>
      </c>
      <c r="L1646" s="11" t="inlineStr">
        <is>
          <t>Spotlight / 11 класс / Module 1 · Relationships / have gone to / have been to / have been in / have been in: находится там (в течение периода)</t>
        </is>
      </c>
    </row>
    <row r="1647">
      <c r="A1647" s="37" t="n">
        <v>11</v>
      </c>
      <c r="B1647" s="11" t="inlineStr">
        <is>
          <t>Module 1 · Relationships</t>
        </is>
      </c>
      <c r="C1647" s="11" t="inlineStr">
        <is>
          <t>1c</t>
        </is>
      </c>
      <c r="D1647" s="11" t="inlineStr">
        <is>
          <t>Future Continuous</t>
        </is>
      </c>
      <c r="E1647" s="33" t="inlineStr">
        <is>
          <t>Future Continuous: образование (will be + V-ing)</t>
        </is>
      </c>
      <c r="F1647" s="11" t="inlineStr">
        <is>
          <t>Ст-116</t>
        </is>
      </c>
      <c r="G1647" s="37" t="inlineStr">
        <is>
          <t>повторение</t>
        </is>
      </c>
      <c r="H1647" s="11" t="inlineStr">
        <is>
          <t>will be + Present Participle</t>
        </is>
      </c>
      <c r="I1647" s="37" t="inlineStr">
        <is>
          <t>10+</t>
        </is>
      </c>
      <c r="J1647" s="11">
        <f>IFERROR(INDEX('Уроки'!$H:$H,MATCH(F1647,'Уроки'!$A:$A,0)),"")</f>
        <v/>
      </c>
      <c r="K1647" s="11">
        <f>IFERROR(INDEX('Уроки'!$J:$J,MATCH(F1647,'Уроки'!$A:$A,0)),"")</f>
        <v/>
      </c>
      <c r="L1647" s="11" t="inlineStr">
        <is>
          <t>Spotlight / 11 класс / Module 1 · Relationships / Future Continuous / Future Continuous: образование (will be + V-ing)</t>
        </is>
      </c>
    </row>
    <row r="1648">
      <c r="A1648" s="37" t="n">
        <v>11</v>
      </c>
      <c r="B1648" s="11" t="inlineStr">
        <is>
          <t>Module 1 · Relationships</t>
        </is>
      </c>
      <c r="C1648" s="11" t="inlineStr">
        <is>
          <t>1c</t>
        </is>
      </c>
      <c r="D1648" s="11" t="inlineStr">
        <is>
          <t>Future Continuous</t>
        </is>
      </c>
      <c r="E1648" s="33" t="inlineStr">
        <is>
          <t>Future Continuous: значение — действие в процессе в момент будущего</t>
        </is>
      </c>
      <c r="F1648" s="11" t="inlineStr">
        <is>
          <t>Ст-117</t>
        </is>
      </c>
      <c r="G1648" s="37" t="inlineStr">
        <is>
          <t>повторение</t>
        </is>
      </c>
      <c r="H1648" s="11" t="inlineStr"/>
      <c r="I1648" s="37" t="inlineStr">
        <is>
          <t>10+</t>
        </is>
      </c>
      <c r="J1648" s="11">
        <f>IFERROR(INDEX('Уроки'!$H:$H,MATCH(F1648,'Уроки'!$A:$A,0)),"")</f>
        <v/>
      </c>
      <c r="K1648" s="11">
        <f>IFERROR(INDEX('Уроки'!$J:$J,MATCH(F1648,'Уроки'!$A:$A,0)),"")</f>
        <v/>
      </c>
      <c r="L1648" s="11" t="inlineStr">
        <is>
          <t>Spotlight / 11 класс / Module 1 · Relationships / Future Continuous / Future Continuous: значение — действие в процессе в момент будущего</t>
        </is>
      </c>
    </row>
    <row r="1649">
      <c r="A1649" s="37" t="n">
        <v>11</v>
      </c>
      <c r="B1649" s="11" t="inlineStr">
        <is>
          <t>Module 1 · Relationships</t>
        </is>
      </c>
      <c r="C1649" s="11" t="inlineStr">
        <is>
          <t>1c</t>
        </is>
      </c>
      <c r="D1649" s="11" t="inlineStr">
        <is>
          <t>Future Continuous</t>
        </is>
      </c>
      <c r="E1649" s="35" t="inlineStr">
        <is>
          <t>Future Continuous: значение — по распорядку/договорённости</t>
        </is>
      </c>
      <c r="F1649" s="11" t="inlineStr">
        <is>
          <t>Ст-118</t>
        </is>
      </c>
      <c r="G1649" s="37" t="inlineStr">
        <is>
          <t>повторение</t>
        </is>
      </c>
      <c r="H1649" s="11" t="inlineStr"/>
      <c r="I1649" s="37" t="inlineStr">
        <is>
          <t>10+</t>
        </is>
      </c>
      <c r="J1649" s="11">
        <f>IFERROR(INDEX('Уроки'!$H:$H,MATCH(F1649,'Уроки'!$A:$A,0)),"")</f>
        <v/>
      </c>
      <c r="K1649" s="11">
        <f>IFERROR(INDEX('Уроки'!$J:$J,MATCH(F1649,'Уроки'!$A:$A,0)),"")</f>
        <v/>
      </c>
      <c r="L1649" s="11" t="inlineStr">
        <is>
          <t>Spotlight / 11 класс / Module 1 · Relationships / Future Continuous / Future Continuous: значение — по распорядку/договорённости</t>
        </is>
      </c>
    </row>
    <row r="1650">
      <c r="A1650" s="37" t="n">
        <v>11</v>
      </c>
      <c r="B1650" s="11" t="inlineStr">
        <is>
          <t>Module 1 · Relationships</t>
        </is>
      </c>
      <c r="C1650" s="11" t="inlineStr">
        <is>
          <t>1c</t>
        </is>
      </c>
      <c r="D1650" s="11" t="inlineStr">
        <is>
          <t>Future Continuous</t>
        </is>
      </c>
      <c r="E1650" s="35" t="inlineStr">
        <is>
          <t>Future Continuous: значение — вежливый вопрос о планах</t>
        </is>
      </c>
      <c r="F1650" s="11" t="inlineStr">
        <is>
          <t>Ст-119</t>
        </is>
      </c>
      <c r="G1650" s="37" t="inlineStr">
        <is>
          <t>повторение</t>
        </is>
      </c>
      <c r="H1650" s="11" t="inlineStr">
        <is>
          <t>Will you be watching the show tonight?</t>
        </is>
      </c>
      <c r="I1650" s="37" t="inlineStr">
        <is>
          <t>10+</t>
        </is>
      </c>
      <c r="J1650" s="11">
        <f>IFERROR(INDEX('Уроки'!$H:$H,MATCH(F1650,'Уроки'!$A:$A,0)),"")</f>
        <v/>
      </c>
      <c r="K1650" s="11">
        <f>IFERROR(INDEX('Уроки'!$J:$J,MATCH(F1650,'Уроки'!$A:$A,0)),"")</f>
        <v/>
      </c>
      <c r="L1650" s="11" t="inlineStr">
        <is>
          <t>Spotlight / 11 класс / Module 1 · Relationships / Future Continuous / Future Continuous: значение — вежливый вопрос о планах</t>
        </is>
      </c>
    </row>
    <row r="1651">
      <c r="A1651" s="37" t="n">
        <v>11</v>
      </c>
      <c r="B1651" s="11" t="inlineStr">
        <is>
          <t>Module 1 · Relationships</t>
        </is>
      </c>
      <c r="C1651" s="11" t="inlineStr"/>
      <c r="D1651" s="11" t="inlineStr">
        <is>
          <t>Irregular verbs (list)</t>
        </is>
      </c>
      <c r="E1651" s="35" t="inlineStr">
        <is>
          <t>Irregular verbs: таблица Infinitive – Past – Past Participle</t>
        </is>
      </c>
      <c r="F1651" s="11" t="inlineStr">
        <is>
          <t>Ст-214</t>
        </is>
      </c>
      <c r="G1651" s="37" t="inlineStr">
        <is>
          <t>повторение</t>
        </is>
      </c>
      <c r="H1651" s="11" t="inlineStr"/>
      <c r="I1651" s="37" t="inlineStr">
        <is>
          <t>10+</t>
        </is>
      </c>
      <c r="J1651" s="11">
        <f>IFERROR(INDEX('Уроки'!$H:$H,MATCH(F1651,'Уроки'!$A:$A,0)),"")</f>
        <v/>
      </c>
      <c r="K1651" s="11">
        <f>IFERROR(INDEX('Уроки'!$J:$J,MATCH(F1651,'Уроки'!$A:$A,0)),"")</f>
        <v/>
      </c>
      <c r="L1651" s="11" t="inlineStr">
        <is>
          <t>Spotlight / 11 класс / Module 1 · Relationships / Irregular verbs (list) / Irregular verbs: таблица Infinitive – Past – Past Participle</t>
        </is>
      </c>
    </row>
    <row r="1652">
      <c r="A1652" s="37" t="n">
        <v>11</v>
      </c>
      <c r="B1652" s="11" t="inlineStr">
        <is>
          <t>Module 1 · Relationships</t>
        </is>
      </c>
      <c r="C1652" s="11" t="inlineStr"/>
      <c r="D1652" s="11" t="inlineStr">
        <is>
          <t>Irregular verbs (list)</t>
        </is>
      </c>
      <c r="E1652" s="35" t="inlineStr">
        <is>
          <t>Irregular verbs: двойные и особые формы (burnt/burned, got/gotten, can – could)</t>
        </is>
      </c>
      <c r="F1652" s="11" t="inlineStr">
        <is>
          <t>Ст-215</t>
        </is>
      </c>
      <c r="G1652" s="37" t="inlineStr">
        <is>
          <t>повторение</t>
        </is>
      </c>
      <c r="H1652" s="11" t="inlineStr"/>
      <c r="I1652" s="37" t="inlineStr">
        <is>
          <t>10+</t>
        </is>
      </c>
      <c r="J1652" s="11">
        <f>IFERROR(INDEX('Уроки'!$H:$H,MATCH(F1652,'Уроки'!$A:$A,0)),"")</f>
        <v/>
      </c>
      <c r="K1652" s="11">
        <f>IFERROR(INDEX('Уроки'!$J:$J,MATCH(F1652,'Уроки'!$A:$A,0)),"")</f>
        <v/>
      </c>
      <c r="L1652" s="11" t="inlineStr">
        <is>
          <t>Spotlight / 11 класс / Module 1 · Relationships / Irregular verbs (list) / Irregular verbs: двойные и особые формы (burnt/burned, got/gotten, can – could)</t>
        </is>
      </c>
    </row>
    <row r="1653">
      <c r="A1653" s="37" t="n">
        <v>11</v>
      </c>
      <c r="B1653" s="11" t="inlineStr">
        <is>
          <t>Module 1 · Relationships</t>
        </is>
      </c>
      <c r="C1653" s="11" t="inlineStr">
        <is>
          <t>1c</t>
        </is>
      </c>
      <c r="D1653" s="11" t="inlineStr">
        <is>
          <t>used to</t>
        </is>
      </c>
      <c r="E1653" s="33" t="inlineStr">
        <is>
          <t>used to: значение — прошлые привычки и регулярные действия</t>
        </is>
      </c>
      <c r="F1653" s="11" t="inlineStr">
        <is>
          <t>Ст-216</t>
        </is>
      </c>
      <c r="G1653" s="37" t="inlineStr">
        <is>
          <t>повторение</t>
        </is>
      </c>
      <c r="H1653" s="11" t="inlineStr">
        <is>
          <t>I used to work very hard (I don't any more)</t>
        </is>
      </c>
      <c r="I1653" s="37" t="inlineStr">
        <is>
          <t>10+</t>
        </is>
      </c>
      <c r="J1653" s="11">
        <f>IFERROR(INDEX('Уроки'!$H:$H,MATCH(F1653,'Уроки'!$A:$A,0)),"")</f>
        <v/>
      </c>
      <c r="K1653" s="11">
        <f>IFERROR(INDEX('Уроки'!$J:$J,MATCH(F1653,'Уроки'!$A:$A,0)),"")</f>
        <v/>
      </c>
      <c r="L1653" s="11" t="inlineStr">
        <is>
          <t>Spotlight / 11 класс / Module 1 · Relationships / used to / used to: значение — прошлые привычки и регулярные действия</t>
        </is>
      </c>
    </row>
    <row r="1654">
      <c r="A1654" s="37" t="n">
        <v>11</v>
      </c>
      <c r="B1654" s="11" t="inlineStr">
        <is>
          <t>Module 1 · Relationships</t>
        </is>
      </c>
      <c r="C1654" s="11" t="inlineStr">
        <is>
          <t>1c</t>
        </is>
      </c>
      <c r="D1654" s="11" t="inlineStr">
        <is>
          <t>used to</t>
        </is>
      </c>
      <c r="E1654" s="35" t="inlineStr">
        <is>
          <t>used to vs be/get used to + -ing</t>
        </is>
      </c>
      <c r="F1654" s="11" t="inlineStr">
        <is>
          <t>Ст-219</t>
        </is>
      </c>
      <c r="G1654" s="37" t="inlineStr">
        <is>
          <t>повторение</t>
        </is>
      </c>
      <c r="H1654" s="11" t="inlineStr"/>
      <c r="I1654" s="37" t="inlineStr">
        <is>
          <t>10+</t>
        </is>
      </c>
      <c r="J1654" s="11">
        <f>IFERROR(INDEX('Уроки'!$H:$H,MATCH(F1654,'Уроки'!$A:$A,0)),"")</f>
        <v/>
      </c>
      <c r="K1654" s="11">
        <f>IFERROR(INDEX('Уроки'!$J:$J,MATCH(F1654,'Уроки'!$A:$A,0)),"")</f>
        <v/>
      </c>
      <c r="L1654" s="11" t="inlineStr">
        <is>
          <t>Spotlight / 11 класс / Module 1 · Relationships / used to / used to vs be/get used to + -ing</t>
        </is>
      </c>
    </row>
    <row r="1655">
      <c r="A1655" s="37" t="n">
        <v>11</v>
      </c>
      <c r="B1655" s="11" t="inlineStr">
        <is>
          <t>Module 1 · Relationships</t>
        </is>
      </c>
      <c r="C1655" s="11" t="inlineStr">
        <is>
          <t>1c</t>
        </is>
      </c>
      <c r="D1655" s="11" t="inlineStr">
        <is>
          <t>used to</t>
        </is>
      </c>
      <c r="E1655" s="35" t="inlineStr">
        <is>
          <t>used to и would (used to = would)</t>
        </is>
      </c>
      <c r="F1655" s="11" t="inlineStr">
        <is>
          <t>Ст-220</t>
        </is>
      </c>
      <c r="G1655" s="40" t="inlineStr">
        <is>
          <t>новое</t>
        </is>
      </c>
      <c r="H1655" s="11" t="inlineStr">
        <is>
          <t>semi-modals: used to (= would)</t>
        </is>
      </c>
      <c r="I1655" s="37" t="inlineStr">
        <is>
          <t>10+</t>
        </is>
      </c>
      <c r="J1655" s="11">
        <f>IFERROR(INDEX('Уроки'!$H:$H,MATCH(F1655,'Уроки'!$A:$A,0)),"")</f>
        <v/>
      </c>
      <c r="K1655" s="11">
        <f>IFERROR(INDEX('Уроки'!$J:$J,MATCH(F1655,'Уроки'!$A:$A,0)),"")</f>
        <v/>
      </c>
      <c r="L1655" s="11" t="inlineStr">
        <is>
          <t>Spotlight / 11 класс / Module 1 · Relationships / used to / used to и would (used to = would)</t>
        </is>
      </c>
    </row>
    <row r="1656">
      <c r="A1656" s="37" t="n">
        <v>11</v>
      </c>
      <c r="B1656" s="11" t="inlineStr">
        <is>
          <t>Module 1 · Relationships</t>
        </is>
      </c>
      <c r="C1656" s="11" t="inlineStr">
        <is>
          <t>1c</t>
        </is>
      </c>
      <c r="D1656" s="11" t="inlineStr">
        <is>
          <t>be/get used to</t>
        </is>
      </c>
      <c r="E1656" s="35" t="inlineStr">
        <is>
          <t>be/get used to: be used to + -ing — привык</t>
        </is>
      </c>
      <c r="F1656" s="11" t="inlineStr">
        <is>
          <t>Ст-303</t>
        </is>
      </c>
      <c r="G1656" s="37" t="inlineStr">
        <is>
          <t>повторение</t>
        </is>
      </c>
      <c r="H1656" s="11" t="inlineStr">
        <is>
          <t>I'm used to working very hard</t>
        </is>
      </c>
      <c r="I1656" s="37" t="inlineStr">
        <is>
          <t>10+</t>
        </is>
      </c>
      <c r="J1656" s="11">
        <f>IFERROR(INDEX('Уроки'!$H:$H,MATCH(F1656,'Уроки'!$A:$A,0)),"")</f>
        <v/>
      </c>
      <c r="K1656" s="11">
        <f>IFERROR(INDEX('Уроки'!$J:$J,MATCH(F1656,'Уроки'!$A:$A,0)),"")</f>
        <v/>
      </c>
      <c r="L1656" s="11" t="inlineStr">
        <is>
          <t>Spotlight / 11 класс / Module 1 · Relationships / be/get used to / be/get used to: be used to + -ing — привык</t>
        </is>
      </c>
    </row>
    <row r="1657">
      <c r="A1657" s="37" t="n">
        <v>11</v>
      </c>
      <c r="B1657" s="11" t="inlineStr">
        <is>
          <t>Module 1 · Relationships</t>
        </is>
      </c>
      <c r="C1657" s="11" t="inlineStr">
        <is>
          <t>1c</t>
        </is>
      </c>
      <c r="D1657" s="11" t="inlineStr">
        <is>
          <t>be/get used to</t>
        </is>
      </c>
      <c r="E1657" s="35" t="inlineStr">
        <is>
          <t>be/get used to: get used to + -ing — привыкаю</t>
        </is>
      </c>
      <c r="F1657" s="11" t="inlineStr">
        <is>
          <t>Ст-304</t>
        </is>
      </c>
      <c r="G1657" s="37" t="inlineStr">
        <is>
          <t>повторение</t>
        </is>
      </c>
      <c r="H1657" s="11" t="inlineStr">
        <is>
          <t>разница be/get не объясняется</t>
        </is>
      </c>
      <c r="I1657" s="37" t="inlineStr">
        <is>
          <t>10+</t>
        </is>
      </c>
      <c r="J1657" s="11">
        <f>IFERROR(INDEX('Уроки'!$H:$H,MATCH(F1657,'Уроки'!$A:$A,0)),"")</f>
        <v/>
      </c>
      <c r="K1657" s="11">
        <f>IFERROR(INDEX('Уроки'!$J:$J,MATCH(F1657,'Уроки'!$A:$A,0)),"")</f>
        <v/>
      </c>
      <c r="L1657" s="11" t="inlineStr">
        <is>
          <t>Spotlight / 11 класс / Module 1 · Relationships / be/get used to / be/get used to: get used to + -ing — привыкаю</t>
        </is>
      </c>
    </row>
    <row r="1658">
      <c r="A1658" s="37" t="n">
        <v>11</v>
      </c>
      <c r="B1658" s="11" t="inlineStr">
        <is>
          <t>Module 1 · Relationships</t>
        </is>
      </c>
      <c r="C1658" s="11" t="inlineStr">
        <is>
          <t>1c</t>
        </is>
      </c>
      <c r="D1658" s="11" t="inlineStr">
        <is>
          <t>be/get used to</t>
        </is>
      </c>
      <c r="E1658" s="35" t="inlineStr">
        <is>
          <t>be/get used to vs used to + V (to — предлог vs частица)</t>
        </is>
      </c>
      <c r="F1658" s="11" t="inlineStr">
        <is>
          <t>Ст-305</t>
        </is>
      </c>
      <c r="G1658" s="37" t="inlineStr">
        <is>
          <t>повторение</t>
        </is>
      </c>
      <c r="H1658" s="11" t="inlineStr"/>
      <c r="I1658" s="37" t="inlineStr">
        <is>
          <t>10+</t>
        </is>
      </c>
      <c r="J1658" s="11">
        <f>IFERROR(INDEX('Уроки'!$H:$H,MATCH(F1658,'Уроки'!$A:$A,0)),"")</f>
        <v/>
      </c>
      <c r="K1658" s="11">
        <f>IFERROR(INDEX('Уроки'!$J:$J,MATCH(F1658,'Уроки'!$A:$A,0)),"")</f>
        <v/>
      </c>
      <c r="L1658" s="11" t="inlineStr">
        <is>
          <t>Spotlight / 11 класс / Module 1 · Relationships / be/get used to / be/get used to vs used to + V (to — предлог vs частица)</t>
        </is>
      </c>
    </row>
    <row r="1659">
      <c r="A1659" s="37" t="n">
        <v>11</v>
      </c>
      <c r="B1659" s="11" t="inlineStr">
        <is>
          <t>Module 1 · Relationships</t>
        </is>
      </c>
      <c r="C1659" s="11" t="inlineStr">
        <is>
          <t>1c</t>
        </is>
      </c>
      <c r="D1659" s="11" t="inlineStr">
        <is>
          <t>Adverbs of frequency</t>
        </is>
      </c>
      <c r="E1659" s="33" t="inlineStr">
        <is>
          <t>Adverbs of frequency: место — перед смысловым глаголом, после be</t>
        </is>
      </c>
      <c r="F1659" s="11" t="inlineStr">
        <is>
          <t>Ст-437</t>
        </is>
      </c>
      <c r="G1659" s="37" t="inlineStr">
        <is>
          <t>повторение</t>
        </is>
      </c>
      <c r="H1659" s="11" t="inlineStr"/>
      <c r="I1659" s="37" t="inlineStr">
        <is>
          <t>10+</t>
        </is>
      </c>
      <c r="J1659" s="11">
        <f>IFERROR(INDEX('Уроки'!$H:$H,MATCH(F1659,'Уроки'!$A:$A,0)),"")</f>
        <v/>
      </c>
      <c r="K1659" s="11">
        <f>IFERROR(INDEX('Уроки'!$J:$J,MATCH(F1659,'Уроки'!$A:$A,0)),"")</f>
        <v/>
      </c>
      <c r="L1659" s="11" t="inlineStr">
        <is>
          <t>Spotlight / 11 класс / Module 1 · Relationships / Adverbs of frequency / Adverbs of frequency: место — перед смысловым глаголом, после be</t>
        </is>
      </c>
    </row>
    <row r="1660">
      <c r="A1660" s="37" t="n">
        <v>11</v>
      </c>
      <c r="B1660" s="11" t="inlineStr">
        <is>
          <t>Module 1 · Relationships</t>
        </is>
      </c>
      <c r="C1660" s="11" t="inlineStr">
        <is>
          <t>1c</t>
        </is>
      </c>
      <c r="D1660" s="11" t="inlineStr">
        <is>
          <t>Adverbs of frequency</t>
        </is>
      </c>
      <c r="E1660" s="35" t="inlineStr">
        <is>
          <t>Adverbs of frequency: место — после вспомогательных и модальных глаголов</t>
        </is>
      </c>
      <c r="F1660" s="11" t="inlineStr">
        <is>
          <t>Ст-438</t>
        </is>
      </c>
      <c r="G1660" s="37" t="inlineStr">
        <is>
          <t>повторение</t>
        </is>
      </c>
      <c r="H1660" s="11" t="inlineStr"/>
      <c r="I1660" s="37" t="inlineStr">
        <is>
          <t>10+</t>
        </is>
      </c>
      <c r="J1660" s="11">
        <f>IFERROR(INDEX('Уроки'!$H:$H,MATCH(F1660,'Уроки'!$A:$A,0)),"")</f>
        <v/>
      </c>
      <c r="K1660" s="11">
        <f>IFERROR(INDEX('Уроки'!$J:$J,MATCH(F1660,'Уроки'!$A:$A,0)),"")</f>
        <v/>
      </c>
      <c r="L1660" s="11" t="inlineStr">
        <is>
          <t>Spotlight / 11 класс / Module 1 · Relationships / Adverbs of frequency / Adverbs of frequency: место — после вспомогательных и модальных глаголов</t>
        </is>
      </c>
    </row>
    <row r="1661">
      <c r="A1661" s="37" t="n">
        <v>11</v>
      </c>
      <c r="B1661" s="11" t="inlineStr">
        <is>
          <t>Module 1 · Relationships</t>
        </is>
      </c>
      <c r="C1661" s="11" t="inlineStr">
        <is>
          <t>1c</t>
        </is>
      </c>
      <c r="D1661" s="11" t="inlineStr">
        <is>
          <t>Adverbs of frequency</t>
        </is>
      </c>
      <c r="E1661" s="33" t="inlineStr">
        <is>
          <t>Adverbs of frequency: шкала частотности в % (always 100% … never 0%)</t>
        </is>
      </c>
      <c r="F1661" s="11" t="inlineStr">
        <is>
          <t>Ст-440</t>
        </is>
      </c>
      <c r="G1661" s="37" t="inlineStr">
        <is>
          <t>повторение</t>
        </is>
      </c>
      <c r="H1661" s="11" t="inlineStr"/>
      <c r="I1661" s="37" t="inlineStr">
        <is>
          <t>10+</t>
        </is>
      </c>
      <c r="J1661" s="11">
        <f>IFERROR(INDEX('Уроки'!$H:$H,MATCH(F1661,'Уроки'!$A:$A,0)),"")</f>
        <v/>
      </c>
      <c r="K1661" s="11">
        <f>IFERROR(INDEX('Уроки'!$J:$J,MATCH(F1661,'Уроки'!$A:$A,0)),"")</f>
        <v/>
      </c>
      <c r="L1661" s="11" t="inlineStr">
        <is>
          <t>Spotlight / 11 класс / Module 1 · Relationships / Adverbs of frequency / Adverbs of frequency: шкала частотности в % (always 100% … never 0%)</t>
        </is>
      </c>
    </row>
    <row r="1662">
      <c r="A1662" s="37" t="n">
        <v>11</v>
      </c>
      <c r="B1662" s="11" t="inlineStr">
        <is>
          <t>Module 1 · Relationships</t>
        </is>
      </c>
      <c r="C1662" s="11" t="inlineStr">
        <is>
          <t>1c</t>
        </is>
      </c>
      <c r="D1662" s="11" t="inlineStr">
        <is>
          <t>Phrasal verbs</t>
        </is>
      </c>
      <c r="E1662" s="35" t="inlineStr">
        <is>
          <t>Phrasal verbs: come</t>
        </is>
      </c>
      <c r="F1662" s="11" t="inlineStr">
        <is>
          <t>Ст-596</t>
        </is>
      </c>
      <c r="G1662" s="37" t="inlineStr">
        <is>
          <t>повторение</t>
        </is>
      </c>
      <c r="H1662" s="11" t="inlineStr">
        <is>
          <t>come + частицы (English in Use 1c); конкретные частицы в доступных страницах не даны.</t>
        </is>
      </c>
      <c r="I1662" s="37" t="inlineStr">
        <is>
          <t>10+</t>
        </is>
      </c>
      <c r="J1662" s="11">
        <f>IFERROR(INDEX('Уроки'!$H:$H,MATCH(F1662,'Уроки'!$A:$A,0)),"")</f>
        <v/>
      </c>
      <c r="K1662" s="11">
        <f>IFERROR(INDEX('Уроки'!$J:$J,MATCH(F1662,'Уроки'!$A:$A,0)),"")</f>
        <v/>
      </c>
      <c r="L1662" s="11" t="inlineStr">
        <is>
          <t>Spotlight / 11 класс / Module 1 · Relationships / Phrasal verbs / Phrasal verbs: come</t>
        </is>
      </c>
    </row>
    <row r="1663">
      <c r="A1663" s="37" t="n">
        <v>11</v>
      </c>
      <c r="B1663" s="11" t="inlineStr">
        <is>
          <t>Module 1 · Relationships</t>
        </is>
      </c>
      <c r="C1663" s="11" t="inlineStr">
        <is>
          <t>1c</t>
        </is>
      </c>
      <c r="D1663" s="11" t="inlineStr">
        <is>
          <t>Dependent prepositions</t>
        </is>
      </c>
      <c r="E1663" s="35" t="inlineStr">
        <is>
          <t>Dependent prepositions</t>
        </is>
      </c>
      <c r="F1663" s="11" t="inlineStr">
        <is>
          <t>Ст-633</t>
        </is>
      </c>
      <c r="G1663" s="37" t="inlineStr">
        <is>
          <t>повторение</t>
        </is>
      </c>
      <c r="H1663" s="11" t="inlineStr">
        <is>
          <t>Dependent prepositions (English in Use 1c); конкретные сочетания в доступных страницах не даны.</t>
        </is>
      </c>
      <c r="I1663" s="37" t="inlineStr">
        <is>
          <t>10+</t>
        </is>
      </c>
      <c r="J1663" s="11">
        <f>IFERROR(INDEX('Уроки'!$H:$H,MATCH(F1663,'Уроки'!$A:$A,0)),"")</f>
        <v/>
      </c>
      <c r="K1663" s="11">
        <f>IFERROR(INDEX('Уроки'!$J:$J,MATCH(F1663,'Уроки'!$A:$A,0)),"")</f>
        <v/>
      </c>
      <c r="L1663" s="11" t="inlineStr">
        <is>
          <t>Spotlight / 11 класс / Module 1 · Relationships / Dependent prepositions / Dependent prepositions</t>
        </is>
      </c>
    </row>
    <row r="1664">
      <c r="A1664" s="37" t="n">
        <v>11</v>
      </c>
      <c r="B1664" s="11" t="inlineStr">
        <is>
          <t>Module 1 · Relationships</t>
        </is>
      </c>
      <c r="C1664" s="11" t="inlineStr">
        <is>
          <t>1b</t>
        </is>
      </c>
      <c r="D1664" s="11" t="inlineStr">
        <is>
          <t>Idioms &amp; collocations</t>
        </is>
      </c>
      <c r="E1664" s="33" t="inlineStr">
        <is>
          <t>Idioms &amp; collocations</t>
        </is>
      </c>
      <c r="F1664" s="11" t="inlineStr">
        <is>
          <t>Ст-634</t>
        </is>
      </c>
      <c r="G1664" s="37" t="inlineStr">
        <is>
          <t>повторение</t>
        </is>
      </c>
      <c r="H1664" s="11" t="inlineStr">
        <is>
          <t>Idioms related to people (1b).</t>
        </is>
      </c>
      <c r="I1664" s="37" t="inlineStr">
        <is>
          <t>10+</t>
        </is>
      </c>
      <c r="J1664" s="11">
        <f>IFERROR(INDEX('Уроки'!$H:$H,MATCH(F1664,'Уроки'!$A:$A,0)),"")</f>
        <v/>
      </c>
      <c r="K1664" s="11">
        <f>IFERROR(INDEX('Уроки'!$J:$J,MATCH(F1664,'Уроки'!$A:$A,0)),"")</f>
        <v/>
      </c>
      <c r="L1664" s="11" t="inlineStr">
        <is>
          <t>Spotlight / 11 класс / Module 1 · Relationships / Idioms &amp; collocations / Idioms &amp; collocations</t>
        </is>
      </c>
    </row>
    <row r="1665">
      <c r="A1665" s="37" t="n">
        <v>11</v>
      </c>
      <c r="B1665" s="11" t="inlineStr">
        <is>
          <t>Module 2 · Where there's a will there's a way</t>
        </is>
      </c>
      <c r="C1665" s="11" t="inlineStr">
        <is>
          <t>2c</t>
        </is>
      </c>
      <c r="D1665" s="11" t="inlineStr">
        <is>
          <t>so / such</t>
        </is>
      </c>
      <c r="E1665" s="35" t="inlineStr">
        <is>
          <t>so / such: so + прил./нареч.; so + many/much/few/little + сущ.</t>
        </is>
      </c>
      <c r="F1665" s="11" t="inlineStr">
        <is>
          <t>Ст-477</t>
        </is>
      </c>
      <c r="G1665" s="37" t="inlineStr">
        <is>
          <t>повторение</t>
        </is>
      </c>
      <c r="H1665" s="11" t="inlineStr"/>
      <c r="I1665" s="37" t="inlineStr">
        <is>
          <t>10+</t>
        </is>
      </c>
      <c r="J1665" s="11">
        <f>IFERROR(INDEX('Уроки'!$H:$H,MATCH(F1665,'Уроки'!$A:$A,0)),"")</f>
        <v/>
      </c>
      <c r="K1665" s="11">
        <f>IFERROR(INDEX('Уроки'!$J:$J,MATCH(F1665,'Уроки'!$A:$A,0)),"")</f>
        <v/>
      </c>
      <c r="L1665" s="11" t="inlineStr">
        <is>
          <t>Spotlight / 11 класс / Module 2 · Where there's a will there's a way / so / such / so / such: so + прил./нареч.; so + many/much/few/little + сущ.</t>
        </is>
      </c>
    </row>
    <row r="1666">
      <c r="A1666" s="37" t="n">
        <v>11</v>
      </c>
      <c r="B1666" s="11" t="inlineStr">
        <is>
          <t>Module 2 · Where there's a will there's a way</t>
        </is>
      </c>
      <c r="C1666" s="11" t="inlineStr">
        <is>
          <t>2c</t>
        </is>
      </c>
      <c r="D1666" s="11" t="inlineStr">
        <is>
          <t>so / such</t>
        </is>
      </c>
      <c r="E1666" s="35" t="inlineStr">
        <is>
          <t>so / such: such (a/an) + (прил.) + сущ.; such a lot of</t>
        </is>
      </c>
      <c r="F1666" s="11" t="inlineStr">
        <is>
          <t>Ст-478</t>
        </is>
      </c>
      <c r="G1666" s="37" t="inlineStr">
        <is>
          <t>повторение</t>
        </is>
      </c>
      <c r="H1666" s="11" t="inlineStr"/>
      <c r="I1666" s="37" t="inlineStr">
        <is>
          <t>10+</t>
        </is>
      </c>
      <c r="J1666" s="11">
        <f>IFERROR(INDEX('Уроки'!$H:$H,MATCH(F1666,'Уроки'!$A:$A,0)),"")</f>
        <v/>
      </c>
      <c r="K1666" s="11">
        <f>IFERROR(INDEX('Уроки'!$J:$J,MATCH(F1666,'Уроки'!$A:$A,0)),"")</f>
        <v/>
      </c>
      <c r="L1666" s="11" t="inlineStr">
        <is>
          <t>Spotlight / 11 класс / Module 2 · Where there's a will there's a way / so / such / so / such: such (a/an) + (прил.) + сущ.; such a lot of</t>
        </is>
      </c>
    </row>
    <row r="1667">
      <c r="A1667" s="37" t="n">
        <v>11</v>
      </c>
      <c r="B1667" s="11" t="inlineStr">
        <is>
          <t>Module 2 · Where there's a will there's a way</t>
        </is>
      </c>
      <c r="C1667" s="11" t="inlineStr">
        <is>
          <t>2c</t>
        </is>
      </c>
      <c r="D1667" s="11" t="inlineStr">
        <is>
          <t>so / such</t>
        </is>
      </c>
      <c r="E1667" s="35" t="inlineStr">
        <is>
          <t>so / such: so + прил. + a(n) + сущ.</t>
        </is>
      </c>
      <c r="F1667" s="11" t="inlineStr">
        <is>
          <t>Ст-479</t>
        </is>
      </c>
      <c r="G1667" s="37" t="inlineStr">
        <is>
          <t>повторение</t>
        </is>
      </c>
      <c r="H1667" s="11" t="inlineStr">
        <is>
          <t>so popular a restaurant</t>
        </is>
      </c>
      <c r="I1667" s="37" t="inlineStr">
        <is>
          <t>10+</t>
        </is>
      </c>
      <c r="J1667" s="11">
        <f>IFERROR(INDEX('Уроки'!$H:$H,MATCH(F1667,'Уроки'!$A:$A,0)),"")</f>
        <v/>
      </c>
      <c r="K1667" s="11">
        <f>IFERROR(INDEX('Уроки'!$J:$J,MATCH(F1667,'Уроки'!$A:$A,0)),"")</f>
        <v/>
      </c>
      <c r="L1667" s="11" t="inlineStr">
        <is>
          <t>Spotlight / 11 класс / Module 2 · Where there's a will there's a way / so / such / so / such: so + прил. + a(n) + сущ.</t>
        </is>
      </c>
    </row>
    <row r="1668">
      <c r="A1668" s="37" t="n">
        <v>11</v>
      </c>
      <c r="B1668" s="11" t="inlineStr">
        <is>
          <t>Module 2 · Where there's a will there's a way</t>
        </is>
      </c>
      <c r="C1668" s="11" t="inlineStr">
        <is>
          <t>2c</t>
        </is>
      </c>
      <c r="D1668" s="11" t="inlineStr">
        <is>
          <t>Relative pronouns / Relative clauses</t>
        </is>
      </c>
      <c r="E1668" s="34" t="inlineStr">
        <is>
          <t>Relative clauses: who(m) / which / that — люди и предметы</t>
        </is>
      </c>
      <c r="F1668" s="11" t="inlineStr">
        <is>
          <t>Ст-526</t>
        </is>
      </c>
      <c r="G1668" s="37" t="inlineStr">
        <is>
          <t>повторение</t>
        </is>
      </c>
      <c r="H1668" s="11" t="inlineStr"/>
      <c r="I1668" s="37" t="inlineStr">
        <is>
          <t>10+</t>
        </is>
      </c>
      <c r="J1668" s="11">
        <f>IFERROR(INDEX('Уроки'!$H:$H,MATCH(F1668,'Уроки'!$A:$A,0)),"")</f>
        <v/>
      </c>
      <c r="K1668" s="11">
        <f>IFERROR(INDEX('Уроки'!$J:$J,MATCH(F1668,'Уроки'!$A:$A,0)),"")</f>
        <v/>
      </c>
      <c r="L1668" s="11" t="inlineStr">
        <is>
          <t>Spotlight / 11 класс / Module 2 · Where there's a will there's a way / Relative pronouns / Relative clauses / Relative clauses: who(m) / which / that — люди и предметы</t>
        </is>
      </c>
    </row>
    <row r="1669">
      <c r="A1669" s="37" t="n">
        <v>11</v>
      </c>
      <c r="B1669" s="11" t="inlineStr">
        <is>
          <t>Module 2 · Where there's a will there's a way</t>
        </is>
      </c>
      <c r="C1669" s="11" t="inlineStr">
        <is>
          <t>2c</t>
        </is>
      </c>
      <c r="D1669" s="11" t="inlineStr">
        <is>
          <t>Relative pronouns / Relative clauses</t>
        </is>
      </c>
      <c r="E1669" s="34" t="inlineStr">
        <is>
          <t>Relative clauses: whose — принадлежность</t>
        </is>
      </c>
      <c r="F1669" s="11" t="inlineStr">
        <is>
          <t>Ст-527</t>
        </is>
      </c>
      <c r="G1669" s="37" t="inlineStr">
        <is>
          <t>повторение</t>
        </is>
      </c>
      <c r="H1669" s="11" t="inlineStr"/>
      <c r="I1669" s="37" t="inlineStr">
        <is>
          <t>10+</t>
        </is>
      </c>
      <c r="J1669" s="11">
        <f>IFERROR(INDEX('Уроки'!$H:$H,MATCH(F1669,'Уроки'!$A:$A,0)),"")</f>
        <v/>
      </c>
      <c r="K1669" s="11">
        <f>IFERROR(INDEX('Уроки'!$J:$J,MATCH(F1669,'Уроки'!$A:$A,0)),"")</f>
        <v/>
      </c>
      <c r="L1669" s="11" t="inlineStr">
        <is>
          <t>Spotlight / 11 класс / Module 2 · Where there's a will there's a way / Relative pronouns / Relative clauses / Relative clauses: whose — принадлежность</t>
        </is>
      </c>
    </row>
    <row r="1670">
      <c r="A1670" s="37" t="n">
        <v>11</v>
      </c>
      <c r="B1670" s="11" t="inlineStr">
        <is>
          <t>Module 2 · Where there's a will there's a way</t>
        </is>
      </c>
      <c r="C1670" s="11" t="inlineStr">
        <is>
          <t>2c</t>
        </is>
      </c>
      <c r="D1670" s="11" t="inlineStr">
        <is>
          <t>Relative pronouns / Relative clauses</t>
        </is>
      </c>
      <c r="E1670" s="34" t="inlineStr">
        <is>
          <t>Relative clauses: опущение who/which/that (дополнение vs подлежащее)</t>
        </is>
      </c>
      <c r="F1670" s="11" t="inlineStr">
        <is>
          <t>Ст-528</t>
        </is>
      </c>
      <c r="G1670" s="37" t="inlineStr">
        <is>
          <t>повторение</t>
        </is>
      </c>
      <c r="H1670" s="11" t="inlineStr"/>
      <c r="I1670" s="37" t="inlineStr">
        <is>
          <t>10+</t>
        </is>
      </c>
      <c r="J1670" s="11">
        <f>IFERROR(INDEX('Уроки'!$H:$H,MATCH(F1670,'Уроки'!$A:$A,0)),"")</f>
        <v/>
      </c>
      <c r="K1670" s="11">
        <f>IFERROR(INDEX('Уроки'!$J:$J,MATCH(F1670,'Уроки'!$A:$A,0)),"")</f>
        <v/>
      </c>
      <c r="L1670" s="11" t="inlineStr">
        <is>
          <t>Spotlight / 11 класс / Module 2 · Where there's a will there's a way / Relative pronouns / Relative clauses / Relative clauses: опущение who/which/that (дополнение vs подлежащее)</t>
        </is>
      </c>
    </row>
    <row r="1671">
      <c r="A1671" s="37" t="n">
        <v>11</v>
      </c>
      <c r="B1671" s="11" t="inlineStr">
        <is>
          <t>Module 2 · Where there's a will there's a way</t>
        </is>
      </c>
      <c r="C1671" s="11" t="inlineStr">
        <is>
          <t>2c</t>
        </is>
      </c>
      <c r="D1671" s="11" t="inlineStr">
        <is>
          <t>Relative pronouns / Relative clauses</t>
        </is>
      </c>
      <c r="E1671" s="35" t="inlineStr">
        <is>
          <t>Relative clauses: defining vs non-defining (запятые, без that)</t>
        </is>
      </c>
      <c r="F1671" s="11" t="inlineStr">
        <is>
          <t>Ст-530</t>
        </is>
      </c>
      <c r="G1671" s="37" t="inlineStr">
        <is>
          <t>повторение</t>
        </is>
      </c>
      <c r="H1671" s="11" t="inlineStr"/>
      <c r="I1671" s="37" t="inlineStr">
        <is>
          <t>10+</t>
        </is>
      </c>
      <c r="J1671" s="11">
        <f>IFERROR(INDEX('Уроки'!$H:$H,MATCH(F1671,'Уроки'!$A:$A,0)),"")</f>
        <v/>
      </c>
      <c r="K1671" s="11">
        <f>IFERROR(INDEX('Уроки'!$J:$J,MATCH(F1671,'Уроки'!$A:$A,0)),"")</f>
        <v/>
      </c>
      <c r="L1671" s="11" t="inlineStr">
        <is>
          <t>Spotlight / 11 класс / Module 2 · Where there's a will there's a way / Relative pronouns / Relative clauses / Relative clauses: defining vs non-defining (запятые, без that)</t>
        </is>
      </c>
    </row>
    <row r="1672">
      <c r="A1672" s="37" t="n">
        <v>11</v>
      </c>
      <c r="B1672" s="11" t="inlineStr">
        <is>
          <t>Module 2 · Where there's a will there's a way</t>
        </is>
      </c>
      <c r="C1672" s="11" t="inlineStr">
        <is>
          <t>2c</t>
        </is>
      </c>
      <c r="D1672" s="11" t="inlineStr">
        <is>
          <t>Relative pronouns / Relative clauses</t>
        </is>
      </c>
      <c r="E1672" s="35" t="inlineStr">
        <is>
          <t>Relative clauses: which, относящееся ко всему предложению</t>
        </is>
      </c>
      <c r="F1672" s="11" t="inlineStr">
        <is>
          <t>Ст-531</t>
        </is>
      </c>
      <c r="G1672" s="37" t="inlineStr">
        <is>
          <t>повторение</t>
        </is>
      </c>
      <c r="H1672" s="11" t="inlineStr"/>
      <c r="I1672" s="37" t="inlineStr">
        <is>
          <t>10+</t>
        </is>
      </c>
      <c r="J1672" s="11">
        <f>IFERROR(INDEX('Уроки'!$H:$H,MATCH(F1672,'Уроки'!$A:$A,0)),"")</f>
        <v/>
      </c>
      <c r="K1672" s="11">
        <f>IFERROR(INDEX('Уроки'!$J:$J,MATCH(F1672,'Уроки'!$A:$A,0)),"")</f>
        <v/>
      </c>
      <c r="L1672" s="11" t="inlineStr">
        <is>
          <t>Spotlight / 11 класс / Module 2 · Where there's a will there's a way / Relative pronouns / Relative clauses / Relative clauses: which, относящееся ко всему предложению</t>
        </is>
      </c>
    </row>
    <row r="1673">
      <c r="A1673" s="37" t="n">
        <v>11</v>
      </c>
      <c r="B1673" s="11" t="inlineStr">
        <is>
          <t>Module 2 · Where there's a will there's a way</t>
        </is>
      </c>
      <c r="C1673" s="11" t="inlineStr">
        <is>
          <t>2c</t>
        </is>
      </c>
      <c r="D1673" s="11" t="inlineStr">
        <is>
          <t>Relative pronouns / Relative clauses</t>
        </is>
      </c>
      <c r="E1673" s="35" t="inlineStr">
        <is>
          <t>Relative clauses: of which / whose для предметов</t>
        </is>
      </c>
      <c r="F1673" s="11" t="inlineStr">
        <is>
          <t>Ст-532</t>
        </is>
      </c>
      <c r="G1673" s="37" t="inlineStr">
        <is>
          <t>повторение</t>
        </is>
      </c>
      <c r="H1673" s="11" t="inlineStr"/>
      <c r="I1673" s="37" t="inlineStr">
        <is>
          <t>10+</t>
        </is>
      </c>
      <c r="J1673" s="11">
        <f>IFERROR(INDEX('Уроки'!$H:$H,MATCH(F1673,'Уроки'!$A:$A,0)),"")</f>
        <v/>
      </c>
      <c r="K1673" s="11">
        <f>IFERROR(INDEX('Уроки'!$J:$J,MATCH(F1673,'Уроки'!$A:$A,0)),"")</f>
        <v/>
      </c>
      <c r="L1673" s="11" t="inlineStr">
        <is>
          <t>Spotlight / 11 класс / Module 2 · Where there's a will there's a way / Relative pronouns / Relative clauses / Relative clauses: of which / whose для предметов</t>
        </is>
      </c>
    </row>
    <row r="1674">
      <c r="A1674" s="37" t="n">
        <v>11</v>
      </c>
      <c r="B1674" s="11" t="inlineStr">
        <is>
          <t>Module 2 · Where there's a will there's a way</t>
        </is>
      </c>
      <c r="C1674" s="11" t="inlineStr">
        <is>
          <t>2c</t>
        </is>
      </c>
      <c r="D1674" s="11" t="inlineStr">
        <is>
          <t>Relative pronouns / Relative clauses</t>
        </is>
      </c>
      <c r="E1674" s="35" t="inlineStr">
        <is>
          <t>Relative clauses: some of / most of + whom/which/whose</t>
        </is>
      </c>
      <c r="F1674" s="11" t="inlineStr">
        <is>
          <t>Ст-533</t>
        </is>
      </c>
      <c r="G1674" s="37" t="inlineStr">
        <is>
          <t>повторение</t>
        </is>
      </c>
      <c r="H1674" s="11" t="inlineStr">
        <is>
          <t>most of which</t>
        </is>
      </c>
      <c r="I1674" s="37" t="inlineStr">
        <is>
          <t>10+</t>
        </is>
      </c>
      <c r="J1674" s="11">
        <f>IFERROR(INDEX('Уроки'!$H:$H,MATCH(F1674,'Уроки'!$A:$A,0)),"")</f>
        <v/>
      </c>
      <c r="K1674" s="11">
        <f>IFERROR(INDEX('Уроки'!$J:$J,MATCH(F1674,'Уроки'!$A:$A,0)),"")</f>
        <v/>
      </c>
      <c r="L1674" s="11" t="inlineStr">
        <is>
          <t>Spotlight / 11 класс / Module 2 · Where there's a will there's a way / Relative pronouns / Relative clauses / Relative clauses: some of / most of + whom/which/whose</t>
        </is>
      </c>
    </row>
    <row r="1675">
      <c r="A1675" s="37" t="n">
        <v>11</v>
      </c>
      <c r="B1675" s="11" t="inlineStr">
        <is>
          <t>Module 2 · Where there's a will there's a way</t>
        </is>
      </c>
      <c r="C1675" s="11" t="inlineStr">
        <is>
          <t>2c</t>
        </is>
      </c>
      <c r="D1675" s="11" t="inlineStr">
        <is>
          <t>Relative pronouns / Relative clauses</t>
        </is>
      </c>
      <c r="E1675" s="35" t="inlineStr">
        <is>
          <t>Relative clauses: that не после запятой и не после предлога</t>
        </is>
      </c>
      <c r="F1675" s="11" t="inlineStr">
        <is>
          <t>Ст-534</t>
        </is>
      </c>
      <c r="G1675" s="37" t="inlineStr">
        <is>
          <t>повторение</t>
        </is>
      </c>
      <c r="H1675" s="11" t="inlineStr"/>
      <c r="I1675" s="37" t="inlineStr">
        <is>
          <t>10+</t>
        </is>
      </c>
      <c r="J1675" s="11">
        <f>IFERROR(INDEX('Уроки'!$H:$H,MATCH(F1675,'Уроки'!$A:$A,0)),"")</f>
        <v/>
      </c>
      <c r="K1675" s="11">
        <f>IFERROR(INDEX('Уроки'!$J:$J,MATCH(F1675,'Уроки'!$A:$A,0)),"")</f>
        <v/>
      </c>
      <c r="L1675" s="11" t="inlineStr">
        <is>
          <t>Spotlight / 11 класс / Module 2 · Where there's a will there's a way / Relative pronouns / Relative clauses / Relative clauses: that не после запятой и не после предлога</t>
        </is>
      </c>
    </row>
    <row r="1676">
      <c r="A1676" s="37" t="n">
        <v>11</v>
      </c>
      <c r="B1676" s="11" t="inlineStr">
        <is>
          <t>Module 2 · Where there's a will there's a way</t>
        </is>
      </c>
      <c r="C1676" s="11" t="inlineStr">
        <is>
          <t>2c</t>
        </is>
      </c>
      <c r="D1676" s="11" t="inlineStr">
        <is>
          <t>Clauses of purpose</t>
        </is>
      </c>
      <c r="E1676" s="35" t="inlineStr">
        <is>
          <t>Clauses of purpose: to / in order to / so as to + infinitive</t>
        </is>
      </c>
      <c r="F1676" s="11" t="inlineStr">
        <is>
          <t>Ст-547</t>
        </is>
      </c>
      <c r="G1676" s="37" t="inlineStr">
        <is>
          <t>повторение</t>
        </is>
      </c>
      <c r="H1676" s="11" t="inlineStr"/>
      <c r="I1676" s="37" t="inlineStr">
        <is>
          <t>10+</t>
        </is>
      </c>
      <c r="J1676" s="11">
        <f>IFERROR(INDEX('Уроки'!$H:$H,MATCH(F1676,'Уроки'!$A:$A,0)),"")</f>
        <v/>
      </c>
      <c r="K1676" s="11">
        <f>IFERROR(INDEX('Уроки'!$J:$J,MATCH(F1676,'Уроки'!$A:$A,0)),"")</f>
        <v/>
      </c>
      <c r="L1676" s="11" t="inlineStr">
        <is>
          <t>Spotlight / 11 класс / Module 2 · Where there's a will there's a way / Clauses of purpose / Clauses of purpose: to / in order to / so as to + infinitive</t>
        </is>
      </c>
    </row>
    <row r="1677">
      <c r="A1677" s="37" t="n">
        <v>11</v>
      </c>
      <c r="B1677" s="11" t="inlineStr">
        <is>
          <t>Module 2 · Where there's a will there's a way</t>
        </is>
      </c>
      <c r="C1677" s="11" t="inlineStr">
        <is>
          <t>2c</t>
        </is>
      </c>
      <c r="D1677" s="11" t="inlineStr">
        <is>
          <t>Clauses of purpose</t>
        </is>
      </c>
      <c r="E1677" s="35" t="inlineStr">
        <is>
          <t>Clauses of purpose: so that + can/will, could/would</t>
        </is>
      </c>
      <c r="F1677" s="11" t="inlineStr">
        <is>
          <t>Ст-548</t>
        </is>
      </c>
      <c r="G1677" s="37" t="inlineStr">
        <is>
          <t>повторение</t>
        </is>
      </c>
      <c r="H1677" s="11" t="inlineStr"/>
      <c r="I1677" s="37" t="inlineStr">
        <is>
          <t>10+</t>
        </is>
      </c>
      <c r="J1677" s="11">
        <f>IFERROR(INDEX('Уроки'!$H:$H,MATCH(F1677,'Уроки'!$A:$A,0)),"")</f>
        <v/>
      </c>
      <c r="K1677" s="11">
        <f>IFERROR(INDEX('Уроки'!$J:$J,MATCH(F1677,'Уроки'!$A:$A,0)),"")</f>
        <v/>
      </c>
      <c r="L1677" s="11" t="inlineStr">
        <is>
          <t>Spotlight / 11 класс / Module 2 · Where there's a will there's a way / Clauses of purpose / Clauses of purpose: so that + can/will, could/would</t>
        </is>
      </c>
    </row>
    <row r="1678">
      <c r="A1678" s="37" t="n">
        <v>11</v>
      </c>
      <c r="B1678" s="11" t="inlineStr">
        <is>
          <t>Module 2 · Where there's a will there's a way</t>
        </is>
      </c>
      <c r="C1678" s="11" t="inlineStr">
        <is>
          <t>2c</t>
        </is>
      </c>
      <c r="D1678" s="11" t="inlineStr">
        <is>
          <t>Clauses of purpose</t>
        </is>
      </c>
      <c r="E1678" s="35" t="inlineStr">
        <is>
          <t>Clauses of purpose: with the view to / with the aim of + -ing</t>
        </is>
      </c>
      <c r="F1678" s="11" t="inlineStr">
        <is>
          <t>Ст-549</t>
        </is>
      </c>
      <c r="G1678" s="37" t="inlineStr">
        <is>
          <t>повторение</t>
        </is>
      </c>
      <c r="H1678" s="11" t="inlineStr"/>
      <c r="I1678" s="37" t="inlineStr">
        <is>
          <t>10+</t>
        </is>
      </c>
      <c r="J1678" s="11">
        <f>IFERROR(INDEX('Уроки'!$H:$H,MATCH(F1678,'Уроки'!$A:$A,0)),"")</f>
        <v/>
      </c>
      <c r="K1678" s="11">
        <f>IFERROR(INDEX('Уроки'!$J:$J,MATCH(F1678,'Уроки'!$A:$A,0)),"")</f>
        <v/>
      </c>
      <c r="L1678" s="11" t="inlineStr">
        <is>
          <t>Spotlight / 11 класс / Module 2 · Where there's a will there's a way / Clauses of purpose / Clauses of purpose: with the view to / with the aim of + -ing</t>
        </is>
      </c>
    </row>
    <row r="1679">
      <c r="A1679" s="37" t="n">
        <v>11</v>
      </c>
      <c r="B1679" s="11" t="inlineStr">
        <is>
          <t>Module 2 · Where there's a will there's a way</t>
        </is>
      </c>
      <c r="C1679" s="11" t="inlineStr">
        <is>
          <t>2c</t>
        </is>
      </c>
      <c r="D1679" s="11" t="inlineStr">
        <is>
          <t>Clauses of purpose</t>
        </is>
      </c>
      <c r="E1679" s="35" t="inlineStr">
        <is>
          <t>Clauses of purpose: for + noun/-ing (назначение предмета)</t>
        </is>
      </c>
      <c r="F1679" s="11" t="inlineStr">
        <is>
          <t>Ст-550</t>
        </is>
      </c>
      <c r="G1679" s="40" t="inlineStr">
        <is>
          <t>новое</t>
        </is>
      </c>
      <c r="H1679" s="11" t="inlineStr">
        <is>
          <t>a liquid for removing paint</t>
        </is>
      </c>
      <c r="I1679" s="37" t="inlineStr">
        <is>
          <t>10+</t>
        </is>
      </c>
      <c r="J1679" s="11">
        <f>IFERROR(INDEX('Уроки'!$H:$H,MATCH(F1679,'Уроки'!$A:$A,0)),"")</f>
        <v/>
      </c>
      <c r="K1679" s="11">
        <f>IFERROR(INDEX('Уроки'!$J:$J,MATCH(F1679,'Уроки'!$A:$A,0)),"")</f>
        <v/>
      </c>
      <c r="L1679" s="11" t="inlineStr">
        <is>
          <t>Spotlight / 11 класс / Module 2 · Where there's a will there's a way / Clauses of purpose / Clauses of purpose: for + noun/-ing (назначение предмета)</t>
        </is>
      </c>
    </row>
    <row r="1680">
      <c r="A1680" s="37" t="n">
        <v>11</v>
      </c>
      <c r="B1680" s="11" t="inlineStr">
        <is>
          <t>Module 2 · Where there's a will there's a way</t>
        </is>
      </c>
      <c r="C1680" s="11" t="inlineStr">
        <is>
          <t>2c</t>
        </is>
      </c>
      <c r="D1680" s="11" t="inlineStr">
        <is>
          <t>Clauses of purpose</t>
        </is>
      </c>
      <c r="E1680" s="35" t="inlineStr">
        <is>
          <t>Clauses of purpose: in case + Present / Past</t>
        </is>
      </c>
      <c r="F1680" s="11" t="inlineStr">
        <is>
          <t>Ст-551</t>
        </is>
      </c>
      <c r="G1680" s="40" t="inlineStr">
        <is>
          <t>новое</t>
        </is>
      </c>
      <c r="H1680" s="11" t="inlineStr">
        <is>
          <t>in case + Present — наст./буд.; + Past — прош.</t>
        </is>
      </c>
      <c r="I1680" s="37" t="inlineStr">
        <is>
          <t>10+</t>
        </is>
      </c>
      <c r="J1680" s="11">
        <f>IFERROR(INDEX('Уроки'!$H:$H,MATCH(F1680,'Уроки'!$A:$A,0)),"")</f>
        <v/>
      </c>
      <c r="K1680" s="11">
        <f>IFERROR(INDEX('Уроки'!$J:$J,MATCH(F1680,'Уроки'!$A:$A,0)),"")</f>
        <v/>
      </c>
      <c r="L1680" s="11" t="inlineStr">
        <is>
          <t>Spotlight / 11 класс / Module 2 · Where there's a will there's a way / Clauses of purpose / Clauses of purpose: in case + Present / Past</t>
        </is>
      </c>
    </row>
    <row r="1681">
      <c r="A1681" s="37" t="n">
        <v>11</v>
      </c>
      <c r="B1681" s="11" t="inlineStr">
        <is>
          <t>Module 2 · Where there's a will there's a way</t>
        </is>
      </c>
      <c r="C1681" s="11" t="inlineStr">
        <is>
          <t>2c</t>
        </is>
      </c>
      <c r="D1681" s="11" t="inlineStr">
        <is>
          <t>Clauses of purpose</t>
        </is>
      </c>
      <c r="E1681" s="35" t="inlineStr">
        <is>
          <t>Clauses of purpose: отрицательная цель — so as not / in order not to</t>
        </is>
      </c>
      <c r="F1681" s="11" t="inlineStr">
        <is>
          <t>Ст-552</t>
        </is>
      </c>
      <c r="G1681" s="40" t="inlineStr">
        <is>
          <t>новое</t>
        </is>
      </c>
      <c r="H1681" s="11" t="inlineStr">
        <is>
          <t>одно и то же действующее лицо</t>
        </is>
      </c>
      <c r="I1681" s="37" t="inlineStr">
        <is>
          <t>10+</t>
        </is>
      </c>
      <c r="J1681" s="11">
        <f>IFERROR(INDEX('Уроки'!$H:$H,MATCH(F1681,'Уроки'!$A:$A,0)),"")</f>
        <v/>
      </c>
      <c r="K1681" s="11">
        <f>IFERROR(INDEX('Уроки'!$J:$J,MATCH(F1681,'Уроки'!$A:$A,0)),"")</f>
        <v/>
      </c>
      <c r="L1681" s="11" t="inlineStr">
        <is>
          <t>Spotlight / 11 класс / Module 2 · Where there's a will there's a way / Clauses of purpose / Clauses of purpose: отрицательная цель — so as not / in order not to</t>
        </is>
      </c>
    </row>
    <row r="1682">
      <c r="A1682" s="37" t="n">
        <v>11</v>
      </c>
      <c r="B1682" s="11" t="inlineStr">
        <is>
          <t>Module 2 · Where there's a will there's a way</t>
        </is>
      </c>
      <c r="C1682" s="11" t="inlineStr">
        <is>
          <t>2c</t>
        </is>
      </c>
      <c r="D1682" s="11" t="inlineStr">
        <is>
          <t>Clauses of purpose</t>
        </is>
      </c>
      <c r="E1682" s="35" t="inlineStr">
        <is>
          <t>Clauses of purpose: отрицательная цель — so that + can't/won't, couldn't/wouldn't</t>
        </is>
      </c>
      <c r="F1682" s="11" t="inlineStr">
        <is>
          <t>Ст-553</t>
        </is>
      </c>
      <c r="G1682" s="40" t="inlineStr">
        <is>
          <t>новое</t>
        </is>
      </c>
      <c r="H1682" s="11" t="inlineStr">
        <is>
          <t>разные действующие лица</t>
        </is>
      </c>
      <c r="I1682" s="37" t="inlineStr">
        <is>
          <t>10+</t>
        </is>
      </c>
      <c r="J1682" s="11">
        <f>IFERROR(INDEX('Уроки'!$H:$H,MATCH(F1682,'Уроки'!$A:$A,0)),"")</f>
        <v/>
      </c>
      <c r="K1682" s="11">
        <f>IFERROR(INDEX('Уроки'!$J:$J,MATCH(F1682,'Уроки'!$A:$A,0)),"")</f>
        <v/>
      </c>
      <c r="L1682" s="11" t="inlineStr">
        <is>
          <t>Spotlight / 11 класс / Module 2 · Where there's a will there's a way / Clauses of purpose / Clauses of purpose: отрицательная цель — so that + can't/won't, couldn't/wouldn't</t>
        </is>
      </c>
    </row>
    <row r="1683">
      <c r="A1683" s="37" t="n">
        <v>11</v>
      </c>
      <c r="B1683" s="11" t="inlineStr">
        <is>
          <t>Module 2 · Where there's a will there's a way</t>
        </is>
      </c>
      <c r="C1683" s="11" t="inlineStr">
        <is>
          <t>2c</t>
        </is>
      </c>
      <c r="D1683" s="11" t="inlineStr">
        <is>
          <t>Clauses of purpose</t>
        </is>
      </c>
      <c r="E1683" s="35" t="inlineStr">
        <is>
          <t>Clauses of purpose: for fear / lest; for fear of</t>
        </is>
      </c>
      <c r="F1683" s="11" t="inlineStr">
        <is>
          <t>Ст-554</t>
        </is>
      </c>
      <c r="G1683" s="40" t="inlineStr">
        <is>
          <t>новое</t>
        </is>
      </c>
      <c r="H1683" s="11" t="inlineStr">
        <is>
          <t>for fear/lest + might/should; for fear of sth/doing</t>
        </is>
      </c>
      <c r="I1683" s="37" t="inlineStr">
        <is>
          <t>10+</t>
        </is>
      </c>
      <c r="J1683" s="11">
        <f>IFERROR(INDEX('Уроки'!$H:$H,MATCH(F1683,'Уроки'!$A:$A,0)),"")</f>
        <v/>
      </c>
      <c r="K1683" s="11">
        <f>IFERROR(INDEX('Уроки'!$J:$J,MATCH(F1683,'Уроки'!$A:$A,0)),"")</f>
        <v/>
      </c>
      <c r="L1683" s="11" t="inlineStr">
        <is>
          <t>Spotlight / 11 класс / Module 2 · Where there's a will there's a way / Clauses of purpose / Clauses of purpose: for fear / lest; for fear of</t>
        </is>
      </c>
    </row>
    <row r="1684">
      <c r="A1684" s="37" t="n">
        <v>11</v>
      </c>
      <c r="B1684" s="11" t="inlineStr">
        <is>
          <t>Module 2 · Where there's a will there's a way</t>
        </is>
      </c>
      <c r="C1684" s="11" t="inlineStr">
        <is>
          <t>2c</t>
        </is>
      </c>
      <c r="D1684" s="11" t="inlineStr">
        <is>
          <t>Clauses of purpose</t>
        </is>
      </c>
      <c r="E1684" s="35" t="inlineStr">
        <is>
          <t>Clauses of purpose: prevent … (from) + -ing / avoid + -ing</t>
        </is>
      </c>
      <c r="F1684" s="11" t="inlineStr">
        <is>
          <t>Ст-555</t>
        </is>
      </c>
      <c r="G1684" s="40" t="inlineStr">
        <is>
          <t>новое</t>
        </is>
      </c>
      <c r="H1684" s="11" t="inlineStr">
        <is>
          <t>prevent + noun/pronoun (+ from) + -ing; avoid + -ing</t>
        </is>
      </c>
      <c r="I1684" s="37" t="inlineStr">
        <is>
          <t>10+</t>
        </is>
      </c>
      <c r="J1684" s="11">
        <f>IFERROR(INDEX('Уроки'!$H:$H,MATCH(F1684,'Уроки'!$A:$A,0)),"")</f>
        <v/>
      </c>
      <c r="K1684" s="11">
        <f>IFERROR(INDEX('Уроки'!$J:$J,MATCH(F1684,'Уроки'!$A:$A,0)),"")</f>
        <v/>
      </c>
      <c r="L1684" s="11" t="inlineStr">
        <is>
          <t>Spotlight / 11 класс / Module 2 · Where there's a will there's a way / Clauses of purpose / Clauses of purpose: prevent … (from) + -ing / avoid + -ing</t>
        </is>
      </c>
    </row>
    <row r="1685">
      <c r="A1685" s="37" t="n">
        <v>11</v>
      </c>
      <c r="B1685" s="11" t="inlineStr">
        <is>
          <t>Module 2 · Where there's a will there's a way</t>
        </is>
      </c>
      <c r="C1685" s="11" t="inlineStr">
        <is>
          <t>2c</t>
        </is>
      </c>
      <c r="D1685" s="11" t="inlineStr">
        <is>
          <t>Clauses of result</t>
        </is>
      </c>
      <c r="E1685" s="35" t="inlineStr">
        <is>
          <t>Clauses of result: such … that</t>
        </is>
      </c>
      <c r="F1685" s="11" t="inlineStr">
        <is>
          <t>Ст-556</t>
        </is>
      </c>
      <c r="G1685" s="37" t="inlineStr">
        <is>
          <t>повторение</t>
        </is>
      </c>
      <c r="H1685" s="11" t="inlineStr"/>
      <c r="I1685" s="37" t="inlineStr">
        <is>
          <t>10+</t>
        </is>
      </c>
      <c r="J1685" s="11">
        <f>IFERROR(INDEX('Уроки'!$H:$H,MATCH(F1685,'Уроки'!$A:$A,0)),"")</f>
        <v/>
      </c>
      <c r="K1685" s="11">
        <f>IFERROR(INDEX('Уроки'!$J:$J,MATCH(F1685,'Уроки'!$A:$A,0)),"")</f>
        <v/>
      </c>
      <c r="L1685" s="11" t="inlineStr">
        <is>
          <t>Spotlight / 11 класс / Module 2 · Where there's a will there's a way / Clauses of result / Clauses of result: such … that</t>
        </is>
      </c>
    </row>
    <row r="1686">
      <c r="A1686" s="37" t="n">
        <v>11</v>
      </c>
      <c r="B1686" s="11" t="inlineStr">
        <is>
          <t>Module 2 · Where there's a will there's a way</t>
        </is>
      </c>
      <c r="C1686" s="11" t="inlineStr">
        <is>
          <t>2c</t>
        </is>
      </c>
      <c r="D1686" s="11" t="inlineStr">
        <is>
          <t>Clauses of result</t>
        </is>
      </c>
      <c r="E1686" s="35" t="inlineStr">
        <is>
          <t>Clauses of result: so … that</t>
        </is>
      </c>
      <c r="F1686" s="11" t="inlineStr">
        <is>
          <t>Ст-557</t>
        </is>
      </c>
      <c r="G1686" s="37" t="inlineStr">
        <is>
          <t>повторение</t>
        </is>
      </c>
      <c r="H1686" s="11" t="inlineStr"/>
      <c r="I1686" s="37" t="inlineStr">
        <is>
          <t>10+</t>
        </is>
      </c>
      <c r="J1686" s="11">
        <f>IFERROR(INDEX('Уроки'!$H:$H,MATCH(F1686,'Уроки'!$A:$A,0)),"")</f>
        <v/>
      </c>
      <c r="K1686" s="11">
        <f>IFERROR(INDEX('Уроки'!$J:$J,MATCH(F1686,'Уроки'!$A:$A,0)),"")</f>
        <v/>
      </c>
      <c r="L1686" s="11" t="inlineStr">
        <is>
          <t>Spotlight / 11 класс / Module 2 · Where there's a will there's a way / Clauses of result / Clauses of result: so … that</t>
        </is>
      </c>
    </row>
    <row r="1687">
      <c r="A1687" s="37" t="n">
        <v>11</v>
      </c>
      <c r="B1687" s="11" t="inlineStr">
        <is>
          <t>Module 2 · Where there's a will there's a way</t>
        </is>
      </c>
      <c r="C1687" s="11" t="inlineStr">
        <is>
          <t>2c</t>
        </is>
      </c>
      <c r="D1687" s="11" t="inlineStr">
        <is>
          <t>Clauses of result</t>
        </is>
      </c>
      <c r="E1687" s="35" t="inlineStr">
        <is>
          <t>Clauses of result: as a result / as a consequence / consequently / therefore / so</t>
        </is>
      </c>
      <c r="F1687" s="11" t="inlineStr">
        <is>
          <t>Ст-558</t>
        </is>
      </c>
      <c r="G1687" s="37" t="inlineStr">
        <is>
          <t>повторение</t>
        </is>
      </c>
      <c r="H1687" s="11" t="inlineStr"/>
      <c r="I1687" s="37" t="inlineStr">
        <is>
          <t>10+</t>
        </is>
      </c>
      <c r="J1687" s="11">
        <f>IFERROR(INDEX('Уроки'!$H:$H,MATCH(F1687,'Уроки'!$A:$A,0)),"")</f>
        <v/>
      </c>
      <c r="K1687" s="11">
        <f>IFERROR(INDEX('Уроки'!$J:$J,MATCH(F1687,'Уроки'!$A:$A,0)),"")</f>
        <v/>
      </c>
      <c r="L1687" s="11" t="inlineStr">
        <is>
          <t>Spotlight / 11 класс / Module 2 · Where there's a will there's a way / Clauses of result / Clauses of result: as a result / as a consequence / consequently / therefore / so</t>
        </is>
      </c>
    </row>
    <row r="1688">
      <c r="A1688" s="37" t="n">
        <v>11</v>
      </c>
      <c r="B1688" s="11" t="inlineStr">
        <is>
          <t>Module 2 · Where there's a will there's a way</t>
        </is>
      </c>
      <c r="C1688" s="11" t="inlineStr">
        <is>
          <t>2c</t>
        </is>
      </c>
      <c r="D1688" s="11" t="inlineStr">
        <is>
          <t>Clauses of reason</t>
        </is>
      </c>
      <c r="E1688" s="35" t="inlineStr">
        <is>
          <t>Clauses of reason: as / because / for / on the grounds that</t>
        </is>
      </c>
      <c r="F1688" s="11" t="inlineStr">
        <is>
          <t>Ст-576</t>
        </is>
      </c>
      <c r="G1688" s="40" t="inlineStr">
        <is>
          <t>новое</t>
        </is>
      </c>
      <c r="H1688" s="11" t="inlineStr">
        <is>
          <t>because отвечает на why; for — после запятой, очень формально</t>
        </is>
      </c>
      <c r="I1688" s="37" t="inlineStr">
        <is>
          <t>10+</t>
        </is>
      </c>
      <c r="J1688" s="11">
        <f>IFERROR(INDEX('Уроки'!$H:$H,MATCH(F1688,'Уроки'!$A:$A,0)),"")</f>
        <v/>
      </c>
      <c r="K1688" s="11">
        <f>IFERROR(INDEX('Уроки'!$J:$J,MATCH(F1688,'Уроки'!$A:$A,0)),"")</f>
        <v/>
      </c>
      <c r="L1688" s="11" t="inlineStr">
        <is>
          <t>Spotlight / 11 класс / Module 2 · Where there's a will there's a way / Clauses of reason / Clauses of reason: as / because / for / on the grounds that</t>
        </is>
      </c>
    </row>
    <row r="1689">
      <c r="A1689" s="37" t="n">
        <v>11</v>
      </c>
      <c r="B1689" s="11" t="inlineStr">
        <is>
          <t>Module 2 · Where there's a will there's a way</t>
        </is>
      </c>
      <c r="C1689" s="11" t="inlineStr">
        <is>
          <t>2c</t>
        </is>
      </c>
      <c r="D1689" s="11" t="inlineStr">
        <is>
          <t>Clauses of reason</t>
        </is>
      </c>
      <c r="E1689" s="35" t="inlineStr">
        <is>
          <t>Clauses of reason: the reason for / the reason (why)</t>
        </is>
      </c>
      <c r="F1689" s="11" t="inlineStr">
        <is>
          <t>Ст-577</t>
        </is>
      </c>
      <c r="G1689" s="40" t="inlineStr">
        <is>
          <t>новое</t>
        </is>
      </c>
      <c r="H1689" s="11" t="inlineStr">
        <is>
          <t>the reason for, the reason (why)</t>
        </is>
      </c>
      <c r="I1689" s="37" t="inlineStr">
        <is>
          <t>10+</t>
        </is>
      </c>
      <c r="J1689" s="11">
        <f>IFERROR(INDEX('Уроки'!$H:$H,MATCH(F1689,'Уроки'!$A:$A,0)),"")</f>
        <v/>
      </c>
      <c r="K1689" s="11">
        <f>IFERROR(INDEX('Уроки'!$J:$J,MATCH(F1689,'Уроки'!$A:$A,0)),"")</f>
        <v/>
      </c>
      <c r="L1689" s="11" t="inlineStr">
        <is>
          <t>Spotlight / 11 класс / Module 2 · Where there's a will there's a way / Clauses of reason / Clauses of reason: the reason for / the reason (why)</t>
        </is>
      </c>
    </row>
    <row r="1690">
      <c r="A1690" s="37" t="n">
        <v>11</v>
      </c>
      <c r="B1690" s="11" t="inlineStr">
        <is>
          <t>Module 2 · Where there's a will there's a way</t>
        </is>
      </c>
      <c r="C1690" s="11" t="inlineStr">
        <is>
          <t>2c</t>
        </is>
      </c>
      <c r="D1690" s="11" t="inlineStr">
        <is>
          <t>Clauses of reason</t>
        </is>
      </c>
      <c r="E1690" s="35" t="inlineStr">
        <is>
          <t>Clauses of reason: because of / due to (+ the fact that)</t>
        </is>
      </c>
      <c r="F1690" s="11" t="inlineStr">
        <is>
          <t>Ст-578</t>
        </is>
      </c>
      <c r="G1690" s="40" t="inlineStr">
        <is>
          <t>новое</t>
        </is>
      </c>
      <c r="H1690" s="11" t="inlineStr">
        <is>
          <t>because of / due to + noun/-ing; … the fact that + clause</t>
        </is>
      </c>
      <c r="I1690" s="37" t="inlineStr">
        <is>
          <t>10+</t>
        </is>
      </c>
      <c r="J1690" s="11">
        <f>IFERROR(INDEX('Уроки'!$H:$H,MATCH(F1690,'Уроки'!$A:$A,0)),"")</f>
        <v/>
      </c>
      <c r="K1690" s="11">
        <f>IFERROR(INDEX('Уроки'!$J:$J,MATCH(F1690,'Уроки'!$A:$A,0)),"")</f>
        <v/>
      </c>
      <c r="L1690" s="11" t="inlineStr">
        <is>
          <t>Spotlight / 11 класс / Module 2 · Where there's a will there's a way / Clauses of reason / Clauses of reason: because of / due to (+ the fact that)</t>
        </is>
      </c>
    </row>
    <row r="1691">
      <c r="A1691" s="37" t="n">
        <v>11</v>
      </c>
      <c r="B1691" s="11" t="inlineStr">
        <is>
          <t>Module 2 · Where there's a will there's a way</t>
        </is>
      </c>
      <c r="C1691" s="11" t="inlineStr">
        <is>
          <t>2c</t>
        </is>
      </c>
      <c r="D1691" s="11" t="inlineStr">
        <is>
          <t>Prepositions in relative clauses</t>
        </is>
      </c>
      <c r="E1691" s="35" t="inlineStr">
        <is>
          <t>Prepositions in relative clauses: предлог + whom/which (that невозможен)</t>
        </is>
      </c>
      <c r="F1691" s="11" t="inlineStr">
        <is>
          <t>Ст-579</t>
        </is>
      </c>
      <c r="G1691" s="37" t="inlineStr">
        <is>
          <t>повторение</t>
        </is>
      </c>
      <c r="H1691" s="11" t="inlineStr">
        <is>
          <t>to whom, of which; ранее в Relative clauses 9–10 кл.</t>
        </is>
      </c>
      <c r="I1691" s="37" t="inlineStr">
        <is>
          <t>10+</t>
        </is>
      </c>
      <c r="J1691" s="11">
        <f>IFERROR(INDEX('Уроки'!$H:$H,MATCH(F1691,'Уроки'!$A:$A,0)),"")</f>
        <v/>
      </c>
      <c r="K1691" s="11">
        <f>IFERROR(INDEX('Уроки'!$J:$J,MATCH(F1691,'Уроки'!$A:$A,0)),"")</f>
        <v/>
      </c>
      <c r="L1691" s="11" t="inlineStr">
        <is>
          <t>Spotlight / 11 класс / Module 2 · Where there's a will there's a way / Prepositions in relative clauses / Prepositions in relative clauses: предлог + whom/which (that невозможен)</t>
        </is>
      </c>
    </row>
    <row r="1692">
      <c r="A1692" s="37" t="n">
        <v>11</v>
      </c>
      <c r="B1692" s="11" t="inlineStr">
        <is>
          <t>Module 2 · Where there's a will there's a way</t>
        </is>
      </c>
      <c r="C1692" s="11" t="inlineStr">
        <is>
          <t>2c</t>
        </is>
      </c>
      <c r="D1692" s="11" t="inlineStr">
        <is>
          <t>Relative adverbs</t>
        </is>
      </c>
      <c r="E1692" s="35" t="inlineStr">
        <is>
          <t>Relative adverbs: when/that — время</t>
        </is>
      </c>
      <c r="F1692" s="11" t="inlineStr">
        <is>
          <t>Ст-580</t>
        </is>
      </c>
      <c r="G1692" s="37" t="inlineStr">
        <is>
          <t>повторение</t>
        </is>
      </c>
      <c r="H1692" s="11" t="inlineStr">
        <is>
          <t>That was the year (when/that)…; можно опустить; ранее в Relative clauses 7, 9, 10 кл.</t>
        </is>
      </c>
      <c r="I1692" s="37" t="inlineStr">
        <is>
          <t>10+</t>
        </is>
      </c>
      <c r="J1692" s="11">
        <f>IFERROR(INDEX('Уроки'!$H:$H,MATCH(F1692,'Уроки'!$A:$A,0)),"")</f>
        <v/>
      </c>
      <c r="K1692" s="11">
        <f>IFERROR(INDEX('Уроки'!$J:$J,MATCH(F1692,'Уроки'!$A:$A,0)),"")</f>
        <v/>
      </c>
      <c r="L1692" s="11" t="inlineStr">
        <is>
          <t>Spotlight / 11 класс / Module 2 · Where there's a will there's a way / Relative adverbs / Relative adverbs: when/that — время</t>
        </is>
      </c>
    </row>
    <row r="1693">
      <c r="A1693" s="37" t="n">
        <v>11</v>
      </c>
      <c r="B1693" s="11" t="inlineStr">
        <is>
          <t>Module 2 · Where there's a will there's a way</t>
        </is>
      </c>
      <c r="C1693" s="11" t="inlineStr">
        <is>
          <t>2c</t>
        </is>
      </c>
      <c r="D1693" s="11" t="inlineStr">
        <is>
          <t>Relative adverbs</t>
        </is>
      </c>
      <c r="E1693" s="34" t="inlineStr">
        <is>
          <t>Relative adverbs: where — место</t>
        </is>
      </c>
      <c r="F1693" s="11" t="inlineStr">
        <is>
          <t>Ст-581</t>
        </is>
      </c>
      <c r="G1693" s="37" t="inlineStr">
        <is>
          <t>повторение</t>
        </is>
      </c>
      <c r="H1693" s="11" t="inlineStr">
        <is>
          <t>The restaurant where…</t>
        </is>
      </c>
      <c r="I1693" s="37" t="inlineStr">
        <is>
          <t>10+</t>
        </is>
      </c>
      <c r="J1693" s="11">
        <f>IFERROR(INDEX('Уроки'!$H:$H,MATCH(F1693,'Уроки'!$A:$A,0)),"")</f>
        <v/>
      </c>
      <c r="K1693" s="11">
        <f>IFERROR(INDEX('Уроки'!$J:$J,MATCH(F1693,'Уроки'!$A:$A,0)),"")</f>
        <v/>
      </c>
      <c r="L1693" s="11" t="inlineStr">
        <is>
          <t>Spotlight / 11 класс / Module 2 · Where there's a will there's a way / Relative adverbs / Relative adverbs: where — место</t>
        </is>
      </c>
    </row>
    <row r="1694">
      <c r="A1694" s="37" t="n">
        <v>11</v>
      </c>
      <c r="B1694" s="11" t="inlineStr">
        <is>
          <t>Module 2 · Where there's a will there's a way</t>
        </is>
      </c>
      <c r="C1694" s="11" t="inlineStr">
        <is>
          <t>2c</t>
        </is>
      </c>
      <c r="D1694" s="11" t="inlineStr">
        <is>
          <t>Relative adverbs</t>
        </is>
      </c>
      <c r="E1694" s="34" t="inlineStr">
        <is>
          <t>Relative adverbs: why — причина (the reason why)</t>
        </is>
      </c>
      <c r="F1694" s="11" t="inlineStr">
        <is>
          <t>Ст-582</t>
        </is>
      </c>
      <c r="G1694" s="37" t="inlineStr">
        <is>
          <t>повторение</t>
        </is>
      </c>
      <c r="H1694" s="11" t="inlineStr">
        <is>
          <t>The reason (why) she was late…; можно опустить</t>
        </is>
      </c>
      <c r="I1694" s="37" t="inlineStr">
        <is>
          <t>10+</t>
        </is>
      </c>
      <c r="J1694" s="11">
        <f>IFERROR(INDEX('Уроки'!$H:$H,MATCH(F1694,'Уроки'!$A:$A,0)),"")</f>
        <v/>
      </c>
      <c r="K1694" s="11">
        <f>IFERROR(INDEX('Уроки'!$J:$J,MATCH(F1694,'Уроки'!$A:$A,0)),"")</f>
        <v/>
      </c>
      <c r="L1694" s="11" t="inlineStr">
        <is>
          <t>Spotlight / 11 класс / Module 2 · Where there's a will there's a way / Relative adverbs / Relative adverbs: why — причина (the reason why)</t>
        </is>
      </c>
    </row>
    <row r="1695">
      <c r="A1695" s="37" t="n">
        <v>11</v>
      </c>
      <c r="B1695" s="11" t="inlineStr">
        <is>
          <t>Module 2 · Where there's a will there's a way</t>
        </is>
      </c>
      <c r="C1695" s="11" t="inlineStr">
        <is>
          <t>2c</t>
        </is>
      </c>
      <c r="D1695" s="11" t="inlineStr">
        <is>
          <t>Phrasal verbs</t>
        </is>
      </c>
      <c r="E1695" s="35" t="inlineStr">
        <is>
          <t>Phrasal verbs: put</t>
        </is>
      </c>
      <c r="F1695" s="11" t="inlineStr">
        <is>
          <t>Ст-590</t>
        </is>
      </c>
      <c r="G1695" s="37" t="inlineStr">
        <is>
          <t>повторение</t>
        </is>
      </c>
      <c r="H1695" s="11" t="inlineStr">
        <is>
          <t>put + частицы (English in Use 2c); конкретные частицы в доступных страницах не даны.</t>
        </is>
      </c>
      <c r="I1695" s="37" t="inlineStr">
        <is>
          <t>10+</t>
        </is>
      </c>
      <c r="J1695" s="11">
        <f>IFERROR(INDEX('Уроки'!$H:$H,MATCH(F1695,'Уроки'!$A:$A,0)),"")</f>
        <v/>
      </c>
      <c r="K1695" s="11">
        <f>IFERROR(INDEX('Уроки'!$J:$J,MATCH(F1695,'Уроки'!$A:$A,0)),"")</f>
        <v/>
      </c>
      <c r="L1695" s="11" t="inlineStr">
        <is>
          <t>Spotlight / 11 класс / Module 2 · Where there's a will there's a way / Phrasal verbs / Phrasal verbs: put</t>
        </is>
      </c>
    </row>
    <row r="1696">
      <c r="A1696" s="37" t="n">
        <v>11</v>
      </c>
      <c r="B1696" s="11" t="inlineStr">
        <is>
          <t>Module 2 · Where there's a will there's a way</t>
        </is>
      </c>
      <c r="C1696" s="11" t="inlineStr">
        <is>
          <t>2c</t>
        </is>
      </c>
      <c r="D1696" s="11" t="inlineStr">
        <is>
          <t>Dependent prepositions</t>
        </is>
      </c>
      <c r="E1696" s="35" t="inlineStr">
        <is>
          <t>Dependent prepositions</t>
        </is>
      </c>
      <c r="F1696" s="11" t="inlineStr">
        <is>
          <t>Ст-633</t>
        </is>
      </c>
      <c r="G1696" s="37" t="inlineStr">
        <is>
          <t>повторение</t>
        </is>
      </c>
      <c r="H1696" s="11" t="inlineStr">
        <is>
          <t>Dependent prepositions (English in Use 2c); конкретные сочетания в доступных страницах не даны.</t>
        </is>
      </c>
      <c r="I1696" s="37" t="inlineStr">
        <is>
          <t>10+</t>
        </is>
      </c>
      <c r="J1696" s="11">
        <f>IFERROR(INDEX('Уроки'!$H:$H,MATCH(F1696,'Уроки'!$A:$A,0)),"")</f>
        <v/>
      </c>
      <c r="K1696" s="11">
        <f>IFERROR(INDEX('Уроки'!$J:$J,MATCH(F1696,'Уроки'!$A:$A,0)),"")</f>
        <v/>
      </c>
      <c r="L1696" s="11" t="inlineStr">
        <is>
          <t>Spotlight / 11 класс / Module 2 · Where there's a will there's a way / Dependent prepositions / Dependent prepositions</t>
        </is>
      </c>
    </row>
    <row r="1697">
      <c r="A1697" s="37" t="n">
        <v>11</v>
      </c>
      <c r="B1697" s="11" t="inlineStr">
        <is>
          <t>Module 2 · Where there's a will there's a way</t>
        </is>
      </c>
      <c r="C1697" s="11" t="inlineStr">
        <is>
          <t>2b</t>
        </is>
      </c>
      <c r="D1697" s="11" t="inlineStr">
        <is>
          <t>Idioms &amp; collocations</t>
        </is>
      </c>
      <c r="E1697" s="33" t="inlineStr">
        <is>
          <t>Idioms &amp; collocations</t>
        </is>
      </c>
      <c r="F1697" s="11" t="inlineStr">
        <is>
          <t>Ст-634</t>
        </is>
      </c>
      <c r="G1697" s="37" t="inlineStr">
        <is>
          <t>повторение</t>
        </is>
      </c>
      <c r="H1697" s="11" t="inlineStr">
        <is>
          <t>Idioms with numbers (2b).</t>
        </is>
      </c>
      <c r="I1697" s="37" t="inlineStr">
        <is>
          <t>10+</t>
        </is>
      </c>
      <c r="J1697" s="11">
        <f>IFERROR(INDEX('Уроки'!$H:$H,MATCH(F1697,'Уроки'!$A:$A,0)),"")</f>
        <v/>
      </c>
      <c r="K1697" s="11">
        <f>IFERROR(INDEX('Уроки'!$J:$J,MATCH(F1697,'Уроки'!$A:$A,0)),"")</f>
        <v/>
      </c>
      <c r="L1697" s="11" t="inlineStr">
        <is>
          <t>Spotlight / 11 класс / Module 2 · Where there's a will there's a way / Idioms &amp; collocations / Idioms &amp; collocations</t>
        </is>
      </c>
    </row>
    <row r="1698">
      <c r="A1698" s="37" t="n">
        <v>11</v>
      </c>
      <c r="B1698" s="11" t="inlineStr">
        <is>
          <t>Module 3 · Responsibility</t>
        </is>
      </c>
      <c r="C1698" s="11" t="inlineStr">
        <is>
          <t>3c</t>
        </is>
      </c>
      <c r="D1698" s="11" t="inlineStr">
        <is>
          <t>Infinitive / -ing form</t>
        </is>
      </c>
      <c r="E1698" s="35" t="inlineStr">
        <is>
          <t>-ing form: в роли подлежащего</t>
        </is>
      </c>
      <c r="F1698" s="11" t="inlineStr">
        <is>
          <t>Ст-237</t>
        </is>
      </c>
      <c r="G1698" s="37" t="inlineStr">
        <is>
          <t>повторение</t>
        </is>
      </c>
      <c r="H1698" s="11" t="inlineStr"/>
      <c r="I1698" s="37" t="inlineStr">
        <is>
          <t>10+</t>
        </is>
      </c>
      <c r="J1698" s="11">
        <f>IFERROR(INDEX('Уроки'!$H:$H,MATCH(F1698,'Уроки'!$A:$A,0)),"")</f>
        <v/>
      </c>
      <c r="K1698" s="11">
        <f>IFERROR(INDEX('Уроки'!$J:$J,MATCH(F1698,'Уроки'!$A:$A,0)),"")</f>
        <v/>
      </c>
      <c r="L1698" s="11" t="inlineStr">
        <is>
          <t>Spotlight / 11 класс / Module 3 · Responsibility / Infinitive / -ing form / -ing form: в роли подлежащего</t>
        </is>
      </c>
    </row>
    <row r="1699">
      <c r="A1699" s="37" t="n">
        <v>11</v>
      </c>
      <c r="B1699" s="11" t="inlineStr">
        <is>
          <t>Module 3 · Responsibility</t>
        </is>
      </c>
      <c r="C1699" s="11" t="inlineStr">
        <is>
          <t>3c</t>
        </is>
      </c>
      <c r="D1699" s="11" t="inlineStr">
        <is>
          <t>Infinitive / -ing form</t>
        </is>
      </c>
      <c r="E1699" s="33" t="inlineStr">
        <is>
          <t>-ing form: после глаголов admit, avoid, consider, deny, fancy, go, imagine, mind, miss, practise, suggest…</t>
        </is>
      </c>
      <c r="F1699" s="11" t="inlineStr">
        <is>
          <t>Ст-238</t>
        </is>
      </c>
      <c r="G1699" s="37" t="inlineStr">
        <is>
          <t>повторение</t>
        </is>
      </c>
      <c r="H1699" s="11" t="inlineStr"/>
      <c r="I1699" s="37" t="inlineStr">
        <is>
          <t>10+</t>
        </is>
      </c>
      <c r="J1699" s="11">
        <f>IFERROR(INDEX('Уроки'!$H:$H,MATCH(F1699,'Уроки'!$A:$A,0)),"")</f>
        <v/>
      </c>
      <c r="K1699" s="11">
        <f>IFERROR(INDEX('Уроки'!$J:$J,MATCH(F1699,'Уроки'!$A:$A,0)),"")</f>
        <v/>
      </c>
      <c r="L1699" s="11" t="inlineStr">
        <is>
          <t>Spotlight / 11 класс / Module 3 · Responsibility / Infinitive / -ing form / -ing form: после глаголов admit, avoid, consider, deny, fancy, go, imagine, mind, miss, practise, suggest…</t>
        </is>
      </c>
    </row>
    <row r="1700">
      <c r="A1700" s="37" t="n">
        <v>11</v>
      </c>
      <c r="B1700" s="11" t="inlineStr">
        <is>
          <t>Module 3 · Responsibility</t>
        </is>
      </c>
      <c r="C1700" s="11" t="inlineStr">
        <is>
          <t>3c</t>
        </is>
      </c>
      <c r="D1700" s="11" t="inlineStr">
        <is>
          <t>Infinitive / -ing form</t>
        </is>
      </c>
      <c r="E1700" s="33" t="inlineStr">
        <is>
          <t>-ing form: после like, love, enjoy, prefer, dislike, hate — общее предпочтение</t>
        </is>
      </c>
      <c r="F1700" s="11" t="inlineStr">
        <is>
          <t>Ст-239</t>
        </is>
      </c>
      <c r="G1700" s="37" t="inlineStr">
        <is>
          <t>повторение</t>
        </is>
      </c>
      <c r="H1700" s="11" t="inlineStr"/>
      <c r="I1700" s="37" t="inlineStr">
        <is>
          <t>10+</t>
        </is>
      </c>
      <c r="J1700" s="11">
        <f>IFERROR(INDEX('Уроки'!$H:$H,MATCH(F1700,'Уроки'!$A:$A,0)),"")</f>
        <v/>
      </c>
      <c r="K1700" s="11">
        <f>IFERROR(INDEX('Уроки'!$J:$J,MATCH(F1700,'Уроки'!$A:$A,0)),"")</f>
        <v/>
      </c>
      <c r="L1700" s="11" t="inlineStr">
        <is>
          <t>Spotlight / 11 класс / Module 3 · Responsibility / Infinitive / -ing form / -ing form: после like, love, enjoy, prefer, dislike, hate — общее предпочтение</t>
        </is>
      </c>
    </row>
    <row r="1701">
      <c r="A1701" s="37" t="n">
        <v>11</v>
      </c>
      <c r="B1701" s="11" t="inlineStr">
        <is>
          <t>Module 3 · Responsibility</t>
        </is>
      </c>
      <c r="C1701" s="11" t="inlineStr">
        <is>
          <t>3c</t>
        </is>
      </c>
      <c r="D1701" s="11" t="inlineStr">
        <is>
          <t>Infinitive / -ing form</t>
        </is>
      </c>
      <c r="E1701" s="33" t="inlineStr">
        <is>
          <t>-ing form: после выражений it's no use, it's (not) worth, can't help, there's no point…</t>
        </is>
      </c>
      <c r="F1701" s="11" t="inlineStr">
        <is>
          <t>Ст-240</t>
        </is>
      </c>
      <c r="G1701" s="37" t="inlineStr">
        <is>
          <t>повторение</t>
        </is>
      </c>
      <c r="H1701" s="11" t="inlineStr"/>
      <c r="I1701" s="37" t="inlineStr">
        <is>
          <t>10+</t>
        </is>
      </c>
      <c r="J1701" s="11">
        <f>IFERROR(INDEX('Уроки'!$H:$H,MATCH(F1701,'Уроки'!$A:$A,0)),"")</f>
        <v/>
      </c>
      <c r="K1701" s="11">
        <f>IFERROR(INDEX('Уроки'!$J:$J,MATCH(F1701,'Уроки'!$A:$A,0)),"")</f>
        <v/>
      </c>
      <c r="L1701" s="11" t="inlineStr">
        <is>
          <t>Spotlight / 11 класс / Module 3 · Responsibility / Infinitive / -ing form / -ing form: после выражений it's no use, it's (not) worth, can't help, there's no point…</t>
        </is>
      </c>
    </row>
    <row r="1702">
      <c r="A1702" s="37" t="n">
        <v>11</v>
      </c>
      <c r="B1702" s="11" t="inlineStr">
        <is>
          <t>Module 3 · Responsibility</t>
        </is>
      </c>
      <c r="C1702" s="11" t="inlineStr">
        <is>
          <t>3c</t>
        </is>
      </c>
      <c r="D1702" s="11" t="inlineStr">
        <is>
          <t>Infinitive / -ing form</t>
        </is>
      </c>
      <c r="E1702" s="35" t="inlineStr">
        <is>
          <t>-ing form: после spend/waste/lose + время/деньги</t>
        </is>
      </c>
      <c r="F1702" s="11" t="inlineStr">
        <is>
          <t>Ст-241</t>
        </is>
      </c>
      <c r="G1702" s="37" t="inlineStr">
        <is>
          <t>повторение</t>
        </is>
      </c>
      <c r="H1702" s="11" t="inlineStr"/>
      <c r="I1702" s="37" t="inlineStr">
        <is>
          <t>10+</t>
        </is>
      </c>
      <c r="J1702" s="11">
        <f>IFERROR(INDEX('Уроки'!$H:$H,MATCH(F1702,'Уроки'!$A:$A,0)),"")</f>
        <v/>
      </c>
      <c r="K1702" s="11">
        <f>IFERROR(INDEX('Уроки'!$J:$J,MATCH(F1702,'Уроки'!$A:$A,0)),"")</f>
        <v/>
      </c>
      <c r="L1702" s="11" t="inlineStr">
        <is>
          <t>Spotlight / 11 класс / Module 3 · Responsibility / Infinitive / -ing form / -ing form: после spend/waste/lose + время/деньги</t>
        </is>
      </c>
    </row>
    <row r="1703">
      <c r="A1703" s="37" t="n">
        <v>11</v>
      </c>
      <c r="B1703" s="11" t="inlineStr">
        <is>
          <t>Module 3 · Responsibility</t>
        </is>
      </c>
      <c r="C1703" s="11" t="inlineStr">
        <is>
          <t>3c</t>
        </is>
      </c>
      <c r="D1703" s="11" t="inlineStr">
        <is>
          <t>Infinitive / -ing form</t>
        </is>
      </c>
      <c r="E1703" s="33" t="inlineStr">
        <is>
          <t>-ing form: после предлогов (look forward to, be used to, object to…)</t>
        </is>
      </c>
      <c r="F1703" s="11" t="inlineStr">
        <is>
          <t>Ст-242</t>
        </is>
      </c>
      <c r="G1703" s="37" t="inlineStr">
        <is>
          <t>повторение</t>
        </is>
      </c>
      <c r="H1703" s="11" t="inlineStr"/>
      <c r="I1703" s="37" t="inlineStr">
        <is>
          <t>10+</t>
        </is>
      </c>
      <c r="J1703" s="11">
        <f>IFERROR(INDEX('Уроки'!$H:$H,MATCH(F1703,'Уроки'!$A:$A,0)),"")</f>
        <v/>
      </c>
      <c r="K1703" s="11">
        <f>IFERROR(INDEX('Уроки'!$J:$J,MATCH(F1703,'Уроки'!$A:$A,0)),"")</f>
        <v/>
      </c>
      <c r="L1703" s="11" t="inlineStr">
        <is>
          <t>Spotlight / 11 класс / Module 3 · Responsibility / Infinitive / -ing form / -ing form: после предлогов (look forward to, be used to, object to…)</t>
        </is>
      </c>
    </row>
    <row r="1704">
      <c r="A1704" s="37" t="n">
        <v>11</v>
      </c>
      <c r="B1704" s="11" t="inlineStr">
        <is>
          <t>Module 3 · Responsibility</t>
        </is>
      </c>
      <c r="C1704" s="11" t="inlineStr">
        <is>
          <t>3c</t>
        </is>
      </c>
      <c r="D1704" s="11" t="inlineStr">
        <is>
          <t>Infinitive / -ing form</t>
        </is>
      </c>
      <c r="E1704" s="35" t="inlineStr">
        <is>
          <t>-ing vs bare infinitive после see, hear, watch, feel — незавершённое vs завершённое</t>
        </is>
      </c>
      <c r="F1704" s="11" t="inlineStr">
        <is>
          <t>Ст-243</t>
        </is>
      </c>
      <c r="G1704" s="37" t="inlineStr">
        <is>
          <t>повторение</t>
        </is>
      </c>
      <c r="H1704" s="11" t="inlineStr"/>
      <c r="I1704" s="37" t="inlineStr">
        <is>
          <t>10+</t>
        </is>
      </c>
      <c r="J1704" s="11">
        <f>IFERROR(INDEX('Уроки'!$H:$H,MATCH(F1704,'Уроки'!$A:$A,0)),"")</f>
        <v/>
      </c>
      <c r="K1704" s="11">
        <f>IFERROR(INDEX('Уроки'!$J:$J,MATCH(F1704,'Уроки'!$A:$A,0)),"")</f>
        <v/>
      </c>
      <c r="L1704" s="11" t="inlineStr">
        <is>
          <t>Spotlight / 11 класс / Module 3 · Responsibility / Infinitive / -ing form / -ing vs bare infinitive после see, hear, watch, feel — незавершённое vs завершённое</t>
        </is>
      </c>
    </row>
    <row r="1705">
      <c r="A1705" s="37" t="n">
        <v>11</v>
      </c>
      <c r="B1705" s="11" t="inlineStr">
        <is>
          <t>Module 3 · Responsibility</t>
        </is>
      </c>
      <c r="C1705" s="11" t="inlineStr">
        <is>
          <t>3c</t>
        </is>
      </c>
      <c r="D1705" s="11" t="inlineStr">
        <is>
          <t>Infinitive / -ing form</t>
        </is>
      </c>
      <c r="E1705" s="35" t="inlineStr">
        <is>
          <t>-ing form: be/get used to + -ing vs used to + V</t>
        </is>
      </c>
      <c r="F1705" s="11" t="inlineStr">
        <is>
          <t>Ст-244</t>
        </is>
      </c>
      <c r="G1705" s="37" t="inlineStr">
        <is>
          <t>повторение</t>
        </is>
      </c>
      <c r="H1705" s="11" t="inlineStr"/>
      <c r="I1705" s="37" t="inlineStr">
        <is>
          <t>10+</t>
        </is>
      </c>
      <c r="J1705" s="11">
        <f>IFERROR(INDEX('Уроки'!$H:$H,MATCH(F1705,'Уроки'!$A:$A,0)),"")</f>
        <v/>
      </c>
      <c r="K1705" s="11">
        <f>IFERROR(INDEX('Уроки'!$J:$J,MATCH(F1705,'Уроки'!$A:$A,0)),"")</f>
        <v/>
      </c>
      <c r="L1705" s="11" t="inlineStr">
        <is>
          <t>Spotlight / 11 класс / Module 3 · Responsibility / Infinitive / -ing form / -ing form: be/get used to + -ing vs used to + V</t>
        </is>
      </c>
    </row>
    <row r="1706">
      <c r="A1706" s="37" t="n">
        <v>11</v>
      </c>
      <c r="B1706" s="11" t="inlineStr">
        <is>
          <t>Module 3 · Responsibility</t>
        </is>
      </c>
      <c r="C1706" s="11" t="inlineStr">
        <is>
          <t>3c</t>
        </is>
      </c>
      <c r="D1706" s="11" t="inlineStr">
        <is>
          <t>Infinitive / -ing form</t>
        </is>
      </c>
      <c r="E1706" s="33" t="inlineStr">
        <is>
          <t>to-infinitive: цель</t>
        </is>
      </c>
      <c r="F1706" s="11" t="inlineStr">
        <is>
          <t>Ст-245</t>
        </is>
      </c>
      <c r="G1706" s="37" t="inlineStr">
        <is>
          <t>повторение</t>
        </is>
      </c>
      <c r="H1706" s="11" t="inlineStr"/>
      <c r="I1706" s="37" t="inlineStr">
        <is>
          <t>10+</t>
        </is>
      </c>
      <c r="J1706" s="11">
        <f>IFERROR(INDEX('Уроки'!$H:$H,MATCH(F1706,'Уроки'!$A:$A,0)),"")</f>
        <v/>
      </c>
      <c r="K1706" s="11">
        <f>IFERROR(INDEX('Уроки'!$J:$J,MATCH(F1706,'Уроки'!$A:$A,0)),"")</f>
        <v/>
      </c>
      <c r="L1706" s="11" t="inlineStr">
        <is>
          <t>Spotlight / 11 класс / Module 3 · Responsibility / Infinitive / -ing form / to-infinitive: цель</t>
        </is>
      </c>
    </row>
    <row r="1707">
      <c r="A1707" s="37" t="n">
        <v>11</v>
      </c>
      <c r="B1707" s="11" t="inlineStr">
        <is>
          <t>Module 3 · Responsibility</t>
        </is>
      </c>
      <c r="C1707" s="11" t="inlineStr">
        <is>
          <t>3c</t>
        </is>
      </c>
      <c r="D1707" s="11" t="inlineStr">
        <is>
          <t>Infinitive / -ing form</t>
        </is>
      </c>
      <c r="E1707" s="33" t="inlineStr">
        <is>
          <t>to-infinitive: после agree, decide, expect, hope, plan, promise, refuse, want</t>
        </is>
      </c>
      <c r="F1707" s="11" t="inlineStr">
        <is>
          <t>Ст-246</t>
        </is>
      </c>
      <c r="G1707" s="37" t="inlineStr">
        <is>
          <t>повторение</t>
        </is>
      </c>
      <c r="H1707" s="11" t="inlineStr"/>
      <c r="I1707" s="37" t="inlineStr">
        <is>
          <t>10+</t>
        </is>
      </c>
      <c r="J1707" s="11">
        <f>IFERROR(INDEX('Уроки'!$H:$H,MATCH(F1707,'Уроки'!$A:$A,0)),"")</f>
        <v/>
      </c>
      <c r="K1707" s="11">
        <f>IFERROR(INDEX('Уроки'!$J:$J,MATCH(F1707,'Уроки'!$A:$A,0)),"")</f>
        <v/>
      </c>
      <c r="L1707" s="11" t="inlineStr">
        <is>
          <t>Spotlight / 11 класс / Module 3 · Responsibility / Infinitive / -ing form / to-infinitive: после agree, decide, expect, hope, plan, promise, refuse, want</t>
        </is>
      </c>
    </row>
    <row r="1708">
      <c r="A1708" s="37" t="n">
        <v>11</v>
      </c>
      <c r="B1708" s="11" t="inlineStr">
        <is>
          <t>Module 3 · Responsibility</t>
        </is>
      </c>
      <c r="C1708" s="11" t="inlineStr">
        <is>
          <t>3c</t>
        </is>
      </c>
      <c r="D1708" s="11" t="inlineStr">
        <is>
          <t>Infinitive / -ing form</t>
        </is>
      </c>
      <c r="E1708" s="35" t="inlineStr">
        <is>
          <t>to-infinitive: после would like/prefer/love — конкретное предпочтение</t>
        </is>
      </c>
      <c r="F1708" s="11" t="inlineStr">
        <is>
          <t>Ст-247</t>
        </is>
      </c>
      <c r="G1708" s="37" t="inlineStr">
        <is>
          <t>повторение</t>
        </is>
      </c>
      <c r="H1708" s="11" t="inlineStr"/>
      <c r="I1708" s="37" t="inlineStr">
        <is>
          <t>10+</t>
        </is>
      </c>
      <c r="J1708" s="11">
        <f>IFERROR(INDEX('Уроки'!$H:$H,MATCH(F1708,'Уроки'!$A:$A,0)),"")</f>
        <v/>
      </c>
      <c r="K1708" s="11">
        <f>IFERROR(INDEX('Уроки'!$J:$J,MATCH(F1708,'Уроки'!$A:$A,0)),"")</f>
        <v/>
      </c>
      <c r="L1708" s="11" t="inlineStr">
        <is>
          <t>Spotlight / 11 класс / Module 3 · Responsibility / Infinitive / -ing form / to-infinitive: после would like/prefer/love — конкретное предпочтение</t>
        </is>
      </c>
    </row>
    <row r="1709">
      <c r="A1709" s="37" t="n">
        <v>11</v>
      </c>
      <c r="B1709" s="11" t="inlineStr">
        <is>
          <t>Module 3 · Responsibility</t>
        </is>
      </c>
      <c r="C1709" s="11" t="inlineStr">
        <is>
          <t>3c</t>
        </is>
      </c>
      <c r="D1709" s="11" t="inlineStr">
        <is>
          <t>Infinitive / -ing form</t>
        </is>
      </c>
      <c r="E1709" s="33" t="inlineStr">
        <is>
          <t>to-infinitive: после прилагательных (happy, eager, kind, lucky…); It was kind of you to…</t>
        </is>
      </c>
      <c r="F1709" s="11" t="inlineStr">
        <is>
          <t>Ст-248</t>
        </is>
      </c>
      <c r="G1709" s="37" t="inlineStr">
        <is>
          <t>повторение</t>
        </is>
      </c>
      <c r="H1709" s="11" t="inlineStr"/>
      <c r="I1709" s="37" t="inlineStr">
        <is>
          <t>10+</t>
        </is>
      </c>
      <c r="J1709" s="11">
        <f>IFERROR(INDEX('Уроки'!$H:$H,MATCH(F1709,'Уроки'!$A:$A,0)),"")</f>
        <v/>
      </c>
      <c r="K1709" s="11">
        <f>IFERROR(INDEX('Уроки'!$J:$J,MATCH(F1709,'Уроки'!$A:$A,0)),"")</f>
        <v/>
      </c>
      <c r="L1709" s="11" t="inlineStr">
        <is>
          <t>Spotlight / 11 класс / Module 3 · Responsibility / Infinitive / -ing form / to-infinitive: после прилагательных (happy, eager, kind, lucky…); It was kind of you to…</t>
        </is>
      </c>
    </row>
    <row r="1710">
      <c r="A1710" s="37" t="n">
        <v>11</v>
      </c>
      <c r="B1710" s="11" t="inlineStr">
        <is>
          <t>Module 3 · Responsibility</t>
        </is>
      </c>
      <c r="C1710" s="11" t="inlineStr">
        <is>
          <t>3c</t>
        </is>
      </c>
      <c r="D1710" s="11" t="inlineStr">
        <is>
          <t>Infinitive / -ing form</t>
        </is>
      </c>
      <c r="E1710" s="35" t="inlineStr">
        <is>
          <t>to-infinitive: после too/enough</t>
        </is>
      </c>
      <c r="F1710" s="11" t="inlineStr">
        <is>
          <t>Ст-249</t>
        </is>
      </c>
      <c r="G1710" s="37" t="inlineStr">
        <is>
          <t>повторение</t>
        </is>
      </c>
      <c r="H1710" s="11" t="inlineStr"/>
      <c r="I1710" s="37" t="inlineStr">
        <is>
          <t>10+</t>
        </is>
      </c>
      <c r="J1710" s="11">
        <f>IFERROR(INDEX('Уроки'!$H:$H,MATCH(F1710,'Уроки'!$A:$A,0)),"")</f>
        <v/>
      </c>
      <c r="K1710" s="11">
        <f>IFERROR(INDEX('Уроки'!$J:$J,MATCH(F1710,'Уроки'!$A:$A,0)),"")</f>
        <v/>
      </c>
      <c r="L1710" s="11" t="inlineStr">
        <is>
          <t>Spotlight / 11 класс / Module 3 · Responsibility / Infinitive / -ing form / to-infinitive: после too/enough</t>
        </is>
      </c>
    </row>
    <row r="1711">
      <c r="A1711" s="37" t="n">
        <v>11</v>
      </c>
      <c r="B1711" s="11" t="inlineStr">
        <is>
          <t>Module 3 · Responsibility</t>
        </is>
      </c>
      <c r="C1711" s="11" t="inlineStr">
        <is>
          <t>3c</t>
        </is>
      </c>
      <c r="D1711" s="11" t="inlineStr">
        <is>
          <t>Infinitive / -ing form</t>
        </is>
      </c>
      <c r="E1711" s="35" t="inlineStr">
        <is>
          <t>to-infinitive: после be the first/next/last</t>
        </is>
      </c>
      <c r="F1711" s="11" t="inlineStr">
        <is>
          <t>Ст-250</t>
        </is>
      </c>
      <c r="G1711" s="37" t="inlineStr">
        <is>
          <t>повторение</t>
        </is>
      </c>
      <c r="H1711" s="11" t="inlineStr"/>
      <c r="I1711" s="37" t="inlineStr">
        <is>
          <t>10+</t>
        </is>
      </c>
      <c r="J1711" s="11">
        <f>IFERROR(INDEX('Уроки'!$H:$H,MATCH(F1711,'Уроки'!$A:$A,0)),"")</f>
        <v/>
      </c>
      <c r="K1711" s="11">
        <f>IFERROR(INDEX('Уроки'!$J:$J,MATCH(F1711,'Уроки'!$A:$A,0)),"")</f>
        <v/>
      </c>
      <c r="L1711" s="11" t="inlineStr">
        <is>
          <t>Spotlight / 11 класс / Module 3 · Responsibility / Infinitive / -ing form / to-infinitive: после be the first/next/last</t>
        </is>
      </c>
    </row>
    <row r="1712">
      <c r="A1712" s="37" t="n">
        <v>11</v>
      </c>
      <c r="B1712" s="11" t="inlineStr">
        <is>
          <t>Module 3 · Responsibility</t>
        </is>
      </c>
      <c r="C1712" s="11" t="inlineStr">
        <is>
          <t>3c</t>
        </is>
      </c>
      <c r="D1712" s="11" t="inlineStr">
        <is>
          <t>Infinitive / -ing form</t>
        </is>
      </c>
      <c r="E1712" s="35" t="inlineStr">
        <is>
          <t>to-infinitive: устойчивые выражения (to tell you the truth, to be honest, to sum up…)</t>
        </is>
      </c>
      <c r="F1712" s="11" t="inlineStr">
        <is>
          <t>Ст-251</t>
        </is>
      </c>
      <c r="G1712" s="37" t="inlineStr">
        <is>
          <t>повторение</t>
        </is>
      </c>
      <c r="H1712" s="11" t="inlineStr"/>
      <c r="I1712" s="37" t="inlineStr">
        <is>
          <t>10+</t>
        </is>
      </c>
      <c r="J1712" s="11">
        <f>IFERROR(INDEX('Уроки'!$H:$H,MATCH(F1712,'Уроки'!$A:$A,0)),"")</f>
        <v/>
      </c>
      <c r="K1712" s="11">
        <f>IFERROR(INDEX('Уроки'!$J:$J,MATCH(F1712,'Уроки'!$A:$A,0)),"")</f>
        <v/>
      </c>
      <c r="L1712" s="11" t="inlineStr">
        <is>
          <t>Spotlight / 11 класс / Module 3 · Responsibility / Infinitive / -ing form / to-infinitive: устойчивые выражения (to tell you the truth, to be honest, to sum up…)</t>
        </is>
      </c>
    </row>
    <row r="1713">
      <c r="A1713" s="37" t="n">
        <v>11</v>
      </c>
      <c r="B1713" s="11" t="inlineStr">
        <is>
          <t>Module 3 · Responsibility</t>
        </is>
      </c>
      <c r="C1713" s="11" t="inlineStr">
        <is>
          <t>3c</t>
        </is>
      </c>
      <c r="D1713" s="11" t="inlineStr">
        <is>
          <t>Infinitive / -ing form</t>
        </is>
      </c>
      <c r="E1713" s="35" t="inlineStr">
        <is>
          <t>to-infinitive: вопросительное слово + to-inf (when to go)</t>
        </is>
      </c>
      <c r="F1713" s="11" t="inlineStr">
        <is>
          <t>Ст-252</t>
        </is>
      </c>
      <c r="G1713" s="37" t="inlineStr">
        <is>
          <t>повторение</t>
        </is>
      </c>
      <c r="H1713" s="11" t="inlineStr"/>
      <c r="I1713" s="37" t="inlineStr">
        <is>
          <t>10+</t>
        </is>
      </c>
      <c r="J1713" s="11">
        <f>IFERROR(INDEX('Уроки'!$H:$H,MATCH(F1713,'Уроки'!$A:$A,0)),"")</f>
        <v/>
      </c>
      <c r="K1713" s="11">
        <f>IFERROR(INDEX('Уроки'!$J:$J,MATCH(F1713,'Уроки'!$A:$A,0)),"")</f>
        <v/>
      </c>
      <c r="L1713" s="11" t="inlineStr">
        <is>
          <t>Spotlight / 11 класс / Module 3 · Responsibility / Infinitive / -ing form / to-infinitive: вопросительное слово + to-inf (when to go)</t>
        </is>
      </c>
    </row>
    <row r="1714">
      <c r="A1714" s="37" t="n">
        <v>11</v>
      </c>
      <c r="B1714" s="11" t="inlineStr">
        <is>
          <t>Module 3 · Responsibility</t>
        </is>
      </c>
      <c r="C1714" s="11" t="inlineStr">
        <is>
          <t>3c</t>
        </is>
      </c>
      <c r="D1714" s="11" t="inlineStr">
        <is>
          <t>Infinitive / -ing form</t>
        </is>
      </c>
      <c r="E1714" s="35" t="inlineStr">
        <is>
          <t>to-infinitive: после существительных; so + adj + as to; only + to-inf; for + sb + to-inf</t>
        </is>
      </c>
      <c r="F1714" s="11" t="inlineStr">
        <is>
          <t>Ст-253</t>
        </is>
      </c>
      <c r="G1714" s="37" t="inlineStr">
        <is>
          <t>повторение</t>
        </is>
      </c>
      <c r="H1714" s="11" t="inlineStr"/>
      <c r="I1714" s="37" t="inlineStr">
        <is>
          <t>10+</t>
        </is>
      </c>
      <c r="J1714" s="11">
        <f>IFERROR(INDEX('Уроки'!$H:$H,MATCH(F1714,'Уроки'!$A:$A,0)),"")</f>
        <v/>
      </c>
      <c r="K1714" s="11">
        <f>IFERROR(INDEX('Уроки'!$J:$J,MATCH(F1714,'Уроки'!$A:$A,0)),"")</f>
        <v/>
      </c>
      <c r="L1714" s="11" t="inlineStr">
        <is>
          <t>Spotlight / 11 класс / Module 3 · Responsibility / Infinitive / -ing form / to-infinitive: после существительных; so + adj + as to; only + to-inf; for + sb + to-inf</t>
        </is>
      </c>
    </row>
    <row r="1715">
      <c r="A1715" s="37" t="n">
        <v>11</v>
      </c>
      <c r="B1715" s="11" t="inlineStr">
        <is>
          <t>Module 3 · Responsibility</t>
        </is>
      </c>
      <c r="C1715" s="11" t="inlineStr">
        <is>
          <t>3c</t>
        </is>
      </c>
      <c r="D1715" s="11" t="inlineStr">
        <is>
          <t>Infinitive / -ing form</t>
        </is>
      </c>
      <c r="E1715" s="35" t="inlineStr">
        <is>
          <t>to-infinitive: второй инфинитив после and/or без to</t>
        </is>
      </c>
      <c r="F1715" s="11" t="inlineStr">
        <is>
          <t>Ст-254</t>
        </is>
      </c>
      <c r="G1715" s="37" t="inlineStr">
        <is>
          <t>повторение</t>
        </is>
      </c>
      <c r="H1715" s="11" t="inlineStr"/>
      <c r="I1715" s="37" t="inlineStr">
        <is>
          <t>10+</t>
        </is>
      </c>
      <c r="J1715" s="11">
        <f>IFERROR(INDEX('Уроки'!$H:$H,MATCH(F1715,'Уроки'!$A:$A,0)),"")</f>
        <v/>
      </c>
      <c r="K1715" s="11">
        <f>IFERROR(INDEX('Уроки'!$J:$J,MATCH(F1715,'Уроки'!$A:$A,0)),"")</f>
        <v/>
      </c>
      <c r="L1715" s="11" t="inlineStr">
        <is>
          <t>Spotlight / 11 класс / Module 3 · Responsibility / Infinitive / -ing form / to-infinitive: второй инфинитив после and/or без to</t>
        </is>
      </c>
    </row>
    <row r="1716">
      <c r="A1716" s="37" t="n">
        <v>11</v>
      </c>
      <c r="B1716" s="11" t="inlineStr">
        <is>
          <t>Module 3 · Responsibility</t>
        </is>
      </c>
      <c r="C1716" s="11" t="inlineStr">
        <is>
          <t>3c</t>
        </is>
      </c>
      <c r="D1716" s="11" t="inlineStr">
        <is>
          <t>Infinitive / -ing form</t>
        </is>
      </c>
      <c r="E1716" s="35" t="inlineStr">
        <is>
          <t>to-infinitive: dare — с to и без</t>
        </is>
      </c>
      <c r="F1716" s="11" t="inlineStr">
        <is>
          <t>Ст-255</t>
        </is>
      </c>
      <c r="G1716" s="37" t="inlineStr">
        <is>
          <t>повторение</t>
        </is>
      </c>
      <c r="H1716" s="11" t="inlineStr"/>
      <c r="I1716" s="37" t="inlineStr">
        <is>
          <t>10+</t>
        </is>
      </c>
      <c r="J1716" s="11">
        <f>IFERROR(INDEX('Уроки'!$H:$H,MATCH(F1716,'Уроки'!$A:$A,0)),"")</f>
        <v/>
      </c>
      <c r="K1716" s="11">
        <f>IFERROR(INDEX('Уроки'!$J:$J,MATCH(F1716,'Уроки'!$A:$A,0)),"")</f>
        <v/>
      </c>
      <c r="L1716" s="11" t="inlineStr">
        <is>
          <t>Spotlight / 11 класс / Module 3 · Responsibility / Infinitive / -ing form / to-infinitive: dare — с to и без</t>
        </is>
      </c>
    </row>
    <row r="1717">
      <c r="A1717" s="37" t="n">
        <v>11</v>
      </c>
      <c r="B1717" s="11" t="inlineStr">
        <is>
          <t>Module 3 · Responsibility</t>
        </is>
      </c>
      <c r="C1717" s="11" t="inlineStr">
        <is>
          <t>3c</t>
        </is>
      </c>
      <c r="D1717" s="11" t="inlineStr">
        <is>
          <t>Infinitive / -ing form</t>
        </is>
      </c>
      <c r="E1717" s="35" t="inlineStr">
        <is>
          <t>Bare infinitive: после модальных, had better, would rather</t>
        </is>
      </c>
      <c r="F1717" s="11" t="inlineStr">
        <is>
          <t>Ст-256</t>
        </is>
      </c>
      <c r="G1717" s="37" t="inlineStr">
        <is>
          <t>повторение</t>
        </is>
      </c>
      <c r="H1717" s="11" t="inlineStr"/>
      <c r="I1717" s="37" t="inlineStr">
        <is>
          <t>10+</t>
        </is>
      </c>
      <c r="J1717" s="11">
        <f>IFERROR(INDEX('Уроки'!$H:$H,MATCH(F1717,'Уроки'!$A:$A,0)),"")</f>
        <v/>
      </c>
      <c r="K1717" s="11">
        <f>IFERROR(INDEX('Уроки'!$J:$J,MATCH(F1717,'Уроки'!$A:$A,0)),"")</f>
        <v/>
      </c>
      <c r="L1717" s="11" t="inlineStr">
        <is>
          <t>Spotlight / 11 класс / Module 3 · Responsibility / Infinitive / -ing form / Bare infinitive: после модальных, had better, would rather</t>
        </is>
      </c>
    </row>
    <row r="1718">
      <c r="A1718" s="37" t="n">
        <v>11</v>
      </c>
      <c r="B1718" s="11" t="inlineStr">
        <is>
          <t>Module 3 · Responsibility</t>
        </is>
      </c>
      <c r="C1718" s="11" t="inlineStr">
        <is>
          <t>3c</t>
        </is>
      </c>
      <c r="D1718" s="11" t="inlineStr">
        <is>
          <t>Infinitive / -ing form</t>
        </is>
      </c>
      <c r="E1718" s="35" t="inlineStr">
        <is>
          <t>Bare infinitive: let/make/see/hear/feel + object + V; в пассиве + to (was made to)</t>
        </is>
      </c>
      <c r="F1718" s="11" t="inlineStr">
        <is>
          <t>Ст-257</t>
        </is>
      </c>
      <c r="G1718" s="37" t="inlineStr">
        <is>
          <t>повторение</t>
        </is>
      </c>
      <c r="H1718" s="11" t="inlineStr"/>
      <c r="I1718" s="37" t="inlineStr">
        <is>
          <t>10+</t>
        </is>
      </c>
      <c r="J1718" s="11">
        <f>IFERROR(INDEX('Уроки'!$H:$H,MATCH(F1718,'Уроки'!$A:$A,0)),"")</f>
        <v/>
      </c>
      <c r="K1718" s="11">
        <f>IFERROR(INDEX('Уроки'!$J:$J,MATCH(F1718,'Уроки'!$A:$A,0)),"")</f>
        <v/>
      </c>
      <c r="L1718" s="11" t="inlineStr">
        <is>
          <t>Spotlight / 11 класс / Module 3 · Responsibility / Infinitive / -ing form / Bare infinitive: let/make/see/hear/feel + object + V; в пассиве + to (was made to)</t>
        </is>
      </c>
    </row>
    <row r="1719">
      <c r="A1719" s="37" t="n">
        <v>11</v>
      </c>
      <c r="B1719" s="11" t="inlineStr">
        <is>
          <t>Module 3 · Responsibility</t>
        </is>
      </c>
      <c r="C1719" s="11" t="inlineStr">
        <is>
          <t>3c</t>
        </is>
      </c>
      <c r="D1719" s="11" t="inlineStr">
        <is>
          <t>Infinitive / -ing form</t>
        </is>
      </c>
      <c r="E1719" s="35" t="inlineStr">
        <is>
          <t>Bare infinitive: help + (to) V</t>
        </is>
      </c>
      <c r="F1719" s="11" t="inlineStr">
        <is>
          <t>Ст-258</t>
        </is>
      </c>
      <c r="G1719" s="37" t="inlineStr">
        <is>
          <t>повторение</t>
        </is>
      </c>
      <c r="H1719" s="11" t="inlineStr"/>
      <c r="I1719" s="37" t="inlineStr">
        <is>
          <t>10+</t>
        </is>
      </c>
      <c r="J1719" s="11">
        <f>IFERROR(INDEX('Уроки'!$H:$H,MATCH(F1719,'Уроки'!$A:$A,0)),"")</f>
        <v/>
      </c>
      <c r="K1719" s="11">
        <f>IFERROR(INDEX('Уроки'!$J:$J,MATCH(F1719,'Уроки'!$A:$A,0)),"")</f>
        <v/>
      </c>
      <c r="L1719" s="11" t="inlineStr">
        <is>
          <t>Spotlight / 11 класс / Module 3 · Responsibility / Infinitive / -ing form / Bare infinitive: help + (to) V</t>
        </is>
      </c>
    </row>
    <row r="1720">
      <c r="A1720" s="37" t="n">
        <v>11</v>
      </c>
      <c r="B1720" s="11" t="inlineStr">
        <is>
          <t>Module 3 · Responsibility</t>
        </is>
      </c>
      <c r="C1720" s="11" t="inlineStr">
        <is>
          <t>3c</t>
        </is>
      </c>
      <c r="D1720" s="11" t="inlineStr">
        <is>
          <t>Infinitive / -ing form (difference in meaning)</t>
        </is>
      </c>
      <c r="E1720" s="35" t="inlineStr">
        <is>
          <t>Infinitive vs -ing: forget/remember</t>
        </is>
      </c>
      <c r="F1720" s="11" t="inlineStr">
        <is>
          <t>Ст-259</t>
        </is>
      </c>
      <c r="G1720" s="37" t="inlineStr">
        <is>
          <t>повторение</t>
        </is>
      </c>
      <c r="H1720" s="11" t="inlineStr"/>
      <c r="I1720" s="37" t="inlineStr">
        <is>
          <t>10+</t>
        </is>
      </c>
      <c r="J1720" s="11">
        <f>IFERROR(INDEX('Уроки'!$H:$H,MATCH(F1720,'Уроки'!$A:$A,0)),"")</f>
        <v/>
      </c>
      <c r="K1720" s="11">
        <f>IFERROR(INDEX('Уроки'!$J:$J,MATCH(F1720,'Уроки'!$A:$A,0)),"")</f>
        <v/>
      </c>
      <c r="L1720" s="11" t="inlineStr">
        <is>
          <t>Spotlight / 11 класс / Module 3 · Responsibility / Infinitive / -ing form (difference in meaning) / Infinitive vs -ing: forget/remember</t>
        </is>
      </c>
    </row>
    <row r="1721">
      <c r="A1721" s="37" t="n">
        <v>11</v>
      </c>
      <c r="B1721" s="11" t="inlineStr">
        <is>
          <t>Module 3 · Responsibility</t>
        </is>
      </c>
      <c r="C1721" s="11" t="inlineStr">
        <is>
          <t>3c</t>
        </is>
      </c>
      <c r="D1721" s="11" t="inlineStr">
        <is>
          <t>Infinitive / -ing form (difference in meaning)</t>
        </is>
      </c>
      <c r="E1721" s="35" t="inlineStr">
        <is>
          <t>Infinitive vs -ing: stop</t>
        </is>
      </c>
      <c r="F1721" s="11" t="inlineStr">
        <is>
          <t>Ст-260</t>
        </is>
      </c>
      <c r="G1721" s="37" t="inlineStr">
        <is>
          <t>повторение</t>
        </is>
      </c>
      <c r="H1721" s="11" t="inlineStr"/>
      <c r="I1721" s="37" t="inlineStr">
        <is>
          <t>10+</t>
        </is>
      </c>
      <c r="J1721" s="11">
        <f>IFERROR(INDEX('Уроки'!$H:$H,MATCH(F1721,'Уроки'!$A:$A,0)),"")</f>
        <v/>
      </c>
      <c r="K1721" s="11">
        <f>IFERROR(INDEX('Уроки'!$J:$J,MATCH(F1721,'Уроки'!$A:$A,0)),"")</f>
        <v/>
      </c>
      <c r="L1721" s="11" t="inlineStr">
        <is>
          <t>Spotlight / 11 класс / Module 3 · Responsibility / Infinitive / -ing form (difference in meaning) / Infinitive vs -ing: stop</t>
        </is>
      </c>
    </row>
    <row r="1722">
      <c r="A1722" s="37" t="n">
        <v>11</v>
      </c>
      <c r="B1722" s="11" t="inlineStr">
        <is>
          <t>Module 3 · Responsibility</t>
        </is>
      </c>
      <c r="C1722" s="11" t="inlineStr">
        <is>
          <t>3c</t>
        </is>
      </c>
      <c r="D1722" s="11" t="inlineStr">
        <is>
          <t>Infinitive / -ing form (difference in meaning)</t>
        </is>
      </c>
      <c r="E1722" s="35" t="inlineStr">
        <is>
          <t>Infinitive vs -ing: try</t>
        </is>
      </c>
      <c r="F1722" s="11" t="inlineStr">
        <is>
          <t>Ст-261</t>
        </is>
      </c>
      <c r="G1722" s="37" t="inlineStr">
        <is>
          <t>повторение</t>
        </is>
      </c>
      <c r="H1722" s="11" t="inlineStr"/>
      <c r="I1722" s="37" t="inlineStr">
        <is>
          <t>10+</t>
        </is>
      </c>
      <c r="J1722" s="11">
        <f>IFERROR(INDEX('Уроки'!$H:$H,MATCH(F1722,'Уроки'!$A:$A,0)),"")</f>
        <v/>
      </c>
      <c r="K1722" s="11">
        <f>IFERROR(INDEX('Уроки'!$J:$J,MATCH(F1722,'Уроки'!$A:$A,0)),"")</f>
        <v/>
      </c>
      <c r="L1722" s="11" t="inlineStr">
        <is>
          <t>Spotlight / 11 класс / Module 3 · Responsibility / Infinitive / -ing form (difference in meaning) / Infinitive vs -ing: try</t>
        </is>
      </c>
    </row>
    <row r="1723">
      <c r="A1723" s="37" t="n">
        <v>11</v>
      </c>
      <c r="B1723" s="11" t="inlineStr">
        <is>
          <t>Module 3 · Responsibility</t>
        </is>
      </c>
      <c r="C1723" s="11" t="inlineStr">
        <is>
          <t>3c</t>
        </is>
      </c>
      <c r="D1723" s="11" t="inlineStr">
        <is>
          <t>Infinitive / -ing form (difference in meaning)</t>
        </is>
      </c>
      <c r="E1723" s="35" t="inlineStr">
        <is>
          <t>Infinitive vs -ing: regret</t>
        </is>
      </c>
      <c r="F1723" s="11" t="inlineStr">
        <is>
          <t>Ст-262</t>
        </is>
      </c>
      <c r="G1723" s="37" t="inlineStr">
        <is>
          <t>повторение</t>
        </is>
      </c>
      <c r="H1723" s="11" t="inlineStr"/>
      <c r="I1723" s="37" t="inlineStr">
        <is>
          <t>10+</t>
        </is>
      </c>
      <c r="J1723" s="11">
        <f>IFERROR(INDEX('Уроки'!$H:$H,MATCH(F1723,'Уроки'!$A:$A,0)),"")</f>
        <v/>
      </c>
      <c r="K1723" s="11">
        <f>IFERROR(INDEX('Уроки'!$J:$J,MATCH(F1723,'Уроки'!$A:$A,0)),"")</f>
        <v/>
      </c>
      <c r="L1723" s="11" t="inlineStr">
        <is>
          <t>Spotlight / 11 класс / Module 3 · Responsibility / Infinitive / -ing form (difference in meaning) / Infinitive vs -ing: regret</t>
        </is>
      </c>
    </row>
    <row r="1724">
      <c r="A1724" s="37" t="n">
        <v>11</v>
      </c>
      <c r="B1724" s="11" t="inlineStr">
        <is>
          <t>Module 3 · Responsibility</t>
        </is>
      </c>
      <c r="C1724" s="11" t="inlineStr">
        <is>
          <t>3c</t>
        </is>
      </c>
      <c r="D1724" s="11" t="inlineStr">
        <is>
          <t>Infinitive / -ing form (difference in meaning)</t>
        </is>
      </c>
      <c r="E1724" s="35" t="inlineStr">
        <is>
          <t>Infinitive vs -ing: mean</t>
        </is>
      </c>
      <c r="F1724" s="11" t="inlineStr">
        <is>
          <t>Ст-263</t>
        </is>
      </c>
      <c r="G1724" s="37" t="inlineStr">
        <is>
          <t>повторение</t>
        </is>
      </c>
      <c r="H1724" s="11" t="inlineStr"/>
      <c r="I1724" s="37" t="inlineStr">
        <is>
          <t>10+</t>
        </is>
      </c>
      <c r="J1724" s="11">
        <f>IFERROR(INDEX('Уроки'!$H:$H,MATCH(F1724,'Уроки'!$A:$A,0)),"")</f>
        <v/>
      </c>
      <c r="K1724" s="11">
        <f>IFERROR(INDEX('Уроки'!$J:$J,MATCH(F1724,'Уроки'!$A:$A,0)),"")</f>
        <v/>
      </c>
      <c r="L1724" s="11" t="inlineStr">
        <is>
          <t>Spotlight / 11 класс / Module 3 · Responsibility / Infinitive / -ing form (difference in meaning) / Infinitive vs -ing: mean</t>
        </is>
      </c>
    </row>
    <row r="1725">
      <c r="A1725" s="37" t="n">
        <v>11</v>
      </c>
      <c r="B1725" s="11" t="inlineStr">
        <is>
          <t>Module 3 · Responsibility</t>
        </is>
      </c>
      <c r="C1725" s="11" t="inlineStr">
        <is>
          <t>3c</t>
        </is>
      </c>
      <c r="D1725" s="11" t="inlineStr">
        <is>
          <t>Infinitive / -ing form (difference in meaning)</t>
        </is>
      </c>
      <c r="E1725" s="35" t="inlineStr">
        <is>
          <t>Infinitive vs -ing: go on</t>
        </is>
      </c>
      <c r="F1725" s="11" t="inlineStr">
        <is>
          <t>Ст-264</t>
        </is>
      </c>
      <c r="G1725" s="37" t="inlineStr">
        <is>
          <t>повторение</t>
        </is>
      </c>
      <c r="H1725" s="11" t="inlineStr"/>
      <c r="I1725" s="37" t="inlineStr">
        <is>
          <t>10+</t>
        </is>
      </c>
      <c r="J1725" s="11">
        <f>IFERROR(INDEX('Уроки'!$H:$H,MATCH(F1725,'Уроки'!$A:$A,0)),"")</f>
        <v/>
      </c>
      <c r="K1725" s="11">
        <f>IFERROR(INDEX('Уроки'!$J:$J,MATCH(F1725,'Уроки'!$A:$A,0)),"")</f>
        <v/>
      </c>
      <c r="L1725" s="11" t="inlineStr">
        <is>
          <t>Spotlight / 11 класс / Module 3 · Responsibility / Infinitive / -ing form (difference in meaning) / Infinitive vs -ing: go on</t>
        </is>
      </c>
    </row>
    <row r="1726">
      <c r="A1726" s="37" t="n">
        <v>11</v>
      </c>
      <c r="B1726" s="11" t="inlineStr">
        <is>
          <t>Module 3 · Responsibility</t>
        </is>
      </c>
      <c r="C1726" s="11" t="inlineStr">
        <is>
          <t>3c</t>
        </is>
      </c>
      <c r="D1726" s="11" t="inlineStr">
        <is>
          <t>Infinitive / -ing form (difference in meaning)</t>
        </is>
      </c>
      <c r="E1726" s="35" t="inlineStr">
        <is>
          <t>Infinitive vs -ing: hate</t>
        </is>
      </c>
      <c r="F1726" s="11" t="inlineStr">
        <is>
          <t>Ст-265</t>
        </is>
      </c>
      <c r="G1726" s="37" t="inlineStr">
        <is>
          <t>повторение</t>
        </is>
      </c>
      <c r="H1726" s="11" t="inlineStr"/>
      <c r="I1726" s="37" t="inlineStr">
        <is>
          <t>10+</t>
        </is>
      </c>
      <c r="J1726" s="11">
        <f>IFERROR(INDEX('Уроки'!$H:$H,MATCH(F1726,'Уроки'!$A:$A,0)),"")</f>
        <v/>
      </c>
      <c r="K1726" s="11">
        <f>IFERROR(INDEX('Уроки'!$J:$J,MATCH(F1726,'Уроки'!$A:$A,0)),"")</f>
        <v/>
      </c>
      <c r="L1726" s="11" t="inlineStr">
        <is>
          <t>Spotlight / 11 класс / Module 3 · Responsibility / Infinitive / -ing form (difference in meaning) / Infinitive vs -ing: hate</t>
        </is>
      </c>
    </row>
    <row r="1727">
      <c r="A1727" s="37" t="n">
        <v>11</v>
      </c>
      <c r="B1727" s="11" t="inlineStr">
        <is>
          <t>Module 3 · Responsibility</t>
        </is>
      </c>
      <c r="C1727" s="11" t="inlineStr">
        <is>
          <t>3c</t>
        </is>
      </c>
      <c r="D1727" s="11" t="inlineStr">
        <is>
          <t>Infinitive / -ing form (difference in meaning)</t>
        </is>
      </c>
      <c r="E1727" s="35" t="inlineStr">
        <is>
          <t>Infinitive vs -ing: want (My car wants cleaning)</t>
        </is>
      </c>
      <c r="F1727" s="11" t="inlineStr">
        <is>
          <t>Ст-266</t>
        </is>
      </c>
      <c r="G1727" s="37" t="inlineStr">
        <is>
          <t>повторение</t>
        </is>
      </c>
      <c r="H1727" s="11" t="inlineStr"/>
      <c r="I1727" s="37" t="inlineStr">
        <is>
          <t>10+</t>
        </is>
      </c>
      <c r="J1727" s="11">
        <f>IFERROR(INDEX('Уроки'!$H:$H,MATCH(F1727,'Уроки'!$A:$A,0)),"")</f>
        <v/>
      </c>
      <c r="K1727" s="11">
        <f>IFERROR(INDEX('Уроки'!$J:$J,MATCH(F1727,'Уроки'!$A:$A,0)),"")</f>
        <v/>
      </c>
      <c r="L1727" s="11" t="inlineStr">
        <is>
          <t>Spotlight / 11 класс / Module 3 · Responsibility / Infinitive / -ing form (difference in meaning) / Infinitive vs -ing: want (My car wants cleaning)</t>
        </is>
      </c>
    </row>
    <row r="1728">
      <c r="A1728" s="37" t="n">
        <v>11</v>
      </c>
      <c r="B1728" s="11" t="inlineStr">
        <is>
          <t>Module 3 · Responsibility</t>
        </is>
      </c>
      <c r="C1728" s="11" t="inlineStr">
        <is>
          <t>3c</t>
        </is>
      </c>
      <c r="D1728" s="11" t="inlineStr">
        <is>
          <t>Infinitive / -ing form (difference in meaning)</t>
        </is>
      </c>
      <c r="E1728" s="35" t="inlineStr">
        <is>
          <t>Infinitive vs -ing: be sorry to / for -ing; be afraid to / of -ing</t>
        </is>
      </c>
      <c r="F1728" s="11" t="inlineStr">
        <is>
          <t>Ст-267</t>
        </is>
      </c>
      <c r="G1728" s="37" t="inlineStr">
        <is>
          <t>повторение</t>
        </is>
      </c>
      <c r="H1728" s="11" t="inlineStr"/>
      <c r="I1728" s="37" t="inlineStr">
        <is>
          <t>10+</t>
        </is>
      </c>
      <c r="J1728" s="11">
        <f>IFERROR(INDEX('Уроки'!$H:$H,MATCH(F1728,'Уроки'!$A:$A,0)),"")</f>
        <v/>
      </c>
      <c r="K1728" s="11">
        <f>IFERROR(INDEX('Уроки'!$J:$J,MATCH(F1728,'Уроки'!$A:$A,0)),"")</f>
        <v/>
      </c>
      <c r="L1728" s="11" t="inlineStr">
        <is>
          <t>Spotlight / 11 класс / Module 3 · Responsibility / Infinitive / -ing form (difference in meaning) / Infinitive vs -ing: be sorry to / for -ing; be afraid to / of -ing</t>
        </is>
      </c>
    </row>
    <row r="1729">
      <c r="A1729" s="37" t="n">
        <v>11</v>
      </c>
      <c r="B1729" s="11" t="inlineStr">
        <is>
          <t>Module 3 · Responsibility</t>
        </is>
      </c>
      <c r="C1729" s="11" t="inlineStr">
        <is>
          <t>3c</t>
        </is>
      </c>
      <c r="D1729" s="11" t="inlineStr">
        <is>
          <t>Infinitive / -ing form (difference in meaning)</t>
        </is>
      </c>
      <c r="E1729" s="35" t="inlineStr">
        <is>
          <t>Infinitive / -ing без смены значения: begin, start, continue, intend</t>
        </is>
      </c>
      <c r="F1729" s="11" t="inlineStr">
        <is>
          <t>Ст-268</t>
        </is>
      </c>
      <c r="G1729" s="37" t="inlineStr">
        <is>
          <t>повторение</t>
        </is>
      </c>
      <c r="H1729" s="11" t="inlineStr"/>
      <c r="I1729" s="37" t="inlineStr">
        <is>
          <t>10+</t>
        </is>
      </c>
      <c r="J1729" s="11">
        <f>IFERROR(INDEX('Уроки'!$H:$H,MATCH(F1729,'Уроки'!$A:$A,0)),"")</f>
        <v/>
      </c>
      <c r="K1729" s="11">
        <f>IFERROR(INDEX('Уроки'!$J:$J,MATCH(F1729,'Уроки'!$A:$A,0)),"")</f>
        <v/>
      </c>
      <c r="L1729" s="11" t="inlineStr">
        <is>
          <t>Spotlight / 11 класс / Module 3 · Responsibility / Infinitive / -ing form (difference in meaning) / Infinitive / -ing без смены значения: begin, start, continue, intend</t>
        </is>
      </c>
    </row>
    <row r="1730">
      <c r="A1730" s="37" t="n">
        <v>11</v>
      </c>
      <c r="B1730" s="11" t="inlineStr">
        <is>
          <t>Module 3 · Responsibility</t>
        </is>
      </c>
      <c r="C1730" s="11" t="inlineStr">
        <is>
          <t>3c</t>
        </is>
      </c>
      <c r="D1730" s="11" t="inlineStr">
        <is>
          <t>Infinitive / -ing form (difference in meaning)</t>
        </is>
      </c>
      <c r="E1730" s="35" t="inlineStr">
        <is>
          <t>Infinitive / -ing: advise, allow, encourage, permit, require + object + to-inf / + -ing; в пассиве только to-inf</t>
        </is>
      </c>
      <c r="F1730" s="11" t="inlineStr">
        <is>
          <t>Ст-269</t>
        </is>
      </c>
      <c r="G1730" s="37" t="inlineStr">
        <is>
          <t>повторение</t>
        </is>
      </c>
      <c r="H1730" s="11" t="inlineStr"/>
      <c r="I1730" s="37" t="inlineStr">
        <is>
          <t>10+</t>
        </is>
      </c>
      <c r="J1730" s="11">
        <f>IFERROR(INDEX('Уроки'!$H:$H,MATCH(F1730,'Уроки'!$A:$A,0)),"")</f>
        <v/>
      </c>
      <c r="K1730" s="11">
        <f>IFERROR(INDEX('Уроки'!$J:$J,MATCH(F1730,'Уроки'!$A:$A,0)),"")</f>
        <v/>
      </c>
      <c r="L1730" s="11" t="inlineStr">
        <is>
          <t>Spotlight / 11 класс / Module 3 · Responsibility / Infinitive / -ing form (difference in meaning) / Infinitive / -ing: advise, allow, encourage, permit, require + object + to-inf / + -ing; в пассиве только to-inf</t>
        </is>
      </c>
    </row>
    <row r="1731">
      <c r="A1731" s="37" t="n">
        <v>11</v>
      </c>
      <c r="B1731" s="11" t="inlineStr">
        <is>
          <t>Module 3 · Responsibility</t>
        </is>
      </c>
      <c r="C1731" s="11" t="inlineStr">
        <is>
          <t>3c</t>
        </is>
      </c>
      <c r="D1731" s="11" t="inlineStr">
        <is>
          <t>Infinitive / -ing form (difference in meaning)</t>
        </is>
      </c>
      <c r="E1731" s="35" t="inlineStr">
        <is>
          <t>Infinitive / -ing: need/require/want + -ing / to be done (пассивное значение)</t>
        </is>
      </c>
      <c r="F1731" s="11" t="inlineStr">
        <is>
          <t>Ст-270</t>
        </is>
      </c>
      <c r="G1731" s="37" t="inlineStr">
        <is>
          <t>повторение</t>
        </is>
      </c>
      <c r="H1731" s="11" t="inlineStr"/>
      <c r="I1731" s="37" t="inlineStr">
        <is>
          <t>10+</t>
        </is>
      </c>
      <c r="J1731" s="11">
        <f>IFERROR(INDEX('Уроки'!$H:$H,MATCH(F1731,'Уроки'!$A:$A,0)),"")</f>
        <v/>
      </c>
      <c r="K1731" s="11">
        <f>IFERROR(INDEX('Уроки'!$J:$J,MATCH(F1731,'Уроки'!$A:$A,0)),"")</f>
        <v/>
      </c>
      <c r="L1731" s="11" t="inlineStr">
        <is>
          <t>Spotlight / 11 класс / Module 3 · Responsibility / Infinitive / -ing form (difference in meaning) / Infinitive / -ing: need/require/want + -ing / to be done (пассивное значение)</t>
        </is>
      </c>
    </row>
    <row r="1732">
      <c r="A1732" s="37" t="n">
        <v>11</v>
      </c>
      <c r="B1732" s="11" t="inlineStr">
        <is>
          <t>Module 3 · Responsibility</t>
        </is>
      </c>
      <c r="C1732" s="11" t="inlineStr"/>
      <c r="D1732" s="11" t="inlineStr">
        <is>
          <t>Expressing preference (prefer / would rather)</t>
        </is>
      </c>
      <c r="E1732" s="33" t="inlineStr">
        <is>
          <t>Expressing preference: prefer + noun/-ing to noun/-ing — общее предпочтение</t>
        </is>
      </c>
      <c r="F1732" s="11" t="inlineStr">
        <is>
          <t>Ст-306</t>
        </is>
      </c>
      <c r="G1732" s="37" t="inlineStr">
        <is>
          <t>повторение</t>
        </is>
      </c>
      <c r="H1732" s="11" t="inlineStr"/>
      <c r="I1732" s="37" t="inlineStr">
        <is>
          <t>10+</t>
        </is>
      </c>
      <c r="J1732" s="11">
        <f>IFERROR(INDEX('Уроки'!$H:$H,MATCH(F1732,'Уроки'!$A:$A,0)),"")</f>
        <v/>
      </c>
      <c r="K1732" s="11">
        <f>IFERROR(INDEX('Уроки'!$J:$J,MATCH(F1732,'Уроки'!$A:$A,0)),"")</f>
        <v/>
      </c>
      <c r="L1732" s="11" t="inlineStr">
        <is>
          <t>Spotlight / 11 класс / Module 3 · Responsibility / Expressing preference (prefer / would rather) / Expressing preference: prefer + noun/-ing to noun/-ing — общее предпочтение</t>
        </is>
      </c>
    </row>
    <row r="1733">
      <c r="A1733" s="37" t="n">
        <v>11</v>
      </c>
      <c r="B1733" s="11" t="inlineStr">
        <is>
          <t>Module 3 · Responsibility</t>
        </is>
      </c>
      <c r="C1733" s="11" t="inlineStr"/>
      <c r="D1733" s="11" t="inlineStr">
        <is>
          <t>Expressing preference (prefer / would rather)</t>
        </is>
      </c>
      <c r="E1733" s="35" t="inlineStr">
        <is>
          <t>Expressing preference: prefer + to-inf rather than + bare inf</t>
        </is>
      </c>
      <c r="F1733" s="11" t="inlineStr">
        <is>
          <t>Ст-307</t>
        </is>
      </c>
      <c r="G1733" s="37" t="inlineStr">
        <is>
          <t>повторение</t>
        </is>
      </c>
      <c r="H1733" s="11" t="inlineStr"/>
      <c r="I1733" s="37" t="inlineStr">
        <is>
          <t>10+</t>
        </is>
      </c>
      <c r="J1733" s="11">
        <f>IFERROR(INDEX('Уроки'!$H:$H,MATCH(F1733,'Уроки'!$A:$A,0)),"")</f>
        <v/>
      </c>
      <c r="K1733" s="11">
        <f>IFERROR(INDEX('Уроки'!$J:$J,MATCH(F1733,'Уроки'!$A:$A,0)),"")</f>
        <v/>
      </c>
      <c r="L1733" s="11" t="inlineStr">
        <is>
          <t>Spotlight / 11 класс / Module 3 · Responsibility / Expressing preference (prefer / would rather) / Expressing preference: prefer + to-inf rather than + bare inf</t>
        </is>
      </c>
    </row>
    <row r="1734">
      <c r="A1734" s="37" t="n">
        <v>11</v>
      </c>
      <c r="B1734" s="11" t="inlineStr">
        <is>
          <t>Module 3 · Responsibility</t>
        </is>
      </c>
      <c r="C1734" s="11" t="inlineStr"/>
      <c r="D1734" s="11" t="inlineStr">
        <is>
          <t>Expressing preference (prefer / would rather)</t>
        </is>
      </c>
      <c r="E1734" s="35" t="inlineStr">
        <is>
          <t>Expressing preference: I'd prefer + to-inf / noun (rather than) — конкретное предпочтение</t>
        </is>
      </c>
      <c r="F1734" s="11" t="inlineStr">
        <is>
          <t>Ст-308</t>
        </is>
      </c>
      <c r="G1734" s="37" t="inlineStr">
        <is>
          <t>повторение</t>
        </is>
      </c>
      <c r="H1734" s="11" t="inlineStr"/>
      <c r="I1734" s="37" t="inlineStr">
        <is>
          <t>10+</t>
        </is>
      </c>
      <c r="J1734" s="11">
        <f>IFERROR(INDEX('Уроки'!$H:$H,MATCH(F1734,'Уроки'!$A:$A,0)),"")</f>
        <v/>
      </c>
      <c r="K1734" s="11">
        <f>IFERROR(INDEX('Уроки'!$J:$J,MATCH(F1734,'Уроки'!$A:$A,0)),"")</f>
        <v/>
      </c>
      <c r="L1734" s="11" t="inlineStr">
        <is>
          <t>Spotlight / 11 класс / Module 3 · Responsibility / Expressing preference (prefer / would rather) / Expressing preference: I'd prefer + to-inf / noun (rather than) — конкретное предпочтение</t>
        </is>
      </c>
    </row>
    <row r="1735">
      <c r="A1735" s="37" t="n">
        <v>11</v>
      </c>
      <c r="B1735" s="11" t="inlineStr">
        <is>
          <t>Module 3 · Responsibility</t>
        </is>
      </c>
      <c r="C1735" s="11" t="inlineStr"/>
      <c r="D1735" s="11" t="inlineStr">
        <is>
          <t>Expressing preference (prefer / would rather)</t>
        </is>
      </c>
      <c r="E1735" s="35" t="inlineStr">
        <is>
          <t>Expressing preference: I'd rather + bare inf (than + bare inf)</t>
        </is>
      </c>
      <c r="F1735" s="11" t="inlineStr">
        <is>
          <t>Ст-309</t>
        </is>
      </c>
      <c r="G1735" s="37" t="inlineStr">
        <is>
          <t>повторение</t>
        </is>
      </c>
      <c r="H1735" s="11" t="inlineStr"/>
      <c r="I1735" s="37" t="inlineStr">
        <is>
          <t>10+</t>
        </is>
      </c>
      <c r="J1735" s="11">
        <f>IFERROR(INDEX('Уроки'!$H:$H,MATCH(F1735,'Уроки'!$A:$A,0)),"")</f>
        <v/>
      </c>
      <c r="K1735" s="11">
        <f>IFERROR(INDEX('Уроки'!$J:$J,MATCH(F1735,'Уроки'!$A:$A,0)),"")</f>
        <v/>
      </c>
      <c r="L1735" s="11" t="inlineStr">
        <is>
          <t>Spotlight / 11 класс / Module 3 · Responsibility / Expressing preference (prefer / would rather) / Expressing preference: I'd rather + bare inf (than + bare inf)</t>
        </is>
      </c>
    </row>
    <row r="1736">
      <c r="A1736" s="37" t="n">
        <v>11</v>
      </c>
      <c r="B1736" s="11" t="inlineStr">
        <is>
          <t>Module 3 · Responsibility</t>
        </is>
      </c>
      <c r="C1736" s="11" t="inlineStr">
        <is>
          <t>3c</t>
        </is>
      </c>
      <c r="D1736" s="11" t="inlineStr">
        <is>
          <t>Phrasal verbs</t>
        </is>
      </c>
      <c r="E1736" s="35" t="inlineStr">
        <is>
          <t>Phrasal verbs: keep</t>
        </is>
      </c>
      <c r="F1736" s="11" t="inlineStr">
        <is>
          <t>Ст-597</t>
        </is>
      </c>
      <c r="G1736" s="37" t="inlineStr">
        <is>
          <t>повторение</t>
        </is>
      </c>
      <c r="H1736" s="11" t="inlineStr">
        <is>
          <t>keep + частицы (English in Use 3c); конкретные частицы в доступных страницах не даны.</t>
        </is>
      </c>
      <c r="I1736" s="37" t="inlineStr">
        <is>
          <t>10+</t>
        </is>
      </c>
      <c r="J1736" s="11">
        <f>IFERROR(INDEX('Уроки'!$H:$H,MATCH(F1736,'Уроки'!$A:$A,0)),"")</f>
        <v/>
      </c>
      <c r="K1736" s="11">
        <f>IFERROR(INDEX('Уроки'!$J:$J,MATCH(F1736,'Уроки'!$A:$A,0)),"")</f>
        <v/>
      </c>
      <c r="L1736" s="11" t="inlineStr">
        <is>
          <t>Spotlight / 11 класс / Module 3 · Responsibility / Phrasal verbs / Phrasal verbs: keep</t>
        </is>
      </c>
    </row>
    <row r="1737">
      <c r="A1737" s="37" t="n">
        <v>11</v>
      </c>
      <c r="B1737" s="11" t="inlineStr">
        <is>
          <t>Module 3 · Responsibility</t>
        </is>
      </c>
      <c r="C1737" s="11" t="inlineStr">
        <is>
          <t>3c</t>
        </is>
      </c>
      <c r="D1737" s="11" t="inlineStr">
        <is>
          <t>Dependent prepositions</t>
        </is>
      </c>
      <c r="E1737" s="35" t="inlineStr">
        <is>
          <t>Dependent prepositions</t>
        </is>
      </c>
      <c r="F1737" s="11" t="inlineStr">
        <is>
          <t>Ст-633</t>
        </is>
      </c>
      <c r="G1737" s="37" t="inlineStr">
        <is>
          <t>повторение</t>
        </is>
      </c>
      <c r="H1737" s="11" t="inlineStr">
        <is>
          <t>Dependent prepositions (English in Use 3c); конкретные сочетания в доступных страницах не даны. В справочнике М3 (-ing после предлогов): think of, apologise for, object to, look forward to, be used to, in addition to; have difficulty (in), there's no point (in).</t>
        </is>
      </c>
      <c r="I1737" s="37" t="inlineStr">
        <is>
          <t>10+</t>
        </is>
      </c>
      <c r="J1737" s="11">
        <f>IFERROR(INDEX('Уроки'!$H:$H,MATCH(F1737,'Уроки'!$A:$A,0)),"")</f>
        <v/>
      </c>
      <c r="K1737" s="11">
        <f>IFERROR(INDEX('Уроки'!$J:$J,MATCH(F1737,'Уроки'!$A:$A,0)),"")</f>
        <v/>
      </c>
      <c r="L1737" s="11" t="inlineStr">
        <is>
          <t>Spotlight / 11 класс / Module 3 · Responsibility / Dependent prepositions / Dependent prepositions</t>
        </is>
      </c>
    </row>
    <row r="1738">
      <c r="A1738" s="37" t="n">
        <v>11</v>
      </c>
      <c r="B1738" s="11" t="inlineStr">
        <is>
          <t>Module 3 · Responsibility</t>
        </is>
      </c>
      <c r="C1738" s="11" t="inlineStr">
        <is>
          <t>3a</t>
        </is>
      </c>
      <c r="D1738" s="11" t="inlineStr">
        <is>
          <t>Words often confused</t>
        </is>
      </c>
      <c r="E1738" s="35" t="inlineStr">
        <is>
          <t>Words often confused</t>
        </is>
      </c>
      <c r="F1738" s="11" t="inlineStr">
        <is>
          <t>Ст-635</t>
        </is>
      </c>
      <c r="G1738" s="37" t="inlineStr">
        <is>
          <t>повторение</t>
        </is>
      </c>
      <c r="H1738" s="11" t="inlineStr">
        <is>
          <t>Words often confused (3a, тема crime and the law); конкретные пары в доступных страницах не даны.</t>
        </is>
      </c>
      <c r="I1738" s="37" t="inlineStr">
        <is>
          <t>10+</t>
        </is>
      </c>
      <c r="J1738" s="11">
        <f>IFERROR(INDEX('Уроки'!$H:$H,MATCH(F1738,'Уроки'!$A:$A,0)),"")</f>
        <v/>
      </c>
      <c r="K1738" s="11">
        <f>IFERROR(INDEX('Уроки'!$J:$J,MATCH(F1738,'Уроки'!$A:$A,0)),"")</f>
        <v/>
      </c>
      <c r="L1738" s="11" t="inlineStr">
        <is>
          <t>Spotlight / 11 класс / Module 3 · Responsibility / Words often confused / Words often confused</t>
        </is>
      </c>
    </row>
    <row r="1739">
      <c r="A1739" s="37" t="n">
        <v>11</v>
      </c>
      <c r="B1739" s="11" t="inlineStr">
        <is>
          <t>Module 4 · Danger!</t>
        </is>
      </c>
      <c r="C1739" s="11" t="inlineStr">
        <is>
          <t>4c</t>
        </is>
      </c>
      <c r="D1739" s="11" t="inlineStr">
        <is>
          <t>Causative (have something done)</t>
        </is>
      </c>
      <c r="E1739" s="33" t="inlineStr">
        <is>
          <t>Causative: форма have + object + V3</t>
        </is>
      </c>
      <c r="F1739" s="11" t="inlineStr">
        <is>
          <t>Ст-221</t>
        </is>
      </c>
      <c r="G1739" s="37" t="inlineStr">
        <is>
          <t>повторение</t>
        </is>
      </c>
      <c r="H1739" s="11" t="inlineStr"/>
      <c r="I1739" s="37" t="inlineStr">
        <is>
          <t>10+</t>
        </is>
      </c>
      <c r="J1739" s="11">
        <f>IFERROR(INDEX('Уроки'!$H:$H,MATCH(F1739,'Уроки'!$A:$A,0)),"")</f>
        <v/>
      </c>
      <c r="K1739" s="11">
        <f>IFERROR(INDEX('Уроки'!$J:$J,MATCH(F1739,'Уроки'!$A:$A,0)),"")</f>
        <v/>
      </c>
      <c r="L1739" s="11" t="inlineStr">
        <is>
          <t>Spotlight / 11 класс / Module 4 · Danger! / Causative (have something done) / Causative: форма have + object + V3</t>
        </is>
      </c>
    </row>
    <row r="1740">
      <c r="A1740" s="37" t="n">
        <v>11</v>
      </c>
      <c r="B1740" s="11" t="inlineStr">
        <is>
          <t>Module 4 · Danger!</t>
        </is>
      </c>
      <c r="C1740" s="11" t="inlineStr">
        <is>
          <t>4c</t>
        </is>
      </c>
      <c r="D1740" s="11" t="inlineStr">
        <is>
          <t>Causative (have something done)</t>
        </is>
      </c>
      <c r="E1740" s="33" t="inlineStr">
        <is>
          <t>Causative: значение — действие выполняет кто-то другой для подлежащего</t>
        </is>
      </c>
      <c r="F1740" s="11" t="inlineStr">
        <is>
          <t>Ст-222</t>
        </is>
      </c>
      <c r="G1740" s="37" t="inlineStr">
        <is>
          <t>повторение</t>
        </is>
      </c>
      <c r="H1740" s="11" t="inlineStr"/>
      <c r="I1740" s="37" t="inlineStr">
        <is>
          <t>10+</t>
        </is>
      </c>
      <c r="J1740" s="11">
        <f>IFERROR(INDEX('Уроки'!$H:$H,MATCH(F1740,'Уроки'!$A:$A,0)),"")</f>
        <v/>
      </c>
      <c r="K1740" s="11">
        <f>IFERROR(INDEX('Уроки'!$J:$J,MATCH(F1740,'Уроки'!$A:$A,0)),"")</f>
        <v/>
      </c>
      <c r="L1740" s="11" t="inlineStr">
        <is>
          <t>Spotlight / 11 класс / Module 4 · Danger! / Causative (have something done) / Causative: значение — действие выполняет кто-то другой для подлежащего</t>
        </is>
      </c>
    </row>
    <row r="1741">
      <c r="A1741" s="37" t="n">
        <v>11</v>
      </c>
      <c r="B1741" s="11" t="inlineStr">
        <is>
          <t>Module 4 · Danger!</t>
        </is>
      </c>
      <c r="C1741" s="11" t="inlineStr">
        <is>
          <t>4c</t>
        </is>
      </c>
      <c r="D1741" s="11" t="inlineStr">
        <is>
          <t>Causative (have something done)</t>
        </is>
      </c>
      <c r="E1741" s="35" t="inlineStr">
        <is>
          <t>Causative: have sth done в разных временах (Continuous, Perfect, Future)</t>
        </is>
      </c>
      <c r="F1741" s="11" t="inlineStr">
        <is>
          <t>Ст-223</t>
        </is>
      </c>
      <c r="G1741" s="37" t="inlineStr">
        <is>
          <t>повторение</t>
        </is>
      </c>
      <c r="H1741" s="11" t="inlineStr"/>
      <c r="I1741" s="37" t="inlineStr">
        <is>
          <t>10+</t>
        </is>
      </c>
      <c r="J1741" s="11">
        <f>IFERROR(INDEX('Уроки'!$H:$H,MATCH(F1741,'Уроки'!$A:$A,0)),"")</f>
        <v/>
      </c>
      <c r="K1741" s="11">
        <f>IFERROR(INDEX('Уроки'!$J:$J,MATCH(F1741,'Уроки'!$A:$A,0)),"")</f>
        <v/>
      </c>
      <c r="L1741" s="11" t="inlineStr">
        <is>
          <t>Spotlight / 11 класс / Module 4 · Danger! / Causative (have something done) / Causative: have sth done в разных временах (Continuous, Perfect, Future)</t>
        </is>
      </c>
    </row>
    <row r="1742">
      <c r="A1742" s="37" t="n">
        <v>11</v>
      </c>
      <c r="B1742" s="11" t="inlineStr">
        <is>
          <t>Module 4 · Danger!</t>
        </is>
      </c>
      <c r="C1742" s="11" t="inlineStr">
        <is>
          <t>4c</t>
        </is>
      </c>
      <c r="D1742" s="11" t="inlineStr">
        <is>
          <t>Causative (have something done)</t>
        </is>
      </c>
      <c r="E1742" s="35" t="inlineStr">
        <is>
          <t>Causative: инфинитив, -ing и модальные (to have / having sth done)</t>
        </is>
      </c>
      <c r="F1742" s="11" t="inlineStr">
        <is>
          <t>Ст-224</t>
        </is>
      </c>
      <c r="G1742" s="37" t="inlineStr">
        <is>
          <t>повторение</t>
        </is>
      </c>
      <c r="H1742" s="11" t="inlineStr"/>
      <c r="I1742" s="37" t="inlineStr">
        <is>
          <t>10+</t>
        </is>
      </c>
      <c r="J1742" s="11">
        <f>IFERROR(INDEX('Уроки'!$H:$H,MATCH(F1742,'Уроки'!$A:$A,0)),"")</f>
        <v/>
      </c>
      <c r="K1742" s="11">
        <f>IFERROR(INDEX('Уроки'!$J:$J,MATCH(F1742,'Уроки'!$A:$A,0)),"")</f>
        <v/>
      </c>
      <c r="L1742" s="11" t="inlineStr">
        <is>
          <t>Spotlight / 11 класс / Module 4 · Danger! / Causative (have something done) / Causative: инфинитив, -ing и модальные (to have / having sth done)</t>
        </is>
      </c>
    </row>
    <row r="1743">
      <c r="A1743" s="37" t="n">
        <v>11</v>
      </c>
      <c r="B1743" s="11" t="inlineStr">
        <is>
          <t>Module 4 · Danger!</t>
        </is>
      </c>
      <c r="C1743" s="11" t="inlineStr">
        <is>
          <t>4c</t>
        </is>
      </c>
      <c r="D1743" s="11" t="inlineStr">
        <is>
          <t>Causative (have something done)</t>
        </is>
      </c>
      <c r="E1743" s="35" t="inlineStr">
        <is>
          <t>Causative: отрицания и вопросы с do/does/did</t>
        </is>
      </c>
      <c r="F1743" s="11" t="inlineStr">
        <is>
          <t>Ст-225</t>
        </is>
      </c>
      <c r="G1743" s="37" t="inlineStr">
        <is>
          <t>повторение</t>
        </is>
      </c>
      <c r="H1743" s="11" t="inlineStr"/>
      <c r="I1743" s="37" t="inlineStr">
        <is>
          <t>10+</t>
        </is>
      </c>
      <c r="J1743" s="11">
        <f>IFERROR(INDEX('Уроки'!$H:$H,MATCH(F1743,'Уроки'!$A:$A,0)),"")</f>
        <v/>
      </c>
      <c r="K1743" s="11">
        <f>IFERROR(INDEX('Уроки'!$J:$J,MATCH(F1743,'Уроки'!$A:$A,0)),"")</f>
        <v/>
      </c>
      <c r="L1743" s="11" t="inlineStr">
        <is>
          <t>Spotlight / 11 класс / Module 4 · Danger! / Causative (have something done) / Causative: отрицания и вопросы с do/does/did</t>
        </is>
      </c>
    </row>
    <row r="1744">
      <c r="A1744" s="37" t="n">
        <v>11</v>
      </c>
      <c r="B1744" s="11" t="inlineStr">
        <is>
          <t>Module 4 · Danger!</t>
        </is>
      </c>
      <c r="C1744" s="11" t="inlineStr">
        <is>
          <t>4c</t>
        </is>
      </c>
      <c r="D1744" s="11" t="inlineStr">
        <is>
          <t>Causative (have something done)</t>
        </is>
      </c>
      <c r="E1744" s="35" t="inlineStr">
        <is>
          <t>Causative: get sth done вместо have</t>
        </is>
      </c>
      <c r="F1744" s="11" t="inlineStr">
        <is>
          <t>Ст-226</t>
        </is>
      </c>
      <c r="G1744" s="37" t="inlineStr">
        <is>
          <t>повторение</t>
        </is>
      </c>
      <c r="H1744" s="11" t="inlineStr"/>
      <c r="I1744" s="37" t="inlineStr">
        <is>
          <t>10+</t>
        </is>
      </c>
      <c r="J1744" s="11">
        <f>IFERROR(INDEX('Уроки'!$H:$H,MATCH(F1744,'Уроки'!$A:$A,0)),"")</f>
        <v/>
      </c>
      <c r="K1744" s="11">
        <f>IFERROR(INDEX('Уроки'!$J:$J,MATCH(F1744,'Уроки'!$A:$A,0)),"")</f>
        <v/>
      </c>
      <c r="L1744" s="11" t="inlineStr">
        <is>
          <t>Spotlight / 11 класс / Module 4 · Danger! / Causative (have something done) / Causative: get sth done вместо have</t>
        </is>
      </c>
    </row>
    <row r="1745">
      <c r="A1745" s="37" t="n">
        <v>11</v>
      </c>
      <c r="B1745" s="11" t="inlineStr">
        <is>
          <t>Module 4 · Danger!</t>
        </is>
      </c>
      <c r="C1745" s="11" t="inlineStr">
        <is>
          <t>4c</t>
        </is>
      </c>
      <c r="D1745" s="11" t="inlineStr">
        <is>
          <t>Causative (have something done)</t>
        </is>
      </c>
      <c r="E1745" s="35" t="inlineStr">
        <is>
          <t>Causative: значение — неприятное происшествие (had his car stolen)</t>
        </is>
      </c>
      <c r="F1745" s="11" t="inlineStr">
        <is>
          <t>Ст-227</t>
        </is>
      </c>
      <c r="G1745" s="37" t="inlineStr">
        <is>
          <t>повторение</t>
        </is>
      </c>
      <c r="H1745" s="11" t="inlineStr"/>
      <c r="I1745" s="37" t="inlineStr">
        <is>
          <t>10+</t>
        </is>
      </c>
      <c r="J1745" s="11">
        <f>IFERROR(INDEX('Уроки'!$H:$H,MATCH(F1745,'Уроки'!$A:$A,0)),"")</f>
        <v/>
      </c>
      <c r="K1745" s="11">
        <f>IFERROR(INDEX('Уроки'!$J:$J,MATCH(F1745,'Уроки'!$A:$A,0)),"")</f>
        <v/>
      </c>
      <c r="L1745" s="11" t="inlineStr">
        <is>
          <t>Spotlight / 11 класс / Module 4 · Danger! / Causative (have something done) / Causative: значение — неприятное происшествие (had his car stolen)</t>
        </is>
      </c>
    </row>
    <row r="1746">
      <c r="A1746" s="37" t="n">
        <v>11</v>
      </c>
      <c r="B1746" s="11" t="inlineStr">
        <is>
          <t>Module 4 · Danger!</t>
        </is>
      </c>
      <c r="C1746" s="11" t="inlineStr">
        <is>
          <t>4c</t>
        </is>
      </c>
      <c r="D1746" s="11" t="inlineStr">
        <is>
          <t>Passive Voice</t>
        </is>
      </c>
      <c r="E1746" s="35" t="inlineStr">
        <is>
          <t>Passive Voice: форма be + V3 — Present Simple и Past Simple</t>
        </is>
      </c>
      <c r="F1746" s="11" t="inlineStr">
        <is>
          <t>Ст-271</t>
        </is>
      </c>
      <c r="G1746" s="37" t="inlineStr">
        <is>
          <t>повторение</t>
        </is>
      </c>
      <c r="H1746" s="11" t="inlineStr"/>
      <c r="I1746" s="37" t="inlineStr">
        <is>
          <t>10+</t>
        </is>
      </c>
      <c r="J1746" s="11">
        <f>IFERROR(INDEX('Уроки'!$H:$H,MATCH(F1746,'Уроки'!$A:$A,0)),"")</f>
        <v/>
      </c>
      <c r="K1746" s="11">
        <f>IFERROR(INDEX('Уроки'!$J:$J,MATCH(F1746,'Уроки'!$A:$A,0)),"")</f>
        <v/>
      </c>
      <c r="L1746" s="11" t="inlineStr">
        <is>
          <t>Spotlight / 11 класс / Module 4 · Danger! / Passive Voice / Passive Voice: форма be + V3 — Present Simple и Past Simple</t>
        </is>
      </c>
    </row>
    <row r="1747">
      <c r="A1747" s="37" t="n">
        <v>11</v>
      </c>
      <c r="B1747" s="11" t="inlineStr">
        <is>
          <t>Module 4 · Danger!</t>
        </is>
      </c>
      <c r="C1747" s="11" t="inlineStr">
        <is>
          <t>4c</t>
        </is>
      </c>
      <c r="D1747" s="11" t="inlineStr">
        <is>
          <t>Passive Voice</t>
        </is>
      </c>
      <c r="E1747" s="35" t="inlineStr">
        <is>
          <t>Passive Voice: Continuous (is/was being + V3)</t>
        </is>
      </c>
      <c r="F1747" s="11" t="inlineStr">
        <is>
          <t>Ст-272</t>
        </is>
      </c>
      <c r="G1747" s="37" t="inlineStr">
        <is>
          <t>повторение</t>
        </is>
      </c>
      <c r="H1747" s="11" t="inlineStr"/>
      <c r="I1747" s="37" t="inlineStr">
        <is>
          <t>10+</t>
        </is>
      </c>
      <c r="J1747" s="11">
        <f>IFERROR(INDEX('Уроки'!$H:$H,MATCH(F1747,'Уроки'!$A:$A,0)),"")</f>
        <v/>
      </c>
      <c r="K1747" s="11">
        <f>IFERROR(INDEX('Уроки'!$J:$J,MATCH(F1747,'Уроки'!$A:$A,0)),"")</f>
        <v/>
      </c>
      <c r="L1747" s="11" t="inlineStr">
        <is>
          <t>Spotlight / 11 класс / Module 4 · Danger! / Passive Voice / Passive Voice: Continuous (is/was being + V3)</t>
        </is>
      </c>
    </row>
    <row r="1748">
      <c r="A1748" s="37" t="n">
        <v>11</v>
      </c>
      <c r="B1748" s="11" t="inlineStr">
        <is>
          <t>Module 4 · Danger!</t>
        </is>
      </c>
      <c r="C1748" s="11" t="inlineStr">
        <is>
          <t>4c</t>
        </is>
      </c>
      <c r="D1748" s="11" t="inlineStr">
        <is>
          <t>Passive Voice</t>
        </is>
      </c>
      <c r="E1748" s="35" t="inlineStr">
        <is>
          <t>Passive Voice: Present/Past Perfect (has/had been + V3)</t>
        </is>
      </c>
      <c r="F1748" s="11" t="inlineStr">
        <is>
          <t>Ст-273</t>
        </is>
      </c>
      <c r="G1748" s="37" t="inlineStr">
        <is>
          <t>повторение</t>
        </is>
      </c>
      <c r="H1748" s="11" t="inlineStr"/>
      <c r="I1748" s="37" t="inlineStr">
        <is>
          <t>10+</t>
        </is>
      </c>
      <c r="J1748" s="11">
        <f>IFERROR(INDEX('Уроки'!$H:$H,MATCH(F1748,'Уроки'!$A:$A,0)),"")</f>
        <v/>
      </c>
      <c r="K1748" s="11">
        <f>IFERROR(INDEX('Уроки'!$J:$J,MATCH(F1748,'Уроки'!$A:$A,0)),"")</f>
        <v/>
      </c>
      <c r="L1748" s="11" t="inlineStr">
        <is>
          <t>Spotlight / 11 класс / Module 4 · Danger! / Passive Voice / Passive Voice: Present/Past Perfect (has/had been + V3)</t>
        </is>
      </c>
    </row>
    <row r="1749">
      <c r="A1749" s="37" t="n">
        <v>11</v>
      </c>
      <c r="B1749" s="11" t="inlineStr">
        <is>
          <t>Module 4 · Danger!</t>
        </is>
      </c>
      <c r="C1749" s="11" t="inlineStr">
        <is>
          <t>4c</t>
        </is>
      </c>
      <c r="D1749" s="11" t="inlineStr">
        <is>
          <t>Passive Voice</t>
        </is>
      </c>
      <c r="E1749" s="35" t="inlineStr">
        <is>
          <t>Passive Voice: Future Simple (will be + V3)</t>
        </is>
      </c>
      <c r="F1749" s="11" t="inlineStr">
        <is>
          <t>Ст-274</t>
        </is>
      </c>
      <c r="G1749" s="37" t="inlineStr">
        <is>
          <t>повторение</t>
        </is>
      </c>
      <c r="H1749" s="11" t="inlineStr"/>
      <c r="I1749" s="37" t="inlineStr">
        <is>
          <t>10+</t>
        </is>
      </c>
      <c r="J1749" s="11">
        <f>IFERROR(INDEX('Уроки'!$H:$H,MATCH(F1749,'Уроки'!$A:$A,0)),"")</f>
        <v/>
      </c>
      <c r="K1749" s="11">
        <f>IFERROR(INDEX('Уроки'!$J:$J,MATCH(F1749,'Уроки'!$A:$A,0)),"")</f>
        <v/>
      </c>
      <c r="L1749" s="11" t="inlineStr">
        <is>
          <t>Spotlight / 11 класс / Module 4 · Danger! / Passive Voice / Passive Voice: Future Simple (will be + V3)</t>
        </is>
      </c>
    </row>
    <row r="1750">
      <c r="A1750" s="37" t="n">
        <v>11</v>
      </c>
      <c r="B1750" s="11" t="inlineStr">
        <is>
          <t>Module 4 · Danger!</t>
        </is>
      </c>
      <c r="C1750" s="11" t="inlineStr">
        <is>
          <t>4c</t>
        </is>
      </c>
      <c r="D1750" s="11" t="inlineStr">
        <is>
          <t>Passive Voice</t>
        </is>
      </c>
      <c r="E1750" s="35" t="inlineStr">
        <is>
          <t>Passive Voice: Future Perfect (will have been + V3)</t>
        </is>
      </c>
      <c r="F1750" s="11" t="inlineStr">
        <is>
          <t>Ст-275</t>
        </is>
      </c>
      <c r="G1750" s="37" t="inlineStr">
        <is>
          <t>повторение</t>
        </is>
      </c>
      <c r="H1750" s="11" t="inlineStr"/>
      <c r="I1750" s="37" t="inlineStr">
        <is>
          <t>10+</t>
        </is>
      </c>
      <c r="J1750" s="11">
        <f>IFERROR(INDEX('Уроки'!$H:$H,MATCH(F1750,'Уроки'!$A:$A,0)),"")</f>
        <v/>
      </c>
      <c r="K1750" s="11">
        <f>IFERROR(INDEX('Уроки'!$J:$J,MATCH(F1750,'Уроки'!$A:$A,0)),"")</f>
        <v/>
      </c>
      <c r="L1750" s="11" t="inlineStr">
        <is>
          <t>Spotlight / 11 класс / Module 4 · Danger! / Passive Voice / Passive Voice: Future Perfect (will have been + V3)</t>
        </is>
      </c>
    </row>
    <row r="1751">
      <c r="A1751" s="37" t="n">
        <v>11</v>
      </c>
      <c r="B1751" s="11" t="inlineStr">
        <is>
          <t>Module 4 · Danger!</t>
        </is>
      </c>
      <c r="C1751" s="11" t="inlineStr">
        <is>
          <t>4c</t>
        </is>
      </c>
      <c r="D1751" s="11" t="inlineStr">
        <is>
          <t>Passive Voice</t>
        </is>
      </c>
      <c r="E1751" s="35" t="inlineStr">
        <is>
          <t>Passive Voice: инфинитив и модальные (has to be / can be + V3)</t>
        </is>
      </c>
      <c r="F1751" s="11" t="inlineStr">
        <is>
          <t>Ст-276</t>
        </is>
      </c>
      <c r="G1751" s="37" t="inlineStr">
        <is>
          <t>повторение</t>
        </is>
      </c>
      <c r="H1751" s="11" t="inlineStr"/>
      <c r="I1751" s="37" t="inlineStr">
        <is>
          <t>10+</t>
        </is>
      </c>
      <c r="J1751" s="11">
        <f>IFERROR(INDEX('Уроки'!$H:$H,MATCH(F1751,'Уроки'!$A:$A,0)),"")</f>
        <v/>
      </c>
      <c r="K1751" s="11">
        <f>IFERROR(INDEX('Уроки'!$J:$J,MATCH(F1751,'Уроки'!$A:$A,0)),"")</f>
        <v/>
      </c>
      <c r="L1751" s="11" t="inlineStr">
        <is>
          <t>Spotlight / 11 класс / Module 4 · Danger! / Passive Voice / Passive Voice: инфинитив и модальные (has to be / can be + V3)</t>
        </is>
      </c>
    </row>
    <row r="1752">
      <c r="A1752" s="37" t="n">
        <v>11</v>
      </c>
      <c r="B1752" s="11" t="inlineStr">
        <is>
          <t>Module 4 · Danger!</t>
        </is>
      </c>
      <c r="C1752" s="11" t="inlineStr">
        <is>
          <t>4c</t>
        </is>
      </c>
      <c r="D1752" s="11" t="inlineStr">
        <is>
          <t>Passive Voice</t>
        </is>
      </c>
      <c r="E1752" s="35" t="inlineStr">
        <is>
          <t>Passive Voice: преобразование active → passive</t>
        </is>
      </c>
      <c r="F1752" s="11" t="inlineStr">
        <is>
          <t>Ст-277</t>
        </is>
      </c>
      <c r="G1752" s="37" t="inlineStr">
        <is>
          <t>повторение</t>
        </is>
      </c>
      <c r="H1752" s="11" t="inlineStr"/>
      <c r="I1752" s="37" t="inlineStr">
        <is>
          <t>10+</t>
        </is>
      </c>
      <c r="J1752" s="11">
        <f>IFERROR(INDEX('Уроки'!$H:$H,MATCH(F1752,'Уроки'!$A:$A,0)),"")</f>
        <v/>
      </c>
      <c r="K1752" s="11">
        <f>IFERROR(INDEX('Уроки'!$J:$J,MATCH(F1752,'Уроки'!$A:$A,0)),"")</f>
        <v/>
      </c>
      <c r="L1752" s="11" t="inlineStr">
        <is>
          <t>Spotlight / 11 класс / Module 4 · Danger! / Passive Voice / Passive Voice: преобразование active → passive</t>
        </is>
      </c>
    </row>
    <row r="1753">
      <c r="A1753" s="37" t="n">
        <v>11</v>
      </c>
      <c r="B1753" s="11" t="inlineStr">
        <is>
          <t>Module 4 · Danger!</t>
        </is>
      </c>
      <c r="C1753" s="11" t="inlineStr">
        <is>
          <t>4c</t>
        </is>
      </c>
      <c r="D1753" s="11" t="inlineStr">
        <is>
          <t>Passive Voice</t>
        </is>
      </c>
      <c r="E1753" s="35" t="inlineStr">
        <is>
          <t>Passive Voice: значение — исполнитель неизвестен/неважен/очевиден</t>
        </is>
      </c>
      <c r="F1753" s="11" t="inlineStr">
        <is>
          <t>Ст-278</t>
        </is>
      </c>
      <c r="G1753" s="37" t="inlineStr">
        <is>
          <t>повторение</t>
        </is>
      </c>
      <c r="H1753" s="11" t="inlineStr"/>
      <c r="I1753" s="37" t="inlineStr">
        <is>
          <t>10+</t>
        </is>
      </c>
      <c r="J1753" s="11">
        <f>IFERROR(INDEX('Уроки'!$H:$H,MATCH(F1753,'Уроки'!$A:$A,0)),"")</f>
        <v/>
      </c>
      <c r="K1753" s="11">
        <f>IFERROR(INDEX('Уроки'!$J:$J,MATCH(F1753,'Уроки'!$A:$A,0)),"")</f>
        <v/>
      </c>
      <c r="L1753" s="11" t="inlineStr">
        <is>
          <t>Spotlight / 11 класс / Module 4 · Danger! / Passive Voice / Passive Voice: значение — исполнитель неизвестен/неважен/очевиден</t>
        </is>
      </c>
    </row>
    <row r="1754">
      <c r="A1754" s="37" t="n">
        <v>11</v>
      </c>
      <c r="B1754" s="11" t="inlineStr">
        <is>
          <t>Module 4 · Danger!</t>
        </is>
      </c>
      <c r="C1754" s="11" t="inlineStr">
        <is>
          <t>4c</t>
        </is>
      </c>
      <c r="D1754" s="11" t="inlineStr">
        <is>
          <t>Passive Voice</t>
        </is>
      </c>
      <c r="E1754" s="35" t="inlineStr">
        <is>
          <t>Passive Voice: значение — действие важнее исполнителя (новости, инструкции, реклама)</t>
        </is>
      </c>
      <c r="F1754" s="11" t="inlineStr">
        <is>
          <t>Ст-279</t>
        </is>
      </c>
      <c r="G1754" s="37" t="inlineStr">
        <is>
          <t>повторение</t>
        </is>
      </c>
      <c r="H1754" s="11" t="inlineStr"/>
      <c r="I1754" s="37" t="inlineStr">
        <is>
          <t>10+</t>
        </is>
      </c>
      <c r="J1754" s="11">
        <f>IFERROR(INDEX('Уроки'!$H:$H,MATCH(F1754,'Уроки'!$A:$A,0)),"")</f>
        <v/>
      </c>
      <c r="K1754" s="11">
        <f>IFERROR(INDEX('Уроки'!$J:$J,MATCH(F1754,'Уроки'!$A:$A,0)),"")</f>
        <v/>
      </c>
      <c r="L1754" s="11" t="inlineStr">
        <is>
          <t>Spotlight / 11 класс / Module 4 · Danger! / Passive Voice / Passive Voice: значение — действие важнее исполнителя (новости, инструкции, реклама)</t>
        </is>
      </c>
    </row>
    <row r="1755">
      <c r="A1755" s="37" t="n">
        <v>11</v>
      </c>
      <c r="B1755" s="11" t="inlineStr">
        <is>
          <t>Module 4 · Danger!</t>
        </is>
      </c>
      <c r="C1755" s="11" t="inlineStr">
        <is>
          <t>4c</t>
        </is>
      </c>
      <c r="D1755" s="11" t="inlineStr">
        <is>
          <t>Passive Voice</t>
        </is>
      </c>
      <c r="E1755" s="35" t="inlineStr">
        <is>
          <t>Passive Voice: значение — уход от ответственности</t>
        </is>
      </c>
      <c r="F1755" s="11" t="inlineStr">
        <is>
          <t>Ст-280</t>
        </is>
      </c>
      <c r="G1755" s="37" t="inlineStr">
        <is>
          <t>повторение</t>
        </is>
      </c>
      <c r="H1755" s="11" t="inlineStr"/>
      <c r="I1755" s="37" t="inlineStr">
        <is>
          <t>10+</t>
        </is>
      </c>
      <c r="J1755" s="11">
        <f>IFERROR(INDEX('Уроки'!$H:$H,MATCH(F1755,'Уроки'!$A:$A,0)),"")</f>
        <v/>
      </c>
      <c r="K1755" s="11">
        <f>IFERROR(INDEX('Уроки'!$J:$J,MATCH(F1755,'Уроки'!$A:$A,0)),"")</f>
        <v/>
      </c>
      <c r="L1755" s="11" t="inlineStr">
        <is>
          <t>Spotlight / 11 класс / Module 4 · Danger! / Passive Voice / Passive Voice: значение — уход от ответственности</t>
        </is>
      </c>
    </row>
    <row r="1756">
      <c r="A1756" s="37" t="n">
        <v>11</v>
      </c>
      <c r="B1756" s="11" t="inlineStr">
        <is>
          <t>Module 4 · Danger!</t>
        </is>
      </c>
      <c r="C1756" s="11" t="inlineStr">
        <is>
          <t>4c</t>
        </is>
      </c>
      <c r="D1756" s="11" t="inlineStr">
        <is>
          <t>Passive Voice</t>
        </is>
      </c>
      <c r="E1756" s="35" t="inlineStr">
        <is>
          <t>Passive Voice: значение — акцент на исполнителе</t>
        </is>
      </c>
      <c r="F1756" s="11" t="inlineStr">
        <is>
          <t>Ст-281</t>
        </is>
      </c>
      <c r="G1756" s="37" t="inlineStr">
        <is>
          <t>повторение</t>
        </is>
      </c>
      <c r="H1756" s="11" t="inlineStr"/>
      <c r="I1756" s="37" t="inlineStr">
        <is>
          <t>10+</t>
        </is>
      </c>
      <c r="J1756" s="11">
        <f>IFERROR(INDEX('Уроки'!$H:$H,MATCH(F1756,'Уроки'!$A:$A,0)),"")</f>
        <v/>
      </c>
      <c r="K1756" s="11">
        <f>IFERROR(INDEX('Уроки'!$J:$J,MATCH(F1756,'Уроки'!$A:$A,0)),"")</f>
        <v/>
      </c>
      <c r="L1756" s="11" t="inlineStr">
        <is>
          <t>Spotlight / 11 класс / Module 4 · Danger! / Passive Voice / Passive Voice: значение — акцент на исполнителе</t>
        </is>
      </c>
    </row>
    <row r="1757">
      <c r="A1757" s="37" t="n">
        <v>11</v>
      </c>
      <c r="B1757" s="11" t="inlineStr">
        <is>
          <t>Module 4 · Danger!</t>
        </is>
      </c>
      <c r="C1757" s="11" t="inlineStr">
        <is>
          <t>4c</t>
        </is>
      </c>
      <c r="D1757" s="11" t="inlineStr">
        <is>
          <t>Passive Voice</t>
        </is>
      </c>
      <c r="E1757" s="35" t="inlineStr">
        <is>
          <t>Passive Voice: значение — формальность, вежливость</t>
        </is>
      </c>
      <c r="F1757" s="11" t="inlineStr">
        <is>
          <t>Ст-282</t>
        </is>
      </c>
      <c r="G1757" s="37" t="inlineStr">
        <is>
          <t>повторение</t>
        </is>
      </c>
      <c r="H1757" s="11" t="inlineStr"/>
      <c r="I1757" s="37" t="inlineStr">
        <is>
          <t>10+</t>
        </is>
      </c>
      <c r="J1757" s="11">
        <f>IFERROR(INDEX('Уроки'!$H:$H,MATCH(F1757,'Уроки'!$A:$A,0)),"")</f>
        <v/>
      </c>
      <c r="K1757" s="11">
        <f>IFERROR(INDEX('Уроки'!$J:$J,MATCH(F1757,'Уроки'!$A:$A,0)),"")</f>
        <v/>
      </c>
      <c r="L1757" s="11" t="inlineStr">
        <is>
          <t>Spotlight / 11 класс / Module 4 · Danger! / Passive Voice / Passive Voice: значение — формальность, вежливость</t>
        </is>
      </c>
    </row>
    <row r="1758">
      <c r="A1758" s="37" t="n">
        <v>11</v>
      </c>
      <c r="B1758" s="11" t="inlineStr">
        <is>
          <t>Module 4 · Danger!</t>
        </is>
      </c>
      <c r="C1758" s="11" t="inlineStr">
        <is>
          <t>4c</t>
        </is>
      </c>
      <c r="D1758" s="11" t="inlineStr">
        <is>
          <t>Passive Voice</t>
        </is>
      </c>
      <c r="E1758" s="35" t="inlineStr">
        <is>
          <t>Passive Voice: by + исполнитель vs with + инструмент/материал</t>
        </is>
      </c>
      <c r="F1758" s="11" t="inlineStr">
        <is>
          <t>Ст-283</t>
        </is>
      </c>
      <c r="G1758" s="37" t="inlineStr">
        <is>
          <t>повторение</t>
        </is>
      </c>
      <c r="H1758" s="11" t="inlineStr"/>
      <c r="I1758" s="37" t="inlineStr">
        <is>
          <t>10+</t>
        </is>
      </c>
      <c r="J1758" s="11">
        <f>IFERROR(INDEX('Уроки'!$H:$H,MATCH(F1758,'Уроки'!$A:$A,0)),"")</f>
        <v/>
      </c>
      <c r="K1758" s="11">
        <f>IFERROR(INDEX('Уроки'!$J:$J,MATCH(F1758,'Уроки'!$A:$A,0)),"")</f>
        <v/>
      </c>
      <c r="L1758" s="11" t="inlineStr">
        <is>
          <t>Spotlight / 11 класс / Module 4 · Danger! / Passive Voice / Passive Voice: by + исполнитель vs with + инструмент/материал</t>
        </is>
      </c>
    </row>
    <row r="1759">
      <c r="A1759" s="37" t="n">
        <v>11</v>
      </c>
      <c r="B1759" s="11" t="inlineStr">
        <is>
          <t>Module 4 · Danger!</t>
        </is>
      </c>
      <c r="C1759" s="11" t="inlineStr">
        <is>
          <t>4c</t>
        </is>
      </c>
      <c r="D1759" s="11" t="inlineStr">
        <is>
          <t>Passive Voice</t>
        </is>
      </c>
      <c r="E1759" s="35" t="inlineStr">
        <is>
          <t>Passive Voice: когда агент опускается (they, people, someone…)</t>
        </is>
      </c>
      <c r="F1759" s="11" t="inlineStr">
        <is>
          <t>Ст-284</t>
        </is>
      </c>
      <c r="G1759" s="37" t="inlineStr">
        <is>
          <t>повторение</t>
        </is>
      </c>
      <c r="H1759" s="11" t="inlineStr"/>
      <c r="I1759" s="37" t="inlineStr">
        <is>
          <t>10+</t>
        </is>
      </c>
      <c r="J1759" s="11">
        <f>IFERROR(INDEX('Уроки'!$H:$H,MATCH(F1759,'Уроки'!$A:$A,0)),"")</f>
        <v/>
      </c>
      <c r="K1759" s="11">
        <f>IFERROR(INDEX('Уроки'!$J:$J,MATCH(F1759,'Уроки'!$A:$A,0)),"")</f>
        <v/>
      </c>
      <c r="L1759" s="11" t="inlineStr">
        <is>
          <t>Spotlight / 11 класс / Module 4 · Danger! / Passive Voice / Passive Voice: когда агент опускается (they, people, someone…)</t>
        </is>
      </c>
    </row>
    <row r="1760">
      <c r="A1760" s="37" t="n">
        <v>11</v>
      </c>
      <c r="B1760" s="11" t="inlineStr">
        <is>
          <t>Module 4 · Danger!</t>
        </is>
      </c>
      <c r="C1760" s="11" t="inlineStr">
        <is>
          <t>4c</t>
        </is>
      </c>
      <c r="D1760" s="11" t="inlineStr">
        <is>
          <t>Passive Voice</t>
        </is>
      </c>
      <c r="E1760" s="35" t="inlineStr">
        <is>
          <t>Passive Voice: глаголы без пассива (непереходные; have, fit, suit, resemble…)</t>
        </is>
      </c>
      <c r="F1760" s="11" t="inlineStr">
        <is>
          <t>Ст-285</t>
        </is>
      </c>
      <c r="G1760" s="37" t="inlineStr">
        <is>
          <t>повторение</t>
        </is>
      </c>
      <c r="H1760" s="11" t="inlineStr"/>
      <c r="I1760" s="37" t="inlineStr">
        <is>
          <t>10+</t>
        </is>
      </c>
      <c r="J1760" s="11">
        <f>IFERROR(INDEX('Уроки'!$H:$H,MATCH(F1760,'Уроки'!$A:$A,0)),"")</f>
        <v/>
      </c>
      <c r="K1760" s="11">
        <f>IFERROR(INDEX('Уроки'!$J:$J,MATCH(F1760,'Уроки'!$A:$A,0)),"")</f>
        <v/>
      </c>
      <c r="L1760" s="11" t="inlineStr">
        <is>
          <t>Spotlight / 11 класс / Module 4 · Danger! / Passive Voice / Passive Voice: глаголы без пассива (непереходные; have, fit, suit, resemble…)</t>
        </is>
      </c>
    </row>
    <row r="1761">
      <c r="A1761" s="37" t="n">
        <v>11</v>
      </c>
      <c r="B1761" s="11" t="inlineStr">
        <is>
          <t>Module 4 · Danger!</t>
        </is>
      </c>
      <c r="C1761" s="11" t="inlineStr">
        <is>
          <t>4c</t>
        </is>
      </c>
      <c r="D1761" s="11" t="inlineStr">
        <is>
          <t>Passive Voice</t>
        </is>
      </c>
      <c r="E1761" s="35" t="inlineStr">
        <is>
          <t>Passive Voice: get вместо be</t>
        </is>
      </c>
      <c r="F1761" s="11" t="inlineStr">
        <is>
          <t>Ст-286</t>
        </is>
      </c>
      <c r="G1761" s="37" t="inlineStr">
        <is>
          <t>повторение</t>
        </is>
      </c>
      <c r="H1761" s="11" t="inlineStr"/>
      <c r="I1761" s="37" t="inlineStr">
        <is>
          <t>10+</t>
        </is>
      </c>
      <c r="J1761" s="11">
        <f>IFERROR(INDEX('Уроки'!$H:$H,MATCH(F1761,'Уроки'!$A:$A,0)),"")</f>
        <v/>
      </c>
      <c r="K1761" s="11">
        <f>IFERROR(INDEX('Уроки'!$J:$J,MATCH(F1761,'Уроки'!$A:$A,0)),"")</f>
        <v/>
      </c>
      <c r="L1761" s="11" t="inlineStr">
        <is>
          <t>Spotlight / 11 класс / Module 4 · Danger! / Passive Voice / Passive Voice: get вместо be</t>
        </is>
      </c>
    </row>
    <row r="1762">
      <c r="A1762" s="37" t="n">
        <v>11</v>
      </c>
      <c r="B1762" s="11" t="inlineStr">
        <is>
          <t>Module 4 · Danger!</t>
        </is>
      </c>
      <c r="C1762" s="11" t="inlineStr">
        <is>
          <t>4c</t>
        </is>
      </c>
      <c r="D1762" s="11" t="inlineStr">
        <is>
          <t>Passive Voice</t>
        </is>
      </c>
      <c r="E1762" s="35" t="inlineStr">
        <is>
          <t>Passive Voice: глаголы с двумя дополнениями (give, offer, send…)</t>
        </is>
      </c>
      <c r="F1762" s="11" t="inlineStr">
        <is>
          <t>Ст-287</t>
        </is>
      </c>
      <c r="G1762" s="37" t="inlineStr">
        <is>
          <t>повторение</t>
        </is>
      </c>
      <c r="H1762" s="11" t="inlineStr"/>
      <c r="I1762" s="37" t="inlineStr">
        <is>
          <t>10+</t>
        </is>
      </c>
      <c r="J1762" s="11">
        <f>IFERROR(INDEX('Уроки'!$H:$H,MATCH(F1762,'Уроки'!$A:$A,0)),"")</f>
        <v/>
      </c>
      <c r="K1762" s="11">
        <f>IFERROR(INDEX('Уроки'!$J:$J,MATCH(F1762,'Уроки'!$A:$A,0)),"")</f>
        <v/>
      </c>
      <c r="L1762" s="11" t="inlineStr">
        <is>
          <t>Spotlight / 11 класс / Module 4 · Danger! / Passive Voice / Passive Voice: глаголы с двумя дополнениями (give, offer, send…)</t>
        </is>
      </c>
    </row>
    <row r="1763">
      <c r="A1763" s="37" t="n">
        <v>11</v>
      </c>
      <c r="B1763" s="11" t="inlineStr">
        <is>
          <t>Module 4 · Danger!</t>
        </is>
      </c>
      <c r="C1763" s="11" t="inlineStr">
        <is>
          <t>4c</t>
        </is>
      </c>
      <c r="D1763" s="11" t="inlineStr">
        <is>
          <t>Passive Voice</t>
        </is>
      </c>
      <c r="E1763" s="35" t="inlineStr">
        <is>
          <t>Passive Voice: by в вопросах с who/whom/which</t>
        </is>
      </c>
      <c r="F1763" s="11" t="inlineStr">
        <is>
          <t>Ст-288</t>
        </is>
      </c>
      <c r="G1763" s="37" t="inlineStr">
        <is>
          <t>повторение</t>
        </is>
      </c>
      <c r="H1763" s="11" t="inlineStr"/>
      <c r="I1763" s="37" t="inlineStr">
        <is>
          <t>10+</t>
        </is>
      </c>
      <c r="J1763" s="11">
        <f>IFERROR(INDEX('Уроки'!$H:$H,MATCH(F1763,'Уроки'!$A:$A,0)),"")</f>
        <v/>
      </c>
      <c r="K1763" s="11">
        <f>IFERROR(INDEX('Уроки'!$J:$J,MATCH(F1763,'Уроки'!$A:$A,0)),"")</f>
        <v/>
      </c>
      <c r="L1763" s="11" t="inlineStr">
        <is>
          <t>Spotlight / 11 класс / Module 4 · Danger! / Passive Voice / Passive Voice: by в вопросах с who/whom/which</t>
        </is>
      </c>
    </row>
    <row r="1764">
      <c r="A1764" s="37" t="n">
        <v>11</v>
      </c>
      <c r="B1764" s="11" t="inlineStr">
        <is>
          <t>Module 4 · Danger!</t>
        </is>
      </c>
      <c r="C1764" s="11" t="inlineStr">
        <is>
          <t>4c</t>
        </is>
      </c>
      <c r="D1764" s="11" t="inlineStr">
        <is>
          <t>Passive Voice</t>
        </is>
      </c>
      <c r="E1764" s="35" t="inlineStr">
        <is>
          <t>Passive Voice: make/hear/see/help + to-inf в пассиве; see/hear/watch + -ing</t>
        </is>
      </c>
      <c r="F1764" s="11" t="inlineStr">
        <is>
          <t>Ст-289</t>
        </is>
      </c>
      <c r="G1764" s="37" t="inlineStr">
        <is>
          <t>повторение</t>
        </is>
      </c>
      <c r="H1764" s="11" t="inlineStr"/>
      <c r="I1764" s="37" t="inlineStr">
        <is>
          <t>10+</t>
        </is>
      </c>
      <c r="J1764" s="11">
        <f>IFERROR(INDEX('Уроки'!$H:$H,MATCH(F1764,'Уроки'!$A:$A,0)),"")</f>
        <v/>
      </c>
      <c r="K1764" s="11">
        <f>IFERROR(INDEX('Уроки'!$J:$J,MATCH(F1764,'Уроки'!$A:$A,0)),"")</f>
        <v/>
      </c>
      <c r="L1764" s="11" t="inlineStr">
        <is>
          <t>Spotlight / 11 класс / Module 4 · Danger! / Passive Voice / Passive Voice: make/hear/see/help + to-inf в пассиве; see/hear/watch + -ing</t>
        </is>
      </c>
    </row>
    <row r="1765">
      <c r="A1765" s="37" t="n">
        <v>11</v>
      </c>
      <c r="B1765" s="11" t="inlineStr">
        <is>
          <t>Module 4 · Danger!</t>
        </is>
      </c>
      <c r="C1765" s="11" t="inlineStr"/>
      <c r="D1765" s="11" t="inlineStr">
        <is>
          <t>Reflexive pronouns</t>
        </is>
      </c>
      <c r="E1765" s="33" t="inlineStr">
        <is>
          <t>Reflexive pronouns: формы myself … themselves</t>
        </is>
      </c>
      <c r="F1765" s="11" t="inlineStr">
        <is>
          <t>Ст-407</t>
        </is>
      </c>
      <c r="G1765" s="37" t="inlineStr">
        <is>
          <t>повторение</t>
        </is>
      </c>
      <c r="H1765" s="11" t="inlineStr"/>
      <c r="I1765" s="37" t="inlineStr">
        <is>
          <t>10+</t>
        </is>
      </c>
      <c r="J1765" s="11">
        <f>IFERROR(INDEX('Уроки'!$H:$H,MATCH(F1765,'Уроки'!$A:$A,0)),"")</f>
        <v/>
      </c>
      <c r="K1765" s="11">
        <f>IFERROR(INDEX('Уроки'!$J:$J,MATCH(F1765,'Уроки'!$A:$A,0)),"")</f>
        <v/>
      </c>
      <c r="L1765" s="11" t="inlineStr">
        <is>
          <t>Spotlight / 11 класс / Module 4 · Danger! / Reflexive pronouns / Reflexive pronouns: формы myself … themselves</t>
        </is>
      </c>
    </row>
    <row r="1766">
      <c r="A1766" s="37" t="n">
        <v>11</v>
      </c>
      <c r="B1766" s="11" t="inlineStr">
        <is>
          <t>Module 4 · Danger!</t>
        </is>
      </c>
      <c r="C1766" s="11" t="inlineStr"/>
      <c r="D1766" s="11" t="inlineStr">
        <is>
          <t>Reflexive pronouns</t>
        </is>
      </c>
      <c r="E1766" s="33" t="inlineStr">
        <is>
          <t>Reflexive pronouns: подлежащее = дополнение (cut himself)</t>
        </is>
      </c>
      <c r="F1766" s="11" t="inlineStr">
        <is>
          <t>Ст-408</t>
        </is>
      </c>
      <c r="G1766" s="37" t="inlineStr">
        <is>
          <t>повторение</t>
        </is>
      </c>
      <c r="H1766" s="11" t="inlineStr"/>
      <c r="I1766" s="37" t="inlineStr">
        <is>
          <t>10+</t>
        </is>
      </c>
      <c r="J1766" s="11">
        <f>IFERROR(INDEX('Уроки'!$H:$H,MATCH(F1766,'Уроки'!$A:$A,0)),"")</f>
        <v/>
      </c>
      <c r="K1766" s="11">
        <f>IFERROR(INDEX('Уроки'!$J:$J,MATCH(F1766,'Уроки'!$A:$A,0)),"")</f>
        <v/>
      </c>
      <c r="L1766" s="11" t="inlineStr">
        <is>
          <t>Spotlight / 11 класс / Module 4 · Danger! / Reflexive pronouns / Reflexive pronouns: подлежащее = дополнение (cut himself)</t>
        </is>
      </c>
    </row>
    <row r="1767">
      <c r="A1767" s="37" t="n">
        <v>11</v>
      </c>
      <c r="B1767" s="11" t="inlineStr">
        <is>
          <t>Module 4 · Danger!</t>
        </is>
      </c>
      <c r="C1767" s="11" t="inlineStr"/>
      <c r="D1767" s="11" t="inlineStr">
        <is>
          <t>Reflexive pronouns</t>
        </is>
      </c>
      <c r="E1767" s="33" t="inlineStr">
        <is>
          <t>Reflexive pronouns: by myself — «сам, в одиночку»</t>
        </is>
      </c>
      <c r="F1767" s="11" t="inlineStr">
        <is>
          <t>Ст-410</t>
        </is>
      </c>
      <c r="G1767" s="37" t="inlineStr">
        <is>
          <t>повторение</t>
        </is>
      </c>
      <c r="H1767" s="11" t="inlineStr">
        <is>
          <t xml:space="preserve"> = alone, on my own</t>
        </is>
      </c>
      <c r="I1767" s="37" t="inlineStr">
        <is>
          <t>10+</t>
        </is>
      </c>
      <c r="J1767" s="11">
        <f>IFERROR(INDEX('Уроки'!$H:$H,MATCH(F1767,'Уроки'!$A:$A,0)),"")</f>
        <v/>
      </c>
      <c r="K1767" s="11">
        <f>IFERROR(INDEX('Уроки'!$J:$J,MATCH(F1767,'Уроки'!$A:$A,0)),"")</f>
        <v/>
      </c>
      <c r="L1767" s="11" t="inlineStr">
        <is>
          <t>Spotlight / 11 класс / Module 4 · Danger! / Reflexive pronouns / Reflexive pronouns: by myself — «сам, в одиночку»</t>
        </is>
      </c>
    </row>
    <row r="1768">
      <c r="A1768" s="37" t="n">
        <v>11</v>
      </c>
      <c r="B1768" s="11" t="inlineStr">
        <is>
          <t>Module 4 · Danger!</t>
        </is>
      </c>
      <c r="C1768" s="11" t="inlineStr"/>
      <c r="D1768" s="11" t="inlineStr">
        <is>
          <t>Reflexive pronouns</t>
        </is>
      </c>
      <c r="E1768" s="35" t="inlineStr">
        <is>
          <t>Reflexive pronouns: глаголы без возвратного местоимения (wash, dress, meet)</t>
        </is>
      </c>
      <c r="F1768" s="11" t="inlineStr">
        <is>
          <t>Ст-411</t>
        </is>
      </c>
      <c r="G1768" s="41" t="inlineStr">
        <is>
          <t>расширение</t>
        </is>
      </c>
      <c r="H1768" s="11" t="inlineStr">
        <is>
          <t>добавлены rest, relax, stand up, get up, sit down</t>
        </is>
      </c>
      <c r="I1768" s="37" t="inlineStr">
        <is>
          <t>10+</t>
        </is>
      </c>
      <c r="J1768" s="11">
        <f>IFERROR(INDEX('Уроки'!$H:$H,MATCH(F1768,'Уроки'!$A:$A,0)),"")</f>
        <v/>
      </c>
      <c r="K1768" s="11">
        <f>IFERROR(INDEX('Уроки'!$J:$J,MATCH(F1768,'Уроки'!$A:$A,0)),"")</f>
        <v/>
      </c>
      <c r="L1768" s="11" t="inlineStr">
        <is>
          <t>Spotlight / 11 класс / Module 4 · Danger! / Reflexive pronouns / Reflexive pronouns: глаголы без возвратного местоимения (wash, dress, meet)</t>
        </is>
      </c>
    </row>
    <row r="1769">
      <c r="A1769" s="37" t="n">
        <v>11</v>
      </c>
      <c r="B1769" s="11" t="inlineStr">
        <is>
          <t>Module 4 · Danger!</t>
        </is>
      </c>
      <c r="C1769" s="11" t="inlineStr"/>
      <c r="D1769" s="11" t="inlineStr">
        <is>
          <t>Reflexive pronouns</t>
        </is>
      </c>
      <c r="E1769" s="35" t="inlineStr">
        <is>
          <t>Reflexive pronouns: после be, feel, look, seem</t>
        </is>
      </c>
      <c r="F1769" s="11" t="inlineStr">
        <is>
          <t>Ст-412</t>
        </is>
      </c>
      <c r="G1769" s="37" t="inlineStr">
        <is>
          <t>повторение</t>
        </is>
      </c>
      <c r="H1769" s="11" t="inlineStr">
        <is>
          <t>Helen doesn't seem herself lately</t>
        </is>
      </c>
      <c r="I1769" s="37" t="inlineStr">
        <is>
          <t>10+</t>
        </is>
      </c>
      <c r="J1769" s="11">
        <f>IFERROR(INDEX('Уроки'!$H:$H,MATCH(F1769,'Уроки'!$A:$A,0)),"")</f>
        <v/>
      </c>
      <c r="K1769" s="11">
        <f>IFERROR(INDEX('Уроки'!$J:$J,MATCH(F1769,'Уроки'!$A:$A,0)),"")</f>
        <v/>
      </c>
      <c r="L1769" s="11" t="inlineStr">
        <is>
          <t>Spotlight / 11 класс / Module 4 · Danger! / Reflexive pronouns / Reflexive pronouns: после be, feel, look, seem</t>
        </is>
      </c>
    </row>
    <row r="1770">
      <c r="A1770" s="37" t="n">
        <v>11</v>
      </c>
      <c r="B1770" s="11" t="inlineStr">
        <is>
          <t>Module 4 · Danger!</t>
        </is>
      </c>
      <c r="C1770" s="11" t="inlineStr"/>
      <c r="D1770" s="11" t="inlineStr">
        <is>
          <t>Reflexive pronouns</t>
        </is>
      </c>
      <c r="E1770" s="35" t="inlineStr">
        <is>
          <t>Reflexive pronouns: после предлогов (но не предлогов места)</t>
        </is>
      </c>
      <c r="F1770" s="11" t="inlineStr">
        <is>
          <t>Ст-413</t>
        </is>
      </c>
      <c r="G1770" s="37" t="inlineStr">
        <is>
          <t>повторение</t>
        </is>
      </c>
      <c r="H1770" s="11" t="inlineStr">
        <is>
          <t>take care of yourself; behind you, NOT behind yourself</t>
        </is>
      </c>
      <c r="I1770" s="37" t="inlineStr">
        <is>
          <t>10+</t>
        </is>
      </c>
      <c r="J1770" s="11">
        <f>IFERROR(INDEX('Уроки'!$H:$H,MATCH(F1770,'Уроки'!$A:$A,0)),"")</f>
        <v/>
      </c>
      <c r="K1770" s="11">
        <f>IFERROR(INDEX('Уроки'!$J:$J,MATCH(F1770,'Уроки'!$A:$A,0)),"")</f>
        <v/>
      </c>
      <c r="L1770" s="11" t="inlineStr">
        <is>
          <t>Spotlight / 11 класс / Module 4 · Danger! / Reflexive pronouns / Reflexive pronouns: после предлогов (но не предлогов места)</t>
        </is>
      </c>
    </row>
    <row r="1771">
      <c r="A1771" s="37" t="n">
        <v>11</v>
      </c>
      <c r="B1771" s="11" t="inlineStr">
        <is>
          <t>Module 4 · Danger!</t>
        </is>
      </c>
      <c r="C1771" s="11" t="inlineStr"/>
      <c r="D1771" s="11" t="inlineStr">
        <is>
          <t>Reflexive pronouns</t>
        </is>
      </c>
      <c r="E1771" s="35" t="inlineStr">
        <is>
          <t>Reflexive pronouns: устойчивые выражения (Enjoy yourself!, Help yourself, Make yourself at home)</t>
        </is>
      </c>
      <c r="F1771" s="11" t="inlineStr">
        <is>
          <t>Ст-414</t>
        </is>
      </c>
      <c r="G1771" s="37" t="inlineStr">
        <is>
          <t>повторение</t>
        </is>
      </c>
      <c r="H1771" s="11" t="inlineStr"/>
      <c r="I1771" s="37" t="inlineStr">
        <is>
          <t>10+</t>
        </is>
      </c>
      <c r="J1771" s="11">
        <f>IFERROR(INDEX('Уроки'!$H:$H,MATCH(F1771,'Уроки'!$A:$A,0)),"")</f>
        <v/>
      </c>
      <c r="K1771" s="11">
        <f>IFERROR(INDEX('Уроки'!$J:$J,MATCH(F1771,'Уроки'!$A:$A,0)),"")</f>
        <v/>
      </c>
      <c r="L1771" s="11" t="inlineStr">
        <is>
          <t>Spotlight / 11 класс / Module 4 · Danger! / Reflexive pronouns / Reflexive pronouns: устойчивые выражения (Enjoy yourself!, Help yourself, Make yourself at home)</t>
        </is>
      </c>
    </row>
    <row r="1772">
      <c r="A1772" s="37" t="n">
        <v>11</v>
      </c>
      <c r="B1772" s="11" t="inlineStr">
        <is>
          <t>Module 4 · Danger!</t>
        </is>
      </c>
      <c r="C1772" s="11" t="inlineStr">
        <is>
          <t>4c</t>
        </is>
      </c>
      <c r="D1772" s="11" t="inlineStr">
        <is>
          <t>Phrasal verbs</t>
        </is>
      </c>
      <c r="E1772" s="35" t="inlineStr">
        <is>
          <t>Phrasal verbs: go</t>
        </is>
      </c>
      <c r="F1772" s="11" t="inlineStr">
        <is>
          <t>Ст-589</t>
        </is>
      </c>
      <c r="G1772" s="37" t="inlineStr">
        <is>
          <t>повторение</t>
        </is>
      </c>
      <c r="H1772" s="11" t="inlineStr">
        <is>
          <t>go + частицы (English in Use 4c); конкретные частицы в доступных страницах не даны.</t>
        </is>
      </c>
      <c r="I1772" s="37" t="inlineStr">
        <is>
          <t>10+</t>
        </is>
      </c>
      <c r="J1772" s="11">
        <f>IFERROR(INDEX('Уроки'!$H:$H,MATCH(F1772,'Уроки'!$A:$A,0)),"")</f>
        <v/>
      </c>
      <c r="K1772" s="11">
        <f>IFERROR(INDEX('Уроки'!$J:$J,MATCH(F1772,'Уроки'!$A:$A,0)),"")</f>
        <v/>
      </c>
      <c r="L1772" s="11" t="inlineStr">
        <is>
          <t>Spotlight / 11 класс / Module 4 · Danger! / Phrasal verbs / Phrasal verbs: go</t>
        </is>
      </c>
    </row>
    <row r="1773">
      <c r="A1773" s="37" t="n">
        <v>11</v>
      </c>
      <c r="B1773" s="11" t="inlineStr">
        <is>
          <t>Module 4 · Danger!</t>
        </is>
      </c>
      <c r="C1773" s="11" t="inlineStr">
        <is>
          <t>4c</t>
        </is>
      </c>
      <c r="D1773" s="11" t="inlineStr">
        <is>
          <t>Dependent prepositions</t>
        </is>
      </c>
      <c r="E1773" s="35" t="inlineStr">
        <is>
          <t>Dependent prepositions</t>
        </is>
      </c>
      <c r="F1773" s="11" t="inlineStr">
        <is>
          <t>Ст-633</t>
        </is>
      </c>
      <c r="G1773" s="37" t="inlineStr">
        <is>
          <t>повторение</t>
        </is>
      </c>
      <c r="H1773" s="11" t="inlineStr">
        <is>
          <t>Dependent prepositions (English in Use 4c); конкретные сочетания в доступных страницах не даны.</t>
        </is>
      </c>
      <c r="I1773" s="37" t="inlineStr">
        <is>
          <t>10+</t>
        </is>
      </c>
      <c r="J1773" s="11">
        <f>IFERROR(INDEX('Уроки'!$H:$H,MATCH(F1773,'Уроки'!$A:$A,0)),"")</f>
        <v/>
      </c>
      <c r="K1773" s="11">
        <f>IFERROR(INDEX('Уроки'!$J:$J,MATCH(F1773,'Уроки'!$A:$A,0)),"")</f>
        <v/>
      </c>
      <c r="L1773" s="11" t="inlineStr">
        <is>
          <t>Spotlight / 11 класс / Module 4 · Danger! / Dependent prepositions / Dependent prepositions</t>
        </is>
      </c>
    </row>
    <row r="1774">
      <c r="A1774" s="37" t="n">
        <v>11</v>
      </c>
      <c r="B1774" s="11" t="inlineStr">
        <is>
          <t>Module 4 · Danger!</t>
        </is>
      </c>
      <c r="C1774" s="11" t="inlineStr">
        <is>
          <t>4b</t>
        </is>
      </c>
      <c r="D1774" s="11" t="inlineStr">
        <is>
          <t>Idioms &amp; collocations</t>
        </is>
      </c>
      <c r="E1774" s="33" t="inlineStr">
        <is>
          <t>Idioms &amp; collocations</t>
        </is>
      </c>
      <c r="F1774" s="11" t="inlineStr">
        <is>
          <t>Ст-634</t>
        </is>
      </c>
      <c r="G1774" s="37" t="inlineStr">
        <is>
          <t>повторение</t>
        </is>
      </c>
      <c r="H1774" s="11" t="inlineStr">
        <is>
          <t>Idioms related to health (4b).</t>
        </is>
      </c>
      <c r="I1774" s="37" t="inlineStr">
        <is>
          <t>10+</t>
        </is>
      </c>
      <c r="J1774" s="11">
        <f>IFERROR(INDEX('Уроки'!$H:$H,MATCH(F1774,'Уроки'!$A:$A,0)),"")</f>
        <v/>
      </c>
      <c r="K1774" s="11">
        <f>IFERROR(INDEX('Уроки'!$J:$J,MATCH(F1774,'Уроки'!$A:$A,0)),"")</f>
        <v/>
      </c>
      <c r="L1774" s="11" t="inlineStr">
        <is>
          <t>Spotlight / 11 класс / Module 4 · Danger! / Idioms &amp; collocations / Idioms &amp; collocations</t>
        </is>
      </c>
    </row>
    <row r="1775">
      <c r="A1775" s="37" t="n">
        <v>11</v>
      </c>
      <c r="B1775" s="11" t="inlineStr">
        <is>
          <t>Module 5 · Who are you?</t>
        </is>
      </c>
      <c r="C1775" s="11" t="inlineStr">
        <is>
          <t>5c</t>
        </is>
      </c>
      <c r="D1775" s="11" t="inlineStr">
        <is>
          <t>may/might</t>
        </is>
      </c>
      <c r="E1775" s="35" t="inlineStr">
        <is>
          <t>may/might: can — общая (теоретическая) возможность</t>
        </is>
      </c>
      <c r="F1775" s="11" t="inlineStr">
        <is>
          <t>Ст-142</t>
        </is>
      </c>
      <c r="G1775" s="37" t="inlineStr">
        <is>
          <t>повторение</t>
        </is>
      </c>
      <c r="H1775" s="11" t="inlineStr">
        <is>
          <t>Going to the gym can be boring</t>
        </is>
      </c>
      <c r="I1775" s="37" t="inlineStr">
        <is>
          <t>10+</t>
        </is>
      </c>
      <c r="J1775" s="11">
        <f>IFERROR(INDEX('Уроки'!$H:$H,MATCH(F1775,'Уроки'!$A:$A,0)),"")</f>
        <v/>
      </c>
      <c r="K1775" s="11">
        <f>IFERROR(INDEX('Уроки'!$J:$J,MATCH(F1775,'Уроки'!$A:$A,0)),"")</f>
        <v/>
      </c>
      <c r="L1775" s="11" t="inlineStr">
        <is>
          <t>Spotlight / 11 класс / Module 5 · Who are you? / may/might / may/might: can — общая (теоретическая) возможность</t>
        </is>
      </c>
    </row>
    <row r="1776">
      <c r="A1776" s="37" t="n">
        <v>11</v>
      </c>
      <c r="B1776" s="11" t="inlineStr">
        <is>
          <t>Module 5 · Who are you?</t>
        </is>
      </c>
      <c r="C1776" s="11" t="inlineStr">
        <is>
          <t>5c</t>
        </is>
      </c>
      <c r="D1776" s="11" t="inlineStr">
        <is>
          <t>may/might</t>
        </is>
      </c>
      <c r="E1776" s="35" t="inlineStr">
        <is>
          <t>may/might: could/may/might — возможность в конкретной ситуации</t>
        </is>
      </c>
      <c r="F1776" s="11" t="inlineStr">
        <is>
          <t>Ст-143</t>
        </is>
      </c>
      <c r="G1776" s="37" t="inlineStr">
        <is>
          <t>повторение</t>
        </is>
      </c>
      <c r="H1776" s="11" t="inlineStr"/>
      <c r="I1776" s="37" t="inlineStr">
        <is>
          <t>10+</t>
        </is>
      </c>
      <c r="J1776" s="11">
        <f>IFERROR(INDEX('Уроки'!$H:$H,MATCH(F1776,'Уроки'!$A:$A,0)),"")</f>
        <v/>
      </c>
      <c r="K1776" s="11">
        <f>IFERROR(INDEX('Уроки'!$J:$J,MATCH(F1776,'Уроки'!$A:$A,0)),"")</f>
        <v/>
      </c>
      <c r="L1776" s="11" t="inlineStr">
        <is>
          <t>Spotlight / 11 класс / Module 5 · Who are you? / may/might / may/might: could/may/might — возможность в конкретной ситуации</t>
        </is>
      </c>
    </row>
    <row r="1777">
      <c r="A1777" s="37" t="n">
        <v>11</v>
      </c>
      <c r="B1777" s="11" t="inlineStr">
        <is>
          <t>Module 5 · Who are you?</t>
        </is>
      </c>
      <c r="C1777" s="11" t="inlineStr">
        <is>
          <t>5c</t>
        </is>
      </c>
      <c r="D1777" s="11" t="inlineStr">
        <is>
          <t>may/might</t>
        </is>
      </c>
      <c r="E1777" s="35" t="inlineStr">
        <is>
          <t>may/might: возможность в вопросах — can/could/might, но не may</t>
        </is>
      </c>
      <c r="F1777" s="11" t="inlineStr">
        <is>
          <t>Ст-144</t>
        </is>
      </c>
      <c r="G1777" s="37" t="inlineStr">
        <is>
          <t>повторение</t>
        </is>
      </c>
      <c r="H1777" s="11" t="inlineStr">
        <is>
          <t>How difficult can it be?</t>
        </is>
      </c>
      <c r="I1777" s="37" t="inlineStr">
        <is>
          <t>10+</t>
        </is>
      </c>
      <c r="J1777" s="11">
        <f>IFERROR(INDEX('Уроки'!$H:$H,MATCH(F1777,'Уроки'!$A:$A,0)),"")</f>
        <v/>
      </c>
      <c r="K1777" s="11">
        <f>IFERROR(INDEX('Уроки'!$J:$J,MATCH(F1777,'Уроки'!$A:$A,0)),"")</f>
        <v/>
      </c>
      <c r="L1777" s="11" t="inlineStr">
        <is>
          <t>Spotlight / 11 класс / Module 5 · Who are you? / may/might / may/might: возможность в вопросах — can/could/might, но не may</t>
        </is>
      </c>
    </row>
    <row r="1778">
      <c r="A1778" s="37" t="n">
        <v>11</v>
      </c>
      <c r="B1778" s="11" t="inlineStr">
        <is>
          <t>Module 5 · Who are you?</t>
        </is>
      </c>
      <c r="C1778" s="11" t="inlineStr">
        <is>
          <t>5c</t>
        </is>
      </c>
      <c r="D1778" s="11" t="inlineStr">
        <is>
          <t>may/might</t>
        </is>
      </c>
      <c r="E1778" s="35" t="inlineStr">
        <is>
          <t>may/might: could/might/would + have V3 — было возможно, но не случилось</t>
        </is>
      </c>
      <c r="F1778" s="11" t="inlineStr">
        <is>
          <t>Ст-145</t>
        </is>
      </c>
      <c r="G1778" s="37" t="inlineStr">
        <is>
          <t>повторение</t>
        </is>
      </c>
      <c r="H1778" s="11" t="inlineStr"/>
      <c r="I1778" s="37" t="inlineStr">
        <is>
          <t>10+</t>
        </is>
      </c>
      <c r="J1778" s="11">
        <f>IFERROR(INDEX('Уроки'!$H:$H,MATCH(F1778,'Уроки'!$A:$A,0)),"")</f>
        <v/>
      </c>
      <c r="K1778" s="11">
        <f>IFERROR(INDEX('Уроки'!$J:$J,MATCH(F1778,'Уроки'!$A:$A,0)),"")</f>
        <v/>
      </c>
      <c r="L1778" s="11" t="inlineStr">
        <is>
          <t>Spotlight / 11 класс / Module 5 · Who are you? / may/might / may/might: could/might/would + have V3 — было возможно, но не случилось</t>
        </is>
      </c>
    </row>
    <row r="1779">
      <c r="A1779" s="37" t="n">
        <v>11</v>
      </c>
      <c r="B1779" s="11" t="inlineStr">
        <is>
          <t>Module 5 · Who are you?</t>
        </is>
      </c>
      <c r="C1779" s="11" t="inlineStr">
        <is>
          <t>5c</t>
        </is>
      </c>
      <c r="D1779" s="11" t="inlineStr">
        <is>
          <t>can (permission/request)</t>
        </is>
      </c>
      <c r="E1779" s="33" t="inlineStr">
        <is>
          <t>can (permission/request): can't — запрет</t>
        </is>
      </c>
      <c r="F1779" s="11" t="inlineStr">
        <is>
          <t>Ст-155</t>
        </is>
      </c>
      <c r="G1779" s="37" t="inlineStr">
        <is>
          <t>повторение</t>
        </is>
      </c>
      <c r="H1779" s="11" t="inlineStr">
        <is>
          <t>mustn't/can't — против правил/закона</t>
        </is>
      </c>
      <c r="I1779" s="37" t="inlineStr">
        <is>
          <t>10+</t>
        </is>
      </c>
      <c r="J1779" s="11">
        <f>IFERROR(INDEX('Уроки'!$H:$H,MATCH(F1779,'Уроки'!$A:$A,0)),"")</f>
        <v/>
      </c>
      <c r="K1779" s="11">
        <f>IFERROR(INDEX('Уроки'!$J:$J,MATCH(F1779,'Уроки'!$A:$A,0)),"")</f>
        <v/>
      </c>
      <c r="L1779" s="11" t="inlineStr">
        <is>
          <t>Spotlight / 11 класс / Module 5 · Who are you? / can (permission/request) / can (permission/request): can't — запрет</t>
        </is>
      </c>
    </row>
    <row r="1780">
      <c r="A1780" s="37" t="n">
        <v>11</v>
      </c>
      <c r="B1780" s="11" t="inlineStr">
        <is>
          <t>Module 5 · Who are you?</t>
        </is>
      </c>
      <c r="C1780" s="11" t="inlineStr">
        <is>
          <t>5c</t>
        </is>
      </c>
      <c r="D1780" s="11" t="inlineStr">
        <is>
          <t>can (permission/request)</t>
        </is>
      </c>
      <c r="E1780" s="35" t="inlineStr">
        <is>
          <t>can (permission/request): can vs may — разрешение (may формальнее)</t>
        </is>
      </c>
      <c r="F1780" s="11" t="inlineStr">
        <is>
          <t>Ст-156</t>
        </is>
      </c>
      <c r="G1780" s="37" t="inlineStr">
        <is>
          <t>повторение</t>
        </is>
      </c>
      <c r="H1780" s="11" t="inlineStr"/>
      <c r="I1780" s="37" t="inlineStr">
        <is>
          <t>10+</t>
        </is>
      </c>
      <c r="J1780" s="11">
        <f>IFERROR(INDEX('Уроки'!$H:$H,MATCH(F1780,'Уроки'!$A:$A,0)),"")</f>
        <v/>
      </c>
      <c r="K1780" s="11">
        <f>IFERROR(INDEX('Уроки'!$J:$J,MATCH(F1780,'Уроки'!$A:$A,0)),"")</f>
        <v/>
      </c>
      <c r="L1780" s="11" t="inlineStr">
        <is>
          <t>Spotlight / 11 класс / Module 5 · Who are you? / can (permission/request) / can (permission/request): can vs may — разрешение (may формальнее)</t>
        </is>
      </c>
    </row>
    <row r="1781">
      <c r="A1781" s="37" t="n">
        <v>11</v>
      </c>
      <c r="B1781" s="11" t="inlineStr">
        <is>
          <t>Module 5 · Who are you?</t>
        </is>
      </c>
      <c r="C1781" s="11" t="inlineStr">
        <is>
          <t>5c</t>
        </is>
      </c>
      <c r="D1781" s="11" t="inlineStr">
        <is>
          <t>need/needn't</t>
        </is>
      </c>
      <c r="E1781" s="35" t="inlineStr">
        <is>
          <t>need/needn't: needn't / don't need to — нет необходимости (наст./буд.)</t>
        </is>
      </c>
      <c r="F1781" s="11" t="inlineStr">
        <is>
          <t>Ст-158</t>
        </is>
      </c>
      <c r="G1781" s="37" t="inlineStr">
        <is>
          <t>повторение</t>
        </is>
      </c>
      <c r="H1781" s="11" t="inlineStr">
        <is>
          <t>don't have to / don't need to / needn't</t>
        </is>
      </c>
      <c r="I1781" s="37" t="inlineStr">
        <is>
          <t>10+</t>
        </is>
      </c>
      <c r="J1781" s="11">
        <f>IFERROR(INDEX('Уроки'!$H:$H,MATCH(F1781,'Уроки'!$A:$A,0)),"")</f>
        <v/>
      </c>
      <c r="K1781" s="11">
        <f>IFERROR(INDEX('Уроки'!$J:$J,MATCH(F1781,'Уроки'!$A:$A,0)),"")</f>
        <v/>
      </c>
      <c r="L1781" s="11" t="inlineStr">
        <is>
          <t>Spotlight / 11 класс / Module 5 · Who are you? / need/needn't / need/needn't: needn't / don't need to — нет необходимости (наст./буд.)</t>
        </is>
      </c>
    </row>
    <row r="1782">
      <c r="A1782" s="37" t="n">
        <v>11</v>
      </c>
      <c r="B1782" s="11" t="inlineStr">
        <is>
          <t>Module 5 · Who are you?</t>
        </is>
      </c>
      <c r="C1782" s="11" t="inlineStr">
        <is>
          <t>5c</t>
        </is>
      </c>
      <c r="D1782" s="11" t="inlineStr">
        <is>
          <t>need/needn't</t>
        </is>
      </c>
      <c r="E1782" s="35" t="inlineStr">
        <is>
          <t>need/needn't: needn't have V3 — не было необходимости, но сделали</t>
        </is>
      </c>
      <c r="F1782" s="11" t="inlineStr">
        <is>
          <t>Ст-159</t>
        </is>
      </c>
      <c r="G1782" s="40" t="inlineStr">
        <is>
          <t>новое</t>
        </is>
      </c>
      <c r="H1782" s="11" t="inlineStr">
        <is>
          <t>You needn't have cooked so much food</t>
        </is>
      </c>
      <c r="I1782" s="37" t="inlineStr">
        <is>
          <t>10+</t>
        </is>
      </c>
      <c r="J1782" s="11">
        <f>IFERROR(INDEX('Уроки'!$H:$H,MATCH(F1782,'Уроки'!$A:$A,0)),"")</f>
        <v/>
      </c>
      <c r="K1782" s="11">
        <f>IFERROR(INDEX('Уроки'!$J:$J,MATCH(F1782,'Уроки'!$A:$A,0)),"")</f>
        <v/>
      </c>
      <c r="L1782" s="11" t="inlineStr">
        <is>
          <t>Spotlight / 11 класс / Module 5 · Who are you? / need/needn't / need/needn't: needn't have V3 — не было необходимости, но сделали</t>
        </is>
      </c>
    </row>
    <row r="1783">
      <c r="A1783" s="37" t="n">
        <v>11</v>
      </c>
      <c r="B1783" s="11" t="inlineStr">
        <is>
          <t>Module 5 · Who are you?</t>
        </is>
      </c>
      <c r="C1783" s="11" t="inlineStr">
        <is>
          <t>5c</t>
        </is>
      </c>
      <c r="D1783" s="11" t="inlineStr">
        <is>
          <t>need/needn't</t>
        </is>
      </c>
      <c r="E1783" s="35" t="inlineStr">
        <is>
          <t>need/needn't: needn't have vs didn't have to</t>
        </is>
      </c>
      <c r="F1783" s="11" t="inlineStr">
        <is>
          <t>Ст-160</t>
        </is>
      </c>
      <c r="G1783" s="40" t="inlineStr">
        <is>
          <t>новое</t>
        </is>
      </c>
      <c r="H1783" s="11" t="inlineStr">
        <is>
          <t>didn't have to — неизвестно, сделали ли</t>
        </is>
      </c>
      <c r="I1783" s="37" t="inlineStr">
        <is>
          <t>10+</t>
        </is>
      </c>
      <c r="J1783" s="11">
        <f>IFERROR(INDEX('Уроки'!$H:$H,MATCH(F1783,'Уроки'!$A:$A,0)),"")</f>
        <v/>
      </c>
      <c r="K1783" s="11">
        <f>IFERROR(INDEX('Уроки'!$J:$J,MATCH(F1783,'Уроки'!$A:$A,0)),"")</f>
        <v/>
      </c>
      <c r="L1783" s="11" t="inlineStr">
        <is>
          <t>Spotlight / 11 класс / Module 5 · Who are you? / need/needn't / need/needn't: needn't have vs didn't have to</t>
        </is>
      </c>
    </row>
    <row r="1784">
      <c r="A1784" s="37" t="n">
        <v>11</v>
      </c>
      <c r="B1784" s="11" t="inlineStr">
        <is>
          <t>Module 5 · Who are you?</t>
        </is>
      </c>
      <c r="C1784" s="11" t="inlineStr">
        <is>
          <t>5c</t>
        </is>
      </c>
      <c r="D1784" s="11" t="inlineStr">
        <is>
          <t>need/needn't</t>
        </is>
      </c>
      <c r="E1784" s="35" t="inlineStr">
        <is>
          <t>need/needn't: need (= must) как эквивалент модального</t>
        </is>
      </c>
      <c r="F1784" s="11" t="inlineStr">
        <is>
          <t>Ст-161</t>
        </is>
      </c>
      <c r="G1784" s="37" t="inlineStr">
        <is>
          <t>повторение</t>
        </is>
      </c>
      <c r="H1784" s="11" t="inlineStr">
        <is>
          <t>в списке semi-modals</t>
        </is>
      </c>
      <c r="I1784" s="37" t="inlineStr">
        <is>
          <t>10+</t>
        </is>
      </c>
      <c r="J1784" s="11">
        <f>IFERROR(INDEX('Уроки'!$H:$H,MATCH(F1784,'Уроки'!$A:$A,0)),"")</f>
        <v/>
      </c>
      <c r="K1784" s="11">
        <f>IFERROR(INDEX('Уроки'!$J:$J,MATCH(F1784,'Уроки'!$A:$A,0)),"")</f>
        <v/>
      </c>
      <c r="L1784" s="11" t="inlineStr">
        <is>
          <t>Spotlight / 11 класс / Module 5 · Who are you? / need/needn't / need/needn't: need (= must) как эквивалент модального</t>
        </is>
      </c>
    </row>
    <row r="1785">
      <c r="A1785" s="37" t="n">
        <v>11</v>
      </c>
      <c r="B1785" s="11" t="inlineStr">
        <is>
          <t>Module 5 · Who are you?</t>
        </is>
      </c>
      <c r="C1785" s="11" t="inlineStr">
        <is>
          <t>5c</t>
        </is>
      </c>
      <c r="D1785" s="11" t="inlineStr">
        <is>
          <t>should/shouldn't</t>
        </is>
      </c>
      <c r="E1785" s="33" t="inlineStr">
        <is>
          <t>should/shouldn't: значение — совет, рекомендация; утверждение should + глагол без to</t>
        </is>
      </c>
      <c r="F1785" s="11" t="inlineStr">
        <is>
          <t>Ст-162</t>
        </is>
      </c>
      <c r="G1785" s="37" t="inlineStr">
        <is>
          <t>повторение</t>
        </is>
      </c>
      <c r="H1785" s="11" t="inlineStr"/>
      <c r="I1785" s="37" t="inlineStr">
        <is>
          <t>10+</t>
        </is>
      </c>
      <c r="J1785" s="11">
        <f>IFERROR(INDEX('Уроки'!$H:$H,MATCH(F1785,'Уроки'!$A:$A,0)),"")</f>
        <v/>
      </c>
      <c r="K1785" s="11">
        <f>IFERROR(INDEX('Уроки'!$J:$J,MATCH(F1785,'Уроки'!$A:$A,0)),"")</f>
        <v/>
      </c>
      <c r="L1785" s="11" t="inlineStr">
        <is>
          <t>Spotlight / 11 класс / Module 5 · Who are you? / should/shouldn't / should/shouldn't: значение — совет, рекомендация; утверждение should + глагол без to</t>
        </is>
      </c>
    </row>
    <row r="1786">
      <c r="A1786" s="37" t="n">
        <v>11</v>
      </c>
      <c r="B1786" s="11" t="inlineStr">
        <is>
          <t>Module 5 · Who are you?</t>
        </is>
      </c>
      <c r="C1786" s="11" t="inlineStr">
        <is>
          <t>5c</t>
        </is>
      </c>
      <c r="D1786" s="11" t="inlineStr">
        <is>
          <t>should/shouldn't</t>
        </is>
      </c>
      <c r="E1786" s="34" t="inlineStr">
        <is>
          <t>should/shouldn't: ought to (= should)</t>
        </is>
      </c>
      <c r="F1786" s="11" t="inlineStr">
        <is>
          <t>Ст-165</t>
        </is>
      </c>
      <c r="G1786" s="37" t="inlineStr">
        <is>
          <t>повторение</t>
        </is>
      </c>
      <c r="H1786" s="11" t="inlineStr"/>
      <c r="I1786" s="37" t="inlineStr">
        <is>
          <t>10+</t>
        </is>
      </c>
      <c r="J1786" s="11">
        <f>IFERROR(INDEX('Уроки'!$H:$H,MATCH(F1786,'Уроки'!$A:$A,0)),"")</f>
        <v/>
      </c>
      <c r="K1786" s="11">
        <f>IFERROR(INDEX('Уроки'!$J:$J,MATCH(F1786,'Уроки'!$A:$A,0)),"")</f>
        <v/>
      </c>
      <c r="L1786" s="11" t="inlineStr">
        <is>
          <t>Spotlight / 11 класс / Module 5 · Who are you? / should/shouldn't / should/shouldn't: ought to (= should)</t>
        </is>
      </c>
    </row>
    <row r="1787">
      <c r="A1787" s="37" t="n">
        <v>11</v>
      </c>
      <c r="B1787" s="11" t="inlineStr">
        <is>
          <t>Module 5 · Who are you?</t>
        </is>
      </c>
      <c r="C1787" s="11" t="inlineStr">
        <is>
          <t>5c</t>
        </is>
      </c>
      <c r="D1787" s="11" t="inlineStr">
        <is>
          <t>should/shouldn't</t>
        </is>
      </c>
      <c r="E1787" s="34" t="inlineStr">
        <is>
          <t>should/shouldn't: Shall I…? — просьба о совете</t>
        </is>
      </c>
      <c r="F1787" s="11" t="inlineStr">
        <is>
          <t>Ст-169</t>
        </is>
      </c>
      <c r="G1787" s="37" t="inlineStr">
        <is>
          <t>повторение</t>
        </is>
      </c>
      <c r="H1787" s="11" t="inlineStr"/>
      <c r="I1787" s="37" t="inlineStr">
        <is>
          <t>10+</t>
        </is>
      </c>
      <c r="J1787" s="11">
        <f>IFERROR(INDEX('Уроки'!$H:$H,MATCH(F1787,'Уроки'!$A:$A,0)),"")</f>
        <v/>
      </c>
      <c r="K1787" s="11">
        <f>IFERROR(INDEX('Уроки'!$J:$J,MATCH(F1787,'Уроки'!$A:$A,0)),"")</f>
        <v/>
      </c>
      <c r="L1787" s="11" t="inlineStr">
        <is>
          <t>Spotlight / 11 класс / Module 5 · Who are you? / should/shouldn't / should/shouldn't: Shall I…? — просьба о совете</t>
        </is>
      </c>
    </row>
    <row r="1788">
      <c r="A1788" s="37" t="n">
        <v>11</v>
      </c>
      <c r="B1788" s="11" t="inlineStr">
        <is>
          <t>Module 5 · Who are you?</t>
        </is>
      </c>
      <c r="C1788" s="11" t="inlineStr">
        <is>
          <t>5c</t>
        </is>
      </c>
      <c r="D1788" s="11" t="inlineStr">
        <is>
          <t>should/shouldn't</t>
        </is>
      </c>
      <c r="E1788" s="34" t="inlineStr">
        <is>
          <t>should/shouldn't: had better (= should)</t>
        </is>
      </c>
      <c r="F1788" s="11" t="inlineStr">
        <is>
          <t>Ст-171</t>
        </is>
      </c>
      <c r="G1788" s="40" t="inlineStr">
        <is>
          <t>новое</t>
        </is>
      </c>
      <c r="H1788" s="11" t="inlineStr">
        <is>
          <t>в списке semi-modals</t>
        </is>
      </c>
      <c r="I1788" s="37" t="inlineStr">
        <is>
          <t>10+</t>
        </is>
      </c>
      <c r="J1788" s="11">
        <f>IFERROR(INDEX('Уроки'!$H:$H,MATCH(F1788,'Уроки'!$A:$A,0)),"")</f>
        <v/>
      </c>
      <c r="K1788" s="11">
        <f>IFERROR(INDEX('Уроки'!$J:$J,MATCH(F1788,'Уроки'!$A:$A,0)),"")</f>
        <v/>
      </c>
      <c r="L1788" s="11" t="inlineStr">
        <is>
          <t>Spotlight / 11 класс / Module 5 · Who are you? / should/shouldn't / should/shouldn't: had better (= should)</t>
        </is>
      </c>
    </row>
    <row r="1789">
      <c r="A1789" s="37" t="n">
        <v>11</v>
      </c>
      <c r="B1789" s="11" t="inlineStr">
        <is>
          <t>Module 5 · Who are you?</t>
        </is>
      </c>
      <c r="C1789" s="11" t="inlineStr">
        <is>
          <t>5c</t>
        </is>
      </c>
      <c r="D1789" s="11" t="inlineStr">
        <is>
          <t>Modal verbs (deduction)</t>
        </is>
      </c>
      <c r="E1789" s="35" t="inlineStr">
        <is>
          <t>Modal verbs (deduction): must — уверенность (о настоящем)</t>
        </is>
      </c>
      <c r="F1789" s="11" t="inlineStr">
        <is>
          <t>Ст-172</t>
        </is>
      </c>
      <c r="G1789" s="37" t="inlineStr">
        <is>
          <t>повторение</t>
        </is>
      </c>
      <c r="H1789" s="11" t="inlineStr">
        <is>
          <t>He must be on his way home</t>
        </is>
      </c>
      <c r="I1789" s="37" t="inlineStr">
        <is>
          <t>10+</t>
        </is>
      </c>
      <c r="J1789" s="11">
        <f>IFERROR(INDEX('Уроки'!$H:$H,MATCH(F1789,'Уроки'!$A:$A,0)),"")</f>
        <v/>
      </c>
      <c r="K1789" s="11">
        <f>IFERROR(INDEX('Уроки'!$J:$J,MATCH(F1789,'Уроки'!$A:$A,0)),"")</f>
        <v/>
      </c>
      <c r="L1789" s="11" t="inlineStr">
        <is>
          <t>Spotlight / 11 класс / Module 5 · Who are you? / Modal verbs (deduction) / Modal verbs (deduction): must — уверенность (о настоящем)</t>
        </is>
      </c>
    </row>
    <row r="1790">
      <c r="A1790" s="37" t="n">
        <v>11</v>
      </c>
      <c r="B1790" s="11" t="inlineStr">
        <is>
          <t>Module 5 · Who are you?</t>
        </is>
      </c>
      <c r="C1790" s="11" t="inlineStr">
        <is>
          <t>5c</t>
        </is>
      </c>
      <c r="D1790" s="11" t="inlineStr">
        <is>
          <t>Modal verbs (deduction)</t>
        </is>
      </c>
      <c r="E1790" s="35" t="inlineStr">
        <is>
          <t>Modal verbs (deduction): may/might/could — вероятность (о настоящем)</t>
        </is>
      </c>
      <c r="F1790" s="11" t="inlineStr">
        <is>
          <t>Ст-173</t>
        </is>
      </c>
      <c r="G1790" s="37" t="inlineStr">
        <is>
          <t>повторение</t>
        </is>
      </c>
      <c r="H1790" s="11" t="inlineStr"/>
      <c r="I1790" s="37" t="inlineStr">
        <is>
          <t>10+</t>
        </is>
      </c>
      <c r="J1790" s="11">
        <f>IFERROR(INDEX('Уроки'!$H:$H,MATCH(F1790,'Уроки'!$A:$A,0)),"")</f>
        <v/>
      </c>
      <c r="K1790" s="11">
        <f>IFERROR(INDEX('Уроки'!$J:$J,MATCH(F1790,'Уроки'!$A:$A,0)),"")</f>
        <v/>
      </c>
      <c r="L1790" s="11" t="inlineStr">
        <is>
          <t>Spotlight / 11 класс / Module 5 · Who are you? / Modal verbs (deduction) / Modal verbs (deduction): may/might/could — вероятность (о настоящем)</t>
        </is>
      </c>
    </row>
    <row r="1791">
      <c r="A1791" s="37" t="n">
        <v>11</v>
      </c>
      <c r="B1791" s="11" t="inlineStr">
        <is>
          <t>Module 5 · Who are you?</t>
        </is>
      </c>
      <c r="C1791" s="11" t="inlineStr">
        <is>
          <t>5c</t>
        </is>
      </c>
      <c r="D1791" s="11" t="inlineStr">
        <is>
          <t>Modal verbs (deduction)</t>
        </is>
      </c>
      <c r="E1791" s="35" t="inlineStr">
        <is>
          <t>Modal verbs (deduction): can't/couldn't — невозможность (о настоящем)</t>
        </is>
      </c>
      <c r="F1791" s="11" t="inlineStr">
        <is>
          <t>Ст-174</t>
        </is>
      </c>
      <c r="G1791" s="37" t="inlineStr">
        <is>
          <t>повторение</t>
        </is>
      </c>
      <c r="H1791" s="11" t="inlineStr"/>
      <c r="I1791" s="37" t="inlineStr">
        <is>
          <t>10+</t>
        </is>
      </c>
      <c r="J1791" s="11">
        <f>IFERROR(INDEX('Уроки'!$H:$H,MATCH(F1791,'Уроки'!$A:$A,0)),"")</f>
        <v/>
      </c>
      <c r="K1791" s="11">
        <f>IFERROR(INDEX('Уроки'!$J:$J,MATCH(F1791,'Уроки'!$A:$A,0)),"")</f>
        <v/>
      </c>
      <c r="L1791" s="11" t="inlineStr">
        <is>
          <t>Spotlight / 11 класс / Module 5 · Who are you? / Modal verbs (deduction) / Modal verbs (deduction): can't/couldn't — невозможность (о настоящем)</t>
        </is>
      </c>
    </row>
    <row r="1792">
      <c r="A1792" s="37" t="n">
        <v>11</v>
      </c>
      <c r="B1792" s="11" t="inlineStr">
        <is>
          <t>Module 5 · Who are you?</t>
        </is>
      </c>
      <c r="C1792" s="11" t="inlineStr">
        <is>
          <t>5c</t>
        </is>
      </c>
      <c r="D1792" s="11" t="inlineStr">
        <is>
          <t>Modal verbs (deduction)</t>
        </is>
      </c>
      <c r="E1792" s="35" t="inlineStr">
        <is>
          <t>Modal verbs (deduction): выводы о прошлом — must/may/might/could/can't + have V3</t>
        </is>
      </c>
      <c r="F1792" s="11" t="inlineStr">
        <is>
          <t>Ст-175</t>
        </is>
      </c>
      <c r="G1792" s="37" t="inlineStr">
        <is>
          <t>повторение</t>
        </is>
      </c>
      <c r="H1792" s="11" t="inlineStr">
        <is>
          <t>They could have been killed</t>
        </is>
      </c>
      <c r="I1792" s="37" t="inlineStr">
        <is>
          <t>10+</t>
        </is>
      </c>
      <c r="J1792" s="11">
        <f>IFERROR(INDEX('Уроки'!$H:$H,MATCH(F1792,'Уроки'!$A:$A,0)),"")</f>
        <v/>
      </c>
      <c r="K1792" s="11">
        <f>IFERROR(INDEX('Уроки'!$J:$J,MATCH(F1792,'Уроки'!$A:$A,0)),"")</f>
        <v/>
      </c>
      <c r="L1792" s="11" t="inlineStr">
        <is>
          <t>Spotlight / 11 класс / Module 5 · Who are you? / Modal verbs (deduction) / Modal verbs (deduction): выводы о прошлом — must/may/might/could/can't + have V3</t>
        </is>
      </c>
    </row>
    <row r="1793">
      <c r="A1793" s="37" t="n">
        <v>11</v>
      </c>
      <c r="B1793" s="11" t="inlineStr">
        <is>
          <t>Module 5 · Who are you?</t>
        </is>
      </c>
      <c r="C1793" s="11" t="inlineStr">
        <is>
          <t>5c</t>
        </is>
      </c>
      <c r="D1793" s="11" t="inlineStr">
        <is>
          <t>Modal verbs (deduction)</t>
        </is>
      </c>
      <c r="E1793" s="35" t="inlineStr">
        <is>
          <t>Modal verbs (deduction): вероятность — will (100%) vs should/ought to (90%)</t>
        </is>
      </c>
      <c r="F1793" s="11" t="inlineStr">
        <is>
          <t>Ст-176</t>
        </is>
      </c>
      <c r="G1793" s="37" t="inlineStr">
        <is>
          <t>повторение</t>
        </is>
      </c>
      <c r="H1793" s="11" t="inlineStr">
        <is>
          <t>should/ought to — только о будущем</t>
        </is>
      </c>
      <c r="I1793" s="37" t="inlineStr">
        <is>
          <t>10+</t>
        </is>
      </c>
      <c r="J1793" s="11">
        <f>IFERROR(INDEX('Уроки'!$H:$H,MATCH(F1793,'Уроки'!$A:$A,0)),"")</f>
        <v/>
      </c>
      <c r="K1793" s="11">
        <f>IFERROR(INDEX('Уроки'!$J:$J,MATCH(F1793,'Уроки'!$A:$A,0)),"")</f>
        <v/>
      </c>
      <c r="L1793" s="11" t="inlineStr">
        <is>
          <t>Spotlight / 11 класс / Module 5 · Who are you? / Modal verbs (deduction) / Modal verbs (deduction): вероятность — will (100%) vs should/ought to (90%)</t>
        </is>
      </c>
    </row>
    <row r="1794">
      <c r="A1794" s="37" t="n">
        <v>11</v>
      </c>
      <c r="B1794" s="11" t="inlineStr">
        <is>
          <t>Module 5 · Who are you?</t>
        </is>
      </c>
      <c r="C1794" s="11" t="inlineStr">
        <is>
          <t>5c</t>
        </is>
      </c>
      <c r="D1794" s="11" t="inlineStr">
        <is>
          <t>Modal verbs (functions)</t>
        </is>
      </c>
      <c r="E1794" s="33" t="inlineStr">
        <is>
          <t>Modal verbs: общие правила формы — без -s/-ing/-ed, + инфинитив без to</t>
        </is>
      </c>
      <c r="F1794" s="11" t="inlineStr">
        <is>
          <t>Ст-178</t>
        </is>
      </c>
      <c r="G1794" s="37" t="inlineStr">
        <is>
          <t>повторение</t>
        </is>
      </c>
      <c r="H1794" s="11" t="inlineStr"/>
      <c r="I1794" s="37" t="inlineStr">
        <is>
          <t>10+</t>
        </is>
      </c>
      <c r="J1794" s="11">
        <f>IFERROR(INDEX('Уроки'!$H:$H,MATCH(F1794,'Уроки'!$A:$A,0)),"")</f>
        <v/>
      </c>
      <c r="K1794" s="11">
        <f>IFERROR(INDEX('Уроки'!$J:$J,MATCH(F1794,'Уроки'!$A:$A,0)),"")</f>
        <v/>
      </c>
      <c r="L1794" s="11" t="inlineStr">
        <is>
          <t>Spotlight / 11 класс / Module 5 · Who are you? / Modal verbs (functions) / Modal verbs: общие правила формы — без -s/-ing/-ed, + инфинитив без to</t>
        </is>
      </c>
    </row>
    <row r="1795">
      <c r="A1795" s="37" t="n">
        <v>11</v>
      </c>
      <c r="B1795" s="11" t="inlineStr">
        <is>
          <t>Module 5 · Who are you?</t>
        </is>
      </c>
      <c r="C1795" s="11" t="inlineStr">
        <is>
          <t>5c</t>
        </is>
      </c>
      <c r="D1795" s="11" t="inlineStr">
        <is>
          <t>Modal verbs (functions)</t>
        </is>
      </c>
      <c r="E1795" s="35" t="inlineStr">
        <is>
          <t>Modal verbs: вопрос и отрицание (инверсия, not)</t>
        </is>
      </c>
      <c r="F1795" s="11" t="inlineStr">
        <is>
          <t>Ст-179</t>
        </is>
      </c>
      <c r="G1795" s="37" t="inlineStr">
        <is>
          <t>повторение</t>
        </is>
      </c>
      <c r="H1795" s="11" t="inlineStr"/>
      <c r="I1795" s="37" t="inlineStr">
        <is>
          <t>10+</t>
        </is>
      </c>
      <c r="J1795" s="11">
        <f>IFERROR(INDEX('Уроки'!$H:$H,MATCH(F1795,'Уроки'!$A:$A,0)),"")</f>
        <v/>
      </c>
      <c r="K1795" s="11">
        <f>IFERROR(INDEX('Уроки'!$J:$J,MATCH(F1795,'Уроки'!$A:$A,0)),"")</f>
        <v/>
      </c>
      <c r="L1795" s="11" t="inlineStr">
        <is>
          <t>Spotlight / 11 класс / Module 5 · Who are you? / Modal verbs (functions) / Modal verbs: вопрос и отрицание (инверсия, not)</t>
        </is>
      </c>
    </row>
    <row r="1796">
      <c r="A1796" s="37" t="n">
        <v>11</v>
      </c>
      <c r="B1796" s="11" t="inlineStr">
        <is>
          <t>Module 5 · Who are you?</t>
        </is>
      </c>
      <c r="C1796" s="11" t="inlineStr">
        <is>
          <t>5c</t>
        </is>
      </c>
      <c r="D1796" s="11" t="inlineStr">
        <is>
          <t>Modal verbs (functions)</t>
        </is>
      </c>
      <c r="E1796" s="35" t="inlineStr">
        <is>
          <t>Modal verbs: + простой инфинитив (наст./буд.) vs + перфектный инфинитив (прошлое)</t>
        </is>
      </c>
      <c r="F1796" s="11" t="inlineStr">
        <is>
          <t>Ст-180</t>
        </is>
      </c>
      <c r="G1796" s="37" t="inlineStr">
        <is>
          <t>повторение</t>
        </is>
      </c>
      <c r="H1796" s="11" t="inlineStr">
        <is>
          <t>незавершённое vs завершённое действие</t>
        </is>
      </c>
      <c r="I1796" s="37" t="inlineStr">
        <is>
          <t>10+</t>
        </is>
      </c>
      <c r="J1796" s="11">
        <f>IFERROR(INDEX('Уроки'!$H:$H,MATCH(F1796,'Уроки'!$A:$A,0)),"")</f>
        <v/>
      </c>
      <c r="K1796" s="11">
        <f>IFERROR(INDEX('Уроки'!$J:$J,MATCH(F1796,'Уроки'!$A:$A,0)),"")</f>
        <v/>
      </c>
      <c r="L1796" s="11" t="inlineStr">
        <is>
          <t>Spotlight / 11 класс / Module 5 · Who are you? / Modal verbs (functions) / Modal verbs: + простой инфинитив (наст./буд.) vs + перфектный инфинитив (прошлое)</t>
        </is>
      </c>
    </row>
    <row r="1797">
      <c r="A1797" s="37" t="n">
        <v>11</v>
      </c>
      <c r="B1797" s="11" t="inlineStr">
        <is>
          <t>Module 5 · Who are you?</t>
        </is>
      </c>
      <c r="C1797" s="11" t="inlineStr">
        <is>
          <t>5c</t>
        </is>
      </c>
      <c r="D1797" s="11" t="inlineStr">
        <is>
          <t>Modal verbs (functions)</t>
        </is>
      </c>
      <c r="E1797" s="35" t="inlineStr">
        <is>
          <t>Modal verbs: формы инфинитива — simple / continuous / perfect / perfect continuous</t>
        </is>
      </c>
      <c r="F1797" s="11" t="inlineStr">
        <is>
          <t>Ст-181</t>
        </is>
      </c>
      <c r="G1797" s="37" t="inlineStr">
        <is>
          <t>повторение</t>
        </is>
      </c>
      <c r="H1797" s="11" t="inlineStr"/>
      <c r="I1797" s="37" t="inlineStr">
        <is>
          <t>10+</t>
        </is>
      </c>
      <c r="J1797" s="11">
        <f>IFERROR(INDEX('Уроки'!$H:$H,MATCH(F1797,'Уроки'!$A:$A,0)),"")</f>
        <v/>
      </c>
      <c r="K1797" s="11">
        <f>IFERROR(INDEX('Уроки'!$J:$J,MATCH(F1797,'Уроки'!$A:$A,0)),"")</f>
        <v/>
      </c>
      <c r="L1797" s="11" t="inlineStr">
        <is>
          <t>Spotlight / 11 класс / Module 5 · Who are you? / Modal verbs (functions) / Modal verbs: формы инфинитива — simple / continuous / perfect / perfect continuous</t>
        </is>
      </c>
    </row>
    <row r="1798">
      <c r="A1798" s="37" t="n">
        <v>11</v>
      </c>
      <c r="B1798" s="11" t="inlineStr">
        <is>
          <t>Module 5 · Who are you?</t>
        </is>
      </c>
      <c r="C1798" s="11" t="inlineStr">
        <is>
          <t>5c</t>
        </is>
      </c>
      <c r="D1798" s="11" t="inlineStr">
        <is>
          <t>Modal verbs (functions)</t>
        </is>
      </c>
      <c r="E1798" s="35" t="inlineStr">
        <is>
          <t>Modal verbs: значение — критика (could / should / ought to)</t>
        </is>
      </c>
      <c r="F1798" s="11" t="inlineStr">
        <is>
          <t>Ст-182</t>
        </is>
      </c>
      <c r="G1798" s="37" t="inlineStr">
        <is>
          <t>повторение</t>
        </is>
      </c>
      <c r="H1798" s="11" t="inlineStr">
        <is>
          <t>could at least have called; should have + PP</t>
        </is>
      </c>
      <c r="I1798" s="37" t="inlineStr">
        <is>
          <t>10+</t>
        </is>
      </c>
      <c r="J1798" s="11">
        <f>IFERROR(INDEX('Уроки'!$H:$H,MATCH(F1798,'Уроки'!$A:$A,0)),"")</f>
        <v/>
      </c>
      <c r="K1798" s="11">
        <f>IFERROR(INDEX('Уроки'!$J:$J,MATCH(F1798,'Уроки'!$A:$A,0)),"")</f>
        <v/>
      </c>
      <c r="L1798" s="11" t="inlineStr">
        <is>
          <t>Spotlight / 11 класс / Module 5 · Who are you? / Modal verbs (functions) / Modal verbs: значение — критика (could / should / ought to)</t>
        </is>
      </c>
    </row>
    <row r="1799">
      <c r="A1799" s="37" t="n">
        <v>11</v>
      </c>
      <c r="B1799" s="11" t="inlineStr">
        <is>
          <t>Module 5 · Who are you?</t>
        </is>
      </c>
      <c r="C1799" s="11" t="inlineStr">
        <is>
          <t>5c</t>
        </is>
      </c>
      <c r="D1799" s="11" t="inlineStr">
        <is>
          <t>Modal verbs (functions)</t>
        </is>
      </c>
      <c r="E1799" s="35" t="inlineStr">
        <is>
          <t>Modal verbs: значение — предложения (offers/suggestions)</t>
        </is>
      </c>
      <c r="F1799" s="11" t="inlineStr">
        <is>
          <t>Ст-186</t>
        </is>
      </c>
      <c r="G1799" s="40" t="inlineStr">
        <is>
          <t>новое</t>
        </is>
      </c>
      <c r="H1799" s="11" t="inlineStr">
        <is>
          <t>Would you like…? Shall I…? Can I…? We can/could…</t>
        </is>
      </c>
      <c r="I1799" s="37" t="inlineStr">
        <is>
          <t>10+</t>
        </is>
      </c>
      <c r="J1799" s="11">
        <f>IFERROR(INDEX('Уроки'!$H:$H,MATCH(F1799,'Уроки'!$A:$A,0)),"")</f>
        <v/>
      </c>
      <c r="K1799" s="11">
        <f>IFERROR(INDEX('Уроки'!$J:$J,MATCH(F1799,'Уроки'!$A:$A,0)),"")</f>
        <v/>
      </c>
      <c r="L1799" s="11" t="inlineStr">
        <is>
          <t>Spotlight / 11 класс / Module 5 · Who are you? / Modal verbs (functions) / Modal verbs: значение — предложения (offers/suggestions)</t>
        </is>
      </c>
    </row>
    <row r="1800">
      <c r="A1800" s="37" t="n">
        <v>11</v>
      </c>
      <c r="B1800" s="11" t="inlineStr">
        <is>
          <t>Module 5 · Who are you?</t>
        </is>
      </c>
      <c r="C1800" s="11" t="inlineStr">
        <is>
          <t>5c</t>
        </is>
      </c>
      <c r="D1800" s="11" t="inlineStr">
        <is>
          <t>Modal verbs (functions)</t>
        </is>
      </c>
      <c r="E1800" s="35" t="inlineStr">
        <is>
          <t>Modal verbs: обзор значений модальных (систематизация)</t>
        </is>
      </c>
      <c r="F1800" s="11" t="inlineStr">
        <is>
          <t>Ст-187</t>
        </is>
      </c>
      <c r="G1800" s="37" t="inlineStr">
        <is>
          <t>повторение</t>
        </is>
      </c>
      <c r="H1800" s="11" t="inlineStr">
        <is>
          <t>систематизация по функциям</t>
        </is>
      </c>
      <c r="I1800" s="37" t="inlineStr">
        <is>
          <t>10+</t>
        </is>
      </c>
      <c r="J1800" s="11">
        <f>IFERROR(INDEX('Уроки'!$H:$H,MATCH(F1800,'Уроки'!$A:$A,0)),"")</f>
        <v/>
      </c>
      <c r="K1800" s="11">
        <f>IFERROR(INDEX('Уроки'!$J:$J,MATCH(F1800,'Уроки'!$A:$A,0)),"")</f>
        <v/>
      </c>
      <c r="L1800" s="11" t="inlineStr">
        <is>
          <t>Spotlight / 11 класс / Module 5 · Who are you? / Modal verbs (functions) / Modal verbs: обзор значений модальных (систематизация)</t>
        </is>
      </c>
    </row>
    <row r="1801">
      <c r="A1801" s="37" t="n">
        <v>11</v>
      </c>
      <c r="B1801" s="11" t="inlineStr">
        <is>
          <t>Module 5 · Who are you?</t>
        </is>
      </c>
      <c r="C1801" s="11" t="inlineStr">
        <is>
          <t>5c</t>
        </is>
      </c>
      <c r="D1801" s="11" t="inlineStr">
        <is>
          <t>can/could (ability past)</t>
        </is>
      </c>
      <c r="E1801" s="35" t="inlineStr">
        <is>
          <t>can/could (ability past): could — общая способность в прошлом</t>
        </is>
      </c>
      <c r="F1801" s="11" t="inlineStr">
        <is>
          <t>Ст-195</t>
        </is>
      </c>
      <c r="G1801" s="37" t="inlineStr">
        <is>
          <t>повторение</t>
        </is>
      </c>
      <c r="H1801" s="11" t="inlineStr"/>
      <c r="I1801" s="37" t="inlineStr">
        <is>
          <t>10+</t>
        </is>
      </c>
      <c r="J1801" s="11">
        <f>IFERROR(INDEX('Уроки'!$H:$H,MATCH(F1801,'Уроки'!$A:$A,0)),"")</f>
        <v/>
      </c>
      <c r="K1801" s="11">
        <f>IFERROR(INDEX('Уроки'!$J:$J,MATCH(F1801,'Уроки'!$A:$A,0)),"")</f>
        <v/>
      </c>
      <c r="L1801" s="11" t="inlineStr">
        <is>
          <t>Spotlight / 11 класс / Module 5 · Who are you? / can/could (ability past) / can/could (ability past): could — общая способность в прошлом</t>
        </is>
      </c>
    </row>
    <row r="1802">
      <c r="A1802" s="37" t="n">
        <v>11</v>
      </c>
      <c r="B1802" s="11" t="inlineStr">
        <is>
          <t>Module 5 · Who are you?</t>
        </is>
      </c>
      <c r="C1802" s="11" t="inlineStr">
        <is>
          <t>5c</t>
        </is>
      </c>
      <c r="D1802" s="11" t="inlineStr">
        <is>
          <t>can/could (ability past)</t>
        </is>
      </c>
      <c r="E1802" s="35" t="inlineStr">
        <is>
          <t>can/could (ability past): was/were able to — способность в конкретной ситуации</t>
        </is>
      </c>
      <c r="F1802" s="11" t="inlineStr">
        <is>
          <t>Ст-196</t>
        </is>
      </c>
      <c r="G1802" s="37" t="inlineStr">
        <is>
          <t>повторение</t>
        </is>
      </c>
      <c r="H1802" s="11" t="inlineStr"/>
      <c r="I1802" s="37" t="inlineStr">
        <is>
          <t>10+</t>
        </is>
      </c>
      <c r="J1802" s="11">
        <f>IFERROR(INDEX('Уроки'!$H:$H,MATCH(F1802,'Уроки'!$A:$A,0)),"")</f>
        <v/>
      </c>
      <c r="K1802" s="11">
        <f>IFERROR(INDEX('Уроки'!$J:$J,MATCH(F1802,'Уроки'!$A:$A,0)),"")</f>
        <v/>
      </c>
      <c r="L1802" s="11" t="inlineStr">
        <is>
          <t>Spotlight / 11 класс / Module 5 · Who are you? / can/could (ability past) / can/could (ability past): was/were able to — способность в конкретной ситуации</t>
        </is>
      </c>
    </row>
    <row r="1803">
      <c r="A1803" s="37" t="n">
        <v>11</v>
      </c>
      <c r="B1803" s="11" t="inlineStr">
        <is>
          <t>Module 5 · Who are you?</t>
        </is>
      </c>
      <c r="C1803" s="11" t="inlineStr">
        <is>
          <t>5c</t>
        </is>
      </c>
      <c r="D1803" s="11" t="inlineStr">
        <is>
          <t>can/could (ability past)</t>
        </is>
      </c>
      <c r="E1803" s="35" t="inlineStr">
        <is>
          <t>can/could (ability past): couldn't — неспособность в прошлом</t>
        </is>
      </c>
      <c r="F1803" s="11" t="inlineStr">
        <is>
          <t>Ст-197</t>
        </is>
      </c>
      <c r="G1803" s="37" t="inlineStr">
        <is>
          <t>повторение</t>
        </is>
      </c>
      <c r="H1803" s="11" t="inlineStr">
        <is>
          <t>любая неспособность — повторяющаяся или конкретная</t>
        </is>
      </c>
      <c r="I1803" s="37" t="inlineStr">
        <is>
          <t>10+</t>
        </is>
      </c>
      <c r="J1803" s="11">
        <f>IFERROR(INDEX('Уроки'!$H:$H,MATCH(F1803,'Уроки'!$A:$A,0)),"")</f>
        <v/>
      </c>
      <c r="K1803" s="11">
        <f>IFERROR(INDEX('Уроки'!$J:$J,MATCH(F1803,'Уроки'!$A:$A,0)),"")</f>
        <v/>
      </c>
      <c r="L1803" s="11" t="inlineStr">
        <is>
          <t>Spotlight / 11 класс / Module 5 · Who are you? / can/could (ability past) / can/could (ability past): couldn't — неспособность в прошлом</t>
        </is>
      </c>
    </row>
    <row r="1804">
      <c r="A1804" s="37" t="n">
        <v>11</v>
      </c>
      <c r="B1804" s="11" t="inlineStr">
        <is>
          <t>Module 5 · Who are you?</t>
        </is>
      </c>
      <c r="C1804" s="11" t="inlineStr">
        <is>
          <t>5c</t>
        </is>
      </c>
      <c r="D1804" s="11" t="inlineStr">
        <is>
          <t>can/could (ability past)</t>
        </is>
      </c>
      <c r="E1804" s="35" t="inlineStr">
        <is>
          <t>can/could (ability past): be able to в других временах (will be able to)</t>
        </is>
      </c>
      <c r="F1804" s="11" t="inlineStr">
        <is>
          <t>Ст-198</t>
        </is>
      </c>
      <c r="G1804" s="40" t="inlineStr">
        <is>
          <t>новое</t>
        </is>
      </c>
      <c r="H1804" s="11" t="inlineStr">
        <is>
          <t>Will you be able to help me?</t>
        </is>
      </c>
      <c r="I1804" s="37" t="inlineStr">
        <is>
          <t>10+</t>
        </is>
      </c>
      <c r="J1804" s="11">
        <f>IFERROR(INDEX('Уроки'!$H:$H,MATCH(F1804,'Уроки'!$A:$A,0)),"")</f>
        <v/>
      </c>
      <c r="K1804" s="11">
        <f>IFERROR(INDEX('Уроки'!$J:$J,MATCH(F1804,'Уроки'!$A:$A,0)),"")</f>
        <v/>
      </c>
      <c r="L1804" s="11" t="inlineStr">
        <is>
          <t>Spotlight / 11 класс / Module 5 · Who are you? / can/could (ability past) / can/could (ability past): be able to в других временах (will be able to)</t>
        </is>
      </c>
    </row>
    <row r="1805">
      <c r="A1805" s="37" t="n">
        <v>11</v>
      </c>
      <c r="B1805" s="11" t="inlineStr">
        <is>
          <t>Module 5 · Who are you?</t>
        </is>
      </c>
      <c r="C1805" s="11" t="inlineStr">
        <is>
          <t>5c</t>
        </is>
      </c>
      <c r="D1805" s="11" t="inlineStr">
        <is>
          <t>Semi-modals</t>
        </is>
      </c>
      <c r="E1805" s="35" t="inlineStr">
        <is>
          <t>Semi-modals: need (= must), have (got) to (= must)</t>
        </is>
      </c>
      <c r="F1805" s="11" t="inlineStr">
        <is>
          <t>Ст-199</t>
        </is>
      </c>
      <c r="G1805" s="40" t="inlineStr">
        <is>
          <t>новое</t>
        </is>
      </c>
      <c r="H1805" s="11" t="inlineStr"/>
      <c r="I1805" s="37" t="inlineStr">
        <is>
          <t>10+</t>
        </is>
      </c>
      <c r="J1805" s="11">
        <f>IFERROR(INDEX('Уроки'!$H:$H,MATCH(F1805,'Уроки'!$A:$A,0)),"")</f>
        <v/>
      </c>
      <c r="K1805" s="11">
        <f>IFERROR(INDEX('Уроки'!$J:$J,MATCH(F1805,'Уроки'!$A:$A,0)),"")</f>
        <v/>
      </c>
      <c r="L1805" s="11" t="inlineStr">
        <is>
          <t>Spotlight / 11 класс / Module 5 · Who are you? / Semi-modals / Semi-modals: need (= must), have (got) to (= must)</t>
        </is>
      </c>
    </row>
    <row r="1806">
      <c r="A1806" s="37" t="n">
        <v>11</v>
      </c>
      <c r="B1806" s="11" t="inlineStr">
        <is>
          <t>Module 5 · Who are you?</t>
        </is>
      </c>
      <c r="C1806" s="11" t="inlineStr">
        <is>
          <t>5c</t>
        </is>
      </c>
      <c r="D1806" s="11" t="inlineStr">
        <is>
          <t>Semi-modals</t>
        </is>
      </c>
      <c r="E1806" s="35" t="inlineStr">
        <is>
          <t>Semi-modals: had better (= should)</t>
        </is>
      </c>
      <c r="F1806" s="11" t="inlineStr">
        <is>
          <t>Ст-200</t>
        </is>
      </c>
      <c r="G1806" s="40" t="inlineStr">
        <is>
          <t>новое</t>
        </is>
      </c>
      <c r="H1806" s="11" t="inlineStr"/>
      <c r="I1806" s="37" t="inlineStr">
        <is>
          <t>10+</t>
        </is>
      </c>
      <c r="J1806" s="11">
        <f>IFERROR(INDEX('Уроки'!$H:$H,MATCH(F1806,'Уроки'!$A:$A,0)),"")</f>
        <v/>
      </c>
      <c r="K1806" s="11">
        <f>IFERROR(INDEX('Уроки'!$J:$J,MATCH(F1806,'Уроки'!$A:$A,0)),"")</f>
        <v/>
      </c>
      <c r="L1806" s="11" t="inlineStr">
        <is>
          <t>Spotlight / 11 класс / Module 5 · Who are you? / Semi-modals / Semi-modals: had better (= should)</t>
        </is>
      </c>
    </row>
    <row r="1807">
      <c r="A1807" s="37" t="n">
        <v>11</v>
      </c>
      <c r="B1807" s="11" t="inlineStr">
        <is>
          <t>Module 5 · Who are you?</t>
        </is>
      </c>
      <c r="C1807" s="11" t="inlineStr">
        <is>
          <t>5c</t>
        </is>
      </c>
      <c r="D1807" s="11" t="inlineStr">
        <is>
          <t>Semi-modals</t>
        </is>
      </c>
      <c r="E1807" s="35" t="inlineStr">
        <is>
          <t>Semi-modals: be able to (= can)</t>
        </is>
      </c>
      <c r="F1807" s="11" t="inlineStr">
        <is>
          <t>Ст-201</t>
        </is>
      </c>
      <c r="G1807" s="40" t="inlineStr">
        <is>
          <t>новое</t>
        </is>
      </c>
      <c r="H1807" s="11" t="inlineStr"/>
      <c r="I1807" s="37" t="inlineStr">
        <is>
          <t>10+</t>
        </is>
      </c>
      <c r="J1807" s="11">
        <f>IFERROR(INDEX('Уроки'!$H:$H,MATCH(F1807,'Уроки'!$A:$A,0)),"")</f>
        <v/>
      </c>
      <c r="K1807" s="11">
        <f>IFERROR(INDEX('Уроки'!$J:$J,MATCH(F1807,'Уроки'!$A:$A,0)),"")</f>
        <v/>
      </c>
      <c r="L1807" s="11" t="inlineStr">
        <is>
          <t>Spotlight / 11 класс / Module 5 · Who are you? / Semi-modals / Semi-modals: be able to (= can)</t>
        </is>
      </c>
    </row>
    <row r="1808">
      <c r="A1808" s="37" t="n">
        <v>11</v>
      </c>
      <c r="B1808" s="11" t="inlineStr">
        <is>
          <t>Module 5 · Who are you?</t>
        </is>
      </c>
      <c r="C1808" s="11" t="inlineStr">
        <is>
          <t>5c</t>
        </is>
      </c>
      <c r="D1808" s="11" t="inlineStr">
        <is>
          <t>Semi-modals</t>
        </is>
      </c>
      <c r="E1808" s="35" t="inlineStr">
        <is>
          <t>Semi-modals: used to (= would)</t>
        </is>
      </c>
      <c r="F1808" s="11" t="inlineStr">
        <is>
          <t>Ст-202</t>
        </is>
      </c>
      <c r="G1808" s="40" t="inlineStr">
        <is>
          <t>новое</t>
        </is>
      </c>
      <c r="H1808" s="11" t="inlineStr"/>
      <c r="I1808" s="37" t="inlineStr">
        <is>
          <t>10+</t>
        </is>
      </c>
      <c r="J1808" s="11">
        <f>IFERROR(INDEX('Уроки'!$H:$H,MATCH(F1808,'Уроки'!$A:$A,0)),"")</f>
        <v/>
      </c>
      <c r="K1808" s="11">
        <f>IFERROR(INDEX('Уроки'!$J:$J,MATCH(F1808,'Уроки'!$A:$A,0)),"")</f>
        <v/>
      </c>
      <c r="L1808" s="11" t="inlineStr">
        <is>
          <t>Spotlight / 11 класс / Module 5 · Who are you? / Semi-modals / Semi-modals: used to (= would)</t>
        </is>
      </c>
    </row>
    <row r="1809">
      <c r="A1809" s="37" t="n">
        <v>11</v>
      </c>
      <c r="B1809" s="11" t="inlineStr">
        <is>
          <t>Module 5 · Who are you?</t>
        </is>
      </c>
      <c r="C1809" s="11" t="inlineStr">
        <is>
          <t>5c</t>
        </is>
      </c>
      <c r="D1809" s="11" t="inlineStr">
        <is>
          <t>must/have to (obligation)</t>
        </is>
      </c>
      <c r="E1809" s="35" t="inlineStr">
        <is>
          <t>must/have to (obligation): must vs have to — субъективная vs объективная необходимость</t>
        </is>
      </c>
      <c r="F1809" s="11" t="inlineStr">
        <is>
          <t>Ст-203</t>
        </is>
      </c>
      <c r="G1809" s="40" t="inlineStr">
        <is>
          <t>новое</t>
        </is>
      </c>
      <c r="H1809" s="11" t="inlineStr">
        <is>
          <t>must — говорящий решил сам; have to — объективные обстоятельства</t>
        </is>
      </c>
      <c r="I1809" s="37" t="inlineStr">
        <is>
          <t>10+</t>
        </is>
      </c>
      <c r="J1809" s="11">
        <f>IFERROR(INDEX('Уроки'!$H:$H,MATCH(F1809,'Уроки'!$A:$A,0)),"")</f>
        <v/>
      </c>
      <c r="K1809" s="11">
        <f>IFERROR(INDEX('Уроки'!$J:$J,MATCH(F1809,'Уроки'!$A:$A,0)),"")</f>
        <v/>
      </c>
      <c r="L1809" s="11" t="inlineStr">
        <is>
          <t>Spotlight / 11 класс / Module 5 · Who are you? / must/have to (obligation) / must/have to (obligation): must vs have to — субъективная vs объективная необходимость</t>
        </is>
      </c>
    </row>
    <row r="1810">
      <c r="A1810" s="37" t="n">
        <v>11</v>
      </c>
      <c r="B1810" s="11" t="inlineStr">
        <is>
          <t>Module 5 · Who are you?</t>
        </is>
      </c>
      <c r="C1810" s="11" t="inlineStr">
        <is>
          <t>5c</t>
        </is>
      </c>
      <c r="D1810" s="11" t="inlineStr">
        <is>
          <t>must/have to (obligation)</t>
        </is>
      </c>
      <c r="E1810" s="35" t="inlineStr">
        <is>
          <t>must/have to (obligation): had to — прошедшее для must и have to</t>
        </is>
      </c>
      <c r="F1810" s="11" t="inlineStr">
        <is>
          <t>Ст-204</t>
        </is>
      </c>
      <c r="G1810" s="40" t="inlineStr">
        <is>
          <t>новое</t>
        </is>
      </c>
      <c r="H1810" s="11" t="inlineStr"/>
      <c r="I1810" s="37" t="inlineStr">
        <is>
          <t>10+</t>
        </is>
      </c>
      <c r="J1810" s="11">
        <f>IFERROR(INDEX('Уроки'!$H:$H,MATCH(F1810,'Уроки'!$A:$A,0)),"")</f>
        <v/>
      </c>
      <c r="K1810" s="11">
        <f>IFERROR(INDEX('Уроки'!$J:$J,MATCH(F1810,'Уроки'!$A:$A,0)),"")</f>
        <v/>
      </c>
      <c r="L1810" s="11" t="inlineStr">
        <is>
          <t>Spotlight / 11 класс / Module 5 · Who are you? / must/have to (obligation) / must/have to (obligation): had to — прошедшее для must и have to</t>
        </is>
      </c>
    </row>
    <row r="1811">
      <c r="A1811" s="37" t="n">
        <v>11</v>
      </c>
      <c r="B1811" s="11" t="inlineStr">
        <is>
          <t>Module 5 · Who are you?</t>
        </is>
      </c>
      <c r="C1811" s="11" t="inlineStr">
        <is>
          <t>5c</t>
        </is>
      </c>
      <c r="D1811" s="11" t="inlineStr">
        <is>
          <t>must/have to (obligation)</t>
        </is>
      </c>
      <c r="E1811" s="35" t="inlineStr">
        <is>
          <t>must/have to (obligation): should/ought to — долг, слабая обязанность</t>
        </is>
      </c>
      <c r="F1811" s="11" t="inlineStr">
        <is>
          <t>Ст-205</t>
        </is>
      </c>
      <c r="G1811" s="40" t="inlineStr">
        <is>
          <t>новое</t>
        </is>
      </c>
      <c r="H1811" s="11" t="inlineStr"/>
      <c r="I1811" s="37" t="inlineStr">
        <is>
          <t>10+</t>
        </is>
      </c>
      <c r="J1811" s="11">
        <f>IFERROR(INDEX('Уроки'!$H:$H,MATCH(F1811,'Уроки'!$A:$A,0)),"")</f>
        <v/>
      </c>
      <c r="K1811" s="11">
        <f>IFERROR(INDEX('Уроки'!$J:$J,MATCH(F1811,'Уроки'!$A:$A,0)),"")</f>
        <v/>
      </c>
      <c r="L1811" s="11" t="inlineStr">
        <is>
          <t>Spotlight / 11 класс / Module 5 · Who are you? / must/have to (obligation) / must/have to (obligation): should/ought to — долг, слабая обязанность</t>
        </is>
      </c>
    </row>
    <row r="1812">
      <c r="A1812" s="37" t="n">
        <v>11</v>
      </c>
      <c r="B1812" s="11" t="inlineStr">
        <is>
          <t>Module 5 · Who are you?</t>
        </is>
      </c>
      <c r="C1812" s="11" t="inlineStr">
        <is>
          <t>5c</t>
        </is>
      </c>
      <c r="D1812" s="11" t="inlineStr">
        <is>
          <t>Phrasal verbs</t>
        </is>
      </c>
      <c r="E1812" s="35" t="inlineStr">
        <is>
          <t>Phrasal verbs: do</t>
        </is>
      </c>
      <c r="F1812" s="11" t="inlineStr">
        <is>
          <t>Ст-603</t>
        </is>
      </c>
      <c r="G1812" s="40" t="inlineStr">
        <is>
          <t>новое</t>
        </is>
      </c>
      <c r="H1812" s="11" t="inlineStr">
        <is>
          <t>do + частицы (English in Use 5c); конкретные частицы в доступных страницах не даны.</t>
        </is>
      </c>
      <c r="I1812" s="37" t="inlineStr">
        <is>
          <t>10+</t>
        </is>
      </c>
      <c r="J1812" s="11">
        <f>IFERROR(INDEX('Уроки'!$H:$H,MATCH(F1812,'Уроки'!$A:$A,0)),"")</f>
        <v/>
      </c>
      <c r="K1812" s="11">
        <f>IFERROR(INDEX('Уроки'!$J:$J,MATCH(F1812,'Уроки'!$A:$A,0)),"")</f>
        <v/>
      </c>
      <c r="L1812" s="11" t="inlineStr">
        <is>
          <t>Spotlight / 11 класс / Module 5 · Who are you? / Phrasal verbs / Phrasal verbs: do</t>
        </is>
      </c>
    </row>
    <row r="1813">
      <c r="A1813" s="37" t="n">
        <v>11</v>
      </c>
      <c r="B1813" s="11" t="inlineStr">
        <is>
          <t>Module 5 · Who are you?</t>
        </is>
      </c>
      <c r="C1813" s="11" t="inlineStr">
        <is>
          <t>5c</t>
        </is>
      </c>
      <c r="D1813" s="11" t="inlineStr">
        <is>
          <t>Dependent prepositions</t>
        </is>
      </c>
      <c r="E1813" s="35" t="inlineStr">
        <is>
          <t>Dependent prepositions</t>
        </is>
      </c>
      <c r="F1813" s="11" t="inlineStr">
        <is>
          <t>Ст-633</t>
        </is>
      </c>
      <c r="G1813" s="37" t="inlineStr">
        <is>
          <t>повторение</t>
        </is>
      </c>
      <c r="H1813" s="11" t="inlineStr">
        <is>
          <t>Dependent prepositions (English in Use 5c); конкретные сочетания в доступных страницах не даны.</t>
        </is>
      </c>
      <c r="I1813" s="37" t="inlineStr">
        <is>
          <t>10+</t>
        </is>
      </c>
      <c r="J1813" s="11">
        <f>IFERROR(INDEX('Уроки'!$H:$H,MATCH(F1813,'Уроки'!$A:$A,0)),"")</f>
        <v/>
      </c>
      <c r="K1813" s="11">
        <f>IFERROR(INDEX('Уроки'!$J:$J,MATCH(F1813,'Уроки'!$A:$A,0)),"")</f>
        <v/>
      </c>
      <c r="L1813" s="11" t="inlineStr">
        <is>
          <t>Spotlight / 11 класс / Module 5 · Who are you? / Dependent prepositions / Dependent prepositions</t>
        </is>
      </c>
    </row>
    <row r="1814">
      <c r="A1814" s="37" t="n">
        <v>11</v>
      </c>
      <c r="B1814" s="11" t="inlineStr">
        <is>
          <t>Module 5 · Who are you?</t>
        </is>
      </c>
      <c r="C1814" s="11" t="inlineStr">
        <is>
          <t>5b</t>
        </is>
      </c>
      <c r="D1814" s="11" t="inlineStr">
        <is>
          <t>Idioms &amp; collocations</t>
        </is>
      </c>
      <c r="E1814" s="33" t="inlineStr">
        <is>
          <t>Idioms &amp; collocations</t>
        </is>
      </c>
      <c r="F1814" s="11" t="inlineStr">
        <is>
          <t>Ст-634</t>
        </is>
      </c>
      <c r="G1814" s="37" t="inlineStr">
        <is>
          <t>повторение</t>
        </is>
      </c>
      <c r="H1814" s="11" t="inlineStr">
        <is>
          <t>Idioms related to parts of houses (5b).</t>
        </is>
      </c>
      <c r="I1814" s="37" t="inlineStr">
        <is>
          <t>10+</t>
        </is>
      </c>
      <c r="J1814" s="11">
        <f>IFERROR(INDEX('Уроки'!$H:$H,MATCH(F1814,'Уроки'!$A:$A,0)),"")</f>
        <v/>
      </c>
      <c r="K1814" s="11">
        <f>IFERROR(INDEX('Уроки'!$J:$J,MATCH(F1814,'Уроки'!$A:$A,0)),"")</f>
        <v/>
      </c>
      <c r="L1814" s="11" t="inlineStr">
        <is>
          <t>Spotlight / 11 класс / Module 5 · Who are you? / Idioms &amp; collocations / Idioms &amp; collocations</t>
        </is>
      </c>
    </row>
    <row r="1815">
      <c r="A1815" s="37" t="n">
        <v>11</v>
      </c>
      <c r="B1815" s="11" t="inlineStr">
        <is>
          <t>Module 6 · Communication</t>
        </is>
      </c>
      <c r="C1815" s="11" t="inlineStr">
        <is>
          <t>6c</t>
        </is>
      </c>
      <c r="D1815" s="11" t="inlineStr">
        <is>
          <t>Reported Speech: modal verbs</t>
        </is>
      </c>
      <c r="E1815" s="35" t="inlineStr">
        <is>
          <t>Reported Speech: modal verbs: will/shall → would</t>
        </is>
      </c>
      <c r="F1815" s="11" t="inlineStr">
        <is>
          <t>Ст-188</t>
        </is>
      </c>
      <c r="G1815" s="37" t="inlineStr">
        <is>
          <t>повторение</t>
        </is>
      </c>
      <c r="H1815" s="11" t="inlineStr">
        <is>
          <t>will → would</t>
        </is>
      </c>
      <c r="I1815" s="37" t="inlineStr">
        <is>
          <t>10+</t>
        </is>
      </c>
      <c r="J1815" s="11">
        <f>IFERROR(INDEX('Уроки'!$H:$H,MATCH(F1815,'Уроки'!$A:$A,0)),"")</f>
        <v/>
      </c>
      <c r="K1815" s="11">
        <f>IFERROR(INDEX('Уроки'!$J:$J,MATCH(F1815,'Уроки'!$A:$A,0)),"")</f>
        <v/>
      </c>
      <c r="L1815" s="11" t="inlineStr">
        <is>
          <t>Spotlight / 11 класс / Module 6 · Communication / Reported Speech: modal verbs / Reported Speech: modal verbs: will/shall → would</t>
        </is>
      </c>
    </row>
    <row r="1816">
      <c r="A1816" s="37" t="n">
        <v>11</v>
      </c>
      <c r="B1816" s="11" t="inlineStr">
        <is>
          <t>Module 6 · Communication</t>
        </is>
      </c>
      <c r="C1816" s="11" t="inlineStr">
        <is>
          <t>6c</t>
        </is>
      </c>
      <c r="D1816" s="11" t="inlineStr">
        <is>
          <t>Reported Speech: modal verbs</t>
        </is>
      </c>
      <c r="E1816" s="35" t="inlineStr">
        <is>
          <t>Reported Speech: modal verbs: can → could / would be able to</t>
        </is>
      </c>
      <c r="F1816" s="11" t="inlineStr">
        <is>
          <t>Ст-189</t>
        </is>
      </c>
      <c r="G1816" s="37" t="inlineStr">
        <is>
          <t>повторение</t>
        </is>
      </c>
      <c r="H1816" s="11" t="inlineStr"/>
      <c r="I1816" s="37" t="inlineStr">
        <is>
          <t>10+</t>
        </is>
      </c>
      <c r="J1816" s="11">
        <f>IFERROR(INDEX('Уроки'!$H:$H,MATCH(F1816,'Уроки'!$A:$A,0)),"")</f>
        <v/>
      </c>
      <c r="K1816" s="11">
        <f>IFERROR(INDEX('Уроки'!$J:$J,MATCH(F1816,'Уроки'!$A:$A,0)),"")</f>
        <v/>
      </c>
      <c r="L1816" s="11" t="inlineStr">
        <is>
          <t>Spotlight / 11 класс / Module 6 · Communication / Reported Speech: modal verbs / Reported Speech: modal verbs: can → could / would be able to</t>
        </is>
      </c>
    </row>
    <row r="1817">
      <c r="A1817" s="37" t="n">
        <v>11</v>
      </c>
      <c r="B1817" s="11" t="inlineStr">
        <is>
          <t>Module 6 · Communication</t>
        </is>
      </c>
      <c r="C1817" s="11" t="inlineStr">
        <is>
          <t>6c</t>
        </is>
      </c>
      <c r="D1817" s="11" t="inlineStr">
        <is>
          <t>Reported Speech: modal verbs</t>
        </is>
      </c>
      <c r="E1817" s="35" t="inlineStr">
        <is>
          <t>Reported Speech: modal verbs: may → might/could</t>
        </is>
      </c>
      <c r="F1817" s="11" t="inlineStr">
        <is>
          <t>Ст-190</t>
        </is>
      </c>
      <c r="G1817" s="37" t="inlineStr">
        <is>
          <t>повторение</t>
        </is>
      </c>
      <c r="H1817" s="11" t="inlineStr">
        <is>
          <t>may → might</t>
        </is>
      </c>
      <c r="I1817" s="37" t="inlineStr">
        <is>
          <t>10+</t>
        </is>
      </c>
      <c r="J1817" s="11">
        <f>IFERROR(INDEX('Уроки'!$H:$H,MATCH(F1817,'Уроки'!$A:$A,0)),"")</f>
        <v/>
      </c>
      <c r="K1817" s="11">
        <f>IFERROR(INDEX('Уроки'!$J:$J,MATCH(F1817,'Уроки'!$A:$A,0)),"")</f>
        <v/>
      </c>
      <c r="L1817" s="11" t="inlineStr">
        <is>
          <t>Spotlight / 11 класс / Module 6 · Communication / Reported Speech: modal verbs / Reported Speech: modal verbs: may → might/could</t>
        </is>
      </c>
    </row>
    <row r="1818">
      <c r="A1818" s="37" t="n">
        <v>11</v>
      </c>
      <c r="B1818" s="11" t="inlineStr">
        <is>
          <t>Module 6 · Communication</t>
        </is>
      </c>
      <c r="C1818" s="11" t="inlineStr">
        <is>
          <t>6c</t>
        </is>
      </c>
      <c r="D1818" s="11" t="inlineStr">
        <is>
          <t>Reported Speech: modal verbs</t>
        </is>
      </c>
      <c r="E1818" s="35" t="inlineStr">
        <is>
          <t>Reported Speech: modal verbs: shall → should / would / offered</t>
        </is>
      </c>
      <c r="F1818" s="11" t="inlineStr">
        <is>
          <t>Ст-191</t>
        </is>
      </c>
      <c r="G1818" s="37" t="inlineStr">
        <is>
          <t>повторение</t>
        </is>
      </c>
      <c r="H1818" s="11" t="inlineStr"/>
      <c r="I1818" s="37" t="inlineStr">
        <is>
          <t>10+</t>
        </is>
      </c>
      <c r="J1818" s="11">
        <f>IFERROR(INDEX('Уроки'!$H:$H,MATCH(F1818,'Уроки'!$A:$A,0)),"")</f>
        <v/>
      </c>
      <c r="K1818" s="11">
        <f>IFERROR(INDEX('Уроки'!$J:$J,MATCH(F1818,'Уроки'!$A:$A,0)),"")</f>
        <v/>
      </c>
      <c r="L1818" s="11" t="inlineStr">
        <is>
          <t>Spotlight / 11 класс / Module 6 · Communication / Reported Speech: modal verbs / Reported Speech: modal verbs: shall → should / would / offered</t>
        </is>
      </c>
    </row>
    <row r="1819">
      <c r="A1819" s="37" t="n">
        <v>11</v>
      </c>
      <c r="B1819" s="11" t="inlineStr">
        <is>
          <t>Module 6 · Communication</t>
        </is>
      </c>
      <c r="C1819" s="11" t="inlineStr">
        <is>
          <t>6c</t>
        </is>
      </c>
      <c r="D1819" s="11" t="inlineStr">
        <is>
          <t>Reported Speech: modal verbs</t>
        </is>
      </c>
      <c r="E1819" s="35" t="inlineStr">
        <is>
          <t>Reported Speech: modal verbs: must → had to (обязанность) / must (вывод)</t>
        </is>
      </c>
      <c r="F1819" s="11" t="inlineStr">
        <is>
          <t>Ст-192</t>
        </is>
      </c>
      <c r="G1819" s="37" t="inlineStr">
        <is>
          <t>повторение</t>
        </is>
      </c>
      <c r="H1819" s="11" t="inlineStr"/>
      <c r="I1819" s="37" t="inlineStr">
        <is>
          <t>10+</t>
        </is>
      </c>
      <c r="J1819" s="11">
        <f>IFERROR(INDEX('Уроки'!$H:$H,MATCH(F1819,'Уроки'!$A:$A,0)),"")</f>
        <v/>
      </c>
      <c r="K1819" s="11">
        <f>IFERROR(INDEX('Уроки'!$J:$J,MATCH(F1819,'Уроки'!$A:$A,0)),"")</f>
        <v/>
      </c>
      <c r="L1819" s="11" t="inlineStr">
        <is>
          <t>Spotlight / 11 класс / Module 6 · Communication / Reported Speech: modal verbs / Reported Speech: modal verbs: must → had to (обязанность) / must (вывод)</t>
        </is>
      </c>
    </row>
    <row r="1820">
      <c r="A1820" s="37" t="n">
        <v>11</v>
      </c>
      <c r="B1820" s="11" t="inlineStr">
        <is>
          <t>Module 6 · Communication</t>
        </is>
      </c>
      <c r="C1820" s="11" t="inlineStr">
        <is>
          <t>6c</t>
        </is>
      </c>
      <c r="D1820" s="11" t="inlineStr">
        <is>
          <t>Reported Speech: modal verbs</t>
        </is>
      </c>
      <c r="E1820" s="35" t="inlineStr">
        <is>
          <t>Reported Speech: modal verbs: needn't → didn't need to / didn't have to / wouldn't have to</t>
        </is>
      </c>
      <c r="F1820" s="11" t="inlineStr">
        <is>
          <t>Ст-193</t>
        </is>
      </c>
      <c r="G1820" s="37" t="inlineStr">
        <is>
          <t>повторение</t>
        </is>
      </c>
      <c r="H1820" s="11" t="inlineStr"/>
      <c r="I1820" s="37" t="inlineStr">
        <is>
          <t>10+</t>
        </is>
      </c>
      <c r="J1820" s="11">
        <f>IFERROR(INDEX('Уроки'!$H:$H,MATCH(F1820,'Уроки'!$A:$A,0)),"")</f>
        <v/>
      </c>
      <c r="K1820" s="11">
        <f>IFERROR(INDEX('Уроки'!$J:$J,MATCH(F1820,'Уроки'!$A:$A,0)),"")</f>
        <v/>
      </c>
      <c r="L1820" s="11" t="inlineStr">
        <is>
          <t>Spotlight / 11 класс / Module 6 · Communication / Reported Speech: modal verbs / Reported Speech: modal verbs: needn't → didn't need to / didn't have to / wouldn't have to</t>
        </is>
      </c>
    </row>
    <row r="1821">
      <c r="A1821" s="37" t="n">
        <v>11</v>
      </c>
      <c r="B1821" s="11" t="inlineStr">
        <is>
          <t>Module 6 · Communication</t>
        </is>
      </c>
      <c r="C1821" s="11" t="inlineStr">
        <is>
          <t>6c</t>
        </is>
      </c>
      <c r="D1821" s="11" t="inlineStr">
        <is>
          <t>Reported Speech: modal verbs</t>
        </is>
      </c>
      <c r="E1821" s="35" t="inlineStr">
        <is>
          <t>Reported Speech: modal verbs: не меняются (would, could, used to, mustn't, should, might, ought to, had better)</t>
        </is>
      </c>
      <c r="F1821" s="11" t="inlineStr">
        <is>
          <t>Ст-194</t>
        </is>
      </c>
      <c r="G1821" s="37" t="inlineStr">
        <is>
          <t>повторение</t>
        </is>
      </c>
      <c r="H1821" s="11" t="inlineStr">
        <is>
          <t>назван только should</t>
        </is>
      </c>
      <c r="I1821" s="37" t="inlineStr">
        <is>
          <t>10+</t>
        </is>
      </c>
      <c r="J1821" s="11">
        <f>IFERROR(INDEX('Уроки'!$H:$H,MATCH(F1821,'Уроки'!$A:$A,0)),"")</f>
        <v/>
      </c>
      <c r="K1821" s="11">
        <f>IFERROR(INDEX('Уроки'!$J:$J,MATCH(F1821,'Уроки'!$A:$A,0)),"")</f>
        <v/>
      </c>
      <c r="L1821" s="11" t="inlineStr">
        <is>
          <t>Spotlight / 11 класс / Module 6 · Communication / Reported Speech: modal verbs / Reported Speech: modal verbs: не меняются (would, could, used to, mustn't, should, might, ought to, had better)</t>
        </is>
      </c>
    </row>
    <row r="1822">
      <c r="A1822" s="37" t="n">
        <v>11</v>
      </c>
      <c r="B1822" s="11" t="inlineStr">
        <is>
          <t>Module 6 · Communication</t>
        </is>
      </c>
      <c r="C1822" s="11" t="inlineStr">
        <is>
          <t>6c</t>
        </is>
      </c>
      <c r="D1822" s="11" t="inlineStr">
        <is>
          <t>Reported Speech</t>
        </is>
      </c>
      <c r="E1822" s="35" t="inlineStr">
        <is>
          <t>Reported Speech: прямая vs косвенная речь, that можно опустить</t>
        </is>
      </c>
      <c r="F1822" s="11" t="inlineStr">
        <is>
          <t>Ст-290</t>
        </is>
      </c>
      <c r="G1822" s="37" t="inlineStr">
        <is>
          <t>повторение</t>
        </is>
      </c>
      <c r="H1822" s="11" t="inlineStr"/>
      <c r="I1822" s="37" t="inlineStr">
        <is>
          <t>10+</t>
        </is>
      </c>
      <c r="J1822" s="11">
        <f>IFERROR(INDEX('Уроки'!$H:$H,MATCH(F1822,'Уроки'!$A:$A,0)),"")</f>
        <v/>
      </c>
      <c r="K1822" s="11">
        <f>IFERROR(INDEX('Уроки'!$J:$J,MATCH(F1822,'Уроки'!$A:$A,0)),"")</f>
        <v/>
      </c>
      <c r="L1822" s="11" t="inlineStr">
        <is>
          <t>Spotlight / 11 класс / Module 6 · Communication / Reported Speech / Reported Speech: прямая vs косвенная речь, that можно опустить</t>
        </is>
      </c>
    </row>
    <row r="1823">
      <c r="A1823" s="37" t="n">
        <v>11</v>
      </c>
      <c r="B1823" s="11" t="inlineStr">
        <is>
          <t>Module 6 · Communication</t>
        </is>
      </c>
      <c r="C1823" s="11" t="inlineStr">
        <is>
          <t>6c</t>
        </is>
      </c>
      <c r="D1823" s="11" t="inlineStr">
        <is>
          <t>Reported Speech</t>
        </is>
      </c>
      <c r="E1823" s="35" t="inlineStr">
        <is>
          <t>Reported Speech: say vs tell (say to sb, tell sb)</t>
        </is>
      </c>
      <c r="F1823" s="11" t="inlineStr">
        <is>
          <t>Ст-291</t>
        </is>
      </c>
      <c r="G1823" s="37" t="inlineStr">
        <is>
          <t>повторение</t>
        </is>
      </c>
      <c r="H1823" s="11" t="inlineStr"/>
      <c r="I1823" s="37" t="inlineStr">
        <is>
          <t>10+</t>
        </is>
      </c>
      <c r="J1823" s="11">
        <f>IFERROR(INDEX('Уроки'!$H:$H,MATCH(F1823,'Уроки'!$A:$A,0)),"")</f>
        <v/>
      </c>
      <c r="K1823" s="11">
        <f>IFERROR(INDEX('Уроки'!$J:$J,MATCH(F1823,'Уроки'!$A:$A,0)),"")</f>
        <v/>
      </c>
      <c r="L1823" s="11" t="inlineStr">
        <is>
          <t>Spotlight / 11 класс / Module 6 · Communication / Reported Speech / Reported Speech: say vs tell (say to sb, tell sb)</t>
        </is>
      </c>
    </row>
    <row r="1824">
      <c r="A1824" s="37" t="n">
        <v>11</v>
      </c>
      <c r="B1824" s="11" t="inlineStr">
        <is>
          <t>Module 6 · Communication</t>
        </is>
      </c>
      <c r="C1824" s="11" t="inlineStr">
        <is>
          <t>6c</t>
        </is>
      </c>
      <c r="D1824" s="11" t="inlineStr">
        <is>
          <t>Reported Speech</t>
        </is>
      </c>
      <c r="E1824" s="35" t="inlineStr">
        <is>
          <t>Reported Speech: say + to-inf; speak/talk about (не say about)</t>
        </is>
      </c>
      <c r="F1824" s="11" t="inlineStr">
        <is>
          <t>Ст-292</t>
        </is>
      </c>
      <c r="G1824" s="37" t="inlineStr">
        <is>
          <t>повторение</t>
        </is>
      </c>
      <c r="H1824" s="11" t="inlineStr"/>
      <c r="I1824" s="37" t="inlineStr">
        <is>
          <t>10+</t>
        </is>
      </c>
      <c r="J1824" s="11">
        <f>IFERROR(INDEX('Уроки'!$H:$H,MATCH(F1824,'Уроки'!$A:$A,0)),"")</f>
        <v/>
      </c>
      <c r="K1824" s="11">
        <f>IFERROR(INDEX('Уроки'!$J:$J,MATCH(F1824,'Уроки'!$A:$A,0)),"")</f>
        <v/>
      </c>
      <c r="L1824" s="11" t="inlineStr">
        <is>
          <t>Spotlight / 11 класс / Module 6 · Communication / Reported Speech / Reported Speech: say + to-inf; speak/talk about (не say about)</t>
        </is>
      </c>
    </row>
    <row r="1825">
      <c r="A1825" s="37" t="n">
        <v>11</v>
      </c>
      <c r="B1825" s="11" t="inlineStr">
        <is>
          <t>Module 6 · Communication</t>
        </is>
      </c>
      <c r="C1825" s="11" t="inlineStr">
        <is>
          <t>6c</t>
        </is>
      </c>
      <c r="D1825" s="11" t="inlineStr">
        <is>
          <t>Reported Speech</t>
        </is>
      </c>
      <c r="E1825" s="35" t="inlineStr">
        <is>
          <t>Reported Speech: устойчивые сочетания с say/tell/ask</t>
        </is>
      </c>
      <c r="F1825" s="11" t="inlineStr">
        <is>
          <t>Ст-293</t>
        </is>
      </c>
      <c r="G1825" s="37" t="inlineStr">
        <is>
          <t>повторение</t>
        </is>
      </c>
      <c r="H1825" s="11" t="inlineStr"/>
      <c r="I1825" s="37" t="inlineStr">
        <is>
          <t>10+</t>
        </is>
      </c>
      <c r="J1825" s="11">
        <f>IFERROR(INDEX('Уроки'!$H:$H,MATCH(F1825,'Уроки'!$A:$A,0)),"")</f>
        <v/>
      </c>
      <c r="K1825" s="11">
        <f>IFERROR(INDEX('Уроки'!$J:$J,MATCH(F1825,'Уроки'!$A:$A,0)),"")</f>
        <v/>
      </c>
      <c r="L1825" s="11" t="inlineStr">
        <is>
          <t>Spotlight / 11 класс / Module 6 · Communication / Reported Speech / Reported Speech: устойчивые сочетания с say/tell/ask</t>
        </is>
      </c>
    </row>
    <row r="1826">
      <c r="A1826" s="37" t="n">
        <v>11</v>
      </c>
      <c r="B1826" s="11" t="inlineStr">
        <is>
          <t>Module 6 · Communication</t>
        </is>
      </c>
      <c r="C1826" s="11" t="inlineStr">
        <is>
          <t>6c</t>
        </is>
      </c>
      <c r="D1826" s="11" t="inlineStr">
        <is>
          <t>Reported Speech</t>
        </is>
      </c>
      <c r="E1826" s="35" t="inlineStr">
        <is>
          <t>Reported Speech: смена местоимений</t>
        </is>
      </c>
      <c r="F1826" s="11" t="inlineStr">
        <is>
          <t>Ст-294</t>
        </is>
      </c>
      <c r="G1826" s="37" t="inlineStr">
        <is>
          <t>повторение</t>
        </is>
      </c>
      <c r="H1826" s="11" t="inlineStr"/>
      <c r="I1826" s="37" t="inlineStr">
        <is>
          <t>10+</t>
        </is>
      </c>
      <c r="J1826" s="11">
        <f>IFERROR(INDEX('Уроки'!$H:$H,MATCH(F1826,'Уроки'!$A:$A,0)),"")</f>
        <v/>
      </c>
      <c r="K1826" s="11">
        <f>IFERROR(INDEX('Уроки'!$J:$J,MATCH(F1826,'Уроки'!$A:$A,0)),"")</f>
        <v/>
      </c>
      <c r="L1826" s="11" t="inlineStr">
        <is>
          <t>Spotlight / 11 класс / Module 6 · Communication / Reported Speech / Reported Speech: смена местоимений</t>
        </is>
      </c>
    </row>
    <row r="1827">
      <c r="A1827" s="37" t="n">
        <v>11</v>
      </c>
      <c r="B1827" s="11" t="inlineStr">
        <is>
          <t>Module 6 · Communication</t>
        </is>
      </c>
      <c r="C1827" s="11" t="inlineStr">
        <is>
          <t>6c</t>
        </is>
      </c>
      <c r="D1827" s="11" t="inlineStr">
        <is>
          <t>Reported Speech</t>
        </is>
      </c>
      <c r="E1827" s="35" t="inlineStr">
        <is>
          <t>Reported Speech: без сдвига времён — вводящий глагол в настоящем (up-to-date reporting)</t>
        </is>
      </c>
      <c r="F1827" s="11" t="inlineStr">
        <is>
          <t>Ст-295</t>
        </is>
      </c>
      <c r="G1827" s="37" t="inlineStr">
        <is>
          <t>повторение</t>
        </is>
      </c>
      <c r="H1827" s="11" t="inlineStr"/>
      <c r="I1827" s="37" t="inlineStr">
        <is>
          <t>10+</t>
        </is>
      </c>
      <c r="J1827" s="11">
        <f>IFERROR(INDEX('Уроки'!$H:$H,MATCH(F1827,'Уроки'!$A:$A,0)),"")</f>
        <v/>
      </c>
      <c r="K1827" s="11">
        <f>IFERROR(INDEX('Уроки'!$J:$J,MATCH(F1827,'Уроки'!$A:$A,0)),"")</f>
        <v/>
      </c>
      <c r="L1827" s="11" t="inlineStr">
        <is>
          <t>Spotlight / 11 класс / Module 6 · Communication / Reported Speech / Reported Speech: без сдвига времён — вводящий глагол в настоящем (up-to-date reporting)</t>
        </is>
      </c>
    </row>
    <row r="1828">
      <c r="A1828" s="37" t="n">
        <v>11</v>
      </c>
      <c r="B1828" s="11" t="inlineStr">
        <is>
          <t>Module 6 · Communication</t>
        </is>
      </c>
      <c r="C1828" s="11" t="inlineStr">
        <is>
          <t>6c</t>
        </is>
      </c>
      <c r="D1828" s="11" t="inlineStr">
        <is>
          <t>Reported Speech</t>
        </is>
      </c>
      <c r="E1828" s="35" t="inlineStr">
        <is>
          <t>Reported Speech: без сдвига времён — общие истины, условные 2/3 типа, wish, сразу после сказанного</t>
        </is>
      </c>
      <c r="F1828" s="11" t="inlineStr">
        <is>
          <t>Ст-296</t>
        </is>
      </c>
      <c r="G1828" s="37" t="inlineStr">
        <is>
          <t>повторение</t>
        </is>
      </c>
      <c r="H1828" s="11" t="inlineStr"/>
      <c r="I1828" s="37" t="inlineStr">
        <is>
          <t>10+</t>
        </is>
      </c>
      <c r="J1828" s="11">
        <f>IFERROR(INDEX('Уроки'!$H:$H,MATCH(F1828,'Уроки'!$A:$A,0)),"")</f>
        <v/>
      </c>
      <c r="K1828" s="11">
        <f>IFERROR(INDEX('Уроки'!$J:$J,MATCH(F1828,'Уроки'!$A:$A,0)),"")</f>
        <v/>
      </c>
      <c r="L1828" s="11" t="inlineStr">
        <is>
          <t>Spotlight / 11 класс / Module 6 · Communication / Reported Speech / Reported Speech: без сдвига времён — общие истины, условные 2/3 типа, wish, сразу после сказанного</t>
        </is>
      </c>
    </row>
    <row r="1829">
      <c r="A1829" s="37" t="n">
        <v>11</v>
      </c>
      <c r="B1829" s="11" t="inlineStr">
        <is>
          <t>Module 6 · Communication</t>
        </is>
      </c>
      <c r="C1829" s="11" t="inlineStr">
        <is>
          <t>6c</t>
        </is>
      </c>
      <c r="D1829" s="11" t="inlineStr">
        <is>
          <t>Reported Speech</t>
        </is>
      </c>
      <c r="E1829" s="35" t="inlineStr">
        <is>
          <t>Reported Speech: сдвиг времён (Present → Past, Past → Past Perfect, will → would)</t>
        </is>
      </c>
      <c r="F1829" s="11" t="inlineStr">
        <is>
          <t>Ст-297</t>
        </is>
      </c>
      <c r="G1829" s="37" t="inlineStr">
        <is>
          <t>повторение</t>
        </is>
      </c>
      <c r="H1829" s="11" t="inlineStr">
        <is>
          <t>Future Simple → Future in the Past (would)</t>
        </is>
      </c>
      <c r="I1829" s="37" t="inlineStr">
        <is>
          <t>10+</t>
        </is>
      </c>
      <c r="J1829" s="11">
        <f>IFERROR(INDEX('Уроки'!$H:$H,MATCH(F1829,'Уроки'!$A:$A,0)),"")</f>
        <v/>
      </c>
      <c r="K1829" s="11">
        <f>IFERROR(INDEX('Уроки'!$J:$J,MATCH(F1829,'Уроки'!$A:$A,0)),"")</f>
        <v/>
      </c>
      <c r="L1829" s="11" t="inlineStr">
        <is>
          <t>Spotlight / 11 класс / Module 6 · Communication / Reported Speech / Reported Speech: сдвиг времён (Present → Past, Past → Past Perfect, will → would)</t>
        </is>
      </c>
    </row>
    <row r="1830">
      <c r="A1830" s="37" t="n">
        <v>11</v>
      </c>
      <c r="B1830" s="11" t="inlineStr">
        <is>
          <t>Module 6 · Communication</t>
        </is>
      </c>
      <c r="C1830" s="11" t="inlineStr">
        <is>
          <t>6c</t>
        </is>
      </c>
      <c r="D1830" s="11" t="inlineStr">
        <is>
          <t>Reported Speech</t>
        </is>
      </c>
      <c r="E1830" s="35" t="inlineStr">
        <is>
          <t>Reported Speech: слова времени и места (now → then, yesterday → the day before…)</t>
        </is>
      </c>
      <c r="F1830" s="11" t="inlineStr">
        <is>
          <t>Ст-298</t>
        </is>
      </c>
      <c r="G1830" s="37" t="inlineStr">
        <is>
          <t>повторение</t>
        </is>
      </c>
      <c r="H1830" s="11" t="inlineStr"/>
      <c r="I1830" s="37" t="inlineStr">
        <is>
          <t>10+</t>
        </is>
      </c>
      <c r="J1830" s="11">
        <f>IFERROR(INDEX('Уроки'!$H:$H,MATCH(F1830,'Уроки'!$A:$A,0)),"")</f>
        <v/>
      </c>
      <c r="K1830" s="11">
        <f>IFERROR(INDEX('Уроки'!$J:$J,MATCH(F1830,'Уроки'!$A:$A,0)),"")</f>
        <v/>
      </c>
      <c r="L1830" s="11" t="inlineStr">
        <is>
          <t>Spotlight / 11 класс / Module 6 · Communication / Reported Speech / Reported Speech: слова времени и места (now → then, yesterday → the day before…)</t>
        </is>
      </c>
    </row>
    <row r="1831">
      <c r="A1831" s="37" t="n">
        <v>11</v>
      </c>
      <c r="B1831" s="11" t="inlineStr">
        <is>
          <t>Module 6 · Communication</t>
        </is>
      </c>
      <c r="C1831" s="11" t="inlineStr">
        <is>
          <t>6c</t>
        </is>
      </c>
      <c r="D1831" s="11" t="inlineStr">
        <is>
          <t>Reported commands/requests</t>
        </is>
      </c>
      <c r="E1831" s="35" t="inlineStr">
        <is>
          <t>Reported commands: приказы — order/tell + sb + (not) to-inf</t>
        </is>
      </c>
      <c r="F1831" s="11" t="inlineStr">
        <is>
          <t>Ст-299</t>
        </is>
      </c>
      <c r="G1831" s="37" t="inlineStr">
        <is>
          <t>повторение</t>
        </is>
      </c>
      <c r="H1831" s="11" t="inlineStr">
        <is>
          <t>+ instructions: advise, order, tell</t>
        </is>
      </c>
      <c r="I1831" s="37" t="inlineStr">
        <is>
          <t>10+</t>
        </is>
      </c>
      <c r="J1831" s="11">
        <f>IFERROR(INDEX('Уроки'!$H:$H,MATCH(F1831,'Уроки'!$A:$A,0)),"")</f>
        <v/>
      </c>
      <c r="K1831" s="11">
        <f>IFERROR(INDEX('Уроки'!$J:$J,MATCH(F1831,'Уроки'!$A:$A,0)),"")</f>
        <v/>
      </c>
      <c r="L1831" s="11" t="inlineStr">
        <is>
          <t>Spotlight / 11 класс / Module 6 · Communication / Reported commands/requests / Reported commands: приказы — order/tell + sb + (not) to-inf</t>
        </is>
      </c>
    </row>
    <row r="1832">
      <c r="A1832" s="37" t="n">
        <v>11</v>
      </c>
      <c r="B1832" s="11" t="inlineStr">
        <is>
          <t>Module 6 · Communication</t>
        </is>
      </c>
      <c r="C1832" s="11" t="inlineStr">
        <is>
          <t>6c</t>
        </is>
      </c>
      <c r="D1832" s="11" t="inlineStr">
        <is>
          <t>Reported commands/requests</t>
        </is>
      </c>
      <c r="E1832" s="35" t="inlineStr">
        <is>
          <t>Reported requests: ask/beg + sb + (not) to-inf</t>
        </is>
      </c>
      <c r="F1832" s="11" t="inlineStr">
        <is>
          <t>Ст-300</t>
        </is>
      </c>
      <c r="G1832" s="37" t="inlineStr">
        <is>
          <t>повторение</t>
        </is>
      </c>
      <c r="H1832" s="11" t="inlineStr"/>
      <c r="I1832" s="37" t="inlineStr">
        <is>
          <t>10+</t>
        </is>
      </c>
      <c r="J1832" s="11">
        <f>IFERROR(INDEX('Уроки'!$H:$H,MATCH(F1832,'Уроки'!$A:$A,0)),"")</f>
        <v/>
      </c>
      <c r="K1832" s="11">
        <f>IFERROR(INDEX('Уроки'!$J:$J,MATCH(F1832,'Уроки'!$A:$A,0)),"")</f>
        <v/>
      </c>
      <c r="L1832" s="11" t="inlineStr">
        <is>
          <t>Spotlight / 11 класс / Module 6 · Communication / Reported commands/requests / Reported requests: ask/beg + sb + (not) to-inf</t>
        </is>
      </c>
    </row>
    <row r="1833">
      <c r="A1833" s="37" t="n">
        <v>11</v>
      </c>
      <c r="B1833" s="11" t="inlineStr">
        <is>
          <t>Module 6 · Communication</t>
        </is>
      </c>
      <c r="C1833" s="11" t="inlineStr">
        <is>
          <t>6c</t>
        </is>
      </c>
      <c r="D1833" s="11" t="inlineStr">
        <is>
          <t>Reported commands/requests</t>
        </is>
      </c>
      <c r="E1833" s="35" t="inlineStr">
        <is>
          <t>Reported suggestions: suggest + -ing / that sb (should) …</t>
        </is>
      </c>
      <c r="F1833" s="11" t="inlineStr">
        <is>
          <t>Ст-301</t>
        </is>
      </c>
      <c r="G1833" s="37" t="inlineStr">
        <is>
          <t>повторение</t>
        </is>
      </c>
      <c r="H1833" s="11" t="inlineStr"/>
      <c r="I1833" s="37" t="inlineStr">
        <is>
          <t>10+</t>
        </is>
      </c>
      <c r="J1833" s="11">
        <f>IFERROR(INDEX('Уроки'!$H:$H,MATCH(F1833,'Уроки'!$A:$A,0)),"")</f>
        <v/>
      </c>
      <c r="K1833" s="11">
        <f>IFERROR(INDEX('Уроки'!$J:$J,MATCH(F1833,'Уроки'!$A:$A,0)),"")</f>
        <v/>
      </c>
      <c r="L1833" s="11" t="inlineStr">
        <is>
          <t>Spotlight / 11 класс / Module 6 · Communication / Reported commands/requests / Reported suggestions: suggest + -ing / that sb (should) …</t>
        </is>
      </c>
    </row>
    <row r="1834">
      <c r="A1834" s="37" t="n">
        <v>11</v>
      </c>
      <c r="B1834" s="11" t="inlineStr">
        <is>
          <t>Module 6 · Communication</t>
        </is>
      </c>
      <c r="C1834" s="11" t="inlineStr">
        <is>
          <t>6c</t>
        </is>
      </c>
      <c r="D1834" s="11" t="inlineStr">
        <is>
          <t>Reported commands/requests</t>
        </is>
      </c>
      <c r="E1834" s="35" t="inlineStr">
        <is>
          <t>Reported advice: advise + sb + (not) to-inf</t>
        </is>
      </c>
      <c r="F1834" s="11" t="inlineStr">
        <is>
          <t>Ст-302</t>
        </is>
      </c>
      <c r="G1834" s="37" t="inlineStr">
        <is>
          <t>повторение</t>
        </is>
      </c>
      <c r="H1834" s="11" t="inlineStr"/>
      <c r="I1834" s="37" t="inlineStr">
        <is>
          <t>10+</t>
        </is>
      </c>
      <c r="J1834" s="11">
        <f>IFERROR(INDEX('Уроки'!$H:$H,MATCH(F1834,'Уроки'!$A:$A,0)),"")</f>
        <v/>
      </c>
      <c r="K1834" s="11">
        <f>IFERROR(INDEX('Уроки'!$J:$J,MATCH(F1834,'Уроки'!$A:$A,0)),"")</f>
        <v/>
      </c>
      <c r="L1834" s="11" t="inlineStr">
        <is>
          <t>Spotlight / 11 класс / Module 6 · Communication / Reported commands/requests / Reported advice: advise + sb + (not) to-inf</t>
        </is>
      </c>
    </row>
    <row r="1835">
      <c r="A1835" s="37" t="n">
        <v>11</v>
      </c>
      <c r="B1835" s="11" t="inlineStr">
        <is>
          <t>Module 6 · Communication</t>
        </is>
      </c>
      <c r="C1835" s="11" t="inlineStr">
        <is>
          <t>6c</t>
        </is>
      </c>
      <c r="D1835" s="11" t="inlineStr">
        <is>
          <t>Reporting verbs</t>
        </is>
      </c>
      <c r="E1835" s="35" t="inlineStr">
        <is>
          <t>Reporting verbs: + to-inf (agree, claim, offer, promise, refuse, threaten…)</t>
        </is>
      </c>
      <c r="F1835" s="11" t="inlineStr">
        <is>
          <t>Ст-310</t>
        </is>
      </c>
      <c r="G1835" s="37" t="inlineStr">
        <is>
          <t>повторение</t>
        </is>
      </c>
      <c r="H1835" s="11" t="inlineStr"/>
      <c r="I1835" s="37" t="inlineStr">
        <is>
          <t>10+</t>
        </is>
      </c>
      <c r="J1835" s="11">
        <f>IFERROR(INDEX('Уроки'!$H:$H,MATCH(F1835,'Уроки'!$A:$A,0)),"")</f>
        <v/>
      </c>
      <c r="K1835" s="11">
        <f>IFERROR(INDEX('Уроки'!$J:$J,MATCH(F1835,'Уроки'!$A:$A,0)),"")</f>
        <v/>
      </c>
      <c r="L1835" s="11" t="inlineStr">
        <is>
          <t>Spotlight / 11 класс / Module 6 · Communication / Reporting verbs / Reporting verbs: + to-inf (agree, claim, offer, promise, refuse, threaten…)</t>
        </is>
      </c>
    </row>
    <row r="1836">
      <c r="A1836" s="37" t="n">
        <v>11</v>
      </c>
      <c r="B1836" s="11" t="inlineStr">
        <is>
          <t>Module 6 · Communication</t>
        </is>
      </c>
      <c r="C1836" s="11" t="inlineStr">
        <is>
          <t>6c</t>
        </is>
      </c>
      <c r="D1836" s="11" t="inlineStr">
        <is>
          <t>Reporting verbs</t>
        </is>
      </c>
      <c r="E1836" s="35" t="inlineStr">
        <is>
          <t>Reporting verbs: + sb + to-inf (advise, allow, encourage, order, remind, warn…)</t>
        </is>
      </c>
      <c r="F1836" s="11" t="inlineStr">
        <is>
          <t>Ст-311</t>
        </is>
      </c>
      <c r="G1836" s="37" t="inlineStr">
        <is>
          <t>повторение</t>
        </is>
      </c>
      <c r="H1836" s="11" t="inlineStr"/>
      <c r="I1836" s="37" t="inlineStr">
        <is>
          <t>10+</t>
        </is>
      </c>
      <c r="J1836" s="11">
        <f>IFERROR(INDEX('Уроки'!$H:$H,MATCH(F1836,'Уроки'!$A:$A,0)),"")</f>
        <v/>
      </c>
      <c r="K1836" s="11">
        <f>IFERROR(INDEX('Уроки'!$J:$J,MATCH(F1836,'Уроки'!$A:$A,0)),"")</f>
        <v/>
      </c>
      <c r="L1836" s="11" t="inlineStr">
        <is>
          <t>Spotlight / 11 класс / Module 6 · Communication / Reporting verbs / Reporting verbs: + sb + to-inf (advise, allow, encourage, order, remind, warn…)</t>
        </is>
      </c>
    </row>
    <row r="1837">
      <c r="A1837" s="37" t="n">
        <v>11</v>
      </c>
      <c r="B1837" s="11" t="inlineStr">
        <is>
          <t>Module 6 · Communication</t>
        </is>
      </c>
      <c r="C1837" s="11" t="inlineStr">
        <is>
          <t>6c</t>
        </is>
      </c>
      <c r="D1837" s="11" t="inlineStr">
        <is>
          <t>Reporting verbs</t>
        </is>
      </c>
      <c r="E1837" s="35" t="inlineStr">
        <is>
          <t>Reporting verbs: + (предлог +) -ing (accuse sb of, apologise for, deny, insist on, suggest…)</t>
        </is>
      </c>
      <c r="F1837" s="11" t="inlineStr">
        <is>
          <t>Ст-312</t>
        </is>
      </c>
      <c r="G1837" s="37" t="inlineStr">
        <is>
          <t>повторение</t>
        </is>
      </c>
      <c r="H1837" s="11" t="inlineStr"/>
      <c r="I1837" s="37" t="inlineStr">
        <is>
          <t>10+</t>
        </is>
      </c>
      <c r="J1837" s="11">
        <f>IFERROR(INDEX('Уроки'!$H:$H,MATCH(F1837,'Уроки'!$A:$A,0)),"")</f>
        <v/>
      </c>
      <c r="K1837" s="11">
        <f>IFERROR(INDEX('Уроки'!$J:$J,MATCH(F1837,'Уроки'!$A:$A,0)),"")</f>
        <v/>
      </c>
      <c r="L1837" s="11" t="inlineStr">
        <is>
          <t>Spotlight / 11 класс / Module 6 · Communication / Reporting verbs / Reporting verbs: + (предлог +) -ing (accuse sb of, apologise for, deny, insist on, suggest…)</t>
        </is>
      </c>
    </row>
    <row r="1838">
      <c r="A1838" s="37" t="n">
        <v>11</v>
      </c>
      <c r="B1838" s="11" t="inlineStr">
        <is>
          <t>Module 6 · Communication</t>
        </is>
      </c>
      <c r="C1838" s="11" t="inlineStr">
        <is>
          <t>6c</t>
        </is>
      </c>
      <c r="D1838" s="11" t="inlineStr">
        <is>
          <t>Reporting verbs</t>
        </is>
      </c>
      <c r="E1838" s="35" t="inlineStr">
        <is>
          <t>Reporting verbs: + that-clause (agree, claim, explain, inform sb, promise…)</t>
        </is>
      </c>
      <c r="F1838" s="11" t="inlineStr">
        <is>
          <t>Ст-313</t>
        </is>
      </c>
      <c r="G1838" s="37" t="inlineStr">
        <is>
          <t>повторение</t>
        </is>
      </c>
      <c r="H1838" s="11" t="inlineStr"/>
      <c r="I1838" s="37" t="inlineStr">
        <is>
          <t>10+</t>
        </is>
      </c>
      <c r="J1838" s="11">
        <f>IFERROR(INDEX('Уроки'!$H:$H,MATCH(F1838,'Уроки'!$A:$A,0)),"")</f>
        <v/>
      </c>
      <c r="K1838" s="11">
        <f>IFERROR(INDEX('Уроки'!$J:$J,MATCH(F1838,'Уроки'!$A:$A,0)),"")</f>
        <v/>
      </c>
      <c r="L1838" s="11" t="inlineStr">
        <is>
          <t>Spotlight / 11 класс / Module 6 · Communication / Reporting verbs / Reporting verbs: + that-clause (agree, claim, explain, inform sb, promise…)</t>
        </is>
      </c>
    </row>
    <row r="1839">
      <c r="A1839" s="37" t="n">
        <v>11</v>
      </c>
      <c r="B1839" s="11" t="inlineStr">
        <is>
          <t>Module 6 · Communication</t>
        </is>
      </c>
      <c r="C1839" s="11" t="inlineStr">
        <is>
          <t>6c</t>
        </is>
      </c>
      <c r="D1839" s="11" t="inlineStr">
        <is>
          <t>Reporting verbs</t>
        </is>
      </c>
      <c r="E1839" s="35" t="inlineStr">
        <is>
          <t>Reporting verbs: explain/wonder + вопросительное слово (+ to-inf / clause)</t>
        </is>
      </c>
      <c r="F1839" s="11" t="inlineStr">
        <is>
          <t>Ст-314</t>
        </is>
      </c>
      <c r="G1839" s="37" t="inlineStr">
        <is>
          <t>повторение</t>
        </is>
      </c>
      <c r="H1839" s="11" t="inlineStr"/>
      <c r="I1839" s="37" t="inlineStr">
        <is>
          <t>10+</t>
        </is>
      </c>
      <c r="J1839" s="11">
        <f>IFERROR(INDEX('Уроки'!$H:$H,MATCH(F1839,'Уроки'!$A:$A,0)),"")</f>
        <v/>
      </c>
      <c r="K1839" s="11">
        <f>IFERROR(INDEX('Уроки'!$J:$J,MATCH(F1839,'Уроки'!$A:$A,0)),"")</f>
        <v/>
      </c>
      <c r="L1839" s="11" t="inlineStr">
        <is>
          <t>Spotlight / 11 класс / Module 6 · Communication / Reporting verbs / Reporting verbs: explain/wonder + вопросительное слово (+ to-inf / clause)</t>
        </is>
      </c>
    </row>
    <row r="1840">
      <c r="A1840" s="37" t="n">
        <v>11</v>
      </c>
      <c r="B1840" s="11" t="inlineStr">
        <is>
          <t>Module 6 · Communication</t>
        </is>
      </c>
      <c r="C1840" s="11" t="inlineStr">
        <is>
          <t>6c</t>
        </is>
      </c>
      <c r="D1840" s="11" t="inlineStr">
        <is>
          <t>Indirect questions</t>
        </is>
      </c>
      <c r="E1840" s="34" t="inlineStr">
        <is>
          <t>Indirect questions: Could you tell me…? / Do you know…? — прямой порядок слов</t>
        </is>
      </c>
      <c r="F1840" s="11" t="inlineStr">
        <is>
          <t>Ст-539</t>
        </is>
      </c>
      <c r="G1840" s="37" t="inlineStr">
        <is>
          <t>повторение</t>
        </is>
      </c>
      <c r="H1840" s="11" t="inlineStr"/>
      <c r="I1840" s="37" t="inlineStr">
        <is>
          <t>10+</t>
        </is>
      </c>
      <c r="J1840" s="11">
        <f>IFERROR(INDEX('Уроки'!$H:$H,MATCH(F1840,'Уроки'!$A:$A,0)),"")</f>
        <v/>
      </c>
      <c r="K1840" s="11">
        <f>IFERROR(INDEX('Уроки'!$J:$J,MATCH(F1840,'Уроки'!$A:$A,0)),"")</f>
        <v/>
      </c>
      <c r="L1840" s="11" t="inlineStr">
        <is>
          <t>Spotlight / 11 класс / Module 6 · Communication / Indirect questions / Indirect questions: Could you tell me…? / Do you know…? — прямой порядок слов</t>
        </is>
      </c>
    </row>
    <row r="1841">
      <c r="A1841" s="37" t="n">
        <v>11</v>
      </c>
      <c r="B1841" s="11" t="inlineStr">
        <is>
          <t>Module 6 · Communication</t>
        </is>
      </c>
      <c r="C1841" s="11" t="inlineStr">
        <is>
          <t>6c</t>
        </is>
      </c>
      <c r="D1841" s="11" t="inlineStr">
        <is>
          <t>Indirect questions</t>
        </is>
      </c>
      <c r="E1841" s="34" t="inlineStr">
        <is>
          <t>Indirect questions: I wonder / I want to know / I doubt — без вопросительного знака</t>
        </is>
      </c>
      <c r="F1841" s="11" t="inlineStr">
        <is>
          <t>Ст-540</t>
        </is>
      </c>
      <c r="G1841" s="37" t="inlineStr">
        <is>
          <t>повторение</t>
        </is>
      </c>
      <c r="H1841" s="11" t="inlineStr"/>
      <c r="I1841" s="37" t="inlineStr">
        <is>
          <t>10+</t>
        </is>
      </c>
      <c r="J1841" s="11">
        <f>IFERROR(INDEX('Уроки'!$H:$H,MATCH(F1841,'Уроки'!$A:$A,0)),"")</f>
        <v/>
      </c>
      <c r="K1841" s="11">
        <f>IFERROR(INDEX('Уроки'!$J:$J,MATCH(F1841,'Уроки'!$A:$A,0)),"")</f>
        <v/>
      </c>
      <c r="L1841" s="11" t="inlineStr">
        <is>
          <t>Spotlight / 11 класс / Module 6 · Communication / Indirect questions / Indirect questions: I wonder / I want to know / I doubt — без вопросительного знака</t>
        </is>
      </c>
    </row>
    <row r="1842">
      <c r="A1842" s="37" t="n">
        <v>11</v>
      </c>
      <c r="B1842" s="11" t="inlineStr">
        <is>
          <t>Module 6 · Communication</t>
        </is>
      </c>
      <c r="C1842" s="11" t="inlineStr">
        <is>
          <t>6c</t>
        </is>
      </c>
      <c r="D1842" s="11" t="inlineStr">
        <is>
          <t>Reported questions</t>
        </is>
      </c>
      <c r="E1842" s="35" t="inlineStr">
        <is>
          <t>Reported questions: вводящие глаголы ask, inquire, wonder, want to know</t>
        </is>
      </c>
      <c r="F1842" s="11" t="inlineStr">
        <is>
          <t>Ст-542</t>
        </is>
      </c>
      <c r="G1842" s="37" t="inlineStr">
        <is>
          <t>повторение</t>
        </is>
      </c>
      <c r="H1842" s="11" t="inlineStr"/>
      <c r="I1842" s="37" t="inlineStr">
        <is>
          <t>10+</t>
        </is>
      </c>
      <c r="J1842" s="11">
        <f>IFERROR(INDEX('Уроки'!$H:$H,MATCH(F1842,'Уроки'!$A:$A,0)),"")</f>
        <v/>
      </c>
      <c r="K1842" s="11">
        <f>IFERROR(INDEX('Уроки'!$J:$J,MATCH(F1842,'Уроки'!$A:$A,0)),"")</f>
        <v/>
      </c>
      <c r="L1842" s="11" t="inlineStr">
        <is>
          <t>Spotlight / 11 класс / Module 6 · Communication / Reported questions / Reported questions: вводящие глаголы ask, inquire, wonder, want to know</t>
        </is>
      </c>
    </row>
    <row r="1843">
      <c r="A1843" s="37" t="n">
        <v>11</v>
      </c>
      <c r="B1843" s="11" t="inlineStr">
        <is>
          <t>Module 6 · Communication</t>
        </is>
      </c>
      <c r="C1843" s="11" t="inlineStr">
        <is>
          <t>6c</t>
        </is>
      </c>
      <c r="D1843" s="11" t="inlineStr">
        <is>
          <t>Reported questions</t>
        </is>
      </c>
      <c r="E1843" s="35" t="inlineStr">
        <is>
          <t>Reported questions: специальные вопросы — то же вопросительное слово</t>
        </is>
      </c>
      <c r="F1843" s="11" t="inlineStr">
        <is>
          <t>Ст-543</t>
        </is>
      </c>
      <c r="G1843" s="37" t="inlineStr">
        <is>
          <t>повторение</t>
        </is>
      </c>
      <c r="H1843" s="11" t="inlineStr"/>
      <c r="I1843" s="37" t="inlineStr">
        <is>
          <t>10+</t>
        </is>
      </c>
      <c r="J1843" s="11">
        <f>IFERROR(INDEX('Уроки'!$H:$H,MATCH(F1843,'Уроки'!$A:$A,0)),"")</f>
        <v/>
      </c>
      <c r="K1843" s="11">
        <f>IFERROR(INDEX('Уроки'!$J:$J,MATCH(F1843,'Уроки'!$A:$A,0)),"")</f>
        <v/>
      </c>
      <c r="L1843" s="11" t="inlineStr">
        <is>
          <t>Spotlight / 11 класс / Module 6 · Communication / Reported questions / Reported questions: специальные вопросы — то же вопросительное слово</t>
        </is>
      </c>
    </row>
    <row r="1844">
      <c r="A1844" s="37" t="n">
        <v>11</v>
      </c>
      <c r="B1844" s="11" t="inlineStr">
        <is>
          <t>Module 6 · Communication</t>
        </is>
      </c>
      <c r="C1844" s="11" t="inlineStr">
        <is>
          <t>6c</t>
        </is>
      </c>
      <c r="D1844" s="11" t="inlineStr">
        <is>
          <t>Reported questions</t>
        </is>
      </c>
      <c r="E1844" s="35" t="inlineStr">
        <is>
          <t>Reported questions: общие вопросы — if/whether</t>
        </is>
      </c>
      <c r="F1844" s="11" t="inlineStr">
        <is>
          <t>Ст-544</t>
        </is>
      </c>
      <c r="G1844" s="37" t="inlineStr">
        <is>
          <t>повторение</t>
        </is>
      </c>
      <c r="H1844" s="11" t="inlineStr"/>
      <c r="I1844" s="37" t="inlineStr">
        <is>
          <t>10+</t>
        </is>
      </c>
      <c r="J1844" s="11">
        <f>IFERROR(INDEX('Уроки'!$H:$H,MATCH(F1844,'Уроки'!$A:$A,0)),"")</f>
        <v/>
      </c>
      <c r="K1844" s="11">
        <f>IFERROR(INDEX('Уроки'!$J:$J,MATCH(F1844,'Уроки'!$A:$A,0)),"")</f>
        <v/>
      </c>
      <c r="L1844" s="11" t="inlineStr">
        <is>
          <t>Spotlight / 11 класс / Module 6 · Communication / Reported questions / Reported questions: общие вопросы — if/whether</t>
        </is>
      </c>
    </row>
    <row r="1845">
      <c r="A1845" s="37" t="n">
        <v>11</v>
      </c>
      <c r="B1845" s="11" t="inlineStr">
        <is>
          <t>Module 6 · Communication</t>
        </is>
      </c>
      <c r="C1845" s="11" t="inlineStr">
        <is>
          <t>6c</t>
        </is>
      </c>
      <c r="D1845" s="11" t="inlineStr">
        <is>
          <t>Reported questions</t>
        </is>
      </c>
      <c r="E1845" s="35" t="inlineStr">
        <is>
          <t>Reported questions: прямой порядок слов, без «?», без please/well/oh</t>
        </is>
      </c>
      <c r="F1845" s="11" t="inlineStr">
        <is>
          <t>Ст-545</t>
        </is>
      </c>
      <c r="G1845" s="37" t="inlineStr">
        <is>
          <t>повторение</t>
        </is>
      </c>
      <c r="H1845" s="11" t="inlineStr"/>
      <c r="I1845" s="37" t="inlineStr">
        <is>
          <t>10+</t>
        </is>
      </c>
      <c r="J1845" s="11">
        <f>IFERROR(INDEX('Уроки'!$H:$H,MATCH(F1845,'Уроки'!$A:$A,0)),"")</f>
        <v/>
      </c>
      <c r="K1845" s="11">
        <f>IFERROR(INDEX('Уроки'!$J:$J,MATCH(F1845,'Уроки'!$A:$A,0)),"")</f>
        <v/>
      </c>
      <c r="L1845" s="11" t="inlineStr">
        <is>
          <t>Spotlight / 11 класс / Module 6 · Communication / Reported questions / Reported questions: прямой порядок слов, без «?», без please/well/oh</t>
        </is>
      </c>
    </row>
    <row r="1846">
      <c r="A1846" s="37" t="n">
        <v>11</v>
      </c>
      <c r="B1846" s="11" t="inlineStr">
        <is>
          <t>Module 6 · Communication</t>
        </is>
      </c>
      <c r="C1846" s="11" t="inlineStr">
        <is>
          <t>6c</t>
        </is>
      </c>
      <c r="D1846" s="11" t="inlineStr">
        <is>
          <t>Reported questions</t>
        </is>
      </c>
      <c r="E1846" s="35" t="inlineStr">
        <is>
          <t>Reported questions: сдвиг времён, местоимений и слов времени</t>
        </is>
      </c>
      <c r="F1846" s="11" t="inlineStr">
        <is>
          <t>Ст-546</t>
        </is>
      </c>
      <c r="G1846" s="37" t="inlineStr">
        <is>
          <t>повторение</t>
        </is>
      </c>
      <c r="H1846" s="11" t="inlineStr"/>
      <c r="I1846" s="37" t="inlineStr">
        <is>
          <t>10+</t>
        </is>
      </c>
      <c r="J1846" s="11">
        <f>IFERROR(INDEX('Уроки'!$H:$H,MATCH(F1846,'Уроки'!$A:$A,0)),"")</f>
        <v/>
      </c>
      <c r="K1846" s="11">
        <f>IFERROR(INDEX('Уроки'!$J:$J,MATCH(F1846,'Уроки'!$A:$A,0)),"")</f>
        <v/>
      </c>
      <c r="L1846" s="11" t="inlineStr">
        <is>
          <t>Spotlight / 11 класс / Module 6 · Communication / Reported questions / Reported questions: сдвиг времён, местоимений и слов времени</t>
        </is>
      </c>
    </row>
    <row r="1847">
      <c r="A1847" s="37" t="n">
        <v>11</v>
      </c>
      <c r="B1847" s="11" t="inlineStr">
        <is>
          <t>Module 6 · Communication</t>
        </is>
      </c>
      <c r="C1847" s="11" t="inlineStr">
        <is>
          <t>6c</t>
        </is>
      </c>
      <c r="D1847" s="11" t="inlineStr">
        <is>
          <t>Phrasal verbs</t>
        </is>
      </c>
      <c r="E1847" s="35" t="inlineStr">
        <is>
          <t>Phrasal verbs: talk</t>
        </is>
      </c>
      <c r="F1847" s="11" t="inlineStr">
        <is>
          <t>Ст-604</t>
        </is>
      </c>
      <c r="G1847" s="40" t="inlineStr">
        <is>
          <t>новое</t>
        </is>
      </c>
      <c r="H1847" s="11" t="inlineStr">
        <is>
          <t>talk + частицы (English in Use 6c); конкретные частицы в доступных страницах не даны.</t>
        </is>
      </c>
      <c r="I1847" s="37" t="inlineStr">
        <is>
          <t>10+</t>
        </is>
      </c>
      <c r="J1847" s="11">
        <f>IFERROR(INDEX('Уроки'!$H:$H,MATCH(F1847,'Уроки'!$A:$A,0)),"")</f>
        <v/>
      </c>
      <c r="K1847" s="11">
        <f>IFERROR(INDEX('Уроки'!$J:$J,MATCH(F1847,'Уроки'!$A:$A,0)),"")</f>
        <v/>
      </c>
      <c r="L1847" s="11" t="inlineStr">
        <is>
          <t>Spotlight / 11 класс / Module 6 · Communication / Phrasal verbs / Phrasal verbs: talk</t>
        </is>
      </c>
    </row>
    <row r="1848">
      <c r="A1848" s="37" t="n">
        <v>11</v>
      </c>
      <c r="B1848" s="11" t="inlineStr">
        <is>
          <t>Module 6 · Communication</t>
        </is>
      </c>
      <c r="C1848" s="11" t="inlineStr">
        <is>
          <t>6c</t>
        </is>
      </c>
      <c r="D1848" s="11" t="inlineStr">
        <is>
          <t>Dependent prepositions</t>
        </is>
      </c>
      <c r="E1848" s="35" t="inlineStr">
        <is>
          <t>Dependent prepositions</t>
        </is>
      </c>
      <c r="F1848" s="11" t="inlineStr">
        <is>
          <t>Ст-633</t>
        </is>
      </c>
      <c r="G1848" s="37" t="inlineStr">
        <is>
          <t>повторение</t>
        </is>
      </c>
      <c r="H1848" s="11" t="inlineStr">
        <is>
          <t>Dependent prepositions (English in Use 6c); конкретные сочетания в доступных страницах не даны. В справочнике М6 (вводящие глаголы + -ing): accuse sb of, apologise for, admit (to), boast about/of, complain about/of, insist on.</t>
        </is>
      </c>
      <c r="I1848" s="37" t="inlineStr">
        <is>
          <t>10+</t>
        </is>
      </c>
      <c r="J1848" s="11">
        <f>IFERROR(INDEX('Уроки'!$H:$H,MATCH(F1848,'Уроки'!$A:$A,0)),"")</f>
        <v/>
      </c>
      <c r="K1848" s="11">
        <f>IFERROR(INDEX('Уроки'!$J:$J,MATCH(F1848,'Уроки'!$A:$A,0)),"")</f>
        <v/>
      </c>
      <c r="L1848" s="11" t="inlineStr">
        <is>
          <t>Spotlight / 11 класс / Module 6 · Communication / Dependent prepositions / Dependent prepositions</t>
        </is>
      </c>
    </row>
    <row r="1849">
      <c r="A1849" s="37" t="n">
        <v>11</v>
      </c>
      <c r="B1849" s="11" t="inlineStr">
        <is>
          <t>Module 6 · Communication</t>
        </is>
      </c>
      <c r="C1849" s="11" t="inlineStr">
        <is>
          <t>6b</t>
        </is>
      </c>
      <c r="D1849" s="11" t="inlineStr">
        <is>
          <t>Idioms &amp; collocations</t>
        </is>
      </c>
      <c r="E1849" s="33" t="inlineStr">
        <is>
          <t>Idioms &amp; collocations</t>
        </is>
      </c>
      <c r="F1849" s="11" t="inlineStr">
        <is>
          <t>Ст-634</t>
        </is>
      </c>
      <c r="G1849" s="37" t="inlineStr">
        <is>
          <t>повторение</t>
        </is>
      </c>
      <c r="H1849" s="11" t="inlineStr">
        <is>
          <t>Idioms with talk and speak (6b).</t>
        </is>
      </c>
      <c r="I1849" s="37" t="inlineStr">
        <is>
          <t>10+</t>
        </is>
      </c>
      <c r="J1849" s="11">
        <f>IFERROR(INDEX('Уроки'!$H:$H,MATCH(F1849,'Уроки'!$A:$A,0)),"")</f>
        <v/>
      </c>
      <c r="K1849" s="11">
        <f>IFERROR(INDEX('Уроки'!$J:$J,MATCH(F1849,'Уроки'!$A:$A,0)),"")</f>
        <v/>
      </c>
      <c r="L1849" s="11" t="inlineStr">
        <is>
          <t>Spotlight / 11 класс / Module 6 · Communication / Idioms &amp; collocations / Idioms &amp; collocations</t>
        </is>
      </c>
    </row>
    <row r="1850">
      <c r="A1850" s="37" t="n">
        <v>11</v>
      </c>
      <c r="B1850" s="11" t="inlineStr">
        <is>
          <t>Module 7 · In days to come</t>
        </is>
      </c>
      <c r="C1850" s="11" t="inlineStr">
        <is>
          <t>7c</t>
        </is>
      </c>
      <c r="D1850" s="11" t="inlineStr">
        <is>
          <t>Conditionals (Type 1)</t>
        </is>
      </c>
      <c r="E1850" s="33" t="inlineStr">
        <is>
          <t>Conditionals Type 1: форма If + Present Simple — will + V</t>
        </is>
      </c>
      <c r="F1850" s="11" t="inlineStr">
        <is>
          <t>Ст-209</t>
        </is>
      </c>
      <c r="G1850" s="37" t="inlineStr">
        <is>
          <t>повторение</t>
        </is>
      </c>
      <c r="H1850" s="11" t="inlineStr">
        <is>
          <t>главная часть — только Future Simple</t>
        </is>
      </c>
      <c r="I1850" s="37" t="inlineStr">
        <is>
          <t>10+</t>
        </is>
      </c>
      <c r="J1850" s="11">
        <f>IFERROR(INDEX('Уроки'!$H:$H,MATCH(F1850,'Уроки'!$A:$A,0)),"")</f>
        <v/>
      </c>
      <c r="K1850" s="11">
        <f>IFERROR(INDEX('Уроки'!$J:$J,MATCH(F1850,'Уроки'!$A:$A,0)),"")</f>
        <v/>
      </c>
      <c r="L1850" s="11" t="inlineStr">
        <is>
          <t>Spotlight / 11 класс / Module 7 · In days to come / Conditionals (Type 1) / Conditionals Type 1: форма If + Present Simple — will + V</t>
        </is>
      </c>
    </row>
    <row r="1851">
      <c r="A1851" s="37" t="n">
        <v>11</v>
      </c>
      <c r="B1851" s="11" t="inlineStr">
        <is>
          <t>Module 7 · In days to come</t>
        </is>
      </c>
      <c r="C1851" s="11" t="inlineStr">
        <is>
          <t>7c</t>
        </is>
      </c>
      <c r="D1851" s="11" t="inlineStr">
        <is>
          <t>Conditionals (Type 1)</t>
        </is>
      </c>
      <c r="E1851" s="33" t="inlineStr">
        <is>
          <t>Conditionals Type 1: значение — реальная/вероятная ситуация в настоящем/будущем</t>
        </is>
      </c>
      <c r="F1851" s="11" t="inlineStr">
        <is>
          <t>Ст-211</t>
        </is>
      </c>
      <c r="G1851" s="37" t="inlineStr">
        <is>
          <t>повторение</t>
        </is>
      </c>
      <c r="H1851" s="11" t="inlineStr"/>
      <c r="I1851" s="37" t="inlineStr">
        <is>
          <t>10+</t>
        </is>
      </c>
      <c r="J1851" s="11">
        <f>IFERROR(INDEX('Уроки'!$H:$H,MATCH(F1851,'Уроки'!$A:$A,0)),"")</f>
        <v/>
      </c>
      <c r="K1851" s="11">
        <f>IFERROR(INDEX('Уроки'!$J:$J,MATCH(F1851,'Уроки'!$A:$A,0)),"")</f>
        <v/>
      </c>
      <c r="L1851" s="11" t="inlineStr">
        <is>
          <t>Spotlight / 11 класс / Module 7 · In days to come / Conditionals (Type 1) / Conditionals Type 1: значение — реальная/вероятная ситуация в настоящем/будущем</t>
        </is>
      </c>
    </row>
    <row r="1852">
      <c r="A1852" s="37" t="n">
        <v>11</v>
      </c>
      <c r="B1852" s="11" t="inlineStr">
        <is>
          <t>Module 7 · In days to come</t>
        </is>
      </c>
      <c r="C1852" s="11" t="inlineStr">
        <is>
          <t>7c</t>
        </is>
      </c>
      <c r="D1852" s="11" t="inlineStr">
        <is>
          <t>Conditionals (Type 1)</t>
        </is>
      </c>
      <c r="E1852" s="35" t="inlineStr">
        <is>
          <t>Conditionals Type 1: запятая, если if-часть впереди</t>
        </is>
      </c>
      <c r="F1852" s="11" t="inlineStr">
        <is>
          <t>Ст-212</t>
        </is>
      </c>
      <c r="G1852" s="37" t="inlineStr">
        <is>
          <t>повторение</t>
        </is>
      </c>
      <c r="H1852" s="11" t="inlineStr"/>
      <c r="I1852" s="37" t="inlineStr">
        <is>
          <t>10+</t>
        </is>
      </c>
      <c r="J1852" s="11">
        <f>IFERROR(INDEX('Уроки'!$H:$H,MATCH(F1852,'Уроки'!$A:$A,0)),"")</f>
        <v/>
      </c>
      <c r="K1852" s="11">
        <f>IFERROR(INDEX('Уроки'!$J:$J,MATCH(F1852,'Уроки'!$A:$A,0)),"")</f>
        <v/>
      </c>
      <c r="L1852" s="11" t="inlineStr">
        <is>
          <t>Spotlight / 11 класс / Module 7 · In days to come / Conditionals (Type 1) / Conditionals Type 1: запятая, если if-часть впереди</t>
        </is>
      </c>
    </row>
    <row r="1853">
      <c r="A1853" s="37" t="n">
        <v>11</v>
      </c>
      <c r="B1853" s="11" t="inlineStr">
        <is>
          <t>Module 7 · In days to come</t>
        </is>
      </c>
      <c r="C1853" s="11" t="inlineStr">
        <is>
          <t>7c</t>
        </is>
      </c>
      <c r="D1853" s="11" t="inlineStr">
        <is>
          <t>Conditionals (Type 1)</t>
        </is>
      </c>
      <c r="E1853" s="35" t="inlineStr">
        <is>
          <t>Conditionals Type 1: unless = if not</t>
        </is>
      </c>
      <c r="F1853" s="11" t="inlineStr">
        <is>
          <t>Ст-213</t>
        </is>
      </c>
      <c r="G1853" s="37" t="inlineStr">
        <is>
          <t>повторение</t>
        </is>
      </c>
      <c r="H1853" s="11" t="inlineStr"/>
      <c r="I1853" s="37" t="inlineStr">
        <is>
          <t>10+</t>
        </is>
      </c>
      <c r="J1853" s="11">
        <f>IFERROR(INDEX('Уроки'!$H:$H,MATCH(F1853,'Уроки'!$A:$A,0)),"")</f>
        <v/>
      </c>
      <c r="K1853" s="11">
        <f>IFERROR(INDEX('Уроки'!$J:$J,MATCH(F1853,'Уроки'!$A:$A,0)),"")</f>
        <v/>
      </c>
      <c r="L1853" s="11" t="inlineStr">
        <is>
          <t>Spotlight / 11 класс / Module 7 · In days to come / Conditionals (Type 1) / Conditionals Type 1: unless = if not</t>
        </is>
      </c>
    </row>
    <row r="1854">
      <c r="A1854" s="37" t="n">
        <v>11</v>
      </c>
      <c r="B1854" s="11" t="inlineStr">
        <is>
          <t>Module 7 · In days to come</t>
        </is>
      </c>
      <c r="C1854" s="11" t="inlineStr">
        <is>
          <t>7c</t>
        </is>
      </c>
      <c r="D1854" s="11" t="inlineStr">
        <is>
          <t>Conditionals (Type 2)</t>
        </is>
      </c>
      <c r="E1854" s="34" t="inlineStr">
        <is>
          <t>Conditionals Type 2: форма If + Past Simple — would/could/might + V</t>
        </is>
      </c>
      <c r="F1854" s="11" t="inlineStr">
        <is>
          <t>Ст-228</t>
        </is>
      </c>
      <c r="G1854" s="37" t="inlineStr">
        <is>
          <t>повторение</t>
        </is>
      </c>
      <c r="H1854" s="11" t="inlineStr"/>
      <c r="I1854" s="37" t="inlineStr">
        <is>
          <t>10+</t>
        </is>
      </c>
      <c r="J1854" s="11">
        <f>IFERROR(INDEX('Уроки'!$H:$H,MATCH(F1854,'Уроки'!$A:$A,0)),"")</f>
        <v/>
      </c>
      <c r="K1854" s="11">
        <f>IFERROR(INDEX('Уроки'!$J:$J,MATCH(F1854,'Уроки'!$A:$A,0)),"")</f>
        <v/>
      </c>
      <c r="L1854" s="11" t="inlineStr">
        <is>
          <t>Spotlight / 11 класс / Module 7 · In days to come / Conditionals (Type 2) / Conditionals Type 2: форма If + Past Simple — would/could/might + V</t>
        </is>
      </c>
    </row>
    <row r="1855">
      <c r="A1855" s="37" t="n">
        <v>11</v>
      </c>
      <c r="B1855" s="11" t="inlineStr">
        <is>
          <t>Module 7 · In days to come</t>
        </is>
      </c>
      <c r="C1855" s="11" t="inlineStr">
        <is>
          <t>7c</t>
        </is>
      </c>
      <c r="D1855" s="11" t="inlineStr">
        <is>
          <t>Conditionals (Type 2)</t>
        </is>
      </c>
      <c r="E1855" s="35" t="inlineStr">
        <is>
          <t>Conditionals Type 2: If + Past Continuous</t>
        </is>
      </c>
      <c r="F1855" s="11" t="inlineStr">
        <is>
          <t>Ст-229</t>
        </is>
      </c>
      <c r="G1855" s="37" t="inlineStr">
        <is>
          <t>повторение</t>
        </is>
      </c>
      <c r="H1855" s="11" t="inlineStr"/>
      <c r="I1855" s="37" t="inlineStr">
        <is>
          <t>10+</t>
        </is>
      </c>
      <c r="J1855" s="11">
        <f>IFERROR(INDEX('Уроки'!$H:$H,MATCH(F1855,'Уроки'!$A:$A,0)),"")</f>
        <v/>
      </c>
      <c r="K1855" s="11">
        <f>IFERROR(INDEX('Уроки'!$J:$J,MATCH(F1855,'Уроки'!$A:$A,0)),"")</f>
        <v/>
      </c>
      <c r="L1855" s="11" t="inlineStr">
        <is>
          <t>Spotlight / 11 класс / Module 7 · In days to come / Conditionals (Type 2) / Conditionals Type 2: If + Past Continuous</t>
        </is>
      </c>
    </row>
    <row r="1856">
      <c r="A1856" s="37" t="n">
        <v>11</v>
      </c>
      <c r="B1856" s="11" t="inlineStr">
        <is>
          <t>Module 7 · In days to come</t>
        </is>
      </c>
      <c r="C1856" s="11" t="inlineStr">
        <is>
          <t>7c</t>
        </is>
      </c>
      <c r="D1856" s="11" t="inlineStr">
        <is>
          <t>Conditionals (Type 2)</t>
        </is>
      </c>
      <c r="E1856" s="34" t="inlineStr">
        <is>
          <t>Conditionals Type 2: значение — воображаемая/маловероятная ситуация в настоящем/будущем</t>
        </is>
      </c>
      <c r="F1856" s="11" t="inlineStr">
        <is>
          <t>Ст-230</t>
        </is>
      </c>
      <c r="G1856" s="37" t="inlineStr">
        <is>
          <t>повторение</t>
        </is>
      </c>
      <c r="H1856" s="11" t="inlineStr"/>
      <c r="I1856" s="37" t="inlineStr">
        <is>
          <t>10+</t>
        </is>
      </c>
      <c r="J1856" s="11">
        <f>IFERROR(INDEX('Уроки'!$H:$H,MATCH(F1856,'Уроки'!$A:$A,0)),"")</f>
        <v/>
      </c>
      <c r="K1856" s="11">
        <f>IFERROR(INDEX('Уроки'!$J:$J,MATCH(F1856,'Уроки'!$A:$A,0)),"")</f>
        <v/>
      </c>
      <c r="L1856" s="11" t="inlineStr">
        <is>
          <t>Spotlight / 11 класс / Module 7 · In days to come / Conditionals (Type 2) / Conditionals Type 2: значение — воображаемая/маловероятная ситуация в настоящем/будущем</t>
        </is>
      </c>
    </row>
    <row r="1857">
      <c r="A1857" s="37" t="n">
        <v>11</v>
      </c>
      <c r="B1857" s="11" t="inlineStr">
        <is>
          <t>Module 7 · In days to come</t>
        </is>
      </c>
      <c r="C1857" s="11" t="inlineStr">
        <is>
          <t>7c</t>
        </is>
      </c>
      <c r="D1857" s="11" t="inlineStr">
        <is>
          <t>Conditionals (Type 2)</t>
        </is>
      </c>
      <c r="E1857" s="35" t="inlineStr">
        <is>
          <t>Conditionals Type 2: were/was для I, he, she, it</t>
        </is>
      </c>
      <c r="F1857" s="11" t="inlineStr">
        <is>
          <t>Ст-231</t>
        </is>
      </c>
      <c r="G1857" s="37" t="inlineStr">
        <is>
          <t>повторение</t>
        </is>
      </c>
      <c r="H1857" s="11" t="inlineStr"/>
      <c r="I1857" s="37" t="inlineStr">
        <is>
          <t>10+</t>
        </is>
      </c>
      <c r="J1857" s="11">
        <f>IFERROR(INDEX('Уроки'!$H:$H,MATCH(F1857,'Уроки'!$A:$A,0)),"")</f>
        <v/>
      </c>
      <c r="K1857" s="11">
        <f>IFERROR(INDEX('Уроки'!$J:$J,MATCH(F1857,'Уроки'!$A:$A,0)),"")</f>
        <v/>
      </c>
      <c r="L1857" s="11" t="inlineStr">
        <is>
          <t>Spotlight / 11 класс / Module 7 · In days to come / Conditionals (Type 2) / Conditionals Type 2: were/was для I, he, she, it</t>
        </is>
      </c>
    </row>
    <row r="1858">
      <c r="A1858" s="37" t="n">
        <v>11</v>
      </c>
      <c r="B1858" s="11" t="inlineStr">
        <is>
          <t>Module 7 · In days to come</t>
        </is>
      </c>
      <c r="C1858" s="11" t="inlineStr">
        <is>
          <t>7c</t>
        </is>
      </c>
      <c r="D1858" s="11" t="inlineStr">
        <is>
          <t>Conditionals (Type 2)</t>
        </is>
      </c>
      <c r="E1858" s="35" t="inlineStr">
        <is>
          <t>Conditionals Type 2: If I were you — совет</t>
        </is>
      </c>
      <c r="F1858" s="11" t="inlineStr">
        <is>
          <t>Ст-232</t>
        </is>
      </c>
      <c r="G1858" s="37" t="inlineStr">
        <is>
          <t>повторение</t>
        </is>
      </c>
      <c r="H1858" s="11" t="inlineStr"/>
      <c r="I1858" s="37" t="inlineStr">
        <is>
          <t>10+</t>
        </is>
      </c>
      <c r="J1858" s="11">
        <f>IFERROR(INDEX('Уроки'!$H:$H,MATCH(F1858,'Уроки'!$A:$A,0)),"")</f>
        <v/>
      </c>
      <c r="K1858" s="11">
        <f>IFERROR(INDEX('Уроки'!$J:$J,MATCH(F1858,'Уроки'!$A:$A,0)),"")</f>
        <v/>
      </c>
      <c r="L1858" s="11" t="inlineStr">
        <is>
          <t>Spotlight / 11 класс / Module 7 · In days to come / Conditionals (Type 2) / Conditionals Type 2: If I were you — совет</t>
        </is>
      </c>
    </row>
    <row r="1859">
      <c r="A1859" s="37" t="n">
        <v>11</v>
      </c>
      <c r="B1859" s="11" t="inlineStr">
        <is>
          <t>Module 7 · In days to come</t>
        </is>
      </c>
      <c r="C1859" s="11" t="inlineStr">
        <is>
          <t>7c</t>
        </is>
      </c>
      <c r="D1859" s="11" t="inlineStr">
        <is>
          <t>Conditionals (Type 3)</t>
        </is>
      </c>
      <c r="E1859" s="34" t="inlineStr">
        <is>
          <t>Conditionals Type 3: форма If + Past Perfect — would/could/might have + V3</t>
        </is>
      </c>
      <c r="F1859" s="11" t="inlineStr">
        <is>
          <t>Ст-233</t>
        </is>
      </c>
      <c r="G1859" s="37" t="inlineStr">
        <is>
          <t>повторение</t>
        </is>
      </c>
      <c r="H1859" s="11" t="inlineStr"/>
      <c r="I1859" s="37" t="inlineStr">
        <is>
          <t>10+</t>
        </is>
      </c>
      <c r="J1859" s="11">
        <f>IFERROR(INDEX('Уроки'!$H:$H,MATCH(F1859,'Уроки'!$A:$A,0)),"")</f>
        <v/>
      </c>
      <c r="K1859" s="11">
        <f>IFERROR(INDEX('Уроки'!$J:$J,MATCH(F1859,'Уроки'!$A:$A,0)),"")</f>
        <v/>
      </c>
      <c r="L1859" s="11" t="inlineStr">
        <is>
          <t>Spotlight / 11 класс / Module 7 · In days to come / Conditionals (Type 3) / Conditionals Type 3: форма If + Past Perfect — would/could/might have + V3</t>
        </is>
      </c>
    </row>
    <row r="1860">
      <c r="A1860" s="37" t="n">
        <v>11</v>
      </c>
      <c r="B1860" s="11" t="inlineStr">
        <is>
          <t>Module 7 · In days to come</t>
        </is>
      </c>
      <c r="C1860" s="11" t="inlineStr">
        <is>
          <t>7c</t>
        </is>
      </c>
      <c r="D1860" s="11" t="inlineStr">
        <is>
          <t>Conditionals (Type 3)</t>
        </is>
      </c>
      <c r="E1860" s="35" t="inlineStr">
        <is>
          <t>Conditionals Type 3: If + Past Perfect Continuous</t>
        </is>
      </c>
      <c r="F1860" s="11" t="inlineStr">
        <is>
          <t>Ст-234</t>
        </is>
      </c>
      <c r="G1860" s="37" t="inlineStr">
        <is>
          <t>повторение</t>
        </is>
      </c>
      <c r="H1860" s="11" t="inlineStr"/>
      <c r="I1860" s="37" t="inlineStr">
        <is>
          <t>10+</t>
        </is>
      </c>
      <c r="J1860" s="11">
        <f>IFERROR(INDEX('Уроки'!$H:$H,MATCH(F1860,'Уроки'!$A:$A,0)),"")</f>
        <v/>
      </c>
      <c r="K1860" s="11">
        <f>IFERROR(INDEX('Уроки'!$J:$J,MATCH(F1860,'Уроки'!$A:$A,0)),"")</f>
        <v/>
      </c>
      <c r="L1860" s="11" t="inlineStr">
        <is>
          <t>Spotlight / 11 класс / Module 7 · In days to come / Conditionals (Type 3) / Conditionals Type 3: If + Past Perfect Continuous</t>
        </is>
      </c>
    </row>
    <row r="1861">
      <c r="A1861" s="37" t="n">
        <v>11</v>
      </c>
      <c r="B1861" s="11" t="inlineStr">
        <is>
          <t>Module 7 · In days to come</t>
        </is>
      </c>
      <c r="C1861" s="11" t="inlineStr">
        <is>
          <t>7c</t>
        </is>
      </c>
      <c r="D1861" s="11" t="inlineStr">
        <is>
          <t>Conditionals (Type 3)</t>
        </is>
      </c>
      <c r="E1861" s="34" t="inlineStr">
        <is>
          <t>Conditionals Type 3: значение — нереальная ситуация в прошлом</t>
        </is>
      </c>
      <c r="F1861" s="11" t="inlineStr">
        <is>
          <t>Ст-235</t>
        </is>
      </c>
      <c r="G1861" s="37" t="inlineStr">
        <is>
          <t>повторение</t>
        </is>
      </c>
      <c r="H1861" s="11" t="inlineStr"/>
      <c r="I1861" s="37" t="inlineStr">
        <is>
          <t>10+</t>
        </is>
      </c>
      <c r="J1861" s="11">
        <f>IFERROR(INDEX('Уроки'!$H:$H,MATCH(F1861,'Уроки'!$A:$A,0)),"")</f>
        <v/>
      </c>
      <c r="K1861" s="11">
        <f>IFERROR(INDEX('Уроки'!$J:$J,MATCH(F1861,'Уроки'!$A:$A,0)),"")</f>
        <v/>
      </c>
      <c r="L1861" s="11" t="inlineStr">
        <is>
          <t>Spotlight / 11 класс / Module 7 · In days to come / Conditionals (Type 3) / Conditionals Type 3: значение — нереальная ситуация в прошлом</t>
        </is>
      </c>
    </row>
    <row r="1862">
      <c r="A1862" s="37" t="n">
        <v>11</v>
      </c>
      <c r="B1862" s="11" t="inlineStr">
        <is>
          <t>Module 7 · In days to come</t>
        </is>
      </c>
      <c r="C1862" s="11" t="inlineStr">
        <is>
          <t>7c</t>
        </is>
      </c>
      <c r="D1862" s="11" t="inlineStr">
        <is>
          <t>Conditionals (Type 3)</t>
        </is>
      </c>
      <c r="E1862" s="34" t="inlineStr">
        <is>
          <t>Conditionals Type 3: значение — сожаление, критика</t>
        </is>
      </c>
      <c r="F1862" s="11" t="inlineStr">
        <is>
          <t>Ст-236</t>
        </is>
      </c>
      <c r="G1862" s="37" t="inlineStr">
        <is>
          <t>повторение</t>
        </is>
      </c>
      <c r="H1862" s="11" t="inlineStr"/>
      <c r="I1862" s="37" t="inlineStr">
        <is>
          <t>10+</t>
        </is>
      </c>
      <c r="J1862" s="11">
        <f>IFERROR(INDEX('Уроки'!$H:$H,MATCH(F1862,'Уроки'!$A:$A,0)),"")</f>
        <v/>
      </c>
      <c r="K1862" s="11">
        <f>IFERROR(INDEX('Уроки'!$J:$J,MATCH(F1862,'Уроки'!$A:$A,0)),"")</f>
        <v/>
      </c>
      <c r="L1862" s="11" t="inlineStr">
        <is>
          <t>Spotlight / 11 класс / Module 7 · In days to come / Conditionals (Type 3) / Conditionals Type 3: значение — сожаление, критика</t>
        </is>
      </c>
    </row>
    <row r="1863">
      <c r="A1863" s="37" t="n">
        <v>11</v>
      </c>
      <c r="B1863" s="11" t="inlineStr">
        <is>
          <t>Module 7 · In days to come</t>
        </is>
      </c>
      <c r="C1863" s="11" t="inlineStr">
        <is>
          <t>7c</t>
        </is>
      </c>
      <c r="D1863" s="11" t="inlineStr">
        <is>
          <t>Wishes (I wish / If only)</t>
        </is>
      </c>
      <c r="E1863" s="35" t="inlineStr">
        <is>
          <t>Wishes: I wish / If only + Past Simple/Continuous — желание изменить настоящее</t>
        </is>
      </c>
      <c r="F1863" s="11" t="inlineStr">
        <is>
          <t>Ст-316</t>
        </is>
      </c>
      <c r="G1863" s="37" t="inlineStr">
        <is>
          <t>повторение</t>
        </is>
      </c>
      <c r="H1863" s="11" t="inlineStr"/>
      <c r="I1863" s="37" t="inlineStr">
        <is>
          <t>10+</t>
        </is>
      </c>
      <c r="J1863" s="11">
        <f>IFERROR(INDEX('Уроки'!$H:$H,MATCH(F1863,'Уроки'!$A:$A,0)),"")</f>
        <v/>
      </c>
      <c r="K1863" s="11">
        <f>IFERROR(INDEX('Уроки'!$J:$J,MATCH(F1863,'Уроки'!$A:$A,0)),"")</f>
        <v/>
      </c>
      <c r="L1863" s="11" t="inlineStr">
        <is>
          <t>Spotlight / 11 класс / Module 7 · In days to come / Wishes (I wish / If only) / Wishes: I wish / If only + Past Simple/Continuous — желание изменить настоящее</t>
        </is>
      </c>
    </row>
    <row r="1864">
      <c r="A1864" s="37" t="n">
        <v>11</v>
      </c>
      <c r="B1864" s="11" t="inlineStr">
        <is>
          <t>Module 7 · In days to come</t>
        </is>
      </c>
      <c r="C1864" s="11" t="inlineStr">
        <is>
          <t>7c</t>
        </is>
      </c>
      <c r="D1864" s="11" t="inlineStr">
        <is>
          <t>Wishes (I wish / If only)</t>
        </is>
      </c>
      <c r="E1864" s="35" t="inlineStr">
        <is>
          <t>Wishes: I wish / If only + Past Perfect — сожаление о прошлом</t>
        </is>
      </c>
      <c r="F1864" s="11" t="inlineStr">
        <is>
          <t>Ст-317</t>
        </is>
      </c>
      <c r="G1864" s="37" t="inlineStr">
        <is>
          <t>повторение</t>
        </is>
      </c>
      <c r="H1864" s="11" t="inlineStr"/>
      <c r="I1864" s="37" t="inlineStr">
        <is>
          <t>10+</t>
        </is>
      </c>
      <c r="J1864" s="11">
        <f>IFERROR(INDEX('Уроки'!$H:$H,MATCH(F1864,'Уроки'!$A:$A,0)),"")</f>
        <v/>
      </c>
      <c r="K1864" s="11">
        <f>IFERROR(INDEX('Уроки'!$J:$J,MATCH(F1864,'Уроки'!$A:$A,0)),"")</f>
        <v/>
      </c>
      <c r="L1864" s="11" t="inlineStr">
        <is>
          <t>Spotlight / 11 класс / Module 7 · In days to come / Wishes (I wish / If only) / Wishes: I wish / If only + Past Perfect — сожаление о прошлом</t>
        </is>
      </c>
    </row>
    <row r="1865">
      <c r="A1865" s="37" t="n">
        <v>11</v>
      </c>
      <c r="B1865" s="11" t="inlineStr">
        <is>
          <t>Module 7 · In days to come</t>
        </is>
      </c>
      <c r="C1865" s="11" t="inlineStr">
        <is>
          <t>7c</t>
        </is>
      </c>
      <c r="D1865" s="11" t="inlineStr">
        <is>
          <t>Wishes (I wish / If only)</t>
        </is>
      </c>
      <c r="E1865" s="35" t="inlineStr">
        <is>
          <t>Wishes: I wish / If only + would + V — раздражение, просьба изменить поведение</t>
        </is>
      </c>
      <c r="F1865" s="11" t="inlineStr">
        <is>
          <t>Ст-318</t>
        </is>
      </c>
      <c r="G1865" s="37" t="inlineStr">
        <is>
          <t>повторение</t>
        </is>
      </c>
      <c r="H1865" s="11" t="inlineStr"/>
      <c r="I1865" s="37" t="inlineStr">
        <is>
          <t>10+</t>
        </is>
      </c>
      <c r="J1865" s="11">
        <f>IFERROR(INDEX('Уроки'!$H:$H,MATCH(F1865,'Уроки'!$A:$A,0)),"")</f>
        <v/>
      </c>
      <c r="K1865" s="11">
        <f>IFERROR(INDEX('Уроки'!$J:$J,MATCH(F1865,'Уроки'!$A:$A,0)),"")</f>
        <v/>
      </c>
      <c r="L1865" s="11" t="inlineStr">
        <is>
          <t>Spotlight / 11 класс / Module 7 · In days to come / Wishes (I wish / If only) / Wishes: I wish / If only + would + V — раздражение, просьба изменить поведение</t>
        </is>
      </c>
    </row>
    <row r="1866">
      <c r="A1866" s="37" t="n">
        <v>11</v>
      </c>
      <c r="B1866" s="11" t="inlineStr">
        <is>
          <t>Module 7 · In days to come</t>
        </is>
      </c>
      <c r="C1866" s="11" t="inlineStr">
        <is>
          <t>7c</t>
        </is>
      </c>
      <c r="D1866" s="11" t="inlineStr">
        <is>
          <t>Wishes (I wish / If only)</t>
        </is>
      </c>
      <c r="E1866" s="35" t="inlineStr">
        <is>
          <t>Wishes: were вместо was</t>
        </is>
      </c>
      <c r="F1866" s="11" t="inlineStr">
        <is>
          <t>Ст-319</t>
        </is>
      </c>
      <c r="G1866" s="37" t="inlineStr">
        <is>
          <t>повторение</t>
        </is>
      </c>
      <c r="H1866" s="11" t="inlineStr"/>
      <c r="I1866" s="37" t="inlineStr">
        <is>
          <t>10+</t>
        </is>
      </c>
      <c r="J1866" s="11">
        <f>IFERROR(INDEX('Уроки'!$H:$H,MATCH(F1866,'Уроки'!$A:$A,0)),"")</f>
        <v/>
      </c>
      <c r="K1866" s="11">
        <f>IFERROR(INDEX('Уроки'!$J:$J,MATCH(F1866,'Уроки'!$A:$A,0)),"")</f>
        <v/>
      </c>
      <c r="L1866" s="11" t="inlineStr">
        <is>
          <t>Spotlight / 11 класс / Module 7 · In days to come / Wishes (I wish / If only) / Wishes: were вместо was</t>
        </is>
      </c>
    </row>
    <row r="1867">
      <c r="A1867" s="37" t="n">
        <v>11</v>
      </c>
      <c r="B1867" s="11" t="inlineStr">
        <is>
          <t>Module 7 · In days to come</t>
        </is>
      </c>
      <c r="C1867" s="11" t="inlineStr">
        <is>
          <t>7c</t>
        </is>
      </c>
      <c r="D1867" s="11" t="inlineStr">
        <is>
          <t>Wishes (I wish / If only)</t>
        </is>
      </c>
      <c r="E1867" s="35" t="inlineStr">
        <is>
          <t>Wishes: If only vs I wish — эмоциональность</t>
        </is>
      </c>
      <c r="F1867" s="11" t="inlineStr">
        <is>
          <t>Ст-320</t>
        </is>
      </c>
      <c r="G1867" s="37" t="inlineStr">
        <is>
          <t>повторение</t>
        </is>
      </c>
      <c r="H1867" s="11" t="inlineStr"/>
      <c r="I1867" s="37" t="inlineStr">
        <is>
          <t>10+</t>
        </is>
      </c>
      <c r="J1867" s="11">
        <f>IFERROR(INDEX('Уроки'!$H:$H,MATCH(F1867,'Уроки'!$A:$A,0)),"")</f>
        <v/>
      </c>
      <c r="K1867" s="11">
        <f>IFERROR(INDEX('Уроки'!$J:$J,MATCH(F1867,'Уроки'!$A:$A,0)),"")</f>
        <v/>
      </c>
      <c r="L1867" s="11" t="inlineStr">
        <is>
          <t>Spotlight / 11 класс / Module 7 · In days to come / Wishes (I wish / If only) / Wishes: If only vs I wish — эмоциональность</t>
        </is>
      </c>
    </row>
    <row r="1868">
      <c r="A1868" s="37" t="n">
        <v>11</v>
      </c>
      <c r="B1868" s="11" t="inlineStr">
        <is>
          <t>Module 7 · In days to come</t>
        </is>
      </c>
      <c r="C1868" s="11" t="inlineStr">
        <is>
          <t>7c</t>
        </is>
      </c>
      <c r="D1868" s="11" t="inlineStr">
        <is>
          <t>Conditional linkers (unless, provided…)</t>
        </is>
      </c>
      <c r="E1868" s="35" t="inlineStr">
        <is>
          <t>Conditional linkers: unless, provided/providing (that), as long as, on condition (that)</t>
        </is>
      </c>
      <c r="F1868" s="11" t="inlineStr">
        <is>
          <t>Ст-559</t>
        </is>
      </c>
      <c r="G1868" s="37" t="inlineStr">
        <is>
          <t>повторение</t>
        </is>
      </c>
      <c r="H1868" s="11" t="inlineStr"/>
      <c r="I1868" s="37" t="inlineStr">
        <is>
          <t>10+</t>
        </is>
      </c>
      <c r="J1868" s="11">
        <f>IFERROR(INDEX('Уроки'!$H:$H,MATCH(F1868,'Уроки'!$A:$A,0)),"")</f>
        <v/>
      </c>
      <c r="K1868" s="11">
        <f>IFERROR(INDEX('Уроки'!$J:$J,MATCH(F1868,'Уроки'!$A:$A,0)),"")</f>
        <v/>
      </c>
      <c r="L1868" s="11" t="inlineStr">
        <is>
          <t>Spotlight / 11 класс / Module 7 · In days to come / Conditional linkers (unless, provided…) / Conditional linkers: unless, provided/providing (that), as long as, on condition (that)</t>
        </is>
      </c>
    </row>
    <row r="1869">
      <c r="A1869" s="37" t="n">
        <v>11</v>
      </c>
      <c r="B1869" s="11" t="inlineStr">
        <is>
          <t>Module 7 · In days to come</t>
        </is>
      </c>
      <c r="C1869" s="11" t="inlineStr">
        <is>
          <t>7c</t>
        </is>
      </c>
      <c r="D1869" s="11" t="inlineStr">
        <is>
          <t>Conditional linkers (unless, provided…)</t>
        </is>
      </c>
      <c r="E1869" s="35" t="inlineStr">
        <is>
          <t>Conditional linkers: but for, otherwise, or else</t>
        </is>
      </c>
      <c r="F1869" s="11" t="inlineStr">
        <is>
          <t>Ст-560</t>
        </is>
      </c>
      <c r="G1869" s="37" t="inlineStr">
        <is>
          <t>повторение</t>
        </is>
      </c>
      <c r="H1869" s="11" t="inlineStr"/>
      <c r="I1869" s="37" t="inlineStr">
        <is>
          <t>10+</t>
        </is>
      </c>
      <c r="J1869" s="11">
        <f>IFERROR(INDEX('Уроки'!$H:$H,MATCH(F1869,'Уроки'!$A:$A,0)),"")</f>
        <v/>
      </c>
      <c r="K1869" s="11">
        <f>IFERROR(INDEX('Уроки'!$J:$J,MATCH(F1869,'Уроки'!$A:$A,0)),"")</f>
        <v/>
      </c>
      <c r="L1869" s="11" t="inlineStr">
        <is>
          <t>Spotlight / 11 класс / Module 7 · In days to come / Conditional linkers (unless, provided…) / Conditional linkers: but for, otherwise, or else</t>
        </is>
      </c>
    </row>
    <row r="1870">
      <c r="A1870" s="37" t="n">
        <v>11</v>
      </c>
      <c r="B1870" s="11" t="inlineStr">
        <is>
          <t>Module 7 · In days to come</t>
        </is>
      </c>
      <c r="C1870" s="11" t="inlineStr">
        <is>
          <t>7c</t>
        </is>
      </c>
      <c r="D1870" s="11" t="inlineStr">
        <is>
          <t>Conditional linkers (unless, provided…)</t>
        </is>
      </c>
      <c r="E1870" s="35" t="inlineStr">
        <is>
          <t>Conditional linkers: what if, supposing, even if</t>
        </is>
      </c>
      <c r="F1870" s="11" t="inlineStr">
        <is>
          <t>Ст-561</t>
        </is>
      </c>
      <c r="G1870" s="37" t="inlineStr">
        <is>
          <t>повторение</t>
        </is>
      </c>
      <c r="H1870" s="11" t="inlineStr"/>
      <c r="I1870" s="37" t="inlineStr">
        <is>
          <t>10+</t>
        </is>
      </c>
      <c r="J1870" s="11">
        <f>IFERROR(INDEX('Уроки'!$H:$H,MATCH(F1870,'Уроки'!$A:$A,0)),"")</f>
        <v/>
      </c>
      <c r="K1870" s="11">
        <f>IFERROR(INDEX('Уроки'!$J:$J,MATCH(F1870,'Уроки'!$A:$A,0)),"")</f>
        <v/>
      </c>
      <c r="L1870" s="11" t="inlineStr">
        <is>
          <t>Spotlight / 11 класс / Module 7 · In days to come / Conditional linkers (unless, provided…) / Conditional linkers: what if, supposing, even if</t>
        </is>
      </c>
    </row>
    <row r="1871">
      <c r="A1871" s="37" t="n">
        <v>11</v>
      </c>
      <c r="B1871" s="11" t="inlineStr">
        <is>
          <t>Module 7 · In days to come</t>
        </is>
      </c>
      <c r="C1871" s="11" t="inlineStr">
        <is>
          <t>7c</t>
        </is>
      </c>
      <c r="D1871" s="11" t="inlineStr">
        <is>
          <t>Conditional linkers (unless, provided…)</t>
        </is>
      </c>
      <c r="E1871" s="35" t="inlineStr">
        <is>
          <t>Conditional linkers: only if (+ инверсия в главном предложении)</t>
        </is>
      </c>
      <c r="F1871" s="11" t="inlineStr">
        <is>
          <t>Ст-562</t>
        </is>
      </c>
      <c r="G1871" s="37" t="inlineStr">
        <is>
          <t>повторение</t>
        </is>
      </c>
      <c r="H1871" s="11" t="inlineStr"/>
      <c r="I1871" s="37" t="inlineStr">
        <is>
          <t>10+</t>
        </is>
      </c>
      <c r="J1871" s="11">
        <f>IFERROR(INDEX('Уроки'!$H:$H,MATCH(F1871,'Уроки'!$A:$A,0)),"")</f>
        <v/>
      </c>
      <c r="K1871" s="11">
        <f>IFERROR(INDEX('Уроки'!$J:$J,MATCH(F1871,'Уроки'!$A:$A,0)),"")</f>
        <v/>
      </c>
      <c r="L1871" s="11" t="inlineStr">
        <is>
          <t>Spotlight / 11 класс / Module 7 · In days to come / Conditional linkers (unless, provided…) / Conditional linkers: only if (+ инверсия в главном предложении)</t>
        </is>
      </c>
    </row>
    <row r="1872">
      <c r="A1872" s="37" t="n">
        <v>11</v>
      </c>
      <c r="B1872" s="11" t="inlineStr">
        <is>
          <t>Module 7 · In days to come</t>
        </is>
      </c>
      <c r="C1872" s="11" t="inlineStr">
        <is>
          <t>7c</t>
        </is>
      </c>
      <c r="D1872" s="11" t="inlineStr">
        <is>
          <t>Conditional linkers (unless, provided…)</t>
        </is>
      </c>
      <c r="E1872" s="35" t="inlineStr">
        <is>
          <t>Conditional linkers: will/would/should в if-части (просьба, раздражение, сомнение)</t>
        </is>
      </c>
      <c r="F1872" s="11" t="inlineStr">
        <is>
          <t>Ст-563</t>
        </is>
      </c>
      <c r="G1872" s="41" t="inlineStr">
        <is>
          <t>расширение</t>
        </is>
      </c>
      <c r="H1872" s="11" t="inlineStr">
        <is>
          <t>+ настойчивость (If you will stop arguing…); NOT if you will stay</t>
        </is>
      </c>
      <c r="I1872" s="37" t="inlineStr">
        <is>
          <t>10+</t>
        </is>
      </c>
      <c r="J1872" s="11">
        <f>IFERROR(INDEX('Уроки'!$H:$H,MATCH(F1872,'Уроки'!$A:$A,0)),"")</f>
        <v/>
      </c>
      <c r="K1872" s="11">
        <f>IFERROR(INDEX('Уроки'!$J:$J,MATCH(F1872,'Уроки'!$A:$A,0)),"")</f>
        <v/>
      </c>
      <c r="L1872" s="11" t="inlineStr">
        <is>
          <t>Spotlight / 11 класс / Module 7 · In days to come / Conditional linkers (unless, provided…) / Conditional linkers: will/would/should в if-части (просьба, раздражение, сомнение)</t>
        </is>
      </c>
    </row>
    <row r="1873">
      <c r="A1873" s="37" t="n">
        <v>11</v>
      </c>
      <c r="B1873" s="11" t="inlineStr">
        <is>
          <t>Module 7 · In days to come</t>
        </is>
      </c>
      <c r="C1873" s="11" t="inlineStr">
        <is>
          <t>7c</t>
        </is>
      </c>
      <c r="D1873" s="11" t="inlineStr">
        <is>
          <t>Inversion</t>
        </is>
      </c>
      <c r="E1873" s="35" t="inlineStr">
        <is>
          <t>Inversion: условные без if — Should/Were/Had + подлежащее</t>
        </is>
      </c>
      <c r="F1873" s="11" t="inlineStr">
        <is>
          <t>Ст-568</t>
        </is>
      </c>
      <c r="G1873" s="37" t="inlineStr">
        <is>
          <t>повторение</t>
        </is>
      </c>
      <c r="H1873" s="11" t="inlineStr"/>
      <c r="I1873" s="37" t="inlineStr">
        <is>
          <t>10+</t>
        </is>
      </c>
      <c r="J1873" s="11">
        <f>IFERROR(INDEX('Уроки'!$H:$H,MATCH(F1873,'Уроки'!$A:$A,0)),"")</f>
        <v/>
      </c>
      <c r="K1873" s="11">
        <f>IFERROR(INDEX('Уроки'!$J:$J,MATCH(F1873,'Уроки'!$A:$A,0)),"")</f>
        <v/>
      </c>
      <c r="L1873" s="11" t="inlineStr">
        <is>
          <t>Spotlight / 11 класс / Module 7 · In days to come / Inversion / Inversion: условные без if — Should/Were/Had + подлежащее</t>
        </is>
      </c>
    </row>
    <row r="1874">
      <c r="A1874" s="37" t="n">
        <v>11</v>
      </c>
      <c r="B1874" s="11" t="inlineStr">
        <is>
          <t>Module 7 · In days to come</t>
        </is>
      </c>
      <c r="C1874" s="11" t="inlineStr">
        <is>
          <t>7c</t>
        </is>
      </c>
      <c r="D1874" s="11" t="inlineStr">
        <is>
          <t>Phrasal verbs</t>
        </is>
      </c>
      <c r="E1874" s="35" t="inlineStr">
        <is>
          <t>Phrasal verbs: carry</t>
        </is>
      </c>
      <c r="F1874" s="11" t="inlineStr">
        <is>
          <t>Ст-594</t>
        </is>
      </c>
      <c r="G1874" s="37" t="inlineStr">
        <is>
          <t>повторение</t>
        </is>
      </c>
      <c r="H1874" s="11" t="inlineStr">
        <is>
          <t>carry + частицы (English in Use 7c); конкретные частицы в доступных страницах не даны.</t>
        </is>
      </c>
      <c r="I1874" s="37" t="inlineStr">
        <is>
          <t>10+</t>
        </is>
      </c>
      <c r="J1874" s="11">
        <f>IFERROR(INDEX('Уроки'!$H:$H,MATCH(F1874,'Уроки'!$A:$A,0)),"")</f>
        <v/>
      </c>
      <c r="K1874" s="11">
        <f>IFERROR(INDEX('Уроки'!$J:$J,MATCH(F1874,'Уроки'!$A:$A,0)),"")</f>
        <v/>
      </c>
      <c r="L1874" s="11" t="inlineStr">
        <is>
          <t>Spotlight / 11 класс / Module 7 · In days to come / Phrasal verbs / Phrasal verbs: carry</t>
        </is>
      </c>
    </row>
    <row r="1875">
      <c r="A1875" s="37" t="n">
        <v>11</v>
      </c>
      <c r="B1875" s="11" t="inlineStr">
        <is>
          <t>Module 7 · In days to come</t>
        </is>
      </c>
      <c r="C1875" s="11" t="inlineStr">
        <is>
          <t>7c</t>
        </is>
      </c>
      <c r="D1875" s="11" t="inlineStr">
        <is>
          <t>Dependent prepositions</t>
        </is>
      </c>
      <c r="E1875" s="35" t="inlineStr">
        <is>
          <t>Dependent prepositions</t>
        </is>
      </c>
      <c r="F1875" s="11" t="inlineStr">
        <is>
          <t>Ст-633</t>
        </is>
      </c>
      <c r="G1875" s="37" t="inlineStr">
        <is>
          <t>повторение</t>
        </is>
      </c>
      <c r="H1875" s="11" t="inlineStr">
        <is>
          <t>Dependent prepositions (English in Use 7c); конкретные сочетания в доступных страницах не даны.</t>
        </is>
      </c>
      <c r="I1875" s="37" t="inlineStr">
        <is>
          <t>10+</t>
        </is>
      </c>
      <c r="J1875" s="11">
        <f>IFERROR(INDEX('Уроки'!$H:$H,MATCH(F1875,'Уроки'!$A:$A,0)),"")</f>
        <v/>
      </c>
      <c r="K1875" s="11">
        <f>IFERROR(INDEX('Уроки'!$J:$J,MATCH(F1875,'Уроки'!$A:$A,0)),"")</f>
        <v/>
      </c>
      <c r="L1875" s="11" t="inlineStr">
        <is>
          <t>Spotlight / 11 класс / Module 7 · In days to come / Dependent prepositions / Dependent prepositions</t>
        </is>
      </c>
    </row>
    <row r="1876">
      <c r="A1876" s="37" t="n">
        <v>11</v>
      </c>
      <c r="B1876" s="11" t="inlineStr">
        <is>
          <t>Module 7 · In days to come</t>
        </is>
      </c>
      <c r="C1876" s="11" t="inlineStr">
        <is>
          <t>7a</t>
        </is>
      </c>
      <c r="D1876" s="11" t="inlineStr">
        <is>
          <t>Idioms &amp; collocations</t>
        </is>
      </c>
      <c r="E1876" s="33" t="inlineStr">
        <is>
          <t>Idioms &amp; collocations</t>
        </is>
      </c>
      <c r="F1876" s="11" t="inlineStr">
        <is>
          <t>Ст-634</t>
        </is>
      </c>
      <c r="G1876" s="37" t="inlineStr">
        <is>
          <t>повторение</t>
        </is>
      </c>
      <c r="H1876" s="11" t="inlineStr">
        <is>
          <t>Phrases with hope (7a).</t>
        </is>
      </c>
      <c r="I1876" s="37" t="inlineStr">
        <is>
          <t>10+</t>
        </is>
      </c>
      <c r="J1876" s="11">
        <f>IFERROR(INDEX('Уроки'!$H:$H,MATCH(F1876,'Уроки'!$A:$A,0)),"")</f>
        <v/>
      </c>
      <c r="K1876" s="11">
        <f>IFERROR(INDEX('Уроки'!$J:$J,MATCH(F1876,'Уроки'!$A:$A,0)),"")</f>
        <v/>
      </c>
      <c r="L1876" s="11" t="inlineStr">
        <is>
          <t>Spotlight / 11 класс / Module 7 · In days to come / Idioms &amp; collocations / Idioms &amp; collocations</t>
        </is>
      </c>
    </row>
    <row r="1877">
      <c r="A1877" s="37" t="n">
        <v>11</v>
      </c>
      <c r="B1877" s="11" t="inlineStr">
        <is>
          <t>Module 8 · Travel</t>
        </is>
      </c>
      <c r="C1877" s="11" t="inlineStr">
        <is>
          <t>8c</t>
        </is>
      </c>
      <c r="D1877" s="11" t="inlineStr">
        <is>
          <t>Countable / Uncountable nouns</t>
        </is>
      </c>
      <c r="E1877" s="33" t="inlineStr">
        <is>
          <t>Countable / Uncountable: различие исчисляемых и неисчисляемых</t>
        </is>
      </c>
      <c r="F1877" s="11" t="inlineStr">
        <is>
          <t>Ст-323</t>
        </is>
      </c>
      <c r="G1877" s="37" t="inlineStr">
        <is>
          <t>повторение</t>
        </is>
      </c>
      <c r="H1877" s="11" t="inlineStr">
        <is>
          <t>1 pen, 2 pens / sugar, meat</t>
        </is>
      </c>
      <c r="I1877" s="37" t="inlineStr">
        <is>
          <t>10+</t>
        </is>
      </c>
      <c r="J1877" s="11">
        <f>IFERROR(INDEX('Уроки'!$H:$H,MATCH(F1877,'Уроки'!$A:$A,0)),"")</f>
        <v/>
      </c>
      <c r="K1877" s="11">
        <f>IFERROR(INDEX('Уроки'!$J:$J,MATCH(F1877,'Уроки'!$A:$A,0)),"")</f>
        <v/>
      </c>
      <c r="L1877" s="11" t="inlineStr">
        <is>
          <t>Spotlight / 11 класс / Module 8 · Travel / Countable / Uncountable nouns / Countable / Uncountable: различие исчисляемых и неисчисляемых</t>
        </is>
      </c>
    </row>
    <row r="1878">
      <c r="A1878" s="37" t="n">
        <v>11</v>
      </c>
      <c r="B1878" s="11" t="inlineStr">
        <is>
          <t>Module 8 · Travel</t>
        </is>
      </c>
      <c r="C1878" s="11" t="inlineStr">
        <is>
          <t>8c</t>
        </is>
      </c>
      <c r="D1878" s="11" t="inlineStr">
        <is>
          <t>Countable / Uncountable nouns</t>
        </is>
      </c>
      <c r="E1878" s="33" t="inlineStr">
        <is>
          <t>Countable / Uncountable: неисчисляемые — еда и жидкости</t>
        </is>
      </c>
      <c r="F1878" s="11" t="inlineStr">
        <is>
          <t>Ст-324</t>
        </is>
      </c>
      <c r="G1878" s="37" t="inlineStr">
        <is>
          <t>повторение</t>
        </is>
      </c>
      <c r="H1878" s="11" t="inlineStr">
        <is>
          <t>beer, blood, bread, air, oxygen, corn, flour</t>
        </is>
      </c>
      <c r="I1878" s="37" t="inlineStr">
        <is>
          <t>10+</t>
        </is>
      </c>
      <c r="J1878" s="11">
        <f>IFERROR(INDEX('Уроки'!$H:$H,MATCH(F1878,'Уроки'!$A:$A,0)),"")</f>
        <v/>
      </c>
      <c r="K1878" s="11">
        <f>IFERROR(INDEX('Уроки'!$J:$J,MATCH(F1878,'Уроки'!$A:$A,0)),"")</f>
        <v/>
      </c>
      <c r="L1878" s="11" t="inlineStr">
        <is>
          <t>Spotlight / 11 класс / Module 8 · Travel / Countable / Uncountable nouns / Countable / Uncountable: неисчисляемые — еда и жидкости</t>
        </is>
      </c>
    </row>
    <row r="1879">
      <c r="A1879" s="37" t="n">
        <v>11</v>
      </c>
      <c r="B1879" s="11" t="inlineStr">
        <is>
          <t>Module 8 · Travel</t>
        </is>
      </c>
      <c r="C1879" s="11" t="inlineStr">
        <is>
          <t>8c</t>
        </is>
      </c>
      <c r="D1879" s="11" t="inlineStr">
        <is>
          <t>Countable / Uncountable nouns</t>
        </is>
      </c>
      <c r="E1879" s="33" t="inlineStr">
        <is>
          <t>Countable / Uncountable: количество с неисчисляемыми (a jar of, a bottle of)</t>
        </is>
      </c>
      <c r="F1879" s="11" t="inlineStr">
        <is>
          <t>Ст-325</t>
        </is>
      </c>
      <c r="G1879" s="41" t="inlineStr">
        <is>
          <t>расширение</t>
        </is>
      </c>
      <c r="H1879" s="11" t="inlineStr">
        <is>
          <t>добавлено много партитивов: a piece of advice, a rasher of bacon, a lump of sugar, a pair of trousers…</t>
        </is>
      </c>
      <c r="I1879" s="37" t="inlineStr">
        <is>
          <t>10+</t>
        </is>
      </c>
      <c r="J1879" s="11">
        <f>IFERROR(INDEX('Уроки'!$H:$H,MATCH(F1879,'Уроки'!$A:$A,0)),"")</f>
        <v/>
      </c>
      <c r="K1879" s="11">
        <f>IFERROR(INDEX('Уроки'!$J:$J,MATCH(F1879,'Уроки'!$A:$A,0)),"")</f>
        <v/>
      </c>
      <c r="L1879" s="11" t="inlineStr">
        <is>
          <t>Spotlight / 11 класс / Module 8 · Travel / Countable / Uncountable nouns / Countable / Uncountable: количество с неисчисляемыми (a jar of, a bottle of)</t>
        </is>
      </c>
    </row>
    <row r="1880">
      <c r="A1880" s="37" t="n">
        <v>11</v>
      </c>
      <c r="B1880" s="11" t="inlineStr">
        <is>
          <t>Module 8 · Travel</t>
        </is>
      </c>
      <c r="C1880" s="11" t="inlineStr">
        <is>
          <t>8c</t>
        </is>
      </c>
      <c r="D1880" s="11" t="inlineStr">
        <is>
          <t>Countable / Uncountable nouns</t>
        </is>
      </c>
      <c r="E1880" s="33" t="inlineStr">
        <is>
          <t>Countable / Uncountable: неисчисляемые без a/an, глагол в ед. ч.</t>
        </is>
      </c>
      <c r="F1880" s="11" t="inlineStr">
        <is>
          <t>Ст-330</t>
        </is>
      </c>
      <c r="G1880" s="41" t="inlineStr">
        <is>
          <t>расширение</t>
        </is>
      </c>
      <c r="H1880" s="11" t="inlineStr">
        <is>
          <t>+ some, any, much, no</t>
        </is>
      </c>
      <c r="I1880" s="37" t="inlineStr">
        <is>
          <t>10+</t>
        </is>
      </c>
      <c r="J1880" s="11">
        <f>IFERROR(INDEX('Уроки'!$H:$H,MATCH(F1880,'Уроки'!$A:$A,0)),"")</f>
        <v/>
      </c>
      <c r="K1880" s="11">
        <f>IFERROR(INDEX('Уроки'!$J:$J,MATCH(F1880,'Уроки'!$A:$A,0)),"")</f>
        <v/>
      </c>
      <c r="L1880" s="11" t="inlineStr">
        <is>
          <t>Spotlight / 11 класс / Module 8 · Travel / Countable / Uncountable nouns / Countable / Uncountable: неисчисляемые без a/an, глагол в ед. ч.</t>
        </is>
      </c>
    </row>
    <row r="1881">
      <c r="A1881" s="37" t="n">
        <v>11</v>
      </c>
      <c r="B1881" s="11" t="inlineStr">
        <is>
          <t>Module 8 · Travel</t>
        </is>
      </c>
      <c r="C1881" s="11" t="inlineStr">
        <is>
          <t>8c</t>
        </is>
      </c>
      <c r="D1881" s="11" t="inlineStr">
        <is>
          <t>Countable / Uncountable nouns</t>
        </is>
      </c>
      <c r="E1881" s="35" t="inlineStr">
        <is>
          <t>Countable / Uncountable: исключения с a/an (a help, a pity, a shame)</t>
        </is>
      </c>
      <c r="F1881" s="11" t="inlineStr">
        <is>
          <t>Ст-331</t>
        </is>
      </c>
      <c r="G1881" s="40" t="inlineStr">
        <is>
          <t>новое</t>
        </is>
      </c>
      <c r="H1881" s="11" t="inlineStr">
        <is>
          <t>a help, a knowledge (of sth), a pity, a relief, a shame, a wonder</t>
        </is>
      </c>
      <c r="I1881" s="37" t="inlineStr">
        <is>
          <t>10+</t>
        </is>
      </c>
      <c r="J1881" s="11">
        <f>IFERROR(INDEX('Уроки'!$H:$H,MATCH(F1881,'Уроки'!$A:$A,0)),"")</f>
        <v/>
      </c>
      <c r="K1881" s="11">
        <f>IFERROR(INDEX('Уроки'!$J:$J,MATCH(F1881,'Уроки'!$A:$A,0)),"")</f>
        <v/>
      </c>
      <c r="L1881" s="11" t="inlineStr">
        <is>
          <t>Spotlight / 11 класс / Module 8 · Travel / Countable / Uncountable nouns / Countable / Uncountable: исключения с a/an (a help, a pity, a shame)</t>
        </is>
      </c>
    </row>
    <row r="1882">
      <c r="A1882" s="37" t="n">
        <v>11</v>
      </c>
      <c r="B1882" s="11" t="inlineStr">
        <is>
          <t>Module 8 · Travel</t>
        </is>
      </c>
      <c r="C1882" s="11" t="inlineStr">
        <is>
          <t>8c</t>
        </is>
      </c>
      <c r="D1882" s="11" t="inlineStr">
        <is>
          <t>Countable / Uncountable nouns</t>
        </is>
      </c>
      <c r="E1882" s="35" t="inlineStr">
        <is>
          <t>Countable / Uncountable: группы неисчисляемых — предметы, языки, игры, болезни, явления природы</t>
        </is>
      </c>
      <c r="F1882" s="11" t="inlineStr">
        <is>
          <t>Ст-332</t>
        </is>
      </c>
      <c r="G1882" s="41" t="inlineStr">
        <is>
          <t>расширение</t>
        </is>
      </c>
      <c r="H1882" s="11" t="inlineStr">
        <is>
          <t>+ спорт (cycling, football), абстрактные (anger, beauty, love)</t>
        </is>
      </c>
      <c r="I1882" s="37" t="inlineStr">
        <is>
          <t>10+</t>
        </is>
      </c>
      <c r="J1882" s="11">
        <f>IFERROR(INDEX('Уроки'!$H:$H,MATCH(F1882,'Уроки'!$A:$A,0)),"")</f>
        <v/>
      </c>
      <c r="K1882" s="11">
        <f>IFERROR(INDEX('Уроки'!$J:$J,MATCH(F1882,'Уроки'!$A:$A,0)),"")</f>
        <v/>
      </c>
      <c r="L1882" s="11" t="inlineStr">
        <is>
          <t>Spotlight / 11 класс / Module 8 · Travel / Countable / Uncountable nouns / Countable / Uncountable: группы неисчисляемых — предметы, языки, игры, болезни, явления природы</t>
        </is>
      </c>
    </row>
    <row r="1883">
      <c r="A1883" s="37" t="n">
        <v>11</v>
      </c>
      <c r="B1883" s="11" t="inlineStr">
        <is>
          <t>Module 8 · Travel</t>
        </is>
      </c>
      <c r="C1883" s="11" t="inlineStr">
        <is>
          <t>8c</t>
        </is>
      </c>
      <c r="D1883" s="11" t="inlineStr">
        <is>
          <t>Countable / Uncountable nouns</t>
        </is>
      </c>
      <c r="E1883" s="35" t="inlineStr">
        <is>
          <t>Countable / Uncountable: «ловушки» — advice, information, news, furniture, luggage, money</t>
        </is>
      </c>
      <c r="F1883" s="11" t="inlineStr">
        <is>
          <t>Ст-333</t>
        </is>
      </c>
      <c r="G1883" s="41" t="inlineStr">
        <is>
          <t>расширение</t>
        </is>
      </c>
      <c r="H1883" s="11" t="inlineStr">
        <is>
          <t>+ accommodation, behaviour, stationery, traffic, travel, weather</t>
        </is>
      </c>
      <c r="I1883" s="37" t="inlineStr">
        <is>
          <t>10+</t>
        </is>
      </c>
      <c r="J1883" s="11">
        <f>IFERROR(INDEX('Уроки'!$H:$H,MATCH(F1883,'Уроки'!$A:$A,0)),"")</f>
        <v/>
      </c>
      <c r="K1883" s="11">
        <f>IFERROR(INDEX('Уроки'!$J:$J,MATCH(F1883,'Уроки'!$A:$A,0)),"")</f>
        <v/>
      </c>
      <c r="L1883" s="11" t="inlineStr">
        <is>
          <t>Spotlight / 11 класс / Module 8 · Travel / Countable / Uncountable nouns / Countable / Uncountable: «ловушки» — advice, information, news, furniture, luggage, money</t>
        </is>
      </c>
    </row>
    <row r="1884">
      <c r="A1884" s="37" t="n">
        <v>11</v>
      </c>
      <c r="B1884" s="11" t="inlineStr">
        <is>
          <t>Module 8 · Travel</t>
        </is>
      </c>
      <c r="C1884" s="11" t="inlineStr">
        <is>
          <t>8c</t>
        </is>
      </c>
      <c r="D1884" s="11" t="inlineStr">
        <is>
          <t>Countable / Uncountable nouns</t>
        </is>
      </c>
      <c r="E1884" s="33" t="inlineStr">
        <is>
          <t>Countable / Uncountable: собирательные (family, team) и составные (homework, countryside)</t>
        </is>
      </c>
      <c r="F1884" s="11" t="inlineStr">
        <is>
          <t>Ст-334</t>
        </is>
      </c>
      <c r="G1884" s="40" t="inlineStr">
        <is>
          <t>новое</t>
        </is>
      </c>
      <c r="H1884" s="11" t="inlineStr">
        <is>
          <t>family, flock, public, team, government; countryside, homework, housework, seaside</t>
        </is>
      </c>
      <c r="I1884" s="37" t="inlineStr">
        <is>
          <t>10+</t>
        </is>
      </c>
      <c r="J1884" s="11">
        <f>IFERROR(INDEX('Уроки'!$H:$H,MATCH(F1884,'Уроки'!$A:$A,0)),"")</f>
        <v/>
      </c>
      <c r="K1884" s="11">
        <f>IFERROR(INDEX('Уроки'!$J:$J,MATCH(F1884,'Уроки'!$A:$A,0)),"")</f>
        <v/>
      </c>
      <c r="L1884" s="11" t="inlineStr">
        <is>
          <t>Spotlight / 11 класс / Module 8 · Travel / Countable / Uncountable nouns / Countable / Uncountable: собирательные (family, team) и составные (homework, countryside)</t>
        </is>
      </c>
    </row>
    <row r="1885">
      <c r="A1885" s="37" t="n">
        <v>11</v>
      </c>
      <c r="B1885" s="11" t="inlineStr">
        <is>
          <t>Module 8 · Travel</t>
        </is>
      </c>
      <c r="C1885" s="11" t="inlineStr">
        <is>
          <t>8c</t>
        </is>
      </c>
      <c r="D1885" s="11" t="inlineStr">
        <is>
          <t>Countable / Uncountable nouns</t>
        </is>
      </c>
      <c r="E1885" s="35" t="inlineStr">
        <is>
          <t>Countable / Uncountable: длительность, расстояние, деньги как целое — глагол в ед. ч.</t>
        </is>
      </c>
      <c r="F1885" s="11" t="inlineStr">
        <is>
          <t>Ст-335</t>
        </is>
      </c>
      <c r="G1885" s="40" t="inlineStr">
        <is>
          <t>новое</t>
        </is>
      </c>
      <c r="H1885" s="11" t="inlineStr"/>
      <c r="I1885" s="37" t="inlineStr">
        <is>
          <t>10+</t>
        </is>
      </c>
      <c r="J1885" s="11">
        <f>IFERROR(INDEX('Уроки'!$H:$H,MATCH(F1885,'Уроки'!$A:$A,0)),"")</f>
        <v/>
      </c>
      <c r="K1885" s="11">
        <f>IFERROR(INDEX('Уроки'!$J:$J,MATCH(F1885,'Уроки'!$A:$A,0)),"")</f>
        <v/>
      </c>
      <c r="L1885" s="11" t="inlineStr">
        <is>
          <t>Spotlight / 11 класс / Module 8 · Travel / Countable / Uncountable nouns / Countable / Uncountable: длительность, расстояние, деньги как целое — глагол в ед. ч.</t>
        </is>
      </c>
    </row>
    <row r="1886">
      <c r="A1886" s="37" t="n">
        <v>11</v>
      </c>
      <c r="B1886" s="11" t="inlineStr">
        <is>
          <t>Module 8 · Travel</t>
        </is>
      </c>
      <c r="C1886" s="11" t="inlineStr">
        <is>
          <t>8c</t>
        </is>
      </c>
      <c r="D1886" s="11" t="inlineStr">
        <is>
          <t>much/many/a lot of</t>
        </is>
      </c>
      <c r="E1886" s="33" t="inlineStr">
        <is>
          <t>much/many/a lot of: a lot of / lots of — в утверждениях (исчисляемые и неисчисляемые)</t>
        </is>
      </c>
      <c r="F1886" s="11" t="inlineStr">
        <is>
          <t>Ст-359</t>
        </is>
      </c>
      <c r="G1886" s="37" t="inlineStr">
        <is>
          <t>повторение</t>
        </is>
      </c>
      <c r="H1886" s="11" t="inlineStr"/>
      <c r="I1886" s="37" t="inlineStr">
        <is>
          <t>10+</t>
        </is>
      </c>
      <c r="J1886" s="11">
        <f>IFERROR(INDEX('Уроки'!$H:$H,MATCH(F1886,'Уроки'!$A:$A,0)),"")</f>
        <v/>
      </c>
      <c r="K1886" s="11">
        <f>IFERROR(INDEX('Уроки'!$J:$J,MATCH(F1886,'Уроки'!$A:$A,0)),"")</f>
        <v/>
      </c>
      <c r="L1886" s="11" t="inlineStr">
        <is>
          <t>Spotlight / 11 класс / Module 8 · Travel / much/many/a lot of / much/many/a lot of: a lot of / lots of — в утверждениях (исчисляемые и неисчисляемые)</t>
        </is>
      </c>
    </row>
    <row r="1887">
      <c r="A1887" s="37" t="n">
        <v>11</v>
      </c>
      <c r="B1887" s="11" t="inlineStr">
        <is>
          <t>Module 8 · Travel</t>
        </is>
      </c>
      <c r="C1887" s="11" t="inlineStr">
        <is>
          <t>8c</t>
        </is>
      </c>
      <c r="D1887" s="11" t="inlineStr">
        <is>
          <t>much/many/a lot of</t>
        </is>
      </c>
      <c r="E1887" s="33" t="inlineStr">
        <is>
          <t>much/many/a lot of: much/many — отрицание</t>
        </is>
      </c>
      <c r="F1887" s="11" t="inlineStr">
        <is>
          <t>Ст-360</t>
        </is>
      </c>
      <c r="G1887" s="37" t="inlineStr">
        <is>
          <t>повторение</t>
        </is>
      </c>
      <c r="H1887" s="11" t="inlineStr"/>
      <c r="I1887" s="37" t="inlineStr">
        <is>
          <t>10+</t>
        </is>
      </c>
      <c r="J1887" s="11">
        <f>IFERROR(INDEX('Уроки'!$H:$H,MATCH(F1887,'Уроки'!$A:$A,0)),"")</f>
        <v/>
      </c>
      <c r="K1887" s="11">
        <f>IFERROR(INDEX('Уроки'!$J:$J,MATCH(F1887,'Уроки'!$A:$A,0)),"")</f>
        <v/>
      </c>
      <c r="L1887" s="11" t="inlineStr">
        <is>
          <t>Spotlight / 11 класс / Module 8 · Travel / much/many/a lot of / much/many/a lot of: much/many — отрицание</t>
        </is>
      </c>
    </row>
    <row r="1888">
      <c r="A1888" s="37" t="n">
        <v>11</v>
      </c>
      <c r="B1888" s="11" t="inlineStr">
        <is>
          <t>Module 8 · Travel</t>
        </is>
      </c>
      <c r="C1888" s="11" t="inlineStr">
        <is>
          <t>8c</t>
        </is>
      </c>
      <c r="D1888" s="11" t="inlineStr">
        <is>
          <t>much/many/a lot of</t>
        </is>
      </c>
      <c r="E1888" s="33" t="inlineStr">
        <is>
          <t>much/many/a lot of: much/many — вопросы</t>
        </is>
      </c>
      <c r="F1888" s="11" t="inlineStr">
        <is>
          <t>Ст-361</t>
        </is>
      </c>
      <c r="G1888" s="37" t="inlineStr">
        <is>
          <t>повторение</t>
        </is>
      </c>
      <c r="H1888" s="11" t="inlineStr"/>
      <c r="I1888" s="37" t="inlineStr">
        <is>
          <t>10+</t>
        </is>
      </c>
      <c r="J1888" s="11">
        <f>IFERROR(INDEX('Уроки'!$H:$H,MATCH(F1888,'Уроки'!$A:$A,0)),"")</f>
        <v/>
      </c>
      <c r="K1888" s="11">
        <f>IFERROR(INDEX('Уроки'!$J:$J,MATCH(F1888,'Уроки'!$A:$A,0)),"")</f>
        <v/>
      </c>
      <c r="L1888" s="11" t="inlineStr">
        <is>
          <t>Spotlight / 11 класс / Module 8 · Travel / much/many/a lot of / much/many/a lot of: much/many — вопросы</t>
        </is>
      </c>
    </row>
    <row r="1889">
      <c r="A1889" s="37" t="n">
        <v>11</v>
      </c>
      <c r="B1889" s="11" t="inlineStr">
        <is>
          <t>Module 8 · Travel</t>
        </is>
      </c>
      <c r="C1889" s="11" t="inlineStr">
        <is>
          <t>8c</t>
        </is>
      </c>
      <c r="D1889" s="11" t="inlineStr">
        <is>
          <t>much/many/a lot of</t>
        </is>
      </c>
      <c r="E1889" s="35" t="inlineStr">
        <is>
          <t>much/many/a lot of: краткие ответы и a lot / lots без существительного</t>
        </is>
      </c>
      <c r="F1889" s="11" t="inlineStr">
        <is>
          <t>Ст-363</t>
        </is>
      </c>
      <c r="G1889" s="37" t="inlineStr">
        <is>
          <t>повторение</t>
        </is>
      </c>
      <c r="H1889" s="11" t="inlineStr">
        <is>
          <t>There's lots/a lot going on</t>
        </is>
      </c>
      <c r="I1889" s="37" t="inlineStr">
        <is>
          <t>10+</t>
        </is>
      </c>
      <c r="J1889" s="11">
        <f>IFERROR(INDEX('Уроки'!$H:$H,MATCH(F1889,'Уроки'!$A:$A,0)),"")</f>
        <v/>
      </c>
      <c r="K1889" s="11">
        <f>IFERROR(INDEX('Уроки'!$J:$J,MATCH(F1889,'Уроки'!$A:$A,0)),"")</f>
        <v/>
      </c>
      <c r="L1889" s="11" t="inlineStr">
        <is>
          <t>Spotlight / 11 класс / Module 8 · Travel / much/many/a lot of / much/many/a lot of: краткие ответы и a lot / lots без существительного</t>
        </is>
      </c>
    </row>
    <row r="1890">
      <c r="A1890" s="37" t="n">
        <v>11</v>
      </c>
      <c r="B1890" s="11" t="inlineStr">
        <is>
          <t>Module 8 · Travel</t>
        </is>
      </c>
      <c r="C1890" s="11" t="inlineStr">
        <is>
          <t>8c</t>
        </is>
      </c>
      <c r="D1890" s="11" t="inlineStr">
        <is>
          <t>a few/a little</t>
        </is>
      </c>
      <c r="E1890" s="33" t="inlineStr">
        <is>
          <t>a few/a little: a few — с исчисляемыми мн. ч. («несколько»)</t>
        </is>
      </c>
      <c r="F1890" s="11" t="inlineStr">
        <is>
          <t>Ст-377</t>
        </is>
      </c>
      <c r="G1890" s="37" t="inlineStr">
        <is>
          <t>повторение</t>
        </is>
      </c>
      <c r="H1890" s="11" t="inlineStr"/>
      <c r="I1890" s="37" t="inlineStr">
        <is>
          <t>10+</t>
        </is>
      </c>
      <c r="J1890" s="11">
        <f>IFERROR(INDEX('Уроки'!$H:$H,MATCH(F1890,'Уроки'!$A:$A,0)),"")</f>
        <v/>
      </c>
      <c r="K1890" s="11">
        <f>IFERROR(INDEX('Уроки'!$J:$J,MATCH(F1890,'Уроки'!$A:$A,0)),"")</f>
        <v/>
      </c>
      <c r="L1890" s="11" t="inlineStr">
        <is>
          <t>Spotlight / 11 класс / Module 8 · Travel / a few/a little / a few/a little: a few — с исчисляемыми мн. ч. («несколько»)</t>
        </is>
      </c>
    </row>
    <row r="1891">
      <c r="A1891" s="37" t="n">
        <v>11</v>
      </c>
      <c r="B1891" s="11" t="inlineStr">
        <is>
          <t>Module 8 · Travel</t>
        </is>
      </c>
      <c r="C1891" s="11" t="inlineStr">
        <is>
          <t>8c</t>
        </is>
      </c>
      <c r="D1891" s="11" t="inlineStr">
        <is>
          <t>a few/a little</t>
        </is>
      </c>
      <c r="E1891" s="33" t="inlineStr">
        <is>
          <t>a few/a little: a little — с неисчисляемыми («немного»)</t>
        </is>
      </c>
      <c r="F1891" s="11" t="inlineStr">
        <is>
          <t>Ст-378</t>
        </is>
      </c>
      <c r="G1891" s="37" t="inlineStr">
        <is>
          <t>повторение</t>
        </is>
      </c>
      <c r="H1891" s="11" t="inlineStr"/>
      <c r="I1891" s="37" t="inlineStr">
        <is>
          <t>10+</t>
        </is>
      </c>
      <c r="J1891" s="11">
        <f>IFERROR(INDEX('Уроки'!$H:$H,MATCH(F1891,'Уроки'!$A:$A,0)),"")</f>
        <v/>
      </c>
      <c r="K1891" s="11">
        <f>IFERROR(INDEX('Уроки'!$J:$J,MATCH(F1891,'Уроки'!$A:$A,0)),"")</f>
        <v/>
      </c>
      <c r="L1891" s="11" t="inlineStr">
        <is>
          <t>Spotlight / 11 класс / Module 8 · Travel / a few/a little / a few/a little: a little — с неисчисляемыми («немного»)</t>
        </is>
      </c>
    </row>
    <row r="1892">
      <c r="A1892" s="37" t="n">
        <v>11</v>
      </c>
      <c r="B1892" s="11" t="inlineStr">
        <is>
          <t>Module 8 · Travel</t>
        </is>
      </c>
      <c r="C1892" s="11" t="inlineStr">
        <is>
          <t>8c</t>
        </is>
      </c>
      <c r="D1892" s="11" t="inlineStr">
        <is>
          <t>a few/a little</t>
        </is>
      </c>
      <c r="E1892" s="33" t="inlineStr">
        <is>
          <t>a few/a little: few / little — «мало»</t>
        </is>
      </c>
      <c r="F1892" s="11" t="inlineStr">
        <is>
          <t>Ст-379</t>
        </is>
      </c>
      <c r="G1892" s="37" t="inlineStr">
        <is>
          <t>повторение</t>
        </is>
      </c>
      <c r="H1892" s="11" t="inlineStr"/>
      <c r="I1892" s="37" t="inlineStr">
        <is>
          <t>10+</t>
        </is>
      </c>
      <c r="J1892" s="11">
        <f>IFERROR(INDEX('Уроки'!$H:$H,MATCH(F1892,'Уроки'!$A:$A,0)),"")</f>
        <v/>
      </c>
      <c r="K1892" s="11">
        <f>IFERROR(INDEX('Уроки'!$J:$J,MATCH(F1892,'Уроки'!$A:$A,0)),"")</f>
        <v/>
      </c>
      <c r="L1892" s="11" t="inlineStr">
        <is>
          <t>Spotlight / 11 класс / Module 8 · Travel / a few/a little / a few/a little: few / little — «мало»</t>
        </is>
      </c>
    </row>
    <row r="1893">
      <c r="A1893" s="37" t="n">
        <v>11</v>
      </c>
      <c r="B1893" s="11" t="inlineStr">
        <is>
          <t>Module 8 · Travel</t>
        </is>
      </c>
      <c r="C1893" s="11" t="inlineStr">
        <is>
          <t>8c</t>
        </is>
      </c>
      <c r="D1893" s="11" t="inlineStr">
        <is>
          <t>a few/a little</t>
        </is>
      </c>
      <c r="E1893" s="33" t="inlineStr">
        <is>
          <t>a few/a little: a few vs few, a little vs little — «немного, но достаточно» vs «почти нет»</t>
        </is>
      </c>
      <c r="F1893" s="11" t="inlineStr">
        <is>
          <t>Ст-380</t>
        </is>
      </c>
      <c r="G1893" s="37" t="inlineStr">
        <is>
          <t>повторение</t>
        </is>
      </c>
      <c r="H1893" s="11" t="inlineStr"/>
      <c r="I1893" s="37" t="inlineStr">
        <is>
          <t>10+</t>
        </is>
      </c>
      <c r="J1893" s="11">
        <f>IFERROR(INDEX('Уроки'!$H:$H,MATCH(F1893,'Уроки'!$A:$A,0)),"")</f>
        <v/>
      </c>
      <c r="K1893" s="11">
        <f>IFERROR(INDEX('Уроки'!$J:$J,MATCH(F1893,'Уроки'!$A:$A,0)),"")</f>
        <v/>
      </c>
      <c r="L1893" s="11" t="inlineStr">
        <is>
          <t>Spotlight / 11 класс / Module 8 · Travel / a few/a little / a few/a little: a few vs few, a little vs little — «немного, но достаточно» vs «почти нет»</t>
        </is>
      </c>
    </row>
    <row r="1894">
      <c r="A1894" s="37" t="n">
        <v>11</v>
      </c>
      <c r="B1894" s="11" t="inlineStr">
        <is>
          <t>Module 8 · Travel</t>
        </is>
      </c>
      <c r="C1894" s="11" t="inlineStr">
        <is>
          <t>8c</t>
        </is>
      </c>
      <c r="D1894" s="11" t="inlineStr">
        <is>
          <t>a few/a little</t>
        </is>
      </c>
      <c r="E1894" s="35" t="inlineStr">
        <is>
          <t>a few/a little: very few / very little</t>
        </is>
      </c>
      <c r="F1894" s="11" t="inlineStr">
        <is>
          <t>Ст-381</t>
        </is>
      </c>
      <c r="G1894" s="37" t="inlineStr">
        <is>
          <t>повторение</t>
        </is>
      </c>
      <c r="H1894" s="11" t="inlineStr"/>
      <c r="I1894" s="37" t="inlineStr">
        <is>
          <t>10+</t>
        </is>
      </c>
      <c r="J1894" s="11">
        <f>IFERROR(INDEX('Уроки'!$H:$H,MATCH(F1894,'Уроки'!$A:$A,0)),"")</f>
        <v/>
      </c>
      <c r="K1894" s="11">
        <f>IFERROR(INDEX('Уроки'!$J:$J,MATCH(F1894,'Уроки'!$A:$A,0)),"")</f>
        <v/>
      </c>
      <c r="L1894" s="11" t="inlineStr">
        <is>
          <t>Spotlight / 11 класс / Module 8 · Travel / a few/a little / a few/a little: very few / very little</t>
        </is>
      </c>
    </row>
    <row r="1895">
      <c r="A1895" s="37" t="n">
        <v>11</v>
      </c>
      <c r="B1895" s="11" t="inlineStr">
        <is>
          <t>Module 8 · Travel</t>
        </is>
      </c>
      <c r="C1895" s="11" t="inlineStr">
        <is>
          <t>8c</t>
        </is>
      </c>
      <c r="D1895" s="11" t="inlineStr">
        <is>
          <t>a few/a little</t>
        </is>
      </c>
      <c r="E1895" s="35" t="inlineStr">
        <is>
          <t>a few/a little: a little + прилагательное (a little cold)</t>
        </is>
      </c>
      <c r="F1895" s="11" t="inlineStr">
        <is>
          <t>Ст-382</t>
        </is>
      </c>
      <c r="G1895" s="40" t="inlineStr">
        <is>
          <t>новое</t>
        </is>
      </c>
      <c r="H1895" s="11" t="inlineStr">
        <is>
          <t>It's a little cold</t>
        </is>
      </c>
      <c r="I1895" s="37" t="inlineStr">
        <is>
          <t>10+</t>
        </is>
      </c>
      <c r="J1895" s="11">
        <f>IFERROR(INDEX('Уроки'!$H:$H,MATCH(F1895,'Уроки'!$A:$A,0)),"")</f>
        <v/>
      </c>
      <c r="K1895" s="11">
        <f>IFERROR(INDEX('Уроки'!$J:$J,MATCH(F1895,'Уроки'!$A:$A,0)),"")</f>
        <v/>
      </c>
      <c r="L1895" s="11" t="inlineStr">
        <is>
          <t>Spotlight / 11 класс / Module 8 · Travel / a few/a little / a few/a little: a little + прилагательное (a little cold)</t>
        </is>
      </c>
    </row>
    <row r="1896">
      <c r="A1896" s="37" t="n">
        <v>11</v>
      </c>
      <c r="B1896" s="11" t="inlineStr">
        <is>
          <t>Module 8 · Travel</t>
        </is>
      </c>
      <c r="C1896" s="11" t="inlineStr">
        <is>
          <t>8c</t>
        </is>
      </c>
      <c r="D1896" s="11" t="inlineStr">
        <is>
          <t>Quantifiers</t>
        </is>
      </c>
      <c r="E1896" s="33" t="inlineStr">
        <is>
          <t>Quantifiers: every vs each</t>
        </is>
      </c>
      <c r="F1896" s="11" t="inlineStr">
        <is>
          <t>Ст-390</t>
        </is>
      </c>
      <c r="G1896" s="40" t="inlineStr">
        <is>
          <t>новое</t>
        </is>
      </c>
      <c r="H1896" s="11" t="inlineStr">
        <is>
          <t>every — вся группа, each — по отдельности; each — о двух, every — о трёх+</t>
        </is>
      </c>
      <c r="I1896" s="37" t="inlineStr">
        <is>
          <t>10+</t>
        </is>
      </c>
      <c r="J1896" s="11">
        <f>IFERROR(INDEX('Уроки'!$H:$H,MATCH(F1896,'Уроки'!$A:$A,0)),"")</f>
        <v/>
      </c>
      <c r="K1896" s="11">
        <f>IFERROR(INDEX('Уроки'!$J:$J,MATCH(F1896,'Уроки'!$A:$A,0)),"")</f>
        <v/>
      </c>
      <c r="L1896" s="11" t="inlineStr">
        <is>
          <t>Spotlight / 11 класс / Module 8 · Travel / Quantifiers / Quantifiers: every vs each</t>
        </is>
      </c>
    </row>
    <row r="1897">
      <c r="A1897" s="37" t="n">
        <v>11</v>
      </c>
      <c r="B1897" s="11" t="inlineStr">
        <is>
          <t>Module 8 · Travel</t>
        </is>
      </c>
      <c r="C1897" s="11" t="inlineStr">
        <is>
          <t>8c</t>
        </is>
      </c>
      <c r="D1897" s="11" t="inlineStr">
        <is>
          <t>Quantifiers</t>
        </is>
      </c>
      <c r="E1897" s="35" t="inlineStr">
        <is>
          <t>Quantifiers: a couple of, several + исчисляемые мн. ч.</t>
        </is>
      </c>
      <c r="F1897" s="11" t="inlineStr">
        <is>
          <t>Ст-391</t>
        </is>
      </c>
      <c r="G1897" s="40" t="inlineStr">
        <is>
          <t>новое</t>
        </is>
      </c>
      <c r="H1897" s="11" t="inlineStr"/>
      <c r="I1897" s="37" t="inlineStr">
        <is>
          <t>10+</t>
        </is>
      </c>
      <c r="J1897" s="11">
        <f>IFERROR(INDEX('Уроки'!$H:$H,MATCH(F1897,'Уроки'!$A:$A,0)),"")</f>
        <v/>
      </c>
      <c r="K1897" s="11">
        <f>IFERROR(INDEX('Уроки'!$J:$J,MATCH(F1897,'Уроки'!$A:$A,0)),"")</f>
        <v/>
      </c>
      <c r="L1897" s="11" t="inlineStr">
        <is>
          <t>Spotlight / 11 класс / Module 8 · Travel / Quantifiers / Quantifiers: a couple of, several + исчисляемые мн. ч.</t>
        </is>
      </c>
    </row>
    <row r="1898">
      <c r="A1898" s="37" t="n">
        <v>11</v>
      </c>
      <c r="B1898" s="11" t="inlineStr">
        <is>
          <t>Module 8 · Travel</t>
        </is>
      </c>
      <c r="C1898" s="11" t="inlineStr">
        <is>
          <t>8c</t>
        </is>
      </c>
      <c r="D1898" s="11" t="inlineStr">
        <is>
          <t>Quantifiers</t>
        </is>
      </c>
      <c r="E1898" s="35" t="inlineStr">
        <is>
          <t>Quantifiers: a great deal of, plenty of</t>
        </is>
      </c>
      <c r="F1898" s="11" t="inlineStr">
        <is>
          <t>Ст-392</t>
        </is>
      </c>
      <c r="G1898" s="40" t="inlineStr">
        <is>
          <t>новое</t>
        </is>
      </c>
      <c r="H1898" s="11" t="inlineStr">
        <is>
          <t>a great deal of + неисч.; plenty of + исч./неисч.</t>
        </is>
      </c>
      <c r="I1898" s="37" t="inlineStr">
        <is>
          <t>10+</t>
        </is>
      </c>
      <c r="J1898" s="11">
        <f>IFERROR(INDEX('Уроки'!$H:$H,MATCH(F1898,'Уроки'!$A:$A,0)),"")</f>
        <v/>
      </c>
      <c r="K1898" s="11">
        <f>IFERROR(INDEX('Уроки'!$J:$J,MATCH(F1898,'Уроки'!$A:$A,0)),"")</f>
        <v/>
      </c>
      <c r="L1898" s="11" t="inlineStr">
        <is>
          <t>Spotlight / 11 класс / Module 8 · Travel / Quantifiers / Quantifiers: a great deal of, plenty of</t>
        </is>
      </c>
    </row>
    <row r="1899">
      <c r="A1899" s="37" t="n">
        <v>11</v>
      </c>
      <c r="B1899" s="11" t="inlineStr">
        <is>
          <t>Module 8 · Travel</t>
        </is>
      </c>
      <c r="C1899" s="11" t="inlineStr">
        <is>
          <t>8c</t>
        </is>
      </c>
      <c r="D1899" s="11" t="inlineStr">
        <is>
          <t>Quantifiers</t>
        </is>
      </c>
      <c r="E1899" s="33" t="inlineStr">
        <is>
          <t>Quantifiers: hardly any</t>
        </is>
      </c>
      <c r="F1899" s="11" t="inlineStr">
        <is>
          <t>Ст-393</t>
        </is>
      </c>
      <c r="G1899" s="40" t="inlineStr">
        <is>
          <t>новое</t>
        </is>
      </c>
      <c r="H1899" s="11" t="inlineStr">
        <is>
          <t>отсылка к Indefinite pronouns</t>
        </is>
      </c>
      <c r="I1899" s="37" t="inlineStr">
        <is>
          <t>10+</t>
        </is>
      </c>
      <c r="J1899" s="11">
        <f>IFERROR(INDEX('Уроки'!$H:$H,MATCH(F1899,'Уроки'!$A:$A,0)),"")</f>
        <v/>
      </c>
      <c r="K1899" s="11">
        <f>IFERROR(INDEX('Уроки'!$J:$J,MATCH(F1899,'Уроки'!$A:$A,0)),"")</f>
        <v/>
      </c>
      <c r="L1899" s="11" t="inlineStr">
        <is>
          <t>Spotlight / 11 класс / Module 8 · Travel / Quantifiers / Quantifiers: hardly any</t>
        </is>
      </c>
    </row>
    <row r="1900">
      <c r="A1900" s="37" t="n">
        <v>11</v>
      </c>
      <c r="B1900" s="11" t="inlineStr">
        <is>
          <t>Module 8 · Travel</t>
        </is>
      </c>
      <c r="C1900" s="11" t="inlineStr">
        <is>
          <t>8c</t>
        </is>
      </c>
      <c r="D1900" s="11" t="inlineStr">
        <is>
          <t>Indefinite pronouns (some-/any-/no-/every-)</t>
        </is>
      </c>
      <c r="E1900" s="35" t="inlineStr">
        <is>
          <t>Indefinite pronouns: some/any/no + неисчисляемые и мн. ч.</t>
        </is>
      </c>
      <c r="F1900" s="11" t="inlineStr">
        <is>
          <t>Ст-419</t>
        </is>
      </c>
      <c r="G1900" s="37" t="inlineStr">
        <is>
          <t>повторение</t>
        </is>
      </c>
      <c r="H1900" s="11" t="inlineStr"/>
      <c r="I1900" s="37" t="inlineStr">
        <is>
          <t>10+</t>
        </is>
      </c>
      <c r="J1900" s="11">
        <f>IFERROR(INDEX('Уроки'!$H:$H,MATCH(F1900,'Уроки'!$A:$A,0)),"")</f>
        <v/>
      </c>
      <c r="K1900" s="11">
        <f>IFERROR(INDEX('Уроки'!$J:$J,MATCH(F1900,'Уроки'!$A:$A,0)),"")</f>
        <v/>
      </c>
      <c r="L1900" s="11" t="inlineStr">
        <is>
          <t>Spotlight / 11 класс / Module 8 · Travel / Indefinite pronouns (some-/any-/no-/every-) / Indefinite pronouns: some/any/no + неисчисляемые и мн. ч.</t>
        </is>
      </c>
    </row>
    <row r="1901">
      <c r="A1901" s="37" t="n">
        <v>11</v>
      </c>
      <c r="B1901" s="11" t="inlineStr">
        <is>
          <t>Module 8 · Travel</t>
        </is>
      </c>
      <c r="C1901" s="11" t="inlineStr">
        <is>
          <t>8c</t>
        </is>
      </c>
      <c r="D1901" s="11" t="inlineStr">
        <is>
          <t>Indefinite pronouns (some-/any-/no-/every-)</t>
        </is>
      </c>
      <c r="E1901" s="33" t="inlineStr">
        <is>
          <t>Indefinite pronouns: производные — люди, вещи, места (somebody, anything, nowhere)</t>
        </is>
      </c>
      <c r="F1901" s="11" t="inlineStr">
        <is>
          <t>Ст-420</t>
        </is>
      </c>
      <c r="G1901" s="37" t="inlineStr">
        <is>
          <t>повторение</t>
        </is>
      </c>
      <c r="H1901" s="11" t="inlineStr"/>
      <c r="I1901" s="37" t="inlineStr">
        <is>
          <t>10+</t>
        </is>
      </c>
      <c r="J1901" s="11">
        <f>IFERROR(INDEX('Уроки'!$H:$H,MATCH(F1901,'Уроки'!$A:$A,0)),"")</f>
        <v/>
      </c>
      <c r="K1901" s="11">
        <f>IFERROR(INDEX('Уроки'!$J:$J,MATCH(F1901,'Уроки'!$A:$A,0)),"")</f>
        <v/>
      </c>
      <c r="L1901" s="11" t="inlineStr">
        <is>
          <t>Spotlight / 11 класс / Module 8 · Travel / Indefinite pronouns (some-/any-/no-/every-) / Indefinite pronouns: производные — люди, вещи, места (somebody, anything, nowhere)</t>
        </is>
      </c>
    </row>
    <row r="1902">
      <c r="A1902" s="37" t="n">
        <v>11</v>
      </c>
      <c r="B1902" s="11" t="inlineStr">
        <is>
          <t>Module 8 · Travel</t>
        </is>
      </c>
      <c r="C1902" s="11" t="inlineStr">
        <is>
          <t>8c</t>
        </is>
      </c>
      <c r="D1902" s="11" t="inlineStr">
        <is>
          <t>Indefinite pronouns (some-/any-/no-/every-)</t>
        </is>
      </c>
      <c r="E1902" s="33" t="inlineStr">
        <is>
          <t>Indefinite pronouns: some- — в утверждениях</t>
        </is>
      </c>
      <c r="F1902" s="11" t="inlineStr">
        <is>
          <t>Ст-421</t>
        </is>
      </c>
      <c r="G1902" s="37" t="inlineStr">
        <is>
          <t>повторение</t>
        </is>
      </c>
      <c r="H1902" s="11" t="inlineStr"/>
      <c r="I1902" s="37" t="inlineStr">
        <is>
          <t>10+</t>
        </is>
      </c>
      <c r="J1902" s="11">
        <f>IFERROR(INDEX('Уроки'!$H:$H,MATCH(F1902,'Уроки'!$A:$A,0)),"")</f>
        <v/>
      </c>
      <c r="K1902" s="11">
        <f>IFERROR(INDEX('Уроки'!$J:$J,MATCH(F1902,'Уроки'!$A:$A,0)),"")</f>
        <v/>
      </c>
      <c r="L1902" s="11" t="inlineStr">
        <is>
          <t>Spotlight / 11 класс / Module 8 · Travel / Indefinite pronouns (some-/any-/no-/every-) / Indefinite pronouns: some- — в утверждениях</t>
        </is>
      </c>
    </row>
    <row r="1903">
      <c r="A1903" s="37" t="n">
        <v>11</v>
      </c>
      <c r="B1903" s="11" t="inlineStr">
        <is>
          <t>Module 8 · Travel</t>
        </is>
      </c>
      <c r="C1903" s="11" t="inlineStr">
        <is>
          <t>8c</t>
        </is>
      </c>
      <c r="D1903" s="11" t="inlineStr">
        <is>
          <t>Indefinite pronouns (some-/any-/no-/every-)</t>
        </is>
      </c>
      <c r="E1903" s="35" t="inlineStr">
        <is>
          <t>Indefinite pronouns: some- в вопросах — предложения и просьбы</t>
        </is>
      </c>
      <c r="F1903" s="11" t="inlineStr">
        <is>
          <t>Ст-422</t>
        </is>
      </c>
      <c r="G1903" s="41" t="inlineStr">
        <is>
          <t>расширение</t>
        </is>
      </c>
      <c r="H1903" s="11" t="inlineStr">
        <is>
          <t>добавлено: когда ожидается «да» (Have you lost something?)</t>
        </is>
      </c>
      <c r="I1903" s="37" t="inlineStr">
        <is>
          <t>10+</t>
        </is>
      </c>
      <c r="J1903" s="11">
        <f>IFERROR(INDEX('Уроки'!$H:$H,MATCH(F1903,'Уроки'!$A:$A,0)),"")</f>
        <v/>
      </c>
      <c r="K1903" s="11">
        <f>IFERROR(INDEX('Уроки'!$J:$J,MATCH(F1903,'Уроки'!$A:$A,0)),"")</f>
        <v/>
      </c>
      <c r="L1903" s="11" t="inlineStr">
        <is>
          <t>Spotlight / 11 класс / Module 8 · Travel / Indefinite pronouns (some-/any-/no-/every-) / Indefinite pronouns: some- в вопросах — предложения и просьбы</t>
        </is>
      </c>
    </row>
    <row r="1904">
      <c r="A1904" s="37" t="n">
        <v>11</v>
      </c>
      <c r="B1904" s="11" t="inlineStr">
        <is>
          <t>Module 8 · Travel</t>
        </is>
      </c>
      <c r="C1904" s="11" t="inlineStr">
        <is>
          <t>8c</t>
        </is>
      </c>
      <c r="D1904" s="11" t="inlineStr">
        <is>
          <t>Indefinite pronouns (some-/any-/no-/every-)</t>
        </is>
      </c>
      <c r="E1904" s="33" t="inlineStr">
        <is>
          <t>Indefinite pronouns: any- — в вопросах</t>
        </is>
      </c>
      <c r="F1904" s="11" t="inlineStr">
        <is>
          <t>Ст-423</t>
        </is>
      </c>
      <c r="G1904" s="37" t="inlineStr">
        <is>
          <t>повторение</t>
        </is>
      </c>
      <c r="H1904" s="11" t="inlineStr"/>
      <c r="I1904" s="37" t="inlineStr">
        <is>
          <t>10+</t>
        </is>
      </c>
      <c r="J1904" s="11">
        <f>IFERROR(INDEX('Уроки'!$H:$H,MATCH(F1904,'Уроки'!$A:$A,0)),"")</f>
        <v/>
      </c>
      <c r="K1904" s="11">
        <f>IFERROR(INDEX('Уроки'!$J:$J,MATCH(F1904,'Уроки'!$A:$A,0)),"")</f>
        <v/>
      </c>
      <c r="L1904" s="11" t="inlineStr">
        <is>
          <t>Spotlight / 11 класс / Module 8 · Travel / Indefinite pronouns (some-/any-/no-/every-) / Indefinite pronouns: any- — в вопросах</t>
        </is>
      </c>
    </row>
    <row r="1905">
      <c r="A1905" s="37" t="n">
        <v>11</v>
      </c>
      <c r="B1905" s="11" t="inlineStr">
        <is>
          <t>Module 8 · Travel</t>
        </is>
      </c>
      <c r="C1905" s="11" t="inlineStr">
        <is>
          <t>8c</t>
        </is>
      </c>
      <c r="D1905" s="11" t="inlineStr">
        <is>
          <t>Indefinite pronouns (some-/any-/no-/every-)</t>
        </is>
      </c>
      <c r="E1905" s="33" t="inlineStr">
        <is>
          <t>Indefinite pronouns: not any- в отрицаниях; any после without, never, rarely</t>
        </is>
      </c>
      <c r="F1905" s="11" t="inlineStr">
        <is>
          <t>Ст-424</t>
        </is>
      </c>
      <c r="G1905" s="37" t="inlineStr">
        <is>
          <t>повторение</t>
        </is>
      </c>
      <c r="H1905" s="11" t="inlineStr"/>
      <c r="I1905" s="37" t="inlineStr">
        <is>
          <t>10+</t>
        </is>
      </c>
      <c r="J1905" s="11">
        <f>IFERROR(INDEX('Уроки'!$H:$H,MATCH(F1905,'Уроки'!$A:$A,0)),"")</f>
        <v/>
      </c>
      <c r="K1905" s="11">
        <f>IFERROR(INDEX('Уроки'!$J:$J,MATCH(F1905,'Уроки'!$A:$A,0)),"")</f>
        <v/>
      </c>
      <c r="L1905" s="11" t="inlineStr">
        <is>
          <t>Spotlight / 11 класс / Module 8 · Travel / Indefinite pronouns (some-/any-/no-/every-) / Indefinite pronouns: not any- в отрицаниях; any после without, never, rarely</t>
        </is>
      </c>
    </row>
    <row r="1906">
      <c r="A1906" s="37" t="n">
        <v>11</v>
      </c>
      <c r="B1906" s="11" t="inlineStr">
        <is>
          <t>Module 8 · Travel</t>
        </is>
      </c>
      <c r="C1906" s="11" t="inlineStr">
        <is>
          <t>8c</t>
        </is>
      </c>
      <c r="D1906" s="11" t="inlineStr">
        <is>
          <t>Indefinite pronouns (some-/any-/no-/every-)</t>
        </is>
      </c>
      <c r="E1906" s="35" t="inlineStr">
        <is>
          <t>Indefinite pronouns: any в утверждении = «любой, неважно кто/что»</t>
        </is>
      </c>
      <c r="F1906" s="11" t="inlineStr">
        <is>
          <t>Ст-425</t>
        </is>
      </c>
      <c r="G1906" s="37" t="inlineStr">
        <is>
          <t>повторение</t>
        </is>
      </c>
      <c r="H1906" s="11" t="inlineStr">
        <is>
          <t>Anyone can take part; You can come any time</t>
        </is>
      </c>
      <c r="I1906" s="37" t="inlineStr">
        <is>
          <t>10+</t>
        </is>
      </c>
      <c r="J1906" s="11">
        <f>IFERROR(INDEX('Уроки'!$H:$H,MATCH(F1906,'Уроки'!$A:$A,0)),"")</f>
        <v/>
      </c>
      <c r="K1906" s="11">
        <f>IFERROR(INDEX('Уроки'!$J:$J,MATCH(F1906,'Уроки'!$A:$A,0)),"")</f>
        <v/>
      </c>
      <c r="L1906" s="11" t="inlineStr">
        <is>
          <t>Spotlight / 11 класс / Module 8 · Travel / Indefinite pronouns (some-/any-/no-/every-) / Indefinite pronouns: any в утверждении = «любой, неважно кто/что»</t>
        </is>
      </c>
    </row>
    <row r="1907">
      <c r="A1907" s="37" t="n">
        <v>11</v>
      </c>
      <c r="B1907" s="11" t="inlineStr">
        <is>
          <t>Module 8 · Travel</t>
        </is>
      </c>
      <c r="C1907" s="11" t="inlineStr">
        <is>
          <t>8c</t>
        </is>
      </c>
      <c r="D1907" s="11" t="inlineStr">
        <is>
          <t>Indefinite pronouns (some-/any-/no-/every-)</t>
        </is>
      </c>
      <c r="E1907" s="33" t="inlineStr">
        <is>
          <t>Indefinite pronouns: no- вместо not any (глагол утвердительный)</t>
        </is>
      </c>
      <c r="F1907" s="11" t="inlineStr">
        <is>
          <t>Ст-426</t>
        </is>
      </c>
      <c r="G1907" s="37" t="inlineStr">
        <is>
          <t>повторение</t>
        </is>
      </c>
      <c r="H1907" s="11" t="inlineStr"/>
      <c r="I1907" s="37" t="inlineStr">
        <is>
          <t>10+</t>
        </is>
      </c>
      <c r="J1907" s="11">
        <f>IFERROR(INDEX('Уроки'!$H:$H,MATCH(F1907,'Уроки'!$A:$A,0)),"")</f>
        <v/>
      </c>
      <c r="K1907" s="11">
        <f>IFERROR(INDEX('Уроки'!$J:$J,MATCH(F1907,'Уроки'!$A:$A,0)),"")</f>
        <v/>
      </c>
      <c r="L1907" s="11" t="inlineStr">
        <is>
          <t>Spotlight / 11 класс / Module 8 · Travel / Indefinite pronouns (some-/any-/no-/every-) / Indefinite pronouns: no- вместо not any (глагол утвердительный)</t>
        </is>
      </c>
    </row>
    <row r="1908">
      <c r="A1908" s="37" t="n">
        <v>11</v>
      </c>
      <c r="B1908" s="11" t="inlineStr">
        <is>
          <t>Module 8 · Travel</t>
        </is>
      </c>
      <c r="C1908" s="11" t="inlineStr">
        <is>
          <t>8c</t>
        </is>
      </c>
      <c r="D1908" s="11" t="inlineStr">
        <is>
          <t>Indefinite pronouns (some-/any-/no-/every-)</t>
        </is>
      </c>
      <c r="E1908" s="33" t="inlineStr">
        <is>
          <t>Indefinite pronouns: hardly any</t>
        </is>
      </c>
      <c r="F1908" s="11" t="inlineStr">
        <is>
          <t>Ст-427</t>
        </is>
      </c>
      <c r="G1908" s="37" t="inlineStr">
        <is>
          <t>повторение</t>
        </is>
      </c>
      <c r="H1908" s="11" t="inlineStr">
        <is>
          <t>в утвердительных с неисч. и мн. ч.</t>
        </is>
      </c>
      <c r="I1908" s="37" t="inlineStr">
        <is>
          <t>10+</t>
        </is>
      </c>
      <c r="J1908" s="11">
        <f>IFERROR(INDEX('Уроки'!$H:$H,MATCH(F1908,'Уроки'!$A:$A,0)),"")</f>
        <v/>
      </c>
      <c r="K1908" s="11">
        <f>IFERROR(INDEX('Уроки'!$J:$J,MATCH(F1908,'Уроки'!$A:$A,0)),"")</f>
        <v/>
      </c>
      <c r="L1908" s="11" t="inlineStr">
        <is>
          <t>Spotlight / 11 класс / Module 8 · Travel / Indefinite pronouns (some-/any-/no-/every-) / Indefinite pronouns: hardly any</t>
        </is>
      </c>
    </row>
    <row r="1909">
      <c r="A1909" s="37" t="n">
        <v>11</v>
      </c>
      <c r="B1909" s="11" t="inlineStr">
        <is>
          <t>Module 8 · Travel</t>
        </is>
      </c>
      <c r="C1909" s="11" t="inlineStr">
        <is>
          <t>8c</t>
        </is>
      </c>
      <c r="D1909" s="11" t="inlineStr">
        <is>
          <t>Indefinite pronouns (some-/any-/no-/every-)</t>
        </is>
      </c>
      <c r="E1909" s="35" t="inlineStr">
        <is>
          <t>Indefinite pronouns: every + ед. ч.; everybody, everything, everywhere</t>
        </is>
      </c>
      <c r="F1909" s="11" t="inlineStr">
        <is>
          <t>Ст-428</t>
        </is>
      </c>
      <c r="G1909" s="37" t="inlineStr">
        <is>
          <t>повторение</t>
        </is>
      </c>
      <c r="H1909" s="11" t="inlineStr"/>
      <c r="I1909" s="37" t="inlineStr">
        <is>
          <t>10+</t>
        </is>
      </c>
      <c r="J1909" s="11">
        <f>IFERROR(INDEX('Уроки'!$H:$H,MATCH(F1909,'Уроки'!$A:$A,0)),"")</f>
        <v/>
      </c>
      <c r="K1909" s="11">
        <f>IFERROR(INDEX('Уроки'!$J:$J,MATCH(F1909,'Уроки'!$A:$A,0)),"")</f>
        <v/>
      </c>
      <c r="L1909" s="11" t="inlineStr">
        <is>
          <t>Spotlight / 11 класс / Module 8 · Travel / Indefinite pronouns (some-/any-/no-/every-) / Indefinite pronouns: every + ед. ч.; everybody, everything, everywhere</t>
        </is>
      </c>
    </row>
    <row r="1910">
      <c r="A1910" s="37" t="n">
        <v>11</v>
      </c>
      <c r="B1910" s="11" t="inlineStr">
        <is>
          <t>Module 8 · Travel</t>
        </is>
      </c>
      <c r="C1910" s="11" t="inlineStr">
        <is>
          <t>8c</t>
        </is>
      </c>
      <c r="D1910" s="11" t="inlineStr">
        <is>
          <t>Indefinite pronouns (some-/any-/no-/every-)</t>
        </is>
      </c>
      <c r="E1910" s="35" t="inlineStr">
        <is>
          <t>Indefinite pronouns: глагол после производных — в ед. ч.</t>
        </is>
      </c>
      <c r="F1910" s="11" t="inlineStr">
        <is>
          <t>Ст-429</t>
        </is>
      </c>
      <c r="G1910" s="37" t="inlineStr">
        <is>
          <t>повторение</t>
        </is>
      </c>
      <c r="H1910" s="11" t="inlineStr"/>
      <c r="I1910" s="37" t="inlineStr">
        <is>
          <t>10+</t>
        </is>
      </c>
      <c r="J1910" s="11">
        <f>IFERROR(INDEX('Уроки'!$H:$H,MATCH(F1910,'Уроки'!$A:$A,0)),"")</f>
        <v/>
      </c>
      <c r="K1910" s="11">
        <f>IFERROR(INDEX('Уроки'!$J:$J,MATCH(F1910,'Уроки'!$A:$A,0)),"")</f>
        <v/>
      </c>
      <c r="L1910" s="11" t="inlineStr">
        <is>
          <t>Spotlight / 11 класс / Module 8 · Travel / Indefinite pronouns (some-/any-/no-/every-) / Indefinite pronouns: глагол после производных — в ед. ч.</t>
        </is>
      </c>
    </row>
    <row r="1911">
      <c r="A1911" s="37" t="n">
        <v>11</v>
      </c>
      <c r="B1911" s="11" t="inlineStr">
        <is>
          <t>Module 8 · Travel</t>
        </is>
      </c>
      <c r="C1911" s="11" t="inlineStr">
        <is>
          <t>8c</t>
        </is>
      </c>
      <c r="D1911" s="11" t="inlineStr">
        <is>
          <t>Determiners (both/either/neither/all/none)</t>
        </is>
      </c>
      <c r="E1911" s="33" t="inlineStr">
        <is>
          <t>Determiners: both — о двух, глагол во мн. ч.</t>
        </is>
      </c>
      <c r="F1911" s="11" t="inlineStr">
        <is>
          <t>Ст-430</t>
        </is>
      </c>
      <c r="G1911" s="40" t="inlineStr">
        <is>
          <t>новое</t>
        </is>
      </c>
      <c r="H1911" s="11" t="inlineStr">
        <is>
          <t>Both Nick and Alex are… / They are both… / Both of them…</t>
        </is>
      </c>
      <c r="I1911" s="37" t="inlineStr">
        <is>
          <t>10+</t>
        </is>
      </c>
      <c r="J1911" s="11">
        <f>IFERROR(INDEX('Уроки'!$H:$H,MATCH(F1911,'Уроки'!$A:$A,0)),"")</f>
        <v/>
      </c>
      <c r="K1911" s="11">
        <f>IFERROR(INDEX('Уроки'!$J:$J,MATCH(F1911,'Уроки'!$A:$A,0)),"")</f>
        <v/>
      </c>
      <c r="L1911" s="11" t="inlineStr">
        <is>
          <t>Spotlight / 11 класс / Module 8 · Travel / Determiners (both/either/neither/all/none) / Determiners: both — о двух, глагол во мн. ч.</t>
        </is>
      </c>
    </row>
    <row r="1912">
      <c r="A1912" s="37" t="n">
        <v>11</v>
      </c>
      <c r="B1912" s="11" t="inlineStr">
        <is>
          <t>Module 8 · Travel</t>
        </is>
      </c>
      <c r="C1912" s="11" t="inlineStr">
        <is>
          <t>8c</t>
        </is>
      </c>
      <c r="D1912" s="11" t="inlineStr">
        <is>
          <t>Determiners (both/either/neither/all/none)</t>
        </is>
      </c>
      <c r="E1912" s="33" t="inlineStr">
        <is>
          <t>Determiners: either / neither (+ of)</t>
        </is>
      </c>
      <c r="F1912" s="11" t="inlineStr">
        <is>
          <t>Ст-431</t>
        </is>
      </c>
      <c r="G1912" s="40" t="inlineStr">
        <is>
          <t>новое</t>
        </is>
      </c>
      <c r="H1912" s="11" t="inlineStr">
        <is>
          <t>+ ед. ч. исчисляемого; either of/neither of + глагол в ед. или мн. ч.</t>
        </is>
      </c>
      <c r="I1912" s="37" t="inlineStr">
        <is>
          <t>10+</t>
        </is>
      </c>
      <c r="J1912" s="11">
        <f>IFERROR(INDEX('Уроки'!$H:$H,MATCH(F1912,'Уроки'!$A:$A,0)),"")</f>
        <v/>
      </c>
      <c r="K1912" s="11">
        <f>IFERROR(INDEX('Уроки'!$J:$J,MATCH(F1912,'Уроки'!$A:$A,0)),"")</f>
        <v/>
      </c>
      <c r="L1912" s="11" t="inlineStr">
        <is>
          <t>Spotlight / 11 класс / Module 8 · Travel / Determiners (both/either/neither/all/none) / Determiners: either / neither (+ of)</t>
        </is>
      </c>
    </row>
    <row r="1913">
      <c r="A1913" s="37" t="n">
        <v>11</v>
      </c>
      <c r="B1913" s="11" t="inlineStr">
        <is>
          <t>Module 8 · Travel</t>
        </is>
      </c>
      <c r="C1913" s="11" t="inlineStr">
        <is>
          <t>8c</t>
        </is>
      </c>
      <c r="D1913" s="11" t="inlineStr">
        <is>
          <t>Determiners (both/either/neither/all/none)</t>
        </is>
      </c>
      <c r="E1913" s="33" t="inlineStr">
        <is>
          <t>Determiners: all — о более чем двух; all + that-clause</t>
        </is>
      </c>
      <c r="F1913" s="11" t="inlineStr">
        <is>
          <t>Ст-432</t>
        </is>
      </c>
      <c r="G1913" s="40" t="inlineStr">
        <is>
          <t>новое</t>
        </is>
      </c>
      <c r="H1913" s="11" t="inlineStr">
        <is>
          <t>All of us… / We all… / All four of us…</t>
        </is>
      </c>
      <c r="I1913" s="37" t="inlineStr">
        <is>
          <t>10+</t>
        </is>
      </c>
      <c r="J1913" s="11">
        <f>IFERROR(INDEX('Уроки'!$H:$H,MATCH(F1913,'Уроки'!$A:$A,0)),"")</f>
        <v/>
      </c>
      <c r="K1913" s="11">
        <f>IFERROR(INDEX('Уроки'!$J:$J,MATCH(F1913,'Уроки'!$A:$A,0)),"")</f>
        <v/>
      </c>
      <c r="L1913" s="11" t="inlineStr">
        <is>
          <t>Spotlight / 11 класс / Module 8 · Travel / Determiners (both/either/neither/all/none) / Determiners: all — о более чем двух; all + that-clause</t>
        </is>
      </c>
    </row>
    <row r="1914">
      <c r="A1914" s="37" t="n">
        <v>11</v>
      </c>
      <c r="B1914" s="11" t="inlineStr">
        <is>
          <t>Module 8 · Travel</t>
        </is>
      </c>
      <c r="C1914" s="11" t="inlineStr">
        <is>
          <t>8c</t>
        </is>
      </c>
      <c r="D1914" s="11" t="inlineStr">
        <is>
          <t>Determiners (both/either/neither/all/none)</t>
        </is>
      </c>
      <c r="E1914" s="33" t="inlineStr">
        <is>
          <t>Determiners: none / none of</t>
        </is>
      </c>
      <c r="F1914" s="11" t="inlineStr">
        <is>
          <t>Ст-433</t>
        </is>
      </c>
      <c r="G1914" s="40" t="inlineStr">
        <is>
          <t>новое</t>
        </is>
      </c>
      <c r="H1914" s="11" t="inlineStr">
        <is>
          <t>No, none. / none of + сущ./местоимение</t>
        </is>
      </c>
      <c r="I1914" s="37" t="inlineStr">
        <is>
          <t>10+</t>
        </is>
      </c>
      <c r="J1914" s="11">
        <f>IFERROR(INDEX('Уроки'!$H:$H,MATCH(F1914,'Уроки'!$A:$A,0)),"")</f>
        <v/>
      </c>
      <c r="K1914" s="11">
        <f>IFERROR(INDEX('Уроки'!$J:$J,MATCH(F1914,'Уроки'!$A:$A,0)),"")</f>
        <v/>
      </c>
      <c r="L1914" s="11" t="inlineStr">
        <is>
          <t>Spotlight / 11 класс / Module 8 · Travel / Determiners (both/either/neither/all/none) / Determiners: none / none of</t>
        </is>
      </c>
    </row>
    <row r="1915">
      <c r="A1915" s="37" t="n">
        <v>11</v>
      </c>
      <c r="B1915" s="11" t="inlineStr">
        <is>
          <t>Module 8 · Travel</t>
        </is>
      </c>
      <c r="C1915" s="11" t="inlineStr">
        <is>
          <t>8c</t>
        </is>
      </c>
      <c r="D1915" s="11" t="inlineStr">
        <is>
          <t>Determiners (both/either/neither/all/none)</t>
        </is>
      </c>
      <c r="E1915" s="33" t="inlineStr">
        <is>
          <t>Determiners: whole vs all (the whole morning = all morning)</t>
        </is>
      </c>
      <c r="F1915" s="11" t="inlineStr">
        <is>
          <t>Ст-434</t>
        </is>
      </c>
      <c r="G1915" s="40" t="inlineStr">
        <is>
          <t>новое</t>
        </is>
      </c>
      <c r="H1915" s="11" t="inlineStr">
        <is>
          <t>a/the/this/my + whole + noun</t>
        </is>
      </c>
      <c r="I1915" s="37" t="inlineStr">
        <is>
          <t>10+</t>
        </is>
      </c>
      <c r="J1915" s="11">
        <f>IFERROR(INDEX('Уроки'!$H:$H,MATCH(F1915,'Уроки'!$A:$A,0)),"")</f>
        <v/>
      </c>
      <c r="K1915" s="11">
        <f>IFERROR(INDEX('Уроки'!$J:$J,MATCH(F1915,'Уроки'!$A:$A,0)),"")</f>
        <v/>
      </c>
      <c r="L1915" s="11" t="inlineStr">
        <is>
          <t>Spotlight / 11 класс / Module 8 · Travel / Determiners (both/either/neither/all/none) / Determiners: whole vs all (the whole morning = all morning)</t>
        </is>
      </c>
    </row>
    <row r="1916">
      <c r="A1916" s="37" t="n">
        <v>11</v>
      </c>
      <c r="B1916" s="11" t="inlineStr">
        <is>
          <t>Module 8 · Travel</t>
        </is>
      </c>
      <c r="C1916" s="11" t="inlineStr">
        <is>
          <t>8c</t>
        </is>
      </c>
      <c r="D1916" s="11" t="inlineStr">
        <is>
          <t>Determiners (both/either/neither/all/none)</t>
        </is>
      </c>
      <c r="E1916" s="35" t="inlineStr">
        <is>
          <t>Determiners: both/neither vs all/none — о двух vs о многих</t>
        </is>
      </c>
      <c r="F1916" s="11" t="inlineStr">
        <is>
          <t>Ст-435</t>
        </is>
      </c>
      <c r="G1916" s="40" t="inlineStr">
        <is>
          <t>новое</t>
        </is>
      </c>
      <c r="H1916" s="11" t="inlineStr"/>
      <c r="I1916" s="37" t="inlineStr">
        <is>
          <t>10+</t>
        </is>
      </c>
      <c r="J1916" s="11">
        <f>IFERROR(INDEX('Уроки'!$H:$H,MATCH(F1916,'Уроки'!$A:$A,0)),"")</f>
        <v/>
      </c>
      <c r="K1916" s="11">
        <f>IFERROR(INDEX('Уроки'!$J:$J,MATCH(F1916,'Уроки'!$A:$A,0)),"")</f>
        <v/>
      </c>
      <c r="L1916" s="11" t="inlineStr">
        <is>
          <t>Spotlight / 11 класс / Module 8 · Travel / Determiners (both/either/neither/all/none) / Determiners: both/neither vs all/none — о двух vs о многих</t>
        </is>
      </c>
    </row>
    <row r="1917">
      <c r="A1917" s="37" t="n">
        <v>11</v>
      </c>
      <c r="B1917" s="11" t="inlineStr">
        <is>
          <t>Module 8 · Travel</t>
        </is>
      </c>
      <c r="C1917" s="11" t="inlineStr">
        <is>
          <t>8c</t>
        </is>
      </c>
      <c r="D1917" s="11" t="inlineStr">
        <is>
          <t>Inversion</t>
        </is>
      </c>
      <c r="E1917" s="35" t="inlineStr">
        <is>
          <t>Inversion: условные без if — Should/Were/Had + подлежащее</t>
        </is>
      </c>
      <c r="F1917" s="11" t="inlineStr">
        <is>
          <t>Ст-568</t>
        </is>
      </c>
      <c r="G1917" s="37" t="inlineStr">
        <is>
          <t>повторение</t>
        </is>
      </c>
      <c r="H1917" s="11" t="inlineStr"/>
      <c r="I1917" s="37" t="inlineStr">
        <is>
          <t>10+</t>
        </is>
      </c>
      <c r="J1917" s="11">
        <f>IFERROR(INDEX('Уроки'!$H:$H,MATCH(F1917,'Уроки'!$A:$A,0)),"")</f>
        <v/>
      </c>
      <c r="K1917" s="11">
        <f>IFERROR(INDEX('Уроки'!$J:$J,MATCH(F1917,'Уроки'!$A:$A,0)),"")</f>
        <v/>
      </c>
      <c r="L1917" s="11" t="inlineStr">
        <is>
          <t>Spotlight / 11 класс / Module 8 · Travel / Inversion / Inversion: условные без if — Should/Were/Had + подлежащее</t>
        </is>
      </c>
    </row>
    <row r="1918">
      <c r="A1918" s="37" t="n">
        <v>11</v>
      </c>
      <c r="B1918" s="11" t="inlineStr">
        <is>
          <t>Module 8 · Travel</t>
        </is>
      </c>
      <c r="C1918" s="11" t="inlineStr">
        <is>
          <t>8c</t>
        </is>
      </c>
      <c r="D1918" s="11" t="inlineStr">
        <is>
          <t>Inversion</t>
        </is>
      </c>
      <c r="E1918" s="35" t="inlineStr">
        <is>
          <t>Inversion: эмфатическая — форма (вспомогательный / do, does, did + подлежащее)</t>
        </is>
      </c>
      <c r="F1918" s="11" t="inlineStr">
        <is>
          <t>Ст-569</t>
        </is>
      </c>
      <c r="G1918" s="40" t="inlineStr">
        <is>
          <t>новое</t>
        </is>
      </c>
      <c r="H1918" s="11" t="inlineStr"/>
      <c r="I1918" s="37" t="inlineStr">
        <is>
          <t>10+</t>
        </is>
      </c>
      <c r="J1918" s="11">
        <f>IFERROR(INDEX('Уроки'!$H:$H,MATCH(F1918,'Уроки'!$A:$A,0)),"")</f>
        <v/>
      </c>
      <c r="K1918" s="11">
        <f>IFERROR(INDEX('Уроки'!$J:$J,MATCH(F1918,'Уроки'!$A:$A,0)),"")</f>
        <v/>
      </c>
      <c r="L1918" s="11" t="inlineStr">
        <is>
          <t>Spotlight / 11 класс / Module 8 · Travel / Inversion / Inversion: эмфатическая — форма (вспомогательный / do, does, did + подлежащее)</t>
        </is>
      </c>
    </row>
    <row r="1919">
      <c r="A1919" s="37" t="n">
        <v>11</v>
      </c>
      <c r="B1919" s="11" t="inlineStr">
        <is>
          <t>Module 8 · Travel</t>
        </is>
      </c>
      <c r="C1919" s="11" t="inlineStr">
        <is>
          <t>8c</t>
        </is>
      </c>
      <c r="D1919" s="11" t="inlineStr">
        <is>
          <t>Inversion</t>
        </is>
      </c>
      <c r="E1919" s="35" t="inlineStr">
        <is>
          <t>Inversion: после отрицательных наречий в начале (Never, Rarely, Seldom, Little, Hardly… when, No sooner… than, Not only… but also)</t>
        </is>
      </c>
      <c r="F1919" s="11" t="inlineStr">
        <is>
          <t>Ст-570</t>
        </is>
      </c>
      <c r="G1919" s="40" t="inlineStr">
        <is>
          <t>новое</t>
        </is>
      </c>
      <c r="H1919" s="11" t="inlineStr">
        <is>
          <t>Barely, Hardly… when, In no way, Under no circumstances, Little, Never, Nor/Neither, No sooner… than, Not only… but also, Nowhere, On no account, Rarely, Scarcely, Seldom</t>
        </is>
      </c>
      <c r="I1919" s="37" t="inlineStr">
        <is>
          <t>10+</t>
        </is>
      </c>
      <c r="J1919" s="11">
        <f>IFERROR(INDEX('Уроки'!$H:$H,MATCH(F1919,'Уроки'!$A:$A,0)),"")</f>
        <v/>
      </c>
      <c r="K1919" s="11">
        <f>IFERROR(INDEX('Уроки'!$J:$J,MATCH(F1919,'Уроки'!$A:$A,0)),"")</f>
        <v/>
      </c>
      <c r="L1919" s="11" t="inlineStr">
        <is>
          <t>Spotlight / 11 класс / Module 8 · Travel / Inversion / Inversion: после отрицательных наречий в начале (Never, Rarely, Seldom, Little, Hardly… when, No sooner… than, Not only… but also)</t>
        </is>
      </c>
    </row>
    <row r="1920">
      <c r="A1920" s="37" t="n">
        <v>11</v>
      </c>
      <c r="B1920" s="11" t="inlineStr">
        <is>
          <t>Module 8 · Travel</t>
        </is>
      </c>
      <c r="C1920" s="11" t="inlineStr">
        <is>
          <t>8c</t>
        </is>
      </c>
      <c r="D1920" s="11" t="inlineStr">
        <is>
          <t>Inversion</t>
        </is>
      </c>
      <c r="E1920" s="35" t="inlineStr">
        <is>
          <t>Inversion: после Only after/by/when/then, Not till/until, Not since — в главном предложении</t>
        </is>
      </c>
      <c r="F1920" s="11" t="inlineStr">
        <is>
          <t>Ст-571</t>
        </is>
      </c>
      <c r="G1920" s="40" t="inlineStr">
        <is>
          <t>новое</t>
        </is>
      </c>
      <c r="H1920" s="11" t="inlineStr">
        <is>
          <t>only after/by/if/when, not since, not till/until</t>
        </is>
      </c>
      <c r="I1920" s="37" t="inlineStr">
        <is>
          <t>10+</t>
        </is>
      </c>
      <c r="J1920" s="11">
        <f>IFERROR(INDEX('Уроки'!$H:$H,MATCH(F1920,'Уроки'!$A:$A,0)),"")</f>
        <v/>
      </c>
      <c r="K1920" s="11">
        <f>IFERROR(INDEX('Уроки'!$J:$J,MATCH(F1920,'Уроки'!$A:$A,0)),"")</f>
        <v/>
      </c>
      <c r="L1920" s="11" t="inlineStr">
        <is>
          <t>Spotlight / 11 класс / Module 8 · Travel / Inversion / Inversion: после Only after/by/when/then, Not till/until, Not since — в главном предложении</t>
        </is>
      </c>
    </row>
    <row r="1921">
      <c r="A1921" s="37" t="n">
        <v>11</v>
      </c>
      <c r="B1921" s="11" t="inlineStr">
        <is>
          <t>Module 8 · Travel</t>
        </is>
      </c>
      <c r="C1921" s="11" t="inlineStr">
        <is>
          <t>8c</t>
        </is>
      </c>
      <c r="D1921" s="11" t="inlineStr">
        <is>
          <t>Inversion</t>
        </is>
      </c>
      <c r="E1921" s="35" t="inlineStr">
        <is>
          <t>Inversion: после So/Such в начале (результат)</t>
        </is>
      </c>
      <c r="F1921" s="11" t="inlineStr">
        <is>
          <t>Ст-572</t>
        </is>
      </c>
      <c r="G1921" s="40" t="inlineStr">
        <is>
          <t>новое</t>
        </is>
      </c>
      <c r="H1921" s="11" t="inlineStr">
        <is>
          <t>So angry was he, that…</t>
        </is>
      </c>
      <c r="I1921" s="37" t="inlineStr">
        <is>
          <t>10+</t>
        </is>
      </c>
      <c r="J1921" s="11">
        <f>IFERROR(INDEX('Уроки'!$H:$H,MATCH(F1921,'Уроки'!$A:$A,0)),"")</f>
        <v/>
      </c>
      <c r="K1921" s="11">
        <f>IFERROR(INDEX('Уроки'!$J:$J,MATCH(F1921,'Уроки'!$A:$A,0)),"")</f>
        <v/>
      </c>
      <c r="L1921" s="11" t="inlineStr">
        <is>
          <t>Spotlight / 11 класс / Module 8 · Travel / Inversion / Inversion: после So/Such в начале (результат)</t>
        </is>
      </c>
    </row>
    <row r="1922">
      <c r="A1922" s="37" t="n">
        <v>11</v>
      </c>
      <c r="B1922" s="11" t="inlineStr">
        <is>
          <t>Module 8 · Travel</t>
        </is>
      </c>
      <c r="C1922" s="11" t="inlineStr">
        <is>
          <t>8c</t>
        </is>
      </c>
      <c r="D1922" s="11" t="inlineStr">
        <is>
          <t>Inversion</t>
        </is>
      </c>
      <c r="E1922" s="35" t="inlineStr">
        <is>
          <t>Inversion: согласие после as, so, neither/nor</t>
        </is>
      </c>
      <c r="F1922" s="11" t="inlineStr">
        <is>
          <t>Ст-573</t>
        </is>
      </c>
      <c r="G1922" s="40" t="inlineStr">
        <is>
          <t>новое</t>
        </is>
      </c>
      <c r="H1922" s="11" t="inlineStr">
        <is>
          <t>as did his grandparents</t>
        </is>
      </c>
      <c r="I1922" s="37" t="inlineStr">
        <is>
          <t>10+</t>
        </is>
      </c>
      <c r="J1922" s="11">
        <f>IFERROR(INDEX('Уроки'!$H:$H,MATCH(F1922,'Уроки'!$A:$A,0)),"")</f>
        <v/>
      </c>
      <c r="K1922" s="11">
        <f>IFERROR(INDEX('Уроки'!$J:$J,MATCH(F1922,'Уроки'!$A:$A,0)),"")</f>
        <v/>
      </c>
      <c r="L1922" s="11" t="inlineStr">
        <is>
          <t>Spotlight / 11 класс / Module 8 · Travel / Inversion / Inversion: согласие после as, so, neither/nor</t>
        </is>
      </c>
    </row>
    <row r="1923">
      <c r="A1923" s="37" t="n">
        <v>11</v>
      </c>
      <c r="B1923" s="11" t="inlineStr">
        <is>
          <t>Module 8 · Travel</t>
        </is>
      </c>
      <c r="C1923" s="11" t="inlineStr">
        <is>
          <t>8c</t>
        </is>
      </c>
      <c r="D1923" s="11" t="inlineStr">
        <is>
          <t>Inversion</t>
        </is>
      </c>
      <c r="E1923" s="35" t="inlineStr">
        <is>
          <t>Inversion: смысловой глагол после Here/There (There goes the bus — НО There it goes)</t>
        </is>
      </c>
      <c r="F1923" s="11" t="inlineStr">
        <is>
          <t>Ст-574</t>
        </is>
      </c>
      <c r="G1923" s="40" t="inlineStr">
        <is>
          <t>новое</t>
        </is>
      </c>
      <c r="H1923" s="11" t="inlineStr">
        <is>
          <t>НО There it goes / Here they are</t>
        </is>
      </c>
      <c r="I1923" s="37" t="inlineStr">
        <is>
          <t>10+</t>
        </is>
      </c>
      <c r="J1923" s="11">
        <f>IFERROR(INDEX('Уроки'!$H:$H,MATCH(F1923,'Уроки'!$A:$A,0)),"")</f>
        <v/>
      </c>
      <c r="K1923" s="11">
        <f>IFERROR(INDEX('Уроки'!$J:$J,MATCH(F1923,'Уроки'!$A:$A,0)),"")</f>
        <v/>
      </c>
      <c r="L1923" s="11" t="inlineStr">
        <is>
          <t>Spotlight / 11 класс / Module 8 · Travel / Inversion / Inversion: смысловой глагол после Here/There (There goes the bus — НО There it goes)</t>
        </is>
      </c>
    </row>
    <row r="1924">
      <c r="A1924" s="37" t="n">
        <v>11</v>
      </c>
      <c r="B1924" s="11" t="inlineStr">
        <is>
          <t>Module 8 · Travel</t>
        </is>
      </c>
      <c r="C1924" s="11" t="inlineStr">
        <is>
          <t>8c</t>
        </is>
      </c>
      <c r="D1924" s="11" t="inlineStr">
        <is>
          <t>Inversion</t>
        </is>
      </c>
      <c r="E1924" s="35" t="inlineStr">
        <is>
          <t>Inversion: в прямой речи после цитаты (said Bill — НО he said)</t>
        </is>
      </c>
      <c r="F1924" s="11" t="inlineStr">
        <is>
          <t>Ст-575</t>
        </is>
      </c>
      <c r="G1924" s="40" t="inlineStr">
        <is>
          <t>новое</t>
        </is>
      </c>
      <c r="H1924" s="11" t="inlineStr">
        <is>
          <t>НО "…," he said</t>
        </is>
      </c>
      <c r="I1924" s="37" t="inlineStr">
        <is>
          <t>10+</t>
        </is>
      </c>
      <c r="J1924" s="11">
        <f>IFERROR(INDEX('Уроки'!$H:$H,MATCH(F1924,'Уроки'!$A:$A,0)),"")</f>
        <v/>
      </c>
      <c r="K1924" s="11">
        <f>IFERROR(INDEX('Уроки'!$J:$J,MATCH(F1924,'Уроки'!$A:$A,0)),"")</f>
        <v/>
      </c>
      <c r="L1924" s="11" t="inlineStr">
        <is>
          <t>Spotlight / 11 класс / Module 8 · Travel / Inversion / Inversion: в прямой речи после цитаты (said Bill — НО he said)</t>
        </is>
      </c>
    </row>
    <row r="1925">
      <c r="A1925" s="37" t="n">
        <v>11</v>
      </c>
      <c r="B1925" s="11" t="inlineStr">
        <is>
          <t>Module 8 · Travel</t>
        </is>
      </c>
      <c r="C1925" s="11" t="inlineStr">
        <is>
          <t>8c</t>
        </is>
      </c>
      <c r="D1925" s="11" t="inlineStr">
        <is>
          <t>So / Neither / Nor (agreement)</t>
        </is>
      </c>
      <c r="E1925" s="35" t="inlineStr">
        <is>
          <t>So / Neither / Nor: So + aux + подлежащее — к утверждению</t>
        </is>
      </c>
      <c r="F1925" s="11" t="inlineStr">
        <is>
          <t>Ст-583</t>
        </is>
      </c>
      <c r="G1925" s="40" t="inlineStr">
        <is>
          <t>новое</t>
        </is>
      </c>
      <c r="H1925" s="11" t="inlineStr">
        <is>
          <t>So does Jack</t>
        </is>
      </c>
      <c r="I1925" s="37" t="inlineStr">
        <is>
          <t>10+</t>
        </is>
      </c>
      <c r="J1925" s="11">
        <f>IFERROR(INDEX('Уроки'!$H:$H,MATCH(F1925,'Уроки'!$A:$A,0)),"")</f>
        <v/>
      </c>
      <c r="K1925" s="11">
        <f>IFERROR(INDEX('Уроки'!$J:$J,MATCH(F1925,'Уроки'!$A:$A,0)),"")</f>
        <v/>
      </c>
      <c r="L1925" s="11" t="inlineStr">
        <is>
          <t>Spotlight / 11 класс / Module 8 · Travel / So / Neither / Nor (agreement) / So / Neither / Nor: So + aux + подлежащее — к утверждению</t>
        </is>
      </c>
    </row>
    <row r="1926">
      <c r="A1926" s="37" t="n">
        <v>11</v>
      </c>
      <c r="B1926" s="11" t="inlineStr">
        <is>
          <t>Module 8 · Travel</t>
        </is>
      </c>
      <c r="C1926" s="11" t="inlineStr">
        <is>
          <t>8c</t>
        </is>
      </c>
      <c r="D1926" s="11" t="inlineStr">
        <is>
          <t>So / Neither / Nor (agreement)</t>
        </is>
      </c>
      <c r="E1926" s="35" t="inlineStr">
        <is>
          <t>So / Neither / Nor: Neither/Nor + aux + подлежащее — к отрицанию</t>
        </is>
      </c>
      <c r="F1926" s="11" t="inlineStr">
        <is>
          <t>Ст-584</t>
        </is>
      </c>
      <c r="G1926" s="40" t="inlineStr">
        <is>
          <t>новое</t>
        </is>
      </c>
      <c r="H1926" s="11" t="inlineStr">
        <is>
          <t>Neither/Nor did James; NOT So didn't James</t>
        </is>
      </c>
      <c r="I1926" s="37" t="inlineStr">
        <is>
          <t>10+</t>
        </is>
      </c>
      <c r="J1926" s="11">
        <f>IFERROR(INDEX('Уроки'!$H:$H,MATCH(F1926,'Уроки'!$A:$A,0)),"")</f>
        <v/>
      </c>
      <c r="K1926" s="11">
        <f>IFERROR(INDEX('Уроки'!$J:$J,MATCH(F1926,'Уроки'!$A:$A,0)),"")</f>
        <v/>
      </c>
      <c r="L1926" s="11" t="inlineStr">
        <is>
          <t>Spotlight / 11 класс / Module 8 · Travel / So / Neither / Nor (agreement) / So / Neither / Nor: Neither/Nor + aux + подлежащее — к отрицанию</t>
        </is>
      </c>
    </row>
    <row r="1927">
      <c r="A1927" s="37" t="n">
        <v>11</v>
      </c>
      <c r="B1927" s="11" t="inlineStr">
        <is>
          <t>Module 8 · Travel</t>
        </is>
      </c>
      <c r="C1927" s="11" t="inlineStr">
        <is>
          <t>8c</t>
        </is>
      </c>
      <c r="D1927" s="11" t="inlineStr">
        <is>
          <t>Phrasal verbs</t>
        </is>
      </c>
      <c r="E1927" s="33" t="inlineStr">
        <is>
          <t>Phrasal verbs: check</t>
        </is>
      </c>
      <c r="F1927" s="11" t="inlineStr">
        <is>
          <t>Ст-595</t>
        </is>
      </c>
      <c r="G1927" s="37" t="inlineStr">
        <is>
          <t>повторение</t>
        </is>
      </c>
      <c r="H1927" s="11" t="inlineStr">
        <is>
          <t>check + частицы (English in Use 8c); конкретные частицы в доступных страницах не даны.</t>
        </is>
      </c>
      <c r="I1927" s="37" t="inlineStr">
        <is>
          <t>10+</t>
        </is>
      </c>
      <c r="J1927" s="11">
        <f>IFERROR(INDEX('Уроки'!$H:$H,MATCH(F1927,'Уроки'!$A:$A,0)),"")</f>
        <v/>
      </c>
      <c r="K1927" s="11">
        <f>IFERROR(INDEX('Уроки'!$J:$J,MATCH(F1927,'Уроки'!$A:$A,0)),"")</f>
        <v/>
      </c>
      <c r="L1927" s="11" t="inlineStr">
        <is>
          <t>Spotlight / 11 класс / Module 8 · Travel / Phrasal verbs / Phrasal verbs: check</t>
        </is>
      </c>
    </row>
    <row r="1928">
      <c r="A1928" s="37" t="n">
        <v>11</v>
      </c>
      <c r="B1928" s="11" t="inlineStr">
        <is>
          <t>Module 8 · Travel</t>
        </is>
      </c>
      <c r="C1928" s="11" t="inlineStr">
        <is>
          <t>8c</t>
        </is>
      </c>
      <c r="D1928" s="11" t="inlineStr">
        <is>
          <t>Dependent prepositions</t>
        </is>
      </c>
      <c r="E1928" s="35" t="inlineStr">
        <is>
          <t>Dependent prepositions</t>
        </is>
      </c>
      <c r="F1928" s="11" t="inlineStr">
        <is>
          <t>Ст-633</t>
        </is>
      </c>
      <c r="G1928" s="37" t="inlineStr">
        <is>
          <t>повторение</t>
        </is>
      </c>
      <c r="H1928" s="11" t="inlineStr">
        <is>
          <t>Dependent prepositions (English in Use 8c); конкретные сочетания в доступных страницах не даны.</t>
        </is>
      </c>
      <c r="I1928" s="37" t="inlineStr">
        <is>
          <t>10+</t>
        </is>
      </c>
      <c r="J1928" s="11">
        <f>IFERROR(INDEX('Уроки'!$H:$H,MATCH(F1928,'Уроки'!$A:$A,0)),"")</f>
        <v/>
      </c>
      <c r="K1928" s="11">
        <f>IFERROR(INDEX('Уроки'!$J:$J,MATCH(F1928,'Уроки'!$A:$A,0)),"")</f>
        <v/>
      </c>
      <c r="L1928" s="11" t="inlineStr">
        <is>
          <t>Spotlight / 11 класс / Module 8 · Travel / Dependent prepositions / Dependent prepositions</t>
        </is>
      </c>
    </row>
    <row r="1929">
      <c r="A1929" s="37" t="n">
        <v>11</v>
      </c>
      <c r="B1929" s="11" t="inlineStr">
        <is>
          <t>Module 8 · Travel</t>
        </is>
      </c>
      <c r="C1929" s="11" t="inlineStr">
        <is>
          <t>8b</t>
        </is>
      </c>
      <c r="D1929" s="11" t="inlineStr">
        <is>
          <t>Idioms &amp; collocations</t>
        </is>
      </c>
      <c r="E1929" s="33" t="inlineStr">
        <is>
          <t>Idioms &amp; collocations</t>
        </is>
      </c>
      <c r="F1929" s="11" t="inlineStr">
        <is>
          <t>Ст-634</t>
        </is>
      </c>
      <c r="G1929" s="37" t="inlineStr">
        <is>
          <t>повторение</t>
        </is>
      </c>
      <c r="H1929" s="11" t="inlineStr">
        <is>
          <t>Collocations related to travel (8b, airport &amp; air travel).</t>
        </is>
      </c>
      <c r="I1929" s="37" t="inlineStr">
        <is>
          <t>10+</t>
        </is>
      </c>
      <c r="J1929" s="11">
        <f>IFERROR(INDEX('Уроки'!$H:$H,MATCH(F1929,'Уроки'!$A:$A,0)),"")</f>
        <v/>
      </c>
      <c r="K1929" s="11">
        <f>IFERROR(INDEX('Уроки'!$J:$J,MATCH(F1929,'Уроки'!$A:$A,0)),"")</f>
        <v/>
      </c>
      <c r="L1929" s="11" t="inlineStr">
        <is>
          <t>Spotlight / 11 класс / Module 8 · Travel / Idioms &amp; collocations / Idioms &amp; collocations</t>
        </is>
      </c>
    </row>
  </sheetData>
  <autoFilter ref="A1:L1929"/>
  <conditionalFormatting sqref="J2:J1929">
    <cfRule type="cellIs" priority="1" operator="equal" dxfId="0">
      <formula>"видео"</formula>
    </cfRule>
    <cfRule type="cellIs" priority="2" operator="equal" dxfId="1">
      <formula>"нет"</formula>
    </cfRule>
    <cfRule type="cellIs" priority="3" operator="equal" dxfId="2">
      <formula>"материалы"</formula>
    </cfRule>
    <cfRule type="cellIs" priority="4" operator="equal" dxfId="3">
      <formula>"вебинар"</formula>
    </cfRule>
  </conditionalFormatting>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24"/>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4" customWidth="1" min="1" max="1"/>
    <col width="30" customWidth="1" min="2" max="2"/>
    <col width="60" customWidth="1" min="3" max="3"/>
    <col width="34" customWidth="1" min="4" max="4"/>
    <col width="50" customWidth="1" min="5" max="5"/>
    <col width="24" customWidth="1" min="6" max="6"/>
  </cols>
  <sheetData>
    <row r="1">
      <c r="A1" s="3" t="inlineStr">
        <is>
          <t>№</t>
        </is>
      </c>
      <c r="B1" s="3" t="inlineStr">
        <is>
          <t>Что повторяется</t>
        </is>
      </c>
      <c r="C1" s="3" t="inlineStr">
        <is>
          <t>Где встречается (тема: подтема — классы)</t>
        </is>
      </c>
      <c r="D1" s="3" t="inlineStr">
        <is>
          <t>Где живёт урок (предложение)</t>
        </is>
      </c>
      <c r="E1" s="3" t="inlineStr">
        <is>
          <t>Что делать в остальных местах</t>
        </is>
      </c>
      <c r="F1" s="3" t="inlineStr">
        <is>
          <t>Решение методиста</t>
        </is>
      </c>
    </row>
    <row r="2">
      <c r="A2" s="11" t="n">
        <v>1</v>
      </c>
      <c r="B2" s="42" t="inlineStr">
        <is>
          <t>a few / a little</t>
        </is>
      </c>
      <c r="C2" s="11" t="inlineStr">
        <is>
          <t>• a few/a little — 6 подтем, 5–11 кл.
• Quantifiers: a few/few vs a little/little — 8 кл.</t>
        </is>
      </c>
      <c r="D2" s="42" t="inlineStr">
        <is>
          <t>a few/a little</t>
        </is>
      </c>
      <c r="E2" s="11" t="inlineStr">
        <is>
          <t>Quantifiers 8 кл. — ссылка на уроки a few/a little, своего урока не делать.</t>
        </is>
      </c>
      <c r="F2" s="11" t="inlineStr"/>
    </row>
    <row r="3">
      <c r="A3" s="11" t="n">
        <v>2</v>
      </c>
      <c r="B3" s="42" t="inlineStr">
        <is>
          <t>much / many / a lot of</t>
        </is>
      </c>
      <c r="C3" s="11" t="inlineStr">
        <is>
          <t>• much/many/a lot of — 5 подтем, 4–11 кл.
• Quantifiers: a lot of / lots of; much/many — отрицания и вопросы — 8 кл.</t>
        </is>
      </c>
      <c r="D3" s="42" t="inlineStr">
        <is>
          <t>much/many/a lot of</t>
        </is>
      </c>
      <c r="E3" s="11" t="inlineStr">
        <is>
          <t>Quantifiers 8 кл. — ссылка.</t>
        </is>
      </c>
      <c r="F3" s="11" t="inlineStr"/>
    </row>
    <row r="4">
      <c r="A4" s="11" t="n">
        <v>3</v>
      </c>
      <c r="B4" s="42" t="inlineStr">
        <is>
          <t>every / each</t>
        </is>
      </c>
      <c r="C4" s="11" t="inlineStr">
        <is>
          <t>• Determiners (every/each) — 4 подтемы, 9–10 кл.
• Quantifiers: every vs each — 11 кл.
• Indefinite pronouns: every + ед. ч.; everybody, everything — 9, 11 кл.</t>
        </is>
      </c>
      <c r="D4" s="42" t="inlineStr">
        <is>
          <t>Determiners (every/each)</t>
        </is>
      </c>
      <c r="E4" s="11" t="inlineStr">
        <is>
          <t>Quantifiers 11 кл. — ссылка. В Indefinite pronouns оставить только производные everybody/everything/everywhere.</t>
        </is>
      </c>
      <c r="F4" s="11" t="inlineStr"/>
    </row>
    <row r="5">
      <c r="A5" s="11" t="n">
        <v>4</v>
      </c>
      <c r="B5" s="42" t="inlineStr">
        <is>
          <t>hardly any</t>
        </is>
      </c>
      <c r="C5" s="11" t="inlineStr">
        <is>
          <t>• Indefinite pronouns: hardly any — 9, 11 кл.
• Quantifiers: hardly any — 11 кл.</t>
        </is>
      </c>
      <c r="D5" s="42" t="inlineStr">
        <is>
          <t>Indefinite pronouns</t>
        </is>
      </c>
      <c r="E5" s="11" t="inlineStr">
        <is>
          <t>Quantifiers — ссылка. У Quantifiers остаются свои уроки: a couple of / several; a great deal of / plenty of.</t>
        </is>
      </c>
      <c r="F5" s="11" t="inlineStr"/>
    </row>
    <row r="6">
      <c r="A6" s="11" t="n">
        <v>5</v>
      </c>
      <c r="B6" s="42" t="inlineStr">
        <is>
          <t>a bottle of, a packet of… (количество неисчисляемых)</t>
        </is>
      </c>
      <c r="C6" s="11" t="inlineStr">
        <is>
          <t>• Partitives — 2 подтемы, 7 кл.
• Countable / Uncountable: количество с неисчисляемыми (a jar of, a bottle of) — 5, 6, 11 кл.</t>
        </is>
      </c>
      <c r="D6" s="42" t="inlineStr">
        <is>
          <t>Partitives (a bottle of…)</t>
        </is>
      </c>
      <c r="E6" s="11" t="inlineStr">
        <is>
          <t>Подтема в Countable / Uncountable — ссылка на урок Partitives (обе в группе 10+, урок один).</t>
        </is>
      </c>
      <c r="F6" s="11" t="inlineStr"/>
    </row>
    <row r="7">
      <c r="A7" s="11" t="n">
        <v>6</v>
      </c>
      <c r="B7" s="42" t="inlineStr">
        <is>
          <t>Существительные только во мн. ч. (jeans, scissors, clothes)</t>
        </is>
      </c>
      <c r="C7" s="11" t="inlineStr">
        <is>
          <t>• Plurals (irregular): только во мн. ч. — 5 кл.
• Countable / Uncountable: существительные без ед. числа — 5 кл.
• Plurals (only plural / collective nouns): только мн. ч. — 8 кл.</t>
        </is>
      </c>
      <c r="D7" s="42" t="inlineStr">
        <is>
          <t>Plurals (only plural / collective nouns)</t>
        </is>
      </c>
      <c r="E7" s="11" t="inlineStr">
        <is>
          <t>В 5 кл. обе подтемы — ссылка на этот урок.</t>
        </is>
      </c>
      <c r="F7" s="11" t="inlineStr"/>
    </row>
    <row r="8">
      <c r="A8" s="11" t="n">
        <v>7</v>
      </c>
      <c r="B8" s="42" t="inlineStr">
        <is>
          <t>Собирательные существительные (family, team, police)</t>
        </is>
      </c>
      <c r="C8" s="11" t="inlineStr">
        <is>
          <t>• Plurals (only plural / collective nouns): собирательные — 8 кл.
• Countable / Uncountable: собирательные и составные — 11 кл.</t>
        </is>
      </c>
      <c r="D8" s="42" t="inlineStr">
        <is>
          <t>Plurals (only plural / collective nouns)</t>
        </is>
      </c>
      <c r="E8" s="11" t="inlineStr">
        <is>
          <t>Countable 11 кл. — ссылка; составные (homework, countryside) оставить в Countable.</t>
        </is>
      </c>
      <c r="F8" s="11" t="inlineStr"/>
    </row>
    <row r="9">
      <c r="A9" s="11" t="n">
        <v>8</v>
      </c>
      <c r="B9" s="42" t="inlineStr">
        <is>
          <t>some / any с существительными</t>
        </is>
      </c>
      <c r="C9" s="11" t="inlineStr">
        <is>
          <t>• a/an/some/any — 6 подтем, 3–7 кл.
• Indefinite pronouns: some/any/no + неисчисляемые и мн. ч.; some в просьбах; any в вопросах и отрицаниях — 9–11 кл.</t>
        </is>
      </c>
      <c r="D9" s="42" t="inlineStr">
        <is>
          <t>a/an/some/any (some/any + существительное)</t>
        </is>
      </c>
      <c r="E9" s="11" t="inlineStr">
        <is>
          <t>В Indefinite pronouns оставить то, чего нет в a/an/some/any: производные (somebody, anything, nowhere), no- вместо not any, any = «любой», глагол в ед. ч. Остальное — ссылка. У 3 кл. (7–9 лет) урок свой в любом случае.</t>
        </is>
      </c>
      <c r="F9" s="11" t="inlineStr"/>
    </row>
    <row r="10">
      <c r="A10" s="11" t="n">
        <v>9</v>
      </c>
      <c r="B10" s="42" t="inlineStr">
        <is>
          <t>There is / There are</t>
        </is>
      </c>
      <c r="C10" s="11" t="inlineStr">
        <is>
          <t>• There is / There are — 3, 5 кл.
• Countable / Uncountable: There is/are + исчисляемые/неисчисляемые (утв., отр., вопрос) — 7 кл.</t>
        </is>
      </c>
      <c r="D10" s="42" t="inlineStr">
        <is>
          <t>There is / There are</t>
        </is>
      </c>
      <c r="E10" s="11" t="inlineStr">
        <is>
          <t>Countable 7 кл. — ссылка (для 10+ урок There is/are уже есть с 5 кл.).</t>
        </is>
      </c>
      <c r="F10" s="11" t="inlineStr"/>
    </row>
    <row r="11">
      <c r="A11" s="11" t="n">
        <v>10</v>
      </c>
      <c r="B11" s="42" t="inlineStr">
        <is>
          <t>Запрет: mustn't / can't</t>
        </is>
      </c>
      <c r="C11" s="11" t="inlineStr">
        <is>
          <t>• must/mustn't: mustn't — запрет (4–10 кл.); can't как запрет (6, 8, 10 кл.)
• can (permission/request): can't — запрет (5, 6, 9, 10, 11 кл.)</t>
        </is>
      </c>
      <c r="D11" s="42" t="inlineStr">
        <is>
          <t>must/mustn't — один урок «Запрет: mustn't и can't»</t>
        </is>
      </c>
      <c r="E11" s="11" t="inlineStr">
        <is>
          <t>can (permission/request) — ссылка; в нём остаются Can I…? / Can you…? / can vs may.</t>
        </is>
      </c>
      <c r="F11" s="11" t="inlineStr"/>
    </row>
    <row r="12">
      <c r="A12" s="11" t="n">
        <v>11</v>
      </c>
      <c r="B12" s="42" t="inlineStr">
        <is>
          <t>Обязанность: must vs have to, had to</t>
        </is>
      </c>
      <c r="C12" s="11" t="inlineStr">
        <is>
          <t>• must/mustn't: must только в настоящем, в других временах have to / had to — 7–9 кл.
• have to: had to, didn't have to — 7–10 кл.
• must/have to (obligation): must vs have to; had to; should/ought to — долг — 11 кл.
• should/shouldn't: обязательство, долг — 8–10 кл.</t>
        </is>
      </c>
      <c r="D12" s="42" t="inlineStr">
        <is>
          <t>must/have to (obligation) — урок-сравнение «must vs have to»</t>
        </is>
      </c>
      <c r="E12" s="11" t="inlineStr">
        <is>
          <t>had to / didn't have to — урок в have to; «долг» should/ought to — урок в should. Подтема в must/mustn't и в must/have to 11 кл. — ссылки.</t>
        </is>
      </c>
      <c r="F12" s="11" t="inlineStr"/>
    </row>
    <row r="13">
      <c r="A13" s="11" t="n">
        <v>12</v>
      </c>
      <c r="B13" s="42" t="inlineStr">
        <is>
          <t>Совет: should / ought to / shall / had better</t>
        </is>
      </c>
      <c r="C13" s="11" t="inlineStr">
        <is>
          <t>• should/shouldn't: совет; ought to; Shall I…? — совет; had better — 7–11 кл.
• Modal verbs (functions): совет (should / ought to / shall) — 8, 9 кл.
• Semi-modals: had better (= should) — 11 кл.</t>
        </is>
      </c>
      <c r="D13" s="42" t="inlineStr">
        <is>
          <t>should/shouldn't</t>
        </is>
      </c>
      <c r="E13" s="11" t="inlineStr">
        <is>
          <t>Modal verbs (functions) и Semi-modals — ссылки.</t>
        </is>
      </c>
      <c r="F13" s="11" t="inlineStr"/>
    </row>
    <row r="14">
      <c r="A14" s="11" t="n">
        <v>13</v>
      </c>
      <c r="B14" s="42" t="inlineStr">
        <is>
          <t>Критика: should / could / ought to have V3</t>
        </is>
      </c>
      <c r="C14" s="11" t="inlineStr">
        <is>
          <t>• should/shouldn't: критика — 8–10 кл.
• Modal verbs (functions): критика (could / should / ought to) — 8, 9, 11 кл.
• Modal verbs (deduction): критика — 10 кл.</t>
        </is>
      </c>
      <c r="D14" s="42" t="inlineStr">
        <is>
          <t>Modal verbs (functions) — один урок «Критика: could / should / ought to (have V3)»</t>
        </is>
      </c>
      <c r="E14" s="11" t="inlineStr">
        <is>
          <t>should и deduction — ссылки.</t>
        </is>
      </c>
      <c r="F14" s="11" t="inlineStr"/>
    </row>
    <row r="15">
      <c r="A15" s="11" t="n">
        <v>14</v>
      </c>
      <c r="B15" s="42" t="inlineStr">
        <is>
          <t>Вероятность: will 100% vs should / ought to 90%</t>
        </is>
      </c>
      <c r="C15" s="11" t="inlineStr">
        <is>
          <t>• should/shouldn't: вероятность ~90% — 8–10 кл.
• Modal verbs (functions): вероятность — 8, 9 кл.
• Modal verbs (deduction): вероятность will vs should — 10, 11 кл.</t>
        </is>
      </c>
      <c r="D15" s="42" t="inlineStr">
        <is>
          <t>Modal verbs (deduction)</t>
        </is>
      </c>
      <c r="E15" s="11" t="inlineStr">
        <is>
          <t>should и functions — ссылки.</t>
        </is>
      </c>
      <c r="F15" s="11" t="inlineStr"/>
    </row>
    <row r="16">
      <c r="A16" s="11" t="n">
        <v>15</v>
      </c>
      <c r="B16" s="42" t="inlineStr">
        <is>
          <t>Предложения помощи и предложения сделать что-то (Can I…? / Shall I…? / Shall we…?)</t>
        </is>
      </c>
      <c r="C16" s="11" t="inlineStr">
        <is>
          <t>• can (permission/request): предложение помощи — 5 кл.; offers/suggestions — 8–10 кл.
• should/shouldn't: Shall I…? — предложение помощи — 10 кл.
• Modal verbs (functions): предложения — 11 кл.</t>
        </is>
      </c>
      <c r="D16" s="42" t="inlineStr">
        <is>
          <t>can (permission/request) — урок «Предложения: Can I…? / Shall I…? / Would you like…?»</t>
        </is>
      </c>
      <c r="E16" s="11" t="inlineStr">
        <is>
          <t>should 10 кл. и functions 11 кл. — ссылки.</t>
        </is>
      </c>
      <c r="F16" s="11" t="inlineStr"/>
    </row>
    <row r="17">
      <c r="A17" s="11" t="n">
        <v>16</v>
      </c>
      <c r="B17" s="42" t="inlineStr">
        <is>
          <t>Эквиваленты модальных (need, had better, have got to, be able to, used to)</t>
        </is>
      </c>
      <c r="C17" s="11" t="inlineStr">
        <is>
          <t>• Semi-modals — 4 подтемы, 11 кл.
• Modal verbs (functions): эквиваленты модальных — 10 кл.
• need/needn't: need (= must) — 10, 11 кл.
• have to: have got to — 10 кл.
• should/shouldn't: had better — 11 кл.</t>
        </is>
      </c>
      <c r="D17" s="42" t="inlineStr">
        <is>
          <t>Semi-modals — один обзорный урок</t>
        </is>
      </c>
      <c r="E17" s="11" t="inlineStr">
        <is>
          <t>Отдельные значения остаются в своих темах (need, have to, should); Modal verbs (functions) 10 кл. — ссылка на обзор.</t>
        </is>
      </c>
      <c r="F17" s="11" t="inlineStr"/>
    </row>
    <row r="18">
      <c r="A18" s="11" t="n">
        <v>17</v>
      </c>
      <c r="B18" s="42" t="inlineStr">
        <is>
          <t>used to и would для прошлых привычек</t>
        </is>
      </c>
      <c r="C18" s="11" t="inlineStr">
        <is>
          <t>• used to: used to = would — 11 кл.
• would (past habits): would vs used to — 9 кл.
• Semi-modals: used to (= would) — 11 кл.</t>
        </is>
      </c>
      <c r="D18" s="42" t="inlineStr">
        <is>
          <t>would (past habits) — урок «would vs used to»</t>
        </is>
      </c>
      <c r="E18" s="11" t="inlineStr">
        <is>
          <t>used to 11 кл. и Semi-modals — ссылки.</t>
        </is>
      </c>
      <c r="F18" s="11" t="inlineStr"/>
    </row>
    <row r="19">
      <c r="A19" s="11" t="n">
        <v>18</v>
      </c>
      <c r="B19" s="42" t="inlineStr">
        <is>
          <t>will vs be going to</t>
        </is>
      </c>
      <c r="C19" s="11" t="inlineStr">
        <is>
          <t>• be going to: be going to vs will — 8–11 кл.
• Future forms (comparison): will vs be going to — решение vs план; прогноз-мнение vs прогноз по признакам — 7–11 кл.</t>
        </is>
      </c>
      <c r="D19" s="42" t="inlineStr">
        <is>
          <t>Future forms (comparison)</t>
        </is>
      </c>
      <c r="E19" s="11" t="inlineStr">
        <is>
          <t>Подтема в be going to — ссылка (для 10+ сравнение впервые в 7 кл., урок один).</t>
        </is>
      </c>
      <c r="F19" s="11" t="inlineStr"/>
    </row>
    <row r="20">
      <c r="A20" s="11" t="n">
        <v>19</v>
      </c>
      <c r="B20" s="42" t="inlineStr">
        <is>
          <t>Неправильные глаголы</t>
        </is>
      </c>
      <c r="C20" s="11" t="inlineStr">
        <is>
          <t>• Past Simple: неправильные глаголы — утверждение / отрицание / вопросы — 3–11 кл.
• Irregular verbs (list): таблица; двойные формы — 7–11 кл.</t>
        </is>
      </c>
      <c r="D20" s="42" t="inlineStr">
        <is>
          <t>Past Simple (уроки по неправильным глаголам)</t>
        </is>
      </c>
      <c r="E20" s="11" t="inlineStr">
        <is>
          <t>Таблицу Irregular verbs сделать памяткой (файлом к урокам Past Simple и Present Perfect), а не отдельным уроком.</t>
        </is>
      </c>
      <c r="F20" s="11" t="inlineStr"/>
    </row>
    <row r="21">
      <c r="A21" s="11" t="n">
        <v>20</v>
      </c>
      <c r="B21" s="42" t="inlineStr">
        <is>
          <t>so … that / such … that</t>
        </is>
      </c>
      <c r="C21" s="11" t="inlineStr">
        <is>
          <t>• so / such — 3 подтемы, 9, 11 кл.
• Clauses of result: such … that; so … that — 9, 11 кл.</t>
        </is>
      </c>
      <c r="D21" s="42" t="inlineStr">
        <is>
          <t>so / such — урок «so / such (… that)»</t>
        </is>
      </c>
      <c r="E21" s="11" t="inlineStr">
        <is>
          <t>В Clauses of result оставить as a result / consequently / therefore / so; so…that и such…that — ссылки. Inversion «после So/Such в начале» (11 кл.) — отдельный урок, это другое.</t>
        </is>
      </c>
      <c r="F21" s="11" t="inlineStr"/>
    </row>
    <row r="22">
      <c r="A22" s="11" t="n">
        <v>21</v>
      </c>
      <c r="B22" s="42" t="inlineStr">
        <is>
          <t>where / when / why и предлог в определительных придаточных</t>
        </is>
      </c>
      <c r="C22" s="11" t="inlineStr">
        <is>
          <t>• Relative pronouns / Relative clauses — 9 подтем, 7, 9–11 кл. (where, when, why уже там)
• Relative adverbs — 3 подтемы, 11 кл.
• Prepositions in relative clauses — 11 кл.</t>
        </is>
      </c>
      <c r="D22" s="42" t="inlineStr">
        <is>
          <t>Relative pronouns / Relative clauses</t>
        </is>
      </c>
      <c r="E22" s="11" t="inlineStr">
        <is>
          <t>Relative adverbs 11 кл. — ссылки. Prepositions in relative clauses (предлог + whom/which) — проверить: если в Relative clauses этого нет, оставить отдельным уроком.</t>
        </is>
      </c>
      <c r="F22" s="11" t="inlineStr"/>
    </row>
    <row r="23">
      <c r="A23" s="11" t="n">
        <v>22</v>
      </c>
      <c r="B23" s="42" t="inlineStr">
        <is>
          <t>Условные без if (Should / Were / Had + подлежащее)</t>
        </is>
      </c>
      <c r="C23" s="11" t="inlineStr">
        <is>
          <t>• Inversion: условные без if — 9–11 кл.
• Conditional linkers: only if + инверсия — 9–11 кл.</t>
        </is>
      </c>
      <c r="D23" s="42" t="inlineStr">
        <is>
          <t>Inversion (условные без if)</t>
        </is>
      </c>
      <c r="E23" s="11" t="inlineStr">
        <is>
          <t>only if + инверсия остаётся в Conditional linkers как свой урок, со ссылкой на Inversion.</t>
        </is>
      </c>
      <c r="F23" s="11" t="inlineStr"/>
    </row>
    <row r="24">
      <c r="A24" s="11" t="n">
        <v>23</v>
      </c>
      <c r="B24" s="42" t="inlineStr">
        <is>
          <t>Reported questions и Indirect questions</t>
        </is>
      </c>
      <c r="C24" s="11" t="inlineStr">
        <is>
          <t>• Reported questions — 5 подтем, 8–11 кл.
• Indirect questions — 3 подтемы, 8–11 кл.</t>
        </is>
      </c>
      <c r="D24" s="42" t="inlineStr">
        <is>
          <t>это НЕ дубль</t>
        </is>
      </c>
      <c r="E24" s="11" t="inlineStr">
        <is>
          <t>Reported questions — пересказ чужого вопроса со сдвигом времён; Indirect questions — вежливый вопрос (Could you tell me…?) без сдвига. Оба урока нужны; в каждом полезно показать разницу.</t>
        </is>
      </c>
      <c r="F24" s="11" t="inlineStr"/>
    </row>
  </sheetData>
  <dataValidations count="1">
    <dataValidation sqref="F2 F3 F4 F5 F6 F7 F8 F9 F10 F11 F12 F13 F14 F15 F16 F17 F18 F19 F20 F21 F22 F23 F24" showDropDown="0" showInputMessage="0" showErrorMessage="0" allowBlank="1" type="list">
      <formula1>"согласна,по-другому (см. комментарий)"</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0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8" customWidth="1" min="1" max="1"/>
    <col width="30" customWidth="1" min="2" max="2"/>
    <col width="10" customWidth="1" min="3" max="3"/>
    <col width="10" customWidth="1" min="4" max="4"/>
    <col width="12" customWidth="1" min="5" max="5"/>
    <col width="70" customWidth="1" min="6" max="6"/>
    <col width="40" customWidth="1" min="7" max="7"/>
  </cols>
  <sheetData>
    <row r="1">
      <c r="A1" s="3" t="inlineStr">
        <is>
          <t>Группа</t>
        </is>
      </c>
      <c r="B1" s="3" t="inlineStr">
        <is>
          <t>Тема</t>
        </is>
      </c>
      <c r="C1" s="3" t="inlineStr">
        <is>
          <t>С какого класса</t>
        </is>
      </c>
      <c r="D1" s="3" t="inlineStr">
        <is>
          <t>Подтем без ничего (красные)</t>
        </is>
      </c>
      <c r="E1" s="3" t="inlineStr">
        <is>
          <t>из них новое в учебнике</t>
        </is>
      </c>
      <c r="F1" s="3" t="inlineStr">
        <is>
          <t>Красные подтемы</t>
        </is>
      </c>
      <c r="G1" s="3" t="inlineStr">
        <is>
          <t>Остальные подтемы темы</t>
        </is>
      </c>
    </row>
    <row r="2">
      <c r="A2" s="32" t="inlineStr">
        <is>
          <t>7–9</t>
        </is>
      </c>
      <c r="B2" s="42" t="inlineStr">
        <is>
          <t>Prepositions of place</t>
        </is>
      </c>
      <c r="C2" s="11" t="inlineStr">
        <is>
          <t>3 кл.</t>
        </is>
      </c>
      <c r="D2" s="11" t="n">
        <v>1</v>
      </c>
      <c r="E2" s="11" t="n">
        <v>1</v>
      </c>
      <c r="F2" s="11" t="inlineStr">
        <is>
          <t>• opposite, between</t>
        </is>
      </c>
      <c r="G2" s="11" t="inlineStr">
        <is>
          <t>с видео: 2</t>
        </is>
      </c>
    </row>
    <row r="3">
      <c r="A3" s="32" t="inlineStr">
        <is>
          <t>7–9</t>
        </is>
      </c>
      <c r="B3" s="42" t="inlineStr">
        <is>
          <t>Present Simple</t>
        </is>
      </c>
      <c r="C3" s="11" t="inlineStr">
        <is>
          <t>3 кл.</t>
        </is>
      </c>
      <c r="D3" s="11" t="n">
        <v>1</v>
      </c>
      <c r="E3" s="11" t="n">
        <v>1</v>
      </c>
      <c r="F3" s="11" t="inlineStr">
        <is>
          <t>• произношение окончания -s/-es (/s/, /z/, /ɪz/)</t>
        </is>
      </c>
      <c r="G3" s="11" t="inlineStr">
        <is>
          <t>с видео: 3, вебинар в расписании: 3</t>
        </is>
      </c>
    </row>
    <row r="4">
      <c r="A4" s="32" t="inlineStr">
        <is>
          <t>7–9</t>
        </is>
      </c>
      <c r="B4" s="42" t="inlineStr">
        <is>
          <t>There is / There are</t>
        </is>
      </c>
      <c r="C4" s="11" t="inlineStr">
        <is>
          <t>3 кл.</t>
        </is>
      </c>
      <c r="D4" s="11" t="n">
        <v>1</v>
      </c>
      <c r="E4" s="11" t="n">
        <v>1</v>
      </c>
      <c r="F4" s="11" t="inlineStr">
        <is>
          <t>• вопросы — Is there…? / Are there…?</t>
        </is>
      </c>
      <c r="G4" s="11" t="inlineStr">
        <is>
          <t>с видео: 3</t>
        </is>
      </c>
    </row>
    <row r="5">
      <c r="A5" s="32" t="inlineStr">
        <is>
          <t>7–9</t>
        </is>
      </c>
      <c r="B5" s="42" t="inlineStr">
        <is>
          <t>a/an</t>
        </is>
      </c>
      <c r="C5" s="11" t="inlineStr">
        <is>
          <t>3 кл.</t>
        </is>
      </c>
      <c r="D5" s="11" t="n">
        <v>1</v>
      </c>
      <c r="E5" s="11" t="n">
        <v>1</v>
      </c>
      <c r="F5" s="11" t="inlineStr">
        <is>
          <t>• неопределённый артикль — только с исчисляемыми в ед. ч.</t>
        </is>
      </c>
      <c r="G5" s="11" t="inlineStr">
        <is>
          <t>с видео: 1</t>
        </is>
      </c>
    </row>
    <row r="6">
      <c r="A6" s="32" t="inlineStr">
        <is>
          <t>7–9</t>
        </is>
      </c>
      <c r="B6" s="42" t="inlineStr">
        <is>
          <t>Comparatives &amp; Superlatives</t>
        </is>
      </c>
      <c r="C6" s="11" t="inlineStr">
        <is>
          <t>4 кл.</t>
        </is>
      </c>
      <c r="D6" s="11" t="n">
        <v>2</v>
      </c>
      <c r="E6" s="11" t="n">
        <v>2</v>
      </c>
      <c r="F6" s="11" t="inlineStr">
        <is>
          <t>• превосходная степень — the most
• двусложные на -y/-er/-ow — -er/-est</t>
        </is>
      </c>
      <c r="G6" s="11" t="inlineStr">
        <is>
          <t>с видео: 4, вебинар в расписании: 1</t>
        </is>
      </c>
    </row>
    <row r="7">
      <c r="A7" s="32" t="inlineStr">
        <is>
          <t>7–9</t>
        </is>
      </c>
      <c r="B7" s="42" t="inlineStr">
        <is>
          <t>Ordinal numbers</t>
        </is>
      </c>
      <c r="C7" s="11" t="inlineStr">
        <is>
          <t>4 кл.</t>
        </is>
      </c>
      <c r="D7" s="11" t="n">
        <v>1</v>
      </c>
      <c r="E7" s="11" t="n">
        <v>1</v>
      </c>
      <c r="F7" s="11" t="inlineStr">
        <is>
          <t>• с артиклем the и даты</t>
        </is>
      </c>
      <c r="G7" s="11" t="inlineStr">
        <is>
          <t>с видео: 2</t>
        </is>
      </c>
    </row>
    <row r="8">
      <c r="A8" s="32" t="inlineStr">
        <is>
          <t>7–9</t>
        </is>
      </c>
      <c r="B8" s="42" t="inlineStr">
        <is>
          <t>have to</t>
        </is>
      </c>
      <c r="C8" s="11" t="inlineStr">
        <is>
          <t>4 кл.</t>
        </is>
      </c>
      <c r="D8" s="11" t="n">
        <v>1</v>
      </c>
      <c r="E8" s="11" t="n">
        <v>1</v>
      </c>
      <c r="F8" s="11" t="inlineStr">
        <is>
          <t>• вопросы и краткие ответы — Do you have to…?</t>
        </is>
      </c>
      <c r="G8" s="11" t="inlineStr">
        <is>
          <t>с видео: 2</t>
        </is>
      </c>
    </row>
    <row r="9">
      <c r="A9" s="37" t="inlineStr">
        <is>
          <t>10+</t>
        </is>
      </c>
      <c r="B9" s="42" t="inlineStr">
        <is>
          <t>Word formation</t>
        </is>
      </c>
      <c r="C9" s="11" t="inlineStr">
        <is>
          <t>5 кл.</t>
        </is>
      </c>
      <c r="D9" s="11" t="n">
        <v>22</v>
      </c>
      <c r="E9" s="11" t="n">
        <v>22</v>
      </c>
      <c r="F9" s="11" t="inlineStr">
        <is>
          <t>• -able, -ous, -ing
• -al
• -er, -or, -man, -ist, -ic
• -ly
• -tion, -sion
• conversion (a dress – to dress)
• nationalities -an/-ish/-ian/-ese
• un-
• -ion, -tion, -ance
• -ise, -ize
• -ness, -ment
• il-, im-, in-, ir-
• negative adjectives
• abstract nouns
• nouns from adjectives
• participle adjectives -ed/-ing
• revision
• verbs from nouns/adjectives
• verbs with prefixes
• forming verbs
• personal nouns
• prefixes</t>
        </is>
      </c>
      <c r="G9" s="11" t="inlineStr">
        <is>
          <t>с видео: 6</t>
        </is>
      </c>
    </row>
    <row r="10">
      <c r="A10" s="37" t="inlineStr">
        <is>
          <t>10+</t>
        </is>
      </c>
      <c r="B10" s="42" t="inlineStr">
        <is>
          <t>Present Simple</t>
        </is>
      </c>
      <c r="C10" s="11" t="inlineStr">
        <is>
          <t>5 кл.</t>
        </is>
      </c>
      <c r="D10" s="11" t="n">
        <v>10</v>
      </c>
      <c r="E10" s="11" t="n">
        <v>5</v>
      </c>
      <c r="F10" s="11" t="inlineStr">
        <is>
          <t>• утверждение (I/you/we/they V, he/she/it V-s)
• отрицание (don't/doesn't)
• общие вопросы (Do/Does …?)
• краткие ответы (Yes, I do / No, he doesn't)
• орфография окончания -s/-es (3 л. ед. ч.)
• значение — непреложные истины и законы природы
• значение — чувства и эмоции
• значение — обзоры, спортивные комментарии, повествование
• значение — восклицания (Here comes …!)
• значение — последовательные действия в настоящем</t>
        </is>
      </c>
      <c r="G10" s="11" t="inlineStr">
        <is>
          <t>с видео: 3</t>
        </is>
      </c>
    </row>
    <row r="11">
      <c r="A11" s="37" t="inlineStr">
        <is>
          <t>10+</t>
        </is>
      </c>
      <c r="B11" s="42" t="inlineStr">
        <is>
          <t>Prepositions of place</t>
        </is>
      </c>
      <c r="C11" s="11" t="inlineStr">
        <is>
          <t>5 кл.</t>
        </is>
      </c>
      <c r="D11" s="11" t="n">
        <v>8</v>
      </c>
      <c r="E11" s="11" t="n">
        <v>5</v>
      </c>
      <c r="F11" s="11" t="inlineStr">
        <is>
          <t>• in, on, under
• next to, in front of, behind
• opposite, between
• near, beside
• at — at school/work/home, в адресах
• in — устойчивые выражения (in bed, in hospital, in the sky, in a picture)
• in — города, страны, континенты
• on — on the left/right, on the first floor</t>
        </is>
      </c>
      <c r="G11" s="11" t="inlineStr"/>
    </row>
    <row r="12">
      <c r="A12" s="37" t="inlineStr">
        <is>
          <t>10+</t>
        </is>
      </c>
      <c r="B12" s="42" t="inlineStr">
        <is>
          <t>Past Simple</t>
        </is>
      </c>
      <c r="C12" s="11" t="inlineStr">
        <is>
          <t>5 кл.</t>
        </is>
      </c>
      <c r="D12" s="11" t="n">
        <v>7</v>
      </c>
      <c r="E12" s="11" t="n">
        <v>2</v>
      </c>
      <c r="F12" s="11" t="inlineStr">
        <is>
          <t>• правильные глаголы — отрицание (didn't + V)
• правильные глаголы — вопросы (Did …?)
• краткие ответы (Yes, I did / No, I didn't)
• неправильные глаголы — отрицание (didn't go)
• неправильные глаголы — вопросы (Did … go?)
• значение — повторяющиеся действия и привычки в прошлом
• значение — завершённые действия без связи с настоящим</t>
        </is>
      </c>
      <c r="G12" s="11" t="inlineStr">
        <is>
          <t>с видео: 6, вебинар в расписании: 1</t>
        </is>
      </c>
    </row>
    <row r="13">
      <c r="A13" s="37" t="inlineStr">
        <is>
          <t>10+</t>
        </is>
      </c>
      <c r="B13" s="42" t="inlineStr">
        <is>
          <t>Present Continuous</t>
        </is>
      </c>
      <c r="C13" s="11" t="inlineStr">
        <is>
          <t>5 кл.</t>
        </is>
      </c>
      <c r="D13" s="11" t="n">
        <v>7</v>
      </c>
      <c r="E13" s="11" t="n">
        <v>3</v>
      </c>
      <c r="F13" s="11" t="inlineStr">
        <is>
          <t>• утверждение (am/is/are + V-ing)
• отрицание (I'm not / isn't / aren't)
• общие вопросы (Am/Is/Are …?)
• краткие ответы (Yes, I am / No, he isn't)
• орфография -ing
• значение — меняющиеся и развивающиеся ситуации
• значение — always + раздражение</t>
        </is>
      </c>
      <c r="G13" s="11" t="inlineStr">
        <is>
          <t>с видео: 4</t>
        </is>
      </c>
    </row>
    <row r="14">
      <c r="A14" s="37" t="inlineStr">
        <is>
          <t>10+</t>
        </is>
      </c>
      <c r="B14" s="42" t="inlineStr">
        <is>
          <t>Articles (a/an/the/zero)</t>
        </is>
      </c>
      <c r="C14" s="11" t="inlineStr">
        <is>
          <t>5 кл.</t>
        </is>
      </c>
      <c r="D14" s="11" t="n">
        <v>6</v>
      </c>
      <c r="E14" s="11" t="n">
        <v>6</v>
      </c>
      <c r="F14" s="11" t="inlineStr">
        <is>
          <t>• нулевой артикль — при другом определителе (my, this, some, числительное, 's)
• a/an = per; деньги, дроби, меры, частота, скорость
• a/an с болезнями (a cold, но flu)
• a/the + ед. ч. — обобщение группы
• the и нулевой — театры, отели, музеи, газеты; названия с именем (Victoria Station, Harrods)
• the — люди: фамилии, титулы, the + прилагательное (the rich)</t>
        </is>
      </c>
      <c r="G14" s="11" t="inlineStr">
        <is>
          <t>с видео: 6, вебинар в расписании: 1</t>
        </is>
      </c>
    </row>
    <row r="15">
      <c r="A15" s="37" t="inlineStr">
        <is>
          <t>10+</t>
        </is>
      </c>
      <c r="B15" s="42" t="inlineStr">
        <is>
          <t>Plurals (regular)</t>
        </is>
      </c>
      <c r="C15" s="11" t="inlineStr">
        <is>
          <t>5 кл.</t>
        </is>
      </c>
      <c r="D15" s="11" t="n">
        <v>6</v>
      </c>
      <c r="E15" s="11" t="n">
        <v>2</v>
      </c>
      <c r="F15" s="11" t="inlineStr">
        <is>
          <t>• основное правило — + -s
• орфография — + -es после -s, -ss, -sh, -ch, -x, -o
• орфография — -y → -ies (но гласная + y → -s)
• орфография — -f/-fe → -ves
• исключения на -o — только -s (photos, videos)
• произношение окончания -(e)s</t>
        </is>
      </c>
      <c r="G15" s="11" t="inlineStr"/>
    </row>
    <row r="16">
      <c r="A16" s="37" t="inlineStr">
        <is>
          <t>10+</t>
        </is>
      </c>
      <c r="B16" s="42" t="inlineStr">
        <is>
          <t>Prepositions of time</t>
        </is>
      </c>
      <c r="C16" s="11" t="inlineStr">
        <is>
          <t>5 кл.</t>
        </is>
      </c>
      <c r="D16" s="11" t="n">
        <v>6</v>
      </c>
      <c r="E16" s="11" t="n">
        <v>3</v>
      </c>
      <c r="F16" s="11" t="inlineStr">
        <is>
          <t>• at — время, праздники, at night/at noon/at the weekend
• on — дни недели и праздничные дни
• on — даты, день недели + часть дня, on a hot day
• in — части суток (in the morning/afternoon/evening)
• in — месяцы, времена года, годы, века
• in = «через» (in an hour, in a week)</t>
        </is>
      </c>
      <c r="G16" s="11" t="inlineStr"/>
    </row>
    <row r="17">
      <c r="A17" s="37" t="inlineStr">
        <is>
          <t>10+</t>
        </is>
      </c>
      <c r="B17" s="42" t="inlineStr">
        <is>
          <t>have got</t>
        </is>
      </c>
      <c r="C17" s="11" t="inlineStr">
        <is>
          <t>5 кл.</t>
        </is>
      </c>
      <c r="D17" s="11" t="n">
        <v>6</v>
      </c>
      <c r="E17" s="11" t="n">
        <v>1</v>
      </c>
      <c r="F17" s="11" t="inlineStr">
        <is>
          <t>• утверждение — have got / has got (полные и краткие формы)
• отрицание — haven't got / hasn't got
• вопросы и краткие ответы
• значение — принадлежность (иметь)
• значение — описание внешности людей, животных, предметов
• значение — родственные отношения</t>
        </is>
      </c>
      <c r="G17" s="11" t="inlineStr"/>
    </row>
    <row r="18">
      <c r="A18" s="37" t="inlineStr">
        <is>
          <t>10+</t>
        </is>
      </c>
      <c r="B18" s="42" t="inlineStr">
        <is>
          <t>Comparatives &amp; Superlatives</t>
        </is>
      </c>
      <c r="C18" s="11" t="inlineStr">
        <is>
          <t>5 кл.</t>
        </is>
      </c>
      <c r="D18" s="11" t="n">
        <v>5</v>
      </c>
      <c r="E18" s="11" t="n">
        <v>2</v>
      </c>
      <c r="F18" s="11" t="inlineStr">
        <is>
          <t>• орфография -er/-est (удвоение, -e, y → i)
• неправильные прилагательные (good, bad, many/much, little)
• двусложные на -y/-er/-ow — -er/-est
• прилагательные с двумя способами (clever, quiet, friendly…)
• far — farther/further, old — elder/eldest</t>
        </is>
      </c>
      <c r="G18" s="11" t="inlineStr">
        <is>
          <t>с видео: 7</t>
        </is>
      </c>
    </row>
    <row r="19">
      <c r="A19" s="37" t="inlineStr">
        <is>
          <t>10+</t>
        </is>
      </c>
      <c r="B19" s="42" t="inlineStr">
        <is>
          <t>There is / There are</t>
        </is>
      </c>
      <c r="C19" s="11" t="inlineStr">
        <is>
          <t>5 кл.</t>
        </is>
      </c>
      <c r="D19" s="11" t="n">
        <v>5</v>
      </c>
      <c r="E19" s="11" t="n">
        <v>1</v>
      </c>
      <c r="F19" s="11" t="inlineStr">
        <is>
          <t>• there is — утверждение (ед. ч.)
• there are — утверждение (мн. ч.)
• отрицание — there isn't / there aren't
• вопросы — Is there…? / Are there…?
• some / any в конструкции</t>
        </is>
      </c>
      <c r="G19" s="11" t="inlineStr"/>
    </row>
    <row r="20">
      <c r="A20" s="37" t="inlineStr">
        <is>
          <t>10+</t>
        </is>
      </c>
      <c r="B20" s="42" t="inlineStr">
        <is>
          <t>Countable / Uncountable nouns</t>
        </is>
      </c>
      <c r="C20" s="11" t="inlineStr">
        <is>
          <t>5 кл.</t>
        </is>
      </c>
      <c r="D20" s="11" t="n">
        <v>4</v>
      </c>
      <c r="E20" s="11" t="n">
        <v>4</v>
      </c>
      <c r="F20" s="11" t="inlineStr">
        <is>
          <t>• исключения с a/an (a help, a pity, a shame)
• группы неисчисляемых — предметы, языки, игры, болезни, явления природы
• «ловушки» — advice, information, news, furniture, luggage, money
• длительность, расстояние, деньги как целое — глагол в ед. ч.</t>
        </is>
      </c>
      <c r="G20" s="11" t="inlineStr">
        <is>
          <t>с видео: 9</t>
        </is>
      </c>
    </row>
    <row r="21">
      <c r="A21" s="37" t="inlineStr">
        <is>
          <t>10+</t>
        </is>
      </c>
      <c r="B21" s="42" t="inlineStr">
        <is>
          <t>can (permission/request)</t>
        </is>
      </c>
      <c r="C21" s="11" t="inlineStr">
        <is>
          <t>5 кл.</t>
        </is>
      </c>
      <c r="D21" s="11" t="n">
        <v>4</v>
      </c>
      <c r="E21" s="11" t="n">
        <v>4</v>
      </c>
      <c r="F21" s="11" t="inlineStr">
        <is>
          <t>• просьба — Can you…? / Can I have…?
• предложение помощи — Can I…?
• can vs may — разрешение (may формальнее)
• предложения (offers/suggestions) — can, could, would, shall</t>
        </is>
      </c>
      <c r="G21" s="11" t="inlineStr">
        <is>
          <t>с видео: 2</t>
        </is>
      </c>
    </row>
    <row r="22">
      <c r="A22" s="37" t="inlineStr">
        <is>
          <t>10+</t>
        </is>
      </c>
      <c r="B22" s="42" t="inlineStr">
        <is>
          <t>must/mustn't</t>
        </is>
      </c>
      <c r="C22" s="11" t="inlineStr">
        <is>
          <t>5 кл.</t>
        </is>
      </c>
      <c r="D22" s="11" t="n">
        <v>4</v>
      </c>
      <c r="E22" s="11" t="n">
        <v>4</v>
      </c>
      <c r="F22" s="11" t="inlineStr">
        <is>
          <t>• can't как запрет (= mustn't)
• must — настойчивый совет
• must только в настоящем; в других временах — have to / had to
• must — логический вывод</t>
        </is>
      </c>
      <c r="G22" s="11" t="inlineStr">
        <is>
          <t>с видео: 2</t>
        </is>
      </c>
    </row>
    <row r="23">
      <c r="A23" s="37" t="inlineStr">
        <is>
          <t>10+</t>
        </is>
      </c>
      <c r="B23" s="42" t="inlineStr">
        <is>
          <t>Imperative</t>
        </is>
      </c>
      <c r="C23" s="11" t="inlineStr">
        <is>
          <t>5 кл.</t>
        </is>
      </c>
      <c r="D23" s="11" t="n">
        <v>3</v>
      </c>
      <c r="E23" s="11" t="n">
        <v>3</v>
      </c>
      <c r="F23" s="11" t="inlineStr">
        <is>
          <t>• значение — инструкция, указание
• значение — предложение (Have some cake)
• значение — просьба, вежливость с please</t>
        </is>
      </c>
      <c r="G23" s="11" t="inlineStr">
        <is>
          <t>с видео: 3</t>
        </is>
      </c>
    </row>
    <row r="24">
      <c r="A24" s="37" t="inlineStr">
        <is>
          <t>10+</t>
        </is>
      </c>
      <c r="B24" s="42" t="inlineStr">
        <is>
          <t>Personal pronouns (subject)</t>
        </is>
      </c>
      <c r="C24" s="11" t="inlineStr">
        <is>
          <t>5 кл.</t>
        </is>
      </c>
      <c r="D24" s="11" t="n">
        <v>3</v>
      </c>
      <c r="E24" s="11" t="n">
        <v>3</v>
      </c>
      <c r="F24" s="11" t="inlineStr">
        <is>
          <t>• формы I, you, he, she, it, we, you, they
• употребление — подлежащее вместо существительного
• he/she vs it vs they — выбор местоимения</t>
        </is>
      </c>
      <c r="G24" s="11" t="inlineStr"/>
    </row>
    <row r="25">
      <c r="A25" s="37" t="inlineStr">
        <is>
          <t>10+</t>
        </is>
      </c>
      <c r="B25" s="42" t="inlineStr">
        <is>
          <t>Present Simple vs Present Continuous</t>
        </is>
      </c>
      <c r="C25" s="11" t="inlineStr">
        <is>
          <t>5 кл.</t>
        </is>
      </c>
      <c r="D25" s="11" t="n">
        <v>3</v>
      </c>
      <c r="E25" s="11" t="n">
        <v>3</v>
      </c>
      <c r="F25" s="11" t="inlineStr">
        <is>
          <t>• постоянное состояние vs временная ситуация
• повторяющиеся действия vs настоящий период (these days)
• будущее — расписание vs договорённость</t>
        </is>
      </c>
      <c r="G25" s="11" t="inlineStr">
        <is>
          <t>с видео: 1</t>
        </is>
      </c>
    </row>
    <row r="26">
      <c r="A26" s="37" t="inlineStr">
        <is>
          <t>10+</t>
        </is>
      </c>
      <c r="B26" s="42" t="inlineStr">
        <is>
          <t>a/an/some/any</t>
        </is>
      </c>
      <c r="C26" s="11" t="inlineStr">
        <is>
          <t>5 кл.</t>
        </is>
      </c>
      <c r="D26" s="11" t="n">
        <v>3</v>
      </c>
      <c r="E26" s="11" t="n">
        <v>2</v>
      </c>
      <c r="F26" s="11" t="inlineStr">
        <is>
          <t>• some в вопросах — просьба и предложение
• a/an vs some/any — исчисляемые ед. ч. во всех типах предложений
• перевод some — «несколько» / «немного» / не переводится</t>
        </is>
      </c>
      <c r="G26" s="11" t="inlineStr">
        <is>
          <t>с видео: 3</t>
        </is>
      </c>
    </row>
    <row r="27">
      <c r="A27" s="37" t="inlineStr">
        <is>
          <t>10+</t>
        </is>
      </c>
      <c r="B27" s="42" t="inlineStr">
        <is>
          <t>can (ability)</t>
        </is>
      </c>
      <c r="C27" s="11" t="inlineStr">
        <is>
          <t>5 кл.</t>
        </is>
      </c>
      <c r="D27" s="11" t="n">
        <v>3</v>
      </c>
      <c r="E27" s="11" t="n">
        <v>0</v>
      </c>
      <c r="F27" s="11" t="inlineStr">
        <is>
          <t>• значение — умение; утверждение can + глагол без to
• отрицание — cannot / can't
• вопросы и краткие ответы</t>
        </is>
      </c>
      <c r="G27" s="11" t="inlineStr"/>
    </row>
    <row r="28">
      <c r="A28" s="37" t="inlineStr">
        <is>
          <t>10+</t>
        </is>
      </c>
      <c r="B28" s="42" t="inlineStr">
        <is>
          <t>to be (Past: was/were)</t>
        </is>
      </c>
      <c r="C28" s="11" t="inlineStr">
        <is>
          <t>5 кл.</t>
        </is>
      </c>
      <c r="D28" s="11" t="n">
        <v>3</v>
      </c>
      <c r="E28" s="11" t="n">
        <v>0</v>
      </c>
      <c r="F28" s="11" t="inlineStr">
        <is>
          <t>• утверждение — was / were
• отрицание — wasn't / weren't
• вопросы и краткие ответы</t>
        </is>
      </c>
      <c r="G28" s="11" t="inlineStr"/>
    </row>
    <row r="29">
      <c r="A29" s="37" t="inlineStr">
        <is>
          <t>10+</t>
        </is>
      </c>
      <c r="B29" s="42" t="inlineStr">
        <is>
          <t>to be (Present)</t>
        </is>
      </c>
      <c r="C29" s="11" t="inlineStr">
        <is>
          <t>5 кл.</t>
        </is>
      </c>
      <c r="D29" s="11" t="n">
        <v>3</v>
      </c>
      <c r="E29" s="11" t="n">
        <v>0</v>
      </c>
      <c r="F29" s="11" t="inlineStr">
        <is>
          <t>• утверждение — am/is/are, полные и краткие формы
• отрицание — am not / isn't / aren't
• вопросы и краткие ответы</t>
        </is>
      </c>
      <c r="G29" s="11" t="inlineStr"/>
    </row>
    <row r="30">
      <c r="A30" s="37" t="inlineStr">
        <is>
          <t>10+</t>
        </is>
      </c>
      <c r="B30" s="42" t="inlineStr">
        <is>
          <t>Adverbs of frequency</t>
        </is>
      </c>
      <c r="C30" s="11" t="inlineStr">
        <is>
          <t>5 кл.</t>
        </is>
      </c>
      <c r="D30" s="11" t="n">
        <v>2</v>
      </c>
      <c r="E30" s="11" t="n">
        <v>2</v>
      </c>
      <c r="F30" s="11" t="inlineStr">
        <is>
          <t>• место — после вспомогательных и модальных глаголов
• seldom / rarely</t>
        </is>
      </c>
      <c r="G30" s="11" t="inlineStr">
        <is>
          <t>с видео: 3</t>
        </is>
      </c>
    </row>
    <row r="31">
      <c r="A31" s="37" t="inlineStr">
        <is>
          <t>10+</t>
        </is>
      </c>
      <c r="B31" s="42" t="inlineStr">
        <is>
          <t>Demonstratives (this/that/these/those)</t>
        </is>
      </c>
      <c r="C31" s="11" t="inlineStr">
        <is>
          <t>5 кл.</t>
        </is>
      </c>
      <c r="D31" s="11" t="n">
        <v>2</v>
      </c>
      <c r="E31" s="11" t="n">
        <v>0</v>
      </c>
      <c r="F31" s="11" t="inlineStr">
        <is>
          <t>• this — these (ед. и мн. ч.)
• that — those (ед. и мн. ч.)</t>
        </is>
      </c>
      <c r="G31" s="11" t="inlineStr"/>
    </row>
    <row r="32">
      <c r="A32" s="37" t="inlineStr">
        <is>
          <t>10+</t>
        </is>
      </c>
      <c r="B32" s="42" t="inlineStr">
        <is>
          <t>Future Simple (will)</t>
        </is>
      </c>
      <c r="C32" s="11" t="inlineStr">
        <is>
          <t>5 кл.</t>
        </is>
      </c>
      <c r="D32" s="11" t="n">
        <v>2</v>
      </c>
      <c r="E32" s="11" t="n">
        <v>2</v>
      </c>
      <c r="F32" s="11" t="inlineStr">
        <is>
          <t>• значение — надежды, страхи, предложения, комментарии
• значение — неизбежные события (не зависят от нас)</t>
        </is>
      </c>
      <c r="G32" s="11" t="inlineStr">
        <is>
          <t>с видео: 2, вебинар в расписании: 8</t>
        </is>
      </c>
    </row>
    <row r="33">
      <c r="A33" s="37" t="inlineStr">
        <is>
          <t>10+</t>
        </is>
      </c>
      <c r="B33" s="42" t="inlineStr">
        <is>
          <t>Possessive case ('s)</t>
        </is>
      </c>
      <c r="C33" s="11" t="inlineStr">
        <is>
          <t>5 кл.</t>
        </is>
      </c>
      <c r="D33" s="11" t="n">
        <v>2</v>
      </c>
      <c r="E33" s="11" t="n">
        <v>2</v>
      </c>
      <c r="F33" s="11" t="inlineStr">
        <is>
          <t>• значение — отношения между людьми
• магазины, учреждения, чей-то дом (at the baker's)</t>
        </is>
      </c>
      <c r="G33" s="11" t="inlineStr">
        <is>
          <t>вебинар в расписании: 5</t>
        </is>
      </c>
    </row>
    <row r="34">
      <c r="A34" s="37" t="inlineStr">
        <is>
          <t>10+</t>
        </is>
      </c>
      <c r="B34" s="42" t="inlineStr">
        <is>
          <t>Present Perfect</t>
        </is>
      </c>
      <c r="C34" s="11" t="inlineStr">
        <is>
          <t>5 кл.</t>
        </is>
      </c>
      <c r="D34" s="11" t="n">
        <v>2</v>
      </c>
      <c r="E34" s="11" t="n">
        <v>2</v>
      </c>
      <c r="F34" s="11" t="inlineStr">
        <is>
          <t>• значение — неуказанное время в прошлом
• значение — акцент на количестве (seven times this week)</t>
        </is>
      </c>
      <c r="G34" s="11" t="inlineStr">
        <is>
          <t>с видео: 8, вебинар в расписании: 3</t>
        </is>
      </c>
    </row>
    <row r="35">
      <c r="A35" s="37" t="inlineStr">
        <is>
          <t>10+</t>
        </is>
      </c>
      <c r="B35" s="42" t="inlineStr">
        <is>
          <t>Question tags</t>
        </is>
      </c>
      <c r="C35" s="11" t="inlineStr">
        <is>
          <t>5 кл.</t>
        </is>
      </c>
      <c r="D35" s="11" t="n">
        <v>2</v>
      </c>
      <c r="E35" s="11" t="n">
        <v>2</v>
      </c>
      <c r="F35" s="11" t="inlineStr">
        <is>
          <t>• have (владеть) → haven't I? vs have в идиоме → don't I?
• This/That is → isn't it?</t>
        </is>
      </c>
      <c r="G35" s="11" t="inlineStr">
        <is>
          <t>с видео: 3, вебинар в расписании: 5</t>
        </is>
      </c>
    </row>
    <row r="36">
      <c r="A36" s="37" t="inlineStr">
        <is>
          <t>10+</t>
        </is>
      </c>
      <c r="B36" s="42" t="inlineStr">
        <is>
          <t>a few/a little</t>
        </is>
      </c>
      <c r="C36" s="11" t="inlineStr">
        <is>
          <t>5 кл.</t>
        </is>
      </c>
      <c r="D36" s="11" t="n">
        <v>2</v>
      </c>
      <c r="E36" s="11" t="n">
        <v>2</v>
      </c>
      <c r="F36" s="11" t="inlineStr">
        <is>
          <t>• very few / very little
• a little + прилагательное (a little cold)</t>
        </is>
      </c>
      <c r="G36" s="11" t="inlineStr">
        <is>
          <t>с видео: 4</t>
        </is>
      </c>
    </row>
    <row r="37">
      <c r="A37" s="37" t="inlineStr">
        <is>
          <t>10+</t>
        </is>
      </c>
      <c r="B37" s="42" t="inlineStr">
        <is>
          <t>Object pronouns</t>
        </is>
      </c>
      <c r="C37" s="11" t="inlineStr">
        <is>
          <t>5 кл.</t>
        </is>
      </c>
      <c r="D37" s="11" t="n">
        <v>1</v>
      </c>
      <c r="E37" s="11" t="n">
        <v>1</v>
      </c>
      <c r="F37" s="11" t="inlineStr">
        <is>
          <t>• личные vs объектные vs притяжательные — сопоставление</t>
        </is>
      </c>
      <c r="G37" s="11" t="inlineStr">
        <is>
          <t>с видео: 2</t>
        </is>
      </c>
    </row>
    <row r="38">
      <c r="A38" s="37" t="inlineStr">
        <is>
          <t>10+</t>
        </is>
      </c>
      <c r="B38" s="42" t="inlineStr">
        <is>
          <t>much/many/a lot of</t>
        </is>
      </c>
      <c r="C38" s="11" t="inlineStr">
        <is>
          <t>5 кл.</t>
        </is>
      </c>
      <c r="D38" s="11" t="n">
        <v>1</v>
      </c>
      <c r="E38" s="11" t="n">
        <v>0</v>
      </c>
      <c r="F38" s="11" t="inlineStr">
        <is>
          <t>• краткие ответы и a lot / lots без существительного</t>
        </is>
      </c>
      <c r="G38" s="11" t="inlineStr">
        <is>
          <t>с видео: 4</t>
        </is>
      </c>
    </row>
    <row r="39">
      <c r="A39" s="37" t="inlineStr">
        <is>
          <t>10+</t>
        </is>
      </c>
      <c r="B39" s="42" t="inlineStr">
        <is>
          <t>need/needn't</t>
        </is>
      </c>
      <c r="C39" s="11" t="inlineStr">
        <is>
          <t>6 кл.</t>
        </is>
      </c>
      <c r="D39" s="11" t="n">
        <v>4</v>
      </c>
      <c r="E39" s="11" t="n">
        <v>4</v>
      </c>
      <c r="F39" s="11" t="inlineStr">
        <is>
          <t>• needn't / don't need to — нет необходимости (наст./буд.)
• needn't have V3 — не было необходимости, но сделали
• needn't have vs didn't have to
• need (= must) как эквивалент модального</t>
        </is>
      </c>
      <c r="G39" s="11" t="inlineStr"/>
    </row>
    <row r="40">
      <c r="A40" s="37" t="inlineStr">
        <is>
          <t>10+</t>
        </is>
      </c>
      <c r="B40" s="42" t="inlineStr">
        <is>
          <t>Ordinal numbers</t>
        </is>
      </c>
      <c r="C40" s="11" t="inlineStr">
        <is>
          <t>6 кл.</t>
        </is>
      </c>
      <c r="D40" s="11" t="n">
        <v>3</v>
      </c>
      <c r="E40" s="11" t="n">
        <v>0</v>
      </c>
      <c r="F40" s="11" t="inlineStr">
        <is>
          <t>• first, second, third и составные (21st, 22nd)
• образование с -th и орфография (fifth, ninth, twelfth, twentieth)
• с артиклем the и даты</t>
        </is>
      </c>
      <c r="G40" s="11" t="inlineStr"/>
    </row>
    <row r="41">
      <c r="A41" s="37" t="inlineStr">
        <is>
          <t>10+</t>
        </is>
      </c>
      <c r="B41" s="42" t="inlineStr">
        <is>
          <t>have to</t>
        </is>
      </c>
      <c r="C41" s="11" t="inlineStr">
        <is>
          <t>6 кл.</t>
        </is>
      </c>
      <c r="D41" s="11" t="n">
        <v>3</v>
      </c>
      <c r="E41" s="11" t="n">
        <v>3</v>
      </c>
      <c r="F41" s="11" t="inlineStr">
        <is>
          <t>• had to — прошедшее время
• didn't have to — не было необходимости в прошлом
• have got to (= have to)</t>
        </is>
      </c>
      <c r="G41" s="11" t="inlineStr">
        <is>
          <t>с видео: 2</t>
        </is>
      </c>
    </row>
    <row r="42">
      <c r="A42" s="37" t="inlineStr">
        <is>
          <t>10+</t>
        </is>
      </c>
      <c r="B42" s="42" t="inlineStr">
        <is>
          <t>Stative verbs</t>
        </is>
      </c>
      <c r="C42" s="11" t="inlineStr">
        <is>
          <t>6 кл.</t>
        </is>
      </c>
      <c r="D42" s="11" t="n">
        <v>2</v>
      </c>
      <c r="E42" s="11" t="n">
        <v>2</v>
      </c>
      <c r="F42" s="11" t="inlineStr">
        <is>
          <t>• look, feel, hurt, ache — Simple = Continuous
• enjoy в Continuous — конкретное удовольствие</t>
        </is>
      </c>
      <c r="G42" s="11" t="inlineStr">
        <is>
          <t>с видео: 3</t>
        </is>
      </c>
    </row>
    <row r="43">
      <c r="A43" s="37" t="inlineStr">
        <is>
          <t>10+</t>
        </is>
      </c>
      <c r="B43" s="42" t="inlineStr">
        <is>
          <t>Reflexive pronouns</t>
        </is>
      </c>
      <c r="C43" s="11" t="inlineStr">
        <is>
          <t>7 кл.</t>
        </is>
      </c>
      <c r="D43" s="11" t="n">
        <v>5</v>
      </c>
      <c r="E43" s="11" t="n">
        <v>5</v>
      </c>
      <c r="F43" s="11" t="inlineStr">
        <is>
          <t>• эмфатическое — «сам» (She will cut the cake herself)
• глаголы без возвратного местоимения (wash, dress, meet)
• после be, feel, look, seem
• после предлогов (но не предлогов места)
• устойчивые выражения (Enjoy yourself!, Help yourself, Make yourself at home)</t>
        </is>
      </c>
      <c r="G43" s="11" t="inlineStr">
        <is>
          <t>с видео: 3</t>
        </is>
      </c>
    </row>
    <row r="44">
      <c r="A44" s="37" t="inlineStr">
        <is>
          <t>10+</t>
        </is>
      </c>
      <c r="B44" s="42" t="inlineStr">
        <is>
          <t>Relative pronouns / Relative clauses</t>
        </is>
      </c>
      <c r="C44" s="11" t="inlineStr">
        <is>
          <t>7 кл.</t>
        </is>
      </c>
      <c r="D44" s="11" t="n">
        <v>5</v>
      </c>
      <c r="E44" s="11" t="n">
        <v>5</v>
      </c>
      <c r="F44" s="11" t="inlineStr">
        <is>
          <t>• defining vs non-defining (запятые, без that)
• which, относящееся ко всему предложению
• of which / whose для предметов
• some of / most of + whom/which/whose
• that не после запятой и не после предлога</t>
        </is>
      </c>
      <c r="G44" s="11" t="inlineStr">
        <is>
          <t>вебинар в расписании: 4</t>
        </is>
      </c>
    </row>
    <row r="45">
      <c r="A45" s="37" t="inlineStr">
        <is>
          <t>10+</t>
        </is>
      </c>
      <c r="B45" s="42" t="inlineStr">
        <is>
          <t>Adjectives (general)</t>
        </is>
      </c>
      <c r="C45" s="11" t="inlineStr">
        <is>
          <t>7 кл.</t>
        </is>
      </c>
      <c r="D45" s="11" t="n">
        <v>3</v>
      </c>
      <c r="E45" s="11" t="n">
        <v>3</v>
      </c>
      <c r="F45" s="11" t="inlineStr">
        <is>
          <t>• не изменяются по числам
• место — перед существительным, после be / look, smell, sound, feel, taste
• мнение vs объективные характеристики</t>
        </is>
      </c>
      <c r="G45" s="11" t="inlineStr"/>
    </row>
    <row r="46">
      <c r="A46" s="37" t="inlineStr">
        <is>
          <t>10+</t>
        </is>
      </c>
      <c r="B46" s="42" t="inlineStr">
        <is>
          <t>Comparative structures</t>
        </is>
      </c>
      <c r="C46" s="11" t="inlineStr">
        <is>
          <t>7 кл.</t>
        </is>
      </c>
      <c r="D46" s="11" t="n">
        <v>3</v>
      </c>
      <c r="E46" s="11" t="n">
        <v>3</v>
      </c>
      <c r="F46" s="11" t="inlineStr">
        <is>
          <t>• twice / three times / half as … as
• the same … as
• look/sound/smell/taste + like</t>
        </is>
      </c>
      <c r="G46" s="11" t="inlineStr">
        <is>
          <t>с видео: 6</t>
        </is>
      </c>
    </row>
    <row r="47">
      <c r="A47" s="37" t="inlineStr">
        <is>
          <t>10+</t>
        </is>
      </c>
      <c r="B47" s="42" t="inlineStr">
        <is>
          <t>Conditionals (Type 1)</t>
        </is>
      </c>
      <c r="C47" s="11" t="inlineStr">
        <is>
          <t>7 кл.</t>
        </is>
      </c>
      <c r="D47" s="11" t="n">
        <v>3</v>
      </c>
      <c r="E47" s="11" t="n">
        <v>3</v>
      </c>
      <c r="F47" s="11" t="inlineStr">
        <is>
          <t>• главная часть с Imperative / can, must, may
• запятая, если if-часть впереди
• unless = if not</t>
        </is>
      </c>
      <c r="G47" s="11" t="inlineStr">
        <is>
          <t>с видео: 2</t>
        </is>
      </c>
    </row>
    <row r="48">
      <c r="A48" s="37" t="inlineStr">
        <is>
          <t>10+</t>
        </is>
      </c>
      <c r="B48" s="42" t="inlineStr">
        <is>
          <t>Present Perfect Continuous</t>
        </is>
      </c>
      <c r="C48" s="11" t="inlineStr">
        <is>
          <t>7 кл.</t>
        </is>
      </c>
      <c r="D48" s="11" t="n">
        <v>3</v>
      </c>
      <c r="E48" s="11" t="n">
        <v>3</v>
      </c>
      <c r="F48" s="11" t="inlineStr">
        <is>
          <t>• значение — раздражение/критика
• значение — повторяющиеся действия до настоящего
• live/work/teach/feel — без разницы с Present Perfect</t>
        </is>
      </c>
      <c r="G48" s="11" t="inlineStr">
        <is>
          <t>с видео: 3</t>
        </is>
      </c>
    </row>
    <row r="49">
      <c r="A49" s="37" t="inlineStr">
        <is>
          <t>10+</t>
        </is>
      </c>
      <c r="B49" s="42" t="inlineStr">
        <is>
          <t>used to</t>
        </is>
      </c>
      <c r="C49" s="11" t="inlineStr">
        <is>
          <t>7 кл.</t>
        </is>
      </c>
      <c r="D49" s="11" t="n">
        <v>3</v>
      </c>
      <c r="E49" s="11" t="n">
        <v>3</v>
      </c>
      <c r="F49" s="11" t="inlineStr">
        <is>
          <t>• однократное действие — только Past Simple
• used to vs be/get used to + -ing
• used to и would (used to = would)</t>
        </is>
      </c>
      <c r="G49" s="11" t="inlineStr">
        <is>
          <t>с видео: 2</t>
        </is>
      </c>
    </row>
    <row r="50">
      <c r="A50" s="37" t="inlineStr">
        <is>
          <t>10+</t>
        </is>
      </c>
      <c r="B50" s="42" t="inlineStr">
        <is>
          <t>Irregular verbs (list)</t>
        </is>
      </c>
      <c r="C50" s="11" t="inlineStr">
        <is>
          <t>7 кл.</t>
        </is>
      </c>
      <c r="D50" s="11" t="n">
        <v>2</v>
      </c>
      <c r="E50" s="11" t="n">
        <v>2</v>
      </c>
      <c r="F50" s="11" t="inlineStr">
        <is>
          <t>• таблица Infinitive – Past – Past Participle
• двойные и особые формы (burnt/burned, got/gotten, can – could)</t>
        </is>
      </c>
      <c r="G50" s="11" t="inlineStr"/>
    </row>
    <row r="51">
      <c r="A51" s="37" t="inlineStr">
        <is>
          <t>10+</t>
        </is>
      </c>
      <c r="B51" s="42" t="inlineStr">
        <is>
          <t>Past Simple vs Past Continuous</t>
        </is>
      </c>
      <c r="C51" s="11" t="inlineStr">
        <is>
          <t>7 кл.</t>
        </is>
      </c>
      <c r="D51" s="11" t="n">
        <v>2</v>
      </c>
      <c r="E51" s="11" t="n">
        <v>2</v>
      </c>
      <c r="F51" s="11" t="inlineStr">
        <is>
          <t>• указанное время — завершённое vs в процессе
• последовательные vs одновременные действия</t>
        </is>
      </c>
      <c r="G51" s="11" t="inlineStr">
        <is>
          <t>вебинар в расписании: 1</t>
        </is>
      </c>
    </row>
    <row r="52">
      <c r="A52" s="37" t="inlineStr">
        <is>
          <t>10+</t>
        </is>
      </c>
      <c r="B52" s="42" t="inlineStr">
        <is>
          <t>Time clauses</t>
        </is>
      </c>
      <c r="C52" s="11" t="inlineStr">
        <is>
          <t>7 кл.</t>
        </is>
      </c>
      <c r="D52" s="11" t="n">
        <v>2</v>
      </c>
      <c r="E52" s="11" t="n">
        <v>2</v>
      </c>
      <c r="F52" s="11" t="inlineStr">
        <is>
          <t>• то же после if, unless, in case, supposing
• when/if как вопросительное слово или после I don't know/wonder — с will</t>
        </is>
      </c>
      <c r="G52" s="11" t="inlineStr">
        <is>
          <t>вебинар в расписании: 2</t>
        </is>
      </c>
    </row>
    <row r="53">
      <c r="A53" s="37" t="inlineStr">
        <is>
          <t>10+</t>
        </is>
      </c>
      <c r="B53" s="42" t="inlineStr">
        <is>
          <t>Adjectives (order)</t>
        </is>
      </c>
      <c r="C53" s="11" t="inlineStr">
        <is>
          <t>7 кл.</t>
        </is>
      </c>
      <c r="D53" s="11" t="n">
        <v>1</v>
      </c>
      <c r="E53" s="11" t="n">
        <v>1</v>
      </c>
      <c r="F53" s="11" t="inlineStr">
        <is>
          <t>• узор (pattern) в порядке прилагательных</t>
        </is>
      </c>
      <c r="G53" s="11" t="inlineStr">
        <is>
          <t>с видео: 2</t>
        </is>
      </c>
    </row>
    <row r="54">
      <c r="A54" s="37" t="inlineStr">
        <is>
          <t>10+</t>
        </is>
      </c>
      <c r="B54" s="42" t="inlineStr">
        <is>
          <t>Conditionals (Type 0)</t>
        </is>
      </c>
      <c r="C54" s="11" t="inlineStr">
        <is>
          <t>7 кл.</t>
        </is>
      </c>
      <c r="D54" s="11" t="n">
        <v>1</v>
      </c>
      <c r="E54" s="11" t="n">
        <v>1</v>
      </c>
      <c r="F54" s="11" t="inlineStr">
        <is>
          <t>• when вместо if</t>
        </is>
      </c>
      <c r="G54" s="11" t="inlineStr">
        <is>
          <t>с видео: 2</t>
        </is>
      </c>
    </row>
    <row r="55">
      <c r="A55" s="37" t="inlineStr">
        <is>
          <t>10+</t>
        </is>
      </c>
      <c r="B55" s="42" t="inlineStr">
        <is>
          <t>Partitives (a bottle of…)</t>
        </is>
      </c>
      <c r="C55" s="11" t="inlineStr">
        <is>
          <t>7 кл.</t>
        </is>
      </c>
      <c r="D55" s="11" t="n">
        <v>1</v>
      </c>
      <c r="E55" s="11" t="n">
        <v>1</v>
      </c>
      <c r="F55" s="11" t="inlineStr">
        <is>
          <t>• мн. ч. — two bottles of, two loaves of</t>
        </is>
      </c>
      <c r="G55" s="11" t="inlineStr">
        <is>
          <t>с видео: 1</t>
        </is>
      </c>
    </row>
    <row r="56">
      <c r="A56" s="37" t="inlineStr">
        <is>
          <t>10+</t>
        </is>
      </c>
      <c r="B56" s="42" t="inlineStr">
        <is>
          <t>Past Continuous</t>
        </is>
      </c>
      <c r="C56" s="11" t="inlineStr">
        <is>
          <t>7 кл.</t>
        </is>
      </c>
      <c r="D56" s="11" t="n">
        <v>1</v>
      </c>
      <c r="E56" s="11" t="n">
        <v>1</v>
      </c>
      <c r="F56" s="11" t="inlineStr">
        <is>
          <t>• опущение второго was/were при одном подлежащем</t>
        </is>
      </c>
      <c r="G56" s="11" t="inlineStr">
        <is>
          <t>с видео: 5</t>
        </is>
      </c>
    </row>
    <row r="57">
      <c r="A57" s="37" t="inlineStr">
        <is>
          <t>10+</t>
        </is>
      </c>
      <c r="B57" s="42" t="inlineStr">
        <is>
          <t>Present Perfect vs Past Simple</t>
        </is>
      </c>
      <c r="C57" s="11" t="inlineStr">
        <is>
          <t>7 кл.</t>
        </is>
      </c>
      <c r="D57" s="11" t="n">
        <v>1</v>
      </c>
      <c r="E57" s="11" t="n">
        <v>1</v>
      </c>
      <c r="F57" s="11" t="inlineStr">
        <is>
          <t>• закончилось в прошлом vs длится до сих пор</t>
        </is>
      </c>
      <c r="G57" s="11" t="inlineStr">
        <is>
          <t>с видео: 1</t>
        </is>
      </c>
    </row>
    <row r="58">
      <c r="A58" s="37" t="inlineStr">
        <is>
          <t>10+</t>
        </is>
      </c>
      <c r="B58" s="42" t="inlineStr">
        <is>
          <t>Present Perfect vs Present Perfect Continuous</t>
        </is>
      </c>
      <c r="C58" s="11" t="inlineStr">
        <is>
          <t>7 кл.</t>
        </is>
      </c>
      <c r="D58" s="11" t="n">
        <v>1</v>
      </c>
      <c r="E58" s="11" t="n">
        <v>1</v>
      </c>
      <c r="F58" s="11" t="inlineStr">
        <is>
          <t>• эмоциональная окраска Continuous (раздражение)</t>
        </is>
      </c>
      <c r="G58" s="11" t="inlineStr">
        <is>
          <t>с видео: 3</t>
        </is>
      </c>
    </row>
    <row r="59">
      <c r="A59" s="37" t="inlineStr">
        <is>
          <t>10+</t>
        </is>
      </c>
      <c r="B59" s="42" t="inlineStr">
        <is>
          <t>should/shouldn't</t>
        </is>
      </c>
      <c r="C59" s="11" t="inlineStr">
        <is>
          <t>7 кл.</t>
        </is>
      </c>
      <c r="D59" s="11" t="n">
        <v>1</v>
      </c>
      <c r="E59" s="11" t="n">
        <v>1</v>
      </c>
      <c r="F59" s="11" t="inlineStr">
        <is>
          <t>• значение — вероятность ~90% (о будущем)</t>
        </is>
      </c>
      <c r="G59" s="11" t="inlineStr">
        <is>
          <t>с видео: 3, вебинар в расписании: 6</t>
        </is>
      </c>
    </row>
    <row r="60">
      <c r="A60" s="37" t="inlineStr">
        <is>
          <t>10+</t>
        </is>
      </c>
      <c r="B60" s="42" t="inlineStr">
        <is>
          <t>Passive Voice</t>
        </is>
      </c>
      <c r="C60" s="11" t="inlineStr">
        <is>
          <t>8 кл.</t>
        </is>
      </c>
      <c r="D60" s="11" t="n">
        <v>19</v>
      </c>
      <c r="E60" s="11" t="n">
        <v>19</v>
      </c>
      <c r="F60" s="11" t="inlineStr">
        <is>
          <t>• форма be + V3 — Present Simple и Past Simple
• Continuous (is/was being + V3)
• Present/Past Perfect (has/had been + V3)
• Future Simple (will be + V3)
• Future Perfect (will have been + V3)
• инфинитив и модальные (has to be / can be + V3)
• преобразование active → passive
• значение — исполнитель неизвестен/неважен/очевиден
• значение — действие важнее исполнителя (новости, инструкции, реклама)
• значение — уход от ответственности
• значение — акцент на исполнителе
• значение — формальность, вежливость
• by + исполнитель vs with + инструмент/материал
• когда агент опускается (they, people, someone…)
• глаголы без пассива (непереходные; have, fit, suit, resemble…)
• get вместо be
• глаголы с двумя дополнениями (give, offer, send…)
• by в вопросах с who/whom/which
• make/hear/see/help + to-inf в пассиве; see/hear/watch + -ing</t>
        </is>
      </c>
      <c r="G60" s="11" t="inlineStr"/>
    </row>
    <row r="61">
      <c r="A61" s="37" t="inlineStr">
        <is>
          <t>10+</t>
        </is>
      </c>
      <c r="B61" s="42" t="inlineStr">
        <is>
          <t>Phrasal verbs</t>
        </is>
      </c>
      <c r="C61" s="11" t="inlineStr">
        <is>
          <t>8 кл.</t>
        </is>
      </c>
      <c r="D61" s="11" t="n">
        <v>16</v>
      </c>
      <c r="E61" s="11" t="n">
        <v>16</v>
      </c>
      <c r="F61" s="11" t="inlineStr">
        <is>
          <t>• bring
• call
• give
• go
• put
• break
• carry
• come
• keep
• make
• run
• turn
• look
• pick
• do
• talk</t>
        </is>
      </c>
      <c r="G61" s="11" t="inlineStr">
        <is>
          <t>с видео: 4</t>
        </is>
      </c>
    </row>
    <row r="62">
      <c r="A62" s="37" t="inlineStr">
        <is>
          <t>10+</t>
        </is>
      </c>
      <c r="B62" s="42" t="inlineStr">
        <is>
          <t>Infinitive / -ing form</t>
        </is>
      </c>
      <c r="C62" s="11" t="inlineStr">
        <is>
          <t>8 кл.</t>
        </is>
      </c>
      <c r="D62" s="11" t="n">
        <v>15</v>
      </c>
      <c r="E62" s="11" t="n">
        <v>15</v>
      </c>
      <c r="F62" s="11" t="inlineStr">
        <is>
          <t>• в роли подлежащего
• после spend/waste/lose + время/деньги
• -ing vs bare infinitive после see, hear, watch, feel — незавершённое vs завершённое
• be/get used to + -ing vs used to + V
• после would like/prefer/love — конкретное предпочтение
• после too/enough
• после be the first/next/last
• устойчивые выражения (to tell you the truth, to be honest, to sum up…)
• вопросительное слово + to-inf (when to go)
• после существительных; so + adj + as to; only + to-inf; for + sb + to-inf
• второй инфинитив после and/or без to
• dare — с to и без
• после модальных, had better, would rather
• let/make/see/hear/feel + object + V; в пассиве + to (was made to)
• help + (to) V</t>
        </is>
      </c>
      <c r="G62" s="11" t="inlineStr">
        <is>
          <t>с видео: 7</t>
        </is>
      </c>
    </row>
    <row r="63">
      <c r="A63" s="37" t="inlineStr">
        <is>
          <t>10+</t>
        </is>
      </c>
      <c r="B63" s="42" t="inlineStr">
        <is>
          <t>Infinitive / -ing form (difference in meaning)</t>
        </is>
      </c>
      <c r="C63" s="11" t="inlineStr">
        <is>
          <t>8 кл.</t>
        </is>
      </c>
      <c r="D63" s="11" t="n">
        <v>12</v>
      </c>
      <c r="E63" s="11" t="n">
        <v>12</v>
      </c>
      <c r="F63" s="11" t="inlineStr">
        <is>
          <t>• forget/remember
• stop
• try
• regret
• mean
• go on
• hate
• want (My car wants cleaning)
• be sorry to / for -ing; be afraid to / of -ing
• begin, start, continue, intend
• advise, allow, encourage, permit, require + object + to-inf / + -ing; в пассиве только to-inf
• need/require/want + -ing / to be done (пассивное значение)</t>
        </is>
      </c>
      <c r="G63" s="11" t="inlineStr"/>
    </row>
    <row r="64">
      <c r="A64" s="37" t="inlineStr">
        <is>
          <t>10+</t>
        </is>
      </c>
      <c r="B64" s="42" t="inlineStr">
        <is>
          <t>Reported Speech</t>
        </is>
      </c>
      <c r="C64" s="11" t="inlineStr">
        <is>
          <t>8 кл.</t>
        </is>
      </c>
      <c r="D64" s="11" t="n">
        <v>9</v>
      </c>
      <c r="E64" s="11" t="n">
        <v>9</v>
      </c>
      <c r="F64" s="11" t="inlineStr">
        <is>
          <t>• прямая vs косвенная речь, that можно опустить
• say vs tell (say to sb, tell sb)
• say + to-inf; speak/talk about (не say about)
• устойчивые сочетания с say/tell/ask
• смена местоимений
• без сдвига времён — вводящий глагол в настоящем (up-to-date reporting)
• без сдвига времён — общие истины, условные 2/3 типа, wish, сразу после сказанного
• сдвиг времён (Present → Past, Past → Past Perfect, will → would)
• слова времени и места (now → then, yesterday → the day before…)</t>
        </is>
      </c>
      <c r="G64" s="11" t="inlineStr"/>
    </row>
    <row r="65">
      <c r="A65" s="37" t="inlineStr">
        <is>
          <t>10+</t>
        </is>
      </c>
      <c r="B65" s="42" t="inlineStr">
        <is>
          <t>Modal verbs (functions)</t>
        </is>
      </c>
      <c r="C65" s="11" t="inlineStr">
        <is>
          <t>8 кл.</t>
        </is>
      </c>
      <c r="D65" s="11" t="n">
        <v>8</v>
      </c>
      <c r="E65" s="11" t="n">
        <v>8</v>
      </c>
      <c r="F65" s="11" t="inlineStr">
        <is>
          <t>• вопрос и отрицание (инверсия, not)
• + простой инфинитив (наст./буд.) vs + перфектный инфинитив (прошлое)
• формы инфинитива — simple / continuous / perfect / perfect continuous
• значение — критика (could / should / ought to)
• значение — вероятность (will 100% vs should/ought to 90%)
• эквиваленты модальных (need, had better, have (got) to, be able to, used to)
• значение — предложения (offers/suggestions)
• обзор значений модальных (систематизация)</t>
        </is>
      </c>
      <c r="G65" s="11" t="inlineStr">
        <is>
          <t>с видео: 2</t>
        </is>
      </c>
    </row>
    <row r="66">
      <c r="A66" s="37" t="inlineStr">
        <is>
          <t>10+</t>
        </is>
      </c>
      <c r="B66" s="42" t="inlineStr">
        <is>
          <t>Reported Speech: modal verbs</t>
        </is>
      </c>
      <c r="C66" s="11" t="inlineStr">
        <is>
          <t>8 кл.</t>
        </is>
      </c>
      <c r="D66" s="11" t="n">
        <v>7</v>
      </c>
      <c r="E66" s="11" t="n">
        <v>7</v>
      </c>
      <c r="F66" s="11" t="inlineStr">
        <is>
          <t>• modal verbs: will/shall → would
• modal verbs: can → could / would be able to
• modal verbs: may → might/could
• modal verbs: shall → should / would / offered
• modal verbs: must → had to (обязанность) / must (вывод)
• modal verbs: needn't → didn't need to / didn't have to / wouldn't have to
• modal verbs: не меняются (would, could, used to, mustn't, should, might, ought to, had better)</t>
        </is>
      </c>
      <c r="G66" s="11" t="inlineStr"/>
    </row>
    <row r="67">
      <c r="A67" s="37" t="inlineStr">
        <is>
          <t>10+</t>
        </is>
      </c>
      <c r="B67" s="42" t="inlineStr">
        <is>
          <t>Modal verbs (deduction)</t>
        </is>
      </c>
      <c r="C67" s="11" t="inlineStr">
        <is>
          <t>8 кл.</t>
        </is>
      </c>
      <c r="D67" s="11" t="n">
        <v>6</v>
      </c>
      <c r="E67" s="11" t="n">
        <v>6</v>
      </c>
      <c r="F67" s="11" t="inlineStr">
        <is>
          <t>• must — уверенность (о настоящем)
• may/might/could — вероятность (о настоящем)
• can't/couldn't — невозможность (о настоящем)
• выводы о прошлом — must/may/might/could/can't + have V3
• вероятность — will (100%) vs should/ought to (90%)
• критика — could/should/ought to (+ have V3)</t>
        </is>
      </c>
      <c r="G67" s="11" t="inlineStr"/>
    </row>
    <row r="68">
      <c r="A68" s="37" t="inlineStr">
        <is>
          <t>10+</t>
        </is>
      </c>
      <c r="B68" s="42" t="inlineStr">
        <is>
          <t>Causative (have something done)</t>
        </is>
      </c>
      <c r="C68" s="11" t="inlineStr">
        <is>
          <t>8 кл.</t>
        </is>
      </c>
      <c r="D68" s="11" t="n">
        <v>5</v>
      </c>
      <c r="E68" s="11" t="n">
        <v>5</v>
      </c>
      <c r="F68" s="11" t="inlineStr">
        <is>
          <t>• have sth done в разных временах (Continuous, Perfect, Future)
• инфинитив, -ing и модальные (to have / having sth done)
• отрицания и вопросы с do/does/did
• get sth done вместо have
• значение — неприятное происшествие (had his car stolen)</t>
        </is>
      </c>
      <c r="G68" s="11" t="inlineStr">
        <is>
          <t>с видео: 2</t>
        </is>
      </c>
    </row>
    <row r="69">
      <c r="A69" s="37" t="inlineStr">
        <is>
          <t>10+</t>
        </is>
      </c>
      <c r="B69" s="42" t="inlineStr">
        <is>
          <t>Reported questions</t>
        </is>
      </c>
      <c r="C69" s="11" t="inlineStr">
        <is>
          <t>8 кл.</t>
        </is>
      </c>
      <c r="D69" s="11" t="n">
        <v>5</v>
      </c>
      <c r="E69" s="11" t="n">
        <v>5</v>
      </c>
      <c r="F69" s="11" t="inlineStr">
        <is>
          <t>• вводящие глаголы ask, inquire, wonder, want to know
• специальные вопросы — то же вопросительное слово
• общие вопросы — if/whether
• прямой порядок слов, без «?», без please/well/oh
• сдвиг времён, местоимений и слов времени</t>
        </is>
      </c>
      <c r="G69" s="11" t="inlineStr"/>
    </row>
    <row r="70">
      <c r="A70" s="37" t="inlineStr">
        <is>
          <t>10+</t>
        </is>
      </c>
      <c r="B70" s="42" t="inlineStr">
        <is>
          <t>Reported commands/requests</t>
        </is>
      </c>
      <c r="C70" s="11" t="inlineStr">
        <is>
          <t>8 кл.</t>
        </is>
      </c>
      <c r="D70" s="11" t="n">
        <v>4</v>
      </c>
      <c r="E70" s="11" t="n">
        <v>4</v>
      </c>
      <c r="F70" s="11" t="inlineStr">
        <is>
          <t>• приказы — order/tell + sb + (not) to-inf
• ask/beg + sb + (not) to-inf
• suggest + -ing / that sb (should) …
• advise + sb + (not) to-inf</t>
        </is>
      </c>
      <c r="G70" s="11" t="inlineStr"/>
    </row>
    <row r="71">
      <c r="A71" s="37" t="inlineStr">
        <is>
          <t>10+</t>
        </is>
      </c>
      <c r="B71" s="42" t="inlineStr">
        <is>
          <t>can/could (ability past)</t>
        </is>
      </c>
      <c r="C71" s="11" t="inlineStr">
        <is>
          <t>8 кл.</t>
        </is>
      </c>
      <c r="D71" s="11" t="n">
        <v>4</v>
      </c>
      <c r="E71" s="11" t="n">
        <v>4</v>
      </c>
      <c r="F71" s="11" t="inlineStr">
        <is>
          <t>• could — общая способность в прошлом
• was/were able to — способность в конкретной ситуации
• couldn't — неспособность в прошлом
• be able to в других временах (will be able to)</t>
        </is>
      </c>
      <c r="G71" s="11" t="inlineStr"/>
    </row>
    <row r="72">
      <c r="A72" s="37" t="inlineStr">
        <is>
          <t>10+</t>
        </is>
      </c>
      <c r="B72" s="42" t="inlineStr">
        <is>
          <t>may/might</t>
        </is>
      </c>
      <c r="C72" s="11" t="inlineStr">
        <is>
          <t>8 кл.</t>
        </is>
      </c>
      <c r="D72" s="11" t="n">
        <v>4</v>
      </c>
      <c r="E72" s="11" t="n">
        <v>4</v>
      </c>
      <c r="F72" s="11" t="inlineStr">
        <is>
          <t>• can — общая (теоретическая) возможность
• could/may/might — возможность в конкретной ситуации
• возможность в вопросах — can/could/might, но не may
• could/might/would + have V3 — было возможно, но не случилось</t>
        </is>
      </c>
      <c r="G72" s="11" t="inlineStr"/>
    </row>
    <row r="73">
      <c r="A73" s="37" t="inlineStr">
        <is>
          <t>10+</t>
        </is>
      </c>
      <c r="B73" s="42" t="inlineStr">
        <is>
          <t>Conditionals (Type 2)</t>
        </is>
      </c>
      <c r="C73" s="11" t="inlineStr">
        <is>
          <t>8 кл.</t>
        </is>
      </c>
      <c r="D73" s="11" t="n">
        <v>3</v>
      </c>
      <c r="E73" s="11" t="n">
        <v>3</v>
      </c>
      <c r="F73" s="11" t="inlineStr">
        <is>
          <t>• If + Past Continuous
• were/was для I, he, she, it
• If I were you — совет</t>
        </is>
      </c>
      <c r="G73" s="11" t="inlineStr">
        <is>
          <t>вебинар в расписании: 2</t>
        </is>
      </c>
    </row>
    <row r="74">
      <c r="A74" s="37" t="inlineStr">
        <is>
          <t>10+</t>
        </is>
      </c>
      <c r="B74" s="42" t="inlineStr">
        <is>
          <t>be/get used to</t>
        </is>
      </c>
      <c r="C74" s="11" t="inlineStr">
        <is>
          <t>8 кл.</t>
        </is>
      </c>
      <c r="D74" s="11" t="n">
        <v>3</v>
      </c>
      <c r="E74" s="11" t="n">
        <v>3</v>
      </c>
      <c r="F74" s="11" t="inlineStr">
        <is>
          <t>• be used to + -ing — привык
• get used to + -ing — привыкаю
• be/get used to vs used to + V (to — предлог vs частица)</t>
        </is>
      </c>
      <c r="G74" s="11" t="inlineStr"/>
    </row>
    <row r="75">
      <c r="A75" s="37" t="inlineStr">
        <is>
          <t>10+</t>
        </is>
      </c>
      <c r="B75" s="42" t="inlineStr">
        <is>
          <t>Past Perfect</t>
        </is>
      </c>
      <c r="C75" s="11" t="inlineStr">
        <is>
          <t>8 кл.</t>
        </is>
      </c>
      <c r="D75" s="11" t="n">
        <v>2</v>
      </c>
      <c r="E75" s="11" t="n">
        <v>2</v>
      </c>
      <c r="F75" s="11" t="inlineStr">
        <is>
          <t>• значение — завершённое действие с результатом в прошлом
• с before/after без разницы</t>
        </is>
      </c>
      <c r="G75" s="11" t="inlineStr">
        <is>
          <t>с видео: 2</t>
        </is>
      </c>
    </row>
    <row r="76">
      <c r="A76" s="37" t="inlineStr">
        <is>
          <t>10+</t>
        </is>
      </c>
      <c r="B76" s="42" t="inlineStr">
        <is>
          <t>Quantifiers</t>
        </is>
      </c>
      <c r="C76" s="11" t="inlineStr">
        <is>
          <t>8 кл.</t>
        </is>
      </c>
      <c r="D76" s="11" t="n">
        <v>2</v>
      </c>
      <c r="E76" s="11" t="n">
        <v>2</v>
      </c>
      <c r="F76" s="11" t="inlineStr">
        <is>
          <t>• a couple of, several + исчисляемые мн. ч.
• a great deal of, plenty of</t>
        </is>
      </c>
      <c r="G76" s="11" t="inlineStr">
        <is>
          <t>с видео: 5</t>
        </is>
      </c>
    </row>
    <row r="77">
      <c r="A77" s="37" t="inlineStr">
        <is>
          <t>10+</t>
        </is>
      </c>
      <c r="B77" s="42" t="inlineStr">
        <is>
          <t>have gone to / have been to / have been in</t>
        </is>
      </c>
      <c r="C77" s="11" t="inlineStr">
        <is>
          <t>8 кл.</t>
        </is>
      </c>
      <c r="D77" s="11" t="n">
        <v>2</v>
      </c>
      <c r="E77" s="11" t="n">
        <v>2</v>
      </c>
      <c r="F77" s="11" t="inlineStr">
        <is>
          <t>• уехал и не вернулся vs побывал
• находится там (в течение периода)</t>
        </is>
      </c>
      <c r="G77" s="11" t="inlineStr"/>
    </row>
    <row r="78">
      <c r="A78" s="37" t="inlineStr">
        <is>
          <t>10+</t>
        </is>
      </c>
      <c r="B78" s="42" t="inlineStr">
        <is>
          <t>too / enough</t>
        </is>
      </c>
      <c r="C78" s="11" t="inlineStr">
        <is>
          <t>8 кл.</t>
        </is>
      </c>
      <c r="D78" s="11" t="n">
        <v>2</v>
      </c>
      <c r="E78" s="11" t="n">
        <v>2</v>
      </c>
      <c r="F78" s="11" t="inlineStr">
        <is>
          <t>• enough / not enough + существительное
• too … / … enough + to-infinitive</t>
        </is>
      </c>
      <c r="G78" s="11" t="inlineStr">
        <is>
          <t>с видео: 2</t>
        </is>
      </c>
    </row>
    <row r="79">
      <c r="A79" s="37" t="inlineStr">
        <is>
          <t>10+</t>
        </is>
      </c>
      <c r="B79" s="42" t="inlineStr">
        <is>
          <t>Conditionals (Type 3)</t>
        </is>
      </c>
      <c r="C79" s="11" t="inlineStr">
        <is>
          <t>8 кл.</t>
        </is>
      </c>
      <c r="D79" s="11" t="n">
        <v>1</v>
      </c>
      <c r="E79" s="11" t="n">
        <v>1</v>
      </c>
      <c r="F79" s="11" t="inlineStr">
        <is>
          <t>• If + Past Perfect Continuous</t>
        </is>
      </c>
      <c r="G79" s="11" t="inlineStr">
        <is>
          <t>вебинар в расписании: 3</t>
        </is>
      </c>
    </row>
    <row r="80">
      <c r="A80" s="37" t="inlineStr">
        <is>
          <t>10+</t>
        </is>
      </c>
      <c r="B80" s="42" t="inlineStr">
        <is>
          <t>Dependent prepositions</t>
        </is>
      </c>
      <c r="C80" s="11" t="inlineStr">
        <is>
          <t>8 кл.</t>
        </is>
      </c>
      <c r="D80" s="11" t="n">
        <v>1</v>
      </c>
      <c r="E80" s="11" t="n">
        <v>1</v>
      </c>
      <c r="F80" s="11" t="inlineStr">
        <is>
          <t>• Dependent prepositions</t>
        </is>
      </c>
      <c r="G80" s="11" t="inlineStr"/>
    </row>
    <row r="81">
      <c r="A81" s="37" t="inlineStr">
        <is>
          <t>10+</t>
        </is>
      </c>
      <c r="B81" s="42" t="inlineStr">
        <is>
          <t>Past Perfect Continuous</t>
        </is>
      </c>
      <c r="C81" s="11" t="inlineStr">
        <is>
          <t>8 кл.</t>
        </is>
      </c>
      <c r="D81" s="11" t="n">
        <v>1</v>
      </c>
      <c r="E81" s="11" t="n">
        <v>1</v>
      </c>
      <c r="F81" s="11" t="inlineStr">
        <is>
          <t>• значение — длительное действие с видимым результатом в прошлом</t>
        </is>
      </c>
      <c r="G81" s="11" t="inlineStr">
        <is>
          <t>с видео: 2</t>
        </is>
      </c>
    </row>
    <row r="82">
      <c r="A82" s="37" t="inlineStr">
        <is>
          <t>10+</t>
        </is>
      </c>
      <c r="B82" s="42" t="inlineStr">
        <is>
          <t>Words often confused</t>
        </is>
      </c>
      <c r="C82" s="11" t="inlineStr">
        <is>
          <t>8 кл.</t>
        </is>
      </c>
      <c r="D82" s="11" t="n">
        <v>1</v>
      </c>
      <c r="E82" s="11" t="n">
        <v>1</v>
      </c>
      <c r="F82" s="11" t="inlineStr">
        <is>
          <t>• Words often confused</t>
        </is>
      </c>
      <c r="G82" s="11" t="inlineStr"/>
    </row>
    <row r="83">
      <c r="A83" s="37" t="inlineStr">
        <is>
          <t>10+</t>
        </is>
      </c>
      <c r="B83" s="42" t="inlineStr">
        <is>
          <t>Clauses of purpose</t>
        </is>
      </c>
      <c r="C83" s="11" t="inlineStr">
        <is>
          <t>9 кл.</t>
        </is>
      </c>
      <c r="D83" s="11" t="n">
        <v>9</v>
      </c>
      <c r="E83" s="11" t="n">
        <v>9</v>
      </c>
      <c r="F83" s="11" t="inlineStr">
        <is>
          <t>• to / in order to / so as to + infinitive
• so that + can/will, could/would
• with the view to / with the aim of + -ing
• for + noun/-ing (назначение предмета)
• in case + Present / Past
• отрицательная цель — so as not / in order not to
• отрицательная цель — so that + can't/won't, couldn't/wouldn't
• for fear / lest; for fear of
• prevent … (from) + -ing / avoid + -ing</t>
        </is>
      </c>
      <c r="G83" s="11" t="inlineStr"/>
    </row>
    <row r="84">
      <c r="A84" s="37" t="inlineStr">
        <is>
          <t>10+</t>
        </is>
      </c>
      <c r="B84" s="42" t="inlineStr">
        <is>
          <t>Inversion</t>
        </is>
      </c>
      <c r="C84" s="11" t="inlineStr">
        <is>
          <t>9 кл.</t>
        </is>
      </c>
      <c r="D84" s="11" t="n">
        <v>8</v>
      </c>
      <c r="E84" s="11" t="n">
        <v>8</v>
      </c>
      <c r="F84" s="11" t="inlineStr">
        <is>
          <t>• условные без if — Should/Were/Had + подлежащее
• эмфатическая — форма (вспомогательный / do, does, did + подлежащее)
• после отрицательных наречий в начале (Never, Rarely, Seldom, Little, Hardly… when, No sooner… than, Not only… but also)
• после Only after/by/when/then, Not till/until, Not since — в главном предложении
• после So/Such в начале (результат)
• согласие после as, so, neither/nor
• смысловой глагол после Here/There (There goes the bus — НО There it goes)
• в прямой речи после цитаты (said Bill — НО he said)</t>
        </is>
      </c>
      <c r="G84" s="11" t="inlineStr"/>
    </row>
    <row r="85">
      <c r="A85" s="37" t="inlineStr">
        <is>
          <t>10+</t>
        </is>
      </c>
      <c r="B85" s="42" t="inlineStr">
        <is>
          <t>Reporting verbs</t>
        </is>
      </c>
      <c r="C85" s="11" t="inlineStr">
        <is>
          <t>9 кл.</t>
        </is>
      </c>
      <c r="D85" s="11" t="n">
        <v>6</v>
      </c>
      <c r="E85" s="11" t="n">
        <v>6</v>
      </c>
      <c r="F85" s="11" t="inlineStr">
        <is>
          <t>• + to-inf (agree, claim, offer, promise, refuse, threaten…)
• + sb + to-inf (advise, allow, encourage, order, remind, warn…)
• + (предлог +) -ing (accuse sb of, apologise for, deny, insist on, suggest…)
• + that-clause (agree, claim, explain, inform sb, promise…)
• explain/wonder + вопросительное слово (+ to-inf / clause)
• пересказ диалогов — связки, восклицания, краткие ответы, question tags</t>
        </is>
      </c>
      <c r="G85" s="11" t="inlineStr"/>
    </row>
    <row r="86">
      <c r="A86" s="37" t="inlineStr">
        <is>
          <t>10+</t>
        </is>
      </c>
      <c r="B86" s="42" t="inlineStr">
        <is>
          <t>Conditional linkers (unless, provided…)</t>
        </is>
      </c>
      <c r="C86" s="11" t="inlineStr">
        <is>
          <t>9 кл.</t>
        </is>
      </c>
      <c r="D86" s="11" t="n">
        <v>5</v>
      </c>
      <c r="E86" s="11" t="n">
        <v>5</v>
      </c>
      <c r="F86" s="11" t="inlineStr">
        <is>
          <t>• unless, provided/providing (that), as long as, on condition (that)
• but for, otherwise, or else
• what if, supposing, even if
• only if (+ инверсия в главном предложении)
• will/would/should в if-части (просьба, раздражение, сомнение)</t>
        </is>
      </c>
      <c r="G86" s="11" t="inlineStr"/>
    </row>
    <row r="87">
      <c r="A87" s="37" t="inlineStr">
        <is>
          <t>10+</t>
        </is>
      </c>
      <c r="B87" s="42" t="inlineStr">
        <is>
          <t>Indefinite pronouns (some-/any-/no-/every-)</t>
        </is>
      </c>
      <c r="C87" s="11" t="inlineStr">
        <is>
          <t>9 кл.</t>
        </is>
      </c>
      <c r="D87" s="11" t="n">
        <v>5</v>
      </c>
      <c r="E87" s="11" t="n">
        <v>5</v>
      </c>
      <c r="F87" s="11" t="inlineStr">
        <is>
          <t>• some/any/no + неисчисляемые и мн. ч.
• some- в вопросах — предложения и просьбы
• any в утверждении = «любой, неважно кто/что»
• every + ед. ч.; everybody, everything, everywhere
• глагол после производных — в ед. ч.</t>
        </is>
      </c>
      <c r="G87" s="11" t="inlineStr">
        <is>
          <t>с видео: 6</t>
        </is>
      </c>
    </row>
    <row r="88">
      <c r="A88" s="37" t="inlineStr">
        <is>
          <t>10+</t>
        </is>
      </c>
      <c r="B88" s="42" t="inlineStr">
        <is>
          <t>Wishes (I wish / If only)</t>
        </is>
      </c>
      <c r="C88" s="11" t="inlineStr">
        <is>
          <t>9 кл.</t>
        </is>
      </c>
      <c r="D88" s="11" t="n">
        <v>5</v>
      </c>
      <c r="E88" s="11" t="n">
        <v>5</v>
      </c>
      <c r="F88" s="11" t="inlineStr">
        <is>
          <t>• I wish / If only + Past Simple/Continuous — желание изменить настоящее
• I wish / If only + Past Perfect — сожаление о прошлом
• I wish / If only + would + V — раздражение, просьба изменить поведение
• were вместо was
• If only vs I wish — эмоциональность</t>
        </is>
      </c>
      <c r="G88" s="11" t="inlineStr"/>
    </row>
    <row r="89">
      <c r="A89" s="37" t="inlineStr">
        <is>
          <t>10+</t>
        </is>
      </c>
      <c r="B89" s="42" t="inlineStr">
        <is>
          <t>Clauses of result</t>
        </is>
      </c>
      <c r="C89" s="11" t="inlineStr">
        <is>
          <t>9 кл.</t>
        </is>
      </c>
      <c r="D89" s="11" t="n">
        <v>3</v>
      </c>
      <c r="E89" s="11" t="n">
        <v>3</v>
      </c>
      <c r="F89" s="11" t="inlineStr">
        <is>
          <t>• such … that
• so … that
• as a result / as a consequence / consequently / therefore / so</t>
        </is>
      </c>
      <c r="G89" s="11" t="inlineStr"/>
    </row>
    <row r="90">
      <c r="A90" s="37" t="inlineStr">
        <is>
          <t>10+</t>
        </is>
      </c>
      <c r="B90" s="42" t="inlineStr">
        <is>
          <t>Expressing preference (prefer / would rather)</t>
        </is>
      </c>
      <c r="C90" s="11" t="inlineStr">
        <is>
          <t>9 кл.</t>
        </is>
      </c>
      <c r="D90" s="11" t="n">
        <v>3</v>
      </c>
      <c r="E90" s="11" t="n">
        <v>3</v>
      </c>
      <c r="F90" s="11" t="inlineStr">
        <is>
          <t>• prefer + to-inf rather than + bare inf
• I'd prefer + to-inf / noun (rather than) — конкретное предпочтение
• I'd rather + bare inf (than + bare inf)</t>
        </is>
      </c>
      <c r="G90" s="11" t="inlineStr">
        <is>
          <t>с видео: 1</t>
        </is>
      </c>
    </row>
    <row r="91">
      <c r="A91" s="37" t="inlineStr">
        <is>
          <t>10+</t>
        </is>
      </c>
      <c r="B91" s="42" t="inlineStr">
        <is>
          <t>so / such</t>
        </is>
      </c>
      <c r="C91" s="11" t="inlineStr">
        <is>
          <t>9 кл.</t>
        </is>
      </c>
      <c r="D91" s="11" t="n">
        <v>3</v>
      </c>
      <c r="E91" s="11" t="n">
        <v>3</v>
      </c>
      <c r="F91" s="11" t="inlineStr">
        <is>
          <t>• so + прил./нареч.; so + many/much/few/little + сущ.
• such (a/an) + (прил.) + сущ.; such a lot of
• so + прил. + a(n) + сущ.</t>
        </is>
      </c>
      <c r="G91" s="11" t="inlineStr"/>
    </row>
    <row r="92">
      <c r="A92" s="37" t="inlineStr">
        <is>
          <t>10+</t>
        </is>
      </c>
      <c r="B92" s="42" t="inlineStr">
        <is>
          <t>Determiners (every/each)</t>
        </is>
      </c>
      <c r="C92" s="11" t="inlineStr">
        <is>
          <t>9 кл.</t>
        </is>
      </c>
      <c r="D92" s="11" t="n">
        <v>2</v>
      </c>
      <c r="E92" s="11" t="n">
        <v>2</v>
      </c>
      <c r="F92" s="11" t="inlineStr">
        <is>
          <t>• every vs each — о двух vs о трёх и более
• each (one) of / every one of</t>
        </is>
      </c>
      <c r="G92" s="11" t="inlineStr">
        <is>
          <t>с видео: 2</t>
        </is>
      </c>
    </row>
    <row r="93">
      <c r="A93" s="37" t="inlineStr">
        <is>
          <t>10+</t>
        </is>
      </c>
      <c r="B93" s="42" t="inlineStr">
        <is>
          <t>Future Continuous</t>
        </is>
      </c>
      <c r="C93" s="11" t="inlineStr">
        <is>
          <t>9 кл.</t>
        </is>
      </c>
      <c r="D93" s="11" t="n">
        <v>2</v>
      </c>
      <c r="E93" s="11" t="n">
        <v>2</v>
      </c>
      <c r="F93" s="11" t="inlineStr">
        <is>
          <t>• значение — по распорядку/договорённости
• значение — вежливый вопрос о планах</t>
        </is>
      </c>
      <c r="G93" s="11" t="inlineStr">
        <is>
          <t>с видео: 2</t>
        </is>
      </c>
    </row>
    <row r="94">
      <c r="A94" s="37" t="inlineStr">
        <is>
          <t>10+</t>
        </is>
      </c>
      <c r="B94" s="42" t="inlineStr">
        <is>
          <t>would (past habits)</t>
        </is>
      </c>
      <c r="C94" s="11" t="inlineStr">
        <is>
          <t>9 кл.</t>
        </is>
      </c>
      <c r="D94" s="11" t="n">
        <v>2</v>
      </c>
      <c r="E94" s="11" t="n">
        <v>2</v>
      </c>
      <c r="F94" s="11" t="inlineStr">
        <is>
          <t>• значение — повторяющиеся действия в прошлом (would + V)
• прошлые состояния — только used to</t>
        </is>
      </c>
      <c r="G94" s="11" t="inlineStr"/>
    </row>
    <row r="95">
      <c r="A95" s="37" t="inlineStr">
        <is>
          <t>10+</t>
        </is>
      </c>
      <c r="B95" s="42" t="inlineStr">
        <is>
          <t>Exclamations</t>
        </is>
      </c>
      <c r="C95" s="11" t="inlineStr">
        <is>
          <t>9 кл.</t>
        </is>
      </c>
      <c r="D95" s="11" t="n">
        <v>1</v>
      </c>
      <c r="E95" s="11" t="n">
        <v>1</v>
      </c>
      <c r="F95" s="11" t="inlineStr">
        <is>
          <t>• отрицательный вопрос (Isn't it great…!)</t>
        </is>
      </c>
      <c r="G95" s="11" t="inlineStr">
        <is>
          <t>вебинар в расписании: 3</t>
        </is>
      </c>
    </row>
    <row r="96">
      <c r="A96" s="37" t="inlineStr">
        <is>
          <t>10+</t>
        </is>
      </c>
      <c r="B96" s="42" t="inlineStr">
        <is>
          <t>Like / As</t>
        </is>
      </c>
      <c r="C96" s="11" t="inlineStr">
        <is>
          <t>10 кл.</t>
        </is>
      </c>
      <c r="D96" s="11" t="n">
        <v>3</v>
      </c>
      <c r="E96" s="11" t="n">
        <v>3</v>
      </c>
      <c r="F96" s="11" t="inlineStr">
        <is>
          <t>• like — сходство; после feel, look, smell, taste, sound
• as — роль, профессия; после regard, describe, be known; as usual, such as, the same as
• like vs as — сходство vs реальная роль</t>
        </is>
      </c>
      <c r="G96" s="11" t="inlineStr"/>
    </row>
    <row r="97">
      <c r="A97" s="37" t="inlineStr">
        <is>
          <t>10+</t>
        </is>
      </c>
      <c r="B97" s="42" t="inlineStr">
        <is>
          <t>Semi-modals</t>
        </is>
      </c>
      <c r="C97" s="11" t="inlineStr">
        <is>
          <t>11 кл.</t>
        </is>
      </c>
      <c r="D97" s="11" t="n">
        <v>4</v>
      </c>
      <c r="E97" s="11" t="n">
        <v>4</v>
      </c>
      <c r="F97" s="11" t="inlineStr">
        <is>
          <t>• need (= must), have (got) to (= must)
• had better (= should)
• be able to (= can)
• used to (= would)</t>
        </is>
      </c>
      <c r="G97" s="11" t="inlineStr"/>
    </row>
    <row r="98">
      <c r="A98" s="37" t="inlineStr">
        <is>
          <t>10+</t>
        </is>
      </c>
      <c r="B98" s="42" t="inlineStr">
        <is>
          <t>Clauses of reason</t>
        </is>
      </c>
      <c r="C98" s="11" t="inlineStr">
        <is>
          <t>11 кл.</t>
        </is>
      </c>
      <c r="D98" s="11" t="n">
        <v>3</v>
      </c>
      <c r="E98" s="11" t="n">
        <v>3</v>
      </c>
      <c r="F98" s="11" t="inlineStr">
        <is>
          <t>• as / because / for / on the grounds that
• the reason for / the reason (why)
• because of / due to (+ the fact that)</t>
        </is>
      </c>
      <c r="G98" s="11" t="inlineStr"/>
    </row>
    <row r="99">
      <c r="A99" s="37" t="inlineStr">
        <is>
          <t>10+</t>
        </is>
      </c>
      <c r="B99" s="42" t="inlineStr">
        <is>
          <t>must/have to (obligation)</t>
        </is>
      </c>
      <c r="C99" s="11" t="inlineStr">
        <is>
          <t>11 кл.</t>
        </is>
      </c>
      <c r="D99" s="11" t="n">
        <v>3</v>
      </c>
      <c r="E99" s="11" t="n">
        <v>3</v>
      </c>
      <c r="F99" s="11" t="inlineStr">
        <is>
          <t>• must vs have to — субъективная vs объективная необходимость
• had to — прошедшее для must и have to
• should/ought to — долг, слабая обязанность</t>
        </is>
      </c>
      <c r="G99" s="11" t="inlineStr"/>
    </row>
    <row r="100">
      <c r="A100" s="37" t="inlineStr">
        <is>
          <t>10+</t>
        </is>
      </c>
      <c r="B100" s="42" t="inlineStr">
        <is>
          <t>So / Neither / Nor (agreement)</t>
        </is>
      </c>
      <c r="C100" s="11" t="inlineStr">
        <is>
          <t>11 кл.</t>
        </is>
      </c>
      <c r="D100" s="11" t="n">
        <v>2</v>
      </c>
      <c r="E100" s="11" t="n">
        <v>2</v>
      </c>
      <c r="F100" s="11" t="inlineStr">
        <is>
          <t>• So + aux + подлежащее — к утверждению
• Neither/Nor + aux + подлежащее — к отрицанию</t>
        </is>
      </c>
      <c r="G100" s="11" t="inlineStr"/>
    </row>
    <row r="101">
      <c r="A101" s="37" t="inlineStr">
        <is>
          <t>10+</t>
        </is>
      </c>
      <c r="B101" s="42" t="inlineStr">
        <is>
          <t>Determiners (both/either/neither/all/none)</t>
        </is>
      </c>
      <c r="C101" s="11" t="inlineStr">
        <is>
          <t>11 кл.</t>
        </is>
      </c>
      <c r="D101" s="11" t="n">
        <v>1</v>
      </c>
      <c r="E101" s="11" t="n">
        <v>1</v>
      </c>
      <c r="F101" s="11" t="inlineStr">
        <is>
          <t>• both/neither vs all/none — о двух vs о многих</t>
        </is>
      </c>
      <c r="G101" s="11" t="inlineStr">
        <is>
          <t>с видео: 5</t>
        </is>
      </c>
    </row>
    <row r="102">
      <c r="A102" s="37" t="inlineStr">
        <is>
          <t>10+</t>
        </is>
      </c>
      <c r="B102" s="42" t="inlineStr">
        <is>
          <t>Prepositions in relative clauses</t>
        </is>
      </c>
      <c r="C102" s="11" t="inlineStr">
        <is>
          <t>11 кл.</t>
        </is>
      </c>
      <c r="D102" s="11" t="n">
        <v>1</v>
      </c>
      <c r="E102" s="11" t="n">
        <v>0</v>
      </c>
      <c r="F102" s="11" t="inlineStr">
        <is>
          <t>• предлог + whom/which (that невозможен)</t>
        </is>
      </c>
      <c r="G102" s="11" t="inlineStr"/>
    </row>
    <row r="103">
      <c r="A103" s="37" t="inlineStr">
        <is>
          <t>10+</t>
        </is>
      </c>
      <c r="B103" s="42" t="inlineStr">
        <is>
          <t>Relative adverbs</t>
        </is>
      </c>
      <c r="C103" s="11" t="inlineStr">
        <is>
          <t>11 кл.</t>
        </is>
      </c>
      <c r="D103" s="11" t="n">
        <v>1</v>
      </c>
      <c r="E103" s="11" t="n">
        <v>0</v>
      </c>
      <c r="F103" s="11" t="inlineStr">
        <is>
          <t>• when/that — время</t>
        </is>
      </c>
      <c r="G103" s="11" t="inlineStr">
        <is>
          <t>вебинар в расписании: 2</t>
        </is>
      </c>
    </row>
  </sheetData>
  <autoFilter ref="A1:G103"/>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0" customWidth="1" min="1" max="1"/>
    <col width="16" customWidth="1" min="2" max="2"/>
    <col width="12" customWidth="1" min="3" max="3"/>
    <col width="11" customWidth="1" min="4" max="4"/>
    <col width="14" customWidth="1" min="5" max="5"/>
    <col width="16" customWidth="1" min="6" max="6"/>
    <col width="11" customWidth="1" min="7" max="7"/>
    <col width="10" customWidth="1" min="8" max="8"/>
    <col width="13" customWidth="1" min="9" max="9"/>
    <col width="20" customWidth="1" min="10" max="10"/>
  </cols>
  <sheetData>
    <row r="1">
      <c r="A1" s="3" t="inlineStr">
        <is>
          <t>Группа</t>
        </is>
      </c>
      <c r="B1" s="3" t="inlineStr">
        <is>
          <t>Классы</t>
        </is>
      </c>
      <c r="C1" s="3" t="inlineStr">
        <is>
          <t>Уроков сделать</t>
        </is>
      </c>
      <c r="D1" s="3" t="inlineStr">
        <is>
          <t>Есть видео (зелёные)</t>
        </is>
      </c>
      <c r="E1" s="3" t="inlineStr">
        <is>
          <t>Вебинар в расписании (жёлтые)</t>
        </is>
      </c>
      <c r="F1" s="3" t="inlineStr">
        <is>
          <t>Только материалы (оранжевые)</t>
        </is>
      </c>
      <c r="G1" s="3" t="inlineStr">
        <is>
          <t>Ничего нет (красные)</t>
        </is>
      </c>
      <c r="H1" s="3" t="inlineStr">
        <is>
          <t>Готовы</t>
        </is>
      </c>
      <c r="I1" s="3" t="inlineStr">
        <is>
          <t>Опубликованы</t>
        </is>
      </c>
      <c r="J1" s="3" t="inlineStr">
        <is>
          <t>Мест в папках (урок × класс × модуль)</t>
        </is>
      </c>
    </row>
    <row r="2">
      <c r="A2" s="32" t="inlineStr">
        <is>
          <t>7–9</t>
        </is>
      </c>
      <c r="B2" s="11" t="inlineStr">
        <is>
          <t>3, 4</t>
        </is>
      </c>
      <c r="C2" s="11">
        <f>COUNTIF('Уроки'!B:B,"7–9")</f>
        <v/>
      </c>
      <c r="D2" s="11">
        <f>COUNTIFS('Уроки'!B:B,"7–9",'Уроки'!H:H,"видео")</f>
        <v/>
      </c>
      <c r="E2" s="11">
        <f>COUNTIFS('Уроки'!B:B,"7–9",'Уроки'!H:H,"вебинар")</f>
        <v/>
      </c>
      <c r="F2" s="11">
        <f>COUNTIFS('Уроки'!B:B,"7–9",'Уроки'!H:H,"материалы")</f>
        <v/>
      </c>
      <c r="G2" s="11">
        <f>COUNTIFS('Уроки'!B:B,"7–9",'Уроки'!H:H,"нет")</f>
        <v/>
      </c>
      <c r="H2" s="11">
        <f>COUNTIFS('Уроки'!B:B,"7–9",'Уроки'!J:J,"готов*")</f>
        <v/>
      </c>
      <c r="I2" s="11">
        <f>COUNTIFS('Уроки'!B:B,"7–9",'Уроки'!J:J,"опубликован")</f>
        <v/>
      </c>
      <c r="J2" s="11">
        <f>COUNTIF('Папки уроков'!I:I,"7–9")</f>
        <v/>
      </c>
    </row>
    <row r="3">
      <c r="A3" s="37" t="inlineStr">
        <is>
          <t>10+</t>
        </is>
      </c>
      <c r="B3" s="11" t="inlineStr">
        <is>
          <t>5, 6, 7, 8, 9, 10, 11</t>
        </is>
      </c>
      <c r="C3" s="11">
        <f>COUNTIF('Уроки'!B:B,"10+")</f>
        <v/>
      </c>
      <c r="D3" s="11">
        <f>COUNTIFS('Уроки'!B:B,"10+",'Уроки'!H:H,"видео")</f>
        <v/>
      </c>
      <c r="E3" s="11">
        <f>COUNTIFS('Уроки'!B:B,"10+",'Уроки'!H:H,"вебинар")</f>
        <v/>
      </c>
      <c r="F3" s="11">
        <f>COUNTIFS('Уроки'!B:B,"10+",'Уроки'!H:H,"материалы")</f>
        <v/>
      </c>
      <c r="G3" s="11">
        <f>COUNTIFS('Уроки'!B:B,"10+",'Уроки'!H:H,"нет")</f>
        <v/>
      </c>
      <c r="H3" s="11">
        <f>COUNTIFS('Уроки'!B:B,"10+",'Уроки'!J:J,"готов*")</f>
        <v/>
      </c>
      <c r="I3" s="11">
        <f>COUNTIFS('Уроки'!B:B,"10+",'Уроки'!J:J,"опубликован")</f>
        <v/>
      </c>
      <c r="J3" s="11">
        <f>COUNTIF('Папки уроков'!I:I,"10+")</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2026-10-12T11:20:55Z</dcterms:created>
  <dcterms:modified xmlns:dcterms="http://purl.org/dc/terms/" xmlns:xsi="http://www.w3.org/2001/XMLSchema-instance" xsi:type="dcterms:W3CDTF">2026-10-12T11:20:59Z</dcterms:modified>
</cp:coreProperties>
</file>