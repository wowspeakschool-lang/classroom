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Папки уроков" sheetId="3" state="visible" r:id="rId3"/>
    <sheet xmlns:r="http://schemas.openxmlformats.org/officeDocument/2006/relationships" name="Итоги" sheetId="4" state="visible" r:id="rId4"/>
  </sheets>
  <definedNames>
    <definedName name="_xlnm._FilterDatabase" localSheetId="1" hidden="1">'Темы × классы'!$A$1:$S$158</definedName>
    <definedName name="_xlnm._FilterDatabase" localSheetId="2" hidden="1">'Папки уроков'!$A$1:$I$480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6">
    <fill>
      <patternFill/>
    </fill>
    <fill>
      <patternFill patternType="gray125"/>
    </fill>
    <fill>
      <patternFill patternType="solid">
        <fgColor rgb="002F5597"/>
      </patternFill>
    </fill>
    <fill>
      <patternFill patternType="solid">
        <fgColor rgb="00FCE4D6"/>
      </patternFill>
    </fill>
    <fill>
      <patternFill patternType="solid">
        <fgColor rgb="00DDEBF7"/>
      </patternFill>
    </fill>
    <fill>
      <patternFill patternType="solid">
        <fgColor rgb="00EDEDED"/>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0" fillId="3" borderId="1" applyAlignment="1" pivotButton="0" quotePrefix="0" xfId="0">
      <alignment horizontal="center" vertical="top" wrapText="1"/>
    </xf>
    <xf numFmtId="0" fontId="0" fillId="4" borderId="1" applyAlignment="1" pivotButton="0" quotePrefix="0" xfId="0">
      <alignment horizontal="center" vertical="top" wrapText="1"/>
    </xf>
    <xf numFmtId="0" fontId="0" fillId="0" borderId="1" applyAlignment="1" pivotButton="0" quotePrefix="0" xfId="0">
      <alignment horizontal="center" vertical="top"/>
    </xf>
    <xf numFmtId="0" fontId="0" fillId="5" borderId="1" applyAlignment="1" pivotButton="0" quotePrefix="0" xfId="0">
      <alignment horizontal="center" vertical="top"/>
    </xf>
    <xf numFmtId="0" fontId="0" fillId="5"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 все темы, из которых будут уроки-папки. Строка = тема; в колонке класса — модули (и урок), где она есть в учебнике. Цвет клетки = возрастная группа вебинара.</t>
        </is>
      </c>
    </row>
    <row r="4">
      <c r="A4" s="2" t="inlineStr">
        <is>
          <t>Группы вебинаров: 7–9 лет = 1–3 класс → Spotlight 2–3 (Spotlight начинается со 2 класса; у 2 класса нет грамматического справочника, поэтому в таблице он пуст). 10+ = Spotlight 4–11. 4 класс (9–10 лет) отнесён к 10+.</t>
        </is>
      </c>
    </row>
    <row r="5">
      <c r="A5" s="2" t="inlineStr">
        <is>
          <t>Колонки «Видео 7–9» и «Видео 10+»: «есть» / «нет» (выпадающий список), рядом — название или ссылка вебинара. «—» значит, что темы для этой группы нет.</t>
        </is>
      </c>
    </row>
    <row r="6">
      <c r="A6" s="2" t="inlineStr">
        <is>
          <t>«Папки уроков» — будущая структура: Spotlight / класс / модуль / тема. Отметка о видео подтягивается из «Темы × классы» сама.</t>
        </is>
      </c>
    </row>
    <row r="7">
      <c r="A7" s="2" t="inlineStr">
        <is>
          <t>«Итоги» — сколько тем нужно каждой группе, у скольких уже есть видео и сколько понедельников (по одному вебинару на группу) нужно на остальные.</t>
        </is>
      </c>
    </row>
    <row r="8">
      <c r="A8" s="2" t="inlineStr"/>
    </row>
    <row r="9">
      <c r="A9" s="2" t="inlineStr">
        <is>
          <t>Источник тем — лист «Сводка по темам» в Spotlight_грамматика.xlsx: грамматика из справочника, Use of English из оглавления и приложений.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8"/>
  <sheetViews>
    <sheetView workbookViewId="0">
      <pane xSplit="4" ySplit="1" topLeftCell="E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3" customWidth="1" min="2" max="2"/>
    <col width="20" customWidth="1" min="3" max="3"/>
    <col width="34" customWidth="1" min="4" max="4"/>
    <col width="9"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0" customWidth="1" min="15" max="15"/>
    <col width="30" customWidth="1" min="16" max="16"/>
    <col width="10" customWidth="1" min="17" max="17"/>
    <col width="30" customWidth="1" min="18" max="18"/>
    <col width="30" customWidth="1" min="19" max="19"/>
  </cols>
  <sheetData>
    <row r="1">
      <c r="A1" s="3" t="inlineStr">
        <is>
          <t>№</t>
        </is>
      </c>
      <c r="B1" s="3" t="inlineStr">
        <is>
          <t>Блок</t>
        </is>
      </c>
      <c r="C1" s="3" t="inlineStr">
        <is>
          <t>Категория</t>
        </is>
      </c>
      <c r="D1" s="3" t="inlineStr">
        <is>
          <t>Тема</t>
        </is>
      </c>
      <c r="E1" s="3" t="inlineStr">
        <is>
          <t>Группы</t>
        </is>
      </c>
      <c r="F1" s="3" t="inlineStr">
        <is>
          <t>3 кл.</t>
        </is>
      </c>
      <c r="G1" s="3" t="inlineStr">
        <is>
          <t>4 кл.</t>
        </is>
      </c>
      <c r="H1" s="3" t="inlineStr">
        <is>
          <t>5 кл.</t>
        </is>
      </c>
      <c r="I1" s="3" t="inlineStr">
        <is>
          <t>6 кл.</t>
        </is>
      </c>
      <c r="J1" s="3" t="inlineStr">
        <is>
          <t>7 кл.</t>
        </is>
      </c>
      <c r="K1" s="3" t="inlineStr">
        <is>
          <t>8 кл.</t>
        </is>
      </c>
      <c r="L1" s="3" t="inlineStr">
        <is>
          <t>9 кл.</t>
        </is>
      </c>
      <c r="M1" s="3" t="inlineStr">
        <is>
          <t>10 кл.</t>
        </is>
      </c>
      <c r="N1" s="3" t="inlineStr">
        <is>
          <t>11 кл.</t>
        </is>
      </c>
      <c r="O1" s="3" t="inlineStr">
        <is>
          <t>Видео 7–9</t>
        </is>
      </c>
      <c r="P1" s="3" t="inlineStr">
        <is>
          <t>Вебинар 7–9 (название / ссылка)</t>
        </is>
      </c>
      <c r="Q1" s="3" t="inlineStr">
        <is>
          <t>Видео 10+</t>
        </is>
      </c>
      <c r="R1" s="3" t="inlineStr">
        <is>
          <t>Вебинар 10+ (название / ссылка)</t>
        </is>
      </c>
      <c r="S1" s="3" t="inlineStr">
        <is>
          <t>Комментарий</t>
        </is>
      </c>
    </row>
    <row r="2">
      <c r="A2" s="4" t="n">
        <v>1</v>
      </c>
      <c r="B2" s="4" t="inlineStr">
        <is>
          <t>Грамматика</t>
        </is>
      </c>
      <c r="C2" s="4" t="inlineStr">
        <is>
          <t>Глаголы: времена</t>
        </is>
      </c>
      <c r="D2" s="5" t="inlineStr">
        <is>
          <t>Past Simple</t>
        </is>
      </c>
      <c r="E2" s="4" t="inlineStr">
        <is>
          <t>обе</t>
        </is>
      </c>
      <c r="F2" s="6" t="inlineStr">
        <is>
          <t>М4
М5</t>
        </is>
      </c>
      <c r="G2" s="7" t="inlineStr">
        <is>
          <t>М6
М7</t>
        </is>
      </c>
      <c r="H2" s="7" t="inlineStr">
        <is>
          <t>М9 (9b)
М9 (9c)</t>
        </is>
      </c>
      <c r="I2" s="7" t="inlineStr">
        <is>
          <t>М7 (7a)
М7 (7b)</t>
        </is>
      </c>
      <c r="J2" s="7" t="inlineStr">
        <is>
          <t>М2</t>
        </is>
      </c>
      <c r="K2" s="7" t="inlineStr">
        <is>
          <t>М1 (1c)</t>
        </is>
      </c>
      <c r="L2" s="7" t="inlineStr">
        <is>
          <t>М3 (3c)</t>
        </is>
      </c>
      <c r="M2" s="7" t="inlineStr">
        <is>
          <t>М5 (5c)</t>
        </is>
      </c>
      <c r="N2" s="7" t="inlineStr">
        <is>
          <t>М1 (1c)</t>
        </is>
      </c>
      <c r="O2" s="8" t="inlineStr">
        <is>
          <t>нет</t>
        </is>
      </c>
      <c r="P2" s="4" t="inlineStr"/>
      <c r="Q2" s="8" t="inlineStr">
        <is>
          <t>нет</t>
        </is>
      </c>
      <c r="R2" s="4" t="inlineStr"/>
      <c r="S2" s="4" t="inlineStr"/>
    </row>
    <row r="3">
      <c r="A3" s="4" t="n">
        <v>2</v>
      </c>
      <c r="B3" s="4" t="inlineStr">
        <is>
          <t>Грамматика</t>
        </is>
      </c>
      <c r="C3" s="4" t="inlineStr">
        <is>
          <t>Глаголы: времена</t>
        </is>
      </c>
      <c r="D3" s="5" t="inlineStr">
        <is>
          <t>Present Continuous</t>
        </is>
      </c>
      <c r="E3" s="4" t="inlineStr">
        <is>
          <t>обе</t>
        </is>
      </c>
      <c r="F3" s="6" t="inlineStr">
        <is>
          <t>М7</t>
        </is>
      </c>
      <c r="G3" s="7" t="inlineStr">
        <is>
          <t>М1</t>
        </is>
      </c>
      <c r="H3" s="7" t="inlineStr">
        <is>
          <t>М6 (6b)</t>
        </is>
      </c>
      <c r="I3" s="7" t="inlineStr">
        <is>
          <t>М5 (5a)
М5 (5b)
М10 (10b)</t>
        </is>
      </c>
      <c r="J3" s="7" t="inlineStr">
        <is>
          <t>М1</t>
        </is>
      </c>
      <c r="K3" s="7" t="inlineStr">
        <is>
          <t>М1 (1c)</t>
        </is>
      </c>
      <c r="L3" s="7" t="inlineStr">
        <is>
          <t>М1 (1c)</t>
        </is>
      </c>
      <c r="M3" s="7" t="inlineStr">
        <is>
          <t>М1 (1c)</t>
        </is>
      </c>
      <c r="N3" s="7" t="inlineStr">
        <is>
          <t>М1 (1c)</t>
        </is>
      </c>
      <c r="O3" s="8" t="inlineStr">
        <is>
          <t>нет</t>
        </is>
      </c>
      <c r="P3" s="4" t="inlineStr"/>
      <c r="Q3" s="8" t="inlineStr">
        <is>
          <t>нет</t>
        </is>
      </c>
      <c r="R3" s="4" t="inlineStr"/>
      <c r="S3" s="4" t="inlineStr"/>
    </row>
    <row r="4">
      <c r="A4" s="4" t="n">
        <v>3</v>
      </c>
      <c r="B4" s="4" t="inlineStr">
        <is>
          <t>Грамматика</t>
        </is>
      </c>
      <c r="C4" s="4" t="inlineStr">
        <is>
          <t>Глаголы: времена</t>
        </is>
      </c>
      <c r="D4" s="5" t="inlineStr">
        <is>
          <t>Present Simple</t>
        </is>
      </c>
      <c r="E4" s="4" t="inlineStr">
        <is>
          <t>обе</t>
        </is>
      </c>
      <c r="F4" s="6" t="inlineStr">
        <is>
          <t>М3
М8</t>
        </is>
      </c>
      <c r="G4" s="7" t="inlineStr">
        <is>
          <t>М2</t>
        </is>
      </c>
      <c r="H4" s="7" t="inlineStr">
        <is>
          <t>М5 (5a)
М5 (5b)</t>
        </is>
      </c>
      <c r="I4" s="7" t="inlineStr">
        <is>
          <t>М4 (4a)
М4 (4b)</t>
        </is>
      </c>
      <c r="J4" s="7" t="inlineStr">
        <is>
          <t>М1</t>
        </is>
      </c>
      <c r="K4" s="7" t="inlineStr">
        <is>
          <t>М1 (1c)</t>
        </is>
      </c>
      <c r="L4" s="7" t="inlineStr">
        <is>
          <t>М1 (1c)</t>
        </is>
      </c>
      <c r="M4" s="7" t="inlineStr">
        <is>
          <t>М1 (1c)</t>
        </is>
      </c>
      <c r="N4" s="7" t="inlineStr">
        <is>
          <t>М1 (1c)</t>
        </is>
      </c>
      <c r="O4" s="8" t="inlineStr">
        <is>
          <t>нет</t>
        </is>
      </c>
      <c r="P4" s="4" t="inlineStr"/>
      <c r="Q4" s="8" t="inlineStr">
        <is>
          <t>нет</t>
        </is>
      </c>
      <c r="R4" s="4" t="inlineStr"/>
      <c r="S4" s="4" t="inlineStr"/>
    </row>
    <row r="5">
      <c r="A5" s="4" t="n">
        <v>4</v>
      </c>
      <c r="B5" s="4" t="inlineStr">
        <is>
          <t>Грамматика</t>
        </is>
      </c>
      <c r="C5" s="4" t="inlineStr">
        <is>
          <t>Глаголы: времена</t>
        </is>
      </c>
      <c r="D5" s="5" t="inlineStr">
        <is>
          <t>Future Simple (will)</t>
        </is>
      </c>
      <c r="E5" s="4" t="inlineStr">
        <is>
          <t>10+</t>
        </is>
      </c>
      <c r="F5" s="4" t="inlineStr"/>
      <c r="G5" s="7" t="inlineStr">
        <is>
          <t>М8</t>
        </is>
      </c>
      <c r="H5" s="7" t="inlineStr">
        <is>
          <t>М10 (10b)</t>
        </is>
      </c>
      <c r="I5" s="4" t="inlineStr"/>
      <c r="J5" s="7" t="inlineStr">
        <is>
          <t>М5</t>
        </is>
      </c>
      <c r="K5" s="7" t="inlineStr">
        <is>
          <t>М1 (1c)</t>
        </is>
      </c>
      <c r="L5" s="7" t="inlineStr">
        <is>
          <t>М4 (4c)</t>
        </is>
      </c>
      <c r="M5" s="7" t="inlineStr">
        <is>
          <t>М3 (3c)</t>
        </is>
      </c>
      <c r="N5" s="7" t="inlineStr">
        <is>
          <t>М1 (1c)</t>
        </is>
      </c>
      <c r="O5" s="9" t="inlineStr">
        <is>
          <t>—</t>
        </is>
      </c>
      <c r="P5" s="10" t="inlineStr"/>
      <c r="Q5" s="8" t="inlineStr">
        <is>
          <t>нет</t>
        </is>
      </c>
      <c r="R5" s="4" t="inlineStr"/>
      <c r="S5" s="4" t="inlineStr"/>
    </row>
    <row r="6">
      <c r="A6" s="4" t="n">
        <v>5</v>
      </c>
      <c r="B6" s="4" t="inlineStr">
        <is>
          <t>Грамматика</t>
        </is>
      </c>
      <c r="C6" s="4" t="inlineStr">
        <is>
          <t>Глаголы: времена</t>
        </is>
      </c>
      <c r="D6" s="5" t="inlineStr">
        <is>
          <t>Present Simple vs Present Continuous</t>
        </is>
      </c>
      <c r="E6" s="4" t="inlineStr">
        <is>
          <t>10+</t>
        </is>
      </c>
      <c r="F6" s="4" t="inlineStr"/>
      <c r="G6" s="7" t="inlineStr">
        <is>
          <t>М4</t>
        </is>
      </c>
      <c r="H6" s="7" t="inlineStr">
        <is>
          <t>М7 (7b)</t>
        </is>
      </c>
      <c r="I6" s="7" t="inlineStr">
        <is>
          <t>М6 (6b)
М9 (9b)</t>
        </is>
      </c>
      <c r="J6" s="7" t="inlineStr">
        <is>
          <t>М1</t>
        </is>
      </c>
      <c r="K6" s="7" t="inlineStr">
        <is>
          <t>М1 (1c)</t>
        </is>
      </c>
      <c r="L6" s="7" t="inlineStr">
        <is>
          <t>М1 (1c)</t>
        </is>
      </c>
      <c r="M6" s="7" t="inlineStr">
        <is>
          <t>М1 (1c)</t>
        </is>
      </c>
      <c r="N6" s="7" t="inlineStr">
        <is>
          <t>М1 (1c)</t>
        </is>
      </c>
      <c r="O6" s="9" t="inlineStr">
        <is>
          <t>—</t>
        </is>
      </c>
      <c r="P6" s="10" t="inlineStr"/>
      <c r="Q6" s="8" t="inlineStr">
        <is>
          <t>нет</t>
        </is>
      </c>
      <c r="R6" s="4" t="inlineStr"/>
      <c r="S6" s="4" t="inlineStr"/>
    </row>
    <row r="7">
      <c r="A7" s="4" t="n">
        <v>6</v>
      </c>
      <c r="B7" s="4" t="inlineStr">
        <is>
          <t>Грамматика</t>
        </is>
      </c>
      <c r="C7" s="4" t="inlineStr">
        <is>
          <t>Глаголы: времена</t>
        </is>
      </c>
      <c r="D7" s="5" t="inlineStr">
        <is>
          <t>be going to</t>
        </is>
      </c>
      <c r="E7" s="4" t="inlineStr">
        <is>
          <t>10+</t>
        </is>
      </c>
      <c r="F7" s="4" t="inlineStr"/>
      <c r="G7" s="7" t="inlineStr">
        <is>
          <t>М8</t>
        </is>
      </c>
      <c r="H7" s="7" t="inlineStr">
        <is>
          <t>М10 (10b)</t>
        </is>
      </c>
      <c r="I7" s="7" t="inlineStr">
        <is>
          <t>М10 (10a)</t>
        </is>
      </c>
      <c r="J7" s="7" t="inlineStr">
        <is>
          <t>М5</t>
        </is>
      </c>
      <c r="K7" s="7" t="inlineStr">
        <is>
          <t>М1 (1c)</t>
        </is>
      </c>
      <c r="L7" s="7" t="inlineStr">
        <is>
          <t>М4 (4c)</t>
        </is>
      </c>
      <c r="M7" s="7" t="inlineStr">
        <is>
          <t>М3 (3c)</t>
        </is>
      </c>
      <c r="N7" s="7" t="inlineStr">
        <is>
          <t>М1 (1c)</t>
        </is>
      </c>
      <c r="O7" s="9" t="inlineStr">
        <is>
          <t>—</t>
        </is>
      </c>
      <c r="P7" s="10" t="inlineStr"/>
      <c r="Q7" s="8" t="inlineStr">
        <is>
          <t>нет</t>
        </is>
      </c>
      <c r="R7" s="4" t="inlineStr"/>
      <c r="S7" s="4" t="inlineStr"/>
    </row>
    <row r="8">
      <c r="A8" s="4" t="n">
        <v>7</v>
      </c>
      <c r="B8" s="4" t="inlineStr">
        <is>
          <t>Грамматика</t>
        </is>
      </c>
      <c r="C8" s="4" t="inlineStr">
        <is>
          <t>Глаголы: времена</t>
        </is>
      </c>
      <c r="D8" s="5" t="inlineStr">
        <is>
          <t>Present Perfect</t>
        </is>
      </c>
      <c r="E8" s="4" t="inlineStr">
        <is>
          <t>10+</t>
        </is>
      </c>
      <c r="F8" s="4" t="inlineStr"/>
      <c r="G8" s="4" t="inlineStr"/>
      <c r="H8" s="7" t="inlineStr">
        <is>
          <t>М10 (10a)</t>
        </is>
      </c>
      <c r="I8" s="4" t="inlineStr"/>
      <c r="J8" s="7" t="inlineStr">
        <is>
          <t>М6</t>
        </is>
      </c>
      <c r="K8" s="7" t="inlineStr">
        <is>
          <t>М2 (2c)</t>
        </is>
      </c>
      <c r="L8" s="7" t="inlineStr">
        <is>
          <t>М1 (1c)</t>
        </is>
      </c>
      <c r="M8" s="7" t="inlineStr">
        <is>
          <t>М1 (1c)</t>
        </is>
      </c>
      <c r="N8" s="7" t="inlineStr">
        <is>
          <t>М1 (1c)</t>
        </is>
      </c>
      <c r="O8" s="9" t="inlineStr">
        <is>
          <t>—</t>
        </is>
      </c>
      <c r="P8" s="10" t="inlineStr"/>
      <c r="Q8" s="8" t="inlineStr">
        <is>
          <t>нет</t>
        </is>
      </c>
      <c r="R8" s="4" t="inlineStr"/>
      <c r="S8" s="4" t="inlineStr"/>
    </row>
    <row r="9">
      <c r="A9" s="4" t="n">
        <v>8</v>
      </c>
      <c r="B9" s="4" t="inlineStr">
        <is>
          <t>Грамматика</t>
        </is>
      </c>
      <c r="C9" s="4" t="inlineStr">
        <is>
          <t>Глаголы: времена</t>
        </is>
      </c>
      <c r="D9" s="5" t="inlineStr">
        <is>
          <t>Stative verbs</t>
        </is>
      </c>
      <c r="E9" s="4" t="inlineStr">
        <is>
          <t>10+</t>
        </is>
      </c>
      <c r="F9" s="4" t="inlineStr"/>
      <c r="G9" s="4" t="inlineStr"/>
      <c r="H9" s="4" t="inlineStr"/>
      <c r="I9" s="7" t="inlineStr">
        <is>
          <t>М6</t>
        </is>
      </c>
      <c r="J9" s="7" t="inlineStr">
        <is>
          <t>М1</t>
        </is>
      </c>
      <c r="K9" s="7" t="inlineStr">
        <is>
          <t>М1 (1c)</t>
        </is>
      </c>
      <c r="L9" s="7" t="inlineStr">
        <is>
          <t>М1 (1c)</t>
        </is>
      </c>
      <c r="M9" s="7" t="inlineStr">
        <is>
          <t>М1 (1c)</t>
        </is>
      </c>
      <c r="N9" s="7" t="inlineStr">
        <is>
          <t>М1 (1c)</t>
        </is>
      </c>
      <c r="O9" s="9" t="inlineStr">
        <is>
          <t>—</t>
        </is>
      </c>
      <c r="P9" s="10" t="inlineStr"/>
      <c r="Q9" s="8" t="inlineStr">
        <is>
          <t>нет</t>
        </is>
      </c>
      <c r="R9" s="4" t="inlineStr"/>
      <c r="S9" s="4" t="inlineStr"/>
    </row>
    <row r="10">
      <c r="A10" s="4" t="n">
        <v>9</v>
      </c>
      <c r="B10" s="4" t="inlineStr">
        <is>
          <t>Грамматика</t>
        </is>
      </c>
      <c r="C10" s="4" t="inlineStr">
        <is>
          <t>Глаголы: времена</t>
        </is>
      </c>
      <c r="D10" s="5" t="inlineStr">
        <is>
          <t>Future forms (comparison)</t>
        </is>
      </c>
      <c r="E10" s="4" t="inlineStr">
        <is>
          <t>10+</t>
        </is>
      </c>
      <c r="F10" s="4" t="inlineStr"/>
      <c r="G10" s="4" t="inlineStr"/>
      <c r="H10" s="4" t="inlineStr"/>
      <c r="I10" s="4" t="inlineStr"/>
      <c r="J10" s="7" t="inlineStr">
        <is>
          <t>М5</t>
        </is>
      </c>
      <c r="K10" s="7" t="inlineStr">
        <is>
          <t>М1 (1c)</t>
        </is>
      </c>
      <c r="L10" s="7" t="inlineStr">
        <is>
          <t>М4 (4c)</t>
        </is>
      </c>
      <c r="M10" s="7" t="inlineStr">
        <is>
          <t>М3 (3c)</t>
        </is>
      </c>
      <c r="N10" s="7" t="inlineStr">
        <is>
          <t>М1 (1c)</t>
        </is>
      </c>
      <c r="O10" s="9" t="inlineStr">
        <is>
          <t>—</t>
        </is>
      </c>
      <c r="P10" s="10" t="inlineStr"/>
      <c r="Q10" s="8" t="inlineStr">
        <is>
          <t>нет</t>
        </is>
      </c>
      <c r="R10" s="4" t="inlineStr"/>
      <c r="S10" s="4" t="inlineStr"/>
    </row>
    <row r="11">
      <c r="A11" s="4" t="n">
        <v>10</v>
      </c>
      <c r="B11" s="4" t="inlineStr">
        <is>
          <t>Грамматика</t>
        </is>
      </c>
      <c r="C11" s="4" t="inlineStr">
        <is>
          <t>Глаголы: времена</t>
        </is>
      </c>
      <c r="D11" s="5" t="inlineStr">
        <is>
          <t>Past Continuous</t>
        </is>
      </c>
      <c r="E11" s="4" t="inlineStr">
        <is>
          <t>10+</t>
        </is>
      </c>
      <c r="F11" s="4" t="inlineStr"/>
      <c r="G11" s="4" t="inlineStr"/>
      <c r="H11" s="4" t="inlineStr"/>
      <c r="I11" s="4" t="inlineStr"/>
      <c r="J11" s="7" t="inlineStr">
        <is>
          <t>М4</t>
        </is>
      </c>
      <c r="K11" s="7" t="inlineStr">
        <is>
          <t>М1 (1c)</t>
        </is>
      </c>
      <c r="L11" s="7" t="inlineStr">
        <is>
          <t>М3 (3c)</t>
        </is>
      </c>
      <c r="M11" s="7" t="inlineStr">
        <is>
          <t>М5 (5c)</t>
        </is>
      </c>
      <c r="N11" s="7" t="inlineStr">
        <is>
          <t>М1 (1c)</t>
        </is>
      </c>
      <c r="O11" s="9" t="inlineStr">
        <is>
          <t>—</t>
        </is>
      </c>
      <c r="P11" s="10" t="inlineStr"/>
      <c r="Q11" s="8" t="inlineStr">
        <is>
          <t>нет</t>
        </is>
      </c>
      <c r="R11" s="4" t="inlineStr"/>
      <c r="S11" s="4" t="inlineStr"/>
    </row>
    <row r="12">
      <c r="A12" s="4" t="n">
        <v>11</v>
      </c>
      <c r="B12" s="4" t="inlineStr">
        <is>
          <t>Грамматика</t>
        </is>
      </c>
      <c r="C12" s="4" t="inlineStr">
        <is>
          <t>Глаголы: времена</t>
        </is>
      </c>
      <c r="D12" s="5" t="inlineStr">
        <is>
          <t>Past Simple vs Past Continuous</t>
        </is>
      </c>
      <c r="E12" s="4" t="inlineStr">
        <is>
          <t>10+</t>
        </is>
      </c>
      <c r="F12" s="4" t="inlineStr"/>
      <c r="G12" s="4" t="inlineStr"/>
      <c r="H12" s="4" t="inlineStr"/>
      <c r="I12" s="4" t="inlineStr"/>
      <c r="J12" s="7" t="inlineStr">
        <is>
          <t>М4</t>
        </is>
      </c>
      <c r="K12" s="7" t="inlineStr">
        <is>
          <t>М1 (1c)</t>
        </is>
      </c>
      <c r="L12" s="7" t="inlineStr">
        <is>
          <t>М3 (3c)</t>
        </is>
      </c>
      <c r="M12" s="7" t="inlineStr">
        <is>
          <t>М5 (5c)</t>
        </is>
      </c>
      <c r="N12" s="7" t="inlineStr">
        <is>
          <t>М1 (1c)</t>
        </is>
      </c>
      <c r="O12" s="9" t="inlineStr">
        <is>
          <t>—</t>
        </is>
      </c>
      <c r="P12" s="10" t="inlineStr"/>
      <c r="Q12" s="8" t="inlineStr">
        <is>
          <t>нет</t>
        </is>
      </c>
      <c r="R12" s="4" t="inlineStr"/>
      <c r="S12" s="4" t="inlineStr"/>
    </row>
    <row r="13">
      <c r="A13" s="4" t="n">
        <v>12</v>
      </c>
      <c r="B13" s="4" t="inlineStr">
        <is>
          <t>Грамматика</t>
        </is>
      </c>
      <c r="C13" s="4" t="inlineStr">
        <is>
          <t>Глаголы: времена</t>
        </is>
      </c>
      <c r="D13" s="5" t="inlineStr">
        <is>
          <t>Present Perfect Continuous</t>
        </is>
      </c>
      <c r="E13" s="4" t="inlineStr">
        <is>
          <t>10+</t>
        </is>
      </c>
      <c r="F13" s="4" t="inlineStr"/>
      <c r="G13" s="4" t="inlineStr"/>
      <c r="H13" s="4" t="inlineStr"/>
      <c r="I13" s="4" t="inlineStr"/>
      <c r="J13" s="7" t="inlineStr">
        <is>
          <t>М8</t>
        </is>
      </c>
      <c r="K13" s="7" t="inlineStr">
        <is>
          <t>М2 (2c)</t>
        </is>
      </c>
      <c r="L13" s="7" t="inlineStr">
        <is>
          <t>М1 (1c)</t>
        </is>
      </c>
      <c r="M13" s="7" t="inlineStr">
        <is>
          <t>М1 (1c)</t>
        </is>
      </c>
      <c r="N13" s="7" t="inlineStr">
        <is>
          <t>М1 (1c)</t>
        </is>
      </c>
      <c r="O13" s="9" t="inlineStr">
        <is>
          <t>—</t>
        </is>
      </c>
      <c r="P13" s="10" t="inlineStr"/>
      <c r="Q13" s="8" t="inlineStr">
        <is>
          <t>нет</t>
        </is>
      </c>
      <c r="R13" s="4" t="inlineStr"/>
      <c r="S13" s="4" t="inlineStr"/>
    </row>
    <row r="14">
      <c r="A14" s="4" t="n">
        <v>13</v>
      </c>
      <c r="B14" s="4" t="inlineStr">
        <is>
          <t>Грамматика</t>
        </is>
      </c>
      <c r="C14" s="4" t="inlineStr">
        <is>
          <t>Глаголы: времена</t>
        </is>
      </c>
      <c r="D14" s="5" t="inlineStr">
        <is>
          <t>Present Perfect vs Past Simple</t>
        </is>
      </c>
      <c r="E14" s="4" t="inlineStr">
        <is>
          <t>10+</t>
        </is>
      </c>
      <c r="F14" s="4" t="inlineStr"/>
      <c r="G14" s="4" t="inlineStr"/>
      <c r="H14" s="4" t="inlineStr"/>
      <c r="I14" s="4" t="inlineStr"/>
      <c r="J14" s="7" t="inlineStr">
        <is>
          <t>М7</t>
        </is>
      </c>
      <c r="K14" s="7" t="inlineStr">
        <is>
          <t>М2 (2c)</t>
        </is>
      </c>
      <c r="L14" s="7" t="inlineStr">
        <is>
          <t>М1 (1c)</t>
        </is>
      </c>
      <c r="M14" s="7" t="inlineStr">
        <is>
          <t>М1 (1c)</t>
        </is>
      </c>
      <c r="N14" s="7" t="inlineStr">
        <is>
          <t>М1 (1c)</t>
        </is>
      </c>
      <c r="O14" s="9" t="inlineStr">
        <is>
          <t>—</t>
        </is>
      </c>
      <c r="P14" s="10" t="inlineStr"/>
      <c r="Q14" s="8" t="inlineStr">
        <is>
          <t>нет</t>
        </is>
      </c>
      <c r="R14" s="4" t="inlineStr"/>
      <c r="S14" s="4" t="inlineStr"/>
    </row>
    <row r="15">
      <c r="A15" s="4" t="n">
        <v>14</v>
      </c>
      <c r="B15" s="4" t="inlineStr">
        <is>
          <t>Грамматика</t>
        </is>
      </c>
      <c r="C15" s="4" t="inlineStr">
        <is>
          <t>Глаголы: времена</t>
        </is>
      </c>
      <c r="D15" s="5" t="inlineStr">
        <is>
          <t>Present Perfect vs Present Perfect Continuous</t>
        </is>
      </c>
      <c r="E15" s="4" t="inlineStr">
        <is>
          <t>10+</t>
        </is>
      </c>
      <c r="F15" s="4" t="inlineStr"/>
      <c r="G15" s="4" t="inlineStr"/>
      <c r="H15" s="4" t="inlineStr"/>
      <c r="I15" s="4" t="inlineStr"/>
      <c r="J15" s="7" t="inlineStr">
        <is>
          <t>М9</t>
        </is>
      </c>
      <c r="K15" s="4" t="inlineStr"/>
      <c r="L15" s="4" t="inlineStr"/>
      <c r="M15" s="4" t="inlineStr"/>
      <c r="N15" s="4" t="inlineStr"/>
      <c r="O15" s="9" t="inlineStr">
        <is>
          <t>—</t>
        </is>
      </c>
      <c r="P15" s="10" t="inlineStr"/>
      <c r="Q15" s="8" t="inlineStr">
        <is>
          <t>нет</t>
        </is>
      </c>
      <c r="R15" s="4" t="inlineStr"/>
      <c r="S15" s="4" t="inlineStr"/>
    </row>
    <row r="16">
      <c r="A16" s="4" t="n">
        <v>15</v>
      </c>
      <c r="B16" s="4" t="inlineStr">
        <is>
          <t>Грамматика</t>
        </is>
      </c>
      <c r="C16" s="4" t="inlineStr">
        <is>
          <t>Глаголы: времена</t>
        </is>
      </c>
      <c r="D16" s="5" t="inlineStr">
        <is>
          <t>Past Perfect</t>
        </is>
      </c>
      <c r="E16" s="4" t="inlineStr">
        <is>
          <t>10+</t>
        </is>
      </c>
      <c r="F16" s="4" t="inlineStr"/>
      <c r="G16" s="4" t="inlineStr"/>
      <c r="H16" s="4" t="inlineStr"/>
      <c r="I16" s="4" t="inlineStr"/>
      <c r="J16" s="4" t="inlineStr"/>
      <c r="K16" s="7" t="inlineStr">
        <is>
          <t>М3 (3c)</t>
        </is>
      </c>
      <c r="L16" s="7" t="inlineStr">
        <is>
          <t>М3 (3c)</t>
        </is>
      </c>
      <c r="M16" s="7" t="inlineStr">
        <is>
          <t>М5 (5c)</t>
        </is>
      </c>
      <c r="N16" s="4" t="inlineStr"/>
      <c r="O16" s="9" t="inlineStr">
        <is>
          <t>—</t>
        </is>
      </c>
      <c r="P16" s="10" t="inlineStr"/>
      <c r="Q16" s="8" t="inlineStr">
        <is>
          <t>нет</t>
        </is>
      </c>
      <c r="R16" s="4" t="inlineStr"/>
      <c r="S16" s="4" t="inlineStr"/>
    </row>
    <row r="17">
      <c r="A17" s="4" t="n">
        <v>16</v>
      </c>
      <c r="B17" s="4" t="inlineStr">
        <is>
          <t>Грамматика</t>
        </is>
      </c>
      <c r="C17" s="4" t="inlineStr">
        <is>
          <t>Глаголы: времена</t>
        </is>
      </c>
      <c r="D17" s="5" t="inlineStr">
        <is>
          <t>Past Perfect Continuous</t>
        </is>
      </c>
      <c r="E17" s="4" t="inlineStr">
        <is>
          <t>10+</t>
        </is>
      </c>
      <c r="F17" s="4" t="inlineStr"/>
      <c r="G17" s="4" t="inlineStr"/>
      <c r="H17" s="4" t="inlineStr"/>
      <c r="I17" s="4" t="inlineStr"/>
      <c r="J17" s="4" t="inlineStr"/>
      <c r="K17" s="7" t="inlineStr">
        <is>
          <t>М3 (3c)</t>
        </is>
      </c>
      <c r="L17" s="7" t="inlineStr">
        <is>
          <t>М3 (3c)</t>
        </is>
      </c>
      <c r="M17" s="7" t="inlineStr">
        <is>
          <t>М5 (5c)</t>
        </is>
      </c>
      <c r="N17" s="4" t="inlineStr"/>
      <c r="O17" s="9" t="inlineStr">
        <is>
          <t>—</t>
        </is>
      </c>
      <c r="P17" s="10" t="inlineStr"/>
      <c r="Q17" s="8" t="inlineStr">
        <is>
          <t>нет</t>
        </is>
      </c>
      <c r="R17" s="4" t="inlineStr"/>
      <c r="S17" s="4" t="inlineStr"/>
    </row>
    <row r="18">
      <c r="A18" s="4" t="n">
        <v>17</v>
      </c>
      <c r="B18" s="4" t="inlineStr">
        <is>
          <t>Грамматика</t>
        </is>
      </c>
      <c r="C18" s="4" t="inlineStr">
        <is>
          <t>Глаголы: времена</t>
        </is>
      </c>
      <c r="D18" s="5" t="inlineStr">
        <is>
          <t>have gone to / have been to / have been in</t>
        </is>
      </c>
      <c r="E18" s="4" t="inlineStr">
        <is>
          <t>10+</t>
        </is>
      </c>
      <c r="F18" s="4" t="inlineStr"/>
      <c r="G18" s="4" t="inlineStr"/>
      <c r="H18" s="4" t="inlineStr"/>
      <c r="I18" s="4" t="inlineStr"/>
      <c r="J18" s="4" t="inlineStr"/>
      <c r="K18" s="7" t="inlineStr">
        <is>
          <t>М2 (2c)</t>
        </is>
      </c>
      <c r="L18" s="4" t="inlineStr"/>
      <c r="M18" s="7" t="inlineStr">
        <is>
          <t>М1 (1c)</t>
        </is>
      </c>
      <c r="N18" s="7" t="inlineStr">
        <is>
          <t>М1 (1c)</t>
        </is>
      </c>
      <c r="O18" s="9" t="inlineStr">
        <is>
          <t>—</t>
        </is>
      </c>
      <c r="P18" s="10" t="inlineStr"/>
      <c r="Q18" s="8" t="inlineStr">
        <is>
          <t>нет</t>
        </is>
      </c>
      <c r="R18" s="4" t="inlineStr"/>
      <c r="S18" s="4" t="inlineStr"/>
    </row>
    <row r="19">
      <c r="A19" s="4" t="n">
        <v>18</v>
      </c>
      <c r="B19" s="4" t="inlineStr">
        <is>
          <t>Грамматика</t>
        </is>
      </c>
      <c r="C19" s="4" t="inlineStr">
        <is>
          <t>Глаголы: времена</t>
        </is>
      </c>
      <c r="D19" s="5" t="inlineStr">
        <is>
          <t>Future Continuous</t>
        </is>
      </c>
      <c r="E19" s="4" t="inlineStr">
        <is>
          <t>10+</t>
        </is>
      </c>
      <c r="F19" s="4" t="inlineStr"/>
      <c r="G19" s="4" t="inlineStr"/>
      <c r="H19" s="4" t="inlineStr"/>
      <c r="I19" s="4" t="inlineStr"/>
      <c r="J19" s="4" t="inlineStr"/>
      <c r="K19" s="4" t="inlineStr"/>
      <c r="L19" s="7" t="inlineStr">
        <is>
          <t>М4 (4c)</t>
        </is>
      </c>
      <c r="M19" s="7" t="inlineStr">
        <is>
          <t>М3 (3c)</t>
        </is>
      </c>
      <c r="N19" s="7" t="inlineStr">
        <is>
          <t>М1 (1c)</t>
        </is>
      </c>
      <c r="O19" s="9" t="inlineStr">
        <is>
          <t>—</t>
        </is>
      </c>
      <c r="P19" s="10" t="inlineStr"/>
      <c r="Q19" s="8" t="inlineStr">
        <is>
          <t>нет</t>
        </is>
      </c>
      <c r="R19" s="4" t="inlineStr"/>
      <c r="S19" s="4" t="inlineStr"/>
    </row>
    <row r="20">
      <c r="A20" s="4" t="n">
        <v>19</v>
      </c>
      <c r="B20" s="4" t="inlineStr">
        <is>
          <t>Грамматика</t>
        </is>
      </c>
      <c r="C20" s="4" t="inlineStr">
        <is>
          <t>Глаголы: времена</t>
        </is>
      </c>
      <c r="D20" s="5" t="inlineStr">
        <is>
          <t>Future Perfect</t>
        </is>
      </c>
      <c r="E20" s="4" t="inlineStr">
        <is>
          <t>10+</t>
        </is>
      </c>
      <c r="F20" s="4" t="inlineStr"/>
      <c r="G20" s="4" t="inlineStr"/>
      <c r="H20" s="4" t="inlineStr"/>
      <c r="I20" s="4" t="inlineStr"/>
      <c r="J20" s="4" t="inlineStr"/>
      <c r="K20" s="4" t="inlineStr"/>
      <c r="L20" s="7" t="inlineStr">
        <is>
          <t>М4 (4c)</t>
        </is>
      </c>
      <c r="M20" s="7" t="inlineStr">
        <is>
          <t>М3 (3c)</t>
        </is>
      </c>
      <c r="N20" s="4" t="inlineStr"/>
      <c r="O20" s="9" t="inlineStr">
        <is>
          <t>—</t>
        </is>
      </c>
      <c r="P20" s="10" t="inlineStr"/>
      <c r="Q20" s="8" t="inlineStr">
        <is>
          <t>нет</t>
        </is>
      </c>
      <c r="R20" s="4" t="inlineStr"/>
      <c r="S20" s="4" t="inlineStr"/>
    </row>
    <row r="21">
      <c r="A21" s="4" t="n">
        <v>20</v>
      </c>
      <c r="B21" s="4" t="inlineStr">
        <is>
          <t>Грамматика</t>
        </is>
      </c>
      <c r="C21" s="4" t="inlineStr">
        <is>
          <t>Глаголы: to be / have got / модальные</t>
        </is>
      </c>
      <c r="D21" s="5" t="inlineStr">
        <is>
          <t>can (ability)</t>
        </is>
      </c>
      <c r="E21" s="4" t="inlineStr">
        <is>
          <t>обе</t>
        </is>
      </c>
      <c r="F21" s="6" t="inlineStr">
        <is>
          <t>М5</t>
        </is>
      </c>
      <c r="G21" s="4" t="inlineStr"/>
      <c r="H21" s="7" t="inlineStr">
        <is>
          <t>М4 (4a)</t>
        </is>
      </c>
      <c r="I21" s="7" t="inlineStr">
        <is>
          <t>М3 (3b)</t>
        </is>
      </c>
      <c r="J21" s="4" t="inlineStr"/>
      <c r="K21" s="4" t="inlineStr"/>
      <c r="L21" s="4" t="inlineStr"/>
      <c r="M21" s="4" t="inlineStr"/>
      <c r="N21" s="4" t="inlineStr"/>
      <c r="O21" s="8" t="inlineStr">
        <is>
          <t>нет</t>
        </is>
      </c>
      <c r="P21" s="4" t="inlineStr"/>
      <c r="Q21" s="8" t="inlineStr">
        <is>
          <t>нет</t>
        </is>
      </c>
      <c r="R21" s="4" t="inlineStr"/>
      <c r="S21" s="4" t="inlineStr"/>
    </row>
    <row r="22">
      <c r="A22" s="4" t="n">
        <v>21</v>
      </c>
      <c r="B22" s="4" t="inlineStr">
        <is>
          <t>Грамматика</t>
        </is>
      </c>
      <c r="C22" s="4" t="inlineStr">
        <is>
          <t>Глаголы: to be / have got / модальные</t>
        </is>
      </c>
      <c r="D22" s="5" t="inlineStr">
        <is>
          <t>have got</t>
        </is>
      </c>
      <c r="E22" s="4" t="inlineStr">
        <is>
          <t>обе</t>
        </is>
      </c>
      <c r="F22" s="6" t="inlineStr">
        <is>
          <t>М5</t>
        </is>
      </c>
      <c r="G22" s="4" t="inlineStr"/>
      <c r="H22" s="7" t="inlineStr">
        <is>
          <t>М2 (2a)</t>
        </is>
      </c>
      <c r="I22" s="7" t="inlineStr">
        <is>
          <t>М1</t>
        </is>
      </c>
      <c r="J22" s="4" t="inlineStr"/>
      <c r="K22" s="4" t="inlineStr"/>
      <c r="L22" s="4" t="inlineStr"/>
      <c r="M22" s="4" t="inlineStr"/>
      <c r="N22" s="4" t="inlineStr"/>
      <c r="O22" s="8" t="inlineStr">
        <is>
          <t>нет</t>
        </is>
      </c>
      <c r="P22" s="4" t="inlineStr"/>
      <c r="Q22" s="8" t="inlineStr">
        <is>
          <t>нет</t>
        </is>
      </c>
      <c r="R22" s="4" t="inlineStr"/>
      <c r="S22" s="4" t="inlineStr"/>
    </row>
    <row r="23">
      <c r="A23" s="4" t="n">
        <v>22</v>
      </c>
      <c r="B23" s="4" t="inlineStr">
        <is>
          <t>Грамматика</t>
        </is>
      </c>
      <c r="C23" s="4" t="inlineStr">
        <is>
          <t>Глаголы: to be / have got / модальные</t>
        </is>
      </c>
      <c r="D23" s="5" t="inlineStr">
        <is>
          <t>to be (Past: was/were)</t>
        </is>
      </c>
      <c r="E23" s="4" t="inlineStr">
        <is>
          <t>обе</t>
        </is>
      </c>
      <c r="F23" s="6" t="inlineStr">
        <is>
          <t>М2</t>
        </is>
      </c>
      <c r="G23" s="7" t="inlineStr">
        <is>
          <t>М5</t>
        </is>
      </c>
      <c r="H23" s="7" t="inlineStr">
        <is>
          <t>М9 (9a)</t>
        </is>
      </c>
      <c r="I23" s="7" t="inlineStr">
        <is>
          <t>М7 (7a)</t>
        </is>
      </c>
      <c r="J23" s="4" t="inlineStr"/>
      <c r="K23" s="4" t="inlineStr"/>
      <c r="L23" s="4" t="inlineStr"/>
      <c r="M23" s="4" t="inlineStr"/>
      <c r="N23" s="4" t="inlineStr"/>
      <c r="O23" s="8" t="inlineStr">
        <is>
          <t>нет</t>
        </is>
      </c>
      <c r="P23" s="4" t="inlineStr"/>
      <c r="Q23" s="8" t="inlineStr">
        <is>
          <t>нет</t>
        </is>
      </c>
      <c r="R23" s="4" t="inlineStr"/>
      <c r="S23" s="4" t="inlineStr"/>
    </row>
    <row r="24">
      <c r="A24" s="4" t="n">
        <v>23</v>
      </c>
      <c r="B24" s="4" t="inlineStr">
        <is>
          <t>Грамматика</t>
        </is>
      </c>
      <c r="C24" s="4" t="inlineStr">
        <is>
          <t>Глаголы: to be / have got / модальные</t>
        </is>
      </c>
      <c r="D24" s="5" t="inlineStr">
        <is>
          <t>to be (Present)</t>
        </is>
      </c>
      <c r="E24" s="4" t="inlineStr">
        <is>
          <t>обе</t>
        </is>
      </c>
      <c r="F24" s="6" t="inlineStr">
        <is>
          <t>М1</t>
        </is>
      </c>
      <c r="G24" s="4" t="inlineStr"/>
      <c r="H24" s="7" t="inlineStr">
        <is>
          <t>М1 (1b)</t>
        </is>
      </c>
      <c r="I24" s="7" t="inlineStr">
        <is>
          <t>М1</t>
        </is>
      </c>
      <c r="J24" s="4" t="inlineStr"/>
      <c r="K24" s="4" t="inlineStr"/>
      <c r="L24" s="4" t="inlineStr"/>
      <c r="M24" s="4" t="inlineStr"/>
      <c r="N24" s="4" t="inlineStr"/>
      <c r="O24" s="8" t="inlineStr">
        <is>
          <t>нет</t>
        </is>
      </c>
      <c r="P24" s="4" t="inlineStr"/>
      <c r="Q24" s="8" t="inlineStr">
        <is>
          <t>нет</t>
        </is>
      </c>
      <c r="R24" s="4" t="inlineStr"/>
      <c r="S24" s="4" t="inlineStr"/>
    </row>
    <row r="25">
      <c r="A25" s="4" t="n">
        <v>24</v>
      </c>
      <c r="B25" s="4" t="inlineStr">
        <is>
          <t>Грамматика</t>
        </is>
      </c>
      <c r="C25" s="4" t="inlineStr">
        <is>
          <t>Глаголы: to be / have got / модальные</t>
        </is>
      </c>
      <c r="D25" s="5" t="inlineStr">
        <is>
          <t>have to</t>
        </is>
      </c>
      <c r="E25" s="4" t="inlineStr">
        <is>
          <t>10+</t>
        </is>
      </c>
      <c r="F25" s="4" t="inlineStr"/>
      <c r="G25" s="7" t="inlineStr">
        <is>
          <t>М2</t>
        </is>
      </c>
      <c r="H25" s="4" t="inlineStr"/>
      <c r="I25" s="7" t="inlineStr">
        <is>
          <t>М8 (8c)</t>
        </is>
      </c>
      <c r="J25" s="7" t="inlineStr">
        <is>
          <t>М8</t>
        </is>
      </c>
      <c r="K25" s="7" t="inlineStr">
        <is>
          <t>М7 (7c)</t>
        </is>
      </c>
      <c r="L25" s="7" t="inlineStr">
        <is>
          <t>М7 (7d)</t>
        </is>
      </c>
      <c r="M25" s="7" t="inlineStr">
        <is>
          <t>М4 (4c)</t>
        </is>
      </c>
      <c r="N25" s="4" t="inlineStr"/>
      <c r="O25" s="9" t="inlineStr">
        <is>
          <t>—</t>
        </is>
      </c>
      <c r="P25" s="10" t="inlineStr"/>
      <c r="Q25" s="8" t="inlineStr">
        <is>
          <t>нет</t>
        </is>
      </c>
      <c r="R25" s="4" t="inlineStr"/>
      <c r="S25" s="4" t="inlineStr"/>
    </row>
    <row r="26">
      <c r="A26" s="4" t="n">
        <v>25</v>
      </c>
      <c r="B26" s="4" t="inlineStr">
        <is>
          <t>Грамматика</t>
        </is>
      </c>
      <c r="C26" s="4" t="inlineStr">
        <is>
          <t>Глаголы: to be / have got / модальные</t>
        </is>
      </c>
      <c r="D26" s="5" t="inlineStr">
        <is>
          <t>may/might</t>
        </is>
      </c>
      <c r="E26" s="4" t="inlineStr">
        <is>
          <t>10+</t>
        </is>
      </c>
      <c r="F26" s="4" t="inlineStr"/>
      <c r="G26" s="7" t="inlineStr">
        <is>
          <t>М3</t>
        </is>
      </c>
      <c r="H26" s="4" t="inlineStr"/>
      <c r="I26" s="4" t="inlineStr"/>
      <c r="J26" s="4" t="inlineStr"/>
      <c r="K26" s="7" t="inlineStr">
        <is>
          <t>М7 (7c)</t>
        </is>
      </c>
      <c r="L26" s="7" t="inlineStr">
        <is>
          <t>М7 (7d)</t>
        </is>
      </c>
      <c r="M26" s="7" t="inlineStr">
        <is>
          <t>М4 (4c)</t>
        </is>
      </c>
      <c r="N26" s="7" t="inlineStr">
        <is>
          <t>М5 (5c)</t>
        </is>
      </c>
      <c r="O26" s="9" t="inlineStr">
        <is>
          <t>—</t>
        </is>
      </c>
      <c r="P26" s="10" t="inlineStr"/>
      <c r="Q26" s="8" t="inlineStr">
        <is>
          <t>нет</t>
        </is>
      </c>
      <c r="R26" s="4" t="inlineStr"/>
      <c r="S26" s="4" t="inlineStr"/>
    </row>
    <row r="27">
      <c r="A27" s="4" t="n">
        <v>26</v>
      </c>
      <c r="B27" s="4" t="inlineStr">
        <is>
          <t>Грамматика</t>
        </is>
      </c>
      <c r="C27" s="4" t="inlineStr">
        <is>
          <t>Глаголы: to be / have got / модальные</t>
        </is>
      </c>
      <c r="D27" s="5" t="inlineStr">
        <is>
          <t>must/mustn't</t>
        </is>
      </c>
      <c r="E27" s="4" t="inlineStr">
        <is>
          <t>10+</t>
        </is>
      </c>
      <c r="F27" s="4" t="inlineStr"/>
      <c r="G27" s="7" t="inlineStr">
        <is>
          <t>М4</t>
        </is>
      </c>
      <c r="H27" s="7" t="inlineStr">
        <is>
          <t>М9</t>
        </is>
      </c>
      <c r="I27" s="7" t="inlineStr">
        <is>
          <t>М8 (8a)</t>
        </is>
      </c>
      <c r="J27" s="7" t="inlineStr">
        <is>
          <t>М8</t>
        </is>
      </c>
      <c r="K27" s="7" t="inlineStr">
        <is>
          <t>М7 (7c)</t>
        </is>
      </c>
      <c r="L27" s="7" t="inlineStr">
        <is>
          <t>М7 (7d)</t>
        </is>
      </c>
      <c r="M27" s="7" t="inlineStr">
        <is>
          <t>М4 (4c)</t>
        </is>
      </c>
      <c r="N27" s="4" t="inlineStr"/>
      <c r="O27" s="9" t="inlineStr">
        <is>
          <t>—</t>
        </is>
      </c>
      <c r="P27" s="10" t="inlineStr"/>
      <c r="Q27" s="8" t="inlineStr">
        <is>
          <t>нет</t>
        </is>
      </c>
      <c r="R27" s="4" t="inlineStr"/>
      <c r="S27" s="4" t="inlineStr"/>
    </row>
    <row r="28">
      <c r="A28" s="4" t="n">
        <v>27</v>
      </c>
      <c r="B28" s="4" t="inlineStr">
        <is>
          <t>Грамматика</t>
        </is>
      </c>
      <c r="C28" s="4" t="inlineStr">
        <is>
          <t>Глаголы: to be / have got / модальные</t>
        </is>
      </c>
      <c r="D28" s="5" t="inlineStr">
        <is>
          <t>can (permission/request)</t>
        </is>
      </c>
      <c r="E28" s="4" t="inlineStr">
        <is>
          <t>10+</t>
        </is>
      </c>
      <c r="F28" s="4" t="inlineStr"/>
      <c r="G28" s="4" t="inlineStr"/>
      <c r="H28" s="7" t="inlineStr">
        <is>
          <t>М10 (10a)</t>
        </is>
      </c>
      <c r="I28" s="7" t="inlineStr">
        <is>
          <t>М3 (3b)</t>
        </is>
      </c>
      <c r="J28" s="4" t="inlineStr"/>
      <c r="K28" s="7" t="inlineStr">
        <is>
          <t>М7 (7c)</t>
        </is>
      </c>
      <c r="L28" s="7" t="inlineStr">
        <is>
          <t>М7 (7d)</t>
        </is>
      </c>
      <c r="M28" s="7" t="inlineStr">
        <is>
          <t>М4 (4c)</t>
        </is>
      </c>
      <c r="N28" s="7" t="inlineStr">
        <is>
          <t>М5 (5c)</t>
        </is>
      </c>
      <c r="O28" s="9" t="inlineStr">
        <is>
          <t>—</t>
        </is>
      </c>
      <c r="P28" s="10" t="inlineStr"/>
      <c r="Q28" s="8" t="inlineStr">
        <is>
          <t>нет</t>
        </is>
      </c>
      <c r="R28" s="4" t="inlineStr"/>
      <c r="S28" s="4" t="inlineStr"/>
    </row>
    <row r="29">
      <c r="A29" s="4" t="n">
        <v>28</v>
      </c>
      <c r="B29" s="4" t="inlineStr">
        <is>
          <t>Грамматика</t>
        </is>
      </c>
      <c r="C29" s="4" t="inlineStr">
        <is>
          <t>Глаголы: to be / have got / модальные</t>
        </is>
      </c>
      <c r="D29" s="5" t="inlineStr">
        <is>
          <t>need/needn't</t>
        </is>
      </c>
      <c r="E29" s="4" t="inlineStr">
        <is>
          <t>10+</t>
        </is>
      </c>
      <c r="F29" s="4" t="inlineStr"/>
      <c r="G29" s="4" t="inlineStr"/>
      <c r="H29" s="4" t="inlineStr"/>
      <c r="I29" s="7" t="inlineStr">
        <is>
          <t>М8 (8c)</t>
        </is>
      </c>
      <c r="J29" s="4" t="inlineStr"/>
      <c r="K29" s="7" t="inlineStr">
        <is>
          <t>М7 (7c)</t>
        </is>
      </c>
      <c r="L29" s="7" t="inlineStr">
        <is>
          <t>М7 (7d)</t>
        </is>
      </c>
      <c r="M29" s="7" t="inlineStr">
        <is>
          <t>М4 (4c)</t>
        </is>
      </c>
      <c r="N29" s="7" t="inlineStr">
        <is>
          <t>М5 (5c)</t>
        </is>
      </c>
      <c r="O29" s="9" t="inlineStr">
        <is>
          <t>—</t>
        </is>
      </c>
      <c r="P29" s="10" t="inlineStr"/>
      <c r="Q29" s="8" t="inlineStr">
        <is>
          <t>нет</t>
        </is>
      </c>
      <c r="R29" s="4" t="inlineStr"/>
      <c r="S29" s="4" t="inlineStr"/>
    </row>
    <row r="30">
      <c r="A30" s="4" t="n">
        <v>29</v>
      </c>
      <c r="B30" s="4" t="inlineStr">
        <is>
          <t>Грамматика</t>
        </is>
      </c>
      <c r="C30" s="4" t="inlineStr">
        <is>
          <t>Глаголы: to be / have got / модальные</t>
        </is>
      </c>
      <c r="D30" s="5" t="inlineStr">
        <is>
          <t>should/shouldn't</t>
        </is>
      </c>
      <c r="E30" s="4" t="inlineStr">
        <is>
          <t>10+</t>
        </is>
      </c>
      <c r="F30" s="4" t="inlineStr"/>
      <c r="G30" s="4" t="inlineStr"/>
      <c r="H30" s="4" t="inlineStr"/>
      <c r="I30" s="4" t="inlineStr"/>
      <c r="J30" s="7" t="inlineStr">
        <is>
          <t>М1</t>
        </is>
      </c>
      <c r="K30" s="7" t="inlineStr">
        <is>
          <t>М7 (7c)</t>
        </is>
      </c>
      <c r="L30" s="7" t="inlineStr">
        <is>
          <t>М7 (7d)</t>
        </is>
      </c>
      <c r="M30" s="7" t="inlineStr">
        <is>
          <t>М4 (4c)</t>
        </is>
      </c>
      <c r="N30" s="7" t="inlineStr">
        <is>
          <t>М5 (5c)</t>
        </is>
      </c>
      <c r="O30" s="9" t="inlineStr">
        <is>
          <t>—</t>
        </is>
      </c>
      <c r="P30" s="10" t="inlineStr"/>
      <c r="Q30" s="8" t="inlineStr">
        <is>
          <t>нет</t>
        </is>
      </c>
      <c r="R30" s="4" t="inlineStr"/>
      <c r="S30" s="4" t="inlineStr"/>
    </row>
    <row r="31">
      <c r="A31" s="4" t="n">
        <v>30</v>
      </c>
      <c r="B31" s="4" t="inlineStr">
        <is>
          <t>Грамматика</t>
        </is>
      </c>
      <c r="C31" s="4" t="inlineStr">
        <is>
          <t>Глаголы: to be / have got / модальные</t>
        </is>
      </c>
      <c r="D31" s="5" t="inlineStr">
        <is>
          <t>Modal verbs (deduction)</t>
        </is>
      </c>
      <c r="E31" s="4" t="inlineStr">
        <is>
          <t>10+</t>
        </is>
      </c>
      <c r="F31" s="4" t="inlineStr"/>
      <c r="G31" s="4" t="inlineStr"/>
      <c r="H31" s="4" t="inlineStr"/>
      <c r="I31" s="4" t="inlineStr"/>
      <c r="J31" s="4" t="inlineStr"/>
      <c r="K31" s="7" t="inlineStr">
        <is>
          <t>М7 (7c)</t>
        </is>
      </c>
      <c r="L31" s="7" t="inlineStr">
        <is>
          <t>М3 (3d)</t>
        </is>
      </c>
      <c r="M31" s="7" t="inlineStr">
        <is>
          <t>М4 (4c)</t>
        </is>
      </c>
      <c r="N31" s="7" t="inlineStr">
        <is>
          <t>М5 (5c)</t>
        </is>
      </c>
      <c r="O31" s="9" t="inlineStr">
        <is>
          <t>—</t>
        </is>
      </c>
      <c r="P31" s="10" t="inlineStr"/>
      <c r="Q31" s="8" t="inlineStr">
        <is>
          <t>нет</t>
        </is>
      </c>
      <c r="R31" s="4" t="inlineStr"/>
      <c r="S31" s="4" t="inlineStr"/>
    </row>
    <row r="32">
      <c r="A32" s="4" t="n">
        <v>31</v>
      </c>
      <c r="B32" s="4" t="inlineStr">
        <is>
          <t>Грамматика</t>
        </is>
      </c>
      <c r="C32" s="4" t="inlineStr">
        <is>
          <t>Глаголы: to be / have got / модальные</t>
        </is>
      </c>
      <c r="D32" s="5" t="inlineStr">
        <is>
          <t>Modal verbs (functions)</t>
        </is>
      </c>
      <c r="E32" s="4" t="inlineStr">
        <is>
          <t>10+</t>
        </is>
      </c>
      <c r="F32" s="4" t="inlineStr"/>
      <c r="G32" s="4" t="inlineStr"/>
      <c r="H32" s="4" t="inlineStr"/>
      <c r="I32" s="4" t="inlineStr"/>
      <c r="J32" s="4" t="inlineStr"/>
      <c r="K32" s="7" t="inlineStr">
        <is>
          <t>М7 (7c)</t>
        </is>
      </c>
      <c r="L32" s="7" t="inlineStr">
        <is>
          <t>М7 (7d)</t>
        </is>
      </c>
      <c r="M32" s="7" t="inlineStr">
        <is>
          <t>М4 (4c)
М7 (7e)</t>
        </is>
      </c>
      <c r="N32" s="7" t="inlineStr">
        <is>
          <t>М5 (5c)</t>
        </is>
      </c>
      <c r="O32" s="9" t="inlineStr">
        <is>
          <t>—</t>
        </is>
      </c>
      <c r="P32" s="10" t="inlineStr"/>
      <c r="Q32" s="8" t="inlineStr">
        <is>
          <t>нет</t>
        </is>
      </c>
      <c r="R32" s="4" t="inlineStr"/>
      <c r="S32" s="4" t="inlineStr"/>
    </row>
    <row r="33">
      <c r="A33" s="4" t="n">
        <v>32</v>
      </c>
      <c r="B33" s="4" t="inlineStr">
        <is>
          <t>Грамматика</t>
        </is>
      </c>
      <c r="C33" s="4" t="inlineStr">
        <is>
          <t>Глаголы: to be / have got / модальные</t>
        </is>
      </c>
      <c r="D33" s="5" t="inlineStr">
        <is>
          <t>can/could (ability past)</t>
        </is>
      </c>
      <c r="E33" s="4" t="inlineStr">
        <is>
          <t>10+</t>
        </is>
      </c>
      <c r="F33" s="4" t="inlineStr"/>
      <c r="G33" s="4" t="inlineStr"/>
      <c r="H33" s="4" t="inlineStr"/>
      <c r="I33" s="4" t="inlineStr"/>
      <c r="J33" s="4" t="inlineStr"/>
      <c r="K33" s="7" t="inlineStr">
        <is>
          <t>М7 (7c)</t>
        </is>
      </c>
      <c r="L33" s="7" t="inlineStr">
        <is>
          <t>М7 (7d)</t>
        </is>
      </c>
      <c r="M33" s="7" t="inlineStr">
        <is>
          <t>М4 (4c)</t>
        </is>
      </c>
      <c r="N33" s="7" t="inlineStr">
        <is>
          <t>М5 (5c)</t>
        </is>
      </c>
      <c r="O33" s="9" t="inlineStr">
        <is>
          <t>—</t>
        </is>
      </c>
      <c r="P33" s="10" t="inlineStr"/>
      <c r="Q33" s="8" t="inlineStr">
        <is>
          <t>нет</t>
        </is>
      </c>
      <c r="R33" s="4" t="inlineStr"/>
      <c r="S33" s="4" t="inlineStr"/>
    </row>
    <row r="34">
      <c r="A34" s="4" t="n">
        <v>33</v>
      </c>
      <c r="B34" s="4" t="inlineStr">
        <is>
          <t>Грамматика</t>
        </is>
      </c>
      <c r="C34" s="4" t="inlineStr">
        <is>
          <t>Глаголы: to be / have got / модальные</t>
        </is>
      </c>
      <c r="D34" s="5" t="inlineStr">
        <is>
          <t>Semi-modals</t>
        </is>
      </c>
      <c r="E34" s="4" t="inlineStr">
        <is>
          <t>10+</t>
        </is>
      </c>
      <c r="F34" s="4" t="inlineStr"/>
      <c r="G34" s="4" t="inlineStr"/>
      <c r="H34" s="4" t="inlineStr"/>
      <c r="I34" s="4" t="inlineStr"/>
      <c r="J34" s="4" t="inlineStr"/>
      <c r="K34" s="4" t="inlineStr"/>
      <c r="L34" s="4" t="inlineStr"/>
      <c r="M34" s="4" t="inlineStr"/>
      <c r="N34" s="7" t="inlineStr">
        <is>
          <t>М5 (5c)</t>
        </is>
      </c>
      <c r="O34" s="9" t="inlineStr">
        <is>
          <t>—</t>
        </is>
      </c>
      <c r="P34" s="10" t="inlineStr"/>
      <c r="Q34" s="8" t="inlineStr">
        <is>
          <t>нет</t>
        </is>
      </c>
      <c r="R34" s="4" t="inlineStr"/>
      <c r="S34" s="4" t="inlineStr"/>
    </row>
    <row r="35">
      <c r="A35" s="4" t="n">
        <v>34</v>
      </c>
      <c r="B35" s="4" t="inlineStr">
        <is>
          <t>Грамматика</t>
        </is>
      </c>
      <c r="C35" s="4" t="inlineStr">
        <is>
          <t>Глаголы: to be / have got / модальные</t>
        </is>
      </c>
      <c r="D35" s="5" t="inlineStr">
        <is>
          <t>must/have to (obligation)</t>
        </is>
      </c>
      <c r="E35" s="4" t="inlineStr">
        <is>
          <t>10+</t>
        </is>
      </c>
      <c r="F35" s="4" t="inlineStr"/>
      <c r="G35" s="4" t="inlineStr"/>
      <c r="H35" s="4" t="inlineStr"/>
      <c r="I35" s="4" t="inlineStr"/>
      <c r="J35" s="4" t="inlineStr"/>
      <c r="K35" s="4" t="inlineStr"/>
      <c r="L35" s="4" t="inlineStr"/>
      <c r="M35" s="4" t="inlineStr"/>
      <c r="N35" s="7" t="inlineStr">
        <is>
          <t>М5 (5c)</t>
        </is>
      </c>
      <c r="O35" s="9" t="inlineStr">
        <is>
          <t>—</t>
        </is>
      </c>
      <c r="P35" s="10" t="inlineStr"/>
      <c r="Q35" s="8" t="inlineStr">
        <is>
          <t>нет</t>
        </is>
      </c>
      <c r="R35" s="4" t="inlineStr"/>
      <c r="S35" s="4" t="inlineStr"/>
    </row>
    <row r="36">
      <c r="A36" s="4" t="n">
        <v>35</v>
      </c>
      <c r="B36" s="4" t="inlineStr">
        <is>
          <t>Грамматика</t>
        </is>
      </c>
      <c r="C36" s="4" t="inlineStr">
        <is>
          <t>Глаголы: другое</t>
        </is>
      </c>
      <c r="D36" s="5" t="inlineStr">
        <is>
          <t>Conditionals (Type 0)</t>
        </is>
      </c>
      <c r="E36" s="4" t="inlineStr">
        <is>
          <t>10+</t>
        </is>
      </c>
      <c r="F36" s="4" t="inlineStr"/>
      <c r="G36" s="4" t="inlineStr"/>
      <c r="H36" s="4" t="inlineStr"/>
      <c r="I36" s="4" t="inlineStr"/>
      <c r="J36" s="7" t="inlineStr">
        <is>
          <t>М5</t>
        </is>
      </c>
      <c r="K36" s="7" t="inlineStr">
        <is>
          <t>М8 (8c)</t>
        </is>
      </c>
      <c r="L36" s="4" t="inlineStr"/>
      <c r="M36" s="7" t="inlineStr">
        <is>
          <t>М6 (6c)</t>
        </is>
      </c>
      <c r="N36" s="4" t="inlineStr"/>
      <c r="O36" s="9" t="inlineStr">
        <is>
          <t>—</t>
        </is>
      </c>
      <c r="P36" s="10" t="inlineStr"/>
      <c r="Q36" s="8" t="inlineStr">
        <is>
          <t>нет</t>
        </is>
      </c>
      <c r="R36" s="4" t="inlineStr"/>
      <c r="S36" s="4" t="inlineStr"/>
    </row>
    <row r="37">
      <c r="A37" s="4" t="n">
        <v>36</v>
      </c>
      <c r="B37" s="4" t="inlineStr">
        <is>
          <t>Грамматика</t>
        </is>
      </c>
      <c r="C37" s="4" t="inlineStr">
        <is>
          <t>Глаголы: другое</t>
        </is>
      </c>
      <c r="D37" s="5" t="inlineStr">
        <is>
          <t>Conditionals (Type 1)</t>
        </is>
      </c>
      <c r="E37" s="4" t="inlineStr">
        <is>
          <t>10+</t>
        </is>
      </c>
      <c r="F37" s="4" t="inlineStr"/>
      <c r="G37" s="4" t="inlineStr"/>
      <c r="H37" s="4" t="inlineStr"/>
      <c r="I37" s="4" t="inlineStr"/>
      <c r="J37" s="7" t="inlineStr">
        <is>
          <t>М5</t>
        </is>
      </c>
      <c r="K37" s="7" t="inlineStr">
        <is>
          <t>М8 (8c)</t>
        </is>
      </c>
      <c r="L37" s="7" t="inlineStr">
        <is>
          <t>М7 (7c)</t>
        </is>
      </c>
      <c r="M37" s="7" t="inlineStr">
        <is>
          <t>М6 (6c)</t>
        </is>
      </c>
      <c r="N37" s="7" t="inlineStr">
        <is>
          <t>М7 (7c)</t>
        </is>
      </c>
      <c r="O37" s="9" t="inlineStr">
        <is>
          <t>—</t>
        </is>
      </c>
      <c r="P37" s="10" t="inlineStr"/>
      <c r="Q37" s="8" t="inlineStr">
        <is>
          <t>нет</t>
        </is>
      </c>
      <c r="R37" s="4" t="inlineStr"/>
      <c r="S37" s="4" t="inlineStr"/>
    </row>
    <row r="38">
      <c r="A38" s="4" t="n">
        <v>37</v>
      </c>
      <c r="B38" s="4" t="inlineStr">
        <is>
          <t>Грамматика</t>
        </is>
      </c>
      <c r="C38" s="4" t="inlineStr">
        <is>
          <t>Глаголы: другое</t>
        </is>
      </c>
      <c r="D38" s="5" t="inlineStr">
        <is>
          <t>Irregular verbs (list)</t>
        </is>
      </c>
      <c r="E38" s="4" t="inlineStr">
        <is>
          <t>10+</t>
        </is>
      </c>
      <c r="F38" s="4" t="inlineStr"/>
      <c r="G38" s="4" t="inlineStr"/>
      <c r="H38" s="4" t="inlineStr"/>
      <c r="I38" s="4" t="inlineStr"/>
      <c r="J38" s="7" t="inlineStr">
        <is>
          <t>Irregular Verbs</t>
        </is>
      </c>
      <c r="K38" s="7" t="inlineStr">
        <is>
          <t>Irregular Verbs</t>
        </is>
      </c>
      <c r="L38" s="7" t="inlineStr">
        <is>
          <t>Irregular Verbs</t>
        </is>
      </c>
      <c r="M38" s="7" t="inlineStr">
        <is>
          <t>Irregular Verbs</t>
        </is>
      </c>
      <c r="N38" s="7" t="inlineStr">
        <is>
          <t>М1</t>
        </is>
      </c>
      <c r="O38" s="9" t="inlineStr">
        <is>
          <t>—</t>
        </is>
      </c>
      <c r="P38" s="10" t="inlineStr"/>
      <c r="Q38" s="8" t="inlineStr">
        <is>
          <t>нет</t>
        </is>
      </c>
      <c r="R38" s="4" t="inlineStr"/>
      <c r="S38" s="4" t="inlineStr"/>
    </row>
    <row r="39">
      <c r="A39" s="4" t="n">
        <v>38</v>
      </c>
      <c r="B39" s="4" t="inlineStr">
        <is>
          <t>Грамматика</t>
        </is>
      </c>
      <c r="C39" s="4" t="inlineStr">
        <is>
          <t>Глаголы: другое</t>
        </is>
      </c>
      <c r="D39" s="5" t="inlineStr">
        <is>
          <t>used to</t>
        </is>
      </c>
      <c r="E39" s="4" t="inlineStr">
        <is>
          <t>10+</t>
        </is>
      </c>
      <c r="F39" s="4" t="inlineStr"/>
      <c r="G39" s="4" t="inlineStr"/>
      <c r="H39" s="4" t="inlineStr"/>
      <c r="I39" s="4" t="inlineStr"/>
      <c r="J39" s="7" t="inlineStr">
        <is>
          <t>М2</t>
        </is>
      </c>
      <c r="K39" s="4" t="inlineStr"/>
      <c r="L39" s="7" t="inlineStr">
        <is>
          <t>М3 (3c)</t>
        </is>
      </c>
      <c r="M39" s="7" t="inlineStr">
        <is>
          <t>М2 (2c)</t>
        </is>
      </c>
      <c r="N39" s="7" t="inlineStr">
        <is>
          <t>М1 (1c)</t>
        </is>
      </c>
      <c r="O39" s="9" t="inlineStr">
        <is>
          <t>—</t>
        </is>
      </c>
      <c r="P39" s="10" t="inlineStr"/>
      <c r="Q39" s="8" t="inlineStr">
        <is>
          <t>нет</t>
        </is>
      </c>
      <c r="R39" s="4" t="inlineStr"/>
      <c r="S39" s="4" t="inlineStr"/>
    </row>
    <row r="40">
      <c r="A40" s="4" t="n">
        <v>39</v>
      </c>
      <c r="B40" s="4" t="inlineStr">
        <is>
          <t>Грамматика</t>
        </is>
      </c>
      <c r="C40" s="4" t="inlineStr">
        <is>
          <t>Глаголы: другое</t>
        </is>
      </c>
      <c r="D40" s="5" t="inlineStr">
        <is>
          <t>Causative (have something done)</t>
        </is>
      </c>
      <c r="E40" s="4" t="inlineStr">
        <is>
          <t>10+</t>
        </is>
      </c>
      <c r="F40" s="4" t="inlineStr"/>
      <c r="G40" s="4" t="inlineStr"/>
      <c r="H40" s="4" t="inlineStr"/>
      <c r="I40" s="4" t="inlineStr"/>
      <c r="J40" s="4" t="inlineStr"/>
      <c r="K40" s="7" t="inlineStr">
        <is>
          <t>М4 (4d)</t>
        </is>
      </c>
      <c r="L40" s="7" t="inlineStr">
        <is>
          <t>М6 (6c)</t>
        </is>
      </c>
      <c r="M40" s="4" t="inlineStr"/>
      <c r="N40" s="7" t="inlineStr">
        <is>
          <t>М4 (4c)</t>
        </is>
      </c>
      <c r="O40" s="9" t="inlineStr">
        <is>
          <t>—</t>
        </is>
      </c>
      <c r="P40" s="10" t="inlineStr"/>
      <c r="Q40" s="8" t="inlineStr">
        <is>
          <t>нет</t>
        </is>
      </c>
      <c r="R40" s="4" t="inlineStr"/>
      <c r="S40" s="4" t="inlineStr"/>
    </row>
    <row r="41">
      <c r="A41" s="4" t="n">
        <v>40</v>
      </c>
      <c r="B41" s="4" t="inlineStr">
        <is>
          <t>Грамматика</t>
        </is>
      </c>
      <c r="C41" s="4" t="inlineStr">
        <is>
          <t>Глаголы: другое</t>
        </is>
      </c>
      <c r="D41" s="5" t="inlineStr">
        <is>
          <t>Conditionals (Type 2)</t>
        </is>
      </c>
      <c r="E41" s="4" t="inlineStr">
        <is>
          <t>10+</t>
        </is>
      </c>
      <c r="F41" s="4" t="inlineStr"/>
      <c r="G41" s="4" t="inlineStr"/>
      <c r="H41" s="4" t="inlineStr"/>
      <c r="I41" s="4" t="inlineStr"/>
      <c r="J41" s="4" t="inlineStr"/>
      <c r="K41" s="7" t="inlineStr">
        <is>
          <t>М8 (8c)</t>
        </is>
      </c>
      <c r="L41" s="7" t="inlineStr">
        <is>
          <t>М7 (7c)</t>
        </is>
      </c>
      <c r="M41" s="7" t="inlineStr">
        <is>
          <t>М6 (6c)</t>
        </is>
      </c>
      <c r="N41" s="7" t="inlineStr">
        <is>
          <t>М7 (7c)</t>
        </is>
      </c>
      <c r="O41" s="9" t="inlineStr">
        <is>
          <t>—</t>
        </is>
      </c>
      <c r="P41" s="10" t="inlineStr"/>
      <c r="Q41" s="8" t="inlineStr">
        <is>
          <t>нет</t>
        </is>
      </c>
      <c r="R41" s="4" t="inlineStr"/>
      <c r="S41" s="4" t="inlineStr"/>
    </row>
    <row r="42">
      <c r="A42" s="4" t="n">
        <v>41</v>
      </c>
      <c r="B42" s="4" t="inlineStr">
        <is>
          <t>Грамматика</t>
        </is>
      </c>
      <c r="C42" s="4" t="inlineStr">
        <is>
          <t>Глаголы: другое</t>
        </is>
      </c>
      <c r="D42" s="5" t="inlineStr">
        <is>
          <t>Conditionals (Type 3)</t>
        </is>
      </c>
      <c r="E42" s="4" t="inlineStr">
        <is>
          <t>10+</t>
        </is>
      </c>
      <c r="F42" s="4" t="inlineStr"/>
      <c r="G42" s="4" t="inlineStr"/>
      <c r="H42" s="4" t="inlineStr"/>
      <c r="I42" s="4" t="inlineStr"/>
      <c r="J42" s="4" t="inlineStr"/>
      <c r="K42" s="7" t="inlineStr">
        <is>
          <t>М8 (8c)</t>
        </is>
      </c>
      <c r="L42" s="7" t="inlineStr">
        <is>
          <t>М7 (7c)</t>
        </is>
      </c>
      <c r="M42" s="7" t="inlineStr">
        <is>
          <t>М6 (6c)</t>
        </is>
      </c>
      <c r="N42" s="7" t="inlineStr">
        <is>
          <t>М7 (7c)</t>
        </is>
      </c>
      <c r="O42" s="9" t="inlineStr">
        <is>
          <t>—</t>
        </is>
      </c>
      <c r="P42" s="10" t="inlineStr"/>
      <c r="Q42" s="8" t="inlineStr">
        <is>
          <t>нет</t>
        </is>
      </c>
      <c r="R42" s="4" t="inlineStr"/>
      <c r="S42" s="4" t="inlineStr"/>
    </row>
    <row r="43">
      <c r="A43" s="4" t="n">
        <v>42</v>
      </c>
      <c r="B43" s="4" t="inlineStr">
        <is>
          <t>Грамматика</t>
        </is>
      </c>
      <c r="C43" s="4" t="inlineStr">
        <is>
          <t>Глаголы: другое</t>
        </is>
      </c>
      <c r="D43" s="5" t="inlineStr">
        <is>
          <t>Infinitive / -ing form</t>
        </is>
      </c>
      <c r="E43" s="4" t="inlineStr">
        <is>
          <t>10+</t>
        </is>
      </c>
      <c r="F43" s="4" t="inlineStr"/>
      <c r="G43" s="4" t="inlineStr"/>
      <c r="H43" s="4" t="inlineStr"/>
      <c r="I43" s="4" t="inlineStr"/>
      <c r="J43" s="4" t="inlineStr"/>
      <c r="K43" s="7" t="inlineStr">
        <is>
          <t>М5 (5c)</t>
        </is>
      </c>
      <c r="L43" s="7" t="inlineStr">
        <is>
          <t>М2 (2c)</t>
        </is>
      </c>
      <c r="M43" s="7" t="inlineStr">
        <is>
          <t>М2 (2c)</t>
        </is>
      </c>
      <c r="N43" s="7" t="inlineStr">
        <is>
          <t>М3 (3c)</t>
        </is>
      </c>
      <c r="O43" s="9" t="inlineStr">
        <is>
          <t>—</t>
        </is>
      </c>
      <c r="P43" s="10" t="inlineStr"/>
      <c r="Q43" s="8" t="inlineStr">
        <is>
          <t>нет</t>
        </is>
      </c>
      <c r="R43" s="4" t="inlineStr"/>
      <c r="S43" s="4" t="inlineStr"/>
    </row>
    <row r="44">
      <c r="A44" s="4" t="n">
        <v>43</v>
      </c>
      <c r="B44" s="4" t="inlineStr">
        <is>
          <t>Грамматика</t>
        </is>
      </c>
      <c r="C44" s="4" t="inlineStr">
        <is>
          <t>Глаголы: другое</t>
        </is>
      </c>
      <c r="D44" s="5" t="inlineStr">
        <is>
          <t>Passive Voice</t>
        </is>
      </c>
      <c r="E44" s="4" t="inlineStr">
        <is>
          <t>10+</t>
        </is>
      </c>
      <c r="F44" s="4" t="inlineStr"/>
      <c r="G44" s="4" t="inlineStr"/>
      <c r="H44" s="4" t="inlineStr"/>
      <c r="I44" s="4" t="inlineStr"/>
      <c r="J44" s="4" t="inlineStr"/>
      <c r="K44" s="7" t="inlineStr">
        <is>
          <t>М4 (4c)</t>
        </is>
      </c>
      <c r="L44" s="7" t="inlineStr">
        <is>
          <t>М6 (6c)</t>
        </is>
      </c>
      <c r="M44" s="7" t="inlineStr">
        <is>
          <t>М7 (7c)</t>
        </is>
      </c>
      <c r="N44" s="7" t="inlineStr">
        <is>
          <t>М4 (4c)</t>
        </is>
      </c>
      <c r="O44" s="9" t="inlineStr">
        <is>
          <t>—</t>
        </is>
      </c>
      <c r="P44" s="10" t="inlineStr"/>
      <c r="Q44" s="8" t="inlineStr">
        <is>
          <t>нет</t>
        </is>
      </c>
      <c r="R44" s="4" t="inlineStr"/>
      <c r="S44" s="4" t="inlineStr"/>
    </row>
    <row r="45">
      <c r="A45" s="4" t="n">
        <v>44</v>
      </c>
      <c r="B45" s="4" t="inlineStr">
        <is>
          <t>Грамматика</t>
        </is>
      </c>
      <c r="C45" s="4" t="inlineStr">
        <is>
          <t>Глаголы: другое</t>
        </is>
      </c>
      <c r="D45" s="5" t="inlineStr">
        <is>
          <t>Reported Speech</t>
        </is>
      </c>
      <c r="E45" s="4" t="inlineStr">
        <is>
          <t>10+</t>
        </is>
      </c>
      <c r="F45" s="4" t="inlineStr"/>
      <c r="G45" s="4" t="inlineStr"/>
      <c r="H45" s="4" t="inlineStr"/>
      <c r="I45" s="4" t="inlineStr"/>
      <c r="J45" s="4" t="inlineStr"/>
      <c r="K45" s="7" t="inlineStr">
        <is>
          <t>М6 (6c)</t>
        </is>
      </c>
      <c r="L45" s="7" t="inlineStr">
        <is>
          <t>М8 (8c)</t>
        </is>
      </c>
      <c r="M45" s="7" t="inlineStr">
        <is>
          <t>М8 (8c)</t>
        </is>
      </c>
      <c r="N45" s="7" t="inlineStr">
        <is>
          <t>М6 (6c)</t>
        </is>
      </c>
      <c r="O45" s="9" t="inlineStr">
        <is>
          <t>—</t>
        </is>
      </c>
      <c r="P45" s="10" t="inlineStr"/>
      <c r="Q45" s="8" t="inlineStr">
        <is>
          <t>нет</t>
        </is>
      </c>
      <c r="R45" s="4" t="inlineStr"/>
      <c r="S45" s="4" t="inlineStr"/>
    </row>
    <row r="46">
      <c r="A46" s="4" t="n">
        <v>45</v>
      </c>
      <c r="B46" s="4" t="inlineStr">
        <is>
          <t>Грамматика</t>
        </is>
      </c>
      <c r="C46" s="4" t="inlineStr">
        <is>
          <t>Глаголы: другое</t>
        </is>
      </c>
      <c r="D46" s="5" t="inlineStr">
        <is>
          <t>Reported Speech: modal verbs</t>
        </is>
      </c>
      <c r="E46" s="4" t="inlineStr">
        <is>
          <t>10+</t>
        </is>
      </c>
      <c r="F46" s="4" t="inlineStr"/>
      <c r="G46" s="4" t="inlineStr"/>
      <c r="H46" s="4" t="inlineStr"/>
      <c r="I46" s="4" t="inlineStr"/>
      <c r="J46" s="4" t="inlineStr"/>
      <c r="K46" s="7" t="inlineStr">
        <is>
          <t>М6 (6c)</t>
        </is>
      </c>
      <c r="L46" s="4" t="inlineStr"/>
      <c r="M46" s="7" t="inlineStr">
        <is>
          <t>М8 (8c)</t>
        </is>
      </c>
      <c r="N46" s="7" t="inlineStr">
        <is>
          <t>М6 (6c)</t>
        </is>
      </c>
      <c r="O46" s="9" t="inlineStr">
        <is>
          <t>—</t>
        </is>
      </c>
      <c r="P46" s="10" t="inlineStr"/>
      <c r="Q46" s="8" t="inlineStr">
        <is>
          <t>нет</t>
        </is>
      </c>
      <c r="R46" s="4" t="inlineStr"/>
      <c r="S46" s="4" t="inlineStr"/>
    </row>
    <row r="47">
      <c r="A47" s="4" t="n">
        <v>46</v>
      </c>
      <c r="B47" s="4" t="inlineStr">
        <is>
          <t>Грамматика</t>
        </is>
      </c>
      <c r="C47" s="4" t="inlineStr">
        <is>
          <t>Глаголы: другое</t>
        </is>
      </c>
      <c r="D47" s="5" t="inlineStr">
        <is>
          <t>Reported commands/requests</t>
        </is>
      </c>
      <c r="E47" s="4" t="inlineStr">
        <is>
          <t>10+</t>
        </is>
      </c>
      <c r="F47" s="4" t="inlineStr"/>
      <c r="G47" s="4" t="inlineStr"/>
      <c r="H47" s="4" t="inlineStr"/>
      <c r="I47" s="4" t="inlineStr"/>
      <c r="J47" s="4" t="inlineStr"/>
      <c r="K47" s="7" t="inlineStr">
        <is>
          <t>М6 (6c)</t>
        </is>
      </c>
      <c r="L47" s="4" t="inlineStr"/>
      <c r="M47" s="7" t="inlineStr">
        <is>
          <t>М8 (8c)</t>
        </is>
      </c>
      <c r="N47" s="7" t="inlineStr">
        <is>
          <t>М6 (6c)</t>
        </is>
      </c>
      <c r="O47" s="9" t="inlineStr">
        <is>
          <t>—</t>
        </is>
      </c>
      <c r="P47" s="10" t="inlineStr"/>
      <c r="Q47" s="8" t="inlineStr">
        <is>
          <t>нет</t>
        </is>
      </c>
      <c r="R47" s="4" t="inlineStr"/>
      <c r="S47" s="4" t="inlineStr"/>
    </row>
    <row r="48">
      <c r="A48" s="4" t="n">
        <v>47</v>
      </c>
      <c r="B48" s="4" t="inlineStr">
        <is>
          <t>Грамматика</t>
        </is>
      </c>
      <c r="C48" s="4" t="inlineStr">
        <is>
          <t>Глаголы: другое</t>
        </is>
      </c>
      <c r="D48" s="5" t="inlineStr">
        <is>
          <t>Reported questions</t>
        </is>
      </c>
      <c r="E48" s="4" t="inlineStr">
        <is>
          <t>10+</t>
        </is>
      </c>
      <c r="F48" s="4" t="inlineStr"/>
      <c r="G48" s="4" t="inlineStr"/>
      <c r="H48" s="4" t="inlineStr"/>
      <c r="I48" s="4" t="inlineStr"/>
      <c r="J48" s="4" t="inlineStr"/>
      <c r="K48" s="7" t="inlineStr">
        <is>
          <t>М6 (6c)</t>
        </is>
      </c>
      <c r="L48" s="4" t="inlineStr"/>
      <c r="M48" s="7" t="inlineStr">
        <is>
          <t>М8 (8c)</t>
        </is>
      </c>
      <c r="N48" s="7" t="inlineStr">
        <is>
          <t>М6 (6c)</t>
        </is>
      </c>
      <c r="O48" s="9" t="inlineStr">
        <is>
          <t>—</t>
        </is>
      </c>
      <c r="P48" s="10" t="inlineStr"/>
      <c r="Q48" s="8" t="inlineStr">
        <is>
          <t>нет</t>
        </is>
      </c>
      <c r="R48" s="4" t="inlineStr"/>
      <c r="S48" s="4" t="inlineStr"/>
    </row>
    <row r="49">
      <c r="A49" s="4" t="n">
        <v>48</v>
      </c>
      <c r="B49" s="4" t="inlineStr">
        <is>
          <t>Грамматика</t>
        </is>
      </c>
      <c r="C49" s="4" t="inlineStr">
        <is>
          <t>Глаголы: другое</t>
        </is>
      </c>
      <c r="D49" s="5" t="inlineStr">
        <is>
          <t>be/get used to</t>
        </is>
      </c>
      <c r="E49" s="4" t="inlineStr">
        <is>
          <t>10+</t>
        </is>
      </c>
      <c r="F49" s="4" t="inlineStr"/>
      <c r="G49" s="4" t="inlineStr"/>
      <c r="H49" s="4" t="inlineStr"/>
      <c r="I49" s="4" t="inlineStr"/>
      <c r="J49" s="4" t="inlineStr"/>
      <c r="K49" s="7" t="inlineStr">
        <is>
          <t>М5 (5c)</t>
        </is>
      </c>
      <c r="L49" s="4" t="inlineStr"/>
      <c r="M49" s="4" t="inlineStr"/>
      <c r="N49" s="7" t="inlineStr">
        <is>
          <t>М1 (1c)</t>
        </is>
      </c>
      <c r="O49" s="9" t="inlineStr">
        <is>
          <t>—</t>
        </is>
      </c>
      <c r="P49" s="10" t="inlineStr"/>
      <c r="Q49" s="8" t="inlineStr">
        <is>
          <t>нет</t>
        </is>
      </c>
      <c r="R49" s="4" t="inlineStr"/>
      <c r="S49" s="4" t="inlineStr"/>
    </row>
    <row r="50">
      <c r="A50" s="4" t="n">
        <v>49</v>
      </c>
      <c r="B50" s="4" t="inlineStr">
        <is>
          <t>Грамматика</t>
        </is>
      </c>
      <c r="C50" s="4" t="inlineStr">
        <is>
          <t>Глаголы: другое</t>
        </is>
      </c>
      <c r="D50" s="5" t="inlineStr">
        <is>
          <t>Expressing preference (prefer / would rather)</t>
        </is>
      </c>
      <c r="E50" s="4" t="inlineStr">
        <is>
          <t>10+</t>
        </is>
      </c>
      <c r="F50" s="4" t="inlineStr"/>
      <c r="G50" s="4" t="inlineStr"/>
      <c r="H50" s="4" t="inlineStr"/>
      <c r="I50" s="4" t="inlineStr"/>
      <c r="J50" s="4" t="inlineStr"/>
      <c r="K50" s="4" t="inlineStr"/>
      <c r="L50" s="7" t="inlineStr">
        <is>
          <t>М5 (5d)</t>
        </is>
      </c>
      <c r="M50" s="7" t="inlineStr">
        <is>
          <t>М2 (2c)</t>
        </is>
      </c>
      <c r="N50" s="7" t="inlineStr">
        <is>
          <t>М3</t>
        </is>
      </c>
      <c r="O50" s="9" t="inlineStr">
        <is>
          <t>—</t>
        </is>
      </c>
      <c r="P50" s="10" t="inlineStr"/>
      <c r="Q50" s="8" t="inlineStr">
        <is>
          <t>нет</t>
        </is>
      </c>
      <c r="R50" s="4" t="inlineStr"/>
      <c r="S50" s="4" t="inlineStr"/>
    </row>
    <row r="51">
      <c r="A51" s="4" t="n">
        <v>50</v>
      </c>
      <c r="B51" s="4" t="inlineStr">
        <is>
          <t>Грамматика</t>
        </is>
      </c>
      <c r="C51" s="4" t="inlineStr">
        <is>
          <t>Глаголы: другое</t>
        </is>
      </c>
      <c r="D51" s="5" t="inlineStr">
        <is>
          <t>Infinitive / -ing form (difference in meaning)</t>
        </is>
      </c>
      <c r="E51" s="4" t="inlineStr">
        <is>
          <t>10+</t>
        </is>
      </c>
      <c r="F51" s="4" t="inlineStr"/>
      <c r="G51" s="4" t="inlineStr"/>
      <c r="H51" s="4" t="inlineStr"/>
      <c r="I51" s="4" t="inlineStr"/>
      <c r="J51" s="4" t="inlineStr"/>
      <c r="K51" s="4" t="inlineStr"/>
      <c r="L51" s="7" t="inlineStr">
        <is>
          <t>М2 (2c)</t>
        </is>
      </c>
      <c r="M51" s="7" t="inlineStr">
        <is>
          <t>М2 (2c)</t>
        </is>
      </c>
      <c r="N51" s="7" t="inlineStr">
        <is>
          <t>М3 (3c)</t>
        </is>
      </c>
      <c r="O51" s="9" t="inlineStr">
        <is>
          <t>—</t>
        </is>
      </c>
      <c r="P51" s="10" t="inlineStr"/>
      <c r="Q51" s="8" t="inlineStr">
        <is>
          <t>нет</t>
        </is>
      </c>
      <c r="R51" s="4" t="inlineStr"/>
      <c r="S51" s="4" t="inlineStr"/>
    </row>
    <row r="52">
      <c r="A52" s="4" t="n">
        <v>51</v>
      </c>
      <c r="B52" s="4" t="inlineStr">
        <is>
          <t>Грамматика</t>
        </is>
      </c>
      <c r="C52" s="4" t="inlineStr">
        <is>
          <t>Глаголы: другое</t>
        </is>
      </c>
      <c r="D52" s="5" t="inlineStr">
        <is>
          <t>Reporting verbs</t>
        </is>
      </c>
      <c r="E52" s="4" t="inlineStr">
        <is>
          <t>10+</t>
        </is>
      </c>
      <c r="F52" s="4" t="inlineStr"/>
      <c r="G52" s="4" t="inlineStr"/>
      <c r="H52" s="4" t="inlineStr"/>
      <c r="I52" s="4" t="inlineStr"/>
      <c r="J52" s="4" t="inlineStr"/>
      <c r="K52" s="4" t="inlineStr"/>
      <c r="L52" s="7" t="inlineStr">
        <is>
          <t>М8 (8c)</t>
        </is>
      </c>
      <c r="M52" s="7" t="inlineStr">
        <is>
          <t>М8 (8c)</t>
        </is>
      </c>
      <c r="N52" s="7" t="inlineStr">
        <is>
          <t>М6 (6c)</t>
        </is>
      </c>
      <c r="O52" s="9" t="inlineStr">
        <is>
          <t>—</t>
        </is>
      </c>
      <c r="P52" s="10" t="inlineStr"/>
      <c r="Q52" s="8" t="inlineStr">
        <is>
          <t>нет</t>
        </is>
      </c>
      <c r="R52" s="4" t="inlineStr"/>
      <c r="S52" s="4" t="inlineStr"/>
    </row>
    <row r="53">
      <c r="A53" s="4" t="n">
        <v>52</v>
      </c>
      <c r="B53" s="4" t="inlineStr">
        <is>
          <t>Грамматика</t>
        </is>
      </c>
      <c r="C53" s="4" t="inlineStr">
        <is>
          <t>Глаголы: другое</t>
        </is>
      </c>
      <c r="D53" s="5" t="inlineStr">
        <is>
          <t>Wishes (I wish / If only)</t>
        </is>
      </c>
      <c r="E53" s="4" t="inlineStr">
        <is>
          <t>10+</t>
        </is>
      </c>
      <c r="F53" s="4" t="inlineStr"/>
      <c r="G53" s="4" t="inlineStr"/>
      <c r="H53" s="4" t="inlineStr"/>
      <c r="I53" s="4" t="inlineStr"/>
      <c r="J53" s="4" t="inlineStr"/>
      <c r="K53" s="4" t="inlineStr"/>
      <c r="L53" s="7" t="inlineStr">
        <is>
          <t>М7 (7c)</t>
        </is>
      </c>
      <c r="M53" s="7" t="inlineStr">
        <is>
          <t>М6 (6c)</t>
        </is>
      </c>
      <c r="N53" s="7" t="inlineStr">
        <is>
          <t>М7 (7c)</t>
        </is>
      </c>
      <c r="O53" s="9" t="inlineStr">
        <is>
          <t>—</t>
        </is>
      </c>
      <c r="P53" s="10" t="inlineStr"/>
      <c r="Q53" s="8" t="inlineStr">
        <is>
          <t>нет</t>
        </is>
      </c>
      <c r="R53" s="4" t="inlineStr"/>
      <c r="S53" s="4" t="inlineStr"/>
    </row>
    <row r="54">
      <c r="A54" s="4" t="n">
        <v>53</v>
      </c>
      <c r="B54" s="4" t="inlineStr">
        <is>
          <t>Грамматика</t>
        </is>
      </c>
      <c r="C54" s="4" t="inlineStr">
        <is>
          <t>Глаголы: другое</t>
        </is>
      </c>
      <c r="D54" s="5" t="inlineStr">
        <is>
          <t>would (past habits)</t>
        </is>
      </c>
      <c r="E54" s="4" t="inlineStr">
        <is>
          <t>10+</t>
        </is>
      </c>
      <c r="F54" s="4" t="inlineStr"/>
      <c r="G54" s="4" t="inlineStr"/>
      <c r="H54" s="4" t="inlineStr"/>
      <c r="I54" s="4" t="inlineStr"/>
      <c r="J54" s="4" t="inlineStr"/>
      <c r="K54" s="4" t="inlineStr"/>
      <c r="L54" s="7" t="inlineStr">
        <is>
          <t>М3 (3c)</t>
        </is>
      </c>
      <c r="M54" s="4" t="inlineStr"/>
      <c r="N54" s="4" t="inlineStr"/>
      <c r="O54" s="9" t="inlineStr">
        <is>
          <t>—</t>
        </is>
      </c>
      <c r="P54" s="10" t="inlineStr"/>
      <c r="Q54" s="8" t="inlineStr">
        <is>
          <t>нет</t>
        </is>
      </c>
      <c r="R54" s="4" t="inlineStr"/>
      <c r="S54" s="4" t="inlineStr"/>
    </row>
    <row r="55">
      <c r="A55" s="4" t="n">
        <v>54</v>
      </c>
      <c r="B55" s="4" t="inlineStr">
        <is>
          <t>Грамматика</t>
        </is>
      </c>
      <c r="C55" s="4" t="inlineStr">
        <is>
          <t>Существительные и артикли</t>
        </is>
      </c>
      <c r="D55" s="5" t="inlineStr">
        <is>
          <t>Countable / Uncountable nouns</t>
        </is>
      </c>
      <c r="E55" s="4" t="inlineStr">
        <is>
          <t>обе</t>
        </is>
      </c>
      <c r="F55" s="6" t="inlineStr">
        <is>
          <t>М3</t>
        </is>
      </c>
      <c r="G55" s="7" t="inlineStr">
        <is>
          <t>М3</t>
        </is>
      </c>
      <c r="H55" s="7" t="inlineStr">
        <is>
          <t>М8 (8a)</t>
        </is>
      </c>
      <c r="I55" s="7" t="inlineStr">
        <is>
          <t>М9 (9a)</t>
        </is>
      </c>
      <c r="J55" s="7" t="inlineStr">
        <is>
          <t>М9</t>
        </is>
      </c>
      <c r="K55" s="7" t="inlineStr">
        <is>
          <t>М2 (2d)</t>
        </is>
      </c>
      <c r="L55" s="4" t="inlineStr"/>
      <c r="M55" s="4" t="inlineStr"/>
      <c r="N55" s="7" t="inlineStr">
        <is>
          <t>М8 (8c)</t>
        </is>
      </c>
      <c r="O55" s="8" t="inlineStr">
        <is>
          <t>нет</t>
        </is>
      </c>
      <c r="P55" s="4" t="inlineStr"/>
      <c r="Q55" s="8" t="inlineStr">
        <is>
          <t>нет</t>
        </is>
      </c>
      <c r="R55" s="4" t="inlineStr"/>
      <c r="S55" s="4" t="inlineStr"/>
    </row>
    <row r="56">
      <c r="A56" s="4" t="n">
        <v>55</v>
      </c>
      <c r="B56" s="4" t="inlineStr">
        <is>
          <t>Грамматика</t>
        </is>
      </c>
      <c r="C56" s="4" t="inlineStr">
        <is>
          <t>Существительные и артикли</t>
        </is>
      </c>
      <c r="D56" s="5" t="inlineStr">
        <is>
          <t>Plurals (irregular)</t>
        </is>
      </c>
      <c r="E56" s="4" t="inlineStr">
        <is>
          <t>обе</t>
        </is>
      </c>
      <c r="F56" s="6" t="inlineStr">
        <is>
          <t>М5</t>
        </is>
      </c>
      <c r="G56" s="4" t="inlineStr"/>
      <c r="H56" s="7" t="inlineStr">
        <is>
          <t>М2 (2b)</t>
        </is>
      </c>
      <c r="I56" s="7" t="inlineStr">
        <is>
          <t>М1</t>
        </is>
      </c>
      <c r="J56" s="4" t="inlineStr"/>
      <c r="K56" s="4" t="inlineStr"/>
      <c r="L56" s="4" t="inlineStr"/>
      <c r="M56" s="4" t="inlineStr"/>
      <c r="N56" s="4" t="inlineStr"/>
      <c r="O56" s="8" t="inlineStr">
        <is>
          <t>нет</t>
        </is>
      </c>
      <c r="P56" s="4" t="inlineStr"/>
      <c r="Q56" s="8" t="inlineStr">
        <is>
          <t>нет</t>
        </is>
      </c>
      <c r="R56" s="4" t="inlineStr"/>
      <c r="S56" s="4" t="inlineStr"/>
    </row>
    <row r="57">
      <c r="A57" s="4" t="n">
        <v>56</v>
      </c>
      <c r="B57" s="4" t="inlineStr">
        <is>
          <t>Грамматика</t>
        </is>
      </c>
      <c r="C57" s="4" t="inlineStr">
        <is>
          <t>Существительные и артикли</t>
        </is>
      </c>
      <c r="D57" s="5" t="inlineStr">
        <is>
          <t>Plurals (regular)</t>
        </is>
      </c>
      <c r="E57" s="4" t="inlineStr">
        <is>
          <t>обе</t>
        </is>
      </c>
      <c r="F57" s="6" t="inlineStr">
        <is>
          <t>М2
М6</t>
        </is>
      </c>
      <c r="G57" s="4" t="inlineStr"/>
      <c r="H57" s="7" t="inlineStr">
        <is>
          <t>М2 (2b)</t>
        </is>
      </c>
      <c r="I57" s="7" t="inlineStr">
        <is>
          <t>М1</t>
        </is>
      </c>
      <c r="J57" s="4" t="inlineStr"/>
      <c r="K57" s="4" t="inlineStr"/>
      <c r="L57" s="4" t="inlineStr"/>
      <c r="M57" s="4" t="inlineStr"/>
      <c r="N57" s="4" t="inlineStr"/>
      <c r="O57" s="8" t="inlineStr">
        <is>
          <t>нет</t>
        </is>
      </c>
      <c r="P57" s="4" t="inlineStr"/>
      <c r="Q57" s="8" t="inlineStr">
        <is>
          <t>нет</t>
        </is>
      </c>
      <c r="R57" s="4" t="inlineStr"/>
      <c r="S57" s="4" t="inlineStr"/>
    </row>
    <row r="58">
      <c r="A58" s="4" t="n">
        <v>57</v>
      </c>
      <c r="B58" s="4" t="inlineStr">
        <is>
          <t>Грамматика</t>
        </is>
      </c>
      <c r="C58" s="4" t="inlineStr">
        <is>
          <t>Существительные и артикли</t>
        </is>
      </c>
      <c r="D58" s="5" t="inlineStr">
        <is>
          <t>Possessive case ('s)</t>
        </is>
      </c>
      <c r="E58" s="4" t="inlineStr">
        <is>
          <t>обе</t>
        </is>
      </c>
      <c r="F58" s="6" t="inlineStr">
        <is>
          <t>М4</t>
        </is>
      </c>
      <c r="G58" s="4" t="inlineStr"/>
      <c r="H58" s="7" t="inlineStr">
        <is>
          <t>М4 (4b)</t>
        </is>
      </c>
      <c r="I58" s="7" t="inlineStr">
        <is>
          <t>М1 (1a)</t>
        </is>
      </c>
      <c r="J58" s="4" t="inlineStr"/>
      <c r="K58" s="4" t="inlineStr"/>
      <c r="L58" s="4" t="inlineStr"/>
      <c r="M58" s="4" t="inlineStr"/>
      <c r="N58" s="4" t="inlineStr"/>
      <c r="O58" s="8" t="inlineStr">
        <is>
          <t>нет</t>
        </is>
      </c>
      <c r="P58" s="4" t="inlineStr"/>
      <c r="Q58" s="8" t="inlineStr">
        <is>
          <t>нет</t>
        </is>
      </c>
      <c r="R58" s="4" t="inlineStr"/>
      <c r="S58" s="4" t="inlineStr"/>
    </row>
    <row r="59">
      <c r="A59" s="4" t="n">
        <v>58</v>
      </c>
      <c r="B59" s="4" t="inlineStr">
        <is>
          <t>Грамматика</t>
        </is>
      </c>
      <c r="C59" s="4" t="inlineStr">
        <is>
          <t>Существительные и артикли</t>
        </is>
      </c>
      <c r="D59" s="5" t="inlineStr">
        <is>
          <t>a/an</t>
        </is>
      </c>
      <c r="E59" s="4" t="inlineStr">
        <is>
          <t>обе</t>
        </is>
      </c>
      <c r="F59" s="6" t="inlineStr">
        <is>
          <t>М4</t>
        </is>
      </c>
      <c r="G59" s="4" t="inlineStr"/>
      <c r="H59" s="7" t="inlineStr">
        <is>
          <t>М1 (1a)</t>
        </is>
      </c>
      <c r="I59" s="4" t="inlineStr"/>
      <c r="J59" s="4" t="inlineStr"/>
      <c r="K59" s="4" t="inlineStr"/>
      <c r="L59" s="4" t="inlineStr"/>
      <c r="M59" s="4" t="inlineStr"/>
      <c r="N59" s="4" t="inlineStr"/>
      <c r="O59" s="8" t="inlineStr">
        <is>
          <t>нет</t>
        </is>
      </c>
      <c r="P59" s="4" t="inlineStr"/>
      <c r="Q59" s="8" t="inlineStr">
        <is>
          <t>нет</t>
        </is>
      </c>
      <c r="R59" s="4" t="inlineStr"/>
      <c r="S59" s="4" t="inlineStr"/>
    </row>
    <row r="60">
      <c r="A60" s="4" t="n">
        <v>59</v>
      </c>
      <c r="B60" s="4" t="inlineStr">
        <is>
          <t>Грамматика</t>
        </is>
      </c>
      <c r="C60" s="4" t="inlineStr">
        <is>
          <t>Существительные и артикли</t>
        </is>
      </c>
      <c r="D60" s="5" t="inlineStr">
        <is>
          <t>a/an/some/any</t>
        </is>
      </c>
      <c r="E60" s="4" t="inlineStr">
        <is>
          <t>обе</t>
        </is>
      </c>
      <c r="F60" s="6" t="inlineStr">
        <is>
          <t>М3</t>
        </is>
      </c>
      <c r="G60" s="4" t="inlineStr"/>
      <c r="H60" s="7" t="inlineStr">
        <is>
          <t>М8 (8b)</t>
        </is>
      </c>
      <c r="I60" s="7" t="inlineStr">
        <is>
          <t>М2 (2b)</t>
        </is>
      </c>
      <c r="J60" s="7" t="inlineStr">
        <is>
          <t>М9</t>
        </is>
      </c>
      <c r="K60" s="4" t="inlineStr"/>
      <c r="L60" s="4" t="inlineStr"/>
      <c r="M60" s="4" t="inlineStr"/>
      <c r="N60" s="4" t="inlineStr"/>
      <c r="O60" s="8" t="inlineStr">
        <is>
          <t>нет</t>
        </is>
      </c>
      <c r="P60" s="4" t="inlineStr"/>
      <c r="Q60" s="8" t="inlineStr">
        <is>
          <t>нет</t>
        </is>
      </c>
      <c r="R60" s="4" t="inlineStr"/>
      <c r="S60" s="4" t="inlineStr"/>
    </row>
    <row r="61">
      <c r="A61" s="4" t="n">
        <v>60</v>
      </c>
      <c r="B61" s="4" t="inlineStr">
        <is>
          <t>Грамматика</t>
        </is>
      </c>
      <c r="C61" s="4" t="inlineStr">
        <is>
          <t>Существительные и артикли</t>
        </is>
      </c>
      <c r="D61" s="5" t="inlineStr">
        <is>
          <t>much/many/a lot of</t>
        </is>
      </c>
      <c r="E61" s="4" t="inlineStr">
        <is>
          <t>10+</t>
        </is>
      </c>
      <c r="F61" s="4" t="inlineStr"/>
      <c r="G61" s="7" t="inlineStr">
        <is>
          <t>М3</t>
        </is>
      </c>
      <c r="H61" s="7" t="inlineStr">
        <is>
          <t>М8 (8b)</t>
        </is>
      </c>
      <c r="I61" s="7" t="inlineStr">
        <is>
          <t>М9 (9a)</t>
        </is>
      </c>
      <c r="J61" s="7" t="inlineStr">
        <is>
          <t>М9</t>
        </is>
      </c>
      <c r="K61" s="4" t="inlineStr"/>
      <c r="L61" s="4" t="inlineStr"/>
      <c r="M61" s="7" t="inlineStr">
        <is>
          <t>М5 (5c)</t>
        </is>
      </c>
      <c r="N61" s="7" t="inlineStr">
        <is>
          <t>М8 (8c)</t>
        </is>
      </c>
      <c r="O61" s="9" t="inlineStr">
        <is>
          <t>—</t>
        </is>
      </c>
      <c r="P61" s="10" t="inlineStr"/>
      <c r="Q61" s="8" t="inlineStr">
        <is>
          <t>нет</t>
        </is>
      </c>
      <c r="R61" s="4" t="inlineStr"/>
      <c r="S61" s="4" t="inlineStr"/>
    </row>
    <row r="62">
      <c r="A62" s="4" t="n">
        <v>61</v>
      </c>
      <c r="B62" s="4" t="inlineStr">
        <is>
          <t>Грамматика</t>
        </is>
      </c>
      <c r="C62" s="4" t="inlineStr">
        <is>
          <t>Существительные и артикли</t>
        </is>
      </c>
      <c r="D62" s="5" t="inlineStr">
        <is>
          <t>Articles (a/an/the/zero)</t>
        </is>
      </c>
      <c r="E62" s="4" t="inlineStr">
        <is>
          <t>10+</t>
        </is>
      </c>
      <c r="F62" s="4" t="inlineStr"/>
      <c r="G62" s="4" t="inlineStr"/>
      <c r="H62" s="7" t="inlineStr">
        <is>
          <t>М9 (9a)</t>
        </is>
      </c>
      <c r="I62" s="4" t="inlineStr"/>
      <c r="J62" s="4" t="inlineStr"/>
      <c r="K62" s="7" t="inlineStr">
        <is>
          <t>М2 (2b)</t>
        </is>
      </c>
      <c r="L62" s="4" t="inlineStr"/>
      <c r="M62" s="7" t="inlineStr">
        <is>
          <t>М5 (5c)</t>
        </is>
      </c>
      <c r="N62" s="4" t="inlineStr"/>
      <c r="O62" s="9" t="inlineStr">
        <is>
          <t>—</t>
        </is>
      </c>
      <c r="P62" s="10" t="inlineStr"/>
      <c r="Q62" s="8" t="inlineStr">
        <is>
          <t>нет</t>
        </is>
      </c>
      <c r="R62" s="4" t="inlineStr"/>
      <c r="S62" s="4" t="inlineStr"/>
    </row>
    <row r="63">
      <c r="A63" s="4" t="n">
        <v>62</v>
      </c>
      <c r="B63" s="4" t="inlineStr">
        <is>
          <t>Грамматика</t>
        </is>
      </c>
      <c r="C63" s="4" t="inlineStr">
        <is>
          <t>Существительные и артикли</t>
        </is>
      </c>
      <c r="D63" s="5" t="inlineStr">
        <is>
          <t>a few/a little</t>
        </is>
      </c>
      <c r="E63" s="4" t="inlineStr">
        <is>
          <t>10+</t>
        </is>
      </c>
      <c r="F63" s="4" t="inlineStr"/>
      <c r="G63" s="4" t="inlineStr"/>
      <c r="H63" s="7" t="inlineStr">
        <is>
          <t>М8 (8b)</t>
        </is>
      </c>
      <c r="I63" s="7" t="inlineStr">
        <is>
          <t>М9 (9a)</t>
        </is>
      </c>
      <c r="J63" s="7" t="inlineStr">
        <is>
          <t>М9</t>
        </is>
      </c>
      <c r="K63" s="4" t="inlineStr"/>
      <c r="L63" s="7" t="inlineStr">
        <is>
          <t>М8 (8d)</t>
        </is>
      </c>
      <c r="M63" s="7" t="inlineStr">
        <is>
          <t>М5 (5c)</t>
        </is>
      </c>
      <c r="N63" s="7" t="inlineStr">
        <is>
          <t>М8 (8c)</t>
        </is>
      </c>
      <c r="O63" s="9" t="inlineStr">
        <is>
          <t>—</t>
        </is>
      </c>
      <c r="P63" s="10" t="inlineStr"/>
      <c r="Q63" s="8" t="inlineStr">
        <is>
          <t>нет</t>
        </is>
      </c>
      <c r="R63" s="4" t="inlineStr"/>
      <c r="S63" s="4" t="inlineStr"/>
    </row>
    <row r="64">
      <c r="A64" s="4" t="n">
        <v>63</v>
      </c>
      <c r="B64" s="4" t="inlineStr">
        <is>
          <t>Грамматика</t>
        </is>
      </c>
      <c r="C64" s="4" t="inlineStr">
        <is>
          <t>Существительные и артикли</t>
        </is>
      </c>
      <c r="D64" s="5" t="inlineStr">
        <is>
          <t>Partitives (a bottle of…)</t>
        </is>
      </c>
      <c r="E64" s="4" t="inlineStr">
        <is>
          <t>10+</t>
        </is>
      </c>
      <c r="F64" s="4" t="inlineStr"/>
      <c r="G64" s="4" t="inlineStr"/>
      <c r="H64" s="4" t="inlineStr"/>
      <c r="I64" s="4" t="inlineStr"/>
      <c r="J64" s="7" t="inlineStr">
        <is>
          <t>М9</t>
        </is>
      </c>
      <c r="K64" s="4" t="inlineStr"/>
      <c r="L64" s="4" t="inlineStr"/>
      <c r="M64" s="4" t="inlineStr"/>
      <c r="N64" s="4" t="inlineStr"/>
      <c r="O64" s="9" t="inlineStr">
        <is>
          <t>—</t>
        </is>
      </c>
      <c r="P64" s="10" t="inlineStr"/>
      <c r="Q64" s="8" t="inlineStr">
        <is>
          <t>нет</t>
        </is>
      </c>
      <c r="R64" s="4" t="inlineStr"/>
      <c r="S64" s="4" t="inlineStr"/>
    </row>
    <row r="65">
      <c r="A65" s="4" t="n">
        <v>64</v>
      </c>
      <c r="B65" s="4" t="inlineStr">
        <is>
          <t>Грамматика</t>
        </is>
      </c>
      <c r="C65" s="4" t="inlineStr">
        <is>
          <t>Существительные и артикли</t>
        </is>
      </c>
      <c r="D65" s="5" t="inlineStr">
        <is>
          <t>Plurals (only plural / collective nouns)</t>
        </is>
      </c>
      <c r="E65" s="4" t="inlineStr">
        <is>
          <t>10+</t>
        </is>
      </c>
      <c r="F65" s="4" t="inlineStr"/>
      <c r="G65" s="4" t="inlineStr"/>
      <c r="H65" s="4" t="inlineStr"/>
      <c r="I65" s="4" t="inlineStr"/>
      <c r="J65" s="4" t="inlineStr"/>
      <c r="K65" s="7" t="inlineStr">
        <is>
          <t>М2 (2d)</t>
        </is>
      </c>
      <c r="L65" s="4" t="inlineStr"/>
      <c r="M65" s="4" t="inlineStr"/>
      <c r="N65" s="4" t="inlineStr"/>
      <c r="O65" s="9" t="inlineStr">
        <is>
          <t>—</t>
        </is>
      </c>
      <c r="P65" s="10" t="inlineStr"/>
      <c r="Q65" s="8" t="inlineStr">
        <is>
          <t>нет</t>
        </is>
      </c>
      <c r="R65" s="4" t="inlineStr"/>
      <c r="S65" s="4" t="inlineStr"/>
    </row>
    <row r="66">
      <c r="A66" s="4" t="n">
        <v>65</v>
      </c>
      <c r="B66" s="4" t="inlineStr">
        <is>
          <t>Грамматика</t>
        </is>
      </c>
      <c r="C66" s="4" t="inlineStr">
        <is>
          <t>Существительные и артикли</t>
        </is>
      </c>
      <c r="D66" s="5" t="inlineStr">
        <is>
          <t>Quantifiers</t>
        </is>
      </c>
      <c r="E66" s="4" t="inlineStr">
        <is>
          <t>10+</t>
        </is>
      </c>
      <c r="F66" s="4" t="inlineStr"/>
      <c r="G66" s="4" t="inlineStr"/>
      <c r="H66" s="4" t="inlineStr"/>
      <c r="I66" s="4" t="inlineStr"/>
      <c r="J66" s="4" t="inlineStr"/>
      <c r="K66" s="7" t="inlineStr">
        <is>
          <t>М2 (2b)</t>
        </is>
      </c>
      <c r="L66" s="4" t="inlineStr"/>
      <c r="M66" s="4" t="inlineStr"/>
      <c r="N66" s="7" t="inlineStr">
        <is>
          <t>М8 (8c)</t>
        </is>
      </c>
      <c r="O66" s="9" t="inlineStr">
        <is>
          <t>—</t>
        </is>
      </c>
      <c r="P66" s="10" t="inlineStr"/>
      <c r="Q66" s="8" t="inlineStr">
        <is>
          <t>нет</t>
        </is>
      </c>
      <c r="R66" s="4" t="inlineStr"/>
      <c r="S66" s="4" t="inlineStr"/>
    </row>
    <row r="67">
      <c r="A67" s="4" t="n">
        <v>66</v>
      </c>
      <c r="B67" s="4" t="inlineStr">
        <is>
          <t>Грамматика</t>
        </is>
      </c>
      <c r="C67" s="4" t="inlineStr">
        <is>
          <t>Местоимения</t>
        </is>
      </c>
      <c r="D67" s="5" t="inlineStr">
        <is>
          <t>Demonstratives (this/that/these/those)</t>
        </is>
      </c>
      <c r="E67" s="4" t="inlineStr">
        <is>
          <t>обе</t>
        </is>
      </c>
      <c r="F67" s="6" t="inlineStr">
        <is>
          <t>М4</t>
        </is>
      </c>
      <c r="G67" s="4" t="inlineStr"/>
      <c r="H67" s="7" t="inlineStr">
        <is>
          <t>М2 (2b)</t>
        </is>
      </c>
      <c r="I67" s="4" t="inlineStr"/>
      <c r="J67" s="4" t="inlineStr"/>
      <c r="K67" s="4" t="inlineStr"/>
      <c r="L67" s="4" t="inlineStr"/>
      <c r="M67" s="4" t="inlineStr"/>
      <c r="N67" s="4" t="inlineStr"/>
      <c r="O67" s="8" t="inlineStr">
        <is>
          <t>нет</t>
        </is>
      </c>
      <c r="P67" s="4" t="inlineStr"/>
      <c r="Q67" s="8" t="inlineStr">
        <is>
          <t>нет</t>
        </is>
      </c>
      <c r="R67" s="4" t="inlineStr"/>
      <c r="S67" s="4" t="inlineStr"/>
    </row>
    <row r="68">
      <c r="A68" s="4" t="n">
        <v>67</v>
      </c>
      <c r="B68" s="4" t="inlineStr">
        <is>
          <t>Грамматика</t>
        </is>
      </c>
      <c r="C68" s="4" t="inlineStr">
        <is>
          <t>Местоимения</t>
        </is>
      </c>
      <c r="D68" s="5" t="inlineStr">
        <is>
          <t>Possessive adjectives</t>
        </is>
      </c>
      <c r="E68" s="4" t="inlineStr">
        <is>
          <t>обе</t>
        </is>
      </c>
      <c r="F68" s="6" t="inlineStr">
        <is>
          <t>М2</t>
        </is>
      </c>
      <c r="G68" s="4" t="inlineStr"/>
      <c r="H68" s="7" t="inlineStr">
        <is>
          <t>М3 (3b)</t>
        </is>
      </c>
      <c r="I68" s="7" t="inlineStr">
        <is>
          <t>М1 (1a)</t>
        </is>
      </c>
      <c r="J68" s="4" t="inlineStr"/>
      <c r="K68" s="4" t="inlineStr"/>
      <c r="L68" s="4" t="inlineStr"/>
      <c r="M68" s="4" t="inlineStr"/>
      <c r="N68" s="4" t="inlineStr"/>
      <c r="O68" s="8" t="inlineStr">
        <is>
          <t>нет</t>
        </is>
      </c>
      <c r="P68" s="4" t="inlineStr"/>
      <c r="Q68" s="8" t="inlineStr">
        <is>
          <t>нет</t>
        </is>
      </c>
      <c r="R68" s="4" t="inlineStr"/>
      <c r="S68" s="4" t="inlineStr"/>
    </row>
    <row r="69">
      <c r="A69" s="4" t="n">
        <v>68</v>
      </c>
      <c r="B69" s="4" t="inlineStr">
        <is>
          <t>Грамматика</t>
        </is>
      </c>
      <c r="C69" s="4" t="inlineStr">
        <is>
          <t>Местоимения</t>
        </is>
      </c>
      <c r="D69" s="5" t="inlineStr">
        <is>
          <t>Object pronouns</t>
        </is>
      </c>
      <c r="E69" s="4" t="inlineStr">
        <is>
          <t>10+</t>
        </is>
      </c>
      <c r="F69" s="4" t="inlineStr"/>
      <c r="G69" s="4" t="inlineStr"/>
      <c r="H69" s="7" t="inlineStr">
        <is>
          <t>М4 (4a)</t>
        </is>
      </c>
      <c r="I69" s="4" t="inlineStr"/>
      <c r="J69" s="4" t="inlineStr"/>
      <c r="K69" s="4" t="inlineStr"/>
      <c r="L69" s="4" t="inlineStr"/>
      <c r="M69" s="4" t="inlineStr"/>
      <c r="N69" s="4" t="inlineStr"/>
      <c r="O69" s="9" t="inlineStr">
        <is>
          <t>—</t>
        </is>
      </c>
      <c r="P69" s="10" t="inlineStr"/>
      <c r="Q69" s="8" t="inlineStr">
        <is>
          <t>нет</t>
        </is>
      </c>
      <c r="R69" s="4" t="inlineStr"/>
      <c r="S69" s="4" t="inlineStr"/>
    </row>
    <row r="70">
      <c r="A70" s="4" t="n">
        <v>69</v>
      </c>
      <c r="B70" s="4" t="inlineStr">
        <is>
          <t>Грамматика</t>
        </is>
      </c>
      <c r="C70" s="4" t="inlineStr">
        <is>
          <t>Местоимения</t>
        </is>
      </c>
      <c r="D70" s="5" t="inlineStr">
        <is>
          <t>Personal pronouns (subject)</t>
        </is>
      </c>
      <c r="E70" s="4" t="inlineStr">
        <is>
          <t>10+</t>
        </is>
      </c>
      <c r="F70" s="4" t="inlineStr"/>
      <c r="G70" s="4" t="inlineStr"/>
      <c r="H70" s="7" t="inlineStr">
        <is>
          <t>М1 (1b)</t>
        </is>
      </c>
      <c r="I70" s="7" t="inlineStr">
        <is>
          <t>М1</t>
        </is>
      </c>
      <c r="J70" s="4" t="inlineStr"/>
      <c r="K70" s="4" t="inlineStr"/>
      <c r="L70" s="4" t="inlineStr"/>
      <c r="M70" s="4" t="inlineStr"/>
      <c r="N70" s="4" t="inlineStr"/>
      <c r="O70" s="9" t="inlineStr">
        <is>
          <t>—</t>
        </is>
      </c>
      <c r="P70" s="10" t="inlineStr"/>
      <c r="Q70" s="8" t="inlineStr">
        <is>
          <t>нет</t>
        </is>
      </c>
      <c r="R70" s="4" t="inlineStr"/>
      <c r="S70" s="4" t="inlineStr"/>
    </row>
    <row r="71">
      <c r="A71" s="4" t="n">
        <v>70</v>
      </c>
      <c r="B71" s="4" t="inlineStr">
        <is>
          <t>Грамматика</t>
        </is>
      </c>
      <c r="C71" s="4" t="inlineStr">
        <is>
          <t>Местоимения</t>
        </is>
      </c>
      <c r="D71" s="5" t="inlineStr">
        <is>
          <t>Possessive pronouns</t>
        </is>
      </c>
      <c r="E71" s="4" t="inlineStr">
        <is>
          <t>10+</t>
        </is>
      </c>
      <c r="F71" s="4" t="inlineStr"/>
      <c r="G71" s="4" t="inlineStr"/>
      <c r="H71" s="4" t="inlineStr"/>
      <c r="I71" s="7" t="inlineStr">
        <is>
          <t>М1 (1b)</t>
        </is>
      </c>
      <c r="J71" s="4" t="inlineStr"/>
      <c r="K71" s="4" t="inlineStr"/>
      <c r="L71" s="4" t="inlineStr"/>
      <c r="M71" s="4" t="inlineStr"/>
      <c r="N71" s="4" t="inlineStr"/>
      <c r="O71" s="9" t="inlineStr">
        <is>
          <t>—</t>
        </is>
      </c>
      <c r="P71" s="10" t="inlineStr"/>
      <c r="Q71" s="8" t="inlineStr">
        <is>
          <t>нет</t>
        </is>
      </c>
      <c r="R71" s="4" t="inlineStr"/>
      <c r="S71" s="4" t="inlineStr"/>
    </row>
    <row r="72">
      <c r="A72" s="4" t="n">
        <v>71</v>
      </c>
      <c r="B72" s="4" t="inlineStr">
        <is>
          <t>Грамматика</t>
        </is>
      </c>
      <c r="C72" s="4" t="inlineStr">
        <is>
          <t>Местоимения</t>
        </is>
      </c>
      <c r="D72" s="5" t="inlineStr">
        <is>
          <t>Reflexive pronouns</t>
        </is>
      </c>
      <c r="E72" s="4" t="inlineStr">
        <is>
          <t>10+</t>
        </is>
      </c>
      <c r="F72" s="4" t="inlineStr"/>
      <c r="G72" s="4" t="inlineStr"/>
      <c r="H72" s="4" t="inlineStr"/>
      <c r="I72" s="4" t="inlineStr"/>
      <c r="J72" s="7" t="inlineStr">
        <is>
          <t>М10</t>
        </is>
      </c>
      <c r="K72" s="4" t="inlineStr"/>
      <c r="L72" s="7" t="inlineStr">
        <is>
          <t>М6 (6d)</t>
        </is>
      </c>
      <c r="M72" s="4" t="inlineStr"/>
      <c r="N72" s="7" t="inlineStr">
        <is>
          <t>М4</t>
        </is>
      </c>
      <c r="O72" s="9" t="inlineStr">
        <is>
          <t>—</t>
        </is>
      </c>
      <c r="P72" s="10" t="inlineStr"/>
      <c r="Q72" s="8" t="inlineStr">
        <is>
          <t>нет</t>
        </is>
      </c>
      <c r="R72" s="4" t="inlineStr"/>
      <c r="S72" s="4" t="inlineStr"/>
    </row>
    <row r="73">
      <c r="A73" s="4" t="n">
        <v>72</v>
      </c>
      <c r="B73" s="4" t="inlineStr">
        <is>
          <t>Грамматика</t>
        </is>
      </c>
      <c r="C73" s="4" t="inlineStr">
        <is>
          <t>Местоимения</t>
        </is>
      </c>
      <c r="D73" s="5" t="inlineStr">
        <is>
          <t>Determiners (every/each)</t>
        </is>
      </c>
      <c r="E73" s="4" t="inlineStr">
        <is>
          <t>10+</t>
        </is>
      </c>
      <c r="F73" s="4" t="inlineStr"/>
      <c r="G73" s="4" t="inlineStr"/>
      <c r="H73" s="4" t="inlineStr"/>
      <c r="I73" s="4" t="inlineStr"/>
      <c r="J73" s="4" t="inlineStr"/>
      <c r="K73" s="4" t="inlineStr"/>
      <c r="L73" s="7" t="inlineStr">
        <is>
          <t>М8 (8d)</t>
        </is>
      </c>
      <c r="M73" s="7" t="inlineStr">
        <is>
          <t>М5 (5c)</t>
        </is>
      </c>
      <c r="N73" s="4" t="inlineStr"/>
      <c r="O73" s="9" t="inlineStr">
        <is>
          <t>—</t>
        </is>
      </c>
      <c r="P73" s="10" t="inlineStr"/>
      <c r="Q73" s="8" t="inlineStr">
        <is>
          <t>нет</t>
        </is>
      </c>
      <c r="R73" s="4" t="inlineStr"/>
      <c r="S73" s="4" t="inlineStr"/>
    </row>
    <row r="74">
      <c r="A74" s="4" t="n">
        <v>73</v>
      </c>
      <c r="B74" s="4" t="inlineStr">
        <is>
          <t>Грамматика</t>
        </is>
      </c>
      <c r="C74" s="4" t="inlineStr">
        <is>
          <t>Местоимения</t>
        </is>
      </c>
      <c r="D74" s="5" t="inlineStr">
        <is>
          <t>Indefinite pronouns (some-/any-/no-/every-)</t>
        </is>
      </c>
      <c r="E74" s="4" t="inlineStr">
        <is>
          <t>10+</t>
        </is>
      </c>
      <c r="F74" s="4" t="inlineStr"/>
      <c r="G74" s="4" t="inlineStr"/>
      <c r="H74" s="4" t="inlineStr"/>
      <c r="I74" s="4" t="inlineStr"/>
      <c r="J74" s="4" t="inlineStr"/>
      <c r="K74" s="4" t="inlineStr"/>
      <c r="L74" s="7" t="inlineStr">
        <is>
          <t>М8 (8d)</t>
        </is>
      </c>
      <c r="M74" s="7" t="inlineStr">
        <is>
          <t>М5 (5c)</t>
        </is>
      </c>
      <c r="N74" s="7" t="inlineStr">
        <is>
          <t>М8 (8c)</t>
        </is>
      </c>
      <c r="O74" s="9" t="inlineStr">
        <is>
          <t>—</t>
        </is>
      </c>
      <c r="P74" s="10" t="inlineStr"/>
      <c r="Q74" s="8" t="inlineStr">
        <is>
          <t>нет</t>
        </is>
      </c>
      <c r="R74" s="4" t="inlineStr"/>
      <c r="S74" s="4" t="inlineStr"/>
    </row>
    <row r="75">
      <c r="A75" s="4" t="n">
        <v>74</v>
      </c>
      <c r="B75" s="4" t="inlineStr">
        <is>
          <t>Грамматика</t>
        </is>
      </c>
      <c r="C75" s="4" t="inlineStr">
        <is>
          <t>Местоимения</t>
        </is>
      </c>
      <c r="D75" s="5" t="inlineStr">
        <is>
          <t>Determiners (both/either/neither/all/none)</t>
        </is>
      </c>
      <c r="E75" s="4" t="inlineStr">
        <is>
          <t>10+</t>
        </is>
      </c>
      <c r="F75" s="4" t="inlineStr"/>
      <c r="G75" s="4" t="inlineStr"/>
      <c r="H75" s="4" t="inlineStr"/>
      <c r="I75" s="4" t="inlineStr"/>
      <c r="J75" s="4" t="inlineStr"/>
      <c r="K75" s="4" t="inlineStr"/>
      <c r="L75" s="4" t="inlineStr"/>
      <c r="M75" s="4" t="inlineStr"/>
      <c r="N75" s="7" t="inlineStr">
        <is>
          <t>М8 (8c)</t>
        </is>
      </c>
      <c r="O75" s="9" t="inlineStr">
        <is>
          <t>—</t>
        </is>
      </c>
      <c r="P75" s="10" t="inlineStr"/>
      <c r="Q75" s="8" t="inlineStr">
        <is>
          <t>нет</t>
        </is>
      </c>
      <c r="R75" s="4" t="inlineStr"/>
      <c r="S75" s="4" t="inlineStr"/>
    </row>
    <row r="76">
      <c r="A76" s="4" t="n">
        <v>75</v>
      </c>
      <c r="B76" s="4" t="inlineStr">
        <is>
          <t>Грамматика</t>
        </is>
      </c>
      <c r="C76" s="4" t="inlineStr">
        <is>
          <t>Прилагательные и наречия</t>
        </is>
      </c>
      <c r="D76" s="5" t="inlineStr">
        <is>
          <t>Adverbs of frequency</t>
        </is>
      </c>
      <c r="E76" s="4" t="inlineStr">
        <is>
          <t>10+</t>
        </is>
      </c>
      <c r="F76" s="4" t="inlineStr"/>
      <c r="G76" s="7" t="inlineStr">
        <is>
          <t>М2</t>
        </is>
      </c>
      <c r="H76" s="7" t="inlineStr">
        <is>
          <t>М6 (6a)</t>
        </is>
      </c>
      <c r="I76" s="7" t="inlineStr">
        <is>
          <t>М4 (4a)</t>
        </is>
      </c>
      <c r="J76" s="4" t="inlineStr"/>
      <c r="K76" s="7" t="inlineStr">
        <is>
          <t>М1 (1c)</t>
        </is>
      </c>
      <c r="L76" s="7" t="inlineStr">
        <is>
          <t>М1 (1c)</t>
        </is>
      </c>
      <c r="M76" s="7" t="inlineStr">
        <is>
          <t>М1 (1c)</t>
        </is>
      </c>
      <c r="N76" s="7" t="inlineStr">
        <is>
          <t>М1 (1c)</t>
        </is>
      </c>
      <c r="O76" s="9" t="inlineStr">
        <is>
          <t>—</t>
        </is>
      </c>
      <c r="P76" s="10" t="inlineStr"/>
      <c r="Q76" s="8" t="inlineStr">
        <is>
          <t>нет</t>
        </is>
      </c>
      <c r="R76" s="4" t="inlineStr"/>
      <c r="S76" s="4" t="inlineStr"/>
    </row>
    <row r="77">
      <c r="A77" s="4" t="n">
        <v>76</v>
      </c>
      <c r="B77" s="4" t="inlineStr">
        <is>
          <t>Грамматика</t>
        </is>
      </c>
      <c r="C77" s="4" t="inlineStr">
        <is>
          <t>Прилагательные и наречия</t>
        </is>
      </c>
      <c r="D77" s="5" t="inlineStr">
        <is>
          <t>Comparatives &amp; Superlatives</t>
        </is>
      </c>
      <c r="E77" s="4" t="inlineStr">
        <is>
          <t>10+</t>
        </is>
      </c>
      <c r="F77" s="4" t="inlineStr"/>
      <c r="G77" s="7" t="inlineStr">
        <is>
          <t>М4
М7</t>
        </is>
      </c>
      <c r="H77" s="7" t="inlineStr">
        <is>
          <t>М6
М7</t>
        </is>
      </c>
      <c r="I77" s="7" t="inlineStr">
        <is>
          <t>М8 (8b)</t>
        </is>
      </c>
      <c r="J77" s="7" t="inlineStr">
        <is>
          <t>М7</t>
        </is>
      </c>
      <c r="K77" s="7" t="inlineStr">
        <is>
          <t>М1 (1d)</t>
        </is>
      </c>
      <c r="L77" s="7" t="inlineStr">
        <is>
          <t>М5 (5c)</t>
        </is>
      </c>
      <c r="M77" s="7" t="inlineStr">
        <is>
          <t>М3 (3c)</t>
        </is>
      </c>
      <c r="N77" s="4" t="inlineStr"/>
      <c r="O77" s="9" t="inlineStr">
        <is>
          <t>—</t>
        </is>
      </c>
      <c r="P77" s="10" t="inlineStr"/>
      <c r="Q77" s="8" t="inlineStr">
        <is>
          <t>нет</t>
        </is>
      </c>
      <c r="R77" s="4" t="inlineStr"/>
      <c r="S77" s="4" t="inlineStr"/>
    </row>
    <row r="78">
      <c r="A78" s="4" t="n">
        <v>77</v>
      </c>
      <c r="B78" s="4" t="inlineStr">
        <is>
          <t>Грамматика</t>
        </is>
      </c>
      <c r="C78" s="4" t="inlineStr">
        <is>
          <t>Прилагательные и наречия</t>
        </is>
      </c>
      <c r="D78" s="5" t="inlineStr">
        <is>
          <t>Adjectives (general)</t>
        </is>
      </c>
      <c r="E78" s="4" t="inlineStr">
        <is>
          <t>10+</t>
        </is>
      </c>
      <c r="F78" s="4" t="inlineStr"/>
      <c r="G78" s="4" t="inlineStr"/>
      <c r="H78" s="4" t="inlineStr"/>
      <c r="I78" s="4" t="inlineStr"/>
      <c r="J78" s="7" t="inlineStr">
        <is>
          <t>М3</t>
        </is>
      </c>
      <c r="K78" s="4" t="inlineStr"/>
      <c r="L78" s="4" t="inlineStr"/>
      <c r="M78" s="4" t="inlineStr"/>
      <c r="N78" s="4" t="inlineStr"/>
      <c r="O78" s="9" t="inlineStr">
        <is>
          <t>—</t>
        </is>
      </c>
      <c r="P78" s="10" t="inlineStr"/>
      <c r="Q78" s="8" t="inlineStr">
        <is>
          <t>нет</t>
        </is>
      </c>
      <c r="R78" s="4" t="inlineStr"/>
      <c r="S78" s="4" t="inlineStr"/>
    </row>
    <row r="79">
      <c r="A79" s="4" t="n">
        <v>78</v>
      </c>
      <c r="B79" s="4" t="inlineStr">
        <is>
          <t>Грамматика</t>
        </is>
      </c>
      <c r="C79" s="4" t="inlineStr">
        <is>
          <t>Прилагательные и наречия</t>
        </is>
      </c>
      <c r="D79" s="5" t="inlineStr">
        <is>
          <t>Adjectives (order)</t>
        </is>
      </c>
      <c r="E79" s="4" t="inlineStr">
        <is>
          <t>10+</t>
        </is>
      </c>
      <c r="F79" s="4" t="inlineStr"/>
      <c r="G79" s="4" t="inlineStr"/>
      <c r="H79" s="4" t="inlineStr"/>
      <c r="I79" s="4" t="inlineStr"/>
      <c r="J79" s="7" t="inlineStr">
        <is>
          <t>М3</t>
        </is>
      </c>
      <c r="K79" s="7" t="inlineStr">
        <is>
          <t>М2 (2e)</t>
        </is>
      </c>
      <c r="L79" s="4" t="inlineStr"/>
      <c r="M79" s="4" t="inlineStr"/>
      <c r="N79" s="4" t="inlineStr"/>
      <c r="O79" s="9" t="inlineStr">
        <is>
          <t>—</t>
        </is>
      </c>
      <c r="P79" s="10" t="inlineStr"/>
      <c r="Q79" s="8" t="inlineStr">
        <is>
          <t>нет</t>
        </is>
      </c>
      <c r="R79" s="4" t="inlineStr"/>
      <c r="S79" s="4" t="inlineStr"/>
    </row>
    <row r="80">
      <c r="A80" s="4" t="n">
        <v>79</v>
      </c>
      <c r="B80" s="4" t="inlineStr">
        <is>
          <t>Грамматика</t>
        </is>
      </c>
      <c r="C80" s="4" t="inlineStr">
        <is>
          <t>Прилагательные и наречия</t>
        </is>
      </c>
      <c r="D80" s="5" t="inlineStr">
        <is>
          <t>Adjectives -ed/-ing</t>
        </is>
      </c>
      <c r="E80" s="4" t="inlineStr">
        <is>
          <t>10+</t>
        </is>
      </c>
      <c r="F80" s="4" t="inlineStr"/>
      <c r="G80" s="4" t="inlineStr"/>
      <c r="H80" s="4" t="inlineStr"/>
      <c r="I80" s="4" t="inlineStr"/>
      <c r="J80" s="7" t="inlineStr">
        <is>
          <t>М3</t>
        </is>
      </c>
      <c r="K80" s="4" t="inlineStr"/>
      <c r="L80" s="4" t="inlineStr"/>
      <c r="M80" s="7" t="inlineStr">
        <is>
          <t>М5 (5e)</t>
        </is>
      </c>
      <c r="N80" s="4" t="inlineStr"/>
      <c r="O80" s="9" t="inlineStr">
        <is>
          <t>—</t>
        </is>
      </c>
      <c r="P80" s="10" t="inlineStr"/>
      <c r="Q80" s="8" t="inlineStr">
        <is>
          <t>нет</t>
        </is>
      </c>
      <c r="R80" s="4" t="inlineStr"/>
      <c r="S80" s="4" t="inlineStr"/>
    </row>
    <row r="81">
      <c r="A81" s="4" t="n">
        <v>80</v>
      </c>
      <c r="B81" s="4" t="inlineStr">
        <is>
          <t>Грамматика</t>
        </is>
      </c>
      <c r="C81" s="4" t="inlineStr">
        <is>
          <t>Прилагательные и наречия</t>
        </is>
      </c>
      <c r="D81" s="5" t="inlineStr">
        <is>
          <t>Comparative structures</t>
        </is>
      </c>
      <c r="E81" s="4" t="inlineStr">
        <is>
          <t>10+</t>
        </is>
      </c>
      <c r="F81" s="4" t="inlineStr"/>
      <c r="G81" s="4" t="inlineStr"/>
      <c r="H81" s="4" t="inlineStr"/>
      <c r="I81" s="4" t="inlineStr"/>
      <c r="J81" s="7" t="inlineStr">
        <is>
          <t>М7</t>
        </is>
      </c>
      <c r="K81" s="4" t="inlineStr"/>
      <c r="L81" s="4" t="inlineStr"/>
      <c r="M81" s="7" t="inlineStr">
        <is>
          <t>М3 (3c)</t>
        </is>
      </c>
      <c r="N81" s="4" t="inlineStr"/>
      <c r="O81" s="9" t="inlineStr">
        <is>
          <t>—</t>
        </is>
      </c>
      <c r="P81" s="10" t="inlineStr"/>
      <c r="Q81" s="8" t="inlineStr">
        <is>
          <t>нет</t>
        </is>
      </c>
      <c r="R81" s="4" t="inlineStr"/>
      <c r="S81" s="4" t="inlineStr"/>
    </row>
    <row r="82">
      <c r="A82" s="4" t="n">
        <v>81</v>
      </c>
      <c r="B82" s="4" t="inlineStr">
        <is>
          <t>Грамматика</t>
        </is>
      </c>
      <c r="C82" s="4" t="inlineStr">
        <is>
          <t>Прилагательные и наречия</t>
        </is>
      </c>
      <c r="D82" s="5" t="inlineStr">
        <is>
          <t>Adverbs of degree</t>
        </is>
      </c>
      <c r="E82" s="4" t="inlineStr">
        <is>
          <t>10+</t>
        </is>
      </c>
      <c r="F82" s="4" t="inlineStr"/>
      <c r="G82" s="4" t="inlineStr"/>
      <c r="H82" s="4" t="inlineStr"/>
      <c r="I82" s="4" t="inlineStr"/>
      <c r="J82" s="4" t="inlineStr"/>
      <c r="K82" s="7" t="inlineStr">
        <is>
          <t>М1 (1d)</t>
        </is>
      </c>
      <c r="L82" s="4" t="inlineStr"/>
      <c r="M82" s="4" t="inlineStr"/>
      <c r="N82" s="4" t="inlineStr"/>
      <c r="O82" s="9" t="inlineStr">
        <is>
          <t>—</t>
        </is>
      </c>
      <c r="P82" s="10" t="inlineStr"/>
      <c r="Q82" s="8" t="inlineStr">
        <is>
          <t>нет</t>
        </is>
      </c>
      <c r="R82" s="4" t="inlineStr"/>
      <c r="S82" s="4" t="inlineStr"/>
    </row>
    <row r="83">
      <c r="A83" s="4" t="n">
        <v>82</v>
      </c>
      <c r="B83" s="4" t="inlineStr">
        <is>
          <t>Грамматика</t>
        </is>
      </c>
      <c r="C83" s="4" t="inlineStr">
        <is>
          <t>Прилагательные и наречия</t>
        </is>
      </c>
      <c r="D83" s="5" t="inlineStr">
        <is>
          <t>too / enough</t>
        </is>
      </c>
      <c r="E83" s="4" t="inlineStr">
        <is>
          <t>10+</t>
        </is>
      </c>
      <c r="F83" s="4" t="inlineStr"/>
      <c r="G83" s="4" t="inlineStr"/>
      <c r="H83" s="4" t="inlineStr"/>
      <c r="I83" s="4" t="inlineStr"/>
      <c r="J83" s="4" t="inlineStr"/>
      <c r="K83" s="7" t="inlineStr">
        <is>
          <t>М4 (4b)</t>
        </is>
      </c>
      <c r="L83" s="7" t="inlineStr">
        <is>
          <t>М2 (2c)</t>
        </is>
      </c>
      <c r="M83" s="4" t="inlineStr"/>
      <c r="N83" s="4" t="inlineStr"/>
      <c r="O83" s="9" t="inlineStr">
        <is>
          <t>—</t>
        </is>
      </c>
      <c r="P83" s="10" t="inlineStr"/>
      <c r="Q83" s="8" t="inlineStr">
        <is>
          <t>нет</t>
        </is>
      </c>
      <c r="R83" s="4" t="inlineStr"/>
      <c r="S83" s="4" t="inlineStr"/>
    </row>
    <row r="84">
      <c r="A84" s="4" t="n">
        <v>83</v>
      </c>
      <c r="B84" s="4" t="inlineStr">
        <is>
          <t>Грамматика</t>
        </is>
      </c>
      <c r="C84" s="4" t="inlineStr">
        <is>
          <t>Прилагательные и наречия</t>
        </is>
      </c>
      <c r="D84" s="5" t="inlineStr">
        <is>
          <t>so / such</t>
        </is>
      </c>
      <c r="E84" s="4" t="inlineStr">
        <is>
          <t>10+</t>
        </is>
      </c>
      <c r="F84" s="4" t="inlineStr"/>
      <c r="G84" s="4" t="inlineStr"/>
      <c r="H84" s="4" t="inlineStr"/>
      <c r="I84" s="4" t="inlineStr"/>
      <c r="J84" s="4" t="inlineStr"/>
      <c r="K84" s="4" t="inlineStr"/>
      <c r="L84" s="7" t="inlineStr">
        <is>
          <t>М4 (4c)</t>
        </is>
      </c>
      <c r="M84" s="4" t="inlineStr"/>
      <c r="N84" s="7" t="inlineStr">
        <is>
          <t>М2 (2c)</t>
        </is>
      </c>
      <c r="O84" s="9" t="inlineStr">
        <is>
          <t>—</t>
        </is>
      </c>
      <c r="P84" s="10" t="inlineStr"/>
      <c r="Q84" s="8" t="inlineStr">
        <is>
          <t>нет</t>
        </is>
      </c>
      <c r="R84" s="4" t="inlineStr"/>
      <c r="S84" s="4" t="inlineStr"/>
    </row>
    <row r="85">
      <c r="A85" s="4" t="n">
        <v>84</v>
      </c>
      <c r="B85" s="4" t="inlineStr">
        <is>
          <t>Грамматика</t>
        </is>
      </c>
      <c r="C85" s="4" t="inlineStr">
        <is>
          <t>Числительные</t>
        </is>
      </c>
      <c r="D85" s="5" t="inlineStr">
        <is>
          <t>Ordinal numbers</t>
        </is>
      </c>
      <c r="E85" s="4" t="inlineStr">
        <is>
          <t>10+</t>
        </is>
      </c>
      <c r="F85" s="4" t="inlineStr"/>
      <c r="G85" s="7" t="inlineStr">
        <is>
          <t>М5</t>
        </is>
      </c>
      <c r="H85" s="4" t="inlineStr"/>
      <c r="I85" s="7" t="inlineStr">
        <is>
          <t>М2 (2a)</t>
        </is>
      </c>
      <c r="J85" s="4" t="inlineStr"/>
      <c r="K85" s="4" t="inlineStr"/>
      <c r="L85" s="4" t="inlineStr"/>
      <c r="M85" s="4" t="inlineStr"/>
      <c r="N85" s="4" t="inlineStr"/>
      <c r="O85" s="9" t="inlineStr">
        <is>
          <t>—</t>
        </is>
      </c>
      <c r="P85" s="10" t="inlineStr"/>
      <c r="Q85" s="8" t="inlineStr">
        <is>
          <t>нет</t>
        </is>
      </c>
      <c r="R85" s="4" t="inlineStr"/>
      <c r="S85" s="4" t="inlineStr"/>
    </row>
    <row r="86">
      <c r="A86" s="4" t="n">
        <v>85</v>
      </c>
      <c r="B86" s="4" t="inlineStr">
        <is>
          <t>Грамматика</t>
        </is>
      </c>
      <c r="C86" s="4" t="inlineStr">
        <is>
          <t>Предлоги</t>
        </is>
      </c>
      <c r="D86" s="5" t="inlineStr">
        <is>
          <t>Prepositions of place</t>
        </is>
      </c>
      <c r="E86" s="4" t="inlineStr">
        <is>
          <t>обе</t>
        </is>
      </c>
      <c r="F86" s="6" t="inlineStr">
        <is>
          <t>М6</t>
        </is>
      </c>
      <c r="G86" s="7" t="inlineStr">
        <is>
          <t>М1</t>
        </is>
      </c>
      <c r="H86" s="7" t="inlineStr">
        <is>
          <t>М3 (3c)</t>
        </is>
      </c>
      <c r="I86" s="7" t="inlineStr">
        <is>
          <t>М2 (2b)</t>
        </is>
      </c>
      <c r="J86" s="4" t="inlineStr"/>
      <c r="K86" s="4" t="inlineStr"/>
      <c r="L86" s="4" t="inlineStr"/>
      <c r="M86" s="4" t="inlineStr"/>
      <c r="N86" s="4" t="inlineStr"/>
      <c r="O86" s="8" t="inlineStr">
        <is>
          <t>нет</t>
        </is>
      </c>
      <c r="P86" s="4" t="inlineStr"/>
      <c r="Q86" s="8" t="inlineStr">
        <is>
          <t>нет</t>
        </is>
      </c>
      <c r="R86" s="4" t="inlineStr"/>
      <c r="S86" s="4" t="inlineStr"/>
    </row>
    <row r="87">
      <c r="A87" s="4" t="n">
        <v>86</v>
      </c>
      <c r="B87" s="4" t="inlineStr">
        <is>
          <t>Грамматика</t>
        </is>
      </c>
      <c r="C87" s="4" t="inlineStr">
        <is>
          <t>Предлоги</t>
        </is>
      </c>
      <c r="D87" s="5" t="inlineStr">
        <is>
          <t>Prepositions of time</t>
        </is>
      </c>
      <c r="E87" s="4" t="inlineStr">
        <is>
          <t>обе</t>
        </is>
      </c>
      <c r="F87" s="6" t="inlineStr">
        <is>
          <t>М8</t>
        </is>
      </c>
      <c r="G87" s="4" t="inlineStr"/>
      <c r="H87" s="7" t="inlineStr">
        <is>
          <t>М6 (6a)</t>
        </is>
      </c>
      <c r="I87" s="7" t="inlineStr">
        <is>
          <t>М2 (2a)</t>
        </is>
      </c>
      <c r="J87" s="4" t="inlineStr"/>
      <c r="K87" s="4" t="inlineStr"/>
      <c r="L87" s="4" t="inlineStr"/>
      <c r="M87" s="4" t="inlineStr"/>
      <c r="N87" s="4" t="inlineStr"/>
      <c r="O87" s="8" t="inlineStr">
        <is>
          <t>нет</t>
        </is>
      </c>
      <c r="P87" s="4" t="inlineStr"/>
      <c r="Q87" s="8" t="inlineStr">
        <is>
          <t>нет</t>
        </is>
      </c>
      <c r="R87" s="4" t="inlineStr"/>
      <c r="S87" s="4" t="inlineStr"/>
    </row>
    <row r="88">
      <c r="A88" s="4" t="n">
        <v>87</v>
      </c>
      <c r="B88" s="4" t="inlineStr">
        <is>
          <t>Грамматика</t>
        </is>
      </c>
      <c r="C88" s="4" t="inlineStr">
        <is>
          <t>Предлоги</t>
        </is>
      </c>
      <c r="D88" s="5" t="inlineStr">
        <is>
          <t>Like / As</t>
        </is>
      </c>
      <c r="E88" s="4" t="inlineStr">
        <is>
          <t>10+</t>
        </is>
      </c>
      <c r="F88" s="4" t="inlineStr"/>
      <c r="G88" s="4" t="inlineStr"/>
      <c r="H88" s="4" t="inlineStr"/>
      <c r="I88" s="4" t="inlineStr"/>
      <c r="J88" s="4" t="inlineStr"/>
      <c r="K88" s="4" t="inlineStr"/>
      <c r="L88" s="4" t="inlineStr"/>
      <c r="M88" s="7" t="inlineStr">
        <is>
          <t>М3 (3c)</t>
        </is>
      </c>
      <c r="N88" s="4" t="inlineStr"/>
      <c r="O88" s="9" t="inlineStr">
        <is>
          <t>—</t>
        </is>
      </c>
      <c r="P88" s="10" t="inlineStr"/>
      <c r="Q88" s="8" t="inlineStr">
        <is>
          <t>нет</t>
        </is>
      </c>
      <c r="R88" s="4" t="inlineStr"/>
      <c r="S88" s="4" t="inlineStr"/>
    </row>
    <row r="89">
      <c r="A89" s="4" t="n">
        <v>88</v>
      </c>
      <c r="B89" s="4" t="inlineStr">
        <is>
          <t>Грамматика</t>
        </is>
      </c>
      <c r="C89" s="4" t="inlineStr">
        <is>
          <t>Предложение и вопросы</t>
        </is>
      </c>
      <c r="D89" s="5" t="inlineStr">
        <is>
          <t>Question words</t>
        </is>
      </c>
      <c r="E89" s="4" t="inlineStr">
        <is>
          <t>обе</t>
        </is>
      </c>
      <c r="F89" s="6" t="inlineStr">
        <is>
          <t>М4</t>
        </is>
      </c>
      <c r="G89" s="7" t="inlineStr">
        <is>
          <t>М3
М8</t>
        </is>
      </c>
      <c r="H89" s="4" t="inlineStr"/>
      <c r="I89" s="4" t="inlineStr"/>
      <c r="J89" s="4" t="inlineStr"/>
      <c r="K89" s="4" t="inlineStr"/>
      <c r="L89" s="4" t="inlineStr"/>
      <c r="M89" s="4" t="inlineStr"/>
      <c r="N89" s="4" t="inlineStr"/>
      <c r="O89" s="8" t="inlineStr">
        <is>
          <t>нет</t>
        </is>
      </c>
      <c r="P89" s="4" t="inlineStr"/>
      <c r="Q89" s="8" t="inlineStr">
        <is>
          <t>нет</t>
        </is>
      </c>
      <c r="R89" s="4" t="inlineStr"/>
      <c r="S89" s="4" t="inlineStr"/>
    </row>
    <row r="90">
      <c r="A90" s="4" t="n">
        <v>89</v>
      </c>
      <c r="B90" s="4" t="inlineStr">
        <is>
          <t>Грамматика</t>
        </is>
      </c>
      <c r="C90" s="4" t="inlineStr">
        <is>
          <t>Предложение и вопросы</t>
        </is>
      </c>
      <c r="D90" s="5" t="inlineStr">
        <is>
          <t>There is / There are</t>
        </is>
      </c>
      <c r="E90" s="4" t="inlineStr">
        <is>
          <t>обе</t>
        </is>
      </c>
      <c r="F90" s="6" t="inlineStr">
        <is>
          <t>М6</t>
        </is>
      </c>
      <c r="G90" s="4" t="inlineStr"/>
      <c r="H90" s="7" t="inlineStr">
        <is>
          <t>М3 (3b)</t>
        </is>
      </c>
      <c r="I90" s="4" t="inlineStr"/>
      <c r="J90" s="4" t="inlineStr"/>
      <c r="K90" s="4" t="inlineStr"/>
      <c r="L90" s="4" t="inlineStr"/>
      <c r="M90" s="4" t="inlineStr"/>
      <c r="N90" s="4" t="inlineStr"/>
      <c r="O90" s="8" t="inlineStr">
        <is>
          <t>нет</t>
        </is>
      </c>
      <c r="P90" s="4" t="inlineStr"/>
      <c r="Q90" s="8" t="inlineStr">
        <is>
          <t>нет</t>
        </is>
      </c>
      <c r="R90" s="4" t="inlineStr"/>
      <c r="S90" s="4" t="inlineStr"/>
    </row>
    <row r="91">
      <c r="A91" s="4" t="n">
        <v>90</v>
      </c>
      <c r="B91" s="4" t="inlineStr">
        <is>
          <t>Грамматика</t>
        </is>
      </c>
      <c r="C91" s="4" t="inlineStr">
        <is>
          <t>Предложение и вопросы</t>
        </is>
      </c>
      <c r="D91" s="5" t="inlineStr">
        <is>
          <t>Alternative questions</t>
        </is>
      </c>
      <c r="E91" s="4" t="inlineStr">
        <is>
          <t>10+</t>
        </is>
      </c>
      <c r="F91" s="4" t="inlineStr"/>
      <c r="G91" s="4" t="inlineStr"/>
      <c r="H91" s="7" t="inlineStr">
        <is>
          <t>М1 (1b)
М5 (5b)</t>
        </is>
      </c>
      <c r="I91" s="4" t="inlineStr"/>
      <c r="J91" s="4" t="inlineStr"/>
      <c r="K91" s="4" t="inlineStr"/>
      <c r="L91" s="4" t="inlineStr"/>
      <c r="M91" s="4" t="inlineStr"/>
      <c r="N91" s="4" t="inlineStr"/>
      <c r="O91" s="9" t="inlineStr">
        <is>
          <t>—</t>
        </is>
      </c>
      <c r="P91" s="10" t="inlineStr"/>
      <c r="Q91" s="8" t="inlineStr">
        <is>
          <t>нет</t>
        </is>
      </c>
      <c r="R91" s="4" t="inlineStr"/>
      <c r="S91" s="4" t="inlineStr"/>
    </row>
    <row r="92">
      <c r="A92" s="4" t="n">
        <v>91</v>
      </c>
      <c r="B92" s="4" t="inlineStr">
        <is>
          <t>Грамматика</t>
        </is>
      </c>
      <c r="C92" s="4" t="inlineStr">
        <is>
          <t>Предложение и вопросы</t>
        </is>
      </c>
      <c r="D92" s="5" t="inlineStr">
        <is>
          <t>Imperative</t>
        </is>
      </c>
      <c r="E92" s="4" t="inlineStr">
        <is>
          <t>10+</t>
        </is>
      </c>
      <c r="F92" s="4" t="inlineStr"/>
      <c r="G92" s="4" t="inlineStr"/>
      <c r="H92" s="7" t="inlineStr">
        <is>
          <t>М1 (1a)
М4 (4b)</t>
        </is>
      </c>
      <c r="I92" s="7" t="inlineStr">
        <is>
          <t>М3 (3a)</t>
        </is>
      </c>
      <c r="J92" s="4" t="inlineStr"/>
      <c r="K92" s="4" t="inlineStr"/>
      <c r="L92" s="4" t="inlineStr"/>
      <c r="M92" s="4" t="inlineStr"/>
      <c r="N92" s="4" t="inlineStr"/>
      <c r="O92" s="9" t="inlineStr">
        <is>
          <t>—</t>
        </is>
      </c>
      <c r="P92" s="10" t="inlineStr"/>
      <c r="Q92" s="8" t="inlineStr">
        <is>
          <t>нет</t>
        </is>
      </c>
      <c r="R92" s="4" t="inlineStr"/>
      <c r="S92" s="4" t="inlineStr"/>
    </row>
    <row r="93">
      <c r="A93" s="4" t="n">
        <v>92</v>
      </c>
      <c r="B93" s="4" t="inlineStr">
        <is>
          <t>Грамматика</t>
        </is>
      </c>
      <c r="C93" s="4" t="inlineStr">
        <is>
          <t>Предложение и вопросы</t>
        </is>
      </c>
      <c r="D93" s="5" t="inlineStr">
        <is>
          <t>Impersonal it</t>
        </is>
      </c>
      <c r="E93" s="4" t="inlineStr">
        <is>
          <t>10+</t>
        </is>
      </c>
      <c r="F93" s="4" t="inlineStr"/>
      <c r="G93" s="4" t="inlineStr"/>
      <c r="H93" s="7" t="inlineStr">
        <is>
          <t>М7 (7a)</t>
        </is>
      </c>
      <c r="I93" s="4" t="inlineStr"/>
      <c r="J93" s="4" t="inlineStr"/>
      <c r="K93" s="4" t="inlineStr"/>
      <c r="L93" s="4" t="inlineStr"/>
      <c r="M93" s="4" t="inlineStr"/>
      <c r="N93" s="4" t="inlineStr"/>
      <c r="O93" s="9" t="inlineStr">
        <is>
          <t>—</t>
        </is>
      </c>
      <c r="P93" s="10" t="inlineStr"/>
      <c r="Q93" s="8" t="inlineStr">
        <is>
          <t>нет</t>
        </is>
      </c>
      <c r="R93" s="4" t="inlineStr"/>
      <c r="S93" s="4" t="inlineStr"/>
    </row>
    <row r="94">
      <c r="A94" s="4" t="n">
        <v>93</v>
      </c>
      <c r="B94" s="4" t="inlineStr">
        <is>
          <t>Грамматика</t>
        </is>
      </c>
      <c r="C94" s="4" t="inlineStr">
        <is>
          <t>Предложение и вопросы</t>
        </is>
      </c>
      <c r="D94" s="5" t="inlineStr">
        <is>
          <t>Question tags</t>
        </is>
      </c>
      <c r="E94" s="4" t="inlineStr">
        <is>
          <t>10+</t>
        </is>
      </c>
      <c r="F94" s="4" t="inlineStr"/>
      <c r="G94" s="4" t="inlineStr"/>
      <c r="H94" s="7" t="inlineStr">
        <is>
          <t>М5 (5c)
М7 (7a)</t>
        </is>
      </c>
      <c r="I94" s="4" t="inlineStr"/>
      <c r="J94" s="7" t="inlineStr">
        <is>
          <t>М8</t>
        </is>
      </c>
      <c r="K94" s="4" t="inlineStr"/>
      <c r="L94" s="7" t="inlineStr">
        <is>
          <t>М8 (8d)</t>
        </is>
      </c>
      <c r="M94" s="4" t="inlineStr"/>
      <c r="N94" s="4" t="inlineStr"/>
      <c r="O94" s="9" t="inlineStr">
        <is>
          <t>—</t>
        </is>
      </c>
      <c r="P94" s="10" t="inlineStr"/>
      <c r="Q94" s="8" t="inlineStr">
        <is>
          <t>нет</t>
        </is>
      </c>
      <c r="R94" s="4" t="inlineStr"/>
      <c r="S94" s="4" t="inlineStr"/>
    </row>
    <row r="95">
      <c r="A95" s="4" t="n">
        <v>94</v>
      </c>
      <c r="B95" s="4" t="inlineStr">
        <is>
          <t>Грамматика</t>
        </is>
      </c>
      <c r="C95" s="4" t="inlineStr">
        <is>
          <t>Предложение и вопросы</t>
        </is>
      </c>
      <c r="D95" s="5" t="inlineStr">
        <is>
          <t>Linkers</t>
        </is>
      </c>
      <c r="E95" s="4" t="inlineStr">
        <is>
          <t>10+</t>
        </is>
      </c>
      <c r="F95" s="4" t="inlineStr"/>
      <c r="G95" s="4" t="inlineStr"/>
      <c r="H95" s="4" t="inlineStr"/>
      <c r="I95" s="7" t="inlineStr">
        <is>
          <t>М4 (4c)</t>
        </is>
      </c>
      <c r="J95" s="4" t="inlineStr"/>
      <c r="K95" s="4" t="inlineStr"/>
      <c r="L95" s="4" t="inlineStr"/>
      <c r="M95" s="4" t="inlineStr"/>
      <c r="N95" s="4" t="inlineStr"/>
      <c r="O95" s="9" t="inlineStr">
        <is>
          <t>—</t>
        </is>
      </c>
      <c r="P95" s="10" t="inlineStr"/>
      <c r="Q95" s="8" t="inlineStr">
        <is>
          <t>нет</t>
        </is>
      </c>
      <c r="R95" s="4" t="inlineStr"/>
      <c r="S95" s="4" t="inlineStr"/>
    </row>
    <row r="96">
      <c r="A96" s="4" t="n">
        <v>95</v>
      </c>
      <c r="B96" s="4" t="inlineStr">
        <is>
          <t>Грамматика</t>
        </is>
      </c>
      <c r="C96" s="4" t="inlineStr">
        <is>
          <t>Предложение и вопросы</t>
        </is>
      </c>
      <c r="D96" s="5" t="inlineStr">
        <is>
          <t>Relative pronouns / Relative clauses</t>
        </is>
      </c>
      <c r="E96" s="4" t="inlineStr">
        <is>
          <t>10+</t>
        </is>
      </c>
      <c r="F96" s="4" t="inlineStr"/>
      <c r="G96" s="4" t="inlineStr"/>
      <c r="H96" s="4" t="inlineStr"/>
      <c r="I96" s="4" t="inlineStr"/>
      <c r="J96" s="7" t="inlineStr">
        <is>
          <t>М3</t>
        </is>
      </c>
      <c r="K96" s="4" t="inlineStr"/>
      <c r="L96" s="7" t="inlineStr">
        <is>
          <t>М1 (1d)</t>
        </is>
      </c>
      <c r="M96" s="7" t="inlineStr">
        <is>
          <t>М8 (8c)</t>
        </is>
      </c>
      <c r="N96" s="7" t="inlineStr">
        <is>
          <t>М2 (2c)</t>
        </is>
      </c>
      <c r="O96" s="9" t="inlineStr">
        <is>
          <t>—</t>
        </is>
      </c>
      <c r="P96" s="10" t="inlineStr"/>
      <c r="Q96" s="8" t="inlineStr">
        <is>
          <t>нет</t>
        </is>
      </c>
      <c r="R96" s="4" t="inlineStr"/>
      <c r="S96" s="4" t="inlineStr"/>
    </row>
    <row r="97">
      <c r="A97" s="4" t="n">
        <v>96</v>
      </c>
      <c r="B97" s="4" t="inlineStr">
        <is>
          <t>Грамматика</t>
        </is>
      </c>
      <c r="C97" s="4" t="inlineStr">
        <is>
          <t>Предложение и вопросы</t>
        </is>
      </c>
      <c r="D97" s="5" t="inlineStr">
        <is>
          <t>Time clauses</t>
        </is>
      </c>
      <c r="E97" s="4" t="inlineStr">
        <is>
          <t>10+</t>
        </is>
      </c>
      <c r="F97" s="4" t="inlineStr"/>
      <c r="G97" s="4" t="inlineStr"/>
      <c r="H97" s="4" t="inlineStr"/>
      <c r="I97" s="4" t="inlineStr"/>
      <c r="J97" s="7" t="inlineStr">
        <is>
          <t>М5</t>
        </is>
      </c>
      <c r="K97" s="4" t="inlineStr"/>
      <c r="L97" s="7" t="inlineStr">
        <is>
          <t>М4 (4c)</t>
        </is>
      </c>
      <c r="M97" s="7" t="inlineStr">
        <is>
          <t>М3 (3c)</t>
        </is>
      </c>
      <c r="N97" s="4" t="inlineStr"/>
      <c r="O97" s="9" t="inlineStr">
        <is>
          <t>—</t>
        </is>
      </c>
      <c r="P97" s="10" t="inlineStr"/>
      <c r="Q97" s="8" t="inlineStr">
        <is>
          <t>нет</t>
        </is>
      </c>
      <c r="R97" s="4" t="inlineStr"/>
      <c r="S97" s="4" t="inlineStr"/>
    </row>
    <row r="98">
      <c r="A98" s="4" t="n">
        <v>97</v>
      </c>
      <c r="B98" s="4" t="inlineStr">
        <is>
          <t>Грамматика</t>
        </is>
      </c>
      <c r="C98" s="4" t="inlineStr">
        <is>
          <t>Предложение и вопросы</t>
        </is>
      </c>
      <c r="D98" s="5" t="inlineStr">
        <is>
          <t>Indirect questions</t>
        </is>
      </c>
      <c r="E98" s="4" t="inlineStr">
        <is>
          <t>10+</t>
        </is>
      </c>
      <c r="F98" s="4" t="inlineStr"/>
      <c r="G98" s="4" t="inlineStr"/>
      <c r="H98" s="4" t="inlineStr"/>
      <c r="I98" s="4" t="inlineStr"/>
      <c r="J98" s="4" t="inlineStr"/>
      <c r="K98" s="7" t="inlineStr">
        <is>
          <t>М6 (6c)</t>
        </is>
      </c>
      <c r="L98" s="7" t="inlineStr">
        <is>
          <t>М2 (2d)</t>
        </is>
      </c>
      <c r="M98" s="4" t="inlineStr"/>
      <c r="N98" s="4" t="inlineStr"/>
      <c r="O98" s="9" t="inlineStr">
        <is>
          <t>—</t>
        </is>
      </c>
      <c r="P98" s="10" t="inlineStr"/>
      <c r="Q98" s="8" t="inlineStr">
        <is>
          <t>нет</t>
        </is>
      </c>
      <c r="R98" s="4" t="inlineStr"/>
      <c r="S98" s="4" t="inlineStr"/>
    </row>
    <row r="99">
      <c r="A99" s="4" t="n">
        <v>98</v>
      </c>
      <c r="B99" s="4" t="inlineStr">
        <is>
          <t>Грамматика</t>
        </is>
      </c>
      <c r="C99" s="4" t="inlineStr">
        <is>
          <t>Предложение и вопросы</t>
        </is>
      </c>
      <c r="D99" s="5" t="inlineStr">
        <is>
          <t>Clauses of purpose</t>
        </is>
      </c>
      <c r="E99" s="4" t="inlineStr">
        <is>
          <t>10+</t>
        </is>
      </c>
      <c r="F99" s="4" t="inlineStr"/>
      <c r="G99" s="4" t="inlineStr"/>
      <c r="H99" s="4" t="inlineStr"/>
      <c r="I99" s="4" t="inlineStr"/>
      <c r="J99" s="4" t="inlineStr"/>
      <c r="K99" s="4" t="inlineStr"/>
      <c r="L99" s="7" t="inlineStr">
        <is>
          <t>М4 (4c)</t>
        </is>
      </c>
      <c r="M99" s="4" t="inlineStr"/>
      <c r="N99" s="7" t="inlineStr">
        <is>
          <t>М2 (2c)</t>
        </is>
      </c>
      <c r="O99" s="9" t="inlineStr">
        <is>
          <t>—</t>
        </is>
      </c>
      <c r="P99" s="10" t="inlineStr"/>
      <c r="Q99" s="8" t="inlineStr">
        <is>
          <t>нет</t>
        </is>
      </c>
      <c r="R99" s="4" t="inlineStr"/>
      <c r="S99" s="4" t="inlineStr"/>
    </row>
    <row r="100">
      <c r="A100" s="4" t="n">
        <v>99</v>
      </c>
      <c r="B100" s="4" t="inlineStr">
        <is>
          <t>Грамматика</t>
        </is>
      </c>
      <c r="C100" s="4" t="inlineStr">
        <is>
          <t>Предложение и вопросы</t>
        </is>
      </c>
      <c r="D100" s="5" t="inlineStr">
        <is>
          <t>Clauses of result</t>
        </is>
      </c>
      <c r="E100" s="4" t="inlineStr">
        <is>
          <t>10+</t>
        </is>
      </c>
      <c r="F100" s="4" t="inlineStr"/>
      <c r="G100" s="4" t="inlineStr"/>
      <c r="H100" s="4" t="inlineStr"/>
      <c r="I100" s="4" t="inlineStr"/>
      <c r="J100" s="4" t="inlineStr"/>
      <c r="K100" s="4" t="inlineStr"/>
      <c r="L100" s="7" t="inlineStr">
        <is>
          <t>М4 (4c)</t>
        </is>
      </c>
      <c r="M100" s="4" t="inlineStr"/>
      <c r="N100" s="7" t="inlineStr">
        <is>
          <t>М2 (2c)</t>
        </is>
      </c>
      <c r="O100" s="9" t="inlineStr">
        <is>
          <t>—</t>
        </is>
      </c>
      <c r="P100" s="10" t="inlineStr"/>
      <c r="Q100" s="8" t="inlineStr">
        <is>
          <t>нет</t>
        </is>
      </c>
      <c r="R100" s="4" t="inlineStr"/>
      <c r="S100" s="4" t="inlineStr"/>
    </row>
    <row r="101">
      <c r="A101" s="4" t="n">
        <v>100</v>
      </c>
      <c r="B101" s="4" t="inlineStr">
        <is>
          <t>Грамматика</t>
        </is>
      </c>
      <c r="C101" s="4" t="inlineStr">
        <is>
          <t>Предложение и вопросы</t>
        </is>
      </c>
      <c r="D101" s="5" t="inlineStr">
        <is>
          <t>Conditional linkers (unless, provided…)</t>
        </is>
      </c>
      <c r="E101" s="4" t="inlineStr">
        <is>
          <t>10+</t>
        </is>
      </c>
      <c r="F101" s="4" t="inlineStr"/>
      <c r="G101" s="4" t="inlineStr"/>
      <c r="H101" s="4" t="inlineStr"/>
      <c r="I101" s="4" t="inlineStr"/>
      <c r="J101" s="4" t="inlineStr"/>
      <c r="K101" s="4" t="inlineStr"/>
      <c r="L101" s="7" t="inlineStr">
        <is>
          <t>М7 (7c)</t>
        </is>
      </c>
      <c r="M101" s="7" t="inlineStr">
        <is>
          <t>М6 (6c)</t>
        </is>
      </c>
      <c r="N101" s="7" t="inlineStr">
        <is>
          <t>М7 (7c)</t>
        </is>
      </c>
      <c r="O101" s="9" t="inlineStr">
        <is>
          <t>—</t>
        </is>
      </c>
      <c r="P101" s="10" t="inlineStr"/>
      <c r="Q101" s="8" t="inlineStr">
        <is>
          <t>нет</t>
        </is>
      </c>
      <c r="R101" s="4" t="inlineStr"/>
      <c r="S101" s="4" t="inlineStr"/>
    </row>
    <row r="102">
      <c r="A102" s="4" t="n">
        <v>101</v>
      </c>
      <c r="B102" s="4" t="inlineStr">
        <is>
          <t>Грамматика</t>
        </is>
      </c>
      <c r="C102" s="4" t="inlineStr">
        <is>
          <t>Предложение и вопросы</t>
        </is>
      </c>
      <c r="D102" s="5" t="inlineStr">
        <is>
          <t>Exclamations</t>
        </is>
      </c>
      <c r="E102" s="4" t="inlineStr">
        <is>
          <t>10+</t>
        </is>
      </c>
      <c r="F102" s="4" t="inlineStr"/>
      <c r="G102" s="4" t="inlineStr"/>
      <c r="H102" s="4" t="inlineStr"/>
      <c r="I102" s="4" t="inlineStr"/>
      <c r="J102" s="4" t="inlineStr"/>
      <c r="K102" s="4" t="inlineStr"/>
      <c r="L102" s="7" t="inlineStr">
        <is>
          <t>М1 (1c)</t>
        </is>
      </c>
      <c r="M102" s="4" t="inlineStr"/>
      <c r="N102" s="4" t="inlineStr"/>
      <c r="O102" s="9" t="inlineStr">
        <is>
          <t>—</t>
        </is>
      </c>
      <c r="P102" s="10" t="inlineStr"/>
      <c r="Q102" s="8" t="inlineStr">
        <is>
          <t>нет</t>
        </is>
      </c>
      <c r="R102" s="4" t="inlineStr"/>
      <c r="S102" s="4" t="inlineStr"/>
    </row>
    <row r="103">
      <c r="A103" s="4" t="n">
        <v>102</v>
      </c>
      <c r="B103" s="4" t="inlineStr">
        <is>
          <t>Грамматика</t>
        </is>
      </c>
      <c r="C103" s="4" t="inlineStr">
        <is>
          <t>Предложение и вопросы</t>
        </is>
      </c>
      <c r="D103" s="5" t="inlineStr">
        <is>
          <t>Inversion</t>
        </is>
      </c>
      <c r="E103" s="4" t="inlineStr">
        <is>
          <t>10+</t>
        </is>
      </c>
      <c r="F103" s="4" t="inlineStr"/>
      <c r="G103" s="4" t="inlineStr"/>
      <c r="H103" s="4" t="inlineStr"/>
      <c r="I103" s="4" t="inlineStr"/>
      <c r="J103" s="4" t="inlineStr"/>
      <c r="K103" s="4" t="inlineStr"/>
      <c r="L103" s="4" t="inlineStr"/>
      <c r="M103" s="7" t="inlineStr">
        <is>
          <t>М6 (6c)</t>
        </is>
      </c>
      <c r="N103" s="7" t="inlineStr">
        <is>
          <t>М7 (7c)
М8 (8c)</t>
        </is>
      </c>
      <c r="O103" s="9" t="inlineStr">
        <is>
          <t>—</t>
        </is>
      </c>
      <c r="P103" s="10" t="inlineStr"/>
      <c r="Q103" s="8" t="inlineStr">
        <is>
          <t>нет</t>
        </is>
      </c>
      <c r="R103" s="4" t="inlineStr"/>
      <c r="S103" s="4" t="inlineStr"/>
    </row>
    <row r="104">
      <c r="A104" s="4" t="n">
        <v>103</v>
      </c>
      <c r="B104" s="4" t="inlineStr">
        <is>
          <t>Грамматика</t>
        </is>
      </c>
      <c r="C104" s="4" t="inlineStr">
        <is>
          <t>Предложение и вопросы</t>
        </is>
      </c>
      <c r="D104" s="5" t="inlineStr">
        <is>
          <t>Clauses of reason</t>
        </is>
      </c>
      <c r="E104" s="4" t="inlineStr">
        <is>
          <t>10+</t>
        </is>
      </c>
      <c r="F104" s="4" t="inlineStr"/>
      <c r="G104" s="4" t="inlineStr"/>
      <c r="H104" s="4" t="inlineStr"/>
      <c r="I104" s="4" t="inlineStr"/>
      <c r="J104" s="4" t="inlineStr"/>
      <c r="K104" s="4" t="inlineStr"/>
      <c r="L104" s="4" t="inlineStr"/>
      <c r="M104" s="4" t="inlineStr"/>
      <c r="N104" s="7" t="inlineStr">
        <is>
          <t>М2 (2c)</t>
        </is>
      </c>
      <c r="O104" s="9" t="inlineStr">
        <is>
          <t>—</t>
        </is>
      </c>
      <c r="P104" s="10" t="inlineStr"/>
      <c r="Q104" s="8" t="inlineStr">
        <is>
          <t>нет</t>
        </is>
      </c>
      <c r="R104" s="4" t="inlineStr"/>
      <c r="S104" s="4" t="inlineStr"/>
    </row>
    <row r="105">
      <c r="A105" s="4" t="n">
        <v>104</v>
      </c>
      <c r="B105" s="4" t="inlineStr">
        <is>
          <t>Грамматика</t>
        </is>
      </c>
      <c r="C105" s="4" t="inlineStr">
        <is>
          <t>Предложение и вопросы</t>
        </is>
      </c>
      <c r="D105" s="5" t="inlineStr">
        <is>
          <t>Prepositions in relative clauses</t>
        </is>
      </c>
      <c r="E105" s="4" t="inlineStr">
        <is>
          <t>10+</t>
        </is>
      </c>
      <c r="F105" s="4" t="inlineStr"/>
      <c r="G105" s="4" t="inlineStr"/>
      <c r="H105" s="4" t="inlineStr"/>
      <c r="I105" s="4" t="inlineStr"/>
      <c r="J105" s="4" t="inlineStr"/>
      <c r="K105" s="4" t="inlineStr"/>
      <c r="L105" s="4" t="inlineStr"/>
      <c r="M105" s="4" t="inlineStr"/>
      <c r="N105" s="7" t="inlineStr">
        <is>
          <t>М2 (2c)</t>
        </is>
      </c>
      <c r="O105" s="9" t="inlineStr">
        <is>
          <t>—</t>
        </is>
      </c>
      <c r="P105" s="10" t="inlineStr"/>
      <c r="Q105" s="8" t="inlineStr">
        <is>
          <t>нет</t>
        </is>
      </c>
      <c r="R105" s="4" t="inlineStr"/>
      <c r="S105" s="4" t="inlineStr"/>
    </row>
    <row r="106">
      <c r="A106" s="4" t="n">
        <v>105</v>
      </c>
      <c r="B106" s="4" t="inlineStr">
        <is>
          <t>Грамматика</t>
        </is>
      </c>
      <c r="C106" s="4" t="inlineStr">
        <is>
          <t>Предложение и вопросы</t>
        </is>
      </c>
      <c r="D106" s="5" t="inlineStr">
        <is>
          <t>Relative adverbs</t>
        </is>
      </c>
      <c r="E106" s="4" t="inlineStr">
        <is>
          <t>10+</t>
        </is>
      </c>
      <c r="F106" s="4" t="inlineStr"/>
      <c r="G106" s="4" t="inlineStr"/>
      <c r="H106" s="4" t="inlineStr"/>
      <c r="I106" s="4" t="inlineStr"/>
      <c r="J106" s="4" t="inlineStr"/>
      <c r="K106" s="4" t="inlineStr"/>
      <c r="L106" s="4" t="inlineStr"/>
      <c r="M106" s="4" t="inlineStr"/>
      <c r="N106" s="7" t="inlineStr">
        <is>
          <t>М2 (2c)</t>
        </is>
      </c>
      <c r="O106" s="9" t="inlineStr">
        <is>
          <t>—</t>
        </is>
      </c>
      <c r="P106" s="10" t="inlineStr"/>
      <c r="Q106" s="8" t="inlineStr">
        <is>
          <t>нет</t>
        </is>
      </c>
      <c r="R106" s="4" t="inlineStr"/>
      <c r="S106" s="4" t="inlineStr"/>
    </row>
    <row r="107">
      <c r="A107" s="4" t="n">
        <v>106</v>
      </c>
      <c r="B107" s="4" t="inlineStr">
        <is>
          <t>Грамматика</t>
        </is>
      </c>
      <c r="C107" s="4" t="inlineStr">
        <is>
          <t>Предложение и вопросы</t>
        </is>
      </c>
      <c r="D107" s="5" t="inlineStr">
        <is>
          <t>So / Neither / Nor (agreement)</t>
        </is>
      </c>
      <c r="E107" s="4" t="inlineStr">
        <is>
          <t>10+</t>
        </is>
      </c>
      <c r="F107" s="4" t="inlineStr"/>
      <c r="G107" s="4" t="inlineStr"/>
      <c r="H107" s="4" t="inlineStr"/>
      <c r="I107" s="4" t="inlineStr"/>
      <c r="J107" s="4" t="inlineStr"/>
      <c r="K107" s="4" t="inlineStr"/>
      <c r="L107" s="4" t="inlineStr"/>
      <c r="M107" s="4" t="inlineStr"/>
      <c r="N107" s="7" t="inlineStr">
        <is>
          <t>М8 (8c)</t>
        </is>
      </c>
      <c r="O107" s="9" t="inlineStr">
        <is>
          <t>—</t>
        </is>
      </c>
      <c r="P107" s="10" t="inlineStr"/>
      <c r="Q107" s="8" t="inlineStr">
        <is>
          <t>нет</t>
        </is>
      </c>
      <c r="R107" s="4" t="inlineStr"/>
      <c r="S107" s="4" t="inlineStr"/>
    </row>
    <row r="108">
      <c r="A108" s="4" t="n">
        <v>107</v>
      </c>
      <c r="B108" s="4" t="inlineStr">
        <is>
          <t>Use of English</t>
        </is>
      </c>
      <c r="C108" s="4" t="inlineStr">
        <is>
          <t>Фразовые глаголы</t>
        </is>
      </c>
      <c r="D108" s="5" t="inlineStr">
        <is>
          <t>Phrasal verbs: bring</t>
        </is>
      </c>
      <c r="E108" s="4" t="inlineStr">
        <is>
          <t>10+</t>
        </is>
      </c>
      <c r="F108" s="4" t="inlineStr"/>
      <c r="G108" s="4" t="inlineStr"/>
      <c r="H108" s="4" t="inlineStr"/>
      <c r="I108" s="4" t="inlineStr"/>
      <c r="J108" s="4" t="inlineStr"/>
      <c r="K108" s="7" t="inlineStr">
        <is>
          <t>М3 (3f)</t>
        </is>
      </c>
      <c r="L108" s="4" t="inlineStr"/>
      <c r="M108" s="7" t="inlineStr">
        <is>
          <t>М8 (8c)</t>
        </is>
      </c>
      <c r="N108" s="4" t="inlineStr"/>
      <c r="O108" s="9" t="inlineStr">
        <is>
          <t>—</t>
        </is>
      </c>
      <c r="P108" s="10" t="inlineStr"/>
      <c r="Q108" s="8" t="inlineStr">
        <is>
          <t>нет</t>
        </is>
      </c>
      <c r="R108" s="4" t="inlineStr"/>
      <c r="S108" s="4" t="inlineStr"/>
    </row>
    <row r="109">
      <c r="A109" s="4" t="n">
        <v>108</v>
      </c>
      <c r="B109" s="4" t="inlineStr">
        <is>
          <t>Use of English</t>
        </is>
      </c>
      <c r="C109" s="4" t="inlineStr">
        <is>
          <t>Фразовые глаголы</t>
        </is>
      </c>
      <c r="D109" s="5" t="inlineStr">
        <is>
          <t>Phrasal verbs: call</t>
        </is>
      </c>
      <c r="E109" s="4" t="inlineStr">
        <is>
          <t>10+</t>
        </is>
      </c>
      <c r="F109" s="4" t="inlineStr"/>
      <c r="G109" s="4" t="inlineStr"/>
      <c r="H109" s="4" t="inlineStr"/>
      <c r="I109" s="4" t="inlineStr"/>
      <c r="J109" s="4" t="inlineStr"/>
      <c r="K109" s="7" t="inlineStr">
        <is>
          <t>М5 (5f)</t>
        </is>
      </c>
      <c r="L109" s="4" t="inlineStr"/>
      <c r="M109" s="4" t="inlineStr"/>
      <c r="N109" s="4" t="inlineStr"/>
      <c r="O109" s="9" t="inlineStr">
        <is>
          <t>—</t>
        </is>
      </c>
      <c r="P109" s="10" t="inlineStr"/>
      <c r="Q109" s="8" t="inlineStr">
        <is>
          <t>нет</t>
        </is>
      </c>
      <c r="R109" s="4" t="inlineStr"/>
      <c r="S109" s="4" t="inlineStr"/>
    </row>
    <row r="110">
      <c r="A110" s="4" t="n">
        <v>109</v>
      </c>
      <c r="B110" s="4" t="inlineStr">
        <is>
          <t>Use of English</t>
        </is>
      </c>
      <c r="C110" s="4" t="inlineStr">
        <is>
          <t>Фразовые глаголы</t>
        </is>
      </c>
      <c r="D110" s="5" t="inlineStr">
        <is>
          <t>Phrasal verbs: get</t>
        </is>
      </c>
      <c r="E110" s="4" t="inlineStr">
        <is>
          <t>10+</t>
        </is>
      </c>
      <c r="F110" s="4" t="inlineStr"/>
      <c r="G110" s="4" t="inlineStr"/>
      <c r="H110" s="4" t="inlineStr"/>
      <c r="I110" s="4" t="inlineStr"/>
      <c r="J110" s="4" t="inlineStr"/>
      <c r="K110" s="7" t="inlineStr">
        <is>
          <t>М1 (1f)</t>
        </is>
      </c>
      <c r="L110" s="4" t="inlineStr"/>
      <c r="M110" s="7" t="inlineStr">
        <is>
          <t>М5 (5c)</t>
        </is>
      </c>
      <c r="N110" s="4" t="inlineStr"/>
      <c r="O110" s="9" t="inlineStr">
        <is>
          <t>—</t>
        </is>
      </c>
      <c r="P110" s="10" t="inlineStr"/>
      <c r="Q110" s="8" t="inlineStr">
        <is>
          <t>нет</t>
        </is>
      </c>
      <c r="R110" s="4" t="inlineStr"/>
      <c r="S110" s="4" t="inlineStr"/>
    </row>
    <row r="111">
      <c r="A111" s="4" t="n">
        <v>110</v>
      </c>
      <c r="B111" s="4" t="inlineStr">
        <is>
          <t>Use of English</t>
        </is>
      </c>
      <c r="C111" s="4" t="inlineStr">
        <is>
          <t>Фразовые глаголы</t>
        </is>
      </c>
      <c r="D111" s="5" t="inlineStr">
        <is>
          <t>Phrasal verbs: give</t>
        </is>
      </c>
      <c r="E111" s="4" t="inlineStr">
        <is>
          <t>10+</t>
        </is>
      </c>
      <c r="F111" s="4" t="inlineStr"/>
      <c r="G111" s="4" t="inlineStr"/>
      <c r="H111" s="4" t="inlineStr"/>
      <c r="I111" s="4" t="inlineStr"/>
      <c r="J111" s="4" t="inlineStr"/>
      <c r="K111" s="7" t="inlineStr">
        <is>
          <t>М7 (7f)</t>
        </is>
      </c>
      <c r="L111" s="4" t="inlineStr"/>
      <c r="M111" s="7" t="inlineStr">
        <is>
          <t>М6 (6c)</t>
        </is>
      </c>
      <c r="N111" s="4" t="inlineStr"/>
      <c r="O111" s="9" t="inlineStr">
        <is>
          <t>—</t>
        </is>
      </c>
      <c r="P111" s="10" t="inlineStr"/>
      <c r="Q111" s="8" t="inlineStr">
        <is>
          <t>нет</t>
        </is>
      </c>
      <c r="R111" s="4" t="inlineStr"/>
      <c r="S111" s="4" t="inlineStr"/>
    </row>
    <row r="112">
      <c r="A112" s="4" t="n">
        <v>111</v>
      </c>
      <c r="B112" s="4" t="inlineStr">
        <is>
          <t>Use of English</t>
        </is>
      </c>
      <c r="C112" s="4" t="inlineStr">
        <is>
          <t>Фразовые глаголы</t>
        </is>
      </c>
      <c r="D112" s="5" t="inlineStr">
        <is>
          <t>Phrasal verbs: go</t>
        </is>
      </c>
      <c r="E112" s="4" t="inlineStr">
        <is>
          <t>10+</t>
        </is>
      </c>
      <c r="F112" s="4" t="inlineStr"/>
      <c r="G112" s="4" t="inlineStr"/>
      <c r="H112" s="4" t="inlineStr"/>
      <c r="I112" s="4" t="inlineStr"/>
      <c r="J112" s="4" t="inlineStr"/>
      <c r="K112" s="7" t="inlineStr">
        <is>
          <t>М2 (2f)</t>
        </is>
      </c>
      <c r="L112" s="4" t="inlineStr"/>
      <c r="M112" s="4" t="inlineStr"/>
      <c r="N112" s="7" t="inlineStr">
        <is>
          <t>М4 (4c)</t>
        </is>
      </c>
      <c r="O112" s="9" t="inlineStr">
        <is>
          <t>—</t>
        </is>
      </c>
      <c r="P112" s="10" t="inlineStr"/>
      <c r="Q112" s="8" t="inlineStr">
        <is>
          <t>нет</t>
        </is>
      </c>
      <c r="R112" s="4" t="inlineStr"/>
      <c r="S112" s="4" t="inlineStr"/>
    </row>
    <row r="113">
      <c r="A113" s="4" t="n">
        <v>112</v>
      </c>
      <c r="B113" s="4" t="inlineStr">
        <is>
          <t>Use of English</t>
        </is>
      </c>
      <c r="C113" s="4" t="inlineStr">
        <is>
          <t>Фразовые глаголы</t>
        </is>
      </c>
      <c r="D113" s="5" t="inlineStr">
        <is>
          <t>Phrasal verbs: put</t>
        </is>
      </c>
      <c r="E113" s="4" t="inlineStr">
        <is>
          <t>10+</t>
        </is>
      </c>
      <c r="F113" s="4" t="inlineStr"/>
      <c r="G113" s="4" t="inlineStr"/>
      <c r="H113" s="4" t="inlineStr"/>
      <c r="I113" s="4" t="inlineStr"/>
      <c r="J113" s="4" t="inlineStr"/>
      <c r="K113" s="7" t="inlineStr">
        <is>
          <t>М4 (4f)</t>
        </is>
      </c>
      <c r="L113" s="4" t="inlineStr"/>
      <c r="M113" s="4" t="inlineStr"/>
      <c r="N113" s="7" t="inlineStr">
        <is>
          <t>М2 (2c)</t>
        </is>
      </c>
      <c r="O113" s="9" t="inlineStr">
        <is>
          <t>—</t>
        </is>
      </c>
      <c r="P113" s="10" t="inlineStr"/>
      <c r="Q113" s="8" t="inlineStr">
        <is>
          <t>нет</t>
        </is>
      </c>
      <c r="R113" s="4" t="inlineStr"/>
      <c r="S113" s="4" t="inlineStr"/>
    </row>
    <row r="114">
      <c r="A114" s="4" t="n">
        <v>113</v>
      </c>
      <c r="B114" s="4" t="inlineStr">
        <is>
          <t>Use of English</t>
        </is>
      </c>
      <c r="C114" s="4" t="inlineStr">
        <is>
          <t>Фразовые глаголы</t>
        </is>
      </c>
      <c r="D114" s="5" t="inlineStr">
        <is>
          <t>Phrasal verbs: set</t>
        </is>
      </c>
      <c r="E114" s="4" t="inlineStr">
        <is>
          <t>10+</t>
        </is>
      </c>
      <c r="F114" s="4" t="inlineStr"/>
      <c r="G114" s="4" t="inlineStr"/>
      <c r="H114" s="4" t="inlineStr"/>
      <c r="I114" s="4" t="inlineStr"/>
      <c r="J114" s="4" t="inlineStr"/>
      <c r="K114" s="7" t="inlineStr">
        <is>
          <t>М6 (6f)</t>
        </is>
      </c>
      <c r="L114" s="4" t="inlineStr"/>
      <c r="M114" s="4" t="inlineStr"/>
      <c r="N114" s="4" t="inlineStr"/>
      <c r="O114" s="9" t="inlineStr">
        <is>
          <t>—</t>
        </is>
      </c>
      <c r="P114" s="10" t="inlineStr"/>
      <c r="Q114" s="8" t="inlineStr">
        <is>
          <t>нет</t>
        </is>
      </c>
      <c r="R114" s="4" t="inlineStr"/>
      <c r="S114" s="4" t="inlineStr"/>
    </row>
    <row r="115">
      <c r="A115" s="4" t="n">
        <v>114</v>
      </c>
      <c r="B115" s="4" t="inlineStr">
        <is>
          <t>Use of English</t>
        </is>
      </c>
      <c r="C115" s="4" t="inlineStr">
        <is>
          <t>Фразовые глаголы</t>
        </is>
      </c>
      <c r="D115" s="5" t="inlineStr">
        <is>
          <t>Phrasal verbs: take</t>
        </is>
      </c>
      <c r="E115" s="4" t="inlineStr">
        <is>
          <t>10+</t>
        </is>
      </c>
      <c r="F115" s="4" t="inlineStr"/>
      <c r="G115" s="4" t="inlineStr"/>
      <c r="H115" s="4" t="inlineStr"/>
      <c r="I115" s="4" t="inlineStr"/>
      <c r="J115" s="4" t="inlineStr"/>
      <c r="K115" s="7" t="inlineStr">
        <is>
          <t>М8 (8f)</t>
        </is>
      </c>
      <c r="L115" s="4" t="inlineStr"/>
      <c r="M115" s="7" t="inlineStr">
        <is>
          <t>М2 (2c)</t>
        </is>
      </c>
      <c r="N115" s="4" t="inlineStr"/>
      <c r="O115" s="9" t="inlineStr">
        <is>
          <t>—</t>
        </is>
      </c>
      <c r="P115" s="10" t="inlineStr"/>
      <c r="Q115" s="8" t="inlineStr">
        <is>
          <t>нет</t>
        </is>
      </c>
      <c r="R115" s="4" t="inlineStr"/>
      <c r="S115" s="4" t="inlineStr"/>
    </row>
    <row r="116">
      <c r="A116" s="4" t="n">
        <v>115</v>
      </c>
      <c r="B116" s="4" t="inlineStr">
        <is>
          <t>Use of English</t>
        </is>
      </c>
      <c r="C116" s="4" t="inlineStr">
        <is>
          <t>Фразовые глаголы</t>
        </is>
      </c>
      <c r="D116" s="5" t="inlineStr">
        <is>
          <t>Phrasal verbs: break</t>
        </is>
      </c>
      <c r="E116" s="4" t="inlineStr">
        <is>
          <t>10+</t>
        </is>
      </c>
      <c r="F116" s="4" t="inlineStr"/>
      <c r="G116" s="4" t="inlineStr"/>
      <c r="H116" s="4" t="inlineStr"/>
      <c r="I116" s="4" t="inlineStr"/>
      <c r="J116" s="4" t="inlineStr"/>
      <c r="K116" s="4" t="inlineStr"/>
      <c r="L116" s="7" t="inlineStr">
        <is>
          <t>М4 (4f)</t>
        </is>
      </c>
      <c r="M116" s="4" t="inlineStr"/>
      <c r="N116" s="4" t="inlineStr"/>
      <c r="O116" s="9" t="inlineStr">
        <is>
          <t>—</t>
        </is>
      </c>
      <c r="P116" s="10" t="inlineStr"/>
      <c r="Q116" s="8" t="inlineStr">
        <is>
          <t>нет</t>
        </is>
      </c>
      <c r="R116" s="4" t="inlineStr"/>
      <c r="S116" s="4" t="inlineStr"/>
    </row>
    <row r="117">
      <c r="A117" s="4" t="n">
        <v>116</v>
      </c>
      <c r="B117" s="4" t="inlineStr">
        <is>
          <t>Use of English</t>
        </is>
      </c>
      <c r="C117" s="4" t="inlineStr">
        <is>
          <t>Фразовые глаголы</t>
        </is>
      </c>
      <c r="D117" s="5" t="inlineStr">
        <is>
          <t>Phrasal verbs: carry</t>
        </is>
      </c>
      <c r="E117" s="4" t="inlineStr">
        <is>
          <t>10+</t>
        </is>
      </c>
      <c r="F117" s="4" t="inlineStr"/>
      <c r="G117" s="4" t="inlineStr"/>
      <c r="H117" s="4" t="inlineStr"/>
      <c r="I117" s="4" t="inlineStr"/>
      <c r="J117" s="4" t="inlineStr"/>
      <c r="K117" s="4" t="inlineStr"/>
      <c r="L117" s="7" t="inlineStr">
        <is>
          <t>М8 (8f)</t>
        </is>
      </c>
      <c r="M117" s="4" t="inlineStr"/>
      <c r="N117" s="7" t="inlineStr">
        <is>
          <t>М7 (7c)</t>
        </is>
      </c>
      <c r="O117" s="9" t="inlineStr">
        <is>
          <t>—</t>
        </is>
      </c>
      <c r="P117" s="10" t="inlineStr"/>
      <c r="Q117" s="8" t="inlineStr">
        <is>
          <t>нет</t>
        </is>
      </c>
      <c r="R117" s="4" t="inlineStr"/>
      <c r="S117" s="4" t="inlineStr"/>
    </row>
    <row r="118">
      <c r="A118" s="4" t="n">
        <v>117</v>
      </c>
      <c r="B118" s="4" t="inlineStr">
        <is>
          <t>Use of English</t>
        </is>
      </c>
      <c r="C118" s="4" t="inlineStr">
        <is>
          <t>Фразовые глаголы</t>
        </is>
      </c>
      <c r="D118" s="5" t="inlineStr">
        <is>
          <t>Phrasal verbs: check</t>
        </is>
      </c>
      <c r="E118" s="4" t="inlineStr">
        <is>
          <t>10+</t>
        </is>
      </c>
      <c r="F118" s="4" t="inlineStr"/>
      <c r="G118" s="4" t="inlineStr"/>
      <c r="H118" s="4" t="inlineStr"/>
      <c r="I118" s="4" t="inlineStr"/>
      <c r="J118" s="4" t="inlineStr"/>
      <c r="K118" s="4" t="inlineStr"/>
      <c r="L118" s="7" t="inlineStr">
        <is>
          <t>М6 (6f)</t>
        </is>
      </c>
      <c r="M118" s="4" t="inlineStr"/>
      <c r="N118" s="7" t="inlineStr">
        <is>
          <t>М8 (8c)</t>
        </is>
      </c>
      <c r="O118" s="9" t="inlineStr">
        <is>
          <t>—</t>
        </is>
      </c>
      <c r="P118" s="10" t="inlineStr"/>
      <c r="Q118" s="8" t="inlineStr">
        <is>
          <t>нет</t>
        </is>
      </c>
      <c r="R118" s="4" t="inlineStr"/>
      <c r="S118" s="4" t="inlineStr"/>
    </row>
    <row r="119">
      <c r="A119" s="4" t="n">
        <v>118</v>
      </c>
      <c r="B119" s="4" t="inlineStr">
        <is>
          <t>Use of English</t>
        </is>
      </c>
      <c r="C119" s="4" t="inlineStr">
        <is>
          <t>Фразовые глаголы</t>
        </is>
      </c>
      <c r="D119" s="5" t="inlineStr">
        <is>
          <t>Phrasal verbs: come</t>
        </is>
      </c>
      <c r="E119" s="4" t="inlineStr">
        <is>
          <t>10+</t>
        </is>
      </c>
      <c r="F119" s="4" t="inlineStr"/>
      <c r="G119" s="4" t="inlineStr"/>
      <c r="H119" s="4" t="inlineStr"/>
      <c r="I119" s="4" t="inlineStr"/>
      <c r="J119" s="4" t="inlineStr"/>
      <c r="K119" s="4" t="inlineStr"/>
      <c r="L119" s="7" t="inlineStr">
        <is>
          <t>М3 (3f)</t>
        </is>
      </c>
      <c r="M119" s="4" t="inlineStr"/>
      <c r="N119" s="7" t="inlineStr">
        <is>
          <t>М1 (1c)</t>
        </is>
      </c>
      <c r="O119" s="9" t="inlineStr">
        <is>
          <t>—</t>
        </is>
      </c>
      <c r="P119" s="10" t="inlineStr"/>
      <c r="Q119" s="8" t="inlineStr">
        <is>
          <t>нет</t>
        </is>
      </c>
      <c r="R119" s="4" t="inlineStr"/>
      <c r="S119" s="4" t="inlineStr"/>
    </row>
    <row r="120">
      <c r="A120" s="4" t="n">
        <v>119</v>
      </c>
      <c r="B120" s="4" t="inlineStr">
        <is>
          <t>Use of English</t>
        </is>
      </c>
      <c r="C120" s="4" t="inlineStr">
        <is>
          <t>Фразовые глаголы</t>
        </is>
      </c>
      <c r="D120" s="5" t="inlineStr">
        <is>
          <t>Phrasal verbs: keep</t>
        </is>
      </c>
      <c r="E120" s="4" t="inlineStr">
        <is>
          <t>10+</t>
        </is>
      </c>
      <c r="F120" s="4" t="inlineStr"/>
      <c r="G120" s="4" t="inlineStr"/>
      <c r="H120" s="4" t="inlineStr"/>
      <c r="I120" s="4" t="inlineStr"/>
      <c r="J120" s="4" t="inlineStr"/>
      <c r="K120" s="4" t="inlineStr"/>
      <c r="L120" s="7" t="inlineStr">
        <is>
          <t>М7 (7f)</t>
        </is>
      </c>
      <c r="M120" s="4" t="inlineStr"/>
      <c r="N120" s="7" t="inlineStr">
        <is>
          <t>М3 (3c)</t>
        </is>
      </c>
      <c r="O120" s="9" t="inlineStr">
        <is>
          <t>—</t>
        </is>
      </c>
      <c r="P120" s="10" t="inlineStr"/>
      <c r="Q120" s="8" t="inlineStr">
        <is>
          <t>нет</t>
        </is>
      </c>
      <c r="R120" s="4" t="inlineStr"/>
      <c r="S120" s="4" t="inlineStr"/>
    </row>
    <row r="121">
      <c r="A121" s="4" t="n">
        <v>120</v>
      </c>
      <c r="B121" s="4" t="inlineStr">
        <is>
          <t>Use of English</t>
        </is>
      </c>
      <c r="C121" s="4" t="inlineStr">
        <is>
          <t>Фразовые глаголы</t>
        </is>
      </c>
      <c r="D121" s="5" t="inlineStr">
        <is>
          <t>Phrasal verbs: make</t>
        </is>
      </c>
      <c r="E121" s="4" t="inlineStr">
        <is>
          <t>10+</t>
        </is>
      </c>
      <c r="F121" s="4" t="inlineStr"/>
      <c r="G121" s="4" t="inlineStr"/>
      <c r="H121" s="4" t="inlineStr"/>
      <c r="I121" s="4" t="inlineStr"/>
      <c r="J121" s="4" t="inlineStr"/>
      <c r="K121" s="4" t="inlineStr"/>
      <c r="L121" s="7" t="inlineStr">
        <is>
          <t>М2 (2f)</t>
        </is>
      </c>
      <c r="M121" s="4" t="inlineStr"/>
      <c r="N121" s="4" t="inlineStr"/>
      <c r="O121" s="9" t="inlineStr">
        <is>
          <t>—</t>
        </is>
      </c>
      <c r="P121" s="10" t="inlineStr"/>
      <c r="Q121" s="8" t="inlineStr">
        <is>
          <t>нет</t>
        </is>
      </c>
      <c r="R121" s="4" t="inlineStr"/>
      <c r="S121" s="4" t="inlineStr"/>
    </row>
    <row r="122">
      <c r="A122" s="4" t="n">
        <v>121</v>
      </c>
      <c r="B122" s="4" t="inlineStr">
        <is>
          <t>Use of English</t>
        </is>
      </c>
      <c r="C122" s="4" t="inlineStr">
        <is>
          <t>Фразовые глаголы</t>
        </is>
      </c>
      <c r="D122" s="5" t="inlineStr">
        <is>
          <t>Phrasal verbs: run</t>
        </is>
      </c>
      <c r="E122" s="4" t="inlineStr">
        <is>
          <t>10+</t>
        </is>
      </c>
      <c r="F122" s="4" t="inlineStr"/>
      <c r="G122" s="4" t="inlineStr"/>
      <c r="H122" s="4" t="inlineStr"/>
      <c r="I122" s="4" t="inlineStr"/>
      <c r="J122" s="4" t="inlineStr"/>
      <c r="K122" s="4" t="inlineStr"/>
      <c r="L122" s="7" t="inlineStr">
        <is>
          <t>М5 (5f)</t>
        </is>
      </c>
      <c r="M122" s="7" t="inlineStr">
        <is>
          <t>М4 (4c)</t>
        </is>
      </c>
      <c r="N122" s="4" t="inlineStr"/>
      <c r="O122" s="9" t="inlineStr">
        <is>
          <t>—</t>
        </is>
      </c>
      <c r="P122" s="10" t="inlineStr"/>
      <c r="Q122" s="8" t="inlineStr">
        <is>
          <t>нет</t>
        </is>
      </c>
      <c r="R122" s="4" t="inlineStr"/>
      <c r="S122" s="4" t="inlineStr"/>
    </row>
    <row r="123">
      <c r="A123" s="4" t="n">
        <v>122</v>
      </c>
      <c r="B123" s="4" t="inlineStr">
        <is>
          <t>Use of English</t>
        </is>
      </c>
      <c r="C123" s="4" t="inlineStr">
        <is>
          <t>Фразовые глаголы</t>
        </is>
      </c>
      <c r="D123" s="5" t="inlineStr">
        <is>
          <t>Phrasal verbs: turn</t>
        </is>
      </c>
      <c r="E123" s="4" t="inlineStr">
        <is>
          <t>10+</t>
        </is>
      </c>
      <c r="F123" s="4" t="inlineStr"/>
      <c r="G123" s="4" t="inlineStr"/>
      <c r="H123" s="4" t="inlineStr"/>
      <c r="I123" s="4" t="inlineStr"/>
      <c r="J123" s="4" t="inlineStr"/>
      <c r="K123" s="4" t="inlineStr"/>
      <c r="L123" s="7" t="inlineStr">
        <is>
          <t>М1 (1f)</t>
        </is>
      </c>
      <c r="M123" s="7" t="inlineStr">
        <is>
          <t>М7 (7c)</t>
        </is>
      </c>
      <c r="N123" s="4" t="inlineStr"/>
      <c r="O123" s="9" t="inlineStr">
        <is>
          <t>—</t>
        </is>
      </c>
      <c r="P123" s="10" t="inlineStr"/>
      <c r="Q123" s="8" t="inlineStr">
        <is>
          <t>нет</t>
        </is>
      </c>
      <c r="R123" s="4" t="inlineStr"/>
      <c r="S123" s="4" t="inlineStr"/>
    </row>
    <row r="124">
      <c r="A124" s="4" t="n">
        <v>123</v>
      </c>
      <c r="B124" s="4" t="inlineStr">
        <is>
          <t>Use of English</t>
        </is>
      </c>
      <c r="C124" s="4" t="inlineStr">
        <is>
          <t>Фразовые глаголы</t>
        </is>
      </c>
      <c r="D124" s="5" t="inlineStr">
        <is>
          <t>Phrasal verbs: look</t>
        </is>
      </c>
      <c r="E124" s="4" t="inlineStr">
        <is>
          <t>10+</t>
        </is>
      </c>
      <c r="F124" s="4" t="inlineStr"/>
      <c r="G124" s="4" t="inlineStr"/>
      <c r="H124" s="4" t="inlineStr"/>
      <c r="I124" s="4" t="inlineStr"/>
      <c r="J124" s="4" t="inlineStr"/>
      <c r="K124" s="4" t="inlineStr"/>
      <c r="L124" s="4" t="inlineStr"/>
      <c r="M124" s="7" t="inlineStr">
        <is>
          <t>М1 (1c)</t>
        </is>
      </c>
      <c r="N124" s="4" t="inlineStr"/>
      <c r="O124" s="9" t="inlineStr">
        <is>
          <t>—</t>
        </is>
      </c>
      <c r="P124" s="10" t="inlineStr"/>
      <c r="Q124" s="8" t="inlineStr">
        <is>
          <t>нет</t>
        </is>
      </c>
      <c r="R124" s="4" t="inlineStr"/>
      <c r="S124" s="4" t="inlineStr"/>
    </row>
    <row r="125">
      <c r="A125" s="4" t="n">
        <v>124</v>
      </c>
      <c r="B125" s="4" t="inlineStr">
        <is>
          <t>Use of English</t>
        </is>
      </c>
      <c r="C125" s="4" t="inlineStr">
        <is>
          <t>Фразовые глаголы</t>
        </is>
      </c>
      <c r="D125" s="5" t="inlineStr">
        <is>
          <t>Phrasal verbs: pick</t>
        </is>
      </c>
      <c r="E125" s="4" t="inlineStr">
        <is>
          <t>10+</t>
        </is>
      </c>
      <c r="F125" s="4" t="inlineStr"/>
      <c r="G125" s="4" t="inlineStr"/>
      <c r="H125" s="4" t="inlineStr"/>
      <c r="I125" s="4" t="inlineStr"/>
      <c r="J125" s="4" t="inlineStr"/>
      <c r="K125" s="4" t="inlineStr"/>
      <c r="L125" s="4" t="inlineStr"/>
      <c r="M125" s="7" t="inlineStr">
        <is>
          <t>М3 (3c)</t>
        </is>
      </c>
      <c r="N125" s="4" t="inlineStr"/>
      <c r="O125" s="9" t="inlineStr">
        <is>
          <t>—</t>
        </is>
      </c>
      <c r="P125" s="10" t="inlineStr"/>
      <c r="Q125" s="8" t="inlineStr">
        <is>
          <t>нет</t>
        </is>
      </c>
      <c r="R125" s="4" t="inlineStr"/>
      <c r="S125" s="4" t="inlineStr"/>
    </row>
    <row r="126">
      <c r="A126" s="4" t="n">
        <v>125</v>
      </c>
      <c r="B126" s="4" t="inlineStr">
        <is>
          <t>Use of English</t>
        </is>
      </c>
      <c r="C126" s="4" t="inlineStr">
        <is>
          <t>Фразовые глаголы</t>
        </is>
      </c>
      <c r="D126" s="5" t="inlineStr">
        <is>
          <t>Phrasal verbs: do</t>
        </is>
      </c>
      <c r="E126" s="4" t="inlineStr">
        <is>
          <t>10+</t>
        </is>
      </c>
      <c r="F126" s="4" t="inlineStr"/>
      <c r="G126" s="4" t="inlineStr"/>
      <c r="H126" s="4" t="inlineStr"/>
      <c r="I126" s="4" t="inlineStr"/>
      <c r="J126" s="4" t="inlineStr"/>
      <c r="K126" s="4" t="inlineStr"/>
      <c r="L126" s="4" t="inlineStr"/>
      <c r="M126" s="4" t="inlineStr"/>
      <c r="N126" s="7" t="inlineStr">
        <is>
          <t>М5 (5c)</t>
        </is>
      </c>
      <c r="O126" s="9" t="inlineStr">
        <is>
          <t>—</t>
        </is>
      </c>
      <c r="P126" s="10" t="inlineStr"/>
      <c r="Q126" s="8" t="inlineStr">
        <is>
          <t>нет</t>
        </is>
      </c>
      <c r="R126" s="4" t="inlineStr"/>
      <c r="S126" s="4" t="inlineStr"/>
    </row>
    <row r="127">
      <c r="A127" s="4" t="n">
        <v>126</v>
      </c>
      <c r="B127" s="4" t="inlineStr">
        <is>
          <t>Use of English</t>
        </is>
      </c>
      <c r="C127" s="4" t="inlineStr">
        <is>
          <t>Фразовые глаголы</t>
        </is>
      </c>
      <c r="D127" s="5" t="inlineStr">
        <is>
          <t>Phrasal verbs: talk</t>
        </is>
      </c>
      <c r="E127" s="4" t="inlineStr">
        <is>
          <t>10+</t>
        </is>
      </c>
      <c r="F127" s="4" t="inlineStr"/>
      <c r="G127" s="4" t="inlineStr"/>
      <c r="H127" s="4" t="inlineStr"/>
      <c r="I127" s="4" t="inlineStr"/>
      <c r="J127" s="4" t="inlineStr"/>
      <c r="K127" s="4" t="inlineStr"/>
      <c r="L127" s="4" t="inlineStr"/>
      <c r="M127" s="4" t="inlineStr"/>
      <c r="N127" s="7" t="inlineStr">
        <is>
          <t>М6 (6c)</t>
        </is>
      </c>
      <c r="O127" s="9" t="inlineStr">
        <is>
          <t>—</t>
        </is>
      </c>
      <c r="P127" s="10" t="inlineStr"/>
      <c r="Q127" s="8" t="inlineStr">
        <is>
          <t>нет</t>
        </is>
      </c>
      <c r="R127" s="4" t="inlineStr"/>
      <c r="S127" s="4" t="inlineStr"/>
    </row>
    <row r="128">
      <c r="A128" s="4" t="n">
        <v>127</v>
      </c>
      <c r="B128" s="4" t="inlineStr">
        <is>
          <t>Use of English</t>
        </is>
      </c>
      <c r="C128" s="4" t="inlineStr">
        <is>
          <t>Словообразование</t>
        </is>
      </c>
      <c r="D128" s="5" t="inlineStr">
        <is>
          <t>Word formation: -able, -ous, -ing</t>
        </is>
      </c>
      <c r="E128" s="4" t="inlineStr">
        <is>
          <t>10+</t>
        </is>
      </c>
      <c r="F128" s="4" t="inlineStr"/>
      <c r="G128" s="4" t="inlineStr"/>
      <c r="H128" s="7" t="inlineStr">
        <is>
          <t>М10 (10b)</t>
        </is>
      </c>
      <c r="I128" s="4" t="inlineStr"/>
      <c r="J128" s="4" t="inlineStr"/>
      <c r="K128" s="4" t="inlineStr"/>
      <c r="L128" s="4" t="inlineStr"/>
      <c r="M128" s="4" t="inlineStr"/>
      <c r="N128" s="4" t="inlineStr"/>
      <c r="O128" s="9" t="inlineStr">
        <is>
          <t>—</t>
        </is>
      </c>
      <c r="P128" s="10" t="inlineStr"/>
      <c r="Q128" s="8" t="inlineStr">
        <is>
          <t>нет</t>
        </is>
      </c>
      <c r="R128" s="4" t="inlineStr"/>
      <c r="S128" s="4" t="inlineStr"/>
    </row>
    <row r="129">
      <c r="A129" s="4" t="n">
        <v>128</v>
      </c>
      <c r="B129" s="4" t="inlineStr">
        <is>
          <t>Use of English</t>
        </is>
      </c>
      <c r="C129" s="4" t="inlineStr">
        <is>
          <t>Словообразование</t>
        </is>
      </c>
      <c r="D129" s="5" t="inlineStr">
        <is>
          <t>Word formation: -al</t>
        </is>
      </c>
      <c r="E129" s="4" t="inlineStr">
        <is>
          <t>10+</t>
        </is>
      </c>
      <c r="F129" s="4" t="inlineStr"/>
      <c r="G129" s="4" t="inlineStr"/>
      <c r="H129" s="7" t="inlineStr">
        <is>
          <t>М5 (5a)</t>
        </is>
      </c>
      <c r="I129" s="4" t="inlineStr"/>
      <c r="J129" s="4" t="inlineStr"/>
      <c r="K129" s="4" t="inlineStr"/>
      <c r="L129" s="4" t="inlineStr"/>
      <c r="M129" s="4" t="inlineStr"/>
      <c r="N129" s="4" t="inlineStr"/>
      <c r="O129" s="9" t="inlineStr">
        <is>
          <t>—</t>
        </is>
      </c>
      <c r="P129" s="10" t="inlineStr"/>
      <c r="Q129" s="8" t="inlineStr">
        <is>
          <t>нет</t>
        </is>
      </c>
      <c r="R129" s="4" t="inlineStr"/>
      <c r="S129" s="4" t="inlineStr"/>
    </row>
    <row r="130">
      <c r="A130" s="4" t="n">
        <v>129</v>
      </c>
      <c r="B130" s="4" t="inlineStr">
        <is>
          <t>Use of English</t>
        </is>
      </c>
      <c r="C130" s="4" t="inlineStr">
        <is>
          <t>Словообразование</t>
        </is>
      </c>
      <c r="D130" s="5" t="inlineStr">
        <is>
          <t>Word formation: -er, -or, -man, -ist, -ic</t>
        </is>
      </c>
      <c r="E130" s="4" t="inlineStr">
        <is>
          <t>10+</t>
        </is>
      </c>
      <c r="F130" s="4" t="inlineStr"/>
      <c r="G130" s="4" t="inlineStr"/>
      <c r="H130" s="7" t="inlineStr">
        <is>
          <t>М6 (6b)</t>
        </is>
      </c>
      <c r="I130" s="4" t="inlineStr"/>
      <c r="J130" s="4" t="inlineStr"/>
      <c r="K130" s="4" t="inlineStr"/>
      <c r="L130" s="4" t="inlineStr"/>
      <c r="M130" s="4" t="inlineStr"/>
      <c r="N130" s="4" t="inlineStr"/>
      <c r="O130" s="9" t="inlineStr">
        <is>
          <t>—</t>
        </is>
      </c>
      <c r="P130" s="10" t="inlineStr"/>
      <c r="Q130" s="8" t="inlineStr">
        <is>
          <t>нет</t>
        </is>
      </c>
      <c r="R130" s="4" t="inlineStr"/>
      <c r="S130" s="4" t="inlineStr"/>
    </row>
    <row r="131">
      <c r="A131" s="4" t="n">
        <v>130</v>
      </c>
      <c r="B131" s="4" t="inlineStr">
        <is>
          <t>Use of English</t>
        </is>
      </c>
      <c r="C131" s="4" t="inlineStr">
        <is>
          <t>Словообразование</t>
        </is>
      </c>
      <c r="D131" s="5" t="inlineStr">
        <is>
          <t>Word formation: -ful</t>
        </is>
      </c>
      <c r="E131" s="4" t="inlineStr">
        <is>
          <t>10+</t>
        </is>
      </c>
      <c r="F131" s="4" t="inlineStr"/>
      <c r="G131" s="4" t="inlineStr"/>
      <c r="H131" s="7" t="inlineStr">
        <is>
          <t>М4</t>
        </is>
      </c>
      <c r="I131" s="4" t="inlineStr"/>
      <c r="J131" s="4" t="inlineStr"/>
      <c r="K131" s="4" t="inlineStr"/>
      <c r="L131" s="4" t="inlineStr"/>
      <c r="M131" s="4" t="inlineStr"/>
      <c r="N131" s="4" t="inlineStr"/>
      <c r="O131" s="9" t="inlineStr">
        <is>
          <t>—</t>
        </is>
      </c>
      <c r="P131" s="10" t="inlineStr"/>
      <c r="Q131" s="8" t="inlineStr">
        <is>
          <t>нет</t>
        </is>
      </c>
      <c r="R131" s="4" t="inlineStr"/>
      <c r="S131" s="4" t="inlineStr"/>
    </row>
    <row r="132">
      <c r="A132" s="4" t="n">
        <v>131</v>
      </c>
      <c r="B132" s="4" t="inlineStr">
        <is>
          <t>Use of English</t>
        </is>
      </c>
      <c r="C132" s="4" t="inlineStr">
        <is>
          <t>Словообразование</t>
        </is>
      </c>
      <c r="D132" s="5" t="inlineStr">
        <is>
          <t>Word formation: -ly</t>
        </is>
      </c>
      <c r="E132" s="4" t="inlineStr">
        <is>
          <t>10+</t>
        </is>
      </c>
      <c r="F132" s="4" t="inlineStr"/>
      <c r="G132" s="4" t="inlineStr"/>
      <c r="H132" s="7" t="inlineStr">
        <is>
          <t>М6 (6a)</t>
        </is>
      </c>
      <c r="I132" s="4" t="inlineStr"/>
      <c r="J132" s="4" t="inlineStr"/>
      <c r="K132" s="4" t="inlineStr"/>
      <c r="L132" s="4" t="inlineStr"/>
      <c r="M132" s="4" t="inlineStr"/>
      <c r="N132" s="4" t="inlineStr"/>
      <c r="O132" s="9" t="inlineStr">
        <is>
          <t>—</t>
        </is>
      </c>
      <c r="P132" s="10" t="inlineStr"/>
      <c r="Q132" s="8" t="inlineStr">
        <is>
          <t>нет</t>
        </is>
      </c>
      <c r="R132" s="4" t="inlineStr"/>
      <c r="S132" s="4" t="inlineStr"/>
    </row>
    <row r="133">
      <c r="A133" s="4" t="n">
        <v>132</v>
      </c>
      <c r="B133" s="4" t="inlineStr">
        <is>
          <t>Use of English</t>
        </is>
      </c>
      <c r="C133" s="4" t="inlineStr">
        <is>
          <t>Словообразование</t>
        </is>
      </c>
      <c r="D133" s="5" t="inlineStr">
        <is>
          <t>Word formation: -tion, -sion</t>
        </is>
      </c>
      <c r="E133" s="4" t="inlineStr">
        <is>
          <t>10+</t>
        </is>
      </c>
      <c r="F133" s="4" t="inlineStr"/>
      <c r="G133" s="4" t="inlineStr"/>
      <c r="H133" s="7" t="inlineStr">
        <is>
          <t>М10 (10c)</t>
        </is>
      </c>
      <c r="I133" s="4" t="inlineStr"/>
      <c r="J133" s="4" t="inlineStr"/>
      <c r="K133" s="4" t="inlineStr"/>
      <c r="L133" s="4" t="inlineStr"/>
      <c r="M133" s="4" t="inlineStr"/>
      <c r="N133" s="4" t="inlineStr"/>
      <c r="O133" s="9" t="inlineStr">
        <is>
          <t>—</t>
        </is>
      </c>
      <c r="P133" s="10" t="inlineStr"/>
      <c r="Q133" s="8" t="inlineStr">
        <is>
          <t>нет</t>
        </is>
      </c>
      <c r="R133" s="4" t="inlineStr"/>
      <c r="S133" s="4" t="inlineStr"/>
    </row>
    <row r="134">
      <c r="A134" s="4" t="n">
        <v>133</v>
      </c>
      <c r="B134" s="4" t="inlineStr">
        <is>
          <t>Use of English</t>
        </is>
      </c>
      <c r="C134" s="4" t="inlineStr">
        <is>
          <t>Словообразование</t>
        </is>
      </c>
      <c r="D134" s="5" t="inlineStr">
        <is>
          <t>Word formation: compound nouns</t>
        </is>
      </c>
      <c r="E134" s="4" t="inlineStr">
        <is>
          <t>10+</t>
        </is>
      </c>
      <c r="F134" s="4" t="inlineStr"/>
      <c r="G134" s="4" t="inlineStr"/>
      <c r="H134" s="7" t="inlineStr">
        <is>
          <t>М3 (3b)</t>
        </is>
      </c>
      <c r="I134" s="7" t="inlineStr">
        <is>
          <t>М6 (6a)</t>
        </is>
      </c>
      <c r="J134" s="4" t="inlineStr"/>
      <c r="K134" s="7" t="inlineStr">
        <is>
          <t>М7 (7f)</t>
        </is>
      </c>
      <c r="L134" s="4" t="inlineStr"/>
      <c r="M134" s="7" t="inlineStr">
        <is>
          <t>М5 (5c)</t>
        </is>
      </c>
      <c r="N134" s="4" t="inlineStr"/>
      <c r="O134" s="9" t="inlineStr">
        <is>
          <t>—</t>
        </is>
      </c>
      <c r="P134" s="10" t="inlineStr"/>
      <c r="Q134" s="8" t="inlineStr">
        <is>
          <t>нет</t>
        </is>
      </c>
      <c r="R134" s="4" t="inlineStr"/>
      <c r="S134" s="4" t="inlineStr"/>
    </row>
    <row r="135">
      <c r="A135" s="4" t="n">
        <v>134</v>
      </c>
      <c r="B135" s="4" t="inlineStr">
        <is>
          <t>Use of English</t>
        </is>
      </c>
      <c r="C135" s="4" t="inlineStr">
        <is>
          <t>Словообразование</t>
        </is>
      </c>
      <c r="D135" s="5" t="inlineStr">
        <is>
          <t>Word formation: conversion (a dress – to dress)</t>
        </is>
      </c>
      <c r="E135" s="4" t="inlineStr">
        <is>
          <t>10+</t>
        </is>
      </c>
      <c r="F135" s="4" t="inlineStr"/>
      <c r="G135" s="4" t="inlineStr"/>
      <c r="H135" s="7" t="inlineStr">
        <is>
          <t>М8 (8a)</t>
        </is>
      </c>
      <c r="I135" s="4" t="inlineStr"/>
      <c r="J135" s="4" t="inlineStr"/>
      <c r="K135" s="4" t="inlineStr"/>
      <c r="L135" s="4" t="inlineStr"/>
      <c r="M135" s="4" t="inlineStr"/>
      <c r="N135" s="4" t="inlineStr"/>
      <c r="O135" s="9" t="inlineStr">
        <is>
          <t>—</t>
        </is>
      </c>
      <c r="P135" s="10" t="inlineStr"/>
      <c r="Q135" s="8" t="inlineStr">
        <is>
          <t>нет</t>
        </is>
      </c>
      <c r="R135" s="4" t="inlineStr"/>
      <c r="S135" s="4" t="inlineStr"/>
    </row>
    <row r="136">
      <c r="A136" s="4" t="n">
        <v>135</v>
      </c>
      <c r="B136" s="4" t="inlineStr">
        <is>
          <t>Use of English</t>
        </is>
      </c>
      <c r="C136" s="4" t="inlineStr">
        <is>
          <t>Словообразование</t>
        </is>
      </c>
      <c r="D136" s="5" t="inlineStr">
        <is>
          <t>Word formation: nationalities -an/-ish/-ian/-ese</t>
        </is>
      </c>
      <c r="E136" s="4" t="inlineStr">
        <is>
          <t>10+</t>
        </is>
      </c>
      <c r="F136" s="4" t="inlineStr"/>
      <c r="G136" s="4" t="inlineStr"/>
      <c r="H136" s="7" t="inlineStr">
        <is>
          <t>М2 (2a)</t>
        </is>
      </c>
      <c r="I136" s="4" t="inlineStr"/>
      <c r="J136" s="4" t="inlineStr"/>
      <c r="K136" s="4" t="inlineStr"/>
      <c r="L136" s="4" t="inlineStr"/>
      <c r="M136" s="4" t="inlineStr"/>
      <c r="N136" s="4" t="inlineStr"/>
      <c r="O136" s="9" t="inlineStr">
        <is>
          <t>—</t>
        </is>
      </c>
      <c r="P136" s="10" t="inlineStr"/>
      <c r="Q136" s="8" t="inlineStr">
        <is>
          <t>нет</t>
        </is>
      </c>
      <c r="R136" s="4" t="inlineStr"/>
      <c r="S136" s="4" t="inlineStr"/>
    </row>
    <row r="137">
      <c r="A137" s="4" t="n">
        <v>136</v>
      </c>
      <c r="B137" s="4" t="inlineStr">
        <is>
          <t>Use of English</t>
        </is>
      </c>
      <c r="C137" s="4" t="inlineStr">
        <is>
          <t>Словообразование</t>
        </is>
      </c>
      <c r="D137" s="5" t="inlineStr">
        <is>
          <t>Word formation: un-</t>
        </is>
      </c>
      <c r="E137" s="4" t="inlineStr">
        <is>
          <t>10+</t>
        </is>
      </c>
      <c r="F137" s="4" t="inlineStr"/>
      <c r="G137" s="4" t="inlineStr"/>
      <c r="H137" s="7" t="inlineStr">
        <is>
          <t>М8 (8c)</t>
        </is>
      </c>
      <c r="I137" s="4" t="inlineStr"/>
      <c r="J137" s="4" t="inlineStr"/>
      <c r="K137" s="4" t="inlineStr"/>
      <c r="L137" s="4" t="inlineStr"/>
      <c r="M137" s="4" t="inlineStr"/>
      <c r="N137" s="4" t="inlineStr"/>
      <c r="O137" s="9" t="inlineStr">
        <is>
          <t>—</t>
        </is>
      </c>
      <c r="P137" s="10" t="inlineStr"/>
      <c r="Q137" s="8" t="inlineStr">
        <is>
          <t>нет</t>
        </is>
      </c>
      <c r="R137" s="4" t="inlineStr"/>
      <c r="S137" s="4" t="inlineStr"/>
    </row>
    <row r="138">
      <c r="A138" s="4" t="n">
        <v>137</v>
      </c>
      <c r="B138" s="4" t="inlineStr">
        <is>
          <t>Use of English</t>
        </is>
      </c>
      <c r="C138" s="4" t="inlineStr">
        <is>
          <t>Словообразование</t>
        </is>
      </c>
      <c r="D138" s="5" t="inlineStr">
        <is>
          <t>Word formation: -ful, -able</t>
        </is>
      </c>
      <c r="E138" s="4" t="inlineStr">
        <is>
          <t>10+</t>
        </is>
      </c>
      <c r="F138" s="4" t="inlineStr"/>
      <c r="G138" s="4" t="inlineStr"/>
      <c r="H138" s="4" t="inlineStr"/>
      <c r="I138" s="4" t="inlineStr"/>
      <c r="J138" s="4" t="inlineStr"/>
      <c r="K138" s="7" t="inlineStr">
        <is>
          <t>М1 (1f)</t>
        </is>
      </c>
      <c r="L138" s="4" t="inlineStr"/>
      <c r="M138" s="4" t="inlineStr"/>
      <c r="N138" s="4" t="inlineStr"/>
      <c r="O138" s="9" t="inlineStr">
        <is>
          <t>—</t>
        </is>
      </c>
      <c r="P138" s="10" t="inlineStr"/>
      <c r="Q138" s="8" t="inlineStr">
        <is>
          <t>нет</t>
        </is>
      </c>
      <c r="R138" s="4" t="inlineStr"/>
      <c r="S138" s="4" t="inlineStr"/>
    </row>
    <row r="139">
      <c r="A139" s="4" t="n">
        <v>138</v>
      </c>
      <c r="B139" s="4" t="inlineStr">
        <is>
          <t>Use of English</t>
        </is>
      </c>
      <c r="C139" s="4" t="inlineStr">
        <is>
          <t>Словообразование</t>
        </is>
      </c>
      <c r="D139" s="5" t="inlineStr">
        <is>
          <t>Word formation: -ion, -tion, -ance</t>
        </is>
      </c>
      <c r="E139" s="4" t="inlineStr">
        <is>
          <t>10+</t>
        </is>
      </c>
      <c r="F139" s="4" t="inlineStr"/>
      <c r="G139" s="4" t="inlineStr"/>
      <c r="H139" s="4" t="inlineStr"/>
      <c r="I139" s="4" t="inlineStr"/>
      <c r="J139" s="4" t="inlineStr"/>
      <c r="K139" s="7" t="inlineStr">
        <is>
          <t>М5 (5f)</t>
        </is>
      </c>
      <c r="L139" s="4" t="inlineStr"/>
      <c r="M139" s="4" t="inlineStr"/>
      <c r="N139" s="4" t="inlineStr"/>
      <c r="O139" s="9" t="inlineStr">
        <is>
          <t>—</t>
        </is>
      </c>
      <c r="P139" s="10" t="inlineStr"/>
      <c r="Q139" s="8" t="inlineStr">
        <is>
          <t>нет</t>
        </is>
      </c>
      <c r="R139" s="4" t="inlineStr"/>
      <c r="S139" s="4" t="inlineStr"/>
    </row>
    <row r="140">
      <c r="A140" s="4" t="n">
        <v>139</v>
      </c>
      <c r="B140" s="4" t="inlineStr">
        <is>
          <t>Use of English</t>
        </is>
      </c>
      <c r="C140" s="4" t="inlineStr">
        <is>
          <t>Словообразование</t>
        </is>
      </c>
      <c r="D140" s="5" t="inlineStr">
        <is>
          <t>Word formation: -ise, -ize</t>
        </is>
      </c>
      <c r="E140" s="4" t="inlineStr">
        <is>
          <t>10+</t>
        </is>
      </c>
      <c r="F140" s="4" t="inlineStr"/>
      <c r="G140" s="4" t="inlineStr"/>
      <c r="H140" s="4" t="inlineStr"/>
      <c r="I140" s="4" t="inlineStr"/>
      <c r="J140" s="4" t="inlineStr"/>
      <c r="K140" s="7" t="inlineStr">
        <is>
          <t>М3 (3f)</t>
        </is>
      </c>
      <c r="L140" s="4" t="inlineStr"/>
      <c r="M140" s="4" t="inlineStr"/>
      <c r="N140" s="4" t="inlineStr"/>
      <c r="O140" s="9" t="inlineStr">
        <is>
          <t>—</t>
        </is>
      </c>
      <c r="P140" s="10" t="inlineStr"/>
      <c r="Q140" s="8" t="inlineStr">
        <is>
          <t>нет</t>
        </is>
      </c>
      <c r="R140" s="4" t="inlineStr"/>
      <c r="S140" s="4" t="inlineStr"/>
    </row>
    <row r="141">
      <c r="A141" s="4" t="n">
        <v>140</v>
      </c>
      <c r="B141" s="4" t="inlineStr">
        <is>
          <t>Use of English</t>
        </is>
      </c>
      <c r="C141" s="4" t="inlineStr">
        <is>
          <t>Словообразование</t>
        </is>
      </c>
      <c r="D141" s="5" t="inlineStr">
        <is>
          <t>Word formation: -ness, -ment</t>
        </is>
      </c>
      <c r="E141" s="4" t="inlineStr">
        <is>
          <t>10+</t>
        </is>
      </c>
      <c r="F141" s="4" t="inlineStr"/>
      <c r="G141" s="4" t="inlineStr"/>
      <c r="H141" s="4" t="inlineStr"/>
      <c r="I141" s="4" t="inlineStr"/>
      <c r="J141" s="4" t="inlineStr"/>
      <c r="K141" s="7" t="inlineStr">
        <is>
          <t>М6 (6f)</t>
        </is>
      </c>
      <c r="L141" s="4" t="inlineStr"/>
      <c r="M141" s="4" t="inlineStr"/>
      <c r="N141" s="4" t="inlineStr"/>
      <c r="O141" s="9" t="inlineStr">
        <is>
          <t>—</t>
        </is>
      </c>
      <c r="P141" s="10" t="inlineStr"/>
      <c r="Q141" s="8" t="inlineStr">
        <is>
          <t>нет</t>
        </is>
      </c>
      <c r="R141" s="4" t="inlineStr"/>
      <c r="S141" s="4" t="inlineStr"/>
    </row>
    <row r="142">
      <c r="A142" s="4" t="n">
        <v>141</v>
      </c>
      <c r="B142" s="4" t="inlineStr">
        <is>
          <t>Use of English</t>
        </is>
      </c>
      <c r="C142" s="4" t="inlineStr">
        <is>
          <t>Словообразование</t>
        </is>
      </c>
      <c r="D142" s="5" t="inlineStr">
        <is>
          <t>Word formation: compound adjectives</t>
        </is>
      </c>
      <c r="E142" s="4" t="inlineStr">
        <is>
          <t>10+</t>
        </is>
      </c>
      <c r="F142" s="4" t="inlineStr"/>
      <c r="G142" s="4" t="inlineStr"/>
      <c r="H142" s="4" t="inlineStr"/>
      <c r="I142" s="4" t="inlineStr"/>
      <c r="J142" s="4" t="inlineStr"/>
      <c r="K142" s="7" t="inlineStr">
        <is>
          <t>М8 (8f)</t>
        </is>
      </c>
      <c r="L142" s="7" t="inlineStr">
        <is>
          <t>М3 (3f)</t>
        </is>
      </c>
      <c r="M142" s="7" t="inlineStr">
        <is>
          <t>М7 (7c)</t>
        </is>
      </c>
      <c r="N142" s="4" t="inlineStr"/>
      <c r="O142" s="9" t="inlineStr">
        <is>
          <t>—</t>
        </is>
      </c>
      <c r="P142" s="10" t="inlineStr"/>
      <c r="Q142" s="8" t="inlineStr">
        <is>
          <t>нет</t>
        </is>
      </c>
      <c r="R142" s="4" t="inlineStr"/>
      <c r="S142" s="4" t="inlineStr"/>
    </row>
    <row r="143">
      <c r="A143" s="4" t="n">
        <v>142</v>
      </c>
      <c r="B143" s="4" t="inlineStr">
        <is>
          <t>Use of English</t>
        </is>
      </c>
      <c r="C143" s="4" t="inlineStr">
        <is>
          <t>Словообразование</t>
        </is>
      </c>
      <c r="D143" s="5" t="inlineStr">
        <is>
          <t>Word formation: il-, im-, in-, ir-</t>
        </is>
      </c>
      <c r="E143" s="4" t="inlineStr">
        <is>
          <t>10+</t>
        </is>
      </c>
      <c r="F143" s="4" t="inlineStr"/>
      <c r="G143" s="4" t="inlineStr"/>
      <c r="H143" s="4" t="inlineStr"/>
      <c r="I143" s="4" t="inlineStr"/>
      <c r="J143" s="4" t="inlineStr"/>
      <c r="K143" s="7" t="inlineStr">
        <is>
          <t>М4 (4f)</t>
        </is>
      </c>
      <c r="L143" s="4" t="inlineStr"/>
      <c r="M143" s="4" t="inlineStr"/>
      <c r="N143" s="4" t="inlineStr"/>
      <c r="O143" s="9" t="inlineStr">
        <is>
          <t>—</t>
        </is>
      </c>
      <c r="P143" s="10" t="inlineStr"/>
      <c r="Q143" s="8" t="inlineStr">
        <is>
          <t>нет</t>
        </is>
      </c>
      <c r="R143" s="4" t="inlineStr"/>
      <c r="S143" s="4" t="inlineStr"/>
    </row>
    <row r="144">
      <c r="A144" s="4" t="n">
        <v>143</v>
      </c>
      <c r="B144" s="4" t="inlineStr">
        <is>
          <t>Use of English</t>
        </is>
      </c>
      <c r="C144" s="4" t="inlineStr">
        <is>
          <t>Словообразование</t>
        </is>
      </c>
      <c r="D144" s="5" t="inlineStr">
        <is>
          <t>Word formation: negative adjectives</t>
        </is>
      </c>
      <c r="E144" s="4" t="inlineStr">
        <is>
          <t>10+</t>
        </is>
      </c>
      <c r="F144" s="4" t="inlineStr"/>
      <c r="G144" s="4" t="inlineStr"/>
      <c r="H144" s="4" t="inlineStr"/>
      <c r="I144" s="4" t="inlineStr"/>
      <c r="J144" s="4" t="inlineStr"/>
      <c r="K144" s="7" t="inlineStr">
        <is>
          <t>М2 (2f)</t>
        </is>
      </c>
      <c r="L144" s="4" t="inlineStr"/>
      <c r="M144" s="7" t="inlineStr">
        <is>
          <t>М4 (4c)</t>
        </is>
      </c>
      <c r="N144" s="4" t="inlineStr"/>
      <c r="O144" s="9" t="inlineStr">
        <is>
          <t>—</t>
        </is>
      </c>
      <c r="P144" s="10" t="inlineStr"/>
      <c r="Q144" s="8" t="inlineStr">
        <is>
          <t>нет</t>
        </is>
      </c>
      <c r="R144" s="4" t="inlineStr"/>
      <c r="S144" s="4" t="inlineStr"/>
    </row>
    <row r="145">
      <c r="A145" s="4" t="n">
        <v>144</v>
      </c>
      <c r="B145" s="4" t="inlineStr">
        <is>
          <t>Use of English</t>
        </is>
      </c>
      <c r="C145" s="4" t="inlineStr">
        <is>
          <t>Словообразование</t>
        </is>
      </c>
      <c r="D145" s="5" t="inlineStr">
        <is>
          <t>Word formation: abstract nouns</t>
        </is>
      </c>
      <c r="E145" s="4" t="inlineStr">
        <is>
          <t>10+</t>
        </is>
      </c>
      <c r="F145" s="4" t="inlineStr"/>
      <c r="G145" s="4" t="inlineStr"/>
      <c r="H145" s="4" t="inlineStr"/>
      <c r="I145" s="4" t="inlineStr"/>
      <c r="J145" s="4" t="inlineStr"/>
      <c r="K145" s="4" t="inlineStr"/>
      <c r="L145" s="7" t="inlineStr">
        <is>
          <t>М6 (6f)</t>
        </is>
      </c>
      <c r="M145" s="7" t="inlineStr">
        <is>
          <t>М2 (2c)</t>
        </is>
      </c>
      <c r="N145" s="4" t="inlineStr"/>
      <c r="O145" s="9" t="inlineStr">
        <is>
          <t>—</t>
        </is>
      </c>
      <c r="P145" s="10" t="inlineStr"/>
      <c r="Q145" s="8" t="inlineStr">
        <is>
          <t>нет</t>
        </is>
      </c>
      <c r="R145" s="4" t="inlineStr"/>
      <c r="S145" s="4" t="inlineStr"/>
    </row>
    <row r="146">
      <c r="A146" s="4" t="n">
        <v>145</v>
      </c>
      <c r="B146" s="4" t="inlineStr">
        <is>
          <t>Use of English</t>
        </is>
      </c>
      <c r="C146" s="4" t="inlineStr">
        <is>
          <t>Словообразование</t>
        </is>
      </c>
      <c r="D146" s="5" t="inlineStr">
        <is>
          <t>Word formation: nouns from adjectives</t>
        </is>
      </c>
      <c r="E146" s="4" t="inlineStr">
        <is>
          <t>10+</t>
        </is>
      </c>
      <c r="F146" s="4" t="inlineStr"/>
      <c r="G146" s="4" t="inlineStr"/>
      <c r="H146" s="4" t="inlineStr"/>
      <c r="I146" s="4" t="inlineStr"/>
      <c r="J146" s="4" t="inlineStr"/>
      <c r="K146" s="4" t="inlineStr"/>
      <c r="L146" s="7" t="inlineStr">
        <is>
          <t>М2 (2f)</t>
        </is>
      </c>
      <c r="M146" s="4" t="inlineStr"/>
      <c r="N146" s="4" t="inlineStr"/>
      <c r="O146" s="9" t="inlineStr">
        <is>
          <t>—</t>
        </is>
      </c>
      <c r="P146" s="10" t="inlineStr"/>
      <c r="Q146" s="8" t="inlineStr">
        <is>
          <t>нет</t>
        </is>
      </c>
      <c r="R146" s="4" t="inlineStr"/>
      <c r="S146" s="4" t="inlineStr"/>
    </row>
    <row r="147">
      <c r="A147" s="4" t="n">
        <v>146</v>
      </c>
      <c r="B147" s="4" t="inlineStr">
        <is>
          <t>Use of English</t>
        </is>
      </c>
      <c r="C147" s="4" t="inlineStr">
        <is>
          <t>Словообразование</t>
        </is>
      </c>
      <c r="D147" s="5" t="inlineStr">
        <is>
          <t>Word formation: nouns from verbs</t>
        </is>
      </c>
      <c r="E147" s="4" t="inlineStr">
        <is>
          <t>10+</t>
        </is>
      </c>
      <c r="F147" s="4" t="inlineStr"/>
      <c r="G147" s="4" t="inlineStr"/>
      <c r="H147" s="4" t="inlineStr"/>
      <c r="I147" s="4" t="inlineStr"/>
      <c r="J147" s="4" t="inlineStr"/>
      <c r="K147" s="4" t="inlineStr"/>
      <c r="L147" s="7" t="inlineStr">
        <is>
          <t>М4 (4f)</t>
        </is>
      </c>
      <c r="M147" s="4" t="inlineStr"/>
      <c r="N147" s="4" t="inlineStr"/>
      <c r="O147" s="9" t="inlineStr">
        <is>
          <t>—</t>
        </is>
      </c>
      <c r="P147" s="10" t="inlineStr"/>
      <c r="Q147" s="8" t="inlineStr">
        <is>
          <t>нет</t>
        </is>
      </c>
      <c r="R147" s="4" t="inlineStr"/>
      <c r="S147" s="4" t="inlineStr"/>
    </row>
    <row r="148">
      <c r="A148" s="4" t="n">
        <v>147</v>
      </c>
      <c r="B148" s="4" t="inlineStr">
        <is>
          <t>Use of English</t>
        </is>
      </c>
      <c r="C148" s="4" t="inlineStr">
        <is>
          <t>Словообразование</t>
        </is>
      </c>
      <c r="D148" s="5" t="inlineStr">
        <is>
          <t>Word formation: participle adjectives -ed/-ing</t>
        </is>
      </c>
      <c r="E148" s="4" t="inlineStr">
        <is>
          <t>10+</t>
        </is>
      </c>
      <c r="F148" s="4" t="inlineStr"/>
      <c r="G148" s="4" t="inlineStr"/>
      <c r="H148" s="4" t="inlineStr"/>
      <c r="I148" s="4" t="inlineStr"/>
      <c r="J148" s="4" t="inlineStr"/>
      <c r="K148" s="4" t="inlineStr"/>
      <c r="L148" s="7" t="inlineStr">
        <is>
          <t>М1 (1f)</t>
        </is>
      </c>
      <c r="M148" s="4" t="inlineStr"/>
      <c r="N148" s="4" t="inlineStr"/>
      <c r="O148" s="9" t="inlineStr">
        <is>
          <t>—</t>
        </is>
      </c>
      <c r="P148" s="10" t="inlineStr"/>
      <c r="Q148" s="8" t="inlineStr">
        <is>
          <t>нет</t>
        </is>
      </c>
      <c r="R148" s="4" t="inlineStr"/>
      <c r="S148" s="4" t="inlineStr"/>
    </row>
    <row r="149">
      <c r="A149" s="4" t="n">
        <v>148</v>
      </c>
      <c r="B149" s="4" t="inlineStr">
        <is>
          <t>Use of English</t>
        </is>
      </c>
      <c r="C149" s="4" t="inlineStr">
        <is>
          <t>Словообразование</t>
        </is>
      </c>
      <c r="D149" s="5" t="inlineStr">
        <is>
          <t>Word formation: revision</t>
        </is>
      </c>
      <c r="E149" s="4" t="inlineStr">
        <is>
          <t>10+</t>
        </is>
      </c>
      <c r="F149" s="4" t="inlineStr"/>
      <c r="G149" s="4" t="inlineStr"/>
      <c r="H149" s="4" t="inlineStr"/>
      <c r="I149" s="4" t="inlineStr"/>
      <c r="J149" s="4" t="inlineStr"/>
      <c r="K149" s="4" t="inlineStr"/>
      <c r="L149" s="7" t="inlineStr">
        <is>
          <t>М8 (8f)</t>
        </is>
      </c>
      <c r="M149" s="4" t="inlineStr"/>
      <c r="N149" s="4" t="inlineStr"/>
      <c r="O149" s="9" t="inlineStr">
        <is>
          <t>—</t>
        </is>
      </c>
      <c r="P149" s="10" t="inlineStr"/>
      <c r="Q149" s="8" t="inlineStr">
        <is>
          <t>нет</t>
        </is>
      </c>
      <c r="R149" s="4" t="inlineStr"/>
      <c r="S149" s="4" t="inlineStr"/>
    </row>
    <row r="150">
      <c r="A150" s="4" t="n">
        <v>149</v>
      </c>
      <c r="B150" s="4" t="inlineStr">
        <is>
          <t>Use of English</t>
        </is>
      </c>
      <c r="C150" s="4" t="inlineStr">
        <is>
          <t>Словообразование</t>
        </is>
      </c>
      <c r="D150" s="5" t="inlineStr">
        <is>
          <t>Word formation: verbs from nouns/adjectives</t>
        </is>
      </c>
      <c r="E150" s="4" t="inlineStr">
        <is>
          <t>10+</t>
        </is>
      </c>
      <c r="F150" s="4" t="inlineStr"/>
      <c r="G150" s="4" t="inlineStr"/>
      <c r="H150" s="4" t="inlineStr"/>
      <c r="I150" s="4" t="inlineStr"/>
      <c r="J150" s="4" t="inlineStr"/>
      <c r="K150" s="4" t="inlineStr"/>
      <c r="L150" s="7" t="inlineStr">
        <is>
          <t>М7 (7f)</t>
        </is>
      </c>
      <c r="M150" s="4" t="inlineStr"/>
      <c r="N150" s="4" t="inlineStr"/>
      <c r="O150" s="9" t="inlineStr">
        <is>
          <t>—</t>
        </is>
      </c>
      <c r="P150" s="10" t="inlineStr"/>
      <c r="Q150" s="8" t="inlineStr">
        <is>
          <t>нет</t>
        </is>
      </c>
      <c r="R150" s="4" t="inlineStr"/>
      <c r="S150" s="4" t="inlineStr"/>
    </row>
    <row r="151">
      <c r="A151" s="4" t="n">
        <v>150</v>
      </c>
      <c r="B151" s="4" t="inlineStr">
        <is>
          <t>Use of English</t>
        </is>
      </c>
      <c r="C151" s="4" t="inlineStr">
        <is>
          <t>Словообразование</t>
        </is>
      </c>
      <c r="D151" s="5" t="inlineStr">
        <is>
          <t>Word formation: verbs with prefixes</t>
        </is>
      </c>
      <c r="E151" s="4" t="inlineStr">
        <is>
          <t>10+</t>
        </is>
      </c>
      <c r="F151" s="4" t="inlineStr"/>
      <c r="G151" s="4" t="inlineStr"/>
      <c r="H151" s="4" t="inlineStr"/>
      <c r="I151" s="4" t="inlineStr"/>
      <c r="J151" s="4" t="inlineStr"/>
      <c r="K151" s="4" t="inlineStr"/>
      <c r="L151" s="7" t="inlineStr">
        <is>
          <t>М5 (5f)</t>
        </is>
      </c>
      <c r="M151" s="4" t="inlineStr"/>
      <c r="N151" s="4" t="inlineStr"/>
      <c r="O151" s="9" t="inlineStr">
        <is>
          <t>—</t>
        </is>
      </c>
      <c r="P151" s="10" t="inlineStr"/>
      <c r="Q151" s="8" t="inlineStr">
        <is>
          <t>нет</t>
        </is>
      </c>
      <c r="R151" s="4" t="inlineStr"/>
      <c r="S151" s="4" t="inlineStr"/>
    </row>
    <row r="152">
      <c r="A152" s="4" t="n">
        <v>151</v>
      </c>
      <c r="B152" s="4" t="inlineStr">
        <is>
          <t>Use of English</t>
        </is>
      </c>
      <c r="C152" s="4" t="inlineStr">
        <is>
          <t>Словообразование</t>
        </is>
      </c>
      <c r="D152" s="5" t="inlineStr">
        <is>
          <t>Word formation: forming adjectives</t>
        </is>
      </c>
      <c r="E152" s="4" t="inlineStr">
        <is>
          <t>10+</t>
        </is>
      </c>
      <c r="F152" s="4" t="inlineStr"/>
      <c r="G152" s="4" t="inlineStr"/>
      <c r="H152" s="4" t="inlineStr"/>
      <c r="I152" s="4" t="inlineStr"/>
      <c r="J152" s="4" t="inlineStr"/>
      <c r="K152" s="4" t="inlineStr"/>
      <c r="L152" s="4" t="inlineStr"/>
      <c r="M152" s="7" t="inlineStr">
        <is>
          <t>М1 (1c)</t>
        </is>
      </c>
      <c r="N152" s="4" t="inlineStr"/>
      <c r="O152" s="9" t="inlineStr">
        <is>
          <t>—</t>
        </is>
      </c>
      <c r="P152" s="10" t="inlineStr"/>
      <c r="Q152" s="8" t="inlineStr">
        <is>
          <t>нет</t>
        </is>
      </c>
      <c r="R152" s="4" t="inlineStr"/>
      <c r="S152" s="4" t="inlineStr"/>
    </row>
    <row r="153">
      <c r="A153" s="4" t="n">
        <v>152</v>
      </c>
      <c r="B153" s="4" t="inlineStr">
        <is>
          <t>Use of English</t>
        </is>
      </c>
      <c r="C153" s="4" t="inlineStr">
        <is>
          <t>Словообразование</t>
        </is>
      </c>
      <c r="D153" s="5" t="inlineStr">
        <is>
          <t>Word formation: forming verbs</t>
        </is>
      </c>
      <c r="E153" s="4" t="inlineStr">
        <is>
          <t>10+</t>
        </is>
      </c>
      <c r="F153" s="4" t="inlineStr"/>
      <c r="G153" s="4" t="inlineStr"/>
      <c r="H153" s="4" t="inlineStr"/>
      <c r="I153" s="4" t="inlineStr"/>
      <c r="J153" s="4" t="inlineStr"/>
      <c r="K153" s="4" t="inlineStr"/>
      <c r="L153" s="4" t="inlineStr"/>
      <c r="M153" s="7" t="inlineStr">
        <is>
          <t>М8 (8c)</t>
        </is>
      </c>
      <c r="N153" s="4" t="inlineStr"/>
      <c r="O153" s="9" t="inlineStr">
        <is>
          <t>—</t>
        </is>
      </c>
      <c r="P153" s="10" t="inlineStr"/>
      <c r="Q153" s="8" t="inlineStr">
        <is>
          <t>нет</t>
        </is>
      </c>
      <c r="R153" s="4" t="inlineStr"/>
      <c r="S153" s="4" t="inlineStr"/>
    </row>
    <row r="154">
      <c r="A154" s="4" t="n">
        <v>153</v>
      </c>
      <c r="B154" s="4" t="inlineStr">
        <is>
          <t>Use of English</t>
        </is>
      </c>
      <c r="C154" s="4" t="inlineStr">
        <is>
          <t>Словообразование</t>
        </is>
      </c>
      <c r="D154" s="5" t="inlineStr">
        <is>
          <t>Word formation: personal nouns</t>
        </is>
      </c>
      <c r="E154" s="4" t="inlineStr">
        <is>
          <t>10+</t>
        </is>
      </c>
      <c r="F154" s="4" t="inlineStr"/>
      <c r="G154" s="4" t="inlineStr"/>
      <c r="H154" s="4" t="inlineStr"/>
      <c r="I154" s="4" t="inlineStr"/>
      <c r="J154" s="4" t="inlineStr"/>
      <c r="K154" s="4" t="inlineStr"/>
      <c r="L154" s="4" t="inlineStr"/>
      <c r="M154" s="7" t="inlineStr">
        <is>
          <t>М3 (3c)</t>
        </is>
      </c>
      <c r="N154" s="4" t="inlineStr"/>
      <c r="O154" s="9" t="inlineStr">
        <is>
          <t>—</t>
        </is>
      </c>
      <c r="P154" s="10" t="inlineStr"/>
      <c r="Q154" s="8" t="inlineStr">
        <is>
          <t>нет</t>
        </is>
      </c>
      <c r="R154" s="4" t="inlineStr"/>
      <c r="S154" s="4" t="inlineStr"/>
    </row>
    <row r="155">
      <c r="A155" s="4" t="n">
        <v>154</v>
      </c>
      <c r="B155" s="4" t="inlineStr">
        <is>
          <t>Use of English</t>
        </is>
      </c>
      <c r="C155" s="4" t="inlineStr">
        <is>
          <t>Словообразование</t>
        </is>
      </c>
      <c r="D155" s="5" t="inlineStr">
        <is>
          <t>Word formation: prefixes</t>
        </is>
      </c>
      <c r="E155" s="4" t="inlineStr">
        <is>
          <t>10+</t>
        </is>
      </c>
      <c r="F155" s="4" t="inlineStr"/>
      <c r="G155" s="4" t="inlineStr"/>
      <c r="H155" s="4" t="inlineStr"/>
      <c r="I155" s="4" t="inlineStr"/>
      <c r="J155" s="4" t="inlineStr"/>
      <c r="K155" s="4" t="inlineStr"/>
      <c r="L155" s="4" t="inlineStr"/>
      <c r="M155" s="7" t="inlineStr">
        <is>
          <t>М6 (6c)</t>
        </is>
      </c>
      <c r="N155" s="4" t="inlineStr"/>
      <c r="O155" s="9" t="inlineStr">
        <is>
          <t>—</t>
        </is>
      </c>
      <c r="P155" s="10" t="inlineStr"/>
      <c r="Q155" s="8" t="inlineStr">
        <is>
          <t>нет</t>
        </is>
      </c>
      <c r="R155" s="4" t="inlineStr"/>
      <c r="S155" s="4" t="inlineStr"/>
    </row>
    <row r="156">
      <c r="A156" s="4" t="n">
        <v>155</v>
      </c>
      <c r="B156" s="4" t="inlineStr">
        <is>
          <t>Use of English</t>
        </is>
      </c>
      <c r="C156" s="4" t="inlineStr">
        <is>
          <t>Предлоги и сочетания</t>
        </is>
      </c>
      <c r="D156" s="5" t="inlineStr">
        <is>
          <t>Dependent prepositions</t>
        </is>
      </c>
      <c r="E156" s="4" t="inlineStr">
        <is>
          <t>10+</t>
        </is>
      </c>
      <c r="F156" s="4" t="inlineStr"/>
      <c r="G156" s="4" t="inlineStr"/>
      <c r="H156" s="4" t="inlineStr"/>
      <c r="I156" s="4" t="inlineStr"/>
      <c r="J156" s="4" t="inlineStr"/>
      <c r="K156" s="7" t="inlineStr">
        <is>
          <t>М1 (1f)
М2 (2f)
Appendix 2
М3 (3f)
М4 (4f)
М6 (6f)
М8 (8f)</t>
        </is>
      </c>
      <c r="L156" s="7" t="inlineStr">
        <is>
          <t>М1 (1f)
М2 (2f)
Appendix 2
М3 (3f)
М4 (4f)
М5 (5f)
М6 (6f)
М7 (7f)</t>
        </is>
      </c>
      <c r="M156" s="7" t="inlineStr">
        <is>
          <t>М1 (1c)
Appendix 1</t>
        </is>
      </c>
      <c r="N156" s="7" t="inlineStr">
        <is>
          <t>М1 (1c)
М2 (2c)
М3 (3c)
М4 (4c)
М5 (5c)
М6 (6c)
М7 (7c)
М8 (8c)</t>
        </is>
      </c>
      <c r="O156" s="9" t="inlineStr">
        <is>
          <t>—</t>
        </is>
      </c>
      <c r="P156" s="10" t="inlineStr"/>
      <c r="Q156" s="8" t="inlineStr">
        <is>
          <t>нет</t>
        </is>
      </c>
      <c r="R156" s="4" t="inlineStr"/>
      <c r="S156" s="4" t="inlineStr"/>
    </row>
    <row r="157">
      <c r="A157" s="4" t="n">
        <v>156</v>
      </c>
      <c r="B157" s="4" t="inlineStr">
        <is>
          <t>Use of English</t>
        </is>
      </c>
      <c r="C157" s="4" t="inlineStr">
        <is>
          <t>Предлоги и сочетания</t>
        </is>
      </c>
      <c r="D157" s="5" t="inlineStr">
        <is>
          <t>Idioms &amp; collocations</t>
        </is>
      </c>
      <c r="E157" s="4" t="inlineStr">
        <is>
          <t>10+</t>
        </is>
      </c>
      <c r="F157" s="4" t="inlineStr"/>
      <c r="G157" s="4" t="inlineStr"/>
      <c r="H157" s="4" t="inlineStr"/>
      <c r="I157" s="4" t="inlineStr"/>
      <c r="J157" s="4" t="inlineStr"/>
      <c r="K157" s="7" t="inlineStr">
        <is>
          <t>Appendix 3</t>
        </is>
      </c>
      <c r="L157" s="4" t="inlineStr"/>
      <c r="M157" s="7" t="inlineStr">
        <is>
          <t>М5 (5c)</t>
        </is>
      </c>
      <c r="N157" s="7" t="inlineStr">
        <is>
          <t>М1 (1b)
М2 (2b)
М4 (4b)
М5 (5b)
М6 (6b)
М7 (7a)
М8 (8b)</t>
        </is>
      </c>
      <c r="O157" s="9" t="inlineStr">
        <is>
          <t>—</t>
        </is>
      </c>
      <c r="P157" s="10" t="inlineStr"/>
      <c r="Q157" s="8" t="inlineStr">
        <is>
          <t>нет</t>
        </is>
      </c>
      <c r="R157" s="4" t="inlineStr"/>
      <c r="S157" s="4" t="inlineStr"/>
    </row>
    <row r="158">
      <c r="A158" s="4" t="n">
        <v>157</v>
      </c>
      <c r="B158" s="4" t="inlineStr">
        <is>
          <t>Use of English</t>
        </is>
      </c>
      <c r="C158" s="4" t="inlineStr">
        <is>
          <t>Предлоги и сочетания</t>
        </is>
      </c>
      <c r="D158" s="5" t="inlineStr">
        <is>
          <t>Words often confused</t>
        </is>
      </c>
      <c r="E158" s="4" t="inlineStr">
        <is>
          <t>10+</t>
        </is>
      </c>
      <c r="F158" s="4" t="inlineStr"/>
      <c r="G158" s="4" t="inlineStr"/>
      <c r="H158" s="4" t="inlineStr"/>
      <c r="I158" s="4" t="inlineStr"/>
      <c r="J158" s="4" t="inlineStr"/>
      <c r="K158" s="7" t="inlineStr">
        <is>
          <t>М3 (3f)
М4 (4f)
М5 (5f)
М6 (6f)
М7 (7f)</t>
        </is>
      </c>
      <c r="L158" s="7" t="inlineStr">
        <is>
          <t>М8 (8f)</t>
        </is>
      </c>
      <c r="M158" s="4" t="inlineStr"/>
      <c r="N158" s="7" t="inlineStr">
        <is>
          <t>М3 (3a)</t>
        </is>
      </c>
      <c r="O158" s="9" t="inlineStr">
        <is>
          <t>—</t>
        </is>
      </c>
      <c r="P158" s="10" t="inlineStr"/>
      <c r="Q158" s="8" t="inlineStr">
        <is>
          <t>нет</t>
        </is>
      </c>
      <c r="R158" s="4" t="inlineStr"/>
      <c r="S158" s="4" t="inlineStr"/>
    </row>
  </sheetData>
  <autoFilter ref="A1:S158"/>
  <conditionalFormatting sqref="O2:O158">
    <cfRule type="cellIs" priority="1" operator="equal" dxfId="0">
      <formula>"есть"</formula>
    </cfRule>
    <cfRule type="cellIs" priority="2" operator="equal" dxfId="1">
      <formula>"нет"</formula>
    </cfRule>
  </conditionalFormatting>
  <conditionalFormatting sqref="Q2:Q158">
    <cfRule type="cellIs" priority="3" operator="equal" dxfId="0">
      <formula>"есть"</formula>
    </cfRule>
    <cfRule type="cellIs" priority="4" operator="equal" dxfId="1">
      <formula>"нет"</formula>
    </cfRule>
  </conditionalFormatting>
  <dataValidations count="1">
    <dataValidation sqref="O2 O3 O4 O21 O22 O23 O24 O55 O56 O57 O58 O59 O60 O67 O68 O86 O87 O89 O90 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showDropDown="0" showInputMessage="0" showErrorMessage="0" allowBlank="1" type="list">
      <formula1>"есть,нет"</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80"/>
  <sheetViews>
    <sheetView workbookViewId="0">
      <pane xSplit="4" ySplit="1" topLeftCell="E2" activePane="bottomRight" state="frozen"/>
      <selection pane="topRight"/>
      <selection pane="bottomLeft"/>
      <selection pane="bottomRight"/>
      <selection pane="bottomLeft"/>
      <selection pane="bottomRight" activeCell="A1" sqref="A1"/>
    </sheetView>
  </sheetViews>
  <sheetFormatPr baseColWidth="8" defaultRowHeight="15"/>
  <cols>
    <col width="8" customWidth="1" min="1" max="1"/>
    <col width="30" customWidth="1" min="2" max="2"/>
    <col width="9" customWidth="1" min="3" max="3"/>
    <col width="34" customWidth="1" min="4" max="4"/>
    <col width="8" customWidth="1" min="5" max="5"/>
    <col width="9" customWidth="1" min="6" max="6"/>
    <col width="30" customWidth="1" min="7" max="7"/>
    <col width="18" customWidth="1" min="8" max="8"/>
    <col width="70" customWidth="1" min="9" max="9"/>
  </cols>
  <sheetData>
    <row r="1">
      <c r="A1" s="3" t="inlineStr">
        <is>
          <t>Класс</t>
        </is>
      </c>
      <c r="B1" s="3" t="inlineStr">
        <is>
          <t>Модуль</t>
        </is>
      </c>
      <c r="C1" s="3" t="inlineStr">
        <is>
          <t>Урок</t>
        </is>
      </c>
      <c r="D1" s="3" t="inlineStr">
        <is>
          <t>Тема (папка)</t>
        </is>
      </c>
      <c r="E1" s="3" t="inlineStr">
        <is>
          <t>Группа</t>
        </is>
      </c>
      <c r="F1" s="3" t="inlineStr">
        <is>
          <t>Видео</t>
        </is>
      </c>
      <c r="G1" s="3" t="inlineStr">
        <is>
          <t>Вебинар</t>
        </is>
      </c>
      <c r="H1" s="3" t="inlineStr">
        <is>
          <t>Статус</t>
        </is>
      </c>
      <c r="I1" s="3" t="inlineStr">
        <is>
          <t>Путь</t>
        </is>
      </c>
    </row>
    <row r="2">
      <c r="A2" s="11" t="n">
        <v>3</v>
      </c>
      <c r="B2" s="4" t="inlineStr">
        <is>
          <t>Module 1 · School days</t>
        </is>
      </c>
      <c r="C2" s="4" t="inlineStr"/>
      <c r="D2" s="5" t="inlineStr">
        <is>
          <t>to be (Present)</t>
        </is>
      </c>
      <c r="E2" s="11" t="inlineStr">
        <is>
          <t>7–9</t>
        </is>
      </c>
      <c r="F2" s="4">
        <f>IFERROR(INDEX('Темы × классы'!$O:$O,MATCH(D2,'Темы × классы'!$D:$D,0)),"")</f>
        <v/>
      </c>
      <c r="G2" s="4">
        <f>IFERROR(INDEX('Темы × классы'!$P:$P,MATCH(D2,'Темы × классы'!$D:$D,0))&amp;"","")</f>
        <v/>
      </c>
      <c r="H2" s="4" t="inlineStr">
        <is>
          <t>не начат</t>
        </is>
      </c>
      <c r="I2" s="4" t="inlineStr">
        <is>
          <t>Spotlight / 3 класс / Module 1 · School days / to be (Present)</t>
        </is>
      </c>
    </row>
    <row r="3">
      <c r="A3" s="11" t="n">
        <v>3</v>
      </c>
      <c r="B3" s="4" t="inlineStr">
        <is>
          <t>Module 2 · Family moments</t>
        </is>
      </c>
      <c r="C3" s="4" t="inlineStr"/>
      <c r="D3" s="5" t="inlineStr">
        <is>
          <t>to be (Past: was/were)</t>
        </is>
      </c>
      <c r="E3" s="11" t="inlineStr">
        <is>
          <t>7–9</t>
        </is>
      </c>
      <c r="F3" s="4">
        <f>IFERROR(INDEX('Темы × классы'!$O:$O,MATCH(D3,'Темы × классы'!$D:$D,0)),"")</f>
        <v/>
      </c>
      <c r="G3" s="4">
        <f>IFERROR(INDEX('Темы × классы'!$P:$P,MATCH(D3,'Темы × классы'!$D:$D,0))&amp;"","")</f>
        <v/>
      </c>
      <c r="H3" s="4" t="inlineStr">
        <is>
          <t>не начат</t>
        </is>
      </c>
      <c r="I3" s="4" t="inlineStr">
        <is>
          <t>Spotlight / 3 класс / Module 2 · Family moments / to be (Past: was/were)</t>
        </is>
      </c>
    </row>
    <row r="4">
      <c r="A4" s="11" t="n">
        <v>3</v>
      </c>
      <c r="B4" s="4" t="inlineStr">
        <is>
          <t>Module 2 · Family moments</t>
        </is>
      </c>
      <c r="C4" s="4" t="inlineStr"/>
      <c r="D4" s="5" t="inlineStr">
        <is>
          <t>Plurals (regular)</t>
        </is>
      </c>
      <c r="E4" s="11" t="inlineStr">
        <is>
          <t>7–9</t>
        </is>
      </c>
      <c r="F4" s="4">
        <f>IFERROR(INDEX('Темы × классы'!$O:$O,MATCH(D4,'Темы × классы'!$D:$D,0)),"")</f>
        <v/>
      </c>
      <c r="G4" s="4">
        <f>IFERROR(INDEX('Темы × классы'!$P:$P,MATCH(D4,'Темы × классы'!$D:$D,0))&amp;"","")</f>
        <v/>
      </c>
      <c r="H4" s="4" t="inlineStr">
        <is>
          <t>не начат</t>
        </is>
      </c>
      <c r="I4" s="4" t="inlineStr">
        <is>
          <t>Spotlight / 3 класс / Module 2 · Family moments / Plurals (regular)</t>
        </is>
      </c>
    </row>
    <row r="5">
      <c r="A5" s="11" t="n">
        <v>3</v>
      </c>
      <c r="B5" s="4" t="inlineStr">
        <is>
          <t>Module 2 · Family moments</t>
        </is>
      </c>
      <c r="C5" s="4" t="inlineStr"/>
      <c r="D5" s="5" t="inlineStr">
        <is>
          <t>Possessive adjectives</t>
        </is>
      </c>
      <c r="E5" s="11" t="inlineStr">
        <is>
          <t>7–9</t>
        </is>
      </c>
      <c r="F5" s="4">
        <f>IFERROR(INDEX('Темы × классы'!$O:$O,MATCH(D5,'Темы × классы'!$D:$D,0)),"")</f>
        <v/>
      </c>
      <c r="G5" s="4">
        <f>IFERROR(INDEX('Темы × классы'!$P:$P,MATCH(D5,'Темы × классы'!$D:$D,0))&amp;"","")</f>
        <v/>
      </c>
      <c r="H5" s="4" t="inlineStr">
        <is>
          <t>не начат</t>
        </is>
      </c>
      <c r="I5" s="4" t="inlineStr">
        <is>
          <t>Spotlight / 3 класс / Module 2 · Family moments / Possessive adjectives</t>
        </is>
      </c>
    </row>
    <row r="6">
      <c r="A6" s="11" t="n">
        <v>3</v>
      </c>
      <c r="B6" s="4" t="inlineStr">
        <is>
          <t>Module 3 · All the things I like!</t>
        </is>
      </c>
      <c r="C6" s="4" t="inlineStr"/>
      <c r="D6" s="5" t="inlineStr">
        <is>
          <t>Present Simple</t>
        </is>
      </c>
      <c r="E6" s="11" t="inlineStr">
        <is>
          <t>7–9</t>
        </is>
      </c>
      <c r="F6" s="4">
        <f>IFERROR(INDEX('Темы × классы'!$O:$O,MATCH(D6,'Темы × классы'!$D:$D,0)),"")</f>
        <v/>
      </c>
      <c r="G6" s="4">
        <f>IFERROR(INDEX('Темы × классы'!$P:$P,MATCH(D6,'Темы × классы'!$D:$D,0))&amp;"","")</f>
        <v/>
      </c>
      <c r="H6" s="4" t="inlineStr">
        <is>
          <t>не начат</t>
        </is>
      </c>
      <c r="I6" s="4" t="inlineStr">
        <is>
          <t>Spotlight / 3 класс / Module 3 · All the things I like! / Present Simple</t>
        </is>
      </c>
    </row>
    <row r="7">
      <c r="A7" s="11" t="n">
        <v>3</v>
      </c>
      <c r="B7" s="4" t="inlineStr">
        <is>
          <t>Module 3 · All the things I like!</t>
        </is>
      </c>
      <c r="C7" s="4" t="inlineStr"/>
      <c r="D7" s="5" t="inlineStr">
        <is>
          <t>Countable / Uncountable nouns</t>
        </is>
      </c>
      <c r="E7" s="11" t="inlineStr">
        <is>
          <t>7–9</t>
        </is>
      </c>
      <c r="F7" s="4">
        <f>IFERROR(INDEX('Темы × классы'!$O:$O,MATCH(D7,'Темы × классы'!$D:$D,0)),"")</f>
        <v/>
      </c>
      <c r="G7" s="4">
        <f>IFERROR(INDEX('Темы × классы'!$P:$P,MATCH(D7,'Темы × классы'!$D:$D,0))&amp;"","")</f>
        <v/>
      </c>
      <c r="H7" s="4" t="inlineStr">
        <is>
          <t>не начат</t>
        </is>
      </c>
      <c r="I7" s="4" t="inlineStr">
        <is>
          <t>Spotlight / 3 класс / Module 3 · All the things I like! / Countable / Uncountable nouns</t>
        </is>
      </c>
    </row>
    <row r="8">
      <c r="A8" s="11" t="n">
        <v>3</v>
      </c>
      <c r="B8" s="4" t="inlineStr">
        <is>
          <t>Module 3 · All the things I like!</t>
        </is>
      </c>
      <c r="C8" s="4" t="inlineStr"/>
      <c r="D8" s="5" t="inlineStr">
        <is>
          <t>a/an/some/any</t>
        </is>
      </c>
      <c r="E8" s="11" t="inlineStr">
        <is>
          <t>7–9</t>
        </is>
      </c>
      <c r="F8" s="4">
        <f>IFERROR(INDEX('Темы × классы'!$O:$O,MATCH(D8,'Темы × классы'!$D:$D,0)),"")</f>
        <v/>
      </c>
      <c r="G8" s="4">
        <f>IFERROR(INDEX('Темы × классы'!$P:$P,MATCH(D8,'Темы × классы'!$D:$D,0))&amp;"","")</f>
        <v/>
      </c>
      <c r="H8" s="4" t="inlineStr">
        <is>
          <t>не начат</t>
        </is>
      </c>
      <c r="I8" s="4" t="inlineStr">
        <is>
          <t>Spotlight / 3 класс / Module 3 · All the things I like! / a/an/some/any</t>
        </is>
      </c>
    </row>
    <row r="9">
      <c r="A9" s="11" t="n">
        <v>3</v>
      </c>
      <c r="B9" s="4" t="inlineStr">
        <is>
          <t>Module 4 · Come in and play!</t>
        </is>
      </c>
      <c r="C9" s="4" t="inlineStr"/>
      <c r="D9" s="5" t="inlineStr">
        <is>
          <t>Past Simple</t>
        </is>
      </c>
      <c r="E9" s="11" t="inlineStr">
        <is>
          <t>7–9</t>
        </is>
      </c>
      <c r="F9" s="4">
        <f>IFERROR(INDEX('Темы × классы'!$O:$O,MATCH(D9,'Темы × классы'!$D:$D,0)),"")</f>
        <v/>
      </c>
      <c r="G9" s="4">
        <f>IFERROR(INDEX('Темы × классы'!$P:$P,MATCH(D9,'Темы × классы'!$D:$D,0))&amp;"","")</f>
        <v/>
      </c>
      <c r="H9" s="4" t="inlineStr">
        <is>
          <t>не начат</t>
        </is>
      </c>
      <c r="I9" s="4" t="inlineStr">
        <is>
          <t>Spotlight / 3 класс / Module 4 · Come in and play! / Past Simple</t>
        </is>
      </c>
    </row>
    <row r="10">
      <c r="A10" s="11" t="n">
        <v>3</v>
      </c>
      <c r="B10" s="4" t="inlineStr">
        <is>
          <t>Module 4 · Come in and play!</t>
        </is>
      </c>
      <c r="C10" s="4" t="inlineStr"/>
      <c r="D10" s="5" t="inlineStr">
        <is>
          <t>Possessive case ('s)</t>
        </is>
      </c>
      <c r="E10" s="11" t="inlineStr">
        <is>
          <t>7–9</t>
        </is>
      </c>
      <c r="F10" s="4">
        <f>IFERROR(INDEX('Темы × классы'!$O:$O,MATCH(D10,'Темы × классы'!$D:$D,0)),"")</f>
        <v/>
      </c>
      <c r="G10" s="4">
        <f>IFERROR(INDEX('Темы × классы'!$P:$P,MATCH(D10,'Темы × классы'!$D:$D,0))&amp;"","")</f>
        <v/>
      </c>
      <c r="H10" s="4" t="inlineStr">
        <is>
          <t>не начат</t>
        </is>
      </c>
      <c r="I10" s="4" t="inlineStr">
        <is>
          <t>Spotlight / 3 класс / Module 4 · Come in and play! / Possessive case ('s)</t>
        </is>
      </c>
    </row>
    <row r="11">
      <c r="A11" s="11" t="n">
        <v>3</v>
      </c>
      <c r="B11" s="4" t="inlineStr">
        <is>
          <t>Module 4 · Come in and play!</t>
        </is>
      </c>
      <c r="C11" s="4" t="inlineStr"/>
      <c r="D11" s="5" t="inlineStr">
        <is>
          <t>a/an</t>
        </is>
      </c>
      <c r="E11" s="11" t="inlineStr">
        <is>
          <t>7–9</t>
        </is>
      </c>
      <c r="F11" s="4">
        <f>IFERROR(INDEX('Темы × классы'!$O:$O,MATCH(D11,'Темы × классы'!$D:$D,0)),"")</f>
        <v/>
      </c>
      <c r="G11" s="4">
        <f>IFERROR(INDEX('Темы × классы'!$P:$P,MATCH(D11,'Темы × классы'!$D:$D,0))&amp;"","")</f>
        <v/>
      </c>
      <c r="H11" s="4" t="inlineStr">
        <is>
          <t>не начат</t>
        </is>
      </c>
      <c r="I11" s="4" t="inlineStr">
        <is>
          <t>Spotlight / 3 класс / Module 4 · Come in and play! / a/an</t>
        </is>
      </c>
    </row>
    <row r="12">
      <c r="A12" s="11" t="n">
        <v>3</v>
      </c>
      <c r="B12" s="4" t="inlineStr">
        <is>
          <t>Module 4 · Come in and play!</t>
        </is>
      </c>
      <c r="C12" s="4" t="inlineStr"/>
      <c r="D12" s="5" t="inlineStr">
        <is>
          <t>Demonstratives (this/that/these/those)</t>
        </is>
      </c>
      <c r="E12" s="11" t="inlineStr">
        <is>
          <t>7–9</t>
        </is>
      </c>
      <c r="F12" s="4">
        <f>IFERROR(INDEX('Темы × классы'!$O:$O,MATCH(D12,'Темы × классы'!$D:$D,0)),"")</f>
        <v/>
      </c>
      <c r="G12" s="4">
        <f>IFERROR(INDEX('Темы × классы'!$P:$P,MATCH(D12,'Темы × классы'!$D:$D,0))&amp;"","")</f>
        <v/>
      </c>
      <c r="H12" s="4" t="inlineStr">
        <is>
          <t>не начат</t>
        </is>
      </c>
      <c r="I12" s="4" t="inlineStr">
        <is>
          <t>Spotlight / 3 класс / Module 4 · Come in and play! / Demonstratives (this/that/these/those)</t>
        </is>
      </c>
    </row>
    <row r="13">
      <c r="A13" s="11" t="n">
        <v>3</v>
      </c>
      <c r="B13" s="4" t="inlineStr">
        <is>
          <t>Module 4 · Come in and play!</t>
        </is>
      </c>
      <c r="C13" s="4" t="inlineStr"/>
      <c r="D13" s="5" t="inlineStr">
        <is>
          <t>Question words</t>
        </is>
      </c>
      <c r="E13" s="11" t="inlineStr">
        <is>
          <t>7–9</t>
        </is>
      </c>
      <c r="F13" s="4">
        <f>IFERROR(INDEX('Темы × классы'!$O:$O,MATCH(D13,'Темы × классы'!$D:$D,0)),"")</f>
        <v/>
      </c>
      <c r="G13" s="4">
        <f>IFERROR(INDEX('Темы × классы'!$P:$P,MATCH(D13,'Темы × классы'!$D:$D,0))&amp;"","")</f>
        <v/>
      </c>
      <c r="H13" s="4" t="inlineStr">
        <is>
          <t>не начат</t>
        </is>
      </c>
      <c r="I13" s="4" t="inlineStr">
        <is>
          <t>Spotlight / 3 класс / Module 4 · Come in and play! / Question words</t>
        </is>
      </c>
    </row>
    <row r="14">
      <c r="A14" s="11" t="n">
        <v>3</v>
      </c>
      <c r="B14" s="4" t="inlineStr">
        <is>
          <t>Module 5 · Furry friends!</t>
        </is>
      </c>
      <c r="C14" s="4" t="inlineStr"/>
      <c r="D14" s="5" t="inlineStr">
        <is>
          <t>Past Simple</t>
        </is>
      </c>
      <c r="E14" s="11" t="inlineStr">
        <is>
          <t>7–9</t>
        </is>
      </c>
      <c r="F14" s="4">
        <f>IFERROR(INDEX('Темы × классы'!$O:$O,MATCH(D14,'Темы × классы'!$D:$D,0)),"")</f>
        <v/>
      </c>
      <c r="G14" s="4">
        <f>IFERROR(INDEX('Темы × классы'!$P:$P,MATCH(D14,'Темы × классы'!$D:$D,0))&amp;"","")</f>
        <v/>
      </c>
      <c r="H14" s="4" t="inlineStr">
        <is>
          <t>не начат</t>
        </is>
      </c>
      <c r="I14" s="4" t="inlineStr">
        <is>
          <t>Spotlight / 3 класс / Module 5 · Furry friends! / Past Simple</t>
        </is>
      </c>
    </row>
    <row r="15">
      <c r="A15" s="11" t="n">
        <v>3</v>
      </c>
      <c r="B15" s="4" t="inlineStr">
        <is>
          <t>Module 5 · Furry friends!</t>
        </is>
      </c>
      <c r="C15" s="4" t="inlineStr"/>
      <c r="D15" s="5" t="inlineStr">
        <is>
          <t>can (ability)</t>
        </is>
      </c>
      <c r="E15" s="11" t="inlineStr">
        <is>
          <t>7–9</t>
        </is>
      </c>
      <c r="F15" s="4">
        <f>IFERROR(INDEX('Темы × классы'!$O:$O,MATCH(D15,'Темы × классы'!$D:$D,0)),"")</f>
        <v/>
      </c>
      <c r="G15" s="4">
        <f>IFERROR(INDEX('Темы × классы'!$P:$P,MATCH(D15,'Темы × классы'!$D:$D,0))&amp;"","")</f>
        <v/>
      </c>
      <c r="H15" s="4" t="inlineStr">
        <is>
          <t>не начат</t>
        </is>
      </c>
      <c r="I15" s="4" t="inlineStr">
        <is>
          <t>Spotlight / 3 класс / Module 5 · Furry friends! / can (ability)</t>
        </is>
      </c>
    </row>
    <row r="16">
      <c r="A16" s="11" t="n">
        <v>3</v>
      </c>
      <c r="B16" s="4" t="inlineStr">
        <is>
          <t>Module 5 · Furry friends!</t>
        </is>
      </c>
      <c r="C16" s="4" t="inlineStr"/>
      <c r="D16" s="5" t="inlineStr">
        <is>
          <t>have got</t>
        </is>
      </c>
      <c r="E16" s="11" t="inlineStr">
        <is>
          <t>7–9</t>
        </is>
      </c>
      <c r="F16" s="4">
        <f>IFERROR(INDEX('Темы × классы'!$O:$O,MATCH(D16,'Темы × классы'!$D:$D,0)),"")</f>
        <v/>
      </c>
      <c r="G16" s="4">
        <f>IFERROR(INDEX('Темы × классы'!$P:$P,MATCH(D16,'Темы × классы'!$D:$D,0))&amp;"","")</f>
        <v/>
      </c>
      <c r="H16" s="4" t="inlineStr">
        <is>
          <t>не начат</t>
        </is>
      </c>
      <c r="I16" s="4" t="inlineStr">
        <is>
          <t>Spotlight / 3 класс / Module 5 · Furry friends! / have got</t>
        </is>
      </c>
    </row>
    <row r="17">
      <c r="A17" s="11" t="n">
        <v>3</v>
      </c>
      <c r="B17" s="4" t="inlineStr">
        <is>
          <t>Module 5 · Furry friends!</t>
        </is>
      </c>
      <c r="C17" s="4" t="inlineStr"/>
      <c r="D17" s="5" t="inlineStr">
        <is>
          <t>Plurals (irregular)</t>
        </is>
      </c>
      <c r="E17" s="11" t="inlineStr">
        <is>
          <t>7–9</t>
        </is>
      </c>
      <c r="F17" s="4">
        <f>IFERROR(INDEX('Темы × классы'!$O:$O,MATCH(D17,'Темы × классы'!$D:$D,0)),"")</f>
        <v/>
      </c>
      <c r="G17" s="4">
        <f>IFERROR(INDEX('Темы × классы'!$P:$P,MATCH(D17,'Темы × классы'!$D:$D,0))&amp;"","")</f>
        <v/>
      </c>
      <c r="H17" s="4" t="inlineStr">
        <is>
          <t>не начат</t>
        </is>
      </c>
      <c r="I17" s="4" t="inlineStr">
        <is>
          <t>Spotlight / 3 класс / Module 5 · Furry friends! / Plurals (irregular)</t>
        </is>
      </c>
    </row>
    <row r="18">
      <c r="A18" s="11" t="n">
        <v>3</v>
      </c>
      <c r="B18" s="4" t="inlineStr">
        <is>
          <t>Module 6 · Home, sweet home!</t>
        </is>
      </c>
      <c r="C18" s="4" t="inlineStr"/>
      <c r="D18" s="5" t="inlineStr">
        <is>
          <t>Plurals (regular)</t>
        </is>
      </c>
      <c r="E18" s="11" t="inlineStr">
        <is>
          <t>7–9</t>
        </is>
      </c>
      <c r="F18" s="4">
        <f>IFERROR(INDEX('Темы × классы'!$O:$O,MATCH(D18,'Темы × классы'!$D:$D,0)),"")</f>
        <v/>
      </c>
      <c r="G18" s="4">
        <f>IFERROR(INDEX('Темы × классы'!$P:$P,MATCH(D18,'Темы × классы'!$D:$D,0))&amp;"","")</f>
        <v/>
      </c>
      <c r="H18" s="4" t="inlineStr">
        <is>
          <t>не начат</t>
        </is>
      </c>
      <c r="I18" s="4" t="inlineStr">
        <is>
          <t>Spotlight / 3 класс / Module 6 · Home, sweet home! / Plurals (regular)</t>
        </is>
      </c>
    </row>
    <row r="19">
      <c r="A19" s="11" t="n">
        <v>3</v>
      </c>
      <c r="B19" s="4" t="inlineStr">
        <is>
          <t>Module 6 · Home, sweet home!</t>
        </is>
      </c>
      <c r="C19" s="4" t="inlineStr"/>
      <c r="D19" s="5" t="inlineStr">
        <is>
          <t>Prepositions of place</t>
        </is>
      </c>
      <c r="E19" s="11" t="inlineStr">
        <is>
          <t>7–9</t>
        </is>
      </c>
      <c r="F19" s="4">
        <f>IFERROR(INDEX('Темы × классы'!$O:$O,MATCH(D19,'Темы × классы'!$D:$D,0)),"")</f>
        <v/>
      </c>
      <c r="G19" s="4">
        <f>IFERROR(INDEX('Темы × классы'!$P:$P,MATCH(D19,'Темы × классы'!$D:$D,0))&amp;"","")</f>
        <v/>
      </c>
      <c r="H19" s="4" t="inlineStr">
        <is>
          <t>не начат</t>
        </is>
      </c>
      <c r="I19" s="4" t="inlineStr">
        <is>
          <t>Spotlight / 3 класс / Module 6 · Home, sweet home! / Prepositions of place</t>
        </is>
      </c>
    </row>
    <row r="20">
      <c r="A20" s="11" t="n">
        <v>3</v>
      </c>
      <c r="B20" s="4" t="inlineStr">
        <is>
          <t>Module 6 · Home, sweet home!</t>
        </is>
      </c>
      <c r="C20" s="4" t="inlineStr"/>
      <c r="D20" s="5" t="inlineStr">
        <is>
          <t>There is / There are</t>
        </is>
      </c>
      <c r="E20" s="11" t="inlineStr">
        <is>
          <t>7–9</t>
        </is>
      </c>
      <c r="F20" s="4">
        <f>IFERROR(INDEX('Темы × классы'!$O:$O,MATCH(D20,'Темы × классы'!$D:$D,0)),"")</f>
        <v/>
      </c>
      <c r="G20" s="4">
        <f>IFERROR(INDEX('Темы × классы'!$P:$P,MATCH(D20,'Темы × классы'!$D:$D,0))&amp;"","")</f>
        <v/>
      </c>
      <c r="H20" s="4" t="inlineStr">
        <is>
          <t>не начат</t>
        </is>
      </c>
      <c r="I20" s="4" t="inlineStr">
        <is>
          <t>Spotlight / 3 класс / Module 6 · Home, sweet home! / There is / There are</t>
        </is>
      </c>
    </row>
    <row r="21">
      <c r="A21" s="11" t="n">
        <v>3</v>
      </c>
      <c r="B21" s="4" t="inlineStr">
        <is>
          <t>Module 7 · A day off!</t>
        </is>
      </c>
      <c r="C21" s="4" t="inlineStr"/>
      <c r="D21" s="5" t="inlineStr">
        <is>
          <t>Present Continuous</t>
        </is>
      </c>
      <c r="E21" s="11" t="inlineStr">
        <is>
          <t>7–9</t>
        </is>
      </c>
      <c r="F21" s="4">
        <f>IFERROR(INDEX('Темы × классы'!$O:$O,MATCH(D21,'Темы × классы'!$D:$D,0)),"")</f>
        <v/>
      </c>
      <c r="G21" s="4">
        <f>IFERROR(INDEX('Темы × классы'!$P:$P,MATCH(D21,'Темы × классы'!$D:$D,0))&amp;"","")</f>
        <v/>
      </c>
      <c r="H21" s="4" t="inlineStr">
        <is>
          <t>не начат</t>
        </is>
      </c>
      <c r="I21" s="4" t="inlineStr">
        <is>
          <t>Spotlight / 3 класс / Module 7 · A day off! / Present Continuous</t>
        </is>
      </c>
    </row>
    <row r="22">
      <c r="A22" s="11" t="n">
        <v>3</v>
      </c>
      <c r="B22" s="4" t="inlineStr">
        <is>
          <t>Module 8 · Day by day</t>
        </is>
      </c>
      <c r="C22" s="4" t="inlineStr"/>
      <c r="D22" s="5" t="inlineStr">
        <is>
          <t>Present Simple</t>
        </is>
      </c>
      <c r="E22" s="11" t="inlineStr">
        <is>
          <t>7–9</t>
        </is>
      </c>
      <c r="F22" s="4">
        <f>IFERROR(INDEX('Темы × классы'!$O:$O,MATCH(D22,'Темы × классы'!$D:$D,0)),"")</f>
        <v/>
      </c>
      <c r="G22" s="4">
        <f>IFERROR(INDEX('Темы × классы'!$P:$P,MATCH(D22,'Темы × классы'!$D:$D,0))&amp;"","")</f>
        <v/>
      </c>
      <c r="H22" s="4" t="inlineStr">
        <is>
          <t>не начат</t>
        </is>
      </c>
      <c r="I22" s="4" t="inlineStr">
        <is>
          <t>Spotlight / 3 класс / Module 8 · Day by day / Present Simple</t>
        </is>
      </c>
    </row>
    <row r="23">
      <c r="A23" s="11" t="n">
        <v>3</v>
      </c>
      <c r="B23" s="4" t="inlineStr">
        <is>
          <t>Module 8 · Day by day</t>
        </is>
      </c>
      <c r="C23" s="4" t="inlineStr"/>
      <c r="D23" s="5" t="inlineStr">
        <is>
          <t>Prepositions of time</t>
        </is>
      </c>
      <c r="E23" s="11" t="inlineStr">
        <is>
          <t>7–9</t>
        </is>
      </c>
      <c r="F23" s="4">
        <f>IFERROR(INDEX('Темы × классы'!$O:$O,MATCH(D23,'Темы × классы'!$D:$D,0)),"")</f>
        <v/>
      </c>
      <c r="G23" s="4">
        <f>IFERROR(INDEX('Темы × классы'!$P:$P,MATCH(D23,'Темы × классы'!$D:$D,0))&amp;"","")</f>
        <v/>
      </c>
      <c r="H23" s="4" t="inlineStr">
        <is>
          <t>не начат</t>
        </is>
      </c>
      <c r="I23" s="4" t="inlineStr">
        <is>
          <t>Spotlight / 3 класс / Module 8 · Day by day / Prepositions of time</t>
        </is>
      </c>
    </row>
    <row r="24">
      <c r="A24" s="12" t="n">
        <v>4</v>
      </c>
      <c r="B24" s="4" t="inlineStr">
        <is>
          <t>Module 1 · Family and friends</t>
        </is>
      </c>
      <c r="C24" s="4" t="inlineStr"/>
      <c r="D24" s="5" t="inlineStr">
        <is>
          <t>Present Continuous</t>
        </is>
      </c>
      <c r="E24" s="12" t="inlineStr">
        <is>
          <t>10+</t>
        </is>
      </c>
      <c r="F24" s="4">
        <f>IFERROR(INDEX('Темы × классы'!$Q:$Q,MATCH(D24,'Темы × классы'!$D:$D,0)),"")</f>
        <v/>
      </c>
      <c r="G24" s="4">
        <f>IFERROR(INDEX('Темы × классы'!$R:$R,MATCH(D24,'Темы × классы'!$D:$D,0))&amp;"","")</f>
        <v/>
      </c>
      <c r="H24" s="4" t="inlineStr">
        <is>
          <t>не начат</t>
        </is>
      </c>
      <c r="I24" s="4" t="inlineStr">
        <is>
          <t>Spotlight / 4 класс / Module 1 · Family and friends / Present Continuous</t>
        </is>
      </c>
    </row>
    <row r="25">
      <c r="A25" s="12" t="n">
        <v>4</v>
      </c>
      <c r="B25" s="4" t="inlineStr">
        <is>
          <t>Module 1 · Family and friends</t>
        </is>
      </c>
      <c r="C25" s="4" t="inlineStr"/>
      <c r="D25" s="5" t="inlineStr">
        <is>
          <t>Prepositions of place</t>
        </is>
      </c>
      <c r="E25" s="12" t="inlineStr">
        <is>
          <t>10+</t>
        </is>
      </c>
      <c r="F25" s="4">
        <f>IFERROR(INDEX('Темы × классы'!$Q:$Q,MATCH(D25,'Темы × классы'!$D:$D,0)),"")</f>
        <v/>
      </c>
      <c r="G25" s="4">
        <f>IFERROR(INDEX('Темы × классы'!$R:$R,MATCH(D25,'Темы × классы'!$D:$D,0))&amp;"","")</f>
        <v/>
      </c>
      <c r="H25" s="4" t="inlineStr">
        <is>
          <t>не начат</t>
        </is>
      </c>
      <c r="I25" s="4" t="inlineStr">
        <is>
          <t>Spotlight / 4 класс / Module 1 · Family and friends / Prepositions of place</t>
        </is>
      </c>
    </row>
    <row r="26">
      <c r="A26" s="12" t="n">
        <v>4</v>
      </c>
      <c r="B26" s="4" t="inlineStr">
        <is>
          <t>Module 2 · A working day</t>
        </is>
      </c>
      <c r="C26" s="4" t="inlineStr"/>
      <c r="D26" s="5" t="inlineStr">
        <is>
          <t>Present Simple</t>
        </is>
      </c>
      <c r="E26" s="12" t="inlineStr">
        <is>
          <t>10+</t>
        </is>
      </c>
      <c r="F26" s="4">
        <f>IFERROR(INDEX('Темы × классы'!$Q:$Q,MATCH(D26,'Темы × классы'!$D:$D,0)),"")</f>
        <v/>
      </c>
      <c r="G26" s="4">
        <f>IFERROR(INDEX('Темы × классы'!$R:$R,MATCH(D26,'Темы × классы'!$D:$D,0))&amp;"","")</f>
        <v/>
      </c>
      <c r="H26" s="4" t="inlineStr">
        <is>
          <t>не начат</t>
        </is>
      </c>
      <c r="I26" s="4" t="inlineStr">
        <is>
          <t>Spotlight / 4 класс / Module 2 · A working day / Present Simple</t>
        </is>
      </c>
    </row>
    <row r="27">
      <c r="A27" s="12" t="n">
        <v>4</v>
      </c>
      <c r="B27" s="4" t="inlineStr">
        <is>
          <t>Module 2 · A working day</t>
        </is>
      </c>
      <c r="C27" s="4" t="inlineStr"/>
      <c r="D27" s="5" t="inlineStr">
        <is>
          <t>have to</t>
        </is>
      </c>
      <c r="E27" s="12" t="inlineStr">
        <is>
          <t>10+</t>
        </is>
      </c>
      <c r="F27" s="4">
        <f>IFERROR(INDEX('Темы × классы'!$Q:$Q,MATCH(D27,'Темы × классы'!$D:$D,0)),"")</f>
        <v/>
      </c>
      <c r="G27" s="4">
        <f>IFERROR(INDEX('Темы × классы'!$R:$R,MATCH(D27,'Темы × классы'!$D:$D,0))&amp;"","")</f>
        <v/>
      </c>
      <c r="H27" s="4" t="inlineStr">
        <is>
          <t>не начат</t>
        </is>
      </c>
      <c r="I27" s="4" t="inlineStr">
        <is>
          <t>Spotlight / 4 класс / Module 2 · A working day / have to</t>
        </is>
      </c>
    </row>
    <row r="28">
      <c r="A28" s="12" t="n">
        <v>4</v>
      </c>
      <c r="B28" s="4" t="inlineStr">
        <is>
          <t>Module 2 · A working day</t>
        </is>
      </c>
      <c r="C28" s="4" t="inlineStr"/>
      <c r="D28" s="5" t="inlineStr">
        <is>
          <t>Adverbs of frequency</t>
        </is>
      </c>
      <c r="E28" s="12" t="inlineStr">
        <is>
          <t>10+</t>
        </is>
      </c>
      <c r="F28" s="4">
        <f>IFERROR(INDEX('Темы × классы'!$Q:$Q,MATCH(D28,'Темы × классы'!$D:$D,0)),"")</f>
        <v/>
      </c>
      <c r="G28" s="4">
        <f>IFERROR(INDEX('Темы × классы'!$R:$R,MATCH(D28,'Темы × классы'!$D:$D,0))&amp;"","")</f>
        <v/>
      </c>
      <c r="H28" s="4" t="inlineStr">
        <is>
          <t>не начат</t>
        </is>
      </c>
      <c r="I28" s="4" t="inlineStr">
        <is>
          <t>Spotlight / 4 класс / Module 2 · A working day / Adverbs of frequency</t>
        </is>
      </c>
    </row>
    <row r="29">
      <c r="A29" s="12" t="n">
        <v>4</v>
      </c>
      <c r="B29" s="4" t="inlineStr">
        <is>
          <t>Module 3 · Tasty treats</t>
        </is>
      </c>
      <c r="C29" s="4" t="inlineStr"/>
      <c r="D29" s="5" t="inlineStr">
        <is>
          <t>may/might</t>
        </is>
      </c>
      <c r="E29" s="12" t="inlineStr">
        <is>
          <t>10+</t>
        </is>
      </c>
      <c r="F29" s="4">
        <f>IFERROR(INDEX('Темы × классы'!$Q:$Q,MATCH(D29,'Темы × классы'!$D:$D,0)),"")</f>
        <v/>
      </c>
      <c r="G29" s="4">
        <f>IFERROR(INDEX('Темы × классы'!$R:$R,MATCH(D29,'Темы × классы'!$D:$D,0))&amp;"","")</f>
        <v/>
      </c>
      <c r="H29" s="4" t="inlineStr">
        <is>
          <t>не начат</t>
        </is>
      </c>
      <c r="I29" s="4" t="inlineStr">
        <is>
          <t>Spotlight / 4 класс / Module 3 · Tasty treats / may/might</t>
        </is>
      </c>
    </row>
    <row r="30">
      <c r="A30" s="12" t="n">
        <v>4</v>
      </c>
      <c r="B30" s="4" t="inlineStr">
        <is>
          <t>Module 3 · Tasty treats</t>
        </is>
      </c>
      <c r="C30" s="4" t="inlineStr"/>
      <c r="D30" s="5" t="inlineStr">
        <is>
          <t>Countable / Uncountable nouns</t>
        </is>
      </c>
      <c r="E30" s="12" t="inlineStr">
        <is>
          <t>10+</t>
        </is>
      </c>
      <c r="F30" s="4">
        <f>IFERROR(INDEX('Темы × классы'!$Q:$Q,MATCH(D30,'Темы × классы'!$D:$D,0)),"")</f>
        <v/>
      </c>
      <c r="G30" s="4">
        <f>IFERROR(INDEX('Темы × классы'!$R:$R,MATCH(D30,'Темы × классы'!$D:$D,0))&amp;"","")</f>
        <v/>
      </c>
      <c r="H30" s="4" t="inlineStr">
        <is>
          <t>не начат</t>
        </is>
      </c>
      <c r="I30" s="4" t="inlineStr">
        <is>
          <t>Spotlight / 4 класс / Module 3 · Tasty treats / Countable / Uncountable nouns</t>
        </is>
      </c>
    </row>
    <row r="31">
      <c r="A31" s="12" t="n">
        <v>4</v>
      </c>
      <c r="B31" s="4" t="inlineStr">
        <is>
          <t>Module 3 · Tasty treats</t>
        </is>
      </c>
      <c r="C31" s="4" t="inlineStr"/>
      <c r="D31" s="5" t="inlineStr">
        <is>
          <t>much/many/a lot of</t>
        </is>
      </c>
      <c r="E31" s="12" t="inlineStr">
        <is>
          <t>10+</t>
        </is>
      </c>
      <c r="F31" s="4">
        <f>IFERROR(INDEX('Темы × классы'!$Q:$Q,MATCH(D31,'Темы × классы'!$D:$D,0)),"")</f>
        <v/>
      </c>
      <c r="G31" s="4">
        <f>IFERROR(INDEX('Темы × классы'!$R:$R,MATCH(D31,'Темы × классы'!$D:$D,0))&amp;"","")</f>
        <v/>
      </c>
      <c r="H31" s="4" t="inlineStr">
        <is>
          <t>не начат</t>
        </is>
      </c>
      <c r="I31" s="4" t="inlineStr">
        <is>
          <t>Spotlight / 4 класс / Module 3 · Tasty treats / much/many/a lot of</t>
        </is>
      </c>
    </row>
    <row r="32">
      <c r="A32" s="12" t="n">
        <v>4</v>
      </c>
      <c r="B32" s="4" t="inlineStr">
        <is>
          <t>Module 3 · Tasty treats</t>
        </is>
      </c>
      <c r="C32" s="4" t="inlineStr"/>
      <c r="D32" s="5" t="inlineStr">
        <is>
          <t>Question words</t>
        </is>
      </c>
      <c r="E32" s="12" t="inlineStr">
        <is>
          <t>10+</t>
        </is>
      </c>
      <c r="F32" s="4">
        <f>IFERROR(INDEX('Темы × классы'!$Q:$Q,MATCH(D32,'Темы × классы'!$D:$D,0)),"")</f>
        <v/>
      </c>
      <c r="G32" s="4">
        <f>IFERROR(INDEX('Темы × классы'!$R:$R,MATCH(D32,'Темы × классы'!$D:$D,0))&amp;"","")</f>
        <v/>
      </c>
      <c r="H32" s="4" t="inlineStr">
        <is>
          <t>не начат</t>
        </is>
      </c>
      <c r="I32" s="4" t="inlineStr">
        <is>
          <t>Spotlight / 4 класс / Module 3 · Tasty treats / Question words</t>
        </is>
      </c>
    </row>
    <row r="33">
      <c r="A33" s="12" t="n">
        <v>4</v>
      </c>
      <c r="B33" s="4" t="inlineStr">
        <is>
          <t>Module 4 · At the zoo!</t>
        </is>
      </c>
      <c r="C33" s="4" t="inlineStr"/>
      <c r="D33" s="5" t="inlineStr">
        <is>
          <t>Present Simple vs Present Continuous</t>
        </is>
      </c>
      <c r="E33" s="12" t="inlineStr">
        <is>
          <t>10+</t>
        </is>
      </c>
      <c r="F33" s="4">
        <f>IFERROR(INDEX('Темы × классы'!$Q:$Q,MATCH(D33,'Темы × классы'!$D:$D,0)),"")</f>
        <v/>
      </c>
      <c r="G33" s="4">
        <f>IFERROR(INDEX('Темы × классы'!$R:$R,MATCH(D33,'Темы × классы'!$D:$D,0))&amp;"","")</f>
        <v/>
      </c>
      <c r="H33" s="4" t="inlineStr">
        <is>
          <t>не начат</t>
        </is>
      </c>
      <c r="I33" s="4" t="inlineStr">
        <is>
          <t>Spotlight / 4 класс / Module 4 · At the zoo! / Present Simple vs Present Continuous</t>
        </is>
      </c>
    </row>
    <row r="34">
      <c r="A34" s="12" t="n">
        <v>4</v>
      </c>
      <c r="B34" s="4" t="inlineStr">
        <is>
          <t>Module 4 · At the zoo!</t>
        </is>
      </c>
      <c r="C34" s="4" t="inlineStr"/>
      <c r="D34" s="5" t="inlineStr">
        <is>
          <t>must/mustn't</t>
        </is>
      </c>
      <c r="E34" s="12" t="inlineStr">
        <is>
          <t>10+</t>
        </is>
      </c>
      <c r="F34" s="4">
        <f>IFERROR(INDEX('Темы × классы'!$Q:$Q,MATCH(D34,'Темы × классы'!$D:$D,0)),"")</f>
        <v/>
      </c>
      <c r="G34" s="4">
        <f>IFERROR(INDEX('Темы × классы'!$R:$R,MATCH(D34,'Темы × классы'!$D:$D,0))&amp;"","")</f>
        <v/>
      </c>
      <c r="H34" s="4" t="inlineStr">
        <is>
          <t>не начат</t>
        </is>
      </c>
      <c r="I34" s="4" t="inlineStr">
        <is>
          <t>Spotlight / 4 класс / Module 4 · At the zoo! / must/mustn't</t>
        </is>
      </c>
    </row>
    <row r="35">
      <c r="A35" s="12" t="n">
        <v>4</v>
      </c>
      <c r="B35" s="4" t="inlineStr">
        <is>
          <t>Module 4 · At the zoo!</t>
        </is>
      </c>
      <c r="C35" s="4" t="inlineStr"/>
      <c r="D35" s="5" t="inlineStr">
        <is>
          <t>Comparatives &amp; Superlatives</t>
        </is>
      </c>
      <c r="E35" s="12" t="inlineStr">
        <is>
          <t>10+</t>
        </is>
      </c>
      <c r="F35" s="4">
        <f>IFERROR(INDEX('Темы × классы'!$Q:$Q,MATCH(D35,'Темы × классы'!$D:$D,0)),"")</f>
        <v/>
      </c>
      <c r="G35" s="4">
        <f>IFERROR(INDEX('Темы × классы'!$R:$R,MATCH(D35,'Темы × классы'!$D:$D,0))&amp;"","")</f>
        <v/>
      </c>
      <c r="H35" s="4" t="inlineStr">
        <is>
          <t>не начат</t>
        </is>
      </c>
      <c r="I35" s="4" t="inlineStr">
        <is>
          <t>Spotlight / 4 класс / Module 4 · At the zoo! / Comparatives &amp; Superlatives</t>
        </is>
      </c>
    </row>
    <row r="36">
      <c r="A36" s="12" t="n">
        <v>4</v>
      </c>
      <c r="B36" s="4" t="inlineStr">
        <is>
          <t>Module 5 · Where were you yesterday?</t>
        </is>
      </c>
      <c r="C36" s="4" t="inlineStr"/>
      <c r="D36" s="5" t="inlineStr">
        <is>
          <t>to be (Past: was/were)</t>
        </is>
      </c>
      <c r="E36" s="12" t="inlineStr">
        <is>
          <t>10+</t>
        </is>
      </c>
      <c r="F36" s="4">
        <f>IFERROR(INDEX('Темы × классы'!$Q:$Q,MATCH(D36,'Темы × классы'!$D:$D,0)),"")</f>
        <v/>
      </c>
      <c r="G36" s="4">
        <f>IFERROR(INDEX('Темы × классы'!$R:$R,MATCH(D36,'Темы × классы'!$D:$D,0))&amp;"","")</f>
        <v/>
      </c>
      <c r="H36" s="4" t="inlineStr">
        <is>
          <t>не начат</t>
        </is>
      </c>
      <c r="I36" s="4" t="inlineStr">
        <is>
          <t>Spotlight / 4 класс / Module 5 · Where were you yesterday? / to be (Past: was/were)</t>
        </is>
      </c>
    </row>
    <row r="37">
      <c r="A37" s="12" t="n">
        <v>4</v>
      </c>
      <c r="B37" s="4" t="inlineStr">
        <is>
          <t>Module 5 · Where were you yesterday?</t>
        </is>
      </c>
      <c r="C37" s="4" t="inlineStr"/>
      <c r="D37" s="5" t="inlineStr">
        <is>
          <t>Ordinal numbers</t>
        </is>
      </c>
      <c r="E37" s="12" t="inlineStr">
        <is>
          <t>10+</t>
        </is>
      </c>
      <c r="F37" s="4">
        <f>IFERROR(INDEX('Темы × классы'!$Q:$Q,MATCH(D37,'Темы × классы'!$D:$D,0)),"")</f>
        <v/>
      </c>
      <c r="G37" s="4">
        <f>IFERROR(INDEX('Темы × классы'!$R:$R,MATCH(D37,'Темы × классы'!$D:$D,0))&amp;"","")</f>
        <v/>
      </c>
      <c r="H37" s="4" t="inlineStr">
        <is>
          <t>не начат</t>
        </is>
      </c>
      <c r="I37" s="4" t="inlineStr">
        <is>
          <t>Spotlight / 4 класс / Module 5 · Where were you yesterday? / Ordinal numbers</t>
        </is>
      </c>
    </row>
    <row r="38">
      <c r="A38" s="12" t="n">
        <v>4</v>
      </c>
      <c r="B38" s="4" t="inlineStr">
        <is>
          <t>Module 6 · Tell the tale!</t>
        </is>
      </c>
      <c r="C38" s="4" t="inlineStr"/>
      <c r="D38" s="5" t="inlineStr">
        <is>
          <t>Past Simple</t>
        </is>
      </c>
      <c r="E38" s="12" t="inlineStr">
        <is>
          <t>10+</t>
        </is>
      </c>
      <c r="F38" s="4">
        <f>IFERROR(INDEX('Темы × классы'!$Q:$Q,MATCH(D38,'Темы × классы'!$D:$D,0)),"")</f>
        <v/>
      </c>
      <c r="G38" s="4">
        <f>IFERROR(INDEX('Темы × классы'!$R:$R,MATCH(D38,'Темы × классы'!$D:$D,0))&amp;"","")</f>
        <v/>
      </c>
      <c r="H38" s="4" t="inlineStr">
        <is>
          <t>не начат</t>
        </is>
      </c>
      <c r="I38" s="4" t="inlineStr">
        <is>
          <t>Spotlight / 4 класс / Module 6 · Tell the tale! / Past Simple</t>
        </is>
      </c>
    </row>
    <row r="39">
      <c r="A39" s="12" t="n">
        <v>4</v>
      </c>
      <c r="B39" s="4" t="inlineStr">
        <is>
          <t>Module 7 · Days to remember</t>
        </is>
      </c>
      <c r="C39" s="4" t="inlineStr"/>
      <c r="D39" s="5" t="inlineStr">
        <is>
          <t>Past Simple</t>
        </is>
      </c>
      <c r="E39" s="12" t="inlineStr">
        <is>
          <t>10+</t>
        </is>
      </c>
      <c r="F39" s="4">
        <f>IFERROR(INDEX('Темы × классы'!$Q:$Q,MATCH(D39,'Темы × классы'!$D:$D,0)),"")</f>
        <v/>
      </c>
      <c r="G39" s="4">
        <f>IFERROR(INDEX('Темы × классы'!$R:$R,MATCH(D39,'Темы × классы'!$D:$D,0))&amp;"","")</f>
        <v/>
      </c>
      <c r="H39" s="4" t="inlineStr">
        <is>
          <t>не начат</t>
        </is>
      </c>
      <c r="I39" s="4" t="inlineStr">
        <is>
          <t>Spotlight / 4 класс / Module 7 · Days to remember / Past Simple</t>
        </is>
      </c>
    </row>
    <row r="40">
      <c r="A40" s="12" t="n">
        <v>4</v>
      </c>
      <c r="B40" s="4" t="inlineStr">
        <is>
          <t>Module 7 · Days to remember</t>
        </is>
      </c>
      <c r="C40" s="4" t="inlineStr"/>
      <c r="D40" s="5" t="inlineStr">
        <is>
          <t>Comparatives &amp; Superlatives</t>
        </is>
      </c>
      <c r="E40" s="12" t="inlineStr">
        <is>
          <t>10+</t>
        </is>
      </c>
      <c r="F40" s="4">
        <f>IFERROR(INDEX('Темы × классы'!$Q:$Q,MATCH(D40,'Темы × классы'!$D:$D,0)),"")</f>
        <v/>
      </c>
      <c r="G40" s="4">
        <f>IFERROR(INDEX('Темы × классы'!$R:$R,MATCH(D40,'Темы × классы'!$D:$D,0))&amp;"","")</f>
        <v/>
      </c>
      <c r="H40" s="4" t="inlineStr">
        <is>
          <t>не начат</t>
        </is>
      </c>
      <c r="I40" s="4" t="inlineStr">
        <is>
          <t>Spotlight / 4 класс / Module 7 · Days to remember / Comparatives &amp; Superlatives</t>
        </is>
      </c>
    </row>
    <row r="41">
      <c r="A41" s="12" t="n">
        <v>4</v>
      </c>
      <c r="B41" s="4" t="inlineStr">
        <is>
          <t>Module 8 · Places to go</t>
        </is>
      </c>
      <c r="C41" s="4" t="inlineStr"/>
      <c r="D41" s="5" t="inlineStr">
        <is>
          <t>Future Simple (will)</t>
        </is>
      </c>
      <c r="E41" s="12" t="inlineStr">
        <is>
          <t>10+</t>
        </is>
      </c>
      <c r="F41" s="4">
        <f>IFERROR(INDEX('Темы × классы'!$Q:$Q,MATCH(D41,'Темы × классы'!$D:$D,0)),"")</f>
        <v/>
      </c>
      <c r="G41" s="4">
        <f>IFERROR(INDEX('Темы × классы'!$R:$R,MATCH(D41,'Темы × классы'!$D:$D,0))&amp;"","")</f>
        <v/>
      </c>
      <c r="H41" s="4" t="inlineStr">
        <is>
          <t>не начат</t>
        </is>
      </c>
      <c r="I41" s="4" t="inlineStr">
        <is>
          <t>Spotlight / 4 класс / Module 8 · Places to go / Future Simple (will)</t>
        </is>
      </c>
    </row>
    <row r="42">
      <c r="A42" s="12" t="n">
        <v>4</v>
      </c>
      <c r="B42" s="4" t="inlineStr">
        <is>
          <t>Module 8 · Places to go</t>
        </is>
      </c>
      <c r="C42" s="4" t="inlineStr"/>
      <c r="D42" s="5" t="inlineStr">
        <is>
          <t>be going to</t>
        </is>
      </c>
      <c r="E42" s="12" t="inlineStr">
        <is>
          <t>10+</t>
        </is>
      </c>
      <c r="F42" s="4">
        <f>IFERROR(INDEX('Темы × классы'!$Q:$Q,MATCH(D42,'Темы × классы'!$D:$D,0)),"")</f>
        <v/>
      </c>
      <c r="G42" s="4">
        <f>IFERROR(INDEX('Темы × классы'!$R:$R,MATCH(D42,'Темы × классы'!$D:$D,0))&amp;"","")</f>
        <v/>
      </c>
      <c r="H42" s="4" t="inlineStr">
        <is>
          <t>не начат</t>
        </is>
      </c>
      <c r="I42" s="4" t="inlineStr">
        <is>
          <t>Spotlight / 4 класс / Module 8 · Places to go / be going to</t>
        </is>
      </c>
    </row>
    <row r="43">
      <c r="A43" s="12" t="n">
        <v>4</v>
      </c>
      <c r="B43" s="4" t="inlineStr">
        <is>
          <t>Module 8 · Places to go</t>
        </is>
      </c>
      <c r="C43" s="4" t="inlineStr"/>
      <c r="D43" s="5" t="inlineStr">
        <is>
          <t>Question words</t>
        </is>
      </c>
      <c r="E43" s="12" t="inlineStr">
        <is>
          <t>10+</t>
        </is>
      </c>
      <c r="F43" s="4">
        <f>IFERROR(INDEX('Темы × классы'!$Q:$Q,MATCH(D43,'Темы × классы'!$D:$D,0)),"")</f>
        <v/>
      </c>
      <c r="G43" s="4">
        <f>IFERROR(INDEX('Темы × классы'!$R:$R,MATCH(D43,'Темы × классы'!$D:$D,0))&amp;"","")</f>
        <v/>
      </c>
      <c r="H43" s="4" t="inlineStr">
        <is>
          <t>не начат</t>
        </is>
      </c>
      <c r="I43" s="4" t="inlineStr">
        <is>
          <t>Spotlight / 4 класс / Module 8 · Places to go / Question words</t>
        </is>
      </c>
    </row>
    <row r="44">
      <c r="A44" s="12" t="n">
        <v>5</v>
      </c>
      <c r="B44" s="4" t="inlineStr">
        <is>
          <t>Module 1 · School days</t>
        </is>
      </c>
      <c r="C44" s="4" t="inlineStr">
        <is>
          <t>1b</t>
        </is>
      </c>
      <c r="D44" s="5" t="inlineStr">
        <is>
          <t>to be (Present)</t>
        </is>
      </c>
      <c r="E44" s="12" t="inlineStr">
        <is>
          <t>10+</t>
        </is>
      </c>
      <c r="F44" s="4">
        <f>IFERROR(INDEX('Темы × классы'!$Q:$Q,MATCH(D44,'Темы × классы'!$D:$D,0)),"")</f>
        <v/>
      </c>
      <c r="G44" s="4">
        <f>IFERROR(INDEX('Темы × классы'!$R:$R,MATCH(D44,'Темы × классы'!$D:$D,0))&amp;"","")</f>
        <v/>
      </c>
      <c r="H44" s="4" t="inlineStr">
        <is>
          <t>не начат</t>
        </is>
      </c>
      <c r="I44" s="4" t="inlineStr">
        <is>
          <t>Spotlight / 5 класс / Module 1 · School days / to be (Present)</t>
        </is>
      </c>
    </row>
    <row r="45">
      <c r="A45" s="12" t="n">
        <v>5</v>
      </c>
      <c r="B45" s="4" t="inlineStr">
        <is>
          <t>Module 1 · School days</t>
        </is>
      </c>
      <c r="C45" s="4" t="inlineStr">
        <is>
          <t>1a</t>
        </is>
      </c>
      <c r="D45" s="5" t="inlineStr">
        <is>
          <t>a/an</t>
        </is>
      </c>
      <c r="E45" s="12" t="inlineStr">
        <is>
          <t>10+</t>
        </is>
      </c>
      <c r="F45" s="4">
        <f>IFERROR(INDEX('Темы × классы'!$Q:$Q,MATCH(D45,'Темы × классы'!$D:$D,0)),"")</f>
        <v/>
      </c>
      <c r="G45" s="4">
        <f>IFERROR(INDEX('Темы × классы'!$R:$R,MATCH(D45,'Темы × классы'!$D:$D,0))&amp;"","")</f>
        <v/>
      </c>
      <c r="H45" s="4" t="inlineStr">
        <is>
          <t>не начат</t>
        </is>
      </c>
      <c r="I45" s="4" t="inlineStr">
        <is>
          <t>Spotlight / 5 класс / Module 1 · School days / a/an</t>
        </is>
      </c>
    </row>
    <row r="46">
      <c r="A46" s="12" t="n">
        <v>5</v>
      </c>
      <c r="B46" s="4" t="inlineStr">
        <is>
          <t>Module 1 · School days</t>
        </is>
      </c>
      <c r="C46" s="4" t="inlineStr">
        <is>
          <t>1b</t>
        </is>
      </c>
      <c r="D46" s="5" t="inlineStr">
        <is>
          <t>Personal pronouns (subject)</t>
        </is>
      </c>
      <c r="E46" s="12" t="inlineStr">
        <is>
          <t>10+</t>
        </is>
      </c>
      <c r="F46" s="4">
        <f>IFERROR(INDEX('Темы × классы'!$Q:$Q,MATCH(D46,'Темы × классы'!$D:$D,0)),"")</f>
        <v/>
      </c>
      <c r="G46" s="4">
        <f>IFERROR(INDEX('Темы × классы'!$R:$R,MATCH(D46,'Темы × классы'!$D:$D,0))&amp;"","")</f>
        <v/>
      </c>
      <c r="H46" s="4" t="inlineStr">
        <is>
          <t>не начат</t>
        </is>
      </c>
      <c r="I46" s="4" t="inlineStr">
        <is>
          <t>Spotlight / 5 класс / Module 1 · School days / Personal pronouns (subject)</t>
        </is>
      </c>
    </row>
    <row r="47">
      <c r="A47" s="12" t="n">
        <v>5</v>
      </c>
      <c r="B47" s="4" t="inlineStr">
        <is>
          <t>Module 1 · School days</t>
        </is>
      </c>
      <c r="C47" s="4" t="inlineStr">
        <is>
          <t>1b</t>
        </is>
      </c>
      <c r="D47" s="5" t="inlineStr">
        <is>
          <t>Alternative questions</t>
        </is>
      </c>
      <c r="E47" s="12" t="inlineStr">
        <is>
          <t>10+</t>
        </is>
      </c>
      <c r="F47" s="4">
        <f>IFERROR(INDEX('Темы × классы'!$Q:$Q,MATCH(D47,'Темы × классы'!$D:$D,0)),"")</f>
        <v/>
      </c>
      <c r="G47" s="4">
        <f>IFERROR(INDEX('Темы × классы'!$R:$R,MATCH(D47,'Темы × классы'!$D:$D,0))&amp;"","")</f>
        <v/>
      </c>
      <c r="H47" s="4" t="inlineStr">
        <is>
          <t>не начат</t>
        </is>
      </c>
      <c r="I47" s="4" t="inlineStr">
        <is>
          <t>Spotlight / 5 класс / Module 1 · School days / Alternative questions</t>
        </is>
      </c>
    </row>
    <row r="48">
      <c r="A48" s="12" t="n">
        <v>5</v>
      </c>
      <c r="B48" s="4" t="inlineStr">
        <is>
          <t>Module 1 · School days</t>
        </is>
      </c>
      <c r="C48" s="4" t="inlineStr">
        <is>
          <t>1a</t>
        </is>
      </c>
      <c r="D48" s="5" t="inlineStr">
        <is>
          <t>Imperative</t>
        </is>
      </c>
      <c r="E48" s="12" t="inlineStr">
        <is>
          <t>10+</t>
        </is>
      </c>
      <c r="F48" s="4">
        <f>IFERROR(INDEX('Темы × классы'!$Q:$Q,MATCH(D48,'Темы × классы'!$D:$D,0)),"")</f>
        <v/>
      </c>
      <c r="G48" s="4">
        <f>IFERROR(INDEX('Темы × классы'!$R:$R,MATCH(D48,'Темы × классы'!$D:$D,0))&amp;"","")</f>
        <v/>
      </c>
      <c r="H48" s="4" t="inlineStr">
        <is>
          <t>не начат</t>
        </is>
      </c>
      <c r="I48" s="4" t="inlineStr">
        <is>
          <t>Spotlight / 5 класс / Module 1 · School days / Imperative</t>
        </is>
      </c>
    </row>
    <row r="49">
      <c r="A49" s="12" t="n">
        <v>5</v>
      </c>
      <c r="B49" s="4" t="inlineStr">
        <is>
          <t>Module 2 · That's me!</t>
        </is>
      </c>
      <c r="C49" s="4" t="inlineStr">
        <is>
          <t>2a</t>
        </is>
      </c>
      <c r="D49" s="5" t="inlineStr">
        <is>
          <t>have got</t>
        </is>
      </c>
      <c r="E49" s="12" t="inlineStr">
        <is>
          <t>10+</t>
        </is>
      </c>
      <c r="F49" s="4">
        <f>IFERROR(INDEX('Темы × классы'!$Q:$Q,MATCH(D49,'Темы × классы'!$D:$D,0)),"")</f>
        <v/>
      </c>
      <c r="G49" s="4">
        <f>IFERROR(INDEX('Темы × классы'!$R:$R,MATCH(D49,'Темы × классы'!$D:$D,0))&amp;"","")</f>
        <v/>
      </c>
      <c r="H49" s="4" t="inlineStr">
        <is>
          <t>не начат</t>
        </is>
      </c>
      <c r="I49" s="4" t="inlineStr">
        <is>
          <t>Spotlight / 5 класс / Module 2 · That's me! / have got</t>
        </is>
      </c>
    </row>
    <row r="50">
      <c r="A50" s="12" t="n">
        <v>5</v>
      </c>
      <c r="B50" s="4" t="inlineStr">
        <is>
          <t>Module 2 · That's me!</t>
        </is>
      </c>
      <c r="C50" s="4" t="inlineStr">
        <is>
          <t>2b</t>
        </is>
      </c>
      <c r="D50" s="5" t="inlineStr">
        <is>
          <t>Plurals (irregular)</t>
        </is>
      </c>
      <c r="E50" s="12" t="inlineStr">
        <is>
          <t>10+</t>
        </is>
      </c>
      <c r="F50" s="4">
        <f>IFERROR(INDEX('Темы × классы'!$Q:$Q,MATCH(D50,'Темы × классы'!$D:$D,0)),"")</f>
        <v/>
      </c>
      <c r="G50" s="4">
        <f>IFERROR(INDEX('Темы × классы'!$R:$R,MATCH(D50,'Темы × классы'!$D:$D,0))&amp;"","")</f>
        <v/>
      </c>
      <c r="H50" s="4" t="inlineStr">
        <is>
          <t>не начат</t>
        </is>
      </c>
      <c r="I50" s="4" t="inlineStr">
        <is>
          <t>Spotlight / 5 класс / Module 2 · That's me! / Plurals (irregular)</t>
        </is>
      </c>
    </row>
    <row r="51">
      <c r="A51" s="12" t="n">
        <v>5</v>
      </c>
      <c r="B51" s="4" t="inlineStr">
        <is>
          <t>Module 2 · That's me!</t>
        </is>
      </c>
      <c r="C51" s="4" t="inlineStr">
        <is>
          <t>2b</t>
        </is>
      </c>
      <c r="D51" s="5" t="inlineStr">
        <is>
          <t>Plurals (regular)</t>
        </is>
      </c>
      <c r="E51" s="12" t="inlineStr">
        <is>
          <t>10+</t>
        </is>
      </c>
      <c r="F51" s="4">
        <f>IFERROR(INDEX('Темы × классы'!$Q:$Q,MATCH(D51,'Темы × классы'!$D:$D,0)),"")</f>
        <v/>
      </c>
      <c r="G51" s="4">
        <f>IFERROR(INDEX('Темы × классы'!$R:$R,MATCH(D51,'Темы × классы'!$D:$D,0))&amp;"","")</f>
        <v/>
      </c>
      <c r="H51" s="4" t="inlineStr">
        <is>
          <t>не начат</t>
        </is>
      </c>
      <c r="I51" s="4" t="inlineStr">
        <is>
          <t>Spotlight / 5 класс / Module 2 · That's me! / Plurals (regular)</t>
        </is>
      </c>
    </row>
    <row r="52">
      <c r="A52" s="12" t="n">
        <v>5</v>
      </c>
      <c r="B52" s="4" t="inlineStr">
        <is>
          <t>Module 2 · That's me!</t>
        </is>
      </c>
      <c r="C52" s="4" t="inlineStr">
        <is>
          <t>2b</t>
        </is>
      </c>
      <c r="D52" s="5" t="inlineStr">
        <is>
          <t>Demonstratives (this/that/these/those)</t>
        </is>
      </c>
      <c r="E52" s="12" t="inlineStr">
        <is>
          <t>10+</t>
        </is>
      </c>
      <c r="F52" s="4">
        <f>IFERROR(INDEX('Темы × классы'!$Q:$Q,MATCH(D52,'Темы × классы'!$D:$D,0)),"")</f>
        <v/>
      </c>
      <c r="G52" s="4">
        <f>IFERROR(INDEX('Темы × классы'!$R:$R,MATCH(D52,'Темы × классы'!$D:$D,0))&amp;"","")</f>
        <v/>
      </c>
      <c r="H52" s="4" t="inlineStr">
        <is>
          <t>не начат</t>
        </is>
      </c>
      <c r="I52" s="4" t="inlineStr">
        <is>
          <t>Spotlight / 5 класс / Module 2 · That's me! / Demonstratives (this/that/these/those)</t>
        </is>
      </c>
    </row>
    <row r="53">
      <c r="A53" s="12" t="n">
        <v>5</v>
      </c>
      <c r="B53" s="4" t="inlineStr">
        <is>
          <t>Module 2 · That's me!</t>
        </is>
      </c>
      <c r="C53" s="4" t="inlineStr">
        <is>
          <t>2a</t>
        </is>
      </c>
      <c r="D53" s="5" t="inlineStr">
        <is>
          <t>Word formation: nationalities -an/-ish/-ian/-ese</t>
        </is>
      </c>
      <c r="E53" s="12" t="inlineStr">
        <is>
          <t>10+</t>
        </is>
      </c>
      <c r="F53" s="4">
        <f>IFERROR(INDEX('Темы × классы'!$Q:$Q,MATCH(D53,'Темы × классы'!$D:$D,0)),"")</f>
        <v/>
      </c>
      <c r="G53" s="4">
        <f>IFERROR(INDEX('Темы × классы'!$R:$R,MATCH(D53,'Темы × классы'!$D:$D,0))&amp;"","")</f>
        <v/>
      </c>
      <c r="H53" s="4" t="inlineStr">
        <is>
          <t>не начат</t>
        </is>
      </c>
      <c r="I53" s="4" t="inlineStr">
        <is>
          <t>Spotlight / 5 класс / Module 2 · That's me! / Word formation: nationalities -an/-ish/-ian/-ese</t>
        </is>
      </c>
    </row>
    <row r="54">
      <c r="A54" s="12" t="n">
        <v>5</v>
      </c>
      <c r="B54" s="4" t="inlineStr">
        <is>
          <t>Module 3 · My home, my castle</t>
        </is>
      </c>
      <c r="C54" s="4" t="inlineStr">
        <is>
          <t>3b</t>
        </is>
      </c>
      <c r="D54" s="5" t="inlineStr">
        <is>
          <t>Possessive adjectives</t>
        </is>
      </c>
      <c r="E54" s="12" t="inlineStr">
        <is>
          <t>10+</t>
        </is>
      </c>
      <c r="F54" s="4">
        <f>IFERROR(INDEX('Темы × классы'!$Q:$Q,MATCH(D54,'Темы × классы'!$D:$D,0)),"")</f>
        <v/>
      </c>
      <c r="G54" s="4">
        <f>IFERROR(INDEX('Темы × классы'!$R:$R,MATCH(D54,'Темы × классы'!$D:$D,0))&amp;"","")</f>
        <v/>
      </c>
      <c r="H54" s="4" t="inlineStr">
        <is>
          <t>не начат</t>
        </is>
      </c>
      <c r="I54" s="4" t="inlineStr">
        <is>
          <t>Spotlight / 5 класс / Module 3 · My home, my castle / Possessive adjectives</t>
        </is>
      </c>
    </row>
    <row r="55">
      <c r="A55" s="12" t="n">
        <v>5</v>
      </c>
      <c r="B55" s="4" t="inlineStr">
        <is>
          <t>Module 3 · My home, my castle</t>
        </is>
      </c>
      <c r="C55" s="4" t="inlineStr">
        <is>
          <t>3c</t>
        </is>
      </c>
      <c r="D55" s="5" t="inlineStr">
        <is>
          <t>Prepositions of place</t>
        </is>
      </c>
      <c r="E55" s="12" t="inlineStr">
        <is>
          <t>10+</t>
        </is>
      </c>
      <c r="F55" s="4">
        <f>IFERROR(INDEX('Темы × классы'!$Q:$Q,MATCH(D55,'Темы × классы'!$D:$D,0)),"")</f>
        <v/>
      </c>
      <c r="G55" s="4">
        <f>IFERROR(INDEX('Темы × классы'!$R:$R,MATCH(D55,'Темы × классы'!$D:$D,0))&amp;"","")</f>
        <v/>
      </c>
      <c r="H55" s="4" t="inlineStr">
        <is>
          <t>не начат</t>
        </is>
      </c>
      <c r="I55" s="4" t="inlineStr">
        <is>
          <t>Spotlight / 5 класс / Module 3 · My home, my castle / Prepositions of place</t>
        </is>
      </c>
    </row>
    <row r="56">
      <c r="A56" s="12" t="n">
        <v>5</v>
      </c>
      <c r="B56" s="4" t="inlineStr">
        <is>
          <t>Module 3 · My home, my castle</t>
        </is>
      </c>
      <c r="C56" s="4" t="inlineStr">
        <is>
          <t>3b</t>
        </is>
      </c>
      <c r="D56" s="5" t="inlineStr">
        <is>
          <t>There is / There are</t>
        </is>
      </c>
      <c r="E56" s="12" t="inlineStr">
        <is>
          <t>10+</t>
        </is>
      </c>
      <c r="F56" s="4">
        <f>IFERROR(INDEX('Темы × классы'!$Q:$Q,MATCH(D56,'Темы × классы'!$D:$D,0)),"")</f>
        <v/>
      </c>
      <c r="G56" s="4">
        <f>IFERROR(INDEX('Темы × классы'!$R:$R,MATCH(D56,'Темы × классы'!$D:$D,0))&amp;"","")</f>
        <v/>
      </c>
      <c r="H56" s="4" t="inlineStr">
        <is>
          <t>не начат</t>
        </is>
      </c>
      <c r="I56" s="4" t="inlineStr">
        <is>
          <t>Spotlight / 5 класс / Module 3 · My home, my castle / There is / There are</t>
        </is>
      </c>
    </row>
    <row r="57">
      <c r="A57" s="12" t="n">
        <v>5</v>
      </c>
      <c r="B57" s="4" t="inlineStr">
        <is>
          <t>Module 3 · My home, my castle</t>
        </is>
      </c>
      <c r="C57" s="4" t="inlineStr">
        <is>
          <t>3b</t>
        </is>
      </c>
      <c r="D57" s="5" t="inlineStr">
        <is>
          <t>Word formation: compound nouns</t>
        </is>
      </c>
      <c r="E57" s="12" t="inlineStr">
        <is>
          <t>10+</t>
        </is>
      </c>
      <c r="F57" s="4">
        <f>IFERROR(INDEX('Темы × классы'!$Q:$Q,MATCH(D57,'Темы × классы'!$D:$D,0)),"")</f>
        <v/>
      </c>
      <c r="G57" s="4">
        <f>IFERROR(INDEX('Темы × классы'!$R:$R,MATCH(D57,'Темы × классы'!$D:$D,0))&amp;"","")</f>
        <v/>
      </c>
      <c r="H57" s="4" t="inlineStr">
        <is>
          <t>не начат</t>
        </is>
      </c>
      <c r="I57" s="4" t="inlineStr">
        <is>
          <t>Spotlight / 5 класс / Module 3 · My home, my castle / Word formation: compound nouns</t>
        </is>
      </c>
    </row>
    <row r="58">
      <c r="A58" s="12" t="n">
        <v>5</v>
      </c>
      <c r="B58" s="4" t="inlineStr">
        <is>
          <t>Module 4 · Family ties</t>
        </is>
      </c>
      <c r="C58" s="4" t="inlineStr">
        <is>
          <t>4a</t>
        </is>
      </c>
      <c r="D58" s="5" t="inlineStr">
        <is>
          <t>can (ability)</t>
        </is>
      </c>
      <c r="E58" s="12" t="inlineStr">
        <is>
          <t>10+</t>
        </is>
      </c>
      <c r="F58" s="4">
        <f>IFERROR(INDEX('Темы × классы'!$Q:$Q,MATCH(D58,'Темы × классы'!$D:$D,0)),"")</f>
        <v/>
      </c>
      <c r="G58" s="4">
        <f>IFERROR(INDEX('Темы × классы'!$R:$R,MATCH(D58,'Темы × классы'!$D:$D,0))&amp;"","")</f>
        <v/>
      </c>
      <c r="H58" s="4" t="inlineStr">
        <is>
          <t>не начат</t>
        </is>
      </c>
      <c r="I58" s="4" t="inlineStr">
        <is>
          <t>Spotlight / 5 класс / Module 4 · Family ties / can (ability)</t>
        </is>
      </c>
    </row>
    <row r="59">
      <c r="A59" s="12" t="n">
        <v>5</v>
      </c>
      <c r="B59" s="4" t="inlineStr">
        <is>
          <t>Module 4 · Family ties</t>
        </is>
      </c>
      <c r="C59" s="4" t="inlineStr">
        <is>
          <t>4b</t>
        </is>
      </c>
      <c r="D59" s="5" t="inlineStr">
        <is>
          <t>Possessive case ('s)</t>
        </is>
      </c>
      <c r="E59" s="12" t="inlineStr">
        <is>
          <t>10+</t>
        </is>
      </c>
      <c r="F59" s="4">
        <f>IFERROR(INDEX('Темы × классы'!$Q:$Q,MATCH(D59,'Темы × классы'!$D:$D,0)),"")</f>
        <v/>
      </c>
      <c r="G59" s="4">
        <f>IFERROR(INDEX('Темы × классы'!$R:$R,MATCH(D59,'Темы × классы'!$D:$D,0))&amp;"","")</f>
        <v/>
      </c>
      <c r="H59" s="4" t="inlineStr">
        <is>
          <t>не начат</t>
        </is>
      </c>
      <c r="I59" s="4" t="inlineStr">
        <is>
          <t>Spotlight / 5 класс / Module 4 · Family ties / Possessive case ('s)</t>
        </is>
      </c>
    </row>
    <row r="60">
      <c r="A60" s="12" t="n">
        <v>5</v>
      </c>
      <c r="B60" s="4" t="inlineStr">
        <is>
          <t>Module 4 · Family ties</t>
        </is>
      </c>
      <c r="C60" s="4" t="inlineStr">
        <is>
          <t>4a</t>
        </is>
      </c>
      <c r="D60" s="5" t="inlineStr">
        <is>
          <t>Object pronouns</t>
        </is>
      </c>
      <c r="E60" s="12" t="inlineStr">
        <is>
          <t>10+</t>
        </is>
      </c>
      <c r="F60" s="4">
        <f>IFERROR(INDEX('Темы × классы'!$Q:$Q,MATCH(D60,'Темы × классы'!$D:$D,0)),"")</f>
        <v/>
      </c>
      <c r="G60" s="4">
        <f>IFERROR(INDEX('Темы × классы'!$R:$R,MATCH(D60,'Темы × классы'!$D:$D,0))&amp;"","")</f>
        <v/>
      </c>
      <c r="H60" s="4" t="inlineStr">
        <is>
          <t>не начат</t>
        </is>
      </c>
      <c r="I60" s="4" t="inlineStr">
        <is>
          <t>Spotlight / 5 класс / Module 4 · Family ties / Object pronouns</t>
        </is>
      </c>
    </row>
    <row r="61">
      <c r="A61" s="12" t="n">
        <v>5</v>
      </c>
      <c r="B61" s="4" t="inlineStr">
        <is>
          <t>Module 4 · Family ties</t>
        </is>
      </c>
      <c r="C61" s="4" t="inlineStr">
        <is>
          <t>4b</t>
        </is>
      </c>
      <c r="D61" s="5" t="inlineStr">
        <is>
          <t>Imperative</t>
        </is>
      </c>
      <c r="E61" s="12" t="inlineStr">
        <is>
          <t>10+</t>
        </is>
      </c>
      <c r="F61" s="4">
        <f>IFERROR(INDEX('Темы × классы'!$Q:$Q,MATCH(D61,'Темы × классы'!$D:$D,0)),"")</f>
        <v/>
      </c>
      <c r="G61" s="4">
        <f>IFERROR(INDEX('Темы × классы'!$R:$R,MATCH(D61,'Темы × классы'!$D:$D,0))&amp;"","")</f>
        <v/>
      </c>
      <c r="H61" s="4" t="inlineStr">
        <is>
          <t>не начат</t>
        </is>
      </c>
      <c r="I61" s="4" t="inlineStr">
        <is>
          <t>Spotlight / 5 класс / Module 4 · Family ties / Imperative</t>
        </is>
      </c>
    </row>
    <row r="62">
      <c r="A62" s="12" t="n">
        <v>5</v>
      </c>
      <c r="B62" s="4" t="inlineStr">
        <is>
          <t>Module 4 · Family ties</t>
        </is>
      </c>
      <c r="C62" s="4" t="inlineStr"/>
      <c r="D62" s="5" t="inlineStr">
        <is>
          <t>Word formation: -ful</t>
        </is>
      </c>
      <c r="E62" s="12" t="inlineStr">
        <is>
          <t>10+</t>
        </is>
      </c>
      <c r="F62" s="4">
        <f>IFERROR(INDEX('Темы × классы'!$Q:$Q,MATCH(D62,'Темы × классы'!$D:$D,0)),"")</f>
        <v/>
      </c>
      <c r="G62" s="4">
        <f>IFERROR(INDEX('Темы × классы'!$R:$R,MATCH(D62,'Темы × классы'!$D:$D,0))&amp;"","")</f>
        <v/>
      </c>
      <c r="H62" s="4" t="inlineStr">
        <is>
          <t>не начат</t>
        </is>
      </c>
      <c r="I62" s="4" t="inlineStr">
        <is>
          <t>Spotlight / 5 класс / Module 4 · Family ties / Word formation: -ful</t>
        </is>
      </c>
    </row>
    <row r="63">
      <c r="A63" s="12" t="n">
        <v>5</v>
      </c>
      <c r="B63" s="4" t="inlineStr">
        <is>
          <t>Module 5 · World animals</t>
        </is>
      </c>
      <c r="C63" s="4" t="inlineStr">
        <is>
          <t>5a, 5b</t>
        </is>
      </c>
      <c r="D63" s="5" t="inlineStr">
        <is>
          <t>Present Simple</t>
        </is>
      </c>
      <c r="E63" s="12" t="inlineStr">
        <is>
          <t>10+</t>
        </is>
      </c>
      <c r="F63" s="4">
        <f>IFERROR(INDEX('Темы × классы'!$Q:$Q,MATCH(D63,'Темы × классы'!$D:$D,0)),"")</f>
        <v/>
      </c>
      <c r="G63" s="4">
        <f>IFERROR(INDEX('Темы × классы'!$R:$R,MATCH(D63,'Темы × классы'!$D:$D,0))&amp;"","")</f>
        <v/>
      </c>
      <c r="H63" s="4" t="inlineStr">
        <is>
          <t>не начат</t>
        </is>
      </c>
      <c r="I63" s="4" t="inlineStr">
        <is>
          <t>Spotlight / 5 класс / Module 5 · World animals / Present Simple</t>
        </is>
      </c>
    </row>
    <row r="64">
      <c r="A64" s="12" t="n">
        <v>5</v>
      </c>
      <c r="B64" s="4" t="inlineStr">
        <is>
          <t>Module 5 · World animals</t>
        </is>
      </c>
      <c r="C64" s="4" t="inlineStr">
        <is>
          <t>5b</t>
        </is>
      </c>
      <c r="D64" s="5" t="inlineStr">
        <is>
          <t>Alternative questions</t>
        </is>
      </c>
      <c r="E64" s="12" t="inlineStr">
        <is>
          <t>10+</t>
        </is>
      </c>
      <c r="F64" s="4">
        <f>IFERROR(INDEX('Темы × классы'!$Q:$Q,MATCH(D64,'Темы × классы'!$D:$D,0)),"")</f>
        <v/>
      </c>
      <c r="G64" s="4">
        <f>IFERROR(INDEX('Темы × классы'!$R:$R,MATCH(D64,'Темы × классы'!$D:$D,0))&amp;"","")</f>
        <v/>
      </c>
      <c r="H64" s="4" t="inlineStr">
        <is>
          <t>не начат</t>
        </is>
      </c>
      <c r="I64" s="4" t="inlineStr">
        <is>
          <t>Spotlight / 5 класс / Module 5 · World animals / Alternative questions</t>
        </is>
      </c>
    </row>
    <row r="65">
      <c r="A65" s="12" t="n">
        <v>5</v>
      </c>
      <c r="B65" s="4" t="inlineStr">
        <is>
          <t>Module 5 · World animals</t>
        </is>
      </c>
      <c r="C65" s="4" t="inlineStr">
        <is>
          <t>5c</t>
        </is>
      </c>
      <c r="D65" s="5" t="inlineStr">
        <is>
          <t>Question tags</t>
        </is>
      </c>
      <c r="E65" s="12" t="inlineStr">
        <is>
          <t>10+</t>
        </is>
      </c>
      <c r="F65" s="4">
        <f>IFERROR(INDEX('Темы × классы'!$Q:$Q,MATCH(D65,'Темы × классы'!$D:$D,0)),"")</f>
        <v/>
      </c>
      <c r="G65" s="4">
        <f>IFERROR(INDEX('Темы × классы'!$R:$R,MATCH(D65,'Темы × классы'!$D:$D,0))&amp;"","")</f>
        <v/>
      </c>
      <c r="H65" s="4" t="inlineStr">
        <is>
          <t>не начат</t>
        </is>
      </c>
      <c r="I65" s="4" t="inlineStr">
        <is>
          <t>Spotlight / 5 класс / Module 5 · World animals / Question tags</t>
        </is>
      </c>
    </row>
    <row r="66">
      <c r="A66" s="12" t="n">
        <v>5</v>
      </c>
      <c r="B66" s="4" t="inlineStr">
        <is>
          <t>Module 5 · World animals</t>
        </is>
      </c>
      <c r="C66" s="4" t="inlineStr">
        <is>
          <t>5a</t>
        </is>
      </c>
      <c r="D66" s="5" t="inlineStr">
        <is>
          <t>Word formation: -al</t>
        </is>
      </c>
      <c r="E66" s="12" t="inlineStr">
        <is>
          <t>10+</t>
        </is>
      </c>
      <c r="F66" s="4">
        <f>IFERROR(INDEX('Темы × классы'!$Q:$Q,MATCH(D66,'Темы × классы'!$D:$D,0)),"")</f>
        <v/>
      </c>
      <c r="G66" s="4">
        <f>IFERROR(INDEX('Темы × классы'!$R:$R,MATCH(D66,'Темы × классы'!$D:$D,0))&amp;"","")</f>
        <v/>
      </c>
      <c r="H66" s="4" t="inlineStr">
        <is>
          <t>не начат</t>
        </is>
      </c>
      <c r="I66" s="4" t="inlineStr">
        <is>
          <t>Spotlight / 5 класс / Module 5 · World animals / Word formation: -al</t>
        </is>
      </c>
    </row>
    <row r="67">
      <c r="A67" s="12" t="n">
        <v>5</v>
      </c>
      <c r="B67" s="4" t="inlineStr">
        <is>
          <t>Module 6 · Round the clock</t>
        </is>
      </c>
      <c r="C67" s="4" t="inlineStr">
        <is>
          <t>6b</t>
        </is>
      </c>
      <c r="D67" s="5" t="inlineStr">
        <is>
          <t>Present Continuous</t>
        </is>
      </c>
      <c r="E67" s="12" t="inlineStr">
        <is>
          <t>10+</t>
        </is>
      </c>
      <c r="F67" s="4">
        <f>IFERROR(INDEX('Темы × классы'!$Q:$Q,MATCH(D67,'Темы × классы'!$D:$D,0)),"")</f>
        <v/>
      </c>
      <c r="G67" s="4">
        <f>IFERROR(INDEX('Темы × классы'!$R:$R,MATCH(D67,'Темы × классы'!$D:$D,0))&amp;"","")</f>
        <v/>
      </c>
      <c r="H67" s="4" t="inlineStr">
        <is>
          <t>не начат</t>
        </is>
      </c>
      <c r="I67" s="4" t="inlineStr">
        <is>
          <t>Spotlight / 5 класс / Module 6 · Round the clock / Present Continuous</t>
        </is>
      </c>
    </row>
    <row r="68">
      <c r="A68" s="12" t="n">
        <v>5</v>
      </c>
      <c r="B68" s="4" t="inlineStr">
        <is>
          <t>Module 6 · Round the clock</t>
        </is>
      </c>
      <c r="C68" s="4" t="inlineStr">
        <is>
          <t>6a</t>
        </is>
      </c>
      <c r="D68" s="5" t="inlineStr">
        <is>
          <t>Adverbs of frequency</t>
        </is>
      </c>
      <c r="E68" s="12" t="inlineStr">
        <is>
          <t>10+</t>
        </is>
      </c>
      <c r="F68" s="4">
        <f>IFERROR(INDEX('Темы × классы'!$Q:$Q,MATCH(D68,'Темы × классы'!$D:$D,0)),"")</f>
        <v/>
      </c>
      <c r="G68" s="4">
        <f>IFERROR(INDEX('Темы × классы'!$R:$R,MATCH(D68,'Темы × классы'!$D:$D,0))&amp;"","")</f>
        <v/>
      </c>
      <c r="H68" s="4" t="inlineStr">
        <is>
          <t>не начат</t>
        </is>
      </c>
      <c r="I68" s="4" t="inlineStr">
        <is>
          <t>Spotlight / 5 класс / Module 6 · Round the clock / Adverbs of frequency</t>
        </is>
      </c>
    </row>
    <row r="69">
      <c r="A69" s="12" t="n">
        <v>5</v>
      </c>
      <c r="B69" s="4" t="inlineStr">
        <is>
          <t>Module 6 · Round the clock</t>
        </is>
      </c>
      <c r="C69" s="4" t="inlineStr"/>
      <c r="D69" s="5" t="inlineStr">
        <is>
          <t>Comparatives &amp; Superlatives</t>
        </is>
      </c>
      <c r="E69" s="12" t="inlineStr">
        <is>
          <t>10+</t>
        </is>
      </c>
      <c r="F69" s="4">
        <f>IFERROR(INDEX('Темы × классы'!$Q:$Q,MATCH(D69,'Темы × классы'!$D:$D,0)),"")</f>
        <v/>
      </c>
      <c r="G69" s="4">
        <f>IFERROR(INDEX('Темы × классы'!$R:$R,MATCH(D69,'Темы × классы'!$D:$D,0))&amp;"","")</f>
        <v/>
      </c>
      <c r="H69" s="4" t="inlineStr">
        <is>
          <t>не начат</t>
        </is>
      </c>
      <c r="I69" s="4" t="inlineStr">
        <is>
          <t>Spotlight / 5 класс / Module 6 · Round the clock / Comparatives &amp; Superlatives</t>
        </is>
      </c>
    </row>
    <row r="70">
      <c r="A70" s="12" t="n">
        <v>5</v>
      </c>
      <c r="B70" s="4" t="inlineStr">
        <is>
          <t>Module 6 · Round the clock</t>
        </is>
      </c>
      <c r="C70" s="4" t="inlineStr">
        <is>
          <t>6a</t>
        </is>
      </c>
      <c r="D70" s="5" t="inlineStr">
        <is>
          <t>Prepositions of time</t>
        </is>
      </c>
      <c r="E70" s="12" t="inlineStr">
        <is>
          <t>10+</t>
        </is>
      </c>
      <c r="F70" s="4">
        <f>IFERROR(INDEX('Темы × классы'!$Q:$Q,MATCH(D70,'Темы × классы'!$D:$D,0)),"")</f>
        <v/>
      </c>
      <c r="G70" s="4">
        <f>IFERROR(INDEX('Темы × классы'!$R:$R,MATCH(D70,'Темы × классы'!$D:$D,0))&amp;"","")</f>
        <v/>
      </c>
      <c r="H70" s="4" t="inlineStr">
        <is>
          <t>не начат</t>
        </is>
      </c>
      <c r="I70" s="4" t="inlineStr">
        <is>
          <t>Spotlight / 5 класс / Module 6 · Round the clock / Prepositions of time</t>
        </is>
      </c>
    </row>
    <row r="71">
      <c r="A71" s="12" t="n">
        <v>5</v>
      </c>
      <c r="B71" s="4" t="inlineStr">
        <is>
          <t>Module 6 · Round the clock</t>
        </is>
      </c>
      <c r="C71" s="4" t="inlineStr">
        <is>
          <t>6b</t>
        </is>
      </c>
      <c r="D71" s="5" t="inlineStr">
        <is>
          <t>Word formation: -er, -or, -man, -ist, -ic</t>
        </is>
      </c>
      <c r="E71" s="12" t="inlineStr">
        <is>
          <t>10+</t>
        </is>
      </c>
      <c r="F71" s="4">
        <f>IFERROR(INDEX('Темы × классы'!$Q:$Q,MATCH(D71,'Темы × классы'!$D:$D,0)),"")</f>
        <v/>
      </c>
      <c r="G71" s="4">
        <f>IFERROR(INDEX('Темы × классы'!$R:$R,MATCH(D71,'Темы × классы'!$D:$D,0))&amp;"","")</f>
        <v/>
      </c>
      <c r="H71" s="4" t="inlineStr">
        <is>
          <t>не начат</t>
        </is>
      </c>
      <c r="I71" s="4" t="inlineStr">
        <is>
          <t>Spotlight / 5 класс / Module 6 · Round the clock / Word formation: -er, -or, -man, -ist, -ic</t>
        </is>
      </c>
    </row>
    <row r="72">
      <c r="A72" s="12" t="n">
        <v>5</v>
      </c>
      <c r="B72" s="4" t="inlineStr">
        <is>
          <t>Module 6 · Round the clock</t>
        </is>
      </c>
      <c r="C72" s="4" t="inlineStr">
        <is>
          <t>6a</t>
        </is>
      </c>
      <c r="D72" s="5" t="inlineStr">
        <is>
          <t>Word formation: -ly</t>
        </is>
      </c>
      <c r="E72" s="12" t="inlineStr">
        <is>
          <t>10+</t>
        </is>
      </c>
      <c r="F72" s="4">
        <f>IFERROR(INDEX('Темы × классы'!$Q:$Q,MATCH(D72,'Темы × классы'!$D:$D,0)),"")</f>
        <v/>
      </c>
      <c r="G72" s="4">
        <f>IFERROR(INDEX('Темы × классы'!$R:$R,MATCH(D72,'Темы × классы'!$D:$D,0))&amp;"","")</f>
        <v/>
      </c>
      <c r="H72" s="4" t="inlineStr">
        <is>
          <t>не начат</t>
        </is>
      </c>
      <c r="I72" s="4" t="inlineStr">
        <is>
          <t>Spotlight / 5 класс / Module 6 · Round the clock / Word formation: -ly</t>
        </is>
      </c>
    </row>
    <row r="73">
      <c r="A73" s="12" t="n">
        <v>5</v>
      </c>
      <c r="B73" s="4" t="inlineStr">
        <is>
          <t>Module 7 · In all weathers</t>
        </is>
      </c>
      <c r="C73" s="4" t="inlineStr">
        <is>
          <t>7b</t>
        </is>
      </c>
      <c r="D73" s="5" t="inlineStr">
        <is>
          <t>Present Simple vs Present Continuous</t>
        </is>
      </c>
      <c r="E73" s="12" t="inlineStr">
        <is>
          <t>10+</t>
        </is>
      </c>
      <c r="F73" s="4">
        <f>IFERROR(INDEX('Темы × классы'!$Q:$Q,MATCH(D73,'Темы × классы'!$D:$D,0)),"")</f>
        <v/>
      </c>
      <c r="G73" s="4">
        <f>IFERROR(INDEX('Темы × классы'!$R:$R,MATCH(D73,'Темы × классы'!$D:$D,0))&amp;"","")</f>
        <v/>
      </c>
      <c r="H73" s="4" t="inlineStr">
        <is>
          <t>не начат</t>
        </is>
      </c>
      <c r="I73" s="4" t="inlineStr">
        <is>
          <t>Spotlight / 5 класс / Module 7 · In all weathers / Present Simple vs Present Continuous</t>
        </is>
      </c>
    </row>
    <row r="74">
      <c r="A74" s="12" t="n">
        <v>5</v>
      </c>
      <c r="B74" s="4" t="inlineStr">
        <is>
          <t>Module 7 · In all weathers</t>
        </is>
      </c>
      <c r="C74" s="4" t="inlineStr"/>
      <c r="D74" s="5" t="inlineStr">
        <is>
          <t>Comparatives &amp; Superlatives</t>
        </is>
      </c>
      <c r="E74" s="12" t="inlineStr">
        <is>
          <t>10+</t>
        </is>
      </c>
      <c r="F74" s="4">
        <f>IFERROR(INDEX('Темы × классы'!$Q:$Q,MATCH(D74,'Темы × классы'!$D:$D,0)),"")</f>
        <v/>
      </c>
      <c r="G74" s="4">
        <f>IFERROR(INDEX('Темы × классы'!$R:$R,MATCH(D74,'Темы × классы'!$D:$D,0))&amp;"","")</f>
        <v/>
      </c>
      <c r="H74" s="4" t="inlineStr">
        <is>
          <t>не начат</t>
        </is>
      </c>
      <c r="I74" s="4" t="inlineStr">
        <is>
          <t>Spotlight / 5 класс / Module 7 · In all weathers / Comparatives &amp; Superlatives</t>
        </is>
      </c>
    </row>
    <row r="75">
      <c r="A75" s="12" t="n">
        <v>5</v>
      </c>
      <c r="B75" s="4" t="inlineStr">
        <is>
          <t>Module 7 · In all weathers</t>
        </is>
      </c>
      <c r="C75" s="4" t="inlineStr">
        <is>
          <t>7a</t>
        </is>
      </c>
      <c r="D75" s="5" t="inlineStr">
        <is>
          <t>Impersonal it</t>
        </is>
      </c>
      <c r="E75" s="12" t="inlineStr">
        <is>
          <t>10+</t>
        </is>
      </c>
      <c r="F75" s="4">
        <f>IFERROR(INDEX('Темы × классы'!$Q:$Q,MATCH(D75,'Темы × классы'!$D:$D,0)),"")</f>
        <v/>
      </c>
      <c r="G75" s="4">
        <f>IFERROR(INDEX('Темы × классы'!$R:$R,MATCH(D75,'Темы × классы'!$D:$D,0))&amp;"","")</f>
        <v/>
      </c>
      <c r="H75" s="4" t="inlineStr">
        <is>
          <t>не начат</t>
        </is>
      </c>
      <c r="I75" s="4" t="inlineStr">
        <is>
          <t>Spotlight / 5 класс / Module 7 · In all weathers / Impersonal it</t>
        </is>
      </c>
    </row>
    <row r="76">
      <c r="A76" s="12" t="n">
        <v>5</v>
      </c>
      <c r="B76" s="4" t="inlineStr">
        <is>
          <t>Module 7 · In all weathers</t>
        </is>
      </c>
      <c r="C76" s="4" t="inlineStr">
        <is>
          <t>7a</t>
        </is>
      </c>
      <c r="D76" s="5" t="inlineStr">
        <is>
          <t>Question tags</t>
        </is>
      </c>
      <c r="E76" s="12" t="inlineStr">
        <is>
          <t>10+</t>
        </is>
      </c>
      <c r="F76" s="4">
        <f>IFERROR(INDEX('Темы × классы'!$Q:$Q,MATCH(D76,'Темы × классы'!$D:$D,0)),"")</f>
        <v/>
      </c>
      <c r="G76" s="4">
        <f>IFERROR(INDEX('Темы × классы'!$R:$R,MATCH(D76,'Темы × классы'!$D:$D,0))&amp;"","")</f>
        <v/>
      </c>
      <c r="H76" s="4" t="inlineStr">
        <is>
          <t>не начат</t>
        </is>
      </c>
      <c r="I76" s="4" t="inlineStr">
        <is>
          <t>Spotlight / 5 класс / Module 7 · In all weathers / Question tags</t>
        </is>
      </c>
    </row>
    <row r="77">
      <c r="A77" s="12" t="n">
        <v>5</v>
      </c>
      <c r="B77" s="4" t="inlineStr">
        <is>
          <t>Module 8 · Special days</t>
        </is>
      </c>
      <c r="C77" s="4" t="inlineStr">
        <is>
          <t>8a</t>
        </is>
      </c>
      <c r="D77" s="5" t="inlineStr">
        <is>
          <t>Countable / Uncountable nouns</t>
        </is>
      </c>
      <c r="E77" s="12" t="inlineStr">
        <is>
          <t>10+</t>
        </is>
      </c>
      <c r="F77" s="4">
        <f>IFERROR(INDEX('Темы × классы'!$Q:$Q,MATCH(D77,'Темы × классы'!$D:$D,0)),"")</f>
        <v/>
      </c>
      <c r="G77" s="4">
        <f>IFERROR(INDEX('Темы × классы'!$R:$R,MATCH(D77,'Темы × классы'!$D:$D,0))&amp;"","")</f>
        <v/>
      </c>
      <c r="H77" s="4" t="inlineStr">
        <is>
          <t>не начат</t>
        </is>
      </c>
      <c r="I77" s="4" t="inlineStr">
        <is>
          <t>Spotlight / 5 класс / Module 8 · Special days / Countable / Uncountable nouns</t>
        </is>
      </c>
    </row>
    <row r="78">
      <c r="A78" s="12" t="n">
        <v>5</v>
      </c>
      <c r="B78" s="4" t="inlineStr">
        <is>
          <t>Module 8 · Special days</t>
        </is>
      </c>
      <c r="C78" s="4" t="inlineStr">
        <is>
          <t>8b</t>
        </is>
      </c>
      <c r="D78" s="5" t="inlineStr">
        <is>
          <t>a/an/some/any</t>
        </is>
      </c>
      <c r="E78" s="12" t="inlineStr">
        <is>
          <t>10+</t>
        </is>
      </c>
      <c r="F78" s="4">
        <f>IFERROR(INDEX('Темы × классы'!$Q:$Q,MATCH(D78,'Темы × классы'!$D:$D,0)),"")</f>
        <v/>
      </c>
      <c r="G78" s="4">
        <f>IFERROR(INDEX('Темы × классы'!$R:$R,MATCH(D78,'Темы × классы'!$D:$D,0))&amp;"","")</f>
        <v/>
      </c>
      <c r="H78" s="4" t="inlineStr">
        <is>
          <t>не начат</t>
        </is>
      </c>
      <c r="I78" s="4" t="inlineStr">
        <is>
          <t>Spotlight / 5 класс / Module 8 · Special days / a/an/some/any</t>
        </is>
      </c>
    </row>
    <row r="79">
      <c r="A79" s="12" t="n">
        <v>5</v>
      </c>
      <c r="B79" s="4" t="inlineStr">
        <is>
          <t>Module 8 · Special days</t>
        </is>
      </c>
      <c r="C79" s="4" t="inlineStr">
        <is>
          <t>8b</t>
        </is>
      </c>
      <c r="D79" s="5" t="inlineStr">
        <is>
          <t>much/many/a lot of</t>
        </is>
      </c>
      <c r="E79" s="12" t="inlineStr">
        <is>
          <t>10+</t>
        </is>
      </c>
      <c r="F79" s="4">
        <f>IFERROR(INDEX('Темы × классы'!$Q:$Q,MATCH(D79,'Темы × классы'!$D:$D,0)),"")</f>
        <v/>
      </c>
      <c r="G79" s="4">
        <f>IFERROR(INDEX('Темы × классы'!$R:$R,MATCH(D79,'Темы × классы'!$D:$D,0))&amp;"","")</f>
        <v/>
      </c>
      <c r="H79" s="4" t="inlineStr">
        <is>
          <t>не начат</t>
        </is>
      </c>
      <c r="I79" s="4" t="inlineStr">
        <is>
          <t>Spotlight / 5 класс / Module 8 · Special days / much/many/a lot of</t>
        </is>
      </c>
    </row>
    <row r="80">
      <c r="A80" s="12" t="n">
        <v>5</v>
      </c>
      <c r="B80" s="4" t="inlineStr">
        <is>
          <t>Module 8 · Special days</t>
        </is>
      </c>
      <c r="C80" s="4" t="inlineStr">
        <is>
          <t>8b</t>
        </is>
      </c>
      <c r="D80" s="5" t="inlineStr">
        <is>
          <t>a few/a little</t>
        </is>
      </c>
      <c r="E80" s="12" t="inlineStr">
        <is>
          <t>10+</t>
        </is>
      </c>
      <c r="F80" s="4">
        <f>IFERROR(INDEX('Темы × классы'!$Q:$Q,MATCH(D80,'Темы × классы'!$D:$D,0)),"")</f>
        <v/>
      </c>
      <c r="G80" s="4">
        <f>IFERROR(INDEX('Темы × классы'!$R:$R,MATCH(D80,'Темы × классы'!$D:$D,0))&amp;"","")</f>
        <v/>
      </c>
      <c r="H80" s="4" t="inlineStr">
        <is>
          <t>не начат</t>
        </is>
      </c>
      <c r="I80" s="4" t="inlineStr">
        <is>
          <t>Spotlight / 5 класс / Module 8 · Special days / a few/a little</t>
        </is>
      </c>
    </row>
    <row r="81">
      <c r="A81" s="12" t="n">
        <v>5</v>
      </c>
      <c r="B81" s="4" t="inlineStr">
        <is>
          <t>Module 8 · Special days</t>
        </is>
      </c>
      <c r="C81" s="4" t="inlineStr">
        <is>
          <t>8a</t>
        </is>
      </c>
      <c r="D81" s="5" t="inlineStr">
        <is>
          <t>Word formation: conversion (a dress – to dress)</t>
        </is>
      </c>
      <c r="E81" s="12" t="inlineStr">
        <is>
          <t>10+</t>
        </is>
      </c>
      <c r="F81" s="4">
        <f>IFERROR(INDEX('Темы × классы'!$Q:$Q,MATCH(D81,'Темы × классы'!$D:$D,0)),"")</f>
        <v/>
      </c>
      <c r="G81" s="4">
        <f>IFERROR(INDEX('Темы × классы'!$R:$R,MATCH(D81,'Темы × классы'!$D:$D,0))&amp;"","")</f>
        <v/>
      </c>
      <c r="H81" s="4" t="inlineStr">
        <is>
          <t>не начат</t>
        </is>
      </c>
      <c r="I81" s="4" t="inlineStr">
        <is>
          <t>Spotlight / 5 класс / Module 8 · Special days / Word formation: conversion (a dress – to dress)</t>
        </is>
      </c>
    </row>
    <row r="82">
      <c r="A82" s="12" t="n">
        <v>5</v>
      </c>
      <c r="B82" s="4" t="inlineStr">
        <is>
          <t>Module 8 · Special days</t>
        </is>
      </c>
      <c r="C82" s="4" t="inlineStr">
        <is>
          <t>8c</t>
        </is>
      </c>
      <c r="D82" s="5" t="inlineStr">
        <is>
          <t>Word formation: un-</t>
        </is>
      </c>
      <c r="E82" s="12" t="inlineStr">
        <is>
          <t>10+</t>
        </is>
      </c>
      <c r="F82" s="4">
        <f>IFERROR(INDEX('Темы × классы'!$Q:$Q,MATCH(D82,'Темы × классы'!$D:$D,0)),"")</f>
        <v/>
      </c>
      <c r="G82" s="4">
        <f>IFERROR(INDEX('Темы × классы'!$R:$R,MATCH(D82,'Темы × классы'!$D:$D,0))&amp;"","")</f>
        <v/>
      </c>
      <c r="H82" s="4" t="inlineStr">
        <is>
          <t>не начат</t>
        </is>
      </c>
      <c r="I82" s="4" t="inlineStr">
        <is>
          <t>Spotlight / 5 класс / Module 8 · Special days / Word formation: un-</t>
        </is>
      </c>
    </row>
    <row r="83">
      <c r="A83" s="12" t="n">
        <v>5</v>
      </c>
      <c r="B83" s="4" t="inlineStr">
        <is>
          <t>Module 9 · Modern living</t>
        </is>
      </c>
      <c r="C83" s="4" t="inlineStr">
        <is>
          <t>9b, 9c</t>
        </is>
      </c>
      <c r="D83" s="5" t="inlineStr">
        <is>
          <t>Past Simple</t>
        </is>
      </c>
      <c r="E83" s="12" t="inlineStr">
        <is>
          <t>10+</t>
        </is>
      </c>
      <c r="F83" s="4">
        <f>IFERROR(INDEX('Темы × классы'!$Q:$Q,MATCH(D83,'Темы × классы'!$D:$D,0)),"")</f>
        <v/>
      </c>
      <c r="G83" s="4">
        <f>IFERROR(INDEX('Темы × классы'!$R:$R,MATCH(D83,'Темы × классы'!$D:$D,0))&amp;"","")</f>
        <v/>
      </c>
      <c r="H83" s="4" t="inlineStr">
        <is>
          <t>не начат</t>
        </is>
      </c>
      <c r="I83" s="4" t="inlineStr">
        <is>
          <t>Spotlight / 5 класс / Module 9 · Modern living / Past Simple</t>
        </is>
      </c>
    </row>
    <row r="84">
      <c r="A84" s="12" t="n">
        <v>5</v>
      </c>
      <c r="B84" s="4" t="inlineStr">
        <is>
          <t>Module 9 · Modern living</t>
        </is>
      </c>
      <c r="C84" s="4" t="inlineStr">
        <is>
          <t>9a</t>
        </is>
      </c>
      <c r="D84" s="5" t="inlineStr">
        <is>
          <t>to be (Past: was/were)</t>
        </is>
      </c>
      <c r="E84" s="12" t="inlineStr">
        <is>
          <t>10+</t>
        </is>
      </c>
      <c r="F84" s="4">
        <f>IFERROR(INDEX('Темы × классы'!$Q:$Q,MATCH(D84,'Темы × классы'!$D:$D,0)),"")</f>
        <v/>
      </c>
      <c r="G84" s="4">
        <f>IFERROR(INDEX('Темы × классы'!$R:$R,MATCH(D84,'Темы × классы'!$D:$D,0))&amp;"","")</f>
        <v/>
      </c>
      <c r="H84" s="4" t="inlineStr">
        <is>
          <t>не начат</t>
        </is>
      </c>
      <c r="I84" s="4" t="inlineStr">
        <is>
          <t>Spotlight / 5 класс / Module 9 · Modern living / to be (Past: was/were)</t>
        </is>
      </c>
    </row>
    <row r="85">
      <c r="A85" s="12" t="n">
        <v>5</v>
      </c>
      <c r="B85" s="4" t="inlineStr">
        <is>
          <t>Module 9 · Modern living</t>
        </is>
      </c>
      <c r="C85" s="4" t="inlineStr"/>
      <c r="D85" s="5" t="inlineStr">
        <is>
          <t>must/mustn't</t>
        </is>
      </c>
      <c r="E85" s="12" t="inlineStr">
        <is>
          <t>10+</t>
        </is>
      </c>
      <c r="F85" s="4">
        <f>IFERROR(INDEX('Темы × классы'!$Q:$Q,MATCH(D85,'Темы × классы'!$D:$D,0)),"")</f>
        <v/>
      </c>
      <c r="G85" s="4">
        <f>IFERROR(INDEX('Темы × классы'!$R:$R,MATCH(D85,'Темы × классы'!$D:$D,0))&amp;"","")</f>
        <v/>
      </c>
      <c r="H85" s="4" t="inlineStr">
        <is>
          <t>не начат</t>
        </is>
      </c>
      <c r="I85" s="4" t="inlineStr">
        <is>
          <t>Spotlight / 5 класс / Module 9 · Modern living / must/mustn't</t>
        </is>
      </c>
    </row>
    <row r="86">
      <c r="A86" s="12" t="n">
        <v>5</v>
      </c>
      <c r="B86" s="4" t="inlineStr">
        <is>
          <t>Module 9 · Modern living</t>
        </is>
      </c>
      <c r="C86" s="4" t="inlineStr">
        <is>
          <t>9a</t>
        </is>
      </c>
      <c r="D86" s="5" t="inlineStr">
        <is>
          <t>Articles (a/an/the/zero)</t>
        </is>
      </c>
      <c r="E86" s="12" t="inlineStr">
        <is>
          <t>10+</t>
        </is>
      </c>
      <c r="F86" s="4">
        <f>IFERROR(INDEX('Темы × классы'!$Q:$Q,MATCH(D86,'Темы × классы'!$D:$D,0)),"")</f>
        <v/>
      </c>
      <c r="G86" s="4">
        <f>IFERROR(INDEX('Темы × классы'!$R:$R,MATCH(D86,'Темы × классы'!$D:$D,0))&amp;"","")</f>
        <v/>
      </c>
      <c r="H86" s="4" t="inlineStr">
        <is>
          <t>не начат</t>
        </is>
      </c>
      <c r="I86" s="4" t="inlineStr">
        <is>
          <t>Spotlight / 5 класс / Module 9 · Modern living / Articles (a/an/the/zero)</t>
        </is>
      </c>
    </row>
    <row r="87">
      <c r="A87" s="12" t="n">
        <v>5</v>
      </c>
      <c r="B87" s="4" t="inlineStr">
        <is>
          <t>Module 10 · Holidays</t>
        </is>
      </c>
      <c r="C87" s="4" t="inlineStr">
        <is>
          <t>10b</t>
        </is>
      </c>
      <c r="D87" s="5" t="inlineStr">
        <is>
          <t>Future Simple (will)</t>
        </is>
      </c>
      <c r="E87" s="12" t="inlineStr">
        <is>
          <t>10+</t>
        </is>
      </c>
      <c r="F87" s="4">
        <f>IFERROR(INDEX('Темы × классы'!$Q:$Q,MATCH(D87,'Темы × классы'!$D:$D,0)),"")</f>
        <v/>
      </c>
      <c r="G87" s="4">
        <f>IFERROR(INDEX('Темы × классы'!$R:$R,MATCH(D87,'Темы × классы'!$D:$D,0))&amp;"","")</f>
        <v/>
      </c>
      <c r="H87" s="4" t="inlineStr">
        <is>
          <t>не начат</t>
        </is>
      </c>
      <c r="I87" s="4" t="inlineStr">
        <is>
          <t>Spotlight / 5 класс / Module 10 · Holidays / Future Simple (will)</t>
        </is>
      </c>
    </row>
    <row r="88">
      <c r="A88" s="12" t="n">
        <v>5</v>
      </c>
      <c r="B88" s="4" t="inlineStr">
        <is>
          <t>Module 10 · Holidays</t>
        </is>
      </c>
      <c r="C88" s="4" t="inlineStr">
        <is>
          <t>10b</t>
        </is>
      </c>
      <c r="D88" s="5" t="inlineStr">
        <is>
          <t>be going to</t>
        </is>
      </c>
      <c r="E88" s="12" t="inlineStr">
        <is>
          <t>10+</t>
        </is>
      </c>
      <c r="F88" s="4">
        <f>IFERROR(INDEX('Темы × классы'!$Q:$Q,MATCH(D88,'Темы × классы'!$D:$D,0)),"")</f>
        <v/>
      </c>
      <c r="G88" s="4">
        <f>IFERROR(INDEX('Темы × классы'!$R:$R,MATCH(D88,'Темы × классы'!$D:$D,0))&amp;"","")</f>
        <v/>
      </c>
      <c r="H88" s="4" t="inlineStr">
        <is>
          <t>не начат</t>
        </is>
      </c>
      <c r="I88" s="4" t="inlineStr">
        <is>
          <t>Spotlight / 5 класс / Module 10 · Holidays / be going to</t>
        </is>
      </c>
    </row>
    <row r="89">
      <c r="A89" s="12" t="n">
        <v>5</v>
      </c>
      <c r="B89" s="4" t="inlineStr">
        <is>
          <t>Module 10 · Holidays</t>
        </is>
      </c>
      <c r="C89" s="4" t="inlineStr">
        <is>
          <t>10a</t>
        </is>
      </c>
      <c r="D89" s="5" t="inlineStr">
        <is>
          <t>Present Perfect</t>
        </is>
      </c>
      <c r="E89" s="12" t="inlineStr">
        <is>
          <t>10+</t>
        </is>
      </c>
      <c r="F89" s="4">
        <f>IFERROR(INDEX('Темы × классы'!$Q:$Q,MATCH(D89,'Темы × классы'!$D:$D,0)),"")</f>
        <v/>
      </c>
      <c r="G89" s="4">
        <f>IFERROR(INDEX('Темы × классы'!$R:$R,MATCH(D89,'Темы × классы'!$D:$D,0))&amp;"","")</f>
        <v/>
      </c>
      <c r="H89" s="4" t="inlineStr">
        <is>
          <t>не начат</t>
        </is>
      </c>
      <c r="I89" s="4" t="inlineStr">
        <is>
          <t>Spotlight / 5 класс / Module 10 · Holidays / Present Perfect</t>
        </is>
      </c>
    </row>
    <row r="90">
      <c r="A90" s="12" t="n">
        <v>5</v>
      </c>
      <c r="B90" s="4" t="inlineStr">
        <is>
          <t>Module 10 · Holidays</t>
        </is>
      </c>
      <c r="C90" s="4" t="inlineStr">
        <is>
          <t>10a</t>
        </is>
      </c>
      <c r="D90" s="5" t="inlineStr">
        <is>
          <t>can (permission/request)</t>
        </is>
      </c>
      <c r="E90" s="12" t="inlineStr">
        <is>
          <t>10+</t>
        </is>
      </c>
      <c r="F90" s="4">
        <f>IFERROR(INDEX('Темы × классы'!$Q:$Q,MATCH(D90,'Темы × классы'!$D:$D,0)),"")</f>
        <v/>
      </c>
      <c r="G90" s="4">
        <f>IFERROR(INDEX('Темы × классы'!$R:$R,MATCH(D90,'Темы × классы'!$D:$D,0))&amp;"","")</f>
        <v/>
      </c>
      <c r="H90" s="4" t="inlineStr">
        <is>
          <t>не начат</t>
        </is>
      </c>
      <c r="I90" s="4" t="inlineStr">
        <is>
          <t>Spotlight / 5 класс / Module 10 · Holidays / can (permission/request)</t>
        </is>
      </c>
    </row>
    <row r="91">
      <c r="A91" s="12" t="n">
        <v>5</v>
      </c>
      <c r="B91" s="4" t="inlineStr">
        <is>
          <t>Module 10 · Holidays</t>
        </is>
      </c>
      <c r="C91" s="4" t="inlineStr">
        <is>
          <t>10b</t>
        </is>
      </c>
      <c r="D91" s="5" t="inlineStr">
        <is>
          <t>Word formation: -able, -ous, -ing</t>
        </is>
      </c>
      <c r="E91" s="12" t="inlineStr">
        <is>
          <t>10+</t>
        </is>
      </c>
      <c r="F91" s="4">
        <f>IFERROR(INDEX('Темы × классы'!$Q:$Q,MATCH(D91,'Темы × классы'!$D:$D,0)),"")</f>
        <v/>
      </c>
      <c r="G91" s="4">
        <f>IFERROR(INDEX('Темы × классы'!$R:$R,MATCH(D91,'Темы × классы'!$D:$D,0))&amp;"","")</f>
        <v/>
      </c>
      <c r="H91" s="4" t="inlineStr">
        <is>
          <t>не начат</t>
        </is>
      </c>
      <c r="I91" s="4" t="inlineStr">
        <is>
          <t>Spotlight / 5 класс / Module 10 · Holidays / Word formation: -able, -ous, -ing</t>
        </is>
      </c>
    </row>
    <row r="92">
      <c r="A92" s="12" t="n">
        <v>5</v>
      </c>
      <c r="B92" s="4" t="inlineStr">
        <is>
          <t>Module 10 · Holidays</t>
        </is>
      </c>
      <c r="C92" s="4" t="inlineStr">
        <is>
          <t>10c</t>
        </is>
      </c>
      <c r="D92" s="5" t="inlineStr">
        <is>
          <t>Word formation: -tion, -sion</t>
        </is>
      </c>
      <c r="E92" s="12" t="inlineStr">
        <is>
          <t>10+</t>
        </is>
      </c>
      <c r="F92" s="4">
        <f>IFERROR(INDEX('Темы × классы'!$Q:$Q,MATCH(D92,'Темы × классы'!$D:$D,0)),"")</f>
        <v/>
      </c>
      <c r="G92" s="4">
        <f>IFERROR(INDEX('Темы × классы'!$R:$R,MATCH(D92,'Темы × классы'!$D:$D,0))&amp;"","")</f>
        <v/>
      </c>
      <c r="H92" s="4" t="inlineStr">
        <is>
          <t>не начат</t>
        </is>
      </c>
      <c r="I92" s="4" t="inlineStr">
        <is>
          <t>Spotlight / 5 класс / Module 10 · Holidays / Word formation: -tion, -sion</t>
        </is>
      </c>
    </row>
    <row r="93">
      <c r="A93" s="12" t="n">
        <v>6</v>
      </c>
      <c r="B93" s="4" t="inlineStr">
        <is>
          <t>Module 1 · Who's who?</t>
        </is>
      </c>
      <c r="C93" s="4" t="inlineStr"/>
      <c r="D93" s="5" t="inlineStr">
        <is>
          <t>have got</t>
        </is>
      </c>
      <c r="E93" s="12" t="inlineStr">
        <is>
          <t>10+</t>
        </is>
      </c>
      <c r="F93" s="4">
        <f>IFERROR(INDEX('Темы × классы'!$Q:$Q,MATCH(D93,'Темы × классы'!$D:$D,0)),"")</f>
        <v/>
      </c>
      <c r="G93" s="4">
        <f>IFERROR(INDEX('Темы × классы'!$R:$R,MATCH(D93,'Темы × классы'!$D:$D,0))&amp;"","")</f>
        <v/>
      </c>
      <c r="H93" s="4" t="inlineStr">
        <is>
          <t>не начат</t>
        </is>
      </c>
      <c r="I93" s="4" t="inlineStr">
        <is>
          <t>Spotlight / 6 класс / Module 1 · Who's who? / have got</t>
        </is>
      </c>
    </row>
    <row r="94">
      <c r="A94" s="12" t="n">
        <v>6</v>
      </c>
      <c r="B94" s="4" t="inlineStr">
        <is>
          <t>Module 1 · Who's who?</t>
        </is>
      </c>
      <c r="C94" s="4" t="inlineStr"/>
      <c r="D94" s="5" t="inlineStr">
        <is>
          <t>to be (Present)</t>
        </is>
      </c>
      <c r="E94" s="12" t="inlineStr">
        <is>
          <t>10+</t>
        </is>
      </c>
      <c r="F94" s="4">
        <f>IFERROR(INDEX('Темы × классы'!$Q:$Q,MATCH(D94,'Темы × классы'!$D:$D,0)),"")</f>
        <v/>
      </c>
      <c r="G94" s="4">
        <f>IFERROR(INDEX('Темы × классы'!$R:$R,MATCH(D94,'Темы × классы'!$D:$D,0))&amp;"","")</f>
        <v/>
      </c>
      <c r="H94" s="4" t="inlineStr">
        <is>
          <t>не начат</t>
        </is>
      </c>
      <c r="I94" s="4" t="inlineStr">
        <is>
          <t>Spotlight / 6 класс / Module 1 · Who's who? / to be (Present)</t>
        </is>
      </c>
    </row>
    <row r="95">
      <c r="A95" s="12" t="n">
        <v>6</v>
      </c>
      <c r="B95" s="4" t="inlineStr">
        <is>
          <t>Module 1 · Who's who?</t>
        </is>
      </c>
      <c r="C95" s="4" t="inlineStr"/>
      <c r="D95" s="5" t="inlineStr">
        <is>
          <t>Plurals (irregular)</t>
        </is>
      </c>
      <c r="E95" s="12" t="inlineStr">
        <is>
          <t>10+</t>
        </is>
      </c>
      <c r="F95" s="4">
        <f>IFERROR(INDEX('Темы × классы'!$Q:$Q,MATCH(D95,'Темы × классы'!$D:$D,0)),"")</f>
        <v/>
      </c>
      <c r="G95" s="4">
        <f>IFERROR(INDEX('Темы × классы'!$R:$R,MATCH(D95,'Темы × классы'!$D:$D,0))&amp;"","")</f>
        <v/>
      </c>
      <c r="H95" s="4" t="inlineStr">
        <is>
          <t>не начат</t>
        </is>
      </c>
      <c r="I95" s="4" t="inlineStr">
        <is>
          <t>Spotlight / 6 класс / Module 1 · Who's who? / Plurals (irregular)</t>
        </is>
      </c>
    </row>
    <row r="96">
      <c r="A96" s="12" t="n">
        <v>6</v>
      </c>
      <c r="B96" s="4" t="inlineStr">
        <is>
          <t>Module 1 · Who's who?</t>
        </is>
      </c>
      <c r="C96" s="4" t="inlineStr"/>
      <c r="D96" s="5" t="inlineStr">
        <is>
          <t>Plurals (regular)</t>
        </is>
      </c>
      <c r="E96" s="12" t="inlineStr">
        <is>
          <t>10+</t>
        </is>
      </c>
      <c r="F96" s="4">
        <f>IFERROR(INDEX('Темы × классы'!$Q:$Q,MATCH(D96,'Темы × классы'!$D:$D,0)),"")</f>
        <v/>
      </c>
      <c r="G96" s="4">
        <f>IFERROR(INDEX('Темы × классы'!$R:$R,MATCH(D96,'Темы × классы'!$D:$D,0))&amp;"","")</f>
        <v/>
      </c>
      <c r="H96" s="4" t="inlineStr">
        <is>
          <t>не начат</t>
        </is>
      </c>
      <c r="I96" s="4" t="inlineStr">
        <is>
          <t>Spotlight / 6 класс / Module 1 · Who's who? / Plurals (regular)</t>
        </is>
      </c>
    </row>
    <row r="97">
      <c r="A97" s="12" t="n">
        <v>6</v>
      </c>
      <c r="B97" s="4" t="inlineStr">
        <is>
          <t>Module 1 · Who's who?</t>
        </is>
      </c>
      <c r="C97" s="4" t="inlineStr">
        <is>
          <t>1a</t>
        </is>
      </c>
      <c r="D97" s="5" t="inlineStr">
        <is>
          <t>Possessive case ('s)</t>
        </is>
      </c>
      <c r="E97" s="12" t="inlineStr">
        <is>
          <t>10+</t>
        </is>
      </c>
      <c r="F97" s="4">
        <f>IFERROR(INDEX('Темы × классы'!$Q:$Q,MATCH(D97,'Темы × классы'!$D:$D,0)),"")</f>
        <v/>
      </c>
      <c r="G97" s="4">
        <f>IFERROR(INDEX('Темы × классы'!$R:$R,MATCH(D97,'Темы × классы'!$D:$D,0))&amp;"","")</f>
        <v/>
      </c>
      <c r="H97" s="4" t="inlineStr">
        <is>
          <t>не начат</t>
        </is>
      </c>
      <c r="I97" s="4" t="inlineStr">
        <is>
          <t>Spotlight / 6 класс / Module 1 · Who's who? / Possessive case ('s)</t>
        </is>
      </c>
    </row>
    <row r="98">
      <c r="A98" s="12" t="n">
        <v>6</v>
      </c>
      <c r="B98" s="4" t="inlineStr">
        <is>
          <t>Module 1 · Who's who?</t>
        </is>
      </c>
      <c r="C98" s="4" t="inlineStr">
        <is>
          <t>1a</t>
        </is>
      </c>
      <c r="D98" s="5" t="inlineStr">
        <is>
          <t>Possessive adjectives</t>
        </is>
      </c>
      <c r="E98" s="12" t="inlineStr">
        <is>
          <t>10+</t>
        </is>
      </c>
      <c r="F98" s="4">
        <f>IFERROR(INDEX('Темы × классы'!$Q:$Q,MATCH(D98,'Темы × классы'!$D:$D,0)),"")</f>
        <v/>
      </c>
      <c r="G98" s="4">
        <f>IFERROR(INDEX('Темы × классы'!$R:$R,MATCH(D98,'Темы × классы'!$D:$D,0))&amp;"","")</f>
        <v/>
      </c>
      <c r="H98" s="4" t="inlineStr">
        <is>
          <t>не начат</t>
        </is>
      </c>
      <c r="I98" s="4" t="inlineStr">
        <is>
          <t>Spotlight / 6 класс / Module 1 · Who's who? / Possessive adjectives</t>
        </is>
      </c>
    </row>
    <row r="99">
      <c r="A99" s="12" t="n">
        <v>6</v>
      </c>
      <c r="B99" s="4" t="inlineStr">
        <is>
          <t>Module 1 · Who's who?</t>
        </is>
      </c>
      <c r="C99" s="4" t="inlineStr"/>
      <c r="D99" s="5" t="inlineStr">
        <is>
          <t>Personal pronouns (subject)</t>
        </is>
      </c>
      <c r="E99" s="12" t="inlineStr">
        <is>
          <t>10+</t>
        </is>
      </c>
      <c r="F99" s="4">
        <f>IFERROR(INDEX('Темы × классы'!$Q:$Q,MATCH(D99,'Темы × классы'!$D:$D,0)),"")</f>
        <v/>
      </c>
      <c r="G99" s="4">
        <f>IFERROR(INDEX('Темы × классы'!$R:$R,MATCH(D99,'Темы × классы'!$D:$D,0))&amp;"","")</f>
        <v/>
      </c>
      <c r="H99" s="4" t="inlineStr">
        <is>
          <t>не начат</t>
        </is>
      </c>
      <c r="I99" s="4" t="inlineStr">
        <is>
          <t>Spotlight / 6 класс / Module 1 · Who's who? / Personal pronouns (subject)</t>
        </is>
      </c>
    </row>
    <row r="100">
      <c r="A100" s="12" t="n">
        <v>6</v>
      </c>
      <c r="B100" s="4" t="inlineStr">
        <is>
          <t>Module 1 · Who's who?</t>
        </is>
      </c>
      <c r="C100" s="4" t="inlineStr">
        <is>
          <t>1b</t>
        </is>
      </c>
      <c r="D100" s="5" t="inlineStr">
        <is>
          <t>Possessive pronouns</t>
        </is>
      </c>
      <c r="E100" s="12" t="inlineStr">
        <is>
          <t>10+</t>
        </is>
      </c>
      <c r="F100" s="4">
        <f>IFERROR(INDEX('Темы × классы'!$Q:$Q,MATCH(D100,'Темы × классы'!$D:$D,0)),"")</f>
        <v/>
      </c>
      <c r="G100" s="4">
        <f>IFERROR(INDEX('Темы × классы'!$R:$R,MATCH(D100,'Темы × классы'!$D:$D,0))&amp;"","")</f>
        <v/>
      </c>
      <c r="H100" s="4" t="inlineStr">
        <is>
          <t>не начат</t>
        </is>
      </c>
      <c r="I100" s="4" t="inlineStr">
        <is>
          <t>Spotlight / 6 класс / Module 1 · Who's who? / Possessive pronouns</t>
        </is>
      </c>
    </row>
    <row r="101">
      <c r="A101" s="12" t="n">
        <v>6</v>
      </c>
      <c r="B101" s="4" t="inlineStr">
        <is>
          <t>Module 2 · Here we are!</t>
        </is>
      </c>
      <c r="C101" s="4" t="inlineStr">
        <is>
          <t>2b</t>
        </is>
      </c>
      <c r="D101" s="5" t="inlineStr">
        <is>
          <t>a/an/some/any</t>
        </is>
      </c>
      <c r="E101" s="12" t="inlineStr">
        <is>
          <t>10+</t>
        </is>
      </c>
      <c r="F101" s="4">
        <f>IFERROR(INDEX('Темы × классы'!$Q:$Q,MATCH(D101,'Темы × классы'!$D:$D,0)),"")</f>
        <v/>
      </c>
      <c r="G101" s="4">
        <f>IFERROR(INDEX('Темы × классы'!$R:$R,MATCH(D101,'Темы × классы'!$D:$D,0))&amp;"","")</f>
        <v/>
      </c>
      <c r="H101" s="4" t="inlineStr">
        <is>
          <t>не начат</t>
        </is>
      </c>
      <c r="I101" s="4" t="inlineStr">
        <is>
          <t>Spotlight / 6 класс / Module 2 · Here we are! / a/an/some/any</t>
        </is>
      </c>
    </row>
    <row r="102">
      <c r="A102" s="12" t="n">
        <v>6</v>
      </c>
      <c r="B102" s="4" t="inlineStr">
        <is>
          <t>Module 2 · Here we are!</t>
        </is>
      </c>
      <c r="C102" s="4" t="inlineStr">
        <is>
          <t>2a</t>
        </is>
      </c>
      <c r="D102" s="5" t="inlineStr">
        <is>
          <t>Ordinal numbers</t>
        </is>
      </c>
      <c r="E102" s="12" t="inlineStr">
        <is>
          <t>10+</t>
        </is>
      </c>
      <c r="F102" s="4">
        <f>IFERROR(INDEX('Темы × классы'!$Q:$Q,MATCH(D102,'Темы × классы'!$D:$D,0)),"")</f>
        <v/>
      </c>
      <c r="G102" s="4">
        <f>IFERROR(INDEX('Темы × классы'!$R:$R,MATCH(D102,'Темы × классы'!$D:$D,0))&amp;"","")</f>
        <v/>
      </c>
      <c r="H102" s="4" t="inlineStr">
        <is>
          <t>не начат</t>
        </is>
      </c>
      <c r="I102" s="4" t="inlineStr">
        <is>
          <t>Spotlight / 6 класс / Module 2 · Here we are! / Ordinal numbers</t>
        </is>
      </c>
    </row>
    <row r="103">
      <c r="A103" s="12" t="n">
        <v>6</v>
      </c>
      <c r="B103" s="4" t="inlineStr">
        <is>
          <t>Module 2 · Here we are!</t>
        </is>
      </c>
      <c r="C103" s="4" t="inlineStr">
        <is>
          <t>2b</t>
        </is>
      </c>
      <c r="D103" s="5" t="inlineStr">
        <is>
          <t>Prepositions of place</t>
        </is>
      </c>
      <c r="E103" s="12" t="inlineStr">
        <is>
          <t>10+</t>
        </is>
      </c>
      <c r="F103" s="4">
        <f>IFERROR(INDEX('Темы × классы'!$Q:$Q,MATCH(D103,'Темы × классы'!$D:$D,0)),"")</f>
        <v/>
      </c>
      <c r="G103" s="4">
        <f>IFERROR(INDEX('Темы × классы'!$R:$R,MATCH(D103,'Темы × классы'!$D:$D,0))&amp;"","")</f>
        <v/>
      </c>
      <c r="H103" s="4" t="inlineStr">
        <is>
          <t>не начат</t>
        </is>
      </c>
      <c r="I103" s="4" t="inlineStr">
        <is>
          <t>Spotlight / 6 класс / Module 2 · Here we are! / Prepositions of place</t>
        </is>
      </c>
    </row>
    <row r="104">
      <c r="A104" s="12" t="n">
        <v>6</v>
      </c>
      <c r="B104" s="4" t="inlineStr">
        <is>
          <t>Module 2 · Here we are!</t>
        </is>
      </c>
      <c r="C104" s="4" t="inlineStr">
        <is>
          <t>2a</t>
        </is>
      </c>
      <c r="D104" s="5" t="inlineStr">
        <is>
          <t>Prepositions of time</t>
        </is>
      </c>
      <c r="E104" s="12" t="inlineStr">
        <is>
          <t>10+</t>
        </is>
      </c>
      <c r="F104" s="4">
        <f>IFERROR(INDEX('Темы × классы'!$Q:$Q,MATCH(D104,'Темы × классы'!$D:$D,0)),"")</f>
        <v/>
      </c>
      <c r="G104" s="4">
        <f>IFERROR(INDEX('Темы × классы'!$R:$R,MATCH(D104,'Темы × классы'!$D:$D,0))&amp;"","")</f>
        <v/>
      </c>
      <c r="H104" s="4" t="inlineStr">
        <is>
          <t>не начат</t>
        </is>
      </c>
      <c r="I104" s="4" t="inlineStr">
        <is>
          <t>Spotlight / 6 класс / Module 2 · Here we are! / Prepositions of time</t>
        </is>
      </c>
    </row>
    <row r="105">
      <c r="A105" s="12" t="n">
        <v>6</v>
      </c>
      <c r="B105" s="4" t="inlineStr">
        <is>
          <t>Module 3 · Getting around</t>
        </is>
      </c>
      <c r="C105" s="4" t="inlineStr">
        <is>
          <t>3b</t>
        </is>
      </c>
      <c r="D105" s="5" t="inlineStr">
        <is>
          <t>can (ability)</t>
        </is>
      </c>
      <c r="E105" s="12" t="inlineStr">
        <is>
          <t>10+</t>
        </is>
      </c>
      <c r="F105" s="4">
        <f>IFERROR(INDEX('Темы × классы'!$Q:$Q,MATCH(D105,'Темы × классы'!$D:$D,0)),"")</f>
        <v/>
      </c>
      <c r="G105" s="4">
        <f>IFERROR(INDEX('Темы × классы'!$R:$R,MATCH(D105,'Темы × классы'!$D:$D,0))&amp;"","")</f>
        <v/>
      </c>
      <c r="H105" s="4" t="inlineStr">
        <is>
          <t>не начат</t>
        </is>
      </c>
      <c r="I105" s="4" t="inlineStr">
        <is>
          <t>Spotlight / 6 класс / Module 3 · Getting around / can (ability)</t>
        </is>
      </c>
    </row>
    <row r="106">
      <c r="A106" s="12" t="n">
        <v>6</v>
      </c>
      <c r="B106" s="4" t="inlineStr">
        <is>
          <t>Module 3 · Getting around</t>
        </is>
      </c>
      <c r="C106" s="4" t="inlineStr">
        <is>
          <t>3b</t>
        </is>
      </c>
      <c r="D106" s="5" t="inlineStr">
        <is>
          <t>can (permission/request)</t>
        </is>
      </c>
      <c r="E106" s="12" t="inlineStr">
        <is>
          <t>10+</t>
        </is>
      </c>
      <c r="F106" s="4">
        <f>IFERROR(INDEX('Темы × классы'!$Q:$Q,MATCH(D106,'Темы × классы'!$D:$D,0)),"")</f>
        <v/>
      </c>
      <c r="G106" s="4">
        <f>IFERROR(INDEX('Темы × классы'!$R:$R,MATCH(D106,'Темы × классы'!$D:$D,0))&amp;"","")</f>
        <v/>
      </c>
      <c r="H106" s="4" t="inlineStr">
        <is>
          <t>не начат</t>
        </is>
      </c>
      <c r="I106" s="4" t="inlineStr">
        <is>
          <t>Spotlight / 6 класс / Module 3 · Getting around / can (permission/request)</t>
        </is>
      </c>
    </row>
    <row r="107">
      <c r="A107" s="12" t="n">
        <v>6</v>
      </c>
      <c r="B107" s="4" t="inlineStr">
        <is>
          <t>Module 3 · Getting around</t>
        </is>
      </c>
      <c r="C107" s="4" t="inlineStr">
        <is>
          <t>3a</t>
        </is>
      </c>
      <c r="D107" s="5" t="inlineStr">
        <is>
          <t>Imperative</t>
        </is>
      </c>
      <c r="E107" s="12" t="inlineStr">
        <is>
          <t>10+</t>
        </is>
      </c>
      <c r="F107" s="4">
        <f>IFERROR(INDEX('Темы × классы'!$Q:$Q,MATCH(D107,'Темы × классы'!$D:$D,0)),"")</f>
        <v/>
      </c>
      <c r="G107" s="4">
        <f>IFERROR(INDEX('Темы × классы'!$R:$R,MATCH(D107,'Темы × классы'!$D:$D,0))&amp;"","")</f>
        <v/>
      </c>
      <c r="H107" s="4" t="inlineStr">
        <is>
          <t>не начат</t>
        </is>
      </c>
      <c r="I107" s="4" t="inlineStr">
        <is>
          <t>Spotlight / 6 класс / Module 3 · Getting around / Imperative</t>
        </is>
      </c>
    </row>
    <row r="108">
      <c r="A108" s="12" t="n">
        <v>6</v>
      </c>
      <c r="B108" s="4" t="inlineStr">
        <is>
          <t>Module 4 · Day after day</t>
        </is>
      </c>
      <c r="C108" s="4" t="inlineStr">
        <is>
          <t>4a, 4b</t>
        </is>
      </c>
      <c r="D108" s="5" t="inlineStr">
        <is>
          <t>Present Simple</t>
        </is>
      </c>
      <c r="E108" s="12" t="inlineStr">
        <is>
          <t>10+</t>
        </is>
      </c>
      <c r="F108" s="4">
        <f>IFERROR(INDEX('Темы × классы'!$Q:$Q,MATCH(D108,'Темы × классы'!$D:$D,0)),"")</f>
        <v/>
      </c>
      <c r="G108" s="4">
        <f>IFERROR(INDEX('Темы × классы'!$R:$R,MATCH(D108,'Темы × классы'!$D:$D,0))&amp;"","")</f>
        <v/>
      </c>
      <c r="H108" s="4" t="inlineStr">
        <is>
          <t>не начат</t>
        </is>
      </c>
      <c r="I108" s="4" t="inlineStr">
        <is>
          <t>Spotlight / 6 класс / Module 4 · Day after day / Present Simple</t>
        </is>
      </c>
    </row>
    <row r="109">
      <c r="A109" s="12" t="n">
        <v>6</v>
      </c>
      <c r="B109" s="4" t="inlineStr">
        <is>
          <t>Module 4 · Day after day</t>
        </is>
      </c>
      <c r="C109" s="4" t="inlineStr">
        <is>
          <t>4a</t>
        </is>
      </c>
      <c r="D109" s="5" t="inlineStr">
        <is>
          <t>Adverbs of frequency</t>
        </is>
      </c>
      <c r="E109" s="12" t="inlineStr">
        <is>
          <t>10+</t>
        </is>
      </c>
      <c r="F109" s="4">
        <f>IFERROR(INDEX('Темы × классы'!$Q:$Q,MATCH(D109,'Темы × классы'!$D:$D,0)),"")</f>
        <v/>
      </c>
      <c r="G109" s="4">
        <f>IFERROR(INDEX('Темы × классы'!$R:$R,MATCH(D109,'Темы × классы'!$D:$D,0))&amp;"","")</f>
        <v/>
      </c>
      <c r="H109" s="4" t="inlineStr">
        <is>
          <t>не начат</t>
        </is>
      </c>
      <c r="I109" s="4" t="inlineStr">
        <is>
          <t>Spotlight / 6 класс / Module 4 · Day after day / Adverbs of frequency</t>
        </is>
      </c>
    </row>
    <row r="110">
      <c r="A110" s="12" t="n">
        <v>6</v>
      </c>
      <c r="B110" s="4" t="inlineStr">
        <is>
          <t>Module 4 · Day after day</t>
        </is>
      </c>
      <c r="C110" s="4" t="inlineStr">
        <is>
          <t>4c</t>
        </is>
      </c>
      <c r="D110" s="5" t="inlineStr">
        <is>
          <t>Linkers</t>
        </is>
      </c>
      <c r="E110" s="12" t="inlineStr">
        <is>
          <t>10+</t>
        </is>
      </c>
      <c r="F110" s="4">
        <f>IFERROR(INDEX('Темы × классы'!$Q:$Q,MATCH(D110,'Темы × классы'!$D:$D,0)),"")</f>
        <v/>
      </c>
      <c r="G110" s="4">
        <f>IFERROR(INDEX('Темы × классы'!$R:$R,MATCH(D110,'Темы × классы'!$D:$D,0))&amp;"","")</f>
        <v/>
      </c>
      <c r="H110" s="4" t="inlineStr">
        <is>
          <t>не начат</t>
        </is>
      </c>
      <c r="I110" s="4" t="inlineStr">
        <is>
          <t>Spotlight / 6 класс / Module 4 · Day after day / Linkers</t>
        </is>
      </c>
    </row>
    <row r="111">
      <c r="A111" s="12" t="n">
        <v>6</v>
      </c>
      <c r="B111" s="4" t="inlineStr">
        <is>
          <t>Module 5 · Feasts</t>
        </is>
      </c>
      <c r="C111" s="4" t="inlineStr">
        <is>
          <t>5a, 5b</t>
        </is>
      </c>
      <c r="D111" s="5" t="inlineStr">
        <is>
          <t>Present Continuous</t>
        </is>
      </c>
      <c r="E111" s="12" t="inlineStr">
        <is>
          <t>10+</t>
        </is>
      </c>
      <c r="F111" s="4">
        <f>IFERROR(INDEX('Темы × классы'!$Q:$Q,MATCH(D111,'Темы × классы'!$D:$D,0)),"")</f>
        <v/>
      </c>
      <c r="G111" s="4">
        <f>IFERROR(INDEX('Темы × классы'!$R:$R,MATCH(D111,'Темы × классы'!$D:$D,0))&amp;"","")</f>
        <v/>
      </c>
      <c r="H111" s="4" t="inlineStr">
        <is>
          <t>не начат</t>
        </is>
      </c>
      <c r="I111" s="4" t="inlineStr">
        <is>
          <t>Spotlight / 6 класс / Module 5 · Feasts / Present Continuous</t>
        </is>
      </c>
    </row>
    <row r="112">
      <c r="A112" s="12" t="n">
        <v>6</v>
      </c>
      <c r="B112" s="4" t="inlineStr">
        <is>
          <t>Module 6 · Leisure activities</t>
        </is>
      </c>
      <c r="C112" s="4" t="inlineStr">
        <is>
          <t>6b</t>
        </is>
      </c>
      <c r="D112" s="5" t="inlineStr">
        <is>
          <t>Present Simple vs Present Continuous</t>
        </is>
      </c>
      <c r="E112" s="12" t="inlineStr">
        <is>
          <t>10+</t>
        </is>
      </c>
      <c r="F112" s="4">
        <f>IFERROR(INDEX('Темы × классы'!$Q:$Q,MATCH(D112,'Темы × классы'!$D:$D,0)),"")</f>
        <v/>
      </c>
      <c r="G112" s="4">
        <f>IFERROR(INDEX('Темы × классы'!$R:$R,MATCH(D112,'Темы × классы'!$D:$D,0))&amp;"","")</f>
        <v/>
      </c>
      <c r="H112" s="4" t="inlineStr">
        <is>
          <t>не начат</t>
        </is>
      </c>
      <c r="I112" s="4" t="inlineStr">
        <is>
          <t>Spotlight / 6 класс / Module 6 · Leisure activities / Present Simple vs Present Continuous</t>
        </is>
      </c>
    </row>
    <row r="113">
      <c r="A113" s="12" t="n">
        <v>6</v>
      </c>
      <c r="B113" s="4" t="inlineStr">
        <is>
          <t>Module 6 · Leisure activities</t>
        </is>
      </c>
      <c r="C113" s="4" t="inlineStr"/>
      <c r="D113" s="5" t="inlineStr">
        <is>
          <t>Stative verbs</t>
        </is>
      </c>
      <c r="E113" s="12" t="inlineStr">
        <is>
          <t>10+</t>
        </is>
      </c>
      <c r="F113" s="4">
        <f>IFERROR(INDEX('Темы × классы'!$Q:$Q,MATCH(D113,'Темы × классы'!$D:$D,0)),"")</f>
        <v/>
      </c>
      <c r="G113" s="4">
        <f>IFERROR(INDEX('Темы × классы'!$R:$R,MATCH(D113,'Темы × классы'!$D:$D,0))&amp;"","")</f>
        <v/>
      </c>
      <c r="H113" s="4" t="inlineStr">
        <is>
          <t>не начат</t>
        </is>
      </c>
      <c r="I113" s="4" t="inlineStr">
        <is>
          <t>Spotlight / 6 класс / Module 6 · Leisure activities / Stative verbs</t>
        </is>
      </c>
    </row>
    <row r="114">
      <c r="A114" s="12" t="n">
        <v>6</v>
      </c>
      <c r="B114" s="4" t="inlineStr">
        <is>
          <t>Module 6 · Leisure activities</t>
        </is>
      </c>
      <c r="C114" s="4" t="inlineStr">
        <is>
          <t>6a</t>
        </is>
      </c>
      <c r="D114" s="5" t="inlineStr">
        <is>
          <t>Word formation: compound nouns</t>
        </is>
      </c>
      <c r="E114" s="12" t="inlineStr">
        <is>
          <t>10+</t>
        </is>
      </c>
      <c r="F114" s="4">
        <f>IFERROR(INDEX('Темы × классы'!$Q:$Q,MATCH(D114,'Темы × классы'!$D:$D,0)),"")</f>
        <v/>
      </c>
      <c r="G114" s="4">
        <f>IFERROR(INDEX('Темы × классы'!$R:$R,MATCH(D114,'Темы × классы'!$D:$D,0))&amp;"","")</f>
        <v/>
      </c>
      <c r="H114" s="4" t="inlineStr">
        <is>
          <t>не начат</t>
        </is>
      </c>
      <c r="I114" s="4" t="inlineStr">
        <is>
          <t>Spotlight / 6 класс / Module 6 · Leisure activities / Word formation: compound nouns</t>
        </is>
      </c>
    </row>
    <row r="115">
      <c r="A115" s="12" t="n">
        <v>6</v>
      </c>
      <c r="B115" s="4" t="inlineStr">
        <is>
          <t>Module 7 · Now and then</t>
        </is>
      </c>
      <c r="C115" s="4" t="inlineStr">
        <is>
          <t>7a, 7b</t>
        </is>
      </c>
      <c r="D115" s="5" t="inlineStr">
        <is>
          <t>Past Simple</t>
        </is>
      </c>
      <c r="E115" s="12" t="inlineStr">
        <is>
          <t>10+</t>
        </is>
      </c>
      <c r="F115" s="4">
        <f>IFERROR(INDEX('Темы × классы'!$Q:$Q,MATCH(D115,'Темы × классы'!$D:$D,0)),"")</f>
        <v/>
      </c>
      <c r="G115" s="4">
        <f>IFERROR(INDEX('Темы × классы'!$R:$R,MATCH(D115,'Темы × классы'!$D:$D,0))&amp;"","")</f>
        <v/>
      </c>
      <c r="H115" s="4" t="inlineStr">
        <is>
          <t>не начат</t>
        </is>
      </c>
      <c r="I115" s="4" t="inlineStr">
        <is>
          <t>Spotlight / 6 класс / Module 7 · Now and then / Past Simple</t>
        </is>
      </c>
    </row>
    <row r="116">
      <c r="A116" s="12" t="n">
        <v>6</v>
      </c>
      <c r="B116" s="4" t="inlineStr">
        <is>
          <t>Module 7 · Now and then</t>
        </is>
      </c>
      <c r="C116" s="4" t="inlineStr">
        <is>
          <t>7a</t>
        </is>
      </c>
      <c r="D116" s="5" t="inlineStr">
        <is>
          <t>to be (Past: was/were)</t>
        </is>
      </c>
      <c r="E116" s="12" t="inlineStr">
        <is>
          <t>10+</t>
        </is>
      </c>
      <c r="F116" s="4">
        <f>IFERROR(INDEX('Темы × классы'!$Q:$Q,MATCH(D116,'Темы × классы'!$D:$D,0)),"")</f>
        <v/>
      </c>
      <c r="G116" s="4">
        <f>IFERROR(INDEX('Темы × классы'!$R:$R,MATCH(D116,'Темы × классы'!$D:$D,0))&amp;"","")</f>
        <v/>
      </c>
      <c r="H116" s="4" t="inlineStr">
        <is>
          <t>не начат</t>
        </is>
      </c>
      <c r="I116" s="4" t="inlineStr">
        <is>
          <t>Spotlight / 6 класс / Module 7 · Now and then / to be (Past: was/were)</t>
        </is>
      </c>
    </row>
    <row r="117">
      <c r="A117" s="12" t="n">
        <v>6</v>
      </c>
      <c r="B117" s="4" t="inlineStr">
        <is>
          <t>Module 8 · Rules &amp; regulations</t>
        </is>
      </c>
      <c r="C117" s="4" t="inlineStr">
        <is>
          <t>8c</t>
        </is>
      </c>
      <c r="D117" s="5" t="inlineStr">
        <is>
          <t>have to</t>
        </is>
      </c>
      <c r="E117" s="12" t="inlineStr">
        <is>
          <t>10+</t>
        </is>
      </c>
      <c r="F117" s="4">
        <f>IFERROR(INDEX('Темы × классы'!$Q:$Q,MATCH(D117,'Темы × классы'!$D:$D,0)),"")</f>
        <v/>
      </c>
      <c r="G117" s="4">
        <f>IFERROR(INDEX('Темы × классы'!$R:$R,MATCH(D117,'Темы × классы'!$D:$D,0))&amp;"","")</f>
        <v/>
      </c>
      <c r="H117" s="4" t="inlineStr">
        <is>
          <t>не начат</t>
        </is>
      </c>
      <c r="I117" s="4" t="inlineStr">
        <is>
          <t>Spotlight / 6 класс / Module 8 · Rules &amp; regulations / have to</t>
        </is>
      </c>
    </row>
    <row r="118">
      <c r="A118" s="12" t="n">
        <v>6</v>
      </c>
      <c r="B118" s="4" t="inlineStr">
        <is>
          <t>Module 8 · Rules &amp; regulations</t>
        </is>
      </c>
      <c r="C118" s="4" t="inlineStr">
        <is>
          <t>8a</t>
        </is>
      </c>
      <c r="D118" s="5" t="inlineStr">
        <is>
          <t>must/mustn't</t>
        </is>
      </c>
      <c r="E118" s="12" t="inlineStr">
        <is>
          <t>10+</t>
        </is>
      </c>
      <c r="F118" s="4">
        <f>IFERROR(INDEX('Темы × классы'!$Q:$Q,MATCH(D118,'Темы × классы'!$D:$D,0)),"")</f>
        <v/>
      </c>
      <c r="G118" s="4">
        <f>IFERROR(INDEX('Темы × классы'!$R:$R,MATCH(D118,'Темы × классы'!$D:$D,0))&amp;"","")</f>
        <v/>
      </c>
      <c r="H118" s="4" t="inlineStr">
        <is>
          <t>не начат</t>
        </is>
      </c>
      <c r="I118" s="4" t="inlineStr">
        <is>
          <t>Spotlight / 6 класс / Module 8 · Rules &amp; regulations / must/mustn't</t>
        </is>
      </c>
    </row>
    <row r="119">
      <c r="A119" s="12" t="n">
        <v>6</v>
      </c>
      <c r="B119" s="4" t="inlineStr">
        <is>
          <t>Module 8 · Rules &amp; regulations</t>
        </is>
      </c>
      <c r="C119" s="4" t="inlineStr">
        <is>
          <t>8c</t>
        </is>
      </c>
      <c r="D119" s="5" t="inlineStr">
        <is>
          <t>need/needn't</t>
        </is>
      </c>
      <c r="E119" s="12" t="inlineStr">
        <is>
          <t>10+</t>
        </is>
      </c>
      <c r="F119" s="4">
        <f>IFERROR(INDEX('Темы × классы'!$Q:$Q,MATCH(D119,'Темы × классы'!$D:$D,0)),"")</f>
        <v/>
      </c>
      <c r="G119" s="4">
        <f>IFERROR(INDEX('Темы × классы'!$R:$R,MATCH(D119,'Темы × классы'!$D:$D,0))&amp;"","")</f>
        <v/>
      </c>
      <c r="H119" s="4" t="inlineStr">
        <is>
          <t>не начат</t>
        </is>
      </c>
      <c r="I119" s="4" t="inlineStr">
        <is>
          <t>Spotlight / 6 класс / Module 8 · Rules &amp; regulations / need/needn't</t>
        </is>
      </c>
    </row>
    <row r="120">
      <c r="A120" s="12" t="n">
        <v>6</v>
      </c>
      <c r="B120" s="4" t="inlineStr">
        <is>
          <t>Module 8 · Rules &amp; regulations</t>
        </is>
      </c>
      <c r="C120" s="4" t="inlineStr">
        <is>
          <t>8b</t>
        </is>
      </c>
      <c r="D120" s="5" t="inlineStr">
        <is>
          <t>Comparatives &amp; Superlatives</t>
        </is>
      </c>
      <c r="E120" s="12" t="inlineStr">
        <is>
          <t>10+</t>
        </is>
      </c>
      <c r="F120" s="4">
        <f>IFERROR(INDEX('Темы × классы'!$Q:$Q,MATCH(D120,'Темы × классы'!$D:$D,0)),"")</f>
        <v/>
      </c>
      <c r="G120" s="4">
        <f>IFERROR(INDEX('Темы × классы'!$R:$R,MATCH(D120,'Темы × классы'!$D:$D,0))&amp;"","")</f>
        <v/>
      </c>
      <c r="H120" s="4" t="inlineStr">
        <is>
          <t>не начат</t>
        </is>
      </c>
      <c r="I120" s="4" t="inlineStr">
        <is>
          <t>Spotlight / 6 класс / Module 8 · Rules &amp; regulations / Comparatives &amp; Superlatives</t>
        </is>
      </c>
    </row>
    <row r="121">
      <c r="A121" s="12" t="n">
        <v>6</v>
      </c>
      <c r="B121" s="4" t="inlineStr">
        <is>
          <t>Module 9 · Food &amp; refreshments</t>
        </is>
      </c>
      <c r="C121" s="4" t="inlineStr">
        <is>
          <t>9b</t>
        </is>
      </c>
      <c r="D121" s="5" t="inlineStr">
        <is>
          <t>Present Simple vs Present Continuous</t>
        </is>
      </c>
      <c r="E121" s="12" t="inlineStr">
        <is>
          <t>10+</t>
        </is>
      </c>
      <c r="F121" s="4">
        <f>IFERROR(INDEX('Темы × классы'!$Q:$Q,MATCH(D121,'Темы × классы'!$D:$D,0)),"")</f>
        <v/>
      </c>
      <c r="G121" s="4">
        <f>IFERROR(INDEX('Темы × классы'!$R:$R,MATCH(D121,'Темы × классы'!$D:$D,0))&amp;"","")</f>
        <v/>
      </c>
      <c r="H121" s="4" t="inlineStr">
        <is>
          <t>не начат</t>
        </is>
      </c>
      <c r="I121" s="4" t="inlineStr">
        <is>
          <t>Spotlight / 6 класс / Module 9 · Food &amp; refreshments / Present Simple vs Present Continuous</t>
        </is>
      </c>
    </row>
    <row r="122">
      <c r="A122" s="12" t="n">
        <v>6</v>
      </c>
      <c r="B122" s="4" t="inlineStr">
        <is>
          <t>Module 9 · Food &amp; refreshments</t>
        </is>
      </c>
      <c r="C122" s="4" t="inlineStr">
        <is>
          <t>9a</t>
        </is>
      </c>
      <c r="D122" s="5" t="inlineStr">
        <is>
          <t>Countable / Uncountable nouns</t>
        </is>
      </c>
      <c r="E122" s="12" t="inlineStr">
        <is>
          <t>10+</t>
        </is>
      </c>
      <c r="F122" s="4">
        <f>IFERROR(INDEX('Темы × классы'!$Q:$Q,MATCH(D122,'Темы × классы'!$D:$D,0)),"")</f>
        <v/>
      </c>
      <c r="G122" s="4">
        <f>IFERROR(INDEX('Темы × классы'!$R:$R,MATCH(D122,'Темы × классы'!$D:$D,0))&amp;"","")</f>
        <v/>
      </c>
      <c r="H122" s="4" t="inlineStr">
        <is>
          <t>не начат</t>
        </is>
      </c>
      <c r="I122" s="4" t="inlineStr">
        <is>
          <t>Spotlight / 6 класс / Module 9 · Food &amp; refreshments / Countable / Uncountable nouns</t>
        </is>
      </c>
    </row>
    <row r="123">
      <c r="A123" s="12" t="n">
        <v>6</v>
      </c>
      <c r="B123" s="4" t="inlineStr">
        <is>
          <t>Module 9 · Food &amp; refreshments</t>
        </is>
      </c>
      <c r="C123" s="4" t="inlineStr">
        <is>
          <t>9a</t>
        </is>
      </c>
      <c r="D123" s="5" t="inlineStr">
        <is>
          <t>much/many/a lot of</t>
        </is>
      </c>
      <c r="E123" s="12" t="inlineStr">
        <is>
          <t>10+</t>
        </is>
      </c>
      <c r="F123" s="4">
        <f>IFERROR(INDEX('Темы × классы'!$Q:$Q,MATCH(D123,'Темы × классы'!$D:$D,0)),"")</f>
        <v/>
      </c>
      <c r="G123" s="4">
        <f>IFERROR(INDEX('Темы × классы'!$R:$R,MATCH(D123,'Темы × классы'!$D:$D,0))&amp;"","")</f>
        <v/>
      </c>
      <c r="H123" s="4" t="inlineStr">
        <is>
          <t>не начат</t>
        </is>
      </c>
      <c r="I123" s="4" t="inlineStr">
        <is>
          <t>Spotlight / 6 класс / Module 9 · Food &amp; refreshments / much/many/a lot of</t>
        </is>
      </c>
    </row>
    <row r="124">
      <c r="A124" s="12" t="n">
        <v>6</v>
      </c>
      <c r="B124" s="4" t="inlineStr">
        <is>
          <t>Module 9 · Food &amp; refreshments</t>
        </is>
      </c>
      <c r="C124" s="4" t="inlineStr">
        <is>
          <t>9a</t>
        </is>
      </c>
      <c r="D124" s="5" t="inlineStr">
        <is>
          <t>a few/a little</t>
        </is>
      </c>
      <c r="E124" s="12" t="inlineStr">
        <is>
          <t>10+</t>
        </is>
      </c>
      <c r="F124" s="4">
        <f>IFERROR(INDEX('Темы × классы'!$Q:$Q,MATCH(D124,'Темы × классы'!$D:$D,0)),"")</f>
        <v/>
      </c>
      <c r="G124" s="4">
        <f>IFERROR(INDEX('Темы × классы'!$R:$R,MATCH(D124,'Темы × классы'!$D:$D,0))&amp;"","")</f>
        <v/>
      </c>
      <c r="H124" s="4" t="inlineStr">
        <is>
          <t>не начат</t>
        </is>
      </c>
      <c r="I124" s="4" t="inlineStr">
        <is>
          <t>Spotlight / 6 класс / Module 9 · Food &amp; refreshments / a few/a little</t>
        </is>
      </c>
    </row>
    <row r="125">
      <c r="A125" s="12" t="n">
        <v>6</v>
      </c>
      <c r="B125" s="4" t="inlineStr">
        <is>
          <t>Module 10 · Holiday time</t>
        </is>
      </c>
      <c r="C125" s="4" t="inlineStr">
        <is>
          <t>10b</t>
        </is>
      </c>
      <c r="D125" s="5" t="inlineStr">
        <is>
          <t>Present Continuous</t>
        </is>
      </c>
      <c r="E125" s="12" t="inlineStr">
        <is>
          <t>10+</t>
        </is>
      </c>
      <c r="F125" s="4">
        <f>IFERROR(INDEX('Темы × классы'!$Q:$Q,MATCH(D125,'Темы × классы'!$D:$D,0)),"")</f>
        <v/>
      </c>
      <c r="G125" s="4">
        <f>IFERROR(INDEX('Темы × классы'!$R:$R,MATCH(D125,'Темы × классы'!$D:$D,0))&amp;"","")</f>
        <v/>
      </c>
      <c r="H125" s="4" t="inlineStr">
        <is>
          <t>не начат</t>
        </is>
      </c>
      <c r="I125" s="4" t="inlineStr">
        <is>
          <t>Spotlight / 6 класс / Module 10 · Holiday time / Present Continuous</t>
        </is>
      </c>
    </row>
    <row r="126">
      <c r="A126" s="12" t="n">
        <v>6</v>
      </c>
      <c r="B126" s="4" t="inlineStr">
        <is>
          <t>Module 10 · Holiday time</t>
        </is>
      </c>
      <c r="C126" s="4" t="inlineStr">
        <is>
          <t>10a</t>
        </is>
      </c>
      <c r="D126" s="5" t="inlineStr">
        <is>
          <t>be going to</t>
        </is>
      </c>
      <c r="E126" s="12" t="inlineStr">
        <is>
          <t>10+</t>
        </is>
      </c>
      <c r="F126" s="4">
        <f>IFERROR(INDEX('Темы × классы'!$Q:$Q,MATCH(D126,'Темы × классы'!$D:$D,0)),"")</f>
        <v/>
      </c>
      <c r="G126" s="4">
        <f>IFERROR(INDEX('Темы × классы'!$R:$R,MATCH(D126,'Темы × классы'!$D:$D,0))&amp;"","")</f>
        <v/>
      </c>
      <c r="H126" s="4" t="inlineStr">
        <is>
          <t>не начат</t>
        </is>
      </c>
      <c r="I126" s="4" t="inlineStr">
        <is>
          <t>Spotlight / 6 класс / Module 10 · Holiday time / be going to</t>
        </is>
      </c>
    </row>
    <row r="127">
      <c r="A127" s="12" t="n">
        <v>7</v>
      </c>
      <c r="B127" s="4" t="inlineStr">
        <is>
          <t>Irregular Verbs</t>
        </is>
      </c>
      <c r="C127" s="4" t="inlineStr"/>
      <c r="D127" s="5" t="inlineStr">
        <is>
          <t>Irregular verbs (list)</t>
        </is>
      </c>
      <c r="E127" s="12" t="inlineStr">
        <is>
          <t>10+</t>
        </is>
      </c>
      <c r="F127" s="4">
        <f>IFERROR(INDEX('Темы × классы'!$Q:$Q,MATCH(D127,'Темы × классы'!$D:$D,0)),"")</f>
        <v/>
      </c>
      <c r="G127" s="4">
        <f>IFERROR(INDEX('Темы × классы'!$R:$R,MATCH(D127,'Темы × классы'!$D:$D,0))&amp;"","")</f>
        <v/>
      </c>
      <c r="H127" s="4" t="inlineStr">
        <is>
          <t>не начат</t>
        </is>
      </c>
      <c r="I127" s="4" t="inlineStr">
        <is>
          <t>Spotlight / 7 класс / Irregular Verbs / Irregular verbs (list)</t>
        </is>
      </c>
    </row>
    <row r="128">
      <c r="A128" s="12" t="n">
        <v>7</v>
      </c>
      <c r="B128" s="4" t="inlineStr">
        <is>
          <t>Module 1 · Lifestyles</t>
        </is>
      </c>
      <c r="C128" s="4" t="inlineStr"/>
      <c r="D128" s="5" t="inlineStr">
        <is>
          <t>Present Continuous</t>
        </is>
      </c>
      <c r="E128" s="12" t="inlineStr">
        <is>
          <t>10+</t>
        </is>
      </c>
      <c r="F128" s="4">
        <f>IFERROR(INDEX('Темы × классы'!$Q:$Q,MATCH(D128,'Темы × классы'!$D:$D,0)),"")</f>
        <v/>
      </c>
      <c r="G128" s="4">
        <f>IFERROR(INDEX('Темы × классы'!$R:$R,MATCH(D128,'Темы × классы'!$D:$D,0))&amp;"","")</f>
        <v/>
      </c>
      <c r="H128" s="4" t="inlineStr">
        <is>
          <t>не начат</t>
        </is>
      </c>
      <c r="I128" s="4" t="inlineStr">
        <is>
          <t>Spotlight / 7 класс / Module 1 · Lifestyles / Present Continuous</t>
        </is>
      </c>
    </row>
    <row r="129">
      <c r="A129" s="12" t="n">
        <v>7</v>
      </c>
      <c r="B129" s="4" t="inlineStr">
        <is>
          <t>Module 1 · Lifestyles</t>
        </is>
      </c>
      <c r="C129" s="4" t="inlineStr"/>
      <c r="D129" s="5" t="inlineStr">
        <is>
          <t>Present Simple</t>
        </is>
      </c>
      <c r="E129" s="12" t="inlineStr">
        <is>
          <t>10+</t>
        </is>
      </c>
      <c r="F129" s="4">
        <f>IFERROR(INDEX('Темы × классы'!$Q:$Q,MATCH(D129,'Темы × классы'!$D:$D,0)),"")</f>
        <v/>
      </c>
      <c r="G129" s="4">
        <f>IFERROR(INDEX('Темы × классы'!$R:$R,MATCH(D129,'Темы × классы'!$D:$D,0))&amp;"","")</f>
        <v/>
      </c>
      <c r="H129" s="4" t="inlineStr">
        <is>
          <t>не начат</t>
        </is>
      </c>
      <c r="I129" s="4" t="inlineStr">
        <is>
          <t>Spotlight / 7 класс / Module 1 · Lifestyles / Present Simple</t>
        </is>
      </c>
    </row>
    <row r="130">
      <c r="A130" s="12" t="n">
        <v>7</v>
      </c>
      <c r="B130" s="4" t="inlineStr">
        <is>
          <t>Module 1 · Lifestyles</t>
        </is>
      </c>
      <c r="C130" s="4" t="inlineStr"/>
      <c r="D130" s="5" t="inlineStr">
        <is>
          <t>Present Simple vs Present Continuous</t>
        </is>
      </c>
      <c r="E130" s="12" t="inlineStr">
        <is>
          <t>10+</t>
        </is>
      </c>
      <c r="F130" s="4">
        <f>IFERROR(INDEX('Темы × классы'!$Q:$Q,MATCH(D130,'Темы × классы'!$D:$D,0)),"")</f>
        <v/>
      </c>
      <c r="G130" s="4">
        <f>IFERROR(INDEX('Темы × классы'!$R:$R,MATCH(D130,'Темы × классы'!$D:$D,0))&amp;"","")</f>
        <v/>
      </c>
      <c r="H130" s="4" t="inlineStr">
        <is>
          <t>не начат</t>
        </is>
      </c>
      <c r="I130" s="4" t="inlineStr">
        <is>
          <t>Spotlight / 7 класс / Module 1 · Lifestyles / Present Simple vs Present Continuous</t>
        </is>
      </c>
    </row>
    <row r="131">
      <c r="A131" s="12" t="n">
        <v>7</v>
      </c>
      <c r="B131" s="4" t="inlineStr">
        <is>
          <t>Module 1 · Lifestyles</t>
        </is>
      </c>
      <c r="C131" s="4" t="inlineStr"/>
      <c r="D131" s="5" t="inlineStr">
        <is>
          <t>Stative verbs</t>
        </is>
      </c>
      <c r="E131" s="12" t="inlineStr">
        <is>
          <t>10+</t>
        </is>
      </c>
      <c r="F131" s="4">
        <f>IFERROR(INDEX('Темы × классы'!$Q:$Q,MATCH(D131,'Темы × классы'!$D:$D,0)),"")</f>
        <v/>
      </c>
      <c r="G131" s="4">
        <f>IFERROR(INDEX('Темы × классы'!$R:$R,MATCH(D131,'Темы × классы'!$D:$D,0))&amp;"","")</f>
        <v/>
      </c>
      <c r="H131" s="4" t="inlineStr">
        <is>
          <t>не начат</t>
        </is>
      </c>
      <c r="I131" s="4" t="inlineStr">
        <is>
          <t>Spotlight / 7 класс / Module 1 · Lifestyles / Stative verbs</t>
        </is>
      </c>
    </row>
    <row r="132">
      <c r="A132" s="12" t="n">
        <v>7</v>
      </c>
      <c r="B132" s="4" t="inlineStr">
        <is>
          <t>Module 1 · Lifestyles</t>
        </is>
      </c>
      <c r="C132" s="4" t="inlineStr"/>
      <c r="D132" s="5" t="inlineStr">
        <is>
          <t>should/shouldn't</t>
        </is>
      </c>
      <c r="E132" s="12" t="inlineStr">
        <is>
          <t>10+</t>
        </is>
      </c>
      <c r="F132" s="4">
        <f>IFERROR(INDEX('Темы × классы'!$Q:$Q,MATCH(D132,'Темы × классы'!$D:$D,0)),"")</f>
        <v/>
      </c>
      <c r="G132" s="4">
        <f>IFERROR(INDEX('Темы × классы'!$R:$R,MATCH(D132,'Темы × классы'!$D:$D,0))&amp;"","")</f>
        <v/>
      </c>
      <c r="H132" s="4" t="inlineStr">
        <is>
          <t>не начат</t>
        </is>
      </c>
      <c r="I132" s="4" t="inlineStr">
        <is>
          <t>Spotlight / 7 класс / Module 1 · Lifestyles / should/shouldn't</t>
        </is>
      </c>
    </row>
    <row r="133">
      <c r="A133" s="12" t="n">
        <v>7</v>
      </c>
      <c r="B133" s="4" t="inlineStr">
        <is>
          <t>Module 2 · Tale time</t>
        </is>
      </c>
      <c r="C133" s="4" t="inlineStr"/>
      <c r="D133" s="5" t="inlineStr">
        <is>
          <t>Past Simple</t>
        </is>
      </c>
      <c r="E133" s="12" t="inlineStr">
        <is>
          <t>10+</t>
        </is>
      </c>
      <c r="F133" s="4">
        <f>IFERROR(INDEX('Темы × классы'!$Q:$Q,MATCH(D133,'Темы × классы'!$D:$D,0)),"")</f>
        <v/>
      </c>
      <c r="G133" s="4">
        <f>IFERROR(INDEX('Темы × классы'!$R:$R,MATCH(D133,'Темы × классы'!$D:$D,0))&amp;"","")</f>
        <v/>
      </c>
      <c r="H133" s="4" t="inlineStr">
        <is>
          <t>не начат</t>
        </is>
      </c>
      <c r="I133" s="4" t="inlineStr">
        <is>
          <t>Spotlight / 7 класс / Module 2 · Tale time / Past Simple</t>
        </is>
      </c>
    </row>
    <row r="134">
      <c r="A134" s="12" t="n">
        <v>7</v>
      </c>
      <c r="B134" s="4" t="inlineStr">
        <is>
          <t>Module 2 · Tale time</t>
        </is>
      </c>
      <c r="C134" s="4" t="inlineStr"/>
      <c r="D134" s="5" t="inlineStr">
        <is>
          <t>used to</t>
        </is>
      </c>
      <c r="E134" s="12" t="inlineStr">
        <is>
          <t>10+</t>
        </is>
      </c>
      <c r="F134" s="4">
        <f>IFERROR(INDEX('Темы × классы'!$Q:$Q,MATCH(D134,'Темы × классы'!$D:$D,0)),"")</f>
        <v/>
      </c>
      <c r="G134" s="4">
        <f>IFERROR(INDEX('Темы × классы'!$R:$R,MATCH(D134,'Темы × классы'!$D:$D,0))&amp;"","")</f>
        <v/>
      </c>
      <c r="H134" s="4" t="inlineStr">
        <is>
          <t>не начат</t>
        </is>
      </c>
      <c r="I134" s="4" t="inlineStr">
        <is>
          <t>Spotlight / 7 класс / Module 2 · Tale time / used to</t>
        </is>
      </c>
    </row>
    <row r="135">
      <c r="A135" s="12" t="n">
        <v>7</v>
      </c>
      <c r="B135" s="4" t="inlineStr">
        <is>
          <t>Module 3 · Profiles</t>
        </is>
      </c>
      <c r="C135" s="4" t="inlineStr"/>
      <c r="D135" s="5" t="inlineStr">
        <is>
          <t>Adjectives (general)</t>
        </is>
      </c>
      <c r="E135" s="12" t="inlineStr">
        <is>
          <t>10+</t>
        </is>
      </c>
      <c r="F135" s="4">
        <f>IFERROR(INDEX('Темы × классы'!$Q:$Q,MATCH(D135,'Темы × классы'!$D:$D,0)),"")</f>
        <v/>
      </c>
      <c r="G135" s="4">
        <f>IFERROR(INDEX('Темы × классы'!$R:$R,MATCH(D135,'Темы × классы'!$D:$D,0))&amp;"","")</f>
        <v/>
      </c>
      <c r="H135" s="4" t="inlineStr">
        <is>
          <t>не начат</t>
        </is>
      </c>
      <c r="I135" s="4" t="inlineStr">
        <is>
          <t>Spotlight / 7 класс / Module 3 · Profiles / Adjectives (general)</t>
        </is>
      </c>
    </row>
    <row r="136">
      <c r="A136" s="12" t="n">
        <v>7</v>
      </c>
      <c r="B136" s="4" t="inlineStr">
        <is>
          <t>Module 3 · Profiles</t>
        </is>
      </c>
      <c r="C136" s="4" t="inlineStr"/>
      <c r="D136" s="5" t="inlineStr">
        <is>
          <t>Adjectives (order)</t>
        </is>
      </c>
      <c r="E136" s="12" t="inlineStr">
        <is>
          <t>10+</t>
        </is>
      </c>
      <c r="F136" s="4">
        <f>IFERROR(INDEX('Темы × классы'!$Q:$Q,MATCH(D136,'Темы × классы'!$D:$D,0)),"")</f>
        <v/>
      </c>
      <c r="G136" s="4">
        <f>IFERROR(INDEX('Темы × классы'!$R:$R,MATCH(D136,'Темы × классы'!$D:$D,0))&amp;"","")</f>
        <v/>
      </c>
      <c r="H136" s="4" t="inlineStr">
        <is>
          <t>не начат</t>
        </is>
      </c>
      <c r="I136" s="4" t="inlineStr">
        <is>
          <t>Spotlight / 7 класс / Module 3 · Profiles / Adjectives (order)</t>
        </is>
      </c>
    </row>
    <row r="137">
      <c r="A137" s="12" t="n">
        <v>7</v>
      </c>
      <c r="B137" s="4" t="inlineStr">
        <is>
          <t>Module 3 · Profiles</t>
        </is>
      </c>
      <c r="C137" s="4" t="inlineStr"/>
      <c r="D137" s="5" t="inlineStr">
        <is>
          <t>Adjectives -ed/-ing</t>
        </is>
      </c>
      <c r="E137" s="12" t="inlineStr">
        <is>
          <t>10+</t>
        </is>
      </c>
      <c r="F137" s="4">
        <f>IFERROR(INDEX('Темы × классы'!$Q:$Q,MATCH(D137,'Темы × классы'!$D:$D,0)),"")</f>
        <v/>
      </c>
      <c r="G137" s="4">
        <f>IFERROR(INDEX('Темы × классы'!$R:$R,MATCH(D137,'Темы × классы'!$D:$D,0))&amp;"","")</f>
        <v/>
      </c>
      <c r="H137" s="4" t="inlineStr">
        <is>
          <t>не начат</t>
        </is>
      </c>
      <c r="I137" s="4" t="inlineStr">
        <is>
          <t>Spotlight / 7 класс / Module 3 · Profiles / Adjectives -ed/-ing</t>
        </is>
      </c>
    </row>
    <row r="138">
      <c r="A138" s="12" t="n">
        <v>7</v>
      </c>
      <c r="B138" s="4" t="inlineStr">
        <is>
          <t>Module 3 · Profiles</t>
        </is>
      </c>
      <c r="C138" s="4" t="inlineStr"/>
      <c r="D138" s="5" t="inlineStr">
        <is>
          <t>Relative pronouns / Relative clauses</t>
        </is>
      </c>
      <c r="E138" s="12" t="inlineStr">
        <is>
          <t>10+</t>
        </is>
      </c>
      <c r="F138" s="4">
        <f>IFERROR(INDEX('Темы × классы'!$Q:$Q,MATCH(D138,'Темы × классы'!$D:$D,0)),"")</f>
        <v/>
      </c>
      <c r="G138" s="4">
        <f>IFERROR(INDEX('Темы × классы'!$R:$R,MATCH(D138,'Темы × классы'!$D:$D,0))&amp;"","")</f>
        <v/>
      </c>
      <c r="H138" s="4" t="inlineStr">
        <is>
          <t>не начат</t>
        </is>
      </c>
      <c r="I138" s="4" t="inlineStr">
        <is>
          <t>Spotlight / 7 класс / Module 3 · Profiles / Relative pronouns / Relative clauses</t>
        </is>
      </c>
    </row>
    <row r="139">
      <c r="A139" s="12" t="n">
        <v>7</v>
      </c>
      <c r="B139" s="4" t="inlineStr">
        <is>
          <t>Module 4 · In the news</t>
        </is>
      </c>
      <c r="C139" s="4" t="inlineStr"/>
      <c r="D139" s="5" t="inlineStr">
        <is>
          <t>Past Continuous</t>
        </is>
      </c>
      <c r="E139" s="12" t="inlineStr">
        <is>
          <t>10+</t>
        </is>
      </c>
      <c r="F139" s="4">
        <f>IFERROR(INDEX('Темы × классы'!$Q:$Q,MATCH(D139,'Темы × классы'!$D:$D,0)),"")</f>
        <v/>
      </c>
      <c r="G139" s="4">
        <f>IFERROR(INDEX('Темы × классы'!$R:$R,MATCH(D139,'Темы × классы'!$D:$D,0))&amp;"","")</f>
        <v/>
      </c>
      <c r="H139" s="4" t="inlineStr">
        <is>
          <t>не начат</t>
        </is>
      </c>
      <c r="I139" s="4" t="inlineStr">
        <is>
          <t>Spotlight / 7 класс / Module 4 · In the news / Past Continuous</t>
        </is>
      </c>
    </row>
    <row r="140">
      <c r="A140" s="12" t="n">
        <v>7</v>
      </c>
      <c r="B140" s="4" t="inlineStr">
        <is>
          <t>Module 4 · In the news</t>
        </is>
      </c>
      <c r="C140" s="4" t="inlineStr"/>
      <c r="D140" s="5" t="inlineStr">
        <is>
          <t>Past Simple vs Past Continuous</t>
        </is>
      </c>
      <c r="E140" s="12" t="inlineStr">
        <is>
          <t>10+</t>
        </is>
      </c>
      <c r="F140" s="4">
        <f>IFERROR(INDEX('Темы × классы'!$Q:$Q,MATCH(D140,'Темы × классы'!$D:$D,0)),"")</f>
        <v/>
      </c>
      <c r="G140" s="4">
        <f>IFERROR(INDEX('Темы × классы'!$R:$R,MATCH(D140,'Темы × классы'!$D:$D,0))&amp;"","")</f>
        <v/>
      </c>
      <c r="H140" s="4" t="inlineStr">
        <is>
          <t>не начат</t>
        </is>
      </c>
      <c r="I140" s="4" t="inlineStr">
        <is>
          <t>Spotlight / 7 класс / Module 4 · In the news / Past Simple vs Past Continuous</t>
        </is>
      </c>
    </row>
    <row r="141">
      <c r="A141" s="12" t="n">
        <v>7</v>
      </c>
      <c r="B141" s="4" t="inlineStr">
        <is>
          <t>Module 5 · What the future holds</t>
        </is>
      </c>
      <c r="C141" s="4" t="inlineStr"/>
      <c r="D141" s="5" t="inlineStr">
        <is>
          <t>Future Simple (will)</t>
        </is>
      </c>
      <c r="E141" s="12" t="inlineStr">
        <is>
          <t>10+</t>
        </is>
      </c>
      <c r="F141" s="4">
        <f>IFERROR(INDEX('Темы × классы'!$Q:$Q,MATCH(D141,'Темы × классы'!$D:$D,0)),"")</f>
        <v/>
      </c>
      <c r="G141" s="4">
        <f>IFERROR(INDEX('Темы × классы'!$R:$R,MATCH(D141,'Темы × классы'!$D:$D,0))&amp;"","")</f>
        <v/>
      </c>
      <c r="H141" s="4" t="inlineStr">
        <is>
          <t>не начат</t>
        </is>
      </c>
      <c r="I141" s="4" t="inlineStr">
        <is>
          <t>Spotlight / 7 класс / Module 5 · What the future holds / Future Simple (will)</t>
        </is>
      </c>
    </row>
    <row r="142">
      <c r="A142" s="12" t="n">
        <v>7</v>
      </c>
      <c r="B142" s="4" t="inlineStr">
        <is>
          <t>Module 5 · What the future holds</t>
        </is>
      </c>
      <c r="C142" s="4" t="inlineStr"/>
      <c r="D142" s="5" t="inlineStr">
        <is>
          <t>be going to</t>
        </is>
      </c>
      <c r="E142" s="12" t="inlineStr">
        <is>
          <t>10+</t>
        </is>
      </c>
      <c r="F142" s="4">
        <f>IFERROR(INDEX('Темы × классы'!$Q:$Q,MATCH(D142,'Темы × классы'!$D:$D,0)),"")</f>
        <v/>
      </c>
      <c r="G142" s="4">
        <f>IFERROR(INDEX('Темы × классы'!$R:$R,MATCH(D142,'Темы × классы'!$D:$D,0))&amp;"","")</f>
        <v/>
      </c>
      <c r="H142" s="4" t="inlineStr">
        <is>
          <t>не начат</t>
        </is>
      </c>
      <c r="I142" s="4" t="inlineStr">
        <is>
          <t>Spotlight / 7 класс / Module 5 · What the future holds / be going to</t>
        </is>
      </c>
    </row>
    <row r="143">
      <c r="A143" s="12" t="n">
        <v>7</v>
      </c>
      <c r="B143" s="4" t="inlineStr">
        <is>
          <t>Module 5 · What the future holds</t>
        </is>
      </c>
      <c r="C143" s="4" t="inlineStr"/>
      <c r="D143" s="5" t="inlineStr">
        <is>
          <t>Future forms (comparison)</t>
        </is>
      </c>
      <c r="E143" s="12" t="inlineStr">
        <is>
          <t>10+</t>
        </is>
      </c>
      <c r="F143" s="4">
        <f>IFERROR(INDEX('Темы × классы'!$Q:$Q,MATCH(D143,'Темы × классы'!$D:$D,0)),"")</f>
        <v/>
      </c>
      <c r="G143" s="4">
        <f>IFERROR(INDEX('Темы × классы'!$R:$R,MATCH(D143,'Темы × классы'!$D:$D,0))&amp;"","")</f>
        <v/>
      </c>
      <c r="H143" s="4" t="inlineStr">
        <is>
          <t>не начат</t>
        </is>
      </c>
      <c r="I143" s="4" t="inlineStr">
        <is>
          <t>Spotlight / 7 класс / Module 5 · What the future holds / Future forms (comparison)</t>
        </is>
      </c>
    </row>
    <row r="144">
      <c r="A144" s="12" t="n">
        <v>7</v>
      </c>
      <c r="B144" s="4" t="inlineStr">
        <is>
          <t>Module 5 · What the future holds</t>
        </is>
      </c>
      <c r="C144" s="4" t="inlineStr"/>
      <c r="D144" s="5" t="inlineStr">
        <is>
          <t>Conditionals (Type 0)</t>
        </is>
      </c>
      <c r="E144" s="12" t="inlineStr">
        <is>
          <t>10+</t>
        </is>
      </c>
      <c r="F144" s="4">
        <f>IFERROR(INDEX('Темы × классы'!$Q:$Q,MATCH(D144,'Темы × классы'!$D:$D,0)),"")</f>
        <v/>
      </c>
      <c r="G144" s="4">
        <f>IFERROR(INDEX('Темы × классы'!$R:$R,MATCH(D144,'Темы × классы'!$D:$D,0))&amp;"","")</f>
        <v/>
      </c>
      <c r="H144" s="4" t="inlineStr">
        <is>
          <t>не начат</t>
        </is>
      </c>
      <c r="I144" s="4" t="inlineStr">
        <is>
          <t>Spotlight / 7 класс / Module 5 · What the future holds / Conditionals (Type 0)</t>
        </is>
      </c>
    </row>
    <row r="145">
      <c r="A145" s="12" t="n">
        <v>7</v>
      </c>
      <c r="B145" s="4" t="inlineStr">
        <is>
          <t>Module 5 · What the future holds</t>
        </is>
      </c>
      <c r="C145" s="4" t="inlineStr"/>
      <c r="D145" s="5" t="inlineStr">
        <is>
          <t>Conditionals (Type 1)</t>
        </is>
      </c>
      <c r="E145" s="12" t="inlineStr">
        <is>
          <t>10+</t>
        </is>
      </c>
      <c r="F145" s="4">
        <f>IFERROR(INDEX('Темы × классы'!$Q:$Q,MATCH(D145,'Темы × классы'!$D:$D,0)),"")</f>
        <v/>
      </c>
      <c r="G145" s="4">
        <f>IFERROR(INDEX('Темы × классы'!$R:$R,MATCH(D145,'Темы × классы'!$D:$D,0))&amp;"","")</f>
        <v/>
      </c>
      <c r="H145" s="4" t="inlineStr">
        <is>
          <t>не начат</t>
        </is>
      </c>
      <c r="I145" s="4" t="inlineStr">
        <is>
          <t>Spotlight / 7 класс / Module 5 · What the future holds / Conditionals (Type 1)</t>
        </is>
      </c>
    </row>
    <row r="146">
      <c r="A146" s="12" t="n">
        <v>7</v>
      </c>
      <c r="B146" s="4" t="inlineStr">
        <is>
          <t>Module 5 · What the future holds</t>
        </is>
      </c>
      <c r="C146" s="4" t="inlineStr"/>
      <c r="D146" s="5" t="inlineStr">
        <is>
          <t>Time clauses</t>
        </is>
      </c>
      <c r="E146" s="12" t="inlineStr">
        <is>
          <t>10+</t>
        </is>
      </c>
      <c r="F146" s="4">
        <f>IFERROR(INDEX('Темы × классы'!$Q:$Q,MATCH(D146,'Темы × классы'!$D:$D,0)),"")</f>
        <v/>
      </c>
      <c r="G146" s="4">
        <f>IFERROR(INDEX('Темы × классы'!$R:$R,MATCH(D146,'Темы × классы'!$D:$D,0))&amp;"","")</f>
        <v/>
      </c>
      <c r="H146" s="4" t="inlineStr">
        <is>
          <t>не начат</t>
        </is>
      </c>
      <c r="I146" s="4" t="inlineStr">
        <is>
          <t>Spotlight / 7 класс / Module 5 · What the future holds / Time clauses</t>
        </is>
      </c>
    </row>
    <row r="147">
      <c r="A147" s="12" t="n">
        <v>7</v>
      </c>
      <c r="B147" s="4" t="inlineStr">
        <is>
          <t>Module 6 · Having fun</t>
        </is>
      </c>
      <c r="C147" s="4" t="inlineStr"/>
      <c r="D147" s="5" t="inlineStr">
        <is>
          <t>Present Perfect</t>
        </is>
      </c>
      <c r="E147" s="12" t="inlineStr">
        <is>
          <t>10+</t>
        </is>
      </c>
      <c r="F147" s="4">
        <f>IFERROR(INDEX('Темы × классы'!$Q:$Q,MATCH(D147,'Темы × классы'!$D:$D,0)),"")</f>
        <v/>
      </c>
      <c r="G147" s="4">
        <f>IFERROR(INDEX('Темы × классы'!$R:$R,MATCH(D147,'Темы × классы'!$D:$D,0))&amp;"","")</f>
        <v/>
      </c>
      <c r="H147" s="4" t="inlineStr">
        <is>
          <t>не начат</t>
        </is>
      </c>
      <c r="I147" s="4" t="inlineStr">
        <is>
          <t>Spotlight / 7 класс / Module 6 · Having fun / Present Perfect</t>
        </is>
      </c>
    </row>
    <row r="148">
      <c r="A148" s="12" t="n">
        <v>7</v>
      </c>
      <c r="B148" s="4" t="inlineStr">
        <is>
          <t>Module 7 · In the spotlight</t>
        </is>
      </c>
      <c r="C148" s="4" t="inlineStr"/>
      <c r="D148" s="5" t="inlineStr">
        <is>
          <t>Present Perfect vs Past Simple</t>
        </is>
      </c>
      <c r="E148" s="12" t="inlineStr">
        <is>
          <t>10+</t>
        </is>
      </c>
      <c r="F148" s="4">
        <f>IFERROR(INDEX('Темы × классы'!$Q:$Q,MATCH(D148,'Темы × классы'!$D:$D,0)),"")</f>
        <v/>
      </c>
      <c r="G148" s="4">
        <f>IFERROR(INDEX('Темы × классы'!$R:$R,MATCH(D148,'Темы × классы'!$D:$D,0))&amp;"","")</f>
        <v/>
      </c>
      <c r="H148" s="4" t="inlineStr">
        <is>
          <t>не начат</t>
        </is>
      </c>
      <c r="I148" s="4" t="inlineStr">
        <is>
          <t>Spotlight / 7 класс / Module 7 · In the spotlight / Present Perfect vs Past Simple</t>
        </is>
      </c>
    </row>
    <row r="149">
      <c r="A149" s="12" t="n">
        <v>7</v>
      </c>
      <c r="B149" s="4" t="inlineStr">
        <is>
          <t>Module 7 · In the spotlight</t>
        </is>
      </c>
      <c r="C149" s="4" t="inlineStr"/>
      <c r="D149" s="5" t="inlineStr">
        <is>
          <t>Comparatives &amp; Superlatives</t>
        </is>
      </c>
      <c r="E149" s="12" t="inlineStr">
        <is>
          <t>10+</t>
        </is>
      </c>
      <c r="F149" s="4">
        <f>IFERROR(INDEX('Темы × классы'!$Q:$Q,MATCH(D149,'Темы × классы'!$D:$D,0)),"")</f>
        <v/>
      </c>
      <c r="G149" s="4">
        <f>IFERROR(INDEX('Темы × классы'!$R:$R,MATCH(D149,'Темы × классы'!$D:$D,0))&amp;"","")</f>
        <v/>
      </c>
      <c r="H149" s="4" t="inlineStr">
        <is>
          <t>не начат</t>
        </is>
      </c>
      <c r="I149" s="4" t="inlineStr">
        <is>
          <t>Spotlight / 7 класс / Module 7 · In the spotlight / Comparatives &amp; Superlatives</t>
        </is>
      </c>
    </row>
    <row r="150">
      <c r="A150" s="12" t="n">
        <v>7</v>
      </c>
      <c r="B150" s="4" t="inlineStr">
        <is>
          <t>Module 7 · In the spotlight</t>
        </is>
      </c>
      <c r="C150" s="4" t="inlineStr"/>
      <c r="D150" s="5" t="inlineStr">
        <is>
          <t>Comparative structures</t>
        </is>
      </c>
      <c r="E150" s="12" t="inlineStr">
        <is>
          <t>10+</t>
        </is>
      </c>
      <c r="F150" s="4">
        <f>IFERROR(INDEX('Темы × классы'!$Q:$Q,MATCH(D150,'Темы × классы'!$D:$D,0)),"")</f>
        <v/>
      </c>
      <c r="G150" s="4">
        <f>IFERROR(INDEX('Темы × классы'!$R:$R,MATCH(D150,'Темы × классы'!$D:$D,0))&amp;"","")</f>
        <v/>
      </c>
      <c r="H150" s="4" t="inlineStr">
        <is>
          <t>не начат</t>
        </is>
      </c>
      <c r="I150" s="4" t="inlineStr">
        <is>
          <t>Spotlight / 7 класс / Module 7 · In the spotlight / Comparative structures</t>
        </is>
      </c>
    </row>
    <row r="151">
      <c r="A151" s="12" t="n">
        <v>7</v>
      </c>
      <c r="B151" s="4" t="inlineStr">
        <is>
          <t>Module 8 · Green issues</t>
        </is>
      </c>
      <c r="C151" s="4" t="inlineStr"/>
      <c r="D151" s="5" t="inlineStr">
        <is>
          <t>Present Perfect Continuous</t>
        </is>
      </c>
      <c r="E151" s="12" t="inlineStr">
        <is>
          <t>10+</t>
        </is>
      </c>
      <c r="F151" s="4">
        <f>IFERROR(INDEX('Темы × классы'!$Q:$Q,MATCH(D151,'Темы × классы'!$D:$D,0)),"")</f>
        <v/>
      </c>
      <c r="G151" s="4">
        <f>IFERROR(INDEX('Темы × классы'!$R:$R,MATCH(D151,'Темы × классы'!$D:$D,0))&amp;"","")</f>
        <v/>
      </c>
      <c r="H151" s="4" t="inlineStr">
        <is>
          <t>не начат</t>
        </is>
      </c>
      <c r="I151" s="4" t="inlineStr">
        <is>
          <t>Spotlight / 7 класс / Module 8 · Green issues / Present Perfect Continuous</t>
        </is>
      </c>
    </row>
    <row r="152">
      <c r="A152" s="12" t="n">
        <v>7</v>
      </c>
      <c r="B152" s="4" t="inlineStr">
        <is>
          <t>Module 8 · Green issues</t>
        </is>
      </c>
      <c r="C152" s="4" t="inlineStr"/>
      <c r="D152" s="5" t="inlineStr">
        <is>
          <t>have to</t>
        </is>
      </c>
      <c r="E152" s="12" t="inlineStr">
        <is>
          <t>10+</t>
        </is>
      </c>
      <c r="F152" s="4">
        <f>IFERROR(INDEX('Темы × классы'!$Q:$Q,MATCH(D152,'Темы × классы'!$D:$D,0)),"")</f>
        <v/>
      </c>
      <c r="G152" s="4">
        <f>IFERROR(INDEX('Темы × классы'!$R:$R,MATCH(D152,'Темы × классы'!$D:$D,0))&amp;"","")</f>
        <v/>
      </c>
      <c r="H152" s="4" t="inlineStr">
        <is>
          <t>не начат</t>
        </is>
      </c>
      <c r="I152" s="4" t="inlineStr">
        <is>
          <t>Spotlight / 7 класс / Module 8 · Green issues / have to</t>
        </is>
      </c>
    </row>
    <row r="153">
      <c r="A153" s="12" t="n">
        <v>7</v>
      </c>
      <c r="B153" s="4" t="inlineStr">
        <is>
          <t>Module 8 · Green issues</t>
        </is>
      </c>
      <c r="C153" s="4" t="inlineStr"/>
      <c r="D153" s="5" t="inlineStr">
        <is>
          <t>must/mustn't</t>
        </is>
      </c>
      <c r="E153" s="12" t="inlineStr">
        <is>
          <t>10+</t>
        </is>
      </c>
      <c r="F153" s="4">
        <f>IFERROR(INDEX('Темы × классы'!$Q:$Q,MATCH(D153,'Темы × классы'!$D:$D,0)),"")</f>
        <v/>
      </c>
      <c r="G153" s="4">
        <f>IFERROR(INDEX('Темы × классы'!$R:$R,MATCH(D153,'Темы × классы'!$D:$D,0))&amp;"","")</f>
        <v/>
      </c>
      <c r="H153" s="4" t="inlineStr">
        <is>
          <t>не начат</t>
        </is>
      </c>
      <c r="I153" s="4" t="inlineStr">
        <is>
          <t>Spotlight / 7 класс / Module 8 · Green issues / must/mustn't</t>
        </is>
      </c>
    </row>
    <row r="154">
      <c r="A154" s="12" t="n">
        <v>7</v>
      </c>
      <c r="B154" s="4" t="inlineStr">
        <is>
          <t>Module 8 · Green issues</t>
        </is>
      </c>
      <c r="C154" s="4" t="inlineStr"/>
      <c r="D154" s="5" t="inlineStr">
        <is>
          <t>Question tags</t>
        </is>
      </c>
      <c r="E154" s="12" t="inlineStr">
        <is>
          <t>10+</t>
        </is>
      </c>
      <c r="F154" s="4">
        <f>IFERROR(INDEX('Темы × классы'!$Q:$Q,MATCH(D154,'Темы × классы'!$D:$D,0)),"")</f>
        <v/>
      </c>
      <c r="G154" s="4">
        <f>IFERROR(INDEX('Темы × классы'!$R:$R,MATCH(D154,'Темы × классы'!$D:$D,0))&amp;"","")</f>
        <v/>
      </c>
      <c r="H154" s="4" t="inlineStr">
        <is>
          <t>не начат</t>
        </is>
      </c>
      <c r="I154" s="4" t="inlineStr">
        <is>
          <t>Spotlight / 7 класс / Module 8 · Green issues / Question tags</t>
        </is>
      </c>
    </row>
    <row r="155">
      <c r="A155" s="12" t="n">
        <v>7</v>
      </c>
      <c r="B155" s="4" t="inlineStr">
        <is>
          <t>Module 9 · Shopping time</t>
        </is>
      </c>
      <c r="C155" s="4" t="inlineStr"/>
      <c r="D155" s="5" t="inlineStr">
        <is>
          <t>Present Perfect vs Present Perfect Continuous</t>
        </is>
      </c>
      <c r="E155" s="12" t="inlineStr">
        <is>
          <t>10+</t>
        </is>
      </c>
      <c r="F155" s="4">
        <f>IFERROR(INDEX('Темы × классы'!$Q:$Q,MATCH(D155,'Темы × классы'!$D:$D,0)),"")</f>
        <v/>
      </c>
      <c r="G155" s="4">
        <f>IFERROR(INDEX('Темы × классы'!$R:$R,MATCH(D155,'Темы × классы'!$D:$D,0))&amp;"","")</f>
        <v/>
      </c>
      <c r="H155" s="4" t="inlineStr">
        <is>
          <t>не начат</t>
        </is>
      </c>
      <c r="I155" s="4" t="inlineStr">
        <is>
          <t>Spotlight / 7 класс / Module 9 · Shopping time / Present Perfect vs Present Perfect Continuous</t>
        </is>
      </c>
    </row>
    <row r="156">
      <c r="A156" s="12" t="n">
        <v>7</v>
      </c>
      <c r="B156" s="4" t="inlineStr">
        <is>
          <t>Module 9 · Shopping time</t>
        </is>
      </c>
      <c r="C156" s="4" t="inlineStr"/>
      <c r="D156" s="5" t="inlineStr">
        <is>
          <t>Countable / Uncountable nouns</t>
        </is>
      </c>
      <c r="E156" s="12" t="inlineStr">
        <is>
          <t>10+</t>
        </is>
      </c>
      <c r="F156" s="4">
        <f>IFERROR(INDEX('Темы × классы'!$Q:$Q,MATCH(D156,'Темы × классы'!$D:$D,0)),"")</f>
        <v/>
      </c>
      <c r="G156" s="4">
        <f>IFERROR(INDEX('Темы × классы'!$R:$R,MATCH(D156,'Темы × классы'!$D:$D,0))&amp;"","")</f>
        <v/>
      </c>
      <c r="H156" s="4" t="inlineStr">
        <is>
          <t>не начат</t>
        </is>
      </c>
      <c r="I156" s="4" t="inlineStr">
        <is>
          <t>Spotlight / 7 класс / Module 9 · Shopping time / Countable / Uncountable nouns</t>
        </is>
      </c>
    </row>
    <row r="157">
      <c r="A157" s="12" t="n">
        <v>7</v>
      </c>
      <c r="B157" s="4" t="inlineStr">
        <is>
          <t>Module 9 · Shopping time</t>
        </is>
      </c>
      <c r="C157" s="4" t="inlineStr"/>
      <c r="D157" s="5" t="inlineStr">
        <is>
          <t>a/an/some/any</t>
        </is>
      </c>
      <c r="E157" s="12" t="inlineStr">
        <is>
          <t>10+</t>
        </is>
      </c>
      <c r="F157" s="4">
        <f>IFERROR(INDEX('Темы × классы'!$Q:$Q,MATCH(D157,'Темы × классы'!$D:$D,0)),"")</f>
        <v/>
      </c>
      <c r="G157" s="4">
        <f>IFERROR(INDEX('Темы × классы'!$R:$R,MATCH(D157,'Темы × классы'!$D:$D,0))&amp;"","")</f>
        <v/>
      </c>
      <c r="H157" s="4" t="inlineStr">
        <is>
          <t>не начат</t>
        </is>
      </c>
      <c r="I157" s="4" t="inlineStr">
        <is>
          <t>Spotlight / 7 класс / Module 9 · Shopping time / a/an/some/any</t>
        </is>
      </c>
    </row>
    <row r="158">
      <c r="A158" s="12" t="n">
        <v>7</v>
      </c>
      <c r="B158" s="4" t="inlineStr">
        <is>
          <t>Module 9 · Shopping time</t>
        </is>
      </c>
      <c r="C158" s="4" t="inlineStr"/>
      <c r="D158" s="5" t="inlineStr">
        <is>
          <t>much/many/a lot of</t>
        </is>
      </c>
      <c r="E158" s="12" t="inlineStr">
        <is>
          <t>10+</t>
        </is>
      </c>
      <c r="F158" s="4">
        <f>IFERROR(INDEX('Темы × классы'!$Q:$Q,MATCH(D158,'Темы × классы'!$D:$D,0)),"")</f>
        <v/>
      </c>
      <c r="G158" s="4">
        <f>IFERROR(INDEX('Темы × классы'!$R:$R,MATCH(D158,'Темы × классы'!$D:$D,0))&amp;"","")</f>
        <v/>
      </c>
      <c r="H158" s="4" t="inlineStr">
        <is>
          <t>не начат</t>
        </is>
      </c>
      <c r="I158" s="4" t="inlineStr">
        <is>
          <t>Spotlight / 7 класс / Module 9 · Shopping time / much/many/a lot of</t>
        </is>
      </c>
    </row>
    <row r="159">
      <c r="A159" s="12" t="n">
        <v>7</v>
      </c>
      <c r="B159" s="4" t="inlineStr">
        <is>
          <t>Module 9 · Shopping time</t>
        </is>
      </c>
      <c r="C159" s="4" t="inlineStr"/>
      <c r="D159" s="5" t="inlineStr">
        <is>
          <t>a few/a little</t>
        </is>
      </c>
      <c r="E159" s="12" t="inlineStr">
        <is>
          <t>10+</t>
        </is>
      </c>
      <c r="F159" s="4">
        <f>IFERROR(INDEX('Темы × классы'!$Q:$Q,MATCH(D159,'Темы × классы'!$D:$D,0)),"")</f>
        <v/>
      </c>
      <c r="G159" s="4">
        <f>IFERROR(INDEX('Темы × классы'!$R:$R,MATCH(D159,'Темы × классы'!$D:$D,0))&amp;"","")</f>
        <v/>
      </c>
      <c r="H159" s="4" t="inlineStr">
        <is>
          <t>не начат</t>
        </is>
      </c>
      <c r="I159" s="4" t="inlineStr">
        <is>
          <t>Spotlight / 7 класс / Module 9 · Shopping time / a few/a little</t>
        </is>
      </c>
    </row>
    <row r="160">
      <c r="A160" s="12" t="n">
        <v>7</v>
      </c>
      <c r="B160" s="4" t="inlineStr">
        <is>
          <t>Module 9 · Shopping time</t>
        </is>
      </c>
      <c r="C160" s="4" t="inlineStr"/>
      <c r="D160" s="5" t="inlineStr">
        <is>
          <t>Partitives (a bottle of…)</t>
        </is>
      </c>
      <c r="E160" s="12" t="inlineStr">
        <is>
          <t>10+</t>
        </is>
      </c>
      <c r="F160" s="4">
        <f>IFERROR(INDEX('Темы × классы'!$Q:$Q,MATCH(D160,'Темы × классы'!$D:$D,0)),"")</f>
        <v/>
      </c>
      <c r="G160" s="4">
        <f>IFERROR(INDEX('Темы × классы'!$R:$R,MATCH(D160,'Темы × классы'!$D:$D,0))&amp;"","")</f>
        <v/>
      </c>
      <c r="H160" s="4" t="inlineStr">
        <is>
          <t>не начат</t>
        </is>
      </c>
      <c r="I160" s="4" t="inlineStr">
        <is>
          <t>Spotlight / 7 класс / Module 9 · Shopping time / Partitives (a bottle of…)</t>
        </is>
      </c>
    </row>
    <row r="161">
      <c r="A161" s="12" t="n">
        <v>7</v>
      </c>
      <c r="B161" s="4" t="inlineStr">
        <is>
          <t>Module 10 · Healthy body, healthy mind</t>
        </is>
      </c>
      <c r="C161" s="4" t="inlineStr"/>
      <c r="D161" s="5" t="inlineStr">
        <is>
          <t>Reflexive pronouns</t>
        </is>
      </c>
      <c r="E161" s="12" t="inlineStr">
        <is>
          <t>10+</t>
        </is>
      </c>
      <c r="F161" s="4">
        <f>IFERROR(INDEX('Темы × классы'!$Q:$Q,MATCH(D161,'Темы × классы'!$D:$D,0)),"")</f>
        <v/>
      </c>
      <c r="G161" s="4">
        <f>IFERROR(INDEX('Темы × классы'!$R:$R,MATCH(D161,'Темы × классы'!$D:$D,0))&amp;"","")</f>
        <v/>
      </c>
      <c r="H161" s="4" t="inlineStr">
        <is>
          <t>не начат</t>
        </is>
      </c>
      <c r="I161" s="4" t="inlineStr">
        <is>
          <t>Spotlight / 7 класс / Module 10 · Healthy body, healthy mind / Reflexive pronouns</t>
        </is>
      </c>
    </row>
    <row r="162">
      <c r="A162" s="12" t="n">
        <v>8</v>
      </c>
      <c r="B162" s="4" t="inlineStr">
        <is>
          <t>Irregular Verbs</t>
        </is>
      </c>
      <c r="C162" s="4" t="inlineStr"/>
      <c r="D162" s="5" t="inlineStr">
        <is>
          <t>Irregular verbs (list)</t>
        </is>
      </c>
      <c r="E162" s="12" t="inlineStr">
        <is>
          <t>10+</t>
        </is>
      </c>
      <c r="F162" s="4">
        <f>IFERROR(INDEX('Темы × классы'!$Q:$Q,MATCH(D162,'Темы × классы'!$D:$D,0)),"")</f>
        <v/>
      </c>
      <c r="G162" s="4">
        <f>IFERROR(INDEX('Темы × классы'!$R:$R,MATCH(D162,'Темы × классы'!$D:$D,0))&amp;"","")</f>
        <v/>
      </c>
      <c r="H162" s="4" t="inlineStr">
        <is>
          <t>не начат</t>
        </is>
      </c>
      <c r="I162" s="4" t="inlineStr">
        <is>
          <t>Spotlight / 8 класс / Irregular Verbs / Irregular verbs (list)</t>
        </is>
      </c>
    </row>
    <row r="163">
      <c r="A163" s="12" t="n">
        <v>8</v>
      </c>
      <c r="B163" s="4" t="inlineStr">
        <is>
          <t>Module 1 · Socialising</t>
        </is>
      </c>
      <c r="C163" s="4" t="inlineStr">
        <is>
          <t>1c</t>
        </is>
      </c>
      <c r="D163" s="5" t="inlineStr">
        <is>
          <t>Past Simple</t>
        </is>
      </c>
      <c r="E163" s="12" t="inlineStr">
        <is>
          <t>10+</t>
        </is>
      </c>
      <c r="F163" s="4">
        <f>IFERROR(INDEX('Темы × классы'!$Q:$Q,MATCH(D163,'Темы × классы'!$D:$D,0)),"")</f>
        <v/>
      </c>
      <c r="G163" s="4">
        <f>IFERROR(INDEX('Темы × классы'!$R:$R,MATCH(D163,'Темы × классы'!$D:$D,0))&amp;"","")</f>
        <v/>
      </c>
      <c r="H163" s="4" t="inlineStr">
        <is>
          <t>не начат</t>
        </is>
      </c>
      <c r="I163" s="4" t="inlineStr">
        <is>
          <t>Spotlight / 8 класс / Module 1 · Socialising / Past Simple</t>
        </is>
      </c>
    </row>
    <row r="164">
      <c r="A164" s="12" t="n">
        <v>8</v>
      </c>
      <c r="B164" s="4" t="inlineStr">
        <is>
          <t>Module 1 · Socialising</t>
        </is>
      </c>
      <c r="C164" s="4" t="inlineStr">
        <is>
          <t>1c</t>
        </is>
      </c>
      <c r="D164" s="5" t="inlineStr">
        <is>
          <t>Present Continuous</t>
        </is>
      </c>
      <c r="E164" s="12" t="inlineStr">
        <is>
          <t>10+</t>
        </is>
      </c>
      <c r="F164" s="4">
        <f>IFERROR(INDEX('Темы × классы'!$Q:$Q,MATCH(D164,'Темы × классы'!$D:$D,0)),"")</f>
        <v/>
      </c>
      <c r="G164" s="4">
        <f>IFERROR(INDEX('Темы × классы'!$R:$R,MATCH(D164,'Темы × классы'!$D:$D,0))&amp;"","")</f>
        <v/>
      </c>
      <c r="H164" s="4" t="inlineStr">
        <is>
          <t>не начат</t>
        </is>
      </c>
      <c r="I164" s="4" t="inlineStr">
        <is>
          <t>Spotlight / 8 класс / Module 1 · Socialising / Present Continuous</t>
        </is>
      </c>
    </row>
    <row r="165">
      <c r="A165" s="12" t="n">
        <v>8</v>
      </c>
      <c r="B165" s="4" t="inlineStr">
        <is>
          <t>Module 1 · Socialising</t>
        </is>
      </c>
      <c r="C165" s="4" t="inlineStr">
        <is>
          <t>1c</t>
        </is>
      </c>
      <c r="D165" s="5" t="inlineStr">
        <is>
          <t>Present Simple</t>
        </is>
      </c>
      <c r="E165" s="12" t="inlineStr">
        <is>
          <t>10+</t>
        </is>
      </c>
      <c r="F165" s="4">
        <f>IFERROR(INDEX('Темы × классы'!$Q:$Q,MATCH(D165,'Темы × классы'!$D:$D,0)),"")</f>
        <v/>
      </c>
      <c r="G165" s="4">
        <f>IFERROR(INDEX('Темы × классы'!$R:$R,MATCH(D165,'Темы × классы'!$D:$D,0))&amp;"","")</f>
        <v/>
      </c>
      <c r="H165" s="4" t="inlineStr">
        <is>
          <t>не начат</t>
        </is>
      </c>
      <c r="I165" s="4" t="inlineStr">
        <is>
          <t>Spotlight / 8 класс / Module 1 · Socialising / Present Simple</t>
        </is>
      </c>
    </row>
    <row r="166">
      <c r="A166" s="12" t="n">
        <v>8</v>
      </c>
      <c r="B166" s="4" t="inlineStr">
        <is>
          <t>Module 1 · Socialising</t>
        </is>
      </c>
      <c r="C166" s="4" t="inlineStr">
        <is>
          <t>1c</t>
        </is>
      </c>
      <c r="D166" s="5" t="inlineStr">
        <is>
          <t>Future Simple (will)</t>
        </is>
      </c>
      <c r="E166" s="12" t="inlineStr">
        <is>
          <t>10+</t>
        </is>
      </c>
      <c r="F166" s="4">
        <f>IFERROR(INDEX('Темы × классы'!$Q:$Q,MATCH(D166,'Темы × классы'!$D:$D,0)),"")</f>
        <v/>
      </c>
      <c r="G166" s="4">
        <f>IFERROR(INDEX('Темы × классы'!$R:$R,MATCH(D166,'Темы × классы'!$D:$D,0))&amp;"","")</f>
        <v/>
      </c>
      <c r="H166" s="4" t="inlineStr">
        <is>
          <t>не начат</t>
        </is>
      </c>
      <c r="I166" s="4" t="inlineStr">
        <is>
          <t>Spotlight / 8 класс / Module 1 · Socialising / Future Simple (will)</t>
        </is>
      </c>
    </row>
    <row r="167">
      <c r="A167" s="12" t="n">
        <v>8</v>
      </c>
      <c r="B167" s="4" t="inlineStr">
        <is>
          <t>Module 1 · Socialising</t>
        </is>
      </c>
      <c r="C167" s="4" t="inlineStr">
        <is>
          <t>1c</t>
        </is>
      </c>
      <c r="D167" s="5" t="inlineStr">
        <is>
          <t>Present Simple vs Present Continuous</t>
        </is>
      </c>
      <c r="E167" s="12" t="inlineStr">
        <is>
          <t>10+</t>
        </is>
      </c>
      <c r="F167" s="4">
        <f>IFERROR(INDEX('Темы × классы'!$Q:$Q,MATCH(D167,'Темы × классы'!$D:$D,0)),"")</f>
        <v/>
      </c>
      <c r="G167" s="4">
        <f>IFERROR(INDEX('Темы × классы'!$R:$R,MATCH(D167,'Темы × классы'!$D:$D,0))&amp;"","")</f>
        <v/>
      </c>
      <c r="H167" s="4" t="inlineStr">
        <is>
          <t>не начат</t>
        </is>
      </c>
      <c r="I167" s="4" t="inlineStr">
        <is>
          <t>Spotlight / 8 класс / Module 1 · Socialising / Present Simple vs Present Continuous</t>
        </is>
      </c>
    </row>
    <row r="168">
      <c r="A168" s="12" t="n">
        <v>8</v>
      </c>
      <c r="B168" s="4" t="inlineStr">
        <is>
          <t>Module 1 · Socialising</t>
        </is>
      </c>
      <c r="C168" s="4" t="inlineStr">
        <is>
          <t>1c</t>
        </is>
      </c>
      <c r="D168" s="5" t="inlineStr">
        <is>
          <t>be going to</t>
        </is>
      </c>
      <c r="E168" s="12" t="inlineStr">
        <is>
          <t>10+</t>
        </is>
      </c>
      <c r="F168" s="4">
        <f>IFERROR(INDEX('Темы × классы'!$Q:$Q,MATCH(D168,'Темы × классы'!$D:$D,0)),"")</f>
        <v/>
      </c>
      <c r="G168" s="4">
        <f>IFERROR(INDEX('Темы × классы'!$R:$R,MATCH(D168,'Темы × классы'!$D:$D,0))&amp;"","")</f>
        <v/>
      </c>
      <c r="H168" s="4" t="inlineStr">
        <is>
          <t>не начат</t>
        </is>
      </c>
      <c r="I168" s="4" t="inlineStr">
        <is>
          <t>Spotlight / 8 класс / Module 1 · Socialising / be going to</t>
        </is>
      </c>
    </row>
    <row r="169">
      <c r="A169" s="12" t="n">
        <v>8</v>
      </c>
      <c r="B169" s="4" t="inlineStr">
        <is>
          <t>Module 1 · Socialising</t>
        </is>
      </c>
      <c r="C169" s="4" t="inlineStr">
        <is>
          <t>1c</t>
        </is>
      </c>
      <c r="D169" s="5" t="inlineStr">
        <is>
          <t>Stative verbs</t>
        </is>
      </c>
      <c r="E169" s="12" t="inlineStr">
        <is>
          <t>10+</t>
        </is>
      </c>
      <c r="F169" s="4">
        <f>IFERROR(INDEX('Темы × классы'!$Q:$Q,MATCH(D169,'Темы × классы'!$D:$D,0)),"")</f>
        <v/>
      </c>
      <c r="G169" s="4">
        <f>IFERROR(INDEX('Темы × классы'!$R:$R,MATCH(D169,'Темы × классы'!$D:$D,0))&amp;"","")</f>
        <v/>
      </c>
      <c r="H169" s="4" t="inlineStr">
        <is>
          <t>не начат</t>
        </is>
      </c>
      <c r="I169" s="4" t="inlineStr">
        <is>
          <t>Spotlight / 8 класс / Module 1 · Socialising / Stative verbs</t>
        </is>
      </c>
    </row>
    <row r="170">
      <c r="A170" s="12" t="n">
        <v>8</v>
      </c>
      <c r="B170" s="4" t="inlineStr">
        <is>
          <t>Module 1 · Socialising</t>
        </is>
      </c>
      <c r="C170" s="4" t="inlineStr">
        <is>
          <t>1c</t>
        </is>
      </c>
      <c r="D170" s="5" t="inlineStr">
        <is>
          <t>Future forms (comparison)</t>
        </is>
      </c>
      <c r="E170" s="12" t="inlineStr">
        <is>
          <t>10+</t>
        </is>
      </c>
      <c r="F170" s="4">
        <f>IFERROR(INDEX('Темы × классы'!$Q:$Q,MATCH(D170,'Темы × классы'!$D:$D,0)),"")</f>
        <v/>
      </c>
      <c r="G170" s="4">
        <f>IFERROR(INDEX('Темы × классы'!$R:$R,MATCH(D170,'Темы × классы'!$D:$D,0))&amp;"","")</f>
        <v/>
      </c>
      <c r="H170" s="4" t="inlineStr">
        <is>
          <t>не начат</t>
        </is>
      </c>
      <c r="I170" s="4" t="inlineStr">
        <is>
          <t>Spotlight / 8 класс / Module 1 · Socialising / Future forms (comparison)</t>
        </is>
      </c>
    </row>
    <row r="171">
      <c r="A171" s="12" t="n">
        <v>8</v>
      </c>
      <c r="B171" s="4" t="inlineStr">
        <is>
          <t>Module 1 · Socialising</t>
        </is>
      </c>
      <c r="C171" s="4" t="inlineStr">
        <is>
          <t>1c</t>
        </is>
      </c>
      <c r="D171" s="5" t="inlineStr">
        <is>
          <t>Past Continuous</t>
        </is>
      </c>
      <c r="E171" s="12" t="inlineStr">
        <is>
          <t>10+</t>
        </is>
      </c>
      <c r="F171" s="4">
        <f>IFERROR(INDEX('Темы × классы'!$Q:$Q,MATCH(D171,'Темы × классы'!$D:$D,0)),"")</f>
        <v/>
      </c>
      <c r="G171" s="4">
        <f>IFERROR(INDEX('Темы × классы'!$R:$R,MATCH(D171,'Темы × классы'!$D:$D,0))&amp;"","")</f>
        <v/>
      </c>
      <c r="H171" s="4" t="inlineStr">
        <is>
          <t>не начат</t>
        </is>
      </c>
      <c r="I171" s="4" t="inlineStr">
        <is>
          <t>Spotlight / 8 класс / Module 1 · Socialising / Past Continuous</t>
        </is>
      </c>
    </row>
    <row r="172">
      <c r="A172" s="12" t="n">
        <v>8</v>
      </c>
      <c r="B172" s="4" t="inlineStr">
        <is>
          <t>Module 1 · Socialising</t>
        </is>
      </c>
      <c r="C172" s="4" t="inlineStr">
        <is>
          <t>1c</t>
        </is>
      </c>
      <c r="D172" s="5" t="inlineStr">
        <is>
          <t>Past Simple vs Past Continuous</t>
        </is>
      </c>
      <c r="E172" s="12" t="inlineStr">
        <is>
          <t>10+</t>
        </is>
      </c>
      <c r="F172" s="4">
        <f>IFERROR(INDEX('Темы × классы'!$Q:$Q,MATCH(D172,'Темы × классы'!$D:$D,0)),"")</f>
        <v/>
      </c>
      <c r="G172" s="4">
        <f>IFERROR(INDEX('Темы × классы'!$R:$R,MATCH(D172,'Темы × классы'!$D:$D,0))&amp;"","")</f>
        <v/>
      </c>
      <c r="H172" s="4" t="inlineStr">
        <is>
          <t>не начат</t>
        </is>
      </c>
      <c r="I172" s="4" t="inlineStr">
        <is>
          <t>Spotlight / 8 класс / Module 1 · Socialising / Past Simple vs Past Continuous</t>
        </is>
      </c>
    </row>
    <row r="173">
      <c r="A173" s="12" t="n">
        <v>8</v>
      </c>
      <c r="B173" s="4" t="inlineStr">
        <is>
          <t>Module 1 · Socialising</t>
        </is>
      </c>
      <c r="C173" s="4" t="inlineStr">
        <is>
          <t>1c</t>
        </is>
      </c>
      <c r="D173" s="5" t="inlineStr">
        <is>
          <t>Adverbs of frequency</t>
        </is>
      </c>
      <c r="E173" s="12" t="inlineStr">
        <is>
          <t>10+</t>
        </is>
      </c>
      <c r="F173" s="4">
        <f>IFERROR(INDEX('Темы × классы'!$Q:$Q,MATCH(D173,'Темы × классы'!$D:$D,0)),"")</f>
        <v/>
      </c>
      <c r="G173" s="4">
        <f>IFERROR(INDEX('Темы × классы'!$R:$R,MATCH(D173,'Темы × классы'!$D:$D,0))&amp;"","")</f>
        <v/>
      </c>
      <c r="H173" s="4" t="inlineStr">
        <is>
          <t>не начат</t>
        </is>
      </c>
      <c r="I173" s="4" t="inlineStr">
        <is>
          <t>Spotlight / 8 класс / Module 1 · Socialising / Adverbs of frequency</t>
        </is>
      </c>
    </row>
    <row r="174">
      <c r="A174" s="12" t="n">
        <v>8</v>
      </c>
      <c r="B174" s="4" t="inlineStr">
        <is>
          <t>Module 1 · Socialising</t>
        </is>
      </c>
      <c r="C174" s="4" t="inlineStr">
        <is>
          <t>1d</t>
        </is>
      </c>
      <c r="D174" s="5" t="inlineStr">
        <is>
          <t>Comparatives &amp; Superlatives</t>
        </is>
      </c>
      <c r="E174" s="12" t="inlineStr">
        <is>
          <t>10+</t>
        </is>
      </c>
      <c r="F174" s="4">
        <f>IFERROR(INDEX('Темы × классы'!$Q:$Q,MATCH(D174,'Темы × классы'!$D:$D,0)),"")</f>
        <v/>
      </c>
      <c r="G174" s="4">
        <f>IFERROR(INDEX('Темы × классы'!$R:$R,MATCH(D174,'Темы × классы'!$D:$D,0))&amp;"","")</f>
        <v/>
      </c>
      <c r="H174" s="4" t="inlineStr">
        <is>
          <t>не начат</t>
        </is>
      </c>
      <c r="I174" s="4" t="inlineStr">
        <is>
          <t>Spotlight / 8 класс / Module 1 · Socialising / Comparatives &amp; Superlatives</t>
        </is>
      </c>
    </row>
    <row r="175">
      <c r="A175" s="12" t="n">
        <v>8</v>
      </c>
      <c r="B175" s="4" t="inlineStr">
        <is>
          <t>Module 1 · Socialising</t>
        </is>
      </c>
      <c r="C175" s="4" t="inlineStr">
        <is>
          <t>1d</t>
        </is>
      </c>
      <c r="D175" s="5" t="inlineStr">
        <is>
          <t>Adverbs of degree</t>
        </is>
      </c>
      <c r="E175" s="12" t="inlineStr">
        <is>
          <t>10+</t>
        </is>
      </c>
      <c r="F175" s="4">
        <f>IFERROR(INDEX('Темы × классы'!$Q:$Q,MATCH(D175,'Темы × классы'!$D:$D,0)),"")</f>
        <v/>
      </c>
      <c r="G175" s="4">
        <f>IFERROR(INDEX('Темы × классы'!$R:$R,MATCH(D175,'Темы × классы'!$D:$D,0))&amp;"","")</f>
        <v/>
      </c>
      <c r="H175" s="4" t="inlineStr">
        <is>
          <t>не начат</t>
        </is>
      </c>
      <c r="I175" s="4" t="inlineStr">
        <is>
          <t>Spotlight / 8 класс / Module 1 · Socialising / Adverbs of degree</t>
        </is>
      </c>
    </row>
    <row r="176">
      <c r="A176" s="12" t="n">
        <v>8</v>
      </c>
      <c r="B176" s="4" t="inlineStr">
        <is>
          <t>Module 1 · Socialising</t>
        </is>
      </c>
      <c r="C176" s="4" t="inlineStr">
        <is>
          <t>1f</t>
        </is>
      </c>
      <c r="D176" s="5" t="inlineStr">
        <is>
          <t>Phrasal verbs: get</t>
        </is>
      </c>
      <c r="E176" s="12" t="inlineStr">
        <is>
          <t>10+</t>
        </is>
      </c>
      <c r="F176" s="4">
        <f>IFERROR(INDEX('Темы × классы'!$Q:$Q,MATCH(D176,'Темы × классы'!$D:$D,0)),"")</f>
        <v/>
      </c>
      <c r="G176" s="4">
        <f>IFERROR(INDEX('Темы × классы'!$R:$R,MATCH(D176,'Темы × классы'!$D:$D,0))&amp;"","")</f>
        <v/>
      </c>
      <c r="H176" s="4" t="inlineStr">
        <is>
          <t>не начат</t>
        </is>
      </c>
      <c r="I176" s="4" t="inlineStr">
        <is>
          <t>Spotlight / 8 класс / Module 1 · Socialising / Phrasal verbs: get</t>
        </is>
      </c>
    </row>
    <row r="177">
      <c r="A177" s="12" t="n">
        <v>8</v>
      </c>
      <c r="B177" s="4" t="inlineStr">
        <is>
          <t>Module 1 · Socialising</t>
        </is>
      </c>
      <c r="C177" s="4" t="inlineStr">
        <is>
          <t>1f</t>
        </is>
      </c>
      <c r="D177" s="5" t="inlineStr">
        <is>
          <t>Word formation: -ful, -able</t>
        </is>
      </c>
      <c r="E177" s="12" t="inlineStr">
        <is>
          <t>10+</t>
        </is>
      </c>
      <c r="F177" s="4">
        <f>IFERROR(INDEX('Темы × классы'!$Q:$Q,MATCH(D177,'Темы × классы'!$D:$D,0)),"")</f>
        <v/>
      </c>
      <c r="G177" s="4">
        <f>IFERROR(INDEX('Темы × классы'!$R:$R,MATCH(D177,'Темы × классы'!$D:$D,0))&amp;"","")</f>
        <v/>
      </c>
      <c r="H177" s="4" t="inlineStr">
        <is>
          <t>не начат</t>
        </is>
      </c>
      <c r="I177" s="4" t="inlineStr">
        <is>
          <t>Spotlight / 8 класс / Module 1 · Socialising / Word formation: -ful, -able</t>
        </is>
      </c>
    </row>
    <row r="178">
      <c r="A178" s="12" t="n">
        <v>8</v>
      </c>
      <c r="B178" s="4" t="inlineStr">
        <is>
          <t>Module 1 · Socialising</t>
        </is>
      </c>
      <c r="C178" s="4" t="inlineStr">
        <is>
          <t>1f</t>
        </is>
      </c>
      <c r="D178" s="5" t="inlineStr">
        <is>
          <t>Dependent prepositions</t>
        </is>
      </c>
      <c r="E178" s="12" t="inlineStr">
        <is>
          <t>10+</t>
        </is>
      </c>
      <c r="F178" s="4">
        <f>IFERROR(INDEX('Темы × классы'!$Q:$Q,MATCH(D178,'Темы × классы'!$D:$D,0)),"")</f>
        <v/>
      </c>
      <c r="G178" s="4">
        <f>IFERROR(INDEX('Темы × классы'!$R:$R,MATCH(D178,'Темы × классы'!$D:$D,0))&amp;"","")</f>
        <v/>
      </c>
      <c r="H178" s="4" t="inlineStr">
        <is>
          <t>не начат</t>
        </is>
      </c>
      <c r="I178" s="4" t="inlineStr">
        <is>
          <t>Spotlight / 8 класс / Module 1 · Socialising / Dependent prepositions</t>
        </is>
      </c>
    </row>
    <row r="179">
      <c r="A179" s="12" t="n">
        <v>8</v>
      </c>
      <c r="B179" s="4" t="inlineStr">
        <is>
          <t>Module 2 · Food &amp; Shopping</t>
        </is>
      </c>
      <c r="C179" s="4" t="inlineStr">
        <is>
          <t>2c</t>
        </is>
      </c>
      <c r="D179" s="5" t="inlineStr">
        <is>
          <t>Present Perfect</t>
        </is>
      </c>
      <c r="E179" s="12" t="inlineStr">
        <is>
          <t>10+</t>
        </is>
      </c>
      <c r="F179" s="4">
        <f>IFERROR(INDEX('Темы × классы'!$Q:$Q,MATCH(D179,'Темы × классы'!$D:$D,0)),"")</f>
        <v/>
      </c>
      <c r="G179" s="4">
        <f>IFERROR(INDEX('Темы × классы'!$R:$R,MATCH(D179,'Темы × классы'!$D:$D,0))&amp;"","")</f>
        <v/>
      </c>
      <c r="H179" s="4" t="inlineStr">
        <is>
          <t>не начат</t>
        </is>
      </c>
      <c r="I179" s="4" t="inlineStr">
        <is>
          <t>Spotlight / 8 класс / Module 2 · Food &amp; Shopping / Present Perfect</t>
        </is>
      </c>
    </row>
    <row r="180">
      <c r="A180" s="12" t="n">
        <v>8</v>
      </c>
      <c r="B180" s="4" t="inlineStr">
        <is>
          <t>Module 2 · Food &amp; Shopping</t>
        </is>
      </c>
      <c r="C180" s="4" t="inlineStr">
        <is>
          <t>2c</t>
        </is>
      </c>
      <c r="D180" s="5" t="inlineStr">
        <is>
          <t>Present Perfect Continuous</t>
        </is>
      </c>
      <c r="E180" s="12" t="inlineStr">
        <is>
          <t>10+</t>
        </is>
      </c>
      <c r="F180" s="4">
        <f>IFERROR(INDEX('Темы × классы'!$Q:$Q,MATCH(D180,'Темы × классы'!$D:$D,0)),"")</f>
        <v/>
      </c>
      <c r="G180" s="4">
        <f>IFERROR(INDEX('Темы × классы'!$R:$R,MATCH(D180,'Темы × классы'!$D:$D,0))&amp;"","")</f>
        <v/>
      </c>
      <c r="H180" s="4" t="inlineStr">
        <is>
          <t>не начат</t>
        </is>
      </c>
      <c r="I180" s="4" t="inlineStr">
        <is>
          <t>Spotlight / 8 класс / Module 2 · Food &amp; Shopping / Present Perfect Continuous</t>
        </is>
      </c>
    </row>
    <row r="181">
      <c r="A181" s="12" t="n">
        <v>8</v>
      </c>
      <c r="B181" s="4" t="inlineStr">
        <is>
          <t>Module 2 · Food &amp; Shopping</t>
        </is>
      </c>
      <c r="C181" s="4" t="inlineStr">
        <is>
          <t>2c</t>
        </is>
      </c>
      <c r="D181" s="5" t="inlineStr">
        <is>
          <t>Present Perfect vs Past Simple</t>
        </is>
      </c>
      <c r="E181" s="12" t="inlineStr">
        <is>
          <t>10+</t>
        </is>
      </c>
      <c r="F181" s="4">
        <f>IFERROR(INDEX('Темы × классы'!$Q:$Q,MATCH(D181,'Темы × классы'!$D:$D,0)),"")</f>
        <v/>
      </c>
      <c r="G181" s="4">
        <f>IFERROR(INDEX('Темы × классы'!$R:$R,MATCH(D181,'Темы × классы'!$D:$D,0))&amp;"","")</f>
        <v/>
      </c>
      <c r="H181" s="4" t="inlineStr">
        <is>
          <t>не начат</t>
        </is>
      </c>
      <c r="I181" s="4" t="inlineStr">
        <is>
          <t>Spotlight / 8 класс / Module 2 · Food &amp; Shopping / Present Perfect vs Past Simple</t>
        </is>
      </c>
    </row>
    <row r="182">
      <c r="A182" s="12" t="n">
        <v>8</v>
      </c>
      <c r="B182" s="4" t="inlineStr">
        <is>
          <t>Module 2 · Food &amp; Shopping</t>
        </is>
      </c>
      <c r="C182" s="4" t="inlineStr">
        <is>
          <t>2c</t>
        </is>
      </c>
      <c r="D182" s="5" t="inlineStr">
        <is>
          <t>have gone to / have been to / have been in</t>
        </is>
      </c>
      <c r="E182" s="12" t="inlineStr">
        <is>
          <t>10+</t>
        </is>
      </c>
      <c r="F182" s="4">
        <f>IFERROR(INDEX('Темы × классы'!$Q:$Q,MATCH(D182,'Темы × классы'!$D:$D,0)),"")</f>
        <v/>
      </c>
      <c r="G182" s="4">
        <f>IFERROR(INDEX('Темы × классы'!$R:$R,MATCH(D182,'Темы × классы'!$D:$D,0))&amp;"","")</f>
        <v/>
      </c>
      <c r="H182" s="4" t="inlineStr">
        <is>
          <t>не начат</t>
        </is>
      </c>
      <c r="I182" s="4" t="inlineStr">
        <is>
          <t>Spotlight / 8 класс / Module 2 · Food &amp; Shopping / have gone to / have been to / have been in</t>
        </is>
      </c>
    </row>
    <row r="183">
      <c r="A183" s="12" t="n">
        <v>8</v>
      </c>
      <c r="B183" s="4" t="inlineStr">
        <is>
          <t>Module 2 · Food &amp; Shopping</t>
        </is>
      </c>
      <c r="C183" s="4" t="inlineStr">
        <is>
          <t>2d</t>
        </is>
      </c>
      <c r="D183" s="5" t="inlineStr">
        <is>
          <t>Countable / Uncountable nouns</t>
        </is>
      </c>
      <c r="E183" s="12" t="inlineStr">
        <is>
          <t>10+</t>
        </is>
      </c>
      <c r="F183" s="4">
        <f>IFERROR(INDEX('Темы × классы'!$Q:$Q,MATCH(D183,'Темы × классы'!$D:$D,0)),"")</f>
        <v/>
      </c>
      <c r="G183" s="4">
        <f>IFERROR(INDEX('Темы × классы'!$R:$R,MATCH(D183,'Темы × классы'!$D:$D,0))&amp;"","")</f>
        <v/>
      </c>
      <c r="H183" s="4" t="inlineStr">
        <is>
          <t>не начат</t>
        </is>
      </c>
      <c r="I183" s="4" t="inlineStr">
        <is>
          <t>Spotlight / 8 класс / Module 2 · Food &amp; Shopping / Countable / Uncountable nouns</t>
        </is>
      </c>
    </row>
    <row r="184">
      <c r="A184" s="12" t="n">
        <v>8</v>
      </c>
      <c r="B184" s="4" t="inlineStr">
        <is>
          <t>Module 2 · Food &amp; Shopping</t>
        </is>
      </c>
      <c r="C184" s="4" t="inlineStr">
        <is>
          <t>2b</t>
        </is>
      </c>
      <c r="D184" s="5" t="inlineStr">
        <is>
          <t>Articles (a/an/the/zero)</t>
        </is>
      </c>
      <c r="E184" s="12" t="inlineStr">
        <is>
          <t>10+</t>
        </is>
      </c>
      <c r="F184" s="4">
        <f>IFERROR(INDEX('Темы × классы'!$Q:$Q,MATCH(D184,'Темы × классы'!$D:$D,0)),"")</f>
        <v/>
      </c>
      <c r="G184" s="4">
        <f>IFERROR(INDEX('Темы × классы'!$R:$R,MATCH(D184,'Темы × классы'!$D:$D,0))&amp;"","")</f>
        <v/>
      </c>
      <c r="H184" s="4" t="inlineStr">
        <is>
          <t>не начат</t>
        </is>
      </c>
      <c r="I184" s="4" t="inlineStr">
        <is>
          <t>Spotlight / 8 класс / Module 2 · Food &amp; Shopping / Articles (a/an/the/zero)</t>
        </is>
      </c>
    </row>
    <row r="185">
      <c r="A185" s="12" t="n">
        <v>8</v>
      </c>
      <c r="B185" s="4" t="inlineStr">
        <is>
          <t>Module 2 · Food &amp; Shopping</t>
        </is>
      </c>
      <c r="C185" s="4" t="inlineStr">
        <is>
          <t>2d</t>
        </is>
      </c>
      <c r="D185" s="5" t="inlineStr">
        <is>
          <t>Plurals (only plural / collective nouns)</t>
        </is>
      </c>
      <c r="E185" s="12" t="inlineStr">
        <is>
          <t>10+</t>
        </is>
      </c>
      <c r="F185" s="4">
        <f>IFERROR(INDEX('Темы × классы'!$Q:$Q,MATCH(D185,'Темы × классы'!$D:$D,0)),"")</f>
        <v/>
      </c>
      <c r="G185" s="4">
        <f>IFERROR(INDEX('Темы × классы'!$R:$R,MATCH(D185,'Темы × классы'!$D:$D,0))&amp;"","")</f>
        <v/>
      </c>
      <c r="H185" s="4" t="inlineStr">
        <is>
          <t>не начат</t>
        </is>
      </c>
      <c r="I185" s="4" t="inlineStr">
        <is>
          <t>Spotlight / 8 класс / Module 2 · Food &amp; Shopping / Plurals (only plural / collective nouns)</t>
        </is>
      </c>
    </row>
    <row r="186">
      <c r="A186" s="12" t="n">
        <v>8</v>
      </c>
      <c r="B186" s="4" t="inlineStr">
        <is>
          <t>Module 2 · Food &amp; Shopping</t>
        </is>
      </c>
      <c r="C186" s="4" t="inlineStr">
        <is>
          <t>2b</t>
        </is>
      </c>
      <c r="D186" s="5" t="inlineStr">
        <is>
          <t>Quantifiers</t>
        </is>
      </c>
      <c r="E186" s="12" t="inlineStr">
        <is>
          <t>10+</t>
        </is>
      </c>
      <c r="F186" s="4">
        <f>IFERROR(INDEX('Темы × классы'!$Q:$Q,MATCH(D186,'Темы × классы'!$D:$D,0)),"")</f>
        <v/>
      </c>
      <c r="G186" s="4">
        <f>IFERROR(INDEX('Темы × классы'!$R:$R,MATCH(D186,'Темы × классы'!$D:$D,0))&amp;"","")</f>
        <v/>
      </c>
      <c r="H186" s="4" t="inlineStr">
        <is>
          <t>не начат</t>
        </is>
      </c>
      <c r="I186" s="4" t="inlineStr">
        <is>
          <t>Spotlight / 8 класс / Module 2 · Food &amp; Shopping / Quantifiers</t>
        </is>
      </c>
    </row>
    <row r="187">
      <c r="A187" s="12" t="n">
        <v>8</v>
      </c>
      <c r="B187" s="4" t="inlineStr">
        <is>
          <t>Module 2 · Food &amp; Shopping</t>
        </is>
      </c>
      <c r="C187" s="4" t="inlineStr">
        <is>
          <t>2e</t>
        </is>
      </c>
      <c r="D187" s="5" t="inlineStr">
        <is>
          <t>Adjectives (order)</t>
        </is>
      </c>
      <c r="E187" s="12" t="inlineStr">
        <is>
          <t>10+</t>
        </is>
      </c>
      <c r="F187" s="4">
        <f>IFERROR(INDEX('Темы × классы'!$Q:$Q,MATCH(D187,'Темы × классы'!$D:$D,0)),"")</f>
        <v/>
      </c>
      <c r="G187" s="4">
        <f>IFERROR(INDEX('Темы × классы'!$R:$R,MATCH(D187,'Темы × классы'!$D:$D,0))&amp;"","")</f>
        <v/>
      </c>
      <c r="H187" s="4" t="inlineStr">
        <is>
          <t>не начат</t>
        </is>
      </c>
      <c r="I187" s="4" t="inlineStr">
        <is>
          <t>Spotlight / 8 класс / Module 2 · Food &amp; Shopping / Adjectives (order)</t>
        </is>
      </c>
    </row>
    <row r="188">
      <c r="A188" s="12" t="n">
        <v>8</v>
      </c>
      <c r="B188" s="4" t="inlineStr">
        <is>
          <t>Module 2 · Food &amp; Shopping</t>
        </is>
      </c>
      <c r="C188" s="4" t="inlineStr">
        <is>
          <t>2f</t>
        </is>
      </c>
      <c r="D188" s="5" t="inlineStr">
        <is>
          <t>Phrasal verbs: go</t>
        </is>
      </c>
      <c r="E188" s="12" t="inlineStr">
        <is>
          <t>10+</t>
        </is>
      </c>
      <c r="F188" s="4">
        <f>IFERROR(INDEX('Темы × классы'!$Q:$Q,MATCH(D188,'Темы × классы'!$D:$D,0)),"")</f>
        <v/>
      </c>
      <c r="G188" s="4">
        <f>IFERROR(INDEX('Темы × классы'!$R:$R,MATCH(D188,'Темы × классы'!$D:$D,0))&amp;"","")</f>
        <v/>
      </c>
      <c r="H188" s="4" t="inlineStr">
        <is>
          <t>не начат</t>
        </is>
      </c>
      <c r="I188" s="4" t="inlineStr">
        <is>
          <t>Spotlight / 8 класс / Module 2 · Food &amp; Shopping / Phrasal verbs: go</t>
        </is>
      </c>
    </row>
    <row r="189">
      <c r="A189" s="12" t="n">
        <v>8</v>
      </c>
      <c r="B189" s="4" t="inlineStr">
        <is>
          <t>Module 2 · Food &amp; Shopping</t>
        </is>
      </c>
      <c r="C189" s="4" t="inlineStr">
        <is>
          <t>2f</t>
        </is>
      </c>
      <c r="D189" s="5" t="inlineStr">
        <is>
          <t>Word formation: negative adjectives</t>
        </is>
      </c>
      <c r="E189" s="12" t="inlineStr">
        <is>
          <t>10+</t>
        </is>
      </c>
      <c r="F189" s="4">
        <f>IFERROR(INDEX('Темы × классы'!$Q:$Q,MATCH(D189,'Темы × классы'!$D:$D,0)),"")</f>
        <v/>
      </c>
      <c r="G189" s="4">
        <f>IFERROR(INDEX('Темы × классы'!$R:$R,MATCH(D189,'Темы × классы'!$D:$D,0))&amp;"","")</f>
        <v/>
      </c>
      <c r="H189" s="4" t="inlineStr">
        <is>
          <t>не начат</t>
        </is>
      </c>
      <c r="I189" s="4" t="inlineStr">
        <is>
          <t>Spotlight / 8 класс / Module 2 · Food &amp; Shopping / Word formation: negative adjectives</t>
        </is>
      </c>
    </row>
    <row r="190">
      <c r="A190" s="12" t="n">
        <v>8</v>
      </c>
      <c r="B190" s="4" t="inlineStr">
        <is>
          <t>Module 2 · Food &amp; Shopping</t>
        </is>
      </c>
      <c r="C190" s="4" t="inlineStr">
        <is>
          <t>2f</t>
        </is>
      </c>
      <c r="D190" s="5" t="inlineStr">
        <is>
          <t>Dependent prepositions</t>
        </is>
      </c>
      <c r="E190" s="12" t="inlineStr">
        <is>
          <t>10+</t>
        </is>
      </c>
      <c r="F190" s="4">
        <f>IFERROR(INDEX('Темы × классы'!$Q:$Q,MATCH(D190,'Темы × классы'!$D:$D,0)),"")</f>
        <v/>
      </c>
      <c r="G190" s="4">
        <f>IFERROR(INDEX('Темы × классы'!$R:$R,MATCH(D190,'Темы × классы'!$D:$D,0))&amp;"","")</f>
        <v/>
      </c>
      <c r="H190" s="4" t="inlineStr">
        <is>
          <t>не начат</t>
        </is>
      </c>
      <c r="I190" s="4" t="inlineStr">
        <is>
          <t>Spotlight / 8 класс / Module 2 · Food &amp; Shopping / Dependent prepositions</t>
        </is>
      </c>
    </row>
    <row r="191">
      <c r="A191" s="12" t="n">
        <v>8</v>
      </c>
      <c r="B191" s="4" t="inlineStr">
        <is>
          <t>Appendix 2 · Dependent Prepositions</t>
        </is>
      </c>
      <c r="C191" s="4" t="inlineStr"/>
      <c r="D191" s="5" t="inlineStr">
        <is>
          <t>Dependent prepositions</t>
        </is>
      </c>
      <c r="E191" s="12" t="inlineStr">
        <is>
          <t>10+</t>
        </is>
      </c>
      <c r="F191" s="4">
        <f>IFERROR(INDEX('Темы × классы'!$Q:$Q,MATCH(D191,'Темы × классы'!$D:$D,0)),"")</f>
        <v/>
      </c>
      <c r="G191" s="4">
        <f>IFERROR(INDEX('Темы × классы'!$R:$R,MATCH(D191,'Темы × классы'!$D:$D,0))&amp;"","")</f>
        <v/>
      </c>
      <c r="H191" s="4" t="inlineStr">
        <is>
          <t>не начат</t>
        </is>
      </c>
      <c r="I191" s="4" t="inlineStr">
        <is>
          <t>Spotlight / 8 класс / Appendix 2 · Dependent Prepositions / Dependent prepositions</t>
        </is>
      </c>
    </row>
    <row r="192">
      <c r="A192" s="12" t="n">
        <v>8</v>
      </c>
      <c r="B192" s="4" t="inlineStr">
        <is>
          <t>Module 3 · Great Minds</t>
        </is>
      </c>
      <c r="C192" s="4" t="inlineStr">
        <is>
          <t>3c</t>
        </is>
      </c>
      <c r="D192" s="5" t="inlineStr">
        <is>
          <t>Past Perfect</t>
        </is>
      </c>
      <c r="E192" s="12" t="inlineStr">
        <is>
          <t>10+</t>
        </is>
      </c>
      <c r="F192" s="4">
        <f>IFERROR(INDEX('Темы × классы'!$Q:$Q,MATCH(D192,'Темы × классы'!$D:$D,0)),"")</f>
        <v/>
      </c>
      <c r="G192" s="4">
        <f>IFERROR(INDEX('Темы × классы'!$R:$R,MATCH(D192,'Темы × классы'!$D:$D,0))&amp;"","")</f>
        <v/>
      </c>
      <c r="H192" s="4" t="inlineStr">
        <is>
          <t>не начат</t>
        </is>
      </c>
      <c r="I192" s="4" t="inlineStr">
        <is>
          <t>Spotlight / 8 класс / Module 3 · Great Minds / Past Perfect</t>
        </is>
      </c>
    </row>
    <row r="193">
      <c r="A193" s="12" t="n">
        <v>8</v>
      </c>
      <c r="B193" s="4" t="inlineStr">
        <is>
          <t>Module 3 · Great Minds</t>
        </is>
      </c>
      <c r="C193" s="4" t="inlineStr">
        <is>
          <t>3c</t>
        </is>
      </c>
      <c r="D193" s="5" t="inlineStr">
        <is>
          <t>Past Perfect Continuous</t>
        </is>
      </c>
      <c r="E193" s="12" t="inlineStr">
        <is>
          <t>10+</t>
        </is>
      </c>
      <c r="F193" s="4">
        <f>IFERROR(INDEX('Темы × классы'!$Q:$Q,MATCH(D193,'Темы × классы'!$D:$D,0)),"")</f>
        <v/>
      </c>
      <c r="G193" s="4">
        <f>IFERROR(INDEX('Темы × классы'!$R:$R,MATCH(D193,'Темы × классы'!$D:$D,0))&amp;"","")</f>
        <v/>
      </c>
      <c r="H193" s="4" t="inlineStr">
        <is>
          <t>не начат</t>
        </is>
      </c>
      <c r="I193" s="4" t="inlineStr">
        <is>
          <t>Spotlight / 8 класс / Module 3 · Great Minds / Past Perfect Continuous</t>
        </is>
      </c>
    </row>
    <row r="194">
      <c r="A194" s="12" t="n">
        <v>8</v>
      </c>
      <c r="B194" s="4" t="inlineStr">
        <is>
          <t>Module 3 · Great Minds</t>
        </is>
      </c>
      <c r="C194" s="4" t="inlineStr">
        <is>
          <t>3f</t>
        </is>
      </c>
      <c r="D194" s="5" t="inlineStr">
        <is>
          <t>Phrasal verbs: bring</t>
        </is>
      </c>
      <c r="E194" s="12" t="inlineStr">
        <is>
          <t>10+</t>
        </is>
      </c>
      <c r="F194" s="4">
        <f>IFERROR(INDEX('Темы × классы'!$Q:$Q,MATCH(D194,'Темы × классы'!$D:$D,0)),"")</f>
        <v/>
      </c>
      <c r="G194" s="4">
        <f>IFERROR(INDEX('Темы × классы'!$R:$R,MATCH(D194,'Темы × классы'!$D:$D,0))&amp;"","")</f>
        <v/>
      </c>
      <c r="H194" s="4" t="inlineStr">
        <is>
          <t>не начат</t>
        </is>
      </c>
      <c r="I194" s="4" t="inlineStr">
        <is>
          <t>Spotlight / 8 класс / Module 3 · Great Minds / Phrasal verbs: bring</t>
        </is>
      </c>
    </row>
    <row r="195">
      <c r="A195" s="12" t="n">
        <v>8</v>
      </c>
      <c r="B195" s="4" t="inlineStr">
        <is>
          <t>Module 3 · Great Minds</t>
        </is>
      </c>
      <c r="C195" s="4" t="inlineStr">
        <is>
          <t>3f</t>
        </is>
      </c>
      <c r="D195" s="5" t="inlineStr">
        <is>
          <t>Word formation: -ise, -ize</t>
        </is>
      </c>
      <c r="E195" s="12" t="inlineStr">
        <is>
          <t>10+</t>
        </is>
      </c>
      <c r="F195" s="4">
        <f>IFERROR(INDEX('Темы × классы'!$Q:$Q,MATCH(D195,'Темы × классы'!$D:$D,0)),"")</f>
        <v/>
      </c>
      <c r="G195" s="4">
        <f>IFERROR(INDEX('Темы × классы'!$R:$R,MATCH(D195,'Темы × классы'!$D:$D,0))&amp;"","")</f>
        <v/>
      </c>
      <c r="H195" s="4" t="inlineStr">
        <is>
          <t>не начат</t>
        </is>
      </c>
      <c r="I195" s="4" t="inlineStr">
        <is>
          <t>Spotlight / 8 класс / Module 3 · Great Minds / Word formation: -ise, -ize</t>
        </is>
      </c>
    </row>
    <row r="196">
      <c r="A196" s="12" t="n">
        <v>8</v>
      </c>
      <c r="B196" s="4" t="inlineStr">
        <is>
          <t>Module 3 · Great Minds</t>
        </is>
      </c>
      <c r="C196" s="4" t="inlineStr">
        <is>
          <t>3f</t>
        </is>
      </c>
      <c r="D196" s="5" t="inlineStr">
        <is>
          <t>Dependent prepositions</t>
        </is>
      </c>
      <c r="E196" s="12" t="inlineStr">
        <is>
          <t>10+</t>
        </is>
      </c>
      <c r="F196" s="4">
        <f>IFERROR(INDEX('Темы × классы'!$Q:$Q,MATCH(D196,'Темы × классы'!$D:$D,0)),"")</f>
        <v/>
      </c>
      <c r="G196" s="4">
        <f>IFERROR(INDEX('Темы × классы'!$R:$R,MATCH(D196,'Темы × классы'!$D:$D,0))&amp;"","")</f>
        <v/>
      </c>
      <c r="H196" s="4" t="inlineStr">
        <is>
          <t>не начат</t>
        </is>
      </c>
      <c r="I196" s="4" t="inlineStr">
        <is>
          <t>Spotlight / 8 класс / Module 3 · Great Minds / Dependent prepositions</t>
        </is>
      </c>
    </row>
    <row r="197">
      <c r="A197" s="12" t="n">
        <v>8</v>
      </c>
      <c r="B197" s="4" t="inlineStr">
        <is>
          <t>Appendix 3 · Idioms</t>
        </is>
      </c>
      <c r="C197" s="4" t="inlineStr"/>
      <c r="D197" s="5" t="inlineStr">
        <is>
          <t>Idioms &amp; collocations</t>
        </is>
      </c>
      <c r="E197" s="12" t="inlineStr">
        <is>
          <t>10+</t>
        </is>
      </c>
      <c r="F197" s="4">
        <f>IFERROR(INDEX('Темы × классы'!$Q:$Q,MATCH(D197,'Темы × классы'!$D:$D,0)),"")</f>
        <v/>
      </c>
      <c r="G197" s="4">
        <f>IFERROR(INDEX('Темы × классы'!$R:$R,MATCH(D197,'Темы × классы'!$D:$D,0))&amp;"","")</f>
        <v/>
      </c>
      <c r="H197" s="4" t="inlineStr">
        <is>
          <t>не начат</t>
        </is>
      </c>
      <c r="I197" s="4" t="inlineStr">
        <is>
          <t>Spotlight / 8 класс / Appendix 3 · Idioms / Idioms &amp; collocations</t>
        </is>
      </c>
    </row>
    <row r="198">
      <c r="A198" s="12" t="n">
        <v>8</v>
      </c>
      <c r="B198" s="4" t="inlineStr">
        <is>
          <t>Module 3 · Great Minds</t>
        </is>
      </c>
      <c r="C198" s="4" t="inlineStr">
        <is>
          <t>3f</t>
        </is>
      </c>
      <c r="D198" s="5" t="inlineStr">
        <is>
          <t>Words often confused</t>
        </is>
      </c>
      <c r="E198" s="12" t="inlineStr">
        <is>
          <t>10+</t>
        </is>
      </c>
      <c r="F198" s="4">
        <f>IFERROR(INDEX('Темы × классы'!$Q:$Q,MATCH(D198,'Темы × классы'!$D:$D,0)),"")</f>
        <v/>
      </c>
      <c r="G198" s="4">
        <f>IFERROR(INDEX('Темы × классы'!$R:$R,MATCH(D198,'Темы × классы'!$D:$D,0))&amp;"","")</f>
        <v/>
      </c>
      <c r="H198" s="4" t="inlineStr">
        <is>
          <t>не начат</t>
        </is>
      </c>
      <c r="I198" s="4" t="inlineStr">
        <is>
          <t>Spotlight / 8 класс / Module 3 · Great Minds / Words often confused</t>
        </is>
      </c>
    </row>
    <row r="199">
      <c r="A199" s="12" t="n">
        <v>8</v>
      </c>
      <c r="B199" s="4" t="inlineStr">
        <is>
          <t>Module 4 · Be Yourself</t>
        </is>
      </c>
      <c r="C199" s="4" t="inlineStr">
        <is>
          <t>4d</t>
        </is>
      </c>
      <c r="D199" s="5" t="inlineStr">
        <is>
          <t>Causative (have something done)</t>
        </is>
      </c>
      <c r="E199" s="12" t="inlineStr">
        <is>
          <t>10+</t>
        </is>
      </c>
      <c r="F199" s="4">
        <f>IFERROR(INDEX('Темы × классы'!$Q:$Q,MATCH(D199,'Темы × классы'!$D:$D,0)),"")</f>
        <v/>
      </c>
      <c r="G199" s="4">
        <f>IFERROR(INDEX('Темы × классы'!$R:$R,MATCH(D199,'Темы × классы'!$D:$D,0))&amp;"","")</f>
        <v/>
      </c>
      <c r="H199" s="4" t="inlineStr">
        <is>
          <t>не начат</t>
        </is>
      </c>
      <c r="I199" s="4" t="inlineStr">
        <is>
          <t>Spotlight / 8 класс / Module 4 · Be Yourself / Causative (have something done)</t>
        </is>
      </c>
    </row>
    <row r="200">
      <c r="A200" s="12" t="n">
        <v>8</v>
      </c>
      <c r="B200" s="4" t="inlineStr">
        <is>
          <t>Module 4 · Be Yourself</t>
        </is>
      </c>
      <c r="C200" s="4" t="inlineStr">
        <is>
          <t>4c</t>
        </is>
      </c>
      <c r="D200" s="5" t="inlineStr">
        <is>
          <t>Passive Voice</t>
        </is>
      </c>
      <c r="E200" s="12" t="inlineStr">
        <is>
          <t>10+</t>
        </is>
      </c>
      <c r="F200" s="4">
        <f>IFERROR(INDEX('Темы × классы'!$Q:$Q,MATCH(D200,'Темы × классы'!$D:$D,0)),"")</f>
        <v/>
      </c>
      <c r="G200" s="4">
        <f>IFERROR(INDEX('Темы × классы'!$R:$R,MATCH(D200,'Темы × классы'!$D:$D,0))&amp;"","")</f>
        <v/>
      </c>
      <c r="H200" s="4" t="inlineStr">
        <is>
          <t>не начат</t>
        </is>
      </c>
      <c r="I200" s="4" t="inlineStr">
        <is>
          <t>Spotlight / 8 класс / Module 4 · Be Yourself / Passive Voice</t>
        </is>
      </c>
    </row>
    <row r="201">
      <c r="A201" s="12" t="n">
        <v>8</v>
      </c>
      <c r="B201" s="4" t="inlineStr">
        <is>
          <t>Module 4 · Be Yourself</t>
        </is>
      </c>
      <c r="C201" s="4" t="inlineStr">
        <is>
          <t>4b</t>
        </is>
      </c>
      <c r="D201" s="5" t="inlineStr">
        <is>
          <t>too / enough</t>
        </is>
      </c>
      <c r="E201" s="12" t="inlineStr">
        <is>
          <t>10+</t>
        </is>
      </c>
      <c r="F201" s="4">
        <f>IFERROR(INDEX('Темы × классы'!$Q:$Q,MATCH(D201,'Темы × классы'!$D:$D,0)),"")</f>
        <v/>
      </c>
      <c r="G201" s="4">
        <f>IFERROR(INDEX('Темы × классы'!$R:$R,MATCH(D201,'Темы × классы'!$D:$D,0))&amp;"","")</f>
        <v/>
      </c>
      <c r="H201" s="4" t="inlineStr">
        <is>
          <t>не начат</t>
        </is>
      </c>
      <c r="I201" s="4" t="inlineStr">
        <is>
          <t>Spotlight / 8 класс / Module 4 · Be Yourself / too / enough</t>
        </is>
      </c>
    </row>
    <row r="202">
      <c r="A202" s="12" t="n">
        <v>8</v>
      </c>
      <c r="B202" s="4" t="inlineStr">
        <is>
          <t>Module 4 · Be Yourself</t>
        </is>
      </c>
      <c r="C202" s="4" t="inlineStr">
        <is>
          <t>4f</t>
        </is>
      </c>
      <c r="D202" s="5" t="inlineStr">
        <is>
          <t>Phrasal verbs: put</t>
        </is>
      </c>
      <c r="E202" s="12" t="inlineStr">
        <is>
          <t>10+</t>
        </is>
      </c>
      <c r="F202" s="4">
        <f>IFERROR(INDEX('Темы × классы'!$Q:$Q,MATCH(D202,'Темы × классы'!$D:$D,0)),"")</f>
        <v/>
      </c>
      <c r="G202" s="4">
        <f>IFERROR(INDEX('Темы × классы'!$R:$R,MATCH(D202,'Темы × классы'!$D:$D,0))&amp;"","")</f>
        <v/>
      </c>
      <c r="H202" s="4" t="inlineStr">
        <is>
          <t>не начат</t>
        </is>
      </c>
      <c r="I202" s="4" t="inlineStr">
        <is>
          <t>Spotlight / 8 класс / Module 4 · Be Yourself / Phrasal verbs: put</t>
        </is>
      </c>
    </row>
    <row r="203">
      <c r="A203" s="12" t="n">
        <v>8</v>
      </c>
      <c r="B203" s="4" t="inlineStr">
        <is>
          <t>Module 4 · Be Yourself</t>
        </is>
      </c>
      <c r="C203" s="4" t="inlineStr">
        <is>
          <t>4f</t>
        </is>
      </c>
      <c r="D203" s="5" t="inlineStr">
        <is>
          <t>Word formation: il-, im-, in-, ir-</t>
        </is>
      </c>
      <c r="E203" s="12" t="inlineStr">
        <is>
          <t>10+</t>
        </is>
      </c>
      <c r="F203" s="4">
        <f>IFERROR(INDEX('Темы × классы'!$Q:$Q,MATCH(D203,'Темы × классы'!$D:$D,0)),"")</f>
        <v/>
      </c>
      <c r="G203" s="4">
        <f>IFERROR(INDEX('Темы × классы'!$R:$R,MATCH(D203,'Темы × классы'!$D:$D,0))&amp;"","")</f>
        <v/>
      </c>
      <c r="H203" s="4" t="inlineStr">
        <is>
          <t>не начат</t>
        </is>
      </c>
      <c r="I203" s="4" t="inlineStr">
        <is>
          <t>Spotlight / 8 класс / Module 4 · Be Yourself / Word formation: il-, im-, in-, ir-</t>
        </is>
      </c>
    </row>
    <row r="204">
      <c r="A204" s="12" t="n">
        <v>8</v>
      </c>
      <c r="B204" s="4" t="inlineStr">
        <is>
          <t>Module 4 · Be Yourself</t>
        </is>
      </c>
      <c r="C204" s="4" t="inlineStr">
        <is>
          <t>4f</t>
        </is>
      </c>
      <c r="D204" s="5" t="inlineStr">
        <is>
          <t>Dependent prepositions</t>
        </is>
      </c>
      <c r="E204" s="12" t="inlineStr">
        <is>
          <t>10+</t>
        </is>
      </c>
      <c r="F204" s="4">
        <f>IFERROR(INDEX('Темы × классы'!$Q:$Q,MATCH(D204,'Темы × классы'!$D:$D,0)),"")</f>
        <v/>
      </c>
      <c r="G204" s="4">
        <f>IFERROR(INDEX('Темы × классы'!$R:$R,MATCH(D204,'Темы × классы'!$D:$D,0))&amp;"","")</f>
        <v/>
      </c>
      <c r="H204" s="4" t="inlineStr">
        <is>
          <t>не начат</t>
        </is>
      </c>
      <c r="I204" s="4" t="inlineStr">
        <is>
          <t>Spotlight / 8 класс / Module 4 · Be Yourself / Dependent prepositions</t>
        </is>
      </c>
    </row>
    <row r="205">
      <c r="A205" s="12" t="n">
        <v>8</v>
      </c>
      <c r="B205" s="4" t="inlineStr">
        <is>
          <t>Module 4 · Be Yourself</t>
        </is>
      </c>
      <c r="C205" s="4" t="inlineStr">
        <is>
          <t>4f</t>
        </is>
      </c>
      <c r="D205" s="5" t="inlineStr">
        <is>
          <t>Words often confused</t>
        </is>
      </c>
      <c r="E205" s="12" t="inlineStr">
        <is>
          <t>10+</t>
        </is>
      </c>
      <c r="F205" s="4">
        <f>IFERROR(INDEX('Темы × классы'!$Q:$Q,MATCH(D205,'Темы × классы'!$D:$D,0)),"")</f>
        <v/>
      </c>
      <c r="G205" s="4">
        <f>IFERROR(INDEX('Темы × классы'!$R:$R,MATCH(D205,'Темы × классы'!$D:$D,0))&amp;"","")</f>
        <v/>
      </c>
      <c r="H205" s="4" t="inlineStr">
        <is>
          <t>не начат</t>
        </is>
      </c>
      <c r="I205" s="4" t="inlineStr">
        <is>
          <t>Spotlight / 8 класс / Module 4 · Be Yourself / Words often confused</t>
        </is>
      </c>
    </row>
    <row r="206">
      <c r="A206" s="12" t="n">
        <v>8</v>
      </c>
      <c r="B206" s="4" t="inlineStr">
        <is>
          <t>Module 5 · Global Issues</t>
        </is>
      </c>
      <c r="C206" s="4" t="inlineStr">
        <is>
          <t>5c</t>
        </is>
      </c>
      <c r="D206" s="5" t="inlineStr">
        <is>
          <t>Infinitive / -ing form</t>
        </is>
      </c>
      <c r="E206" s="12" t="inlineStr">
        <is>
          <t>10+</t>
        </is>
      </c>
      <c r="F206" s="4">
        <f>IFERROR(INDEX('Темы × классы'!$Q:$Q,MATCH(D206,'Темы × классы'!$D:$D,0)),"")</f>
        <v/>
      </c>
      <c r="G206" s="4">
        <f>IFERROR(INDEX('Темы × классы'!$R:$R,MATCH(D206,'Темы × классы'!$D:$D,0))&amp;"","")</f>
        <v/>
      </c>
      <c r="H206" s="4" t="inlineStr">
        <is>
          <t>не начат</t>
        </is>
      </c>
      <c r="I206" s="4" t="inlineStr">
        <is>
          <t>Spotlight / 8 класс / Module 5 · Global Issues / Infinitive / -ing form</t>
        </is>
      </c>
    </row>
    <row r="207">
      <c r="A207" s="12" t="n">
        <v>8</v>
      </c>
      <c r="B207" s="4" t="inlineStr">
        <is>
          <t>Module 5 · Global Issues</t>
        </is>
      </c>
      <c r="C207" s="4" t="inlineStr">
        <is>
          <t>5c</t>
        </is>
      </c>
      <c r="D207" s="5" t="inlineStr">
        <is>
          <t>be/get used to</t>
        </is>
      </c>
      <c r="E207" s="12" t="inlineStr">
        <is>
          <t>10+</t>
        </is>
      </c>
      <c r="F207" s="4">
        <f>IFERROR(INDEX('Темы × классы'!$Q:$Q,MATCH(D207,'Темы × классы'!$D:$D,0)),"")</f>
        <v/>
      </c>
      <c r="G207" s="4">
        <f>IFERROR(INDEX('Темы × классы'!$R:$R,MATCH(D207,'Темы × классы'!$D:$D,0))&amp;"","")</f>
        <v/>
      </c>
      <c r="H207" s="4" t="inlineStr">
        <is>
          <t>не начат</t>
        </is>
      </c>
      <c r="I207" s="4" t="inlineStr">
        <is>
          <t>Spotlight / 8 класс / Module 5 · Global Issues / be/get used to</t>
        </is>
      </c>
    </row>
    <row r="208">
      <c r="A208" s="12" t="n">
        <v>8</v>
      </c>
      <c r="B208" s="4" t="inlineStr">
        <is>
          <t>Module 5 · Global Issues</t>
        </is>
      </c>
      <c r="C208" s="4" t="inlineStr">
        <is>
          <t>5f</t>
        </is>
      </c>
      <c r="D208" s="5" t="inlineStr">
        <is>
          <t>Phrasal verbs: call</t>
        </is>
      </c>
      <c r="E208" s="12" t="inlineStr">
        <is>
          <t>10+</t>
        </is>
      </c>
      <c r="F208" s="4">
        <f>IFERROR(INDEX('Темы × классы'!$Q:$Q,MATCH(D208,'Темы × классы'!$D:$D,0)),"")</f>
        <v/>
      </c>
      <c r="G208" s="4">
        <f>IFERROR(INDEX('Темы × классы'!$R:$R,MATCH(D208,'Темы × классы'!$D:$D,0))&amp;"","")</f>
        <v/>
      </c>
      <c r="H208" s="4" t="inlineStr">
        <is>
          <t>не начат</t>
        </is>
      </c>
      <c r="I208" s="4" t="inlineStr">
        <is>
          <t>Spotlight / 8 класс / Module 5 · Global Issues / Phrasal verbs: call</t>
        </is>
      </c>
    </row>
    <row r="209">
      <c r="A209" s="12" t="n">
        <v>8</v>
      </c>
      <c r="B209" s="4" t="inlineStr">
        <is>
          <t>Module 5 · Global Issues</t>
        </is>
      </c>
      <c r="C209" s="4" t="inlineStr">
        <is>
          <t>5f</t>
        </is>
      </c>
      <c r="D209" s="5" t="inlineStr">
        <is>
          <t>Word formation: -ion, -tion, -ance</t>
        </is>
      </c>
      <c r="E209" s="12" t="inlineStr">
        <is>
          <t>10+</t>
        </is>
      </c>
      <c r="F209" s="4">
        <f>IFERROR(INDEX('Темы × классы'!$Q:$Q,MATCH(D209,'Темы × классы'!$D:$D,0)),"")</f>
        <v/>
      </c>
      <c r="G209" s="4">
        <f>IFERROR(INDEX('Темы × классы'!$R:$R,MATCH(D209,'Темы × классы'!$D:$D,0))&amp;"","")</f>
        <v/>
      </c>
      <c r="H209" s="4" t="inlineStr">
        <is>
          <t>не начат</t>
        </is>
      </c>
      <c r="I209" s="4" t="inlineStr">
        <is>
          <t>Spotlight / 8 класс / Module 5 · Global Issues / Word formation: -ion, -tion, -ance</t>
        </is>
      </c>
    </row>
    <row r="210">
      <c r="A210" s="12" t="n">
        <v>8</v>
      </c>
      <c r="B210" s="4" t="inlineStr">
        <is>
          <t>Module 5 · Global Issues</t>
        </is>
      </c>
      <c r="C210" s="4" t="inlineStr">
        <is>
          <t>5f</t>
        </is>
      </c>
      <c r="D210" s="5" t="inlineStr">
        <is>
          <t>Words often confused</t>
        </is>
      </c>
      <c r="E210" s="12" t="inlineStr">
        <is>
          <t>10+</t>
        </is>
      </c>
      <c r="F210" s="4">
        <f>IFERROR(INDEX('Темы × классы'!$Q:$Q,MATCH(D210,'Темы × классы'!$D:$D,0)),"")</f>
        <v/>
      </c>
      <c r="G210" s="4">
        <f>IFERROR(INDEX('Темы × классы'!$R:$R,MATCH(D210,'Темы × классы'!$D:$D,0))&amp;"","")</f>
        <v/>
      </c>
      <c r="H210" s="4" t="inlineStr">
        <is>
          <t>не начат</t>
        </is>
      </c>
      <c r="I210" s="4" t="inlineStr">
        <is>
          <t>Spotlight / 8 класс / Module 5 · Global Issues / Words often confused</t>
        </is>
      </c>
    </row>
    <row r="211">
      <c r="A211" s="12" t="n">
        <v>8</v>
      </c>
      <c r="B211" s="4" t="inlineStr">
        <is>
          <t>Module 6 · Culture Exchanges</t>
        </is>
      </c>
      <c r="C211" s="4" t="inlineStr">
        <is>
          <t>6c</t>
        </is>
      </c>
      <c r="D211" s="5" t="inlineStr">
        <is>
          <t>Reported Speech</t>
        </is>
      </c>
      <c r="E211" s="12" t="inlineStr">
        <is>
          <t>10+</t>
        </is>
      </c>
      <c r="F211" s="4">
        <f>IFERROR(INDEX('Темы × классы'!$Q:$Q,MATCH(D211,'Темы × классы'!$D:$D,0)),"")</f>
        <v/>
      </c>
      <c r="G211" s="4">
        <f>IFERROR(INDEX('Темы × классы'!$R:$R,MATCH(D211,'Темы × классы'!$D:$D,0))&amp;"","")</f>
        <v/>
      </c>
      <c r="H211" s="4" t="inlineStr">
        <is>
          <t>не начат</t>
        </is>
      </c>
      <c r="I211" s="4" t="inlineStr">
        <is>
          <t>Spotlight / 8 класс / Module 6 · Culture Exchanges / Reported Speech</t>
        </is>
      </c>
    </row>
    <row r="212">
      <c r="A212" s="12" t="n">
        <v>8</v>
      </c>
      <c r="B212" s="4" t="inlineStr">
        <is>
          <t>Module 6 · Culture Exchanges</t>
        </is>
      </c>
      <c r="C212" s="4" t="inlineStr">
        <is>
          <t>6c</t>
        </is>
      </c>
      <c r="D212" s="5" t="inlineStr">
        <is>
          <t>Reported Speech: modal verbs</t>
        </is>
      </c>
      <c r="E212" s="12" t="inlineStr">
        <is>
          <t>10+</t>
        </is>
      </c>
      <c r="F212" s="4">
        <f>IFERROR(INDEX('Темы × классы'!$Q:$Q,MATCH(D212,'Темы × классы'!$D:$D,0)),"")</f>
        <v/>
      </c>
      <c r="G212" s="4">
        <f>IFERROR(INDEX('Темы × классы'!$R:$R,MATCH(D212,'Темы × классы'!$D:$D,0))&amp;"","")</f>
        <v/>
      </c>
      <c r="H212" s="4" t="inlineStr">
        <is>
          <t>не начат</t>
        </is>
      </c>
      <c r="I212" s="4" t="inlineStr">
        <is>
          <t>Spotlight / 8 класс / Module 6 · Culture Exchanges / Reported Speech: modal verbs</t>
        </is>
      </c>
    </row>
    <row r="213">
      <c r="A213" s="12" t="n">
        <v>8</v>
      </c>
      <c r="B213" s="4" t="inlineStr">
        <is>
          <t>Module 6 · Culture Exchanges</t>
        </is>
      </c>
      <c r="C213" s="4" t="inlineStr">
        <is>
          <t>6c</t>
        </is>
      </c>
      <c r="D213" s="5" t="inlineStr">
        <is>
          <t>Reported commands/requests</t>
        </is>
      </c>
      <c r="E213" s="12" t="inlineStr">
        <is>
          <t>10+</t>
        </is>
      </c>
      <c r="F213" s="4">
        <f>IFERROR(INDEX('Темы × классы'!$Q:$Q,MATCH(D213,'Темы × классы'!$D:$D,0)),"")</f>
        <v/>
      </c>
      <c r="G213" s="4">
        <f>IFERROR(INDEX('Темы × классы'!$R:$R,MATCH(D213,'Темы × классы'!$D:$D,0))&amp;"","")</f>
        <v/>
      </c>
      <c r="H213" s="4" t="inlineStr">
        <is>
          <t>не начат</t>
        </is>
      </c>
      <c r="I213" s="4" t="inlineStr">
        <is>
          <t>Spotlight / 8 класс / Module 6 · Culture Exchanges / Reported commands/requests</t>
        </is>
      </c>
    </row>
    <row r="214">
      <c r="A214" s="12" t="n">
        <v>8</v>
      </c>
      <c r="B214" s="4" t="inlineStr">
        <is>
          <t>Module 6 · Culture Exchanges</t>
        </is>
      </c>
      <c r="C214" s="4" t="inlineStr">
        <is>
          <t>6c</t>
        </is>
      </c>
      <c r="D214" s="5" t="inlineStr">
        <is>
          <t>Reported questions</t>
        </is>
      </c>
      <c r="E214" s="12" t="inlineStr">
        <is>
          <t>10+</t>
        </is>
      </c>
      <c r="F214" s="4">
        <f>IFERROR(INDEX('Темы × классы'!$Q:$Q,MATCH(D214,'Темы × классы'!$D:$D,0)),"")</f>
        <v/>
      </c>
      <c r="G214" s="4">
        <f>IFERROR(INDEX('Темы × классы'!$R:$R,MATCH(D214,'Темы × классы'!$D:$D,0))&amp;"","")</f>
        <v/>
      </c>
      <c r="H214" s="4" t="inlineStr">
        <is>
          <t>не начат</t>
        </is>
      </c>
      <c r="I214" s="4" t="inlineStr">
        <is>
          <t>Spotlight / 8 класс / Module 6 · Culture Exchanges / Reported questions</t>
        </is>
      </c>
    </row>
    <row r="215">
      <c r="A215" s="12" t="n">
        <v>8</v>
      </c>
      <c r="B215" s="4" t="inlineStr">
        <is>
          <t>Module 6 · Culture Exchanges</t>
        </is>
      </c>
      <c r="C215" s="4" t="inlineStr">
        <is>
          <t>6c</t>
        </is>
      </c>
      <c r="D215" s="5" t="inlineStr">
        <is>
          <t>Indirect questions</t>
        </is>
      </c>
      <c r="E215" s="12" t="inlineStr">
        <is>
          <t>10+</t>
        </is>
      </c>
      <c r="F215" s="4">
        <f>IFERROR(INDEX('Темы × классы'!$Q:$Q,MATCH(D215,'Темы × классы'!$D:$D,0)),"")</f>
        <v/>
      </c>
      <c r="G215" s="4">
        <f>IFERROR(INDEX('Темы × классы'!$R:$R,MATCH(D215,'Темы × классы'!$D:$D,0))&amp;"","")</f>
        <v/>
      </c>
      <c r="H215" s="4" t="inlineStr">
        <is>
          <t>не начат</t>
        </is>
      </c>
      <c r="I215" s="4" t="inlineStr">
        <is>
          <t>Spotlight / 8 класс / Module 6 · Culture Exchanges / Indirect questions</t>
        </is>
      </c>
    </row>
    <row r="216">
      <c r="A216" s="12" t="n">
        <v>8</v>
      </c>
      <c r="B216" s="4" t="inlineStr">
        <is>
          <t>Module 6 · Culture Exchanges</t>
        </is>
      </c>
      <c r="C216" s="4" t="inlineStr">
        <is>
          <t>6f</t>
        </is>
      </c>
      <c r="D216" s="5" t="inlineStr">
        <is>
          <t>Phrasal verbs: set</t>
        </is>
      </c>
      <c r="E216" s="12" t="inlineStr">
        <is>
          <t>10+</t>
        </is>
      </c>
      <c r="F216" s="4">
        <f>IFERROR(INDEX('Темы × классы'!$Q:$Q,MATCH(D216,'Темы × классы'!$D:$D,0)),"")</f>
        <v/>
      </c>
      <c r="G216" s="4">
        <f>IFERROR(INDEX('Темы × классы'!$R:$R,MATCH(D216,'Темы × классы'!$D:$D,0))&amp;"","")</f>
        <v/>
      </c>
      <c r="H216" s="4" t="inlineStr">
        <is>
          <t>не начат</t>
        </is>
      </c>
      <c r="I216" s="4" t="inlineStr">
        <is>
          <t>Spotlight / 8 класс / Module 6 · Culture Exchanges / Phrasal verbs: set</t>
        </is>
      </c>
    </row>
    <row r="217">
      <c r="A217" s="12" t="n">
        <v>8</v>
      </c>
      <c r="B217" s="4" t="inlineStr">
        <is>
          <t>Module 6 · Culture Exchanges</t>
        </is>
      </c>
      <c r="C217" s="4" t="inlineStr">
        <is>
          <t>6f</t>
        </is>
      </c>
      <c r="D217" s="5" t="inlineStr">
        <is>
          <t>Word formation: -ness, -ment</t>
        </is>
      </c>
      <c r="E217" s="12" t="inlineStr">
        <is>
          <t>10+</t>
        </is>
      </c>
      <c r="F217" s="4">
        <f>IFERROR(INDEX('Темы × классы'!$Q:$Q,MATCH(D217,'Темы × классы'!$D:$D,0)),"")</f>
        <v/>
      </c>
      <c r="G217" s="4">
        <f>IFERROR(INDEX('Темы × классы'!$R:$R,MATCH(D217,'Темы × классы'!$D:$D,0))&amp;"","")</f>
        <v/>
      </c>
      <c r="H217" s="4" t="inlineStr">
        <is>
          <t>не начат</t>
        </is>
      </c>
      <c r="I217" s="4" t="inlineStr">
        <is>
          <t>Spotlight / 8 класс / Module 6 · Culture Exchanges / Word formation: -ness, -ment</t>
        </is>
      </c>
    </row>
    <row r="218">
      <c r="A218" s="12" t="n">
        <v>8</v>
      </c>
      <c r="B218" s="4" t="inlineStr">
        <is>
          <t>Module 6 · Culture Exchanges</t>
        </is>
      </c>
      <c r="C218" s="4" t="inlineStr">
        <is>
          <t>6f</t>
        </is>
      </c>
      <c r="D218" s="5" t="inlineStr">
        <is>
          <t>Dependent prepositions</t>
        </is>
      </c>
      <c r="E218" s="12" t="inlineStr">
        <is>
          <t>10+</t>
        </is>
      </c>
      <c r="F218" s="4">
        <f>IFERROR(INDEX('Темы × классы'!$Q:$Q,MATCH(D218,'Темы × классы'!$D:$D,0)),"")</f>
        <v/>
      </c>
      <c r="G218" s="4">
        <f>IFERROR(INDEX('Темы × классы'!$R:$R,MATCH(D218,'Темы × классы'!$D:$D,0))&amp;"","")</f>
        <v/>
      </c>
      <c r="H218" s="4" t="inlineStr">
        <is>
          <t>не начат</t>
        </is>
      </c>
      <c r="I218" s="4" t="inlineStr">
        <is>
          <t>Spotlight / 8 класс / Module 6 · Culture Exchanges / Dependent prepositions</t>
        </is>
      </c>
    </row>
    <row r="219">
      <c r="A219" s="12" t="n">
        <v>8</v>
      </c>
      <c r="B219" s="4" t="inlineStr">
        <is>
          <t>Module 6 · Culture Exchanges</t>
        </is>
      </c>
      <c r="C219" s="4" t="inlineStr">
        <is>
          <t>6f</t>
        </is>
      </c>
      <c r="D219" s="5" t="inlineStr">
        <is>
          <t>Words often confused</t>
        </is>
      </c>
      <c r="E219" s="12" t="inlineStr">
        <is>
          <t>10+</t>
        </is>
      </c>
      <c r="F219" s="4">
        <f>IFERROR(INDEX('Темы × классы'!$Q:$Q,MATCH(D219,'Темы × классы'!$D:$D,0)),"")</f>
        <v/>
      </c>
      <c r="G219" s="4">
        <f>IFERROR(INDEX('Темы × классы'!$R:$R,MATCH(D219,'Темы × классы'!$D:$D,0))&amp;"","")</f>
        <v/>
      </c>
      <c r="H219" s="4" t="inlineStr">
        <is>
          <t>не начат</t>
        </is>
      </c>
      <c r="I219" s="4" t="inlineStr">
        <is>
          <t>Spotlight / 8 класс / Module 6 · Culture Exchanges / Words often confused</t>
        </is>
      </c>
    </row>
    <row r="220">
      <c r="A220" s="12" t="n">
        <v>8</v>
      </c>
      <c r="B220" s="4" t="inlineStr">
        <is>
          <t>Module 7 · Education</t>
        </is>
      </c>
      <c r="C220" s="4" t="inlineStr">
        <is>
          <t>7c</t>
        </is>
      </c>
      <c r="D220" s="5" t="inlineStr">
        <is>
          <t>have to</t>
        </is>
      </c>
      <c r="E220" s="12" t="inlineStr">
        <is>
          <t>10+</t>
        </is>
      </c>
      <c r="F220" s="4">
        <f>IFERROR(INDEX('Темы × классы'!$Q:$Q,MATCH(D220,'Темы × классы'!$D:$D,0)),"")</f>
        <v/>
      </c>
      <c r="G220" s="4">
        <f>IFERROR(INDEX('Темы × классы'!$R:$R,MATCH(D220,'Темы × классы'!$D:$D,0))&amp;"","")</f>
        <v/>
      </c>
      <c r="H220" s="4" t="inlineStr">
        <is>
          <t>не начат</t>
        </is>
      </c>
      <c r="I220" s="4" t="inlineStr">
        <is>
          <t>Spotlight / 8 класс / Module 7 · Education / have to</t>
        </is>
      </c>
    </row>
    <row r="221">
      <c r="A221" s="12" t="n">
        <v>8</v>
      </c>
      <c r="B221" s="4" t="inlineStr">
        <is>
          <t>Module 7 · Education</t>
        </is>
      </c>
      <c r="C221" s="4" t="inlineStr">
        <is>
          <t>7c</t>
        </is>
      </c>
      <c r="D221" s="5" t="inlineStr">
        <is>
          <t>may/might</t>
        </is>
      </c>
      <c r="E221" s="12" t="inlineStr">
        <is>
          <t>10+</t>
        </is>
      </c>
      <c r="F221" s="4">
        <f>IFERROR(INDEX('Темы × классы'!$Q:$Q,MATCH(D221,'Темы × классы'!$D:$D,0)),"")</f>
        <v/>
      </c>
      <c r="G221" s="4">
        <f>IFERROR(INDEX('Темы × классы'!$R:$R,MATCH(D221,'Темы × классы'!$D:$D,0))&amp;"","")</f>
        <v/>
      </c>
      <c r="H221" s="4" t="inlineStr">
        <is>
          <t>не начат</t>
        </is>
      </c>
      <c r="I221" s="4" t="inlineStr">
        <is>
          <t>Spotlight / 8 класс / Module 7 · Education / may/might</t>
        </is>
      </c>
    </row>
    <row r="222">
      <c r="A222" s="12" t="n">
        <v>8</v>
      </c>
      <c r="B222" s="4" t="inlineStr">
        <is>
          <t>Module 7 · Education</t>
        </is>
      </c>
      <c r="C222" s="4" t="inlineStr">
        <is>
          <t>7c</t>
        </is>
      </c>
      <c r="D222" s="5" t="inlineStr">
        <is>
          <t>must/mustn't</t>
        </is>
      </c>
      <c r="E222" s="12" t="inlineStr">
        <is>
          <t>10+</t>
        </is>
      </c>
      <c r="F222" s="4">
        <f>IFERROR(INDEX('Темы × классы'!$Q:$Q,MATCH(D222,'Темы × классы'!$D:$D,0)),"")</f>
        <v/>
      </c>
      <c r="G222" s="4">
        <f>IFERROR(INDEX('Темы × классы'!$R:$R,MATCH(D222,'Темы × классы'!$D:$D,0))&amp;"","")</f>
        <v/>
      </c>
      <c r="H222" s="4" t="inlineStr">
        <is>
          <t>не начат</t>
        </is>
      </c>
      <c r="I222" s="4" t="inlineStr">
        <is>
          <t>Spotlight / 8 класс / Module 7 · Education / must/mustn't</t>
        </is>
      </c>
    </row>
    <row r="223">
      <c r="A223" s="12" t="n">
        <v>8</v>
      </c>
      <c r="B223" s="4" t="inlineStr">
        <is>
          <t>Module 7 · Education</t>
        </is>
      </c>
      <c r="C223" s="4" t="inlineStr">
        <is>
          <t>7c</t>
        </is>
      </c>
      <c r="D223" s="5" t="inlineStr">
        <is>
          <t>can (permission/request)</t>
        </is>
      </c>
      <c r="E223" s="12" t="inlineStr">
        <is>
          <t>10+</t>
        </is>
      </c>
      <c r="F223" s="4">
        <f>IFERROR(INDEX('Темы × классы'!$Q:$Q,MATCH(D223,'Темы × классы'!$D:$D,0)),"")</f>
        <v/>
      </c>
      <c r="G223" s="4">
        <f>IFERROR(INDEX('Темы × классы'!$R:$R,MATCH(D223,'Темы × классы'!$D:$D,0))&amp;"","")</f>
        <v/>
      </c>
      <c r="H223" s="4" t="inlineStr">
        <is>
          <t>не начат</t>
        </is>
      </c>
      <c r="I223" s="4" t="inlineStr">
        <is>
          <t>Spotlight / 8 класс / Module 7 · Education / can (permission/request)</t>
        </is>
      </c>
    </row>
    <row r="224">
      <c r="A224" s="12" t="n">
        <v>8</v>
      </c>
      <c r="B224" s="4" t="inlineStr">
        <is>
          <t>Module 7 · Education</t>
        </is>
      </c>
      <c r="C224" s="4" t="inlineStr">
        <is>
          <t>7c</t>
        </is>
      </c>
      <c r="D224" s="5" t="inlineStr">
        <is>
          <t>need/needn't</t>
        </is>
      </c>
      <c r="E224" s="12" t="inlineStr">
        <is>
          <t>10+</t>
        </is>
      </c>
      <c r="F224" s="4">
        <f>IFERROR(INDEX('Темы × классы'!$Q:$Q,MATCH(D224,'Темы × классы'!$D:$D,0)),"")</f>
        <v/>
      </c>
      <c r="G224" s="4">
        <f>IFERROR(INDEX('Темы × классы'!$R:$R,MATCH(D224,'Темы × классы'!$D:$D,0))&amp;"","")</f>
        <v/>
      </c>
      <c r="H224" s="4" t="inlineStr">
        <is>
          <t>не начат</t>
        </is>
      </c>
      <c r="I224" s="4" t="inlineStr">
        <is>
          <t>Spotlight / 8 класс / Module 7 · Education / need/needn't</t>
        </is>
      </c>
    </row>
    <row r="225">
      <c r="A225" s="12" t="n">
        <v>8</v>
      </c>
      <c r="B225" s="4" t="inlineStr">
        <is>
          <t>Module 7 · Education</t>
        </is>
      </c>
      <c r="C225" s="4" t="inlineStr">
        <is>
          <t>7c</t>
        </is>
      </c>
      <c r="D225" s="5" t="inlineStr">
        <is>
          <t>should/shouldn't</t>
        </is>
      </c>
      <c r="E225" s="12" t="inlineStr">
        <is>
          <t>10+</t>
        </is>
      </c>
      <c r="F225" s="4">
        <f>IFERROR(INDEX('Темы × классы'!$Q:$Q,MATCH(D225,'Темы × классы'!$D:$D,0)),"")</f>
        <v/>
      </c>
      <c r="G225" s="4">
        <f>IFERROR(INDEX('Темы × классы'!$R:$R,MATCH(D225,'Темы × классы'!$D:$D,0))&amp;"","")</f>
        <v/>
      </c>
      <c r="H225" s="4" t="inlineStr">
        <is>
          <t>не начат</t>
        </is>
      </c>
      <c r="I225" s="4" t="inlineStr">
        <is>
          <t>Spotlight / 8 класс / Module 7 · Education / should/shouldn't</t>
        </is>
      </c>
    </row>
    <row r="226">
      <c r="A226" s="12" t="n">
        <v>8</v>
      </c>
      <c r="B226" s="4" t="inlineStr">
        <is>
          <t>Module 7 · Education</t>
        </is>
      </c>
      <c r="C226" s="4" t="inlineStr">
        <is>
          <t>7c</t>
        </is>
      </c>
      <c r="D226" s="5" t="inlineStr">
        <is>
          <t>Modal verbs (deduction)</t>
        </is>
      </c>
      <c r="E226" s="12" t="inlineStr">
        <is>
          <t>10+</t>
        </is>
      </c>
      <c r="F226" s="4">
        <f>IFERROR(INDEX('Темы × классы'!$Q:$Q,MATCH(D226,'Темы × классы'!$D:$D,0)),"")</f>
        <v/>
      </c>
      <c r="G226" s="4">
        <f>IFERROR(INDEX('Темы × классы'!$R:$R,MATCH(D226,'Темы × классы'!$D:$D,0))&amp;"","")</f>
        <v/>
      </c>
      <c r="H226" s="4" t="inlineStr">
        <is>
          <t>не начат</t>
        </is>
      </c>
      <c r="I226" s="4" t="inlineStr">
        <is>
          <t>Spotlight / 8 класс / Module 7 · Education / Modal verbs (deduction)</t>
        </is>
      </c>
    </row>
    <row r="227">
      <c r="A227" s="12" t="n">
        <v>8</v>
      </c>
      <c r="B227" s="4" t="inlineStr">
        <is>
          <t>Module 7 · Education</t>
        </is>
      </c>
      <c r="C227" s="4" t="inlineStr">
        <is>
          <t>7c</t>
        </is>
      </c>
      <c r="D227" s="5" t="inlineStr">
        <is>
          <t>Modal verbs (functions)</t>
        </is>
      </c>
      <c r="E227" s="12" t="inlineStr">
        <is>
          <t>10+</t>
        </is>
      </c>
      <c r="F227" s="4">
        <f>IFERROR(INDEX('Темы × классы'!$Q:$Q,MATCH(D227,'Темы × классы'!$D:$D,0)),"")</f>
        <v/>
      </c>
      <c r="G227" s="4">
        <f>IFERROR(INDEX('Темы × классы'!$R:$R,MATCH(D227,'Темы × классы'!$D:$D,0))&amp;"","")</f>
        <v/>
      </c>
      <c r="H227" s="4" t="inlineStr">
        <is>
          <t>не начат</t>
        </is>
      </c>
      <c r="I227" s="4" t="inlineStr">
        <is>
          <t>Spotlight / 8 класс / Module 7 · Education / Modal verbs (functions)</t>
        </is>
      </c>
    </row>
    <row r="228">
      <c r="A228" s="12" t="n">
        <v>8</v>
      </c>
      <c r="B228" s="4" t="inlineStr">
        <is>
          <t>Module 7 · Education</t>
        </is>
      </c>
      <c r="C228" s="4" t="inlineStr">
        <is>
          <t>7c</t>
        </is>
      </c>
      <c r="D228" s="5" t="inlineStr">
        <is>
          <t>can/could (ability past)</t>
        </is>
      </c>
      <c r="E228" s="12" t="inlineStr">
        <is>
          <t>10+</t>
        </is>
      </c>
      <c r="F228" s="4">
        <f>IFERROR(INDEX('Темы × классы'!$Q:$Q,MATCH(D228,'Темы × классы'!$D:$D,0)),"")</f>
        <v/>
      </c>
      <c r="G228" s="4">
        <f>IFERROR(INDEX('Темы × классы'!$R:$R,MATCH(D228,'Темы × классы'!$D:$D,0))&amp;"","")</f>
        <v/>
      </c>
      <c r="H228" s="4" t="inlineStr">
        <is>
          <t>не начат</t>
        </is>
      </c>
      <c r="I228" s="4" t="inlineStr">
        <is>
          <t>Spotlight / 8 класс / Module 7 · Education / can/could (ability past)</t>
        </is>
      </c>
    </row>
    <row r="229">
      <c r="A229" s="12" t="n">
        <v>8</v>
      </c>
      <c r="B229" s="4" t="inlineStr">
        <is>
          <t>Module 7 · Education</t>
        </is>
      </c>
      <c r="C229" s="4" t="inlineStr">
        <is>
          <t>7f</t>
        </is>
      </c>
      <c r="D229" s="5" t="inlineStr">
        <is>
          <t>Phrasal verbs: give</t>
        </is>
      </c>
      <c r="E229" s="12" t="inlineStr">
        <is>
          <t>10+</t>
        </is>
      </c>
      <c r="F229" s="4">
        <f>IFERROR(INDEX('Темы × классы'!$Q:$Q,MATCH(D229,'Темы × классы'!$D:$D,0)),"")</f>
        <v/>
      </c>
      <c r="G229" s="4">
        <f>IFERROR(INDEX('Темы × классы'!$R:$R,MATCH(D229,'Темы × классы'!$D:$D,0))&amp;"","")</f>
        <v/>
      </c>
      <c r="H229" s="4" t="inlineStr">
        <is>
          <t>не начат</t>
        </is>
      </c>
      <c r="I229" s="4" t="inlineStr">
        <is>
          <t>Spotlight / 8 класс / Module 7 · Education / Phrasal verbs: give</t>
        </is>
      </c>
    </row>
    <row r="230">
      <c r="A230" s="12" t="n">
        <v>8</v>
      </c>
      <c r="B230" s="4" t="inlineStr">
        <is>
          <t>Module 7 · Education</t>
        </is>
      </c>
      <c r="C230" s="4" t="inlineStr">
        <is>
          <t>7f</t>
        </is>
      </c>
      <c r="D230" s="5" t="inlineStr">
        <is>
          <t>Word formation: compound nouns</t>
        </is>
      </c>
      <c r="E230" s="12" t="inlineStr">
        <is>
          <t>10+</t>
        </is>
      </c>
      <c r="F230" s="4">
        <f>IFERROR(INDEX('Темы × классы'!$Q:$Q,MATCH(D230,'Темы × классы'!$D:$D,0)),"")</f>
        <v/>
      </c>
      <c r="G230" s="4">
        <f>IFERROR(INDEX('Темы × классы'!$R:$R,MATCH(D230,'Темы × классы'!$D:$D,0))&amp;"","")</f>
        <v/>
      </c>
      <c r="H230" s="4" t="inlineStr">
        <is>
          <t>не начат</t>
        </is>
      </c>
      <c r="I230" s="4" t="inlineStr">
        <is>
          <t>Spotlight / 8 класс / Module 7 · Education / Word formation: compound nouns</t>
        </is>
      </c>
    </row>
    <row r="231">
      <c r="A231" s="12" t="n">
        <v>8</v>
      </c>
      <c r="B231" s="4" t="inlineStr">
        <is>
          <t>Module 7 · Education</t>
        </is>
      </c>
      <c r="C231" s="4" t="inlineStr">
        <is>
          <t>7f</t>
        </is>
      </c>
      <c r="D231" s="5" t="inlineStr">
        <is>
          <t>Words often confused</t>
        </is>
      </c>
      <c r="E231" s="12" t="inlineStr">
        <is>
          <t>10+</t>
        </is>
      </c>
      <c r="F231" s="4">
        <f>IFERROR(INDEX('Темы × классы'!$Q:$Q,MATCH(D231,'Темы × классы'!$D:$D,0)),"")</f>
        <v/>
      </c>
      <c r="G231" s="4">
        <f>IFERROR(INDEX('Темы × классы'!$R:$R,MATCH(D231,'Темы × классы'!$D:$D,0))&amp;"","")</f>
        <v/>
      </c>
      <c r="H231" s="4" t="inlineStr">
        <is>
          <t>не начат</t>
        </is>
      </c>
      <c r="I231" s="4" t="inlineStr">
        <is>
          <t>Spotlight / 8 класс / Module 7 · Education / Words often confused</t>
        </is>
      </c>
    </row>
    <row r="232">
      <c r="A232" s="12" t="n">
        <v>8</v>
      </c>
      <c r="B232" s="4" t="inlineStr">
        <is>
          <t>Module 8 · Pastimes</t>
        </is>
      </c>
      <c r="C232" s="4" t="inlineStr">
        <is>
          <t>8c</t>
        </is>
      </c>
      <c r="D232" s="5" t="inlineStr">
        <is>
          <t>Conditionals (Type 0)</t>
        </is>
      </c>
      <c r="E232" s="12" t="inlineStr">
        <is>
          <t>10+</t>
        </is>
      </c>
      <c r="F232" s="4">
        <f>IFERROR(INDEX('Темы × классы'!$Q:$Q,MATCH(D232,'Темы × классы'!$D:$D,0)),"")</f>
        <v/>
      </c>
      <c r="G232" s="4">
        <f>IFERROR(INDEX('Темы × классы'!$R:$R,MATCH(D232,'Темы × классы'!$D:$D,0))&amp;"","")</f>
        <v/>
      </c>
      <c r="H232" s="4" t="inlineStr">
        <is>
          <t>не начат</t>
        </is>
      </c>
      <c r="I232" s="4" t="inlineStr">
        <is>
          <t>Spotlight / 8 класс / Module 8 · Pastimes / Conditionals (Type 0)</t>
        </is>
      </c>
    </row>
    <row r="233">
      <c r="A233" s="12" t="n">
        <v>8</v>
      </c>
      <c r="B233" s="4" t="inlineStr">
        <is>
          <t>Module 8 · Pastimes</t>
        </is>
      </c>
      <c r="C233" s="4" t="inlineStr">
        <is>
          <t>8c</t>
        </is>
      </c>
      <c r="D233" s="5" t="inlineStr">
        <is>
          <t>Conditionals (Type 1)</t>
        </is>
      </c>
      <c r="E233" s="12" t="inlineStr">
        <is>
          <t>10+</t>
        </is>
      </c>
      <c r="F233" s="4">
        <f>IFERROR(INDEX('Темы × классы'!$Q:$Q,MATCH(D233,'Темы × классы'!$D:$D,0)),"")</f>
        <v/>
      </c>
      <c r="G233" s="4">
        <f>IFERROR(INDEX('Темы × классы'!$R:$R,MATCH(D233,'Темы × классы'!$D:$D,0))&amp;"","")</f>
        <v/>
      </c>
      <c r="H233" s="4" t="inlineStr">
        <is>
          <t>не начат</t>
        </is>
      </c>
      <c r="I233" s="4" t="inlineStr">
        <is>
          <t>Spotlight / 8 класс / Module 8 · Pastimes / Conditionals (Type 1)</t>
        </is>
      </c>
    </row>
    <row r="234">
      <c r="A234" s="12" t="n">
        <v>8</v>
      </c>
      <c r="B234" s="4" t="inlineStr">
        <is>
          <t>Module 8 · Pastimes</t>
        </is>
      </c>
      <c r="C234" s="4" t="inlineStr">
        <is>
          <t>8c</t>
        </is>
      </c>
      <c r="D234" s="5" t="inlineStr">
        <is>
          <t>Conditionals (Type 2)</t>
        </is>
      </c>
      <c r="E234" s="12" t="inlineStr">
        <is>
          <t>10+</t>
        </is>
      </c>
      <c r="F234" s="4">
        <f>IFERROR(INDEX('Темы × классы'!$Q:$Q,MATCH(D234,'Темы × классы'!$D:$D,0)),"")</f>
        <v/>
      </c>
      <c r="G234" s="4">
        <f>IFERROR(INDEX('Темы × классы'!$R:$R,MATCH(D234,'Темы × классы'!$D:$D,0))&amp;"","")</f>
        <v/>
      </c>
      <c r="H234" s="4" t="inlineStr">
        <is>
          <t>не начат</t>
        </is>
      </c>
      <c r="I234" s="4" t="inlineStr">
        <is>
          <t>Spotlight / 8 класс / Module 8 · Pastimes / Conditionals (Type 2)</t>
        </is>
      </c>
    </row>
    <row r="235">
      <c r="A235" s="12" t="n">
        <v>8</v>
      </c>
      <c r="B235" s="4" t="inlineStr">
        <is>
          <t>Module 8 · Pastimes</t>
        </is>
      </c>
      <c r="C235" s="4" t="inlineStr">
        <is>
          <t>8c</t>
        </is>
      </c>
      <c r="D235" s="5" t="inlineStr">
        <is>
          <t>Conditionals (Type 3)</t>
        </is>
      </c>
      <c r="E235" s="12" t="inlineStr">
        <is>
          <t>10+</t>
        </is>
      </c>
      <c r="F235" s="4">
        <f>IFERROR(INDEX('Темы × классы'!$Q:$Q,MATCH(D235,'Темы × классы'!$D:$D,0)),"")</f>
        <v/>
      </c>
      <c r="G235" s="4">
        <f>IFERROR(INDEX('Темы × классы'!$R:$R,MATCH(D235,'Темы × классы'!$D:$D,0))&amp;"","")</f>
        <v/>
      </c>
      <c r="H235" s="4" t="inlineStr">
        <is>
          <t>не начат</t>
        </is>
      </c>
      <c r="I235" s="4" t="inlineStr">
        <is>
          <t>Spotlight / 8 класс / Module 8 · Pastimes / Conditionals (Type 3)</t>
        </is>
      </c>
    </row>
    <row r="236">
      <c r="A236" s="12" t="n">
        <v>8</v>
      </c>
      <c r="B236" s="4" t="inlineStr">
        <is>
          <t>Module 8 · Pastimes</t>
        </is>
      </c>
      <c r="C236" s="4" t="inlineStr">
        <is>
          <t>8f</t>
        </is>
      </c>
      <c r="D236" s="5" t="inlineStr">
        <is>
          <t>Phrasal verbs: take</t>
        </is>
      </c>
      <c r="E236" s="12" t="inlineStr">
        <is>
          <t>10+</t>
        </is>
      </c>
      <c r="F236" s="4">
        <f>IFERROR(INDEX('Темы × классы'!$Q:$Q,MATCH(D236,'Темы × классы'!$D:$D,0)),"")</f>
        <v/>
      </c>
      <c r="G236" s="4">
        <f>IFERROR(INDEX('Темы × классы'!$R:$R,MATCH(D236,'Темы × классы'!$D:$D,0))&amp;"","")</f>
        <v/>
      </c>
      <c r="H236" s="4" t="inlineStr">
        <is>
          <t>не начат</t>
        </is>
      </c>
      <c r="I236" s="4" t="inlineStr">
        <is>
          <t>Spotlight / 8 класс / Module 8 · Pastimes / Phrasal verbs: take</t>
        </is>
      </c>
    </row>
    <row r="237">
      <c r="A237" s="12" t="n">
        <v>8</v>
      </c>
      <c r="B237" s="4" t="inlineStr">
        <is>
          <t>Module 8 · Pastimes</t>
        </is>
      </c>
      <c r="C237" s="4" t="inlineStr">
        <is>
          <t>8f</t>
        </is>
      </c>
      <c r="D237" s="5" t="inlineStr">
        <is>
          <t>Word formation: compound adjectives</t>
        </is>
      </c>
      <c r="E237" s="12" t="inlineStr">
        <is>
          <t>10+</t>
        </is>
      </c>
      <c r="F237" s="4">
        <f>IFERROR(INDEX('Темы × классы'!$Q:$Q,MATCH(D237,'Темы × классы'!$D:$D,0)),"")</f>
        <v/>
      </c>
      <c r="G237" s="4">
        <f>IFERROR(INDEX('Темы × классы'!$R:$R,MATCH(D237,'Темы × классы'!$D:$D,0))&amp;"","")</f>
        <v/>
      </c>
      <c r="H237" s="4" t="inlineStr">
        <is>
          <t>не начат</t>
        </is>
      </c>
      <c r="I237" s="4" t="inlineStr">
        <is>
          <t>Spotlight / 8 класс / Module 8 · Pastimes / Word formation: compound adjectives</t>
        </is>
      </c>
    </row>
    <row r="238">
      <c r="A238" s="12" t="n">
        <v>8</v>
      </c>
      <c r="B238" s="4" t="inlineStr">
        <is>
          <t>Module 8 · Pastimes</t>
        </is>
      </c>
      <c r="C238" s="4" t="inlineStr">
        <is>
          <t>8f</t>
        </is>
      </c>
      <c r="D238" s="5" t="inlineStr">
        <is>
          <t>Dependent prepositions</t>
        </is>
      </c>
      <c r="E238" s="12" t="inlineStr">
        <is>
          <t>10+</t>
        </is>
      </c>
      <c r="F238" s="4">
        <f>IFERROR(INDEX('Темы × классы'!$Q:$Q,MATCH(D238,'Темы × классы'!$D:$D,0)),"")</f>
        <v/>
      </c>
      <c r="G238" s="4">
        <f>IFERROR(INDEX('Темы × классы'!$R:$R,MATCH(D238,'Темы × классы'!$D:$D,0))&amp;"","")</f>
        <v/>
      </c>
      <c r="H238" s="4" t="inlineStr">
        <is>
          <t>не начат</t>
        </is>
      </c>
      <c r="I238" s="4" t="inlineStr">
        <is>
          <t>Spotlight / 8 класс / Module 8 · Pastimes / Dependent prepositions</t>
        </is>
      </c>
    </row>
    <row r="239">
      <c r="A239" s="12" t="n">
        <v>9</v>
      </c>
      <c r="B239" s="4" t="inlineStr">
        <is>
          <t>Irregular Verbs</t>
        </is>
      </c>
      <c r="C239" s="4" t="inlineStr"/>
      <c r="D239" s="5" t="inlineStr">
        <is>
          <t>Irregular verbs (list)</t>
        </is>
      </c>
      <c r="E239" s="12" t="inlineStr">
        <is>
          <t>10+</t>
        </is>
      </c>
      <c r="F239" s="4">
        <f>IFERROR(INDEX('Темы × классы'!$Q:$Q,MATCH(D239,'Темы × классы'!$D:$D,0)),"")</f>
        <v/>
      </c>
      <c r="G239" s="4">
        <f>IFERROR(INDEX('Темы × классы'!$R:$R,MATCH(D239,'Темы × классы'!$D:$D,0))&amp;"","")</f>
        <v/>
      </c>
      <c r="H239" s="4" t="inlineStr">
        <is>
          <t>не начат</t>
        </is>
      </c>
      <c r="I239" s="4" t="inlineStr">
        <is>
          <t>Spotlight / 9 класс / Irregular Verbs / Irregular verbs (list)</t>
        </is>
      </c>
    </row>
    <row r="240">
      <c r="A240" s="12" t="n">
        <v>9</v>
      </c>
      <c r="B240" s="4" t="inlineStr">
        <is>
          <t>Module 1 · Celebrations</t>
        </is>
      </c>
      <c r="C240" s="4" t="inlineStr">
        <is>
          <t>1c</t>
        </is>
      </c>
      <c r="D240" s="5" t="inlineStr">
        <is>
          <t>Present Continuous</t>
        </is>
      </c>
      <c r="E240" s="12" t="inlineStr">
        <is>
          <t>10+</t>
        </is>
      </c>
      <c r="F240" s="4">
        <f>IFERROR(INDEX('Темы × классы'!$Q:$Q,MATCH(D240,'Темы × классы'!$D:$D,0)),"")</f>
        <v/>
      </c>
      <c r="G240" s="4">
        <f>IFERROR(INDEX('Темы × классы'!$R:$R,MATCH(D240,'Темы × классы'!$D:$D,0))&amp;"","")</f>
        <v/>
      </c>
      <c r="H240" s="4" t="inlineStr">
        <is>
          <t>не начат</t>
        </is>
      </c>
      <c r="I240" s="4" t="inlineStr">
        <is>
          <t>Spotlight / 9 класс / Module 1 · Celebrations / Present Continuous</t>
        </is>
      </c>
    </row>
    <row r="241">
      <c r="A241" s="12" t="n">
        <v>9</v>
      </c>
      <c r="B241" s="4" t="inlineStr">
        <is>
          <t>Module 1 · Celebrations</t>
        </is>
      </c>
      <c r="C241" s="4" t="inlineStr">
        <is>
          <t>1c</t>
        </is>
      </c>
      <c r="D241" s="5" t="inlineStr">
        <is>
          <t>Present Simple</t>
        </is>
      </c>
      <c r="E241" s="12" t="inlineStr">
        <is>
          <t>10+</t>
        </is>
      </c>
      <c r="F241" s="4">
        <f>IFERROR(INDEX('Темы × классы'!$Q:$Q,MATCH(D241,'Темы × классы'!$D:$D,0)),"")</f>
        <v/>
      </c>
      <c r="G241" s="4">
        <f>IFERROR(INDEX('Темы × классы'!$R:$R,MATCH(D241,'Темы × классы'!$D:$D,0))&amp;"","")</f>
        <v/>
      </c>
      <c r="H241" s="4" t="inlineStr">
        <is>
          <t>не начат</t>
        </is>
      </c>
      <c r="I241" s="4" t="inlineStr">
        <is>
          <t>Spotlight / 9 класс / Module 1 · Celebrations / Present Simple</t>
        </is>
      </c>
    </row>
    <row r="242">
      <c r="A242" s="12" t="n">
        <v>9</v>
      </c>
      <c r="B242" s="4" t="inlineStr">
        <is>
          <t>Module 1 · Celebrations</t>
        </is>
      </c>
      <c r="C242" s="4" t="inlineStr">
        <is>
          <t>1c</t>
        </is>
      </c>
      <c r="D242" s="5" t="inlineStr">
        <is>
          <t>Present Simple vs Present Continuous</t>
        </is>
      </c>
      <c r="E242" s="12" t="inlineStr">
        <is>
          <t>10+</t>
        </is>
      </c>
      <c r="F242" s="4">
        <f>IFERROR(INDEX('Темы × классы'!$Q:$Q,MATCH(D242,'Темы × классы'!$D:$D,0)),"")</f>
        <v/>
      </c>
      <c r="G242" s="4">
        <f>IFERROR(INDEX('Темы × классы'!$R:$R,MATCH(D242,'Темы × классы'!$D:$D,0))&amp;"","")</f>
        <v/>
      </c>
      <c r="H242" s="4" t="inlineStr">
        <is>
          <t>не начат</t>
        </is>
      </c>
      <c r="I242" s="4" t="inlineStr">
        <is>
          <t>Spotlight / 9 класс / Module 1 · Celebrations / Present Simple vs Present Continuous</t>
        </is>
      </c>
    </row>
    <row r="243">
      <c r="A243" s="12" t="n">
        <v>9</v>
      </c>
      <c r="B243" s="4" t="inlineStr">
        <is>
          <t>Module 1 · Celebrations</t>
        </is>
      </c>
      <c r="C243" s="4" t="inlineStr">
        <is>
          <t>1c</t>
        </is>
      </c>
      <c r="D243" s="5" t="inlineStr">
        <is>
          <t>Present Perfect</t>
        </is>
      </c>
      <c r="E243" s="12" t="inlineStr">
        <is>
          <t>10+</t>
        </is>
      </c>
      <c r="F243" s="4">
        <f>IFERROR(INDEX('Темы × классы'!$Q:$Q,MATCH(D243,'Темы × классы'!$D:$D,0)),"")</f>
        <v/>
      </c>
      <c r="G243" s="4">
        <f>IFERROR(INDEX('Темы × классы'!$R:$R,MATCH(D243,'Темы × классы'!$D:$D,0))&amp;"","")</f>
        <v/>
      </c>
      <c r="H243" s="4" t="inlineStr">
        <is>
          <t>не начат</t>
        </is>
      </c>
      <c r="I243" s="4" t="inlineStr">
        <is>
          <t>Spotlight / 9 класс / Module 1 · Celebrations / Present Perfect</t>
        </is>
      </c>
    </row>
    <row r="244">
      <c r="A244" s="12" t="n">
        <v>9</v>
      </c>
      <c r="B244" s="4" t="inlineStr">
        <is>
          <t>Module 1 · Celebrations</t>
        </is>
      </c>
      <c r="C244" s="4" t="inlineStr">
        <is>
          <t>1c</t>
        </is>
      </c>
      <c r="D244" s="5" t="inlineStr">
        <is>
          <t>Stative verbs</t>
        </is>
      </c>
      <c r="E244" s="12" t="inlineStr">
        <is>
          <t>10+</t>
        </is>
      </c>
      <c r="F244" s="4">
        <f>IFERROR(INDEX('Темы × классы'!$Q:$Q,MATCH(D244,'Темы × классы'!$D:$D,0)),"")</f>
        <v/>
      </c>
      <c r="G244" s="4">
        <f>IFERROR(INDEX('Темы × классы'!$R:$R,MATCH(D244,'Темы × классы'!$D:$D,0))&amp;"","")</f>
        <v/>
      </c>
      <c r="H244" s="4" t="inlineStr">
        <is>
          <t>не начат</t>
        </is>
      </c>
      <c r="I244" s="4" t="inlineStr">
        <is>
          <t>Spotlight / 9 класс / Module 1 · Celebrations / Stative verbs</t>
        </is>
      </c>
    </row>
    <row r="245">
      <c r="A245" s="12" t="n">
        <v>9</v>
      </c>
      <c r="B245" s="4" t="inlineStr">
        <is>
          <t>Module 1 · Celebrations</t>
        </is>
      </c>
      <c r="C245" s="4" t="inlineStr">
        <is>
          <t>1c</t>
        </is>
      </c>
      <c r="D245" s="5" t="inlineStr">
        <is>
          <t>Present Perfect Continuous</t>
        </is>
      </c>
      <c r="E245" s="12" t="inlineStr">
        <is>
          <t>10+</t>
        </is>
      </c>
      <c r="F245" s="4">
        <f>IFERROR(INDEX('Темы × классы'!$Q:$Q,MATCH(D245,'Темы × классы'!$D:$D,0)),"")</f>
        <v/>
      </c>
      <c r="G245" s="4">
        <f>IFERROR(INDEX('Темы × классы'!$R:$R,MATCH(D245,'Темы × классы'!$D:$D,0))&amp;"","")</f>
        <v/>
      </c>
      <c r="H245" s="4" t="inlineStr">
        <is>
          <t>не начат</t>
        </is>
      </c>
      <c r="I245" s="4" t="inlineStr">
        <is>
          <t>Spotlight / 9 класс / Module 1 · Celebrations / Present Perfect Continuous</t>
        </is>
      </c>
    </row>
    <row r="246">
      <c r="A246" s="12" t="n">
        <v>9</v>
      </c>
      <c r="B246" s="4" t="inlineStr">
        <is>
          <t>Module 1 · Celebrations</t>
        </is>
      </c>
      <c r="C246" s="4" t="inlineStr">
        <is>
          <t>1c</t>
        </is>
      </c>
      <c r="D246" s="5" t="inlineStr">
        <is>
          <t>Present Perfect vs Past Simple</t>
        </is>
      </c>
      <c r="E246" s="12" t="inlineStr">
        <is>
          <t>10+</t>
        </is>
      </c>
      <c r="F246" s="4">
        <f>IFERROR(INDEX('Темы × классы'!$Q:$Q,MATCH(D246,'Темы × классы'!$D:$D,0)),"")</f>
        <v/>
      </c>
      <c r="G246" s="4">
        <f>IFERROR(INDEX('Темы × классы'!$R:$R,MATCH(D246,'Темы × классы'!$D:$D,0))&amp;"","")</f>
        <v/>
      </c>
      <c r="H246" s="4" t="inlineStr">
        <is>
          <t>не начат</t>
        </is>
      </c>
      <c r="I246" s="4" t="inlineStr">
        <is>
          <t>Spotlight / 9 класс / Module 1 · Celebrations / Present Perfect vs Past Simple</t>
        </is>
      </c>
    </row>
    <row r="247">
      <c r="A247" s="12" t="n">
        <v>9</v>
      </c>
      <c r="B247" s="4" t="inlineStr">
        <is>
          <t>Module 1 · Celebrations</t>
        </is>
      </c>
      <c r="C247" s="4" t="inlineStr">
        <is>
          <t>1c</t>
        </is>
      </c>
      <c r="D247" s="5" t="inlineStr">
        <is>
          <t>Adverbs of frequency</t>
        </is>
      </c>
      <c r="E247" s="12" t="inlineStr">
        <is>
          <t>10+</t>
        </is>
      </c>
      <c r="F247" s="4">
        <f>IFERROR(INDEX('Темы × классы'!$Q:$Q,MATCH(D247,'Темы × классы'!$D:$D,0)),"")</f>
        <v/>
      </c>
      <c r="G247" s="4">
        <f>IFERROR(INDEX('Темы × классы'!$R:$R,MATCH(D247,'Темы × классы'!$D:$D,0))&amp;"","")</f>
        <v/>
      </c>
      <c r="H247" s="4" t="inlineStr">
        <is>
          <t>не начат</t>
        </is>
      </c>
      <c r="I247" s="4" t="inlineStr">
        <is>
          <t>Spotlight / 9 класс / Module 1 · Celebrations / Adverbs of frequency</t>
        </is>
      </c>
    </row>
    <row r="248">
      <c r="A248" s="12" t="n">
        <v>9</v>
      </c>
      <c r="B248" s="4" t="inlineStr">
        <is>
          <t>Module 1 · Celebrations</t>
        </is>
      </c>
      <c r="C248" s="4" t="inlineStr">
        <is>
          <t>1d</t>
        </is>
      </c>
      <c r="D248" s="5" t="inlineStr">
        <is>
          <t>Relative pronouns / Relative clauses</t>
        </is>
      </c>
      <c r="E248" s="12" t="inlineStr">
        <is>
          <t>10+</t>
        </is>
      </c>
      <c r="F248" s="4">
        <f>IFERROR(INDEX('Темы × классы'!$Q:$Q,MATCH(D248,'Темы × классы'!$D:$D,0)),"")</f>
        <v/>
      </c>
      <c r="G248" s="4">
        <f>IFERROR(INDEX('Темы × классы'!$R:$R,MATCH(D248,'Темы × классы'!$D:$D,0))&amp;"","")</f>
        <v/>
      </c>
      <c r="H248" s="4" t="inlineStr">
        <is>
          <t>не начат</t>
        </is>
      </c>
      <c r="I248" s="4" t="inlineStr">
        <is>
          <t>Spotlight / 9 класс / Module 1 · Celebrations / Relative pronouns / Relative clauses</t>
        </is>
      </c>
    </row>
    <row r="249">
      <c r="A249" s="12" t="n">
        <v>9</v>
      </c>
      <c r="B249" s="4" t="inlineStr">
        <is>
          <t>Module 1 · Celebrations</t>
        </is>
      </c>
      <c r="C249" s="4" t="inlineStr">
        <is>
          <t>1c</t>
        </is>
      </c>
      <c r="D249" s="5" t="inlineStr">
        <is>
          <t>Exclamations</t>
        </is>
      </c>
      <c r="E249" s="12" t="inlineStr">
        <is>
          <t>10+</t>
        </is>
      </c>
      <c r="F249" s="4">
        <f>IFERROR(INDEX('Темы × классы'!$Q:$Q,MATCH(D249,'Темы × классы'!$D:$D,0)),"")</f>
        <v/>
      </c>
      <c r="G249" s="4">
        <f>IFERROR(INDEX('Темы × классы'!$R:$R,MATCH(D249,'Темы × классы'!$D:$D,0))&amp;"","")</f>
        <v/>
      </c>
      <c r="H249" s="4" t="inlineStr">
        <is>
          <t>не начат</t>
        </is>
      </c>
      <c r="I249" s="4" t="inlineStr">
        <is>
          <t>Spotlight / 9 класс / Module 1 · Celebrations / Exclamations</t>
        </is>
      </c>
    </row>
    <row r="250">
      <c r="A250" s="12" t="n">
        <v>9</v>
      </c>
      <c r="B250" s="4" t="inlineStr">
        <is>
          <t>Module 1 · Celebrations</t>
        </is>
      </c>
      <c r="C250" s="4" t="inlineStr">
        <is>
          <t>1f</t>
        </is>
      </c>
      <c r="D250" s="5" t="inlineStr">
        <is>
          <t>Phrasal verbs: turn</t>
        </is>
      </c>
      <c r="E250" s="12" t="inlineStr">
        <is>
          <t>10+</t>
        </is>
      </c>
      <c r="F250" s="4">
        <f>IFERROR(INDEX('Темы × классы'!$Q:$Q,MATCH(D250,'Темы × классы'!$D:$D,0)),"")</f>
        <v/>
      </c>
      <c r="G250" s="4">
        <f>IFERROR(INDEX('Темы × классы'!$R:$R,MATCH(D250,'Темы × классы'!$D:$D,0))&amp;"","")</f>
        <v/>
      </c>
      <c r="H250" s="4" t="inlineStr">
        <is>
          <t>не начат</t>
        </is>
      </c>
      <c r="I250" s="4" t="inlineStr">
        <is>
          <t>Spotlight / 9 класс / Module 1 · Celebrations / Phrasal verbs: turn</t>
        </is>
      </c>
    </row>
    <row r="251">
      <c r="A251" s="12" t="n">
        <v>9</v>
      </c>
      <c r="B251" s="4" t="inlineStr">
        <is>
          <t>Module 1 · Celebrations</t>
        </is>
      </c>
      <c r="C251" s="4" t="inlineStr">
        <is>
          <t>1f</t>
        </is>
      </c>
      <c r="D251" s="5" t="inlineStr">
        <is>
          <t>Word formation: participle adjectives -ed/-ing</t>
        </is>
      </c>
      <c r="E251" s="12" t="inlineStr">
        <is>
          <t>10+</t>
        </is>
      </c>
      <c r="F251" s="4">
        <f>IFERROR(INDEX('Темы × классы'!$Q:$Q,MATCH(D251,'Темы × классы'!$D:$D,0)),"")</f>
        <v/>
      </c>
      <c r="G251" s="4">
        <f>IFERROR(INDEX('Темы × классы'!$R:$R,MATCH(D251,'Темы × классы'!$D:$D,0))&amp;"","")</f>
        <v/>
      </c>
      <c r="H251" s="4" t="inlineStr">
        <is>
          <t>не начат</t>
        </is>
      </c>
      <c r="I251" s="4" t="inlineStr">
        <is>
          <t>Spotlight / 9 класс / Module 1 · Celebrations / Word formation: participle adjectives -ed/-ing</t>
        </is>
      </c>
    </row>
    <row r="252">
      <c r="A252" s="12" t="n">
        <v>9</v>
      </c>
      <c r="B252" s="4" t="inlineStr">
        <is>
          <t>Module 1 · Celebrations</t>
        </is>
      </c>
      <c r="C252" s="4" t="inlineStr">
        <is>
          <t>1f</t>
        </is>
      </c>
      <c r="D252" s="5" t="inlineStr">
        <is>
          <t>Dependent prepositions</t>
        </is>
      </c>
      <c r="E252" s="12" t="inlineStr">
        <is>
          <t>10+</t>
        </is>
      </c>
      <c r="F252" s="4">
        <f>IFERROR(INDEX('Темы × классы'!$Q:$Q,MATCH(D252,'Темы × классы'!$D:$D,0)),"")</f>
        <v/>
      </c>
      <c r="G252" s="4">
        <f>IFERROR(INDEX('Темы × классы'!$R:$R,MATCH(D252,'Темы × классы'!$D:$D,0))&amp;"","")</f>
        <v/>
      </c>
      <c r="H252" s="4" t="inlineStr">
        <is>
          <t>не начат</t>
        </is>
      </c>
      <c r="I252" s="4" t="inlineStr">
        <is>
          <t>Spotlight / 9 класс / Module 1 · Celebrations / Dependent prepositions</t>
        </is>
      </c>
    </row>
    <row r="253">
      <c r="A253" s="12" t="n">
        <v>9</v>
      </c>
      <c r="B253" s="4" t="inlineStr">
        <is>
          <t>Module 2 · Life &amp; Living</t>
        </is>
      </c>
      <c r="C253" s="4" t="inlineStr">
        <is>
          <t>2c</t>
        </is>
      </c>
      <c r="D253" s="5" t="inlineStr">
        <is>
          <t>Infinitive / -ing form</t>
        </is>
      </c>
      <c r="E253" s="12" t="inlineStr">
        <is>
          <t>10+</t>
        </is>
      </c>
      <c r="F253" s="4">
        <f>IFERROR(INDEX('Темы × классы'!$Q:$Q,MATCH(D253,'Темы × классы'!$D:$D,0)),"")</f>
        <v/>
      </c>
      <c r="G253" s="4">
        <f>IFERROR(INDEX('Темы × классы'!$R:$R,MATCH(D253,'Темы × классы'!$D:$D,0))&amp;"","")</f>
        <v/>
      </c>
      <c r="H253" s="4" t="inlineStr">
        <is>
          <t>не начат</t>
        </is>
      </c>
      <c r="I253" s="4" t="inlineStr">
        <is>
          <t>Spotlight / 9 класс / Module 2 · Life &amp; Living / Infinitive / -ing form</t>
        </is>
      </c>
    </row>
    <row r="254">
      <c r="A254" s="12" t="n">
        <v>9</v>
      </c>
      <c r="B254" s="4" t="inlineStr">
        <is>
          <t>Module 2 · Life &amp; Living</t>
        </is>
      </c>
      <c r="C254" s="4" t="inlineStr">
        <is>
          <t>2c</t>
        </is>
      </c>
      <c r="D254" s="5" t="inlineStr">
        <is>
          <t>Infinitive / -ing form (difference in meaning)</t>
        </is>
      </c>
      <c r="E254" s="12" t="inlineStr">
        <is>
          <t>10+</t>
        </is>
      </c>
      <c r="F254" s="4">
        <f>IFERROR(INDEX('Темы × классы'!$Q:$Q,MATCH(D254,'Темы × классы'!$D:$D,0)),"")</f>
        <v/>
      </c>
      <c r="G254" s="4">
        <f>IFERROR(INDEX('Темы × классы'!$R:$R,MATCH(D254,'Темы × классы'!$D:$D,0))&amp;"","")</f>
        <v/>
      </c>
      <c r="H254" s="4" t="inlineStr">
        <is>
          <t>не начат</t>
        </is>
      </c>
      <c r="I254" s="4" t="inlineStr">
        <is>
          <t>Spotlight / 9 класс / Module 2 · Life &amp; Living / Infinitive / -ing form (difference in meaning)</t>
        </is>
      </c>
    </row>
    <row r="255">
      <c r="A255" s="12" t="n">
        <v>9</v>
      </c>
      <c r="B255" s="4" t="inlineStr">
        <is>
          <t>Module 2 · Life &amp; Living</t>
        </is>
      </c>
      <c r="C255" s="4" t="inlineStr">
        <is>
          <t>2c</t>
        </is>
      </c>
      <c r="D255" s="5" t="inlineStr">
        <is>
          <t>too / enough</t>
        </is>
      </c>
      <c r="E255" s="12" t="inlineStr">
        <is>
          <t>10+</t>
        </is>
      </c>
      <c r="F255" s="4">
        <f>IFERROR(INDEX('Темы × классы'!$Q:$Q,MATCH(D255,'Темы × классы'!$D:$D,0)),"")</f>
        <v/>
      </c>
      <c r="G255" s="4">
        <f>IFERROR(INDEX('Темы × классы'!$R:$R,MATCH(D255,'Темы × классы'!$D:$D,0))&amp;"","")</f>
        <v/>
      </c>
      <c r="H255" s="4" t="inlineStr">
        <is>
          <t>не начат</t>
        </is>
      </c>
      <c r="I255" s="4" t="inlineStr">
        <is>
          <t>Spotlight / 9 класс / Module 2 · Life &amp; Living / too / enough</t>
        </is>
      </c>
    </row>
    <row r="256">
      <c r="A256" s="12" t="n">
        <v>9</v>
      </c>
      <c r="B256" s="4" t="inlineStr">
        <is>
          <t>Module 2 · Life &amp; Living</t>
        </is>
      </c>
      <c r="C256" s="4" t="inlineStr">
        <is>
          <t>2d</t>
        </is>
      </c>
      <c r="D256" s="5" t="inlineStr">
        <is>
          <t>Indirect questions</t>
        </is>
      </c>
      <c r="E256" s="12" t="inlineStr">
        <is>
          <t>10+</t>
        </is>
      </c>
      <c r="F256" s="4">
        <f>IFERROR(INDEX('Темы × классы'!$Q:$Q,MATCH(D256,'Темы × классы'!$D:$D,0)),"")</f>
        <v/>
      </c>
      <c r="G256" s="4">
        <f>IFERROR(INDEX('Темы × классы'!$R:$R,MATCH(D256,'Темы × классы'!$D:$D,0))&amp;"","")</f>
        <v/>
      </c>
      <c r="H256" s="4" t="inlineStr">
        <is>
          <t>не начат</t>
        </is>
      </c>
      <c r="I256" s="4" t="inlineStr">
        <is>
          <t>Spotlight / 9 класс / Module 2 · Life &amp; Living / Indirect questions</t>
        </is>
      </c>
    </row>
    <row r="257">
      <c r="A257" s="12" t="n">
        <v>9</v>
      </c>
      <c r="B257" s="4" t="inlineStr">
        <is>
          <t>Module 2 · Life &amp; Living</t>
        </is>
      </c>
      <c r="C257" s="4" t="inlineStr">
        <is>
          <t>2f</t>
        </is>
      </c>
      <c r="D257" s="5" t="inlineStr">
        <is>
          <t>Phrasal verbs: make</t>
        </is>
      </c>
      <c r="E257" s="12" t="inlineStr">
        <is>
          <t>10+</t>
        </is>
      </c>
      <c r="F257" s="4">
        <f>IFERROR(INDEX('Темы × классы'!$Q:$Q,MATCH(D257,'Темы × классы'!$D:$D,0)),"")</f>
        <v/>
      </c>
      <c r="G257" s="4">
        <f>IFERROR(INDEX('Темы × классы'!$R:$R,MATCH(D257,'Темы × классы'!$D:$D,0))&amp;"","")</f>
        <v/>
      </c>
      <c r="H257" s="4" t="inlineStr">
        <is>
          <t>не начат</t>
        </is>
      </c>
      <c r="I257" s="4" t="inlineStr">
        <is>
          <t>Spotlight / 9 класс / Module 2 · Life &amp; Living / Phrasal verbs: make</t>
        </is>
      </c>
    </row>
    <row r="258">
      <c r="A258" s="12" t="n">
        <v>9</v>
      </c>
      <c r="B258" s="4" t="inlineStr">
        <is>
          <t>Module 2 · Life &amp; Living</t>
        </is>
      </c>
      <c r="C258" s="4" t="inlineStr">
        <is>
          <t>2f</t>
        </is>
      </c>
      <c r="D258" s="5" t="inlineStr">
        <is>
          <t>Word formation: nouns from adjectives</t>
        </is>
      </c>
      <c r="E258" s="12" t="inlineStr">
        <is>
          <t>10+</t>
        </is>
      </c>
      <c r="F258" s="4">
        <f>IFERROR(INDEX('Темы × классы'!$Q:$Q,MATCH(D258,'Темы × классы'!$D:$D,0)),"")</f>
        <v/>
      </c>
      <c r="G258" s="4">
        <f>IFERROR(INDEX('Темы × классы'!$R:$R,MATCH(D258,'Темы × классы'!$D:$D,0))&amp;"","")</f>
        <v/>
      </c>
      <c r="H258" s="4" t="inlineStr">
        <is>
          <t>не начат</t>
        </is>
      </c>
      <c r="I258" s="4" t="inlineStr">
        <is>
          <t>Spotlight / 9 класс / Module 2 · Life &amp; Living / Word formation: nouns from adjectives</t>
        </is>
      </c>
    </row>
    <row r="259">
      <c r="A259" s="12" t="n">
        <v>9</v>
      </c>
      <c r="B259" s="4" t="inlineStr">
        <is>
          <t>Module 2 · Life &amp; Living</t>
        </is>
      </c>
      <c r="C259" s="4" t="inlineStr">
        <is>
          <t>2f</t>
        </is>
      </c>
      <c r="D259" s="5" t="inlineStr">
        <is>
          <t>Dependent prepositions</t>
        </is>
      </c>
      <c r="E259" s="12" t="inlineStr">
        <is>
          <t>10+</t>
        </is>
      </c>
      <c r="F259" s="4">
        <f>IFERROR(INDEX('Темы × классы'!$Q:$Q,MATCH(D259,'Темы × классы'!$D:$D,0)),"")</f>
        <v/>
      </c>
      <c r="G259" s="4">
        <f>IFERROR(INDEX('Темы × классы'!$R:$R,MATCH(D259,'Темы × классы'!$D:$D,0))&amp;"","")</f>
        <v/>
      </c>
      <c r="H259" s="4" t="inlineStr">
        <is>
          <t>не начат</t>
        </is>
      </c>
      <c r="I259" s="4" t="inlineStr">
        <is>
          <t>Spotlight / 9 класс / Module 2 · Life &amp; Living / Dependent prepositions</t>
        </is>
      </c>
    </row>
    <row r="260">
      <c r="A260" s="12" t="n">
        <v>9</v>
      </c>
      <c r="B260" s="4" t="inlineStr">
        <is>
          <t>Appendix 2</t>
        </is>
      </c>
      <c r="C260" s="4" t="inlineStr"/>
      <c r="D260" s="5" t="inlineStr">
        <is>
          <t>Dependent prepositions</t>
        </is>
      </c>
      <c r="E260" s="12" t="inlineStr">
        <is>
          <t>10+</t>
        </is>
      </c>
      <c r="F260" s="4">
        <f>IFERROR(INDEX('Темы × классы'!$Q:$Q,MATCH(D260,'Темы × классы'!$D:$D,0)),"")</f>
        <v/>
      </c>
      <c r="G260" s="4">
        <f>IFERROR(INDEX('Темы × классы'!$R:$R,MATCH(D260,'Темы × классы'!$D:$D,0))&amp;"","")</f>
        <v/>
      </c>
      <c r="H260" s="4" t="inlineStr">
        <is>
          <t>не начат</t>
        </is>
      </c>
      <c r="I260" s="4" t="inlineStr">
        <is>
          <t>Spotlight / 9 класс / Appendix 2 / Dependent prepositions</t>
        </is>
      </c>
    </row>
    <row r="261">
      <c r="A261" s="12" t="n">
        <v>9</v>
      </c>
      <c r="B261" s="4" t="inlineStr">
        <is>
          <t>Module 3 · See it to believe it</t>
        </is>
      </c>
      <c r="C261" s="4" t="inlineStr">
        <is>
          <t>3c</t>
        </is>
      </c>
      <c r="D261" s="5" t="inlineStr">
        <is>
          <t>Past Simple</t>
        </is>
      </c>
      <c r="E261" s="12" t="inlineStr">
        <is>
          <t>10+</t>
        </is>
      </c>
      <c r="F261" s="4">
        <f>IFERROR(INDEX('Темы × классы'!$Q:$Q,MATCH(D261,'Темы × классы'!$D:$D,0)),"")</f>
        <v/>
      </c>
      <c r="G261" s="4">
        <f>IFERROR(INDEX('Темы × классы'!$R:$R,MATCH(D261,'Темы × классы'!$D:$D,0))&amp;"","")</f>
        <v/>
      </c>
      <c r="H261" s="4" t="inlineStr">
        <is>
          <t>не начат</t>
        </is>
      </c>
      <c r="I261" s="4" t="inlineStr">
        <is>
          <t>Spotlight / 9 класс / Module 3 · See it to believe it / Past Simple</t>
        </is>
      </c>
    </row>
    <row r="262">
      <c r="A262" s="12" t="n">
        <v>9</v>
      </c>
      <c r="B262" s="4" t="inlineStr">
        <is>
          <t>Module 3 · See it to believe it</t>
        </is>
      </c>
      <c r="C262" s="4" t="inlineStr">
        <is>
          <t>3c</t>
        </is>
      </c>
      <c r="D262" s="5" t="inlineStr">
        <is>
          <t>Past Continuous</t>
        </is>
      </c>
      <c r="E262" s="12" t="inlineStr">
        <is>
          <t>10+</t>
        </is>
      </c>
      <c r="F262" s="4">
        <f>IFERROR(INDEX('Темы × классы'!$Q:$Q,MATCH(D262,'Темы × классы'!$D:$D,0)),"")</f>
        <v/>
      </c>
      <c r="G262" s="4">
        <f>IFERROR(INDEX('Темы × классы'!$R:$R,MATCH(D262,'Темы × классы'!$D:$D,0))&amp;"","")</f>
        <v/>
      </c>
      <c r="H262" s="4" t="inlineStr">
        <is>
          <t>не начат</t>
        </is>
      </c>
      <c r="I262" s="4" t="inlineStr">
        <is>
          <t>Spotlight / 9 класс / Module 3 · See it to believe it / Past Continuous</t>
        </is>
      </c>
    </row>
    <row r="263">
      <c r="A263" s="12" t="n">
        <v>9</v>
      </c>
      <c r="B263" s="4" t="inlineStr">
        <is>
          <t>Module 3 · See it to believe it</t>
        </is>
      </c>
      <c r="C263" s="4" t="inlineStr">
        <is>
          <t>3c</t>
        </is>
      </c>
      <c r="D263" s="5" t="inlineStr">
        <is>
          <t>Past Simple vs Past Continuous</t>
        </is>
      </c>
      <c r="E263" s="12" t="inlineStr">
        <is>
          <t>10+</t>
        </is>
      </c>
      <c r="F263" s="4">
        <f>IFERROR(INDEX('Темы × классы'!$Q:$Q,MATCH(D263,'Темы × классы'!$D:$D,0)),"")</f>
        <v/>
      </c>
      <c r="G263" s="4">
        <f>IFERROR(INDEX('Темы × классы'!$R:$R,MATCH(D263,'Темы × классы'!$D:$D,0))&amp;"","")</f>
        <v/>
      </c>
      <c r="H263" s="4" t="inlineStr">
        <is>
          <t>не начат</t>
        </is>
      </c>
      <c r="I263" s="4" t="inlineStr">
        <is>
          <t>Spotlight / 9 класс / Module 3 · See it to believe it / Past Simple vs Past Continuous</t>
        </is>
      </c>
    </row>
    <row r="264">
      <c r="A264" s="12" t="n">
        <v>9</v>
      </c>
      <c r="B264" s="4" t="inlineStr">
        <is>
          <t>Module 3 · See it to believe it</t>
        </is>
      </c>
      <c r="C264" s="4" t="inlineStr">
        <is>
          <t>3c</t>
        </is>
      </c>
      <c r="D264" s="5" t="inlineStr">
        <is>
          <t>Past Perfect</t>
        </is>
      </c>
      <c r="E264" s="12" t="inlineStr">
        <is>
          <t>10+</t>
        </is>
      </c>
      <c r="F264" s="4">
        <f>IFERROR(INDEX('Темы × классы'!$Q:$Q,MATCH(D264,'Темы × классы'!$D:$D,0)),"")</f>
        <v/>
      </c>
      <c r="G264" s="4">
        <f>IFERROR(INDEX('Темы × классы'!$R:$R,MATCH(D264,'Темы × классы'!$D:$D,0))&amp;"","")</f>
        <v/>
      </c>
      <c r="H264" s="4" t="inlineStr">
        <is>
          <t>не начат</t>
        </is>
      </c>
      <c r="I264" s="4" t="inlineStr">
        <is>
          <t>Spotlight / 9 класс / Module 3 · See it to believe it / Past Perfect</t>
        </is>
      </c>
    </row>
    <row r="265">
      <c r="A265" s="12" t="n">
        <v>9</v>
      </c>
      <c r="B265" s="4" t="inlineStr">
        <is>
          <t>Module 3 · See it to believe it</t>
        </is>
      </c>
      <c r="C265" s="4" t="inlineStr">
        <is>
          <t>3c</t>
        </is>
      </c>
      <c r="D265" s="5" t="inlineStr">
        <is>
          <t>Past Perfect Continuous</t>
        </is>
      </c>
      <c r="E265" s="12" t="inlineStr">
        <is>
          <t>10+</t>
        </is>
      </c>
      <c r="F265" s="4">
        <f>IFERROR(INDEX('Темы × классы'!$Q:$Q,MATCH(D265,'Темы × классы'!$D:$D,0)),"")</f>
        <v/>
      </c>
      <c r="G265" s="4">
        <f>IFERROR(INDEX('Темы × классы'!$R:$R,MATCH(D265,'Темы × классы'!$D:$D,0))&amp;"","")</f>
        <v/>
      </c>
      <c r="H265" s="4" t="inlineStr">
        <is>
          <t>не начат</t>
        </is>
      </c>
      <c r="I265" s="4" t="inlineStr">
        <is>
          <t>Spotlight / 9 класс / Module 3 · See it to believe it / Past Perfect Continuous</t>
        </is>
      </c>
    </row>
    <row r="266">
      <c r="A266" s="12" t="n">
        <v>9</v>
      </c>
      <c r="B266" s="4" t="inlineStr">
        <is>
          <t>Module 3 · See it to believe it</t>
        </is>
      </c>
      <c r="C266" s="4" t="inlineStr">
        <is>
          <t>3d</t>
        </is>
      </c>
      <c r="D266" s="5" t="inlineStr">
        <is>
          <t>Modal verbs (deduction)</t>
        </is>
      </c>
      <c r="E266" s="12" t="inlineStr">
        <is>
          <t>10+</t>
        </is>
      </c>
      <c r="F266" s="4">
        <f>IFERROR(INDEX('Темы × классы'!$Q:$Q,MATCH(D266,'Темы × классы'!$D:$D,0)),"")</f>
        <v/>
      </c>
      <c r="G266" s="4">
        <f>IFERROR(INDEX('Темы × классы'!$R:$R,MATCH(D266,'Темы × классы'!$D:$D,0))&amp;"","")</f>
        <v/>
      </c>
      <c r="H266" s="4" t="inlineStr">
        <is>
          <t>не начат</t>
        </is>
      </c>
      <c r="I266" s="4" t="inlineStr">
        <is>
          <t>Spotlight / 9 класс / Module 3 · See it to believe it / Modal verbs (deduction)</t>
        </is>
      </c>
    </row>
    <row r="267">
      <c r="A267" s="12" t="n">
        <v>9</v>
      </c>
      <c r="B267" s="4" t="inlineStr">
        <is>
          <t>Module 3 · See it to believe it</t>
        </is>
      </c>
      <c r="C267" s="4" t="inlineStr">
        <is>
          <t>3c</t>
        </is>
      </c>
      <c r="D267" s="5" t="inlineStr">
        <is>
          <t>used to</t>
        </is>
      </c>
      <c r="E267" s="12" t="inlineStr">
        <is>
          <t>10+</t>
        </is>
      </c>
      <c r="F267" s="4">
        <f>IFERROR(INDEX('Темы × классы'!$Q:$Q,MATCH(D267,'Темы × классы'!$D:$D,0)),"")</f>
        <v/>
      </c>
      <c r="G267" s="4">
        <f>IFERROR(INDEX('Темы × классы'!$R:$R,MATCH(D267,'Темы × классы'!$D:$D,0))&amp;"","")</f>
        <v/>
      </c>
      <c r="H267" s="4" t="inlineStr">
        <is>
          <t>не начат</t>
        </is>
      </c>
      <c r="I267" s="4" t="inlineStr">
        <is>
          <t>Spotlight / 9 класс / Module 3 · See it to believe it / used to</t>
        </is>
      </c>
    </row>
    <row r="268">
      <c r="A268" s="12" t="n">
        <v>9</v>
      </c>
      <c r="B268" s="4" t="inlineStr">
        <is>
          <t>Module 3 · See it to believe it</t>
        </is>
      </c>
      <c r="C268" s="4" t="inlineStr">
        <is>
          <t>3c</t>
        </is>
      </c>
      <c r="D268" s="5" t="inlineStr">
        <is>
          <t>would (past habits)</t>
        </is>
      </c>
      <c r="E268" s="12" t="inlineStr">
        <is>
          <t>10+</t>
        </is>
      </c>
      <c r="F268" s="4">
        <f>IFERROR(INDEX('Темы × классы'!$Q:$Q,MATCH(D268,'Темы × классы'!$D:$D,0)),"")</f>
        <v/>
      </c>
      <c r="G268" s="4">
        <f>IFERROR(INDEX('Темы × классы'!$R:$R,MATCH(D268,'Темы × классы'!$D:$D,0))&amp;"","")</f>
        <v/>
      </c>
      <c r="H268" s="4" t="inlineStr">
        <is>
          <t>не начат</t>
        </is>
      </c>
      <c r="I268" s="4" t="inlineStr">
        <is>
          <t>Spotlight / 9 класс / Module 3 · See it to believe it / would (past habits)</t>
        </is>
      </c>
    </row>
    <row r="269">
      <c r="A269" s="12" t="n">
        <v>9</v>
      </c>
      <c r="B269" s="4" t="inlineStr">
        <is>
          <t>Module 3 · See it to believe it</t>
        </is>
      </c>
      <c r="C269" s="4" t="inlineStr">
        <is>
          <t>3f</t>
        </is>
      </c>
      <c r="D269" s="5" t="inlineStr">
        <is>
          <t>Phrasal verbs: come</t>
        </is>
      </c>
      <c r="E269" s="12" t="inlineStr">
        <is>
          <t>10+</t>
        </is>
      </c>
      <c r="F269" s="4">
        <f>IFERROR(INDEX('Темы × классы'!$Q:$Q,MATCH(D269,'Темы × классы'!$D:$D,0)),"")</f>
        <v/>
      </c>
      <c r="G269" s="4">
        <f>IFERROR(INDEX('Темы × классы'!$R:$R,MATCH(D269,'Темы × классы'!$D:$D,0))&amp;"","")</f>
        <v/>
      </c>
      <c r="H269" s="4" t="inlineStr">
        <is>
          <t>не начат</t>
        </is>
      </c>
      <c r="I269" s="4" t="inlineStr">
        <is>
          <t>Spotlight / 9 класс / Module 3 · See it to believe it / Phrasal verbs: come</t>
        </is>
      </c>
    </row>
    <row r="270">
      <c r="A270" s="12" t="n">
        <v>9</v>
      </c>
      <c r="B270" s="4" t="inlineStr">
        <is>
          <t>Module 3 · See it to believe it</t>
        </is>
      </c>
      <c r="C270" s="4" t="inlineStr">
        <is>
          <t>3f</t>
        </is>
      </c>
      <c r="D270" s="5" t="inlineStr">
        <is>
          <t>Word formation: compound adjectives</t>
        </is>
      </c>
      <c r="E270" s="12" t="inlineStr">
        <is>
          <t>10+</t>
        </is>
      </c>
      <c r="F270" s="4">
        <f>IFERROR(INDEX('Темы × классы'!$Q:$Q,MATCH(D270,'Темы × классы'!$D:$D,0)),"")</f>
        <v/>
      </c>
      <c r="G270" s="4">
        <f>IFERROR(INDEX('Темы × классы'!$R:$R,MATCH(D270,'Темы × классы'!$D:$D,0))&amp;"","")</f>
        <v/>
      </c>
      <c r="H270" s="4" t="inlineStr">
        <is>
          <t>не начат</t>
        </is>
      </c>
      <c r="I270" s="4" t="inlineStr">
        <is>
          <t>Spotlight / 9 класс / Module 3 · See it to believe it / Word formation: compound adjectives</t>
        </is>
      </c>
    </row>
    <row r="271">
      <c r="A271" s="12" t="n">
        <v>9</v>
      </c>
      <c r="B271" s="4" t="inlineStr">
        <is>
          <t>Module 3 · See it to believe it</t>
        </is>
      </c>
      <c r="C271" s="4" t="inlineStr">
        <is>
          <t>3f</t>
        </is>
      </c>
      <c r="D271" s="5" t="inlineStr">
        <is>
          <t>Dependent prepositions</t>
        </is>
      </c>
      <c r="E271" s="12" t="inlineStr">
        <is>
          <t>10+</t>
        </is>
      </c>
      <c r="F271" s="4">
        <f>IFERROR(INDEX('Темы × классы'!$Q:$Q,MATCH(D271,'Темы × классы'!$D:$D,0)),"")</f>
        <v/>
      </c>
      <c r="G271" s="4">
        <f>IFERROR(INDEX('Темы × классы'!$R:$R,MATCH(D271,'Темы × классы'!$D:$D,0))&amp;"","")</f>
        <v/>
      </c>
      <c r="H271" s="4" t="inlineStr">
        <is>
          <t>не начат</t>
        </is>
      </c>
      <c r="I271" s="4" t="inlineStr">
        <is>
          <t>Spotlight / 9 класс / Module 3 · See it to believe it / Dependent prepositions</t>
        </is>
      </c>
    </row>
    <row r="272">
      <c r="A272" s="12" t="n">
        <v>9</v>
      </c>
      <c r="B272" s="4" t="inlineStr">
        <is>
          <t>Module 4 · Technology</t>
        </is>
      </c>
      <c r="C272" s="4" t="inlineStr">
        <is>
          <t>4c</t>
        </is>
      </c>
      <c r="D272" s="5" t="inlineStr">
        <is>
          <t>Future Simple (will)</t>
        </is>
      </c>
      <c r="E272" s="12" t="inlineStr">
        <is>
          <t>10+</t>
        </is>
      </c>
      <c r="F272" s="4">
        <f>IFERROR(INDEX('Темы × классы'!$Q:$Q,MATCH(D272,'Темы × классы'!$D:$D,0)),"")</f>
        <v/>
      </c>
      <c r="G272" s="4">
        <f>IFERROR(INDEX('Темы × классы'!$R:$R,MATCH(D272,'Темы × классы'!$D:$D,0))&amp;"","")</f>
        <v/>
      </c>
      <c r="H272" s="4" t="inlineStr">
        <is>
          <t>не начат</t>
        </is>
      </c>
      <c r="I272" s="4" t="inlineStr">
        <is>
          <t>Spotlight / 9 класс / Module 4 · Technology / Future Simple (will)</t>
        </is>
      </c>
    </row>
    <row r="273">
      <c r="A273" s="12" t="n">
        <v>9</v>
      </c>
      <c r="B273" s="4" t="inlineStr">
        <is>
          <t>Module 4 · Technology</t>
        </is>
      </c>
      <c r="C273" s="4" t="inlineStr">
        <is>
          <t>4c</t>
        </is>
      </c>
      <c r="D273" s="5" t="inlineStr">
        <is>
          <t>be going to</t>
        </is>
      </c>
      <c r="E273" s="12" t="inlineStr">
        <is>
          <t>10+</t>
        </is>
      </c>
      <c r="F273" s="4">
        <f>IFERROR(INDEX('Темы × классы'!$Q:$Q,MATCH(D273,'Темы × классы'!$D:$D,0)),"")</f>
        <v/>
      </c>
      <c r="G273" s="4">
        <f>IFERROR(INDEX('Темы × классы'!$R:$R,MATCH(D273,'Темы × классы'!$D:$D,0))&amp;"","")</f>
        <v/>
      </c>
      <c r="H273" s="4" t="inlineStr">
        <is>
          <t>не начат</t>
        </is>
      </c>
      <c r="I273" s="4" t="inlineStr">
        <is>
          <t>Spotlight / 9 класс / Module 4 · Technology / be going to</t>
        </is>
      </c>
    </row>
    <row r="274">
      <c r="A274" s="12" t="n">
        <v>9</v>
      </c>
      <c r="B274" s="4" t="inlineStr">
        <is>
          <t>Module 4 · Technology</t>
        </is>
      </c>
      <c r="C274" s="4" t="inlineStr">
        <is>
          <t>4c</t>
        </is>
      </c>
      <c r="D274" s="5" t="inlineStr">
        <is>
          <t>Future forms (comparison)</t>
        </is>
      </c>
      <c r="E274" s="12" t="inlineStr">
        <is>
          <t>10+</t>
        </is>
      </c>
      <c r="F274" s="4">
        <f>IFERROR(INDEX('Темы × классы'!$Q:$Q,MATCH(D274,'Темы × классы'!$D:$D,0)),"")</f>
        <v/>
      </c>
      <c r="G274" s="4">
        <f>IFERROR(INDEX('Темы × классы'!$R:$R,MATCH(D274,'Темы × классы'!$D:$D,0))&amp;"","")</f>
        <v/>
      </c>
      <c r="H274" s="4" t="inlineStr">
        <is>
          <t>не начат</t>
        </is>
      </c>
      <c r="I274" s="4" t="inlineStr">
        <is>
          <t>Spotlight / 9 класс / Module 4 · Technology / Future forms (comparison)</t>
        </is>
      </c>
    </row>
    <row r="275">
      <c r="A275" s="12" t="n">
        <v>9</v>
      </c>
      <c r="B275" s="4" t="inlineStr">
        <is>
          <t>Module 4 · Technology</t>
        </is>
      </c>
      <c r="C275" s="4" t="inlineStr">
        <is>
          <t>4c</t>
        </is>
      </c>
      <c r="D275" s="5" t="inlineStr">
        <is>
          <t>Future Continuous</t>
        </is>
      </c>
      <c r="E275" s="12" t="inlineStr">
        <is>
          <t>10+</t>
        </is>
      </c>
      <c r="F275" s="4">
        <f>IFERROR(INDEX('Темы × классы'!$Q:$Q,MATCH(D275,'Темы × классы'!$D:$D,0)),"")</f>
        <v/>
      </c>
      <c r="G275" s="4">
        <f>IFERROR(INDEX('Темы × классы'!$R:$R,MATCH(D275,'Темы × классы'!$D:$D,0))&amp;"","")</f>
        <v/>
      </c>
      <c r="H275" s="4" t="inlineStr">
        <is>
          <t>не начат</t>
        </is>
      </c>
      <c r="I275" s="4" t="inlineStr">
        <is>
          <t>Spotlight / 9 класс / Module 4 · Technology / Future Continuous</t>
        </is>
      </c>
    </row>
    <row r="276">
      <c r="A276" s="12" t="n">
        <v>9</v>
      </c>
      <c r="B276" s="4" t="inlineStr">
        <is>
          <t>Module 4 · Technology</t>
        </is>
      </c>
      <c r="C276" s="4" t="inlineStr">
        <is>
          <t>4c</t>
        </is>
      </c>
      <c r="D276" s="5" t="inlineStr">
        <is>
          <t>Future Perfect</t>
        </is>
      </c>
      <c r="E276" s="12" t="inlineStr">
        <is>
          <t>10+</t>
        </is>
      </c>
      <c r="F276" s="4">
        <f>IFERROR(INDEX('Темы × классы'!$Q:$Q,MATCH(D276,'Темы × классы'!$D:$D,0)),"")</f>
        <v/>
      </c>
      <c r="G276" s="4">
        <f>IFERROR(INDEX('Темы × классы'!$R:$R,MATCH(D276,'Темы × классы'!$D:$D,0))&amp;"","")</f>
        <v/>
      </c>
      <c r="H276" s="4" t="inlineStr">
        <is>
          <t>не начат</t>
        </is>
      </c>
      <c r="I276" s="4" t="inlineStr">
        <is>
          <t>Spotlight / 9 класс / Module 4 · Technology / Future Perfect</t>
        </is>
      </c>
    </row>
    <row r="277">
      <c r="A277" s="12" t="n">
        <v>9</v>
      </c>
      <c r="B277" s="4" t="inlineStr">
        <is>
          <t>Module 4 · Technology</t>
        </is>
      </c>
      <c r="C277" s="4" t="inlineStr">
        <is>
          <t>4c</t>
        </is>
      </c>
      <c r="D277" s="5" t="inlineStr">
        <is>
          <t>so / such</t>
        </is>
      </c>
      <c r="E277" s="12" t="inlineStr">
        <is>
          <t>10+</t>
        </is>
      </c>
      <c r="F277" s="4">
        <f>IFERROR(INDEX('Темы × классы'!$Q:$Q,MATCH(D277,'Темы × классы'!$D:$D,0)),"")</f>
        <v/>
      </c>
      <c r="G277" s="4">
        <f>IFERROR(INDEX('Темы × классы'!$R:$R,MATCH(D277,'Темы × классы'!$D:$D,0))&amp;"","")</f>
        <v/>
      </c>
      <c r="H277" s="4" t="inlineStr">
        <is>
          <t>не начат</t>
        </is>
      </c>
      <c r="I277" s="4" t="inlineStr">
        <is>
          <t>Spotlight / 9 класс / Module 4 · Technology / so / such</t>
        </is>
      </c>
    </row>
    <row r="278">
      <c r="A278" s="12" t="n">
        <v>9</v>
      </c>
      <c r="B278" s="4" t="inlineStr">
        <is>
          <t>Module 4 · Technology</t>
        </is>
      </c>
      <c r="C278" s="4" t="inlineStr">
        <is>
          <t>4c</t>
        </is>
      </c>
      <c r="D278" s="5" t="inlineStr">
        <is>
          <t>Time clauses</t>
        </is>
      </c>
      <c r="E278" s="12" t="inlineStr">
        <is>
          <t>10+</t>
        </is>
      </c>
      <c r="F278" s="4">
        <f>IFERROR(INDEX('Темы × классы'!$Q:$Q,MATCH(D278,'Темы × классы'!$D:$D,0)),"")</f>
        <v/>
      </c>
      <c r="G278" s="4">
        <f>IFERROR(INDEX('Темы × классы'!$R:$R,MATCH(D278,'Темы × классы'!$D:$D,0))&amp;"","")</f>
        <v/>
      </c>
      <c r="H278" s="4" t="inlineStr">
        <is>
          <t>не начат</t>
        </is>
      </c>
      <c r="I278" s="4" t="inlineStr">
        <is>
          <t>Spotlight / 9 класс / Module 4 · Technology / Time clauses</t>
        </is>
      </c>
    </row>
    <row r="279">
      <c r="A279" s="12" t="n">
        <v>9</v>
      </c>
      <c r="B279" s="4" t="inlineStr">
        <is>
          <t>Module 4 · Technology</t>
        </is>
      </c>
      <c r="C279" s="4" t="inlineStr">
        <is>
          <t>4c</t>
        </is>
      </c>
      <c r="D279" s="5" t="inlineStr">
        <is>
          <t>Clauses of purpose</t>
        </is>
      </c>
      <c r="E279" s="12" t="inlineStr">
        <is>
          <t>10+</t>
        </is>
      </c>
      <c r="F279" s="4">
        <f>IFERROR(INDEX('Темы × классы'!$Q:$Q,MATCH(D279,'Темы × классы'!$D:$D,0)),"")</f>
        <v/>
      </c>
      <c r="G279" s="4">
        <f>IFERROR(INDEX('Темы × классы'!$R:$R,MATCH(D279,'Темы × классы'!$D:$D,0))&amp;"","")</f>
        <v/>
      </c>
      <c r="H279" s="4" t="inlineStr">
        <is>
          <t>не начат</t>
        </is>
      </c>
      <c r="I279" s="4" t="inlineStr">
        <is>
          <t>Spotlight / 9 класс / Module 4 · Technology / Clauses of purpose</t>
        </is>
      </c>
    </row>
    <row r="280">
      <c r="A280" s="12" t="n">
        <v>9</v>
      </c>
      <c r="B280" s="4" t="inlineStr">
        <is>
          <t>Module 4 · Technology</t>
        </is>
      </c>
      <c r="C280" s="4" t="inlineStr">
        <is>
          <t>4c</t>
        </is>
      </c>
      <c r="D280" s="5" t="inlineStr">
        <is>
          <t>Clauses of result</t>
        </is>
      </c>
      <c r="E280" s="12" t="inlineStr">
        <is>
          <t>10+</t>
        </is>
      </c>
      <c r="F280" s="4">
        <f>IFERROR(INDEX('Темы × классы'!$Q:$Q,MATCH(D280,'Темы × классы'!$D:$D,0)),"")</f>
        <v/>
      </c>
      <c r="G280" s="4">
        <f>IFERROR(INDEX('Темы × классы'!$R:$R,MATCH(D280,'Темы × классы'!$D:$D,0))&amp;"","")</f>
        <v/>
      </c>
      <c r="H280" s="4" t="inlineStr">
        <is>
          <t>не начат</t>
        </is>
      </c>
      <c r="I280" s="4" t="inlineStr">
        <is>
          <t>Spotlight / 9 класс / Module 4 · Technology / Clauses of result</t>
        </is>
      </c>
    </row>
    <row r="281">
      <c r="A281" s="12" t="n">
        <v>9</v>
      </c>
      <c r="B281" s="4" t="inlineStr">
        <is>
          <t>Module 4 · Technology</t>
        </is>
      </c>
      <c r="C281" s="4" t="inlineStr">
        <is>
          <t>4f</t>
        </is>
      </c>
      <c r="D281" s="5" t="inlineStr">
        <is>
          <t>Phrasal verbs: break</t>
        </is>
      </c>
      <c r="E281" s="12" t="inlineStr">
        <is>
          <t>10+</t>
        </is>
      </c>
      <c r="F281" s="4">
        <f>IFERROR(INDEX('Темы × классы'!$Q:$Q,MATCH(D281,'Темы × классы'!$D:$D,0)),"")</f>
        <v/>
      </c>
      <c r="G281" s="4">
        <f>IFERROR(INDEX('Темы × классы'!$R:$R,MATCH(D281,'Темы × классы'!$D:$D,0))&amp;"","")</f>
        <v/>
      </c>
      <c r="H281" s="4" t="inlineStr">
        <is>
          <t>не начат</t>
        </is>
      </c>
      <c r="I281" s="4" t="inlineStr">
        <is>
          <t>Spotlight / 9 класс / Module 4 · Technology / Phrasal verbs: break</t>
        </is>
      </c>
    </row>
    <row r="282">
      <c r="A282" s="12" t="n">
        <v>9</v>
      </c>
      <c r="B282" s="4" t="inlineStr">
        <is>
          <t>Module 4 · Technology</t>
        </is>
      </c>
      <c r="C282" s="4" t="inlineStr">
        <is>
          <t>4f</t>
        </is>
      </c>
      <c r="D282" s="5" t="inlineStr">
        <is>
          <t>Word formation: nouns from verbs</t>
        </is>
      </c>
      <c r="E282" s="12" t="inlineStr">
        <is>
          <t>10+</t>
        </is>
      </c>
      <c r="F282" s="4">
        <f>IFERROR(INDEX('Темы × классы'!$Q:$Q,MATCH(D282,'Темы × классы'!$D:$D,0)),"")</f>
        <v/>
      </c>
      <c r="G282" s="4">
        <f>IFERROR(INDEX('Темы × классы'!$R:$R,MATCH(D282,'Темы × классы'!$D:$D,0))&amp;"","")</f>
        <v/>
      </c>
      <c r="H282" s="4" t="inlineStr">
        <is>
          <t>не начат</t>
        </is>
      </c>
      <c r="I282" s="4" t="inlineStr">
        <is>
          <t>Spotlight / 9 класс / Module 4 · Technology / Word formation: nouns from verbs</t>
        </is>
      </c>
    </row>
    <row r="283">
      <c r="A283" s="12" t="n">
        <v>9</v>
      </c>
      <c r="B283" s="4" t="inlineStr">
        <is>
          <t>Module 4 · Technology</t>
        </is>
      </c>
      <c r="C283" s="4" t="inlineStr">
        <is>
          <t>4f</t>
        </is>
      </c>
      <c r="D283" s="5" t="inlineStr">
        <is>
          <t>Dependent prepositions</t>
        </is>
      </c>
      <c r="E283" s="12" t="inlineStr">
        <is>
          <t>10+</t>
        </is>
      </c>
      <c r="F283" s="4">
        <f>IFERROR(INDEX('Темы × классы'!$Q:$Q,MATCH(D283,'Темы × классы'!$D:$D,0)),"")</f>
        <v/>
      </c>
      <c r="G283" s="4">
        <f>IFERROR(INDEX('Темы × классы'!$R:$R,MATCH(D283,'Темы × классы'!$D:$D,0))&amp;"","")</f>
        <v/>
      </c>
      <c r="H283" s="4" t="inlineStr">
        <is>
          <t>не начат</t>
        </is>
      </c>
      <c r="I283" s="4" t="inlineStr">
        <is>
          <t>Spotlight / 9 класс / Module 4 · Technology / Dependent prepositions</t>
        </is>
      </c>
    </row>
    <row r="284">
      <c r="A284" s="12" t="n">
        <v>9</v>
      </c>
      <c r="B284" s="4" t="inlineStr">
        <is>
          <t>Module 5 · Art &amp; Literature</t>
        </is>
      </c>
      <c r="C284" s="4" t="inlineStr">
        <is>
          <t>5d</t>
        </is>
      </c>
      <c r="D284" s="5" t="inlineStr">
        <is>
          <t>Expressing preference (prefer / would rather)</t>
        </is>
      </c>
      <c r="E284" s="12" t="inlineStr">
        <is>
          <t>10+</t>
        </is>
      </c>
      <c r="F284" s="4">
        <f>IFERROR(INDEX('Темы × классы'!$Q:$Q,MATCH(D284,'Темы × классы'!$D:$D,0)),"")</f>
        <v/>
      </c>
      <c r="G284" s="4">
        <f>IFERROR(INDEX('Темы × классы'!$R:$R,MATCH(D284,'Темы × классы'!$D:$D,0))&amp;"","")</f>
        <v/>
      </c>
      <c r="H284" s="4" t="inlineStr">
        <is>
          <t>не начат</t>
        </is>
      </c>
      <c r="I284" s="4" t="inlineStr">
        <is>
          <t>Spotlight / 9 класс / Module 5 · Art &amp; Literature / Expressing preference (prefer / would rather)</t>
        </is>
      </c>
    </row>
    <row r="285">
      <c r="A285" s="12" t="n">
        <v>9</v>
      </c>
      <c r="B285" s="4" t="inlineStr">
        <is>
          <t>Module 5 · Art &amp; Literature</t>
        </is>
      </c>
      <c r="C285" s="4" t="inlineStr">
        <is>
          <t>5c</t>
        </is>
      </c>
      <c r="D285" s="5" t="inlineStr">
        <is>
          <t>Comparatives &amp; Superlatives</t>
        </is>
      </c>
      <c r="E285" s="12" t="inlineStr">
        <is>
          <t>10+</t>
        </is>
      </c>
      <c r="F285" s="4">
        <f>IFERROR(INDEX('Темы × классы'!$Q:$Q,MATCH(D285,'Темы × классы'!$D:$D,0)),"")</f>
        <v/>
      </c>
      <c r="G285" s="4">
        <f>IFERROR(INDEX('Темы × классы'!$R:$R,MATCH(D285,'Темы × классы'!$D:$D,0))&amp;"","")</f>
        <v/>
      </c>
      <c r="H285" s="4" t="inlineStr">
        <is>
          <t>не начат</t>
        </is>
      </c>
      <c r="I285" s="4" t="inlineStr">
        <is>
          <t>Spotlight / 9 класс / Module 5 · Art &amp; Literature / Comparatives &amp; Superlatives</t>
        </is>
      </c>
    </row>
    <row r="286">
      <c r="A286" s="12" t="n">
        <v>9</v>
      </c>
      <c r="B286" s="4" t="inlineStr">
        <is>
          <t>Module 5 · Art &amp; Literature</t>
        </is>
      </c>
      <c r="C286" s="4" t="inlineStr">
        <is>
          <t>5f</t>
        </is>
      </c>
      <c r="D286" s="5" t="inlineStr">
        <is>
          <t>Phrasal verbs: run</t>
        </is>
      </c>
      <c r="E286" s="12" t="inlineStr">
        <is>
          <t>10+</t>
        </is>
      </c>
      <c r="F286" s="4">
        <f>IFERROR(INDEX('Темы × классы'!$Q:$Q,MATCH(D286,'Темы × классы'!$D:$D,0)),"")</f>
        <v/>
      </c>
      <c r="G286" s="4">
        <f>IFERROR(INDEX('Темы × классы'!$R:$R,MATCH(D286,'Темы × классы'!$D:$D,0))&amp;"","")</f>
        <v/>
      </c>
      <c r="H286" s="4" t="inlineStr">
        <is>
          <t>не начат</t>
        </is>
      </c>
      <c r="I286" s="4" t="inlineStr">
        <is>
          <t>Spotlight / 9 класс / Module 5 · Art &amp; Literature / Phrasal verbs: run</t>
        </is>
      </c>
    </row>
    <row r="287">
      <c r="A287" s="12" t="n">
        <v>9</v>
      </c>
      <c r="B287" s="4" t="inlineStr">
        <is>
          <t>Module 5 · Art &amp; Literature</t>
        </is>
      </c>
      <c r="C287" s="4" t="inlineStr">
        <is>
          <t>5f</t>
        </is>
      </c>
      <c r="D287" s="5" t="inlineStr">
        <is>
          <t>Word formation: verbs with prefixes</t>
        </is>
      </c>
      <c r="E287" s="12" t="inlineStr">
        <is>
          <t>10+</t>
        </is>
      </c>
      <c r="F287" s="4">
        <f>IFERROR(INDEX('Темы × классы'!$Q:$Q,MATCH(D287,'Темы × классы'!$D:$D,0)),"")</f>
        <v/>
      </c>
      <c r="G287" s="4">
        <f>IFERROR(INDEX('Темы × классы'!$R:$R,MATCH(D287,'Темы × классы'!$D:$D,0))&amp;"","")</f>
        <v/>
      </c>
      <c r="H287" s="4" t="inlineStr">
        <is>
          <t>не начат</t>
        </is>
      </c>
      <c r="I287" s="4" t="inlineStr">
        <is>
          <t>Spotlight / 9 класс / Module 5 · Art &amp; Literature / Word formation: verbs with prefixes</t>
        </is>
      </c>
    </row>
    <row r="288">
      <c r="A288" s="12" t="n">
        <v>9</v>
      </c>
      <c r="B288" s="4" t="inlineStr">
        <is>
          <t>Module 5 · Art &amp; Literature</t>
        </is>
      </c>
      <c r="C288" s="4" t="inlineStr">
        <is>
          <t>5f</t>
        </is>
      </c>
      <c r="D288" s="5" t="inlineStr">
        <is>
          <t>Dependent prepositions</t>
        </is>
      </c>
      <c r="E288" s="12" t="inlineStr">
        <is>
          <t>10+</t>
        </is>
      </c>
      <c r="F288" s="4">
        <f>IFERROR(INDEX('Темы × классы'!$Q:$Q,MATCH(D288,'Темы × классы'!$D:$D,0)),"")</f>
        <v/>
      </c>
      <c r="G288" s="4">
        <f>IFERROR(INDEX('Темы × классы'!$R:$R,MATCH(D288,'Темы × классы'!$D:$D,0))&amp;"","")</f>
        <v/>
      </c>
      <c r="H288" s="4" t="inlineStr">
        <is>
          <t>не начат</t>
        </is>
      </c>
      <c r="I288" s="4" t="inlineStr">
        <is>
          <t>Spotlight / 9 класс / Module 5 · Art &amp; Literature / Dependent prepositions</t>
        </is>
      </c>
    </row>
    <row r="289">
      <c r="A289" s="12" t="n">
        <v>9</v>
      </c>
      <c r="B289" s="4" t="inlineStr">
        <is>
          <t>Module 6 · Town &amp; Community</t>
        </is>
      </c>
      <c r="C289" s="4" t="inlineStr">
        <is>
          <t>6c</t>
        </is>
      </c>
      <c r="D289" s="5" t="inlineStr">
        <is>
          <t>Causative (have something done)</t>
        </is>
      </c>
      <c r="E289" s="12" t="inlineStr">
        <is>
          <t>10+</t>
        </is>
      </c>
      <c r="F289" s="4">
        <f>IFERROR(INDEX('Темы × классы'!$Q:$Q,MATCH(D289,'Темы × классы'!$D:$D,0)),"")</f>
        <v/>
      </c>
      <c r="G289" s="4">
        <f>IFERROR(INDEX('Темы × классы'!$R:$R,MATCH(D289,'Темы × классы'!$D:$D,0))&amp;"","")</f>
        <v/>
      </c>
      <c r="H289" s="4" t="inlineStr">
        <is>
          <t>не начат</t>
        </is>
      </c>
      <c r="I289" s="4" t="inlineStr">
        <is>
          <t>Spotlight / 9 класс / Module 6 · Town &amp; Community / Causative (have something done)</t>
        </is>
      </c>
    </row>
    <row r="290">
      <c r="A290" s="12" t="n">
        <v>9</v>
      </c>
      <c r="B290" s="4" t="inlineStr">
        <is>
          <t>Module 6 · Town &amp; Community</t>
        </is>
      </c>
      <c r="C290" s="4" t="inlineStr">
        <is>
          <t>6c</t>
        </is>
      </c>
      <c r="D290" s="5" t="inlineStr">
        <is>
          <t>Passive Voice</t>
        </is>
      </c>
      <c r="E290" s="12" t="inlineStr">
        <is>
          <t>10+</t>
        </is>
      </c>
      <c r="F290" s="4">
        <f>IFERROR(INDEX('Темы × классы'!$Q:$Q,MATCH(D290,'Темы × классы'!$D:$D,0)),"")</f>
        <v/>
      </c>
      <c r="G290" s="4">
        <f>IFERROR(INDEX('Темы × классы'!$R:$R,MATCH(D290,'Темы × классы'!$D:$D,0))&amp;"","")</f>
        <v/>
      </c>
      <c r="H290" s="4" t="inlineStr">
        <is>
          <t>не начат</t>
        </is>
      </c>
      <c r="I290" s="4" t="inlineStr">
        <is>
          <t>Spotlight / 9 класс / Module 6 · Town &amp; Community / Passive Voice</t>
        </is>
      </c>
    </row>
    <row r="291">
      <c r="A291" s="12" t="n">
        <v>9</v>
      </c>
      <c r="B291" s="4" t="inlineStr">
        <is>
          <t>Module 6 · Town &amp; Community</t>
        </is>
      </c>
      <c r="C291" s="4" t="inlineStr">
        <is>
          <t>6d</t>
        </is>
      </c>
      <c r="D291" s="5" t="inlineStr">
        <is>
          <t>Reflexive pronouns</t>
        </is>
      </c>
      <c r="E291" s="12" t="inlineStr">
        <is>
          <t>10+</t>
        </is>
      </c>
      <c r="F291" s="4">
        <f>IFERROR(INDEX('Темы × классы'!$Q:$Q,MATCH(D291,'Темы × классы'!$D:$D,0)),"")</f>
        <v/>
      </c>
      <c r="G291" s="4">
        <f>IFERROR(INDEX('Темы × классы'!$R:$R,MATCH(D291,'Темы × классы'!$D:$D,0))&amp;"","")</f>
        <v/>
      </c>
      <c r="H291" s="4" t="inlineStr">
        <is>
          <t>не начат</t>
        </is>
      </c>
      <c r="I291" s="4" t="inlineStr">
        <is>
          <t>Spotlight / 9 класс / Module 6 · Town &amp; Community / Reflexive pronouns</t>
        </is>
      </c>
    </row>
    <row r="292">
      <c r="A292" s="12" t="n">
        <v>9</v>
      </c>
      <c r="B292" s="4" t="inlineStr">
        <is>
          <t>Module 6 · Town &amp; Community</t>
        </is>
      </c>
      <c r="C292" s="4" t="inlineStr">
        <is>
          <t>6f</t>
        </is>
      </c>
      <c r="D292" s="5" t="inlineStr">
        <is>
          <t>Phrasal verbs: check</t>
        </is>
      </c>
      <c r="E292" s="12" t="inlineStr">
        <is>
          <t>10+</t>
        </is>
      </c>
      <c r="F292" s="4">
        <f>IFERROR(INDEX('Темы × классы'!$Q:$Q,MATCH(D292,'Темы × классы'!$D:$D,0)),"")</f>
        <v/>
      </c>
      <c r="G292" s="4">
        <f>IFERROR(INDEX('Темы × классы'!$R:$R,MATCH(D292,'Темы × классы'!$D:$D,0))&amp;"","")</f>
        <v/>
      </c>
      <c r="H292" s="4" t="inlineStr">
        <is>
          <t>не начат</t>
        </is>
      </c>
      <c r="I292" s="4" t="inlineStr">
        <is>
          <t>Spotlight / 9 класс / Module 6 · Town &amp; Community / Phrasal verbs: check</t>
        </is>
      </c>
    </row>
    <row r="293">
      <c r="A293" s="12" t="n">
        <v>9</v>
      </c>
      <c r="B293" s="4" t="inlineStr">
        <is>
          <t>Module 6 · Town &amp; Community</t>
        </is>
      </c>
      <c r="C293" s="4" t="inlineStr">
        <is>
          <t>6f</t>
        </is>
      </c>
      <c r="D293" s="5" t="inlineStr">
        <is>
          <t>Word formation: abstract nouns</t>
        </is>
      </c>
      <c r="E293" s="12" t="inlineStr">
        <is>
          <t>10+</t>
        </is>
      </c>
      <c r="F293" s="4">
        <f>IFERROR(INDEX('Темы × классы'!$Q:$Q,MATCH(D293,'Темы × классы'!$D:$D,0)),"")</f>
        <v/>
      </c>
      <c r="G293" s="4">
        <f>IFERROR(INDEX('Темы × классы'!$R:$R,MATCH(D293,'Темы × классы'!$D:$D,0))&amp;"","")</f>
        <v/>
      </c>
      <c r="H293" s="4" t="inlineStr">
        <is>
          <t>не начат</t>
        </is>
      </c>
      <c r="I293" s="4" t="inlineStr">
        <is>
          <t>Spotlight / 9 класс / Module 6 · Town &amp; Community / Word formation: abstract nouns</t>
        </is>
      </c>
    </row>
    <row r="294">
      <c r="A294" s="12" t="n">
        <v>9</v>
      </c>
      <c r="B294" s="4" t="inlineStr">
        <is>
          <t>Module 6 · Town &amp; Community</t>
        </is>
      </c>
      <c r="C294" s="4" t="inlineStr">
        <is>
          <t>6f</t>
        </is>
      </c>
      <c r="D294" s="5" t="inlineStr">
        <is>
          <t>Dependent prepositions</t>
        </is>
      </c>
      <c r="E294" s="12" t="inlineStr">
        <is>
          <t>10+</t>
        </is>
      </c>
      <c r="F294" s="4">
        <f>IFERROR(INDEX('Темы × классы'!$Q:$Q,MATCH(D294,'Темы × классы'!$D:$D,0)),"")</f>
        <v/>
      </c>
      <c r="G294" s="4">
        <f>IFERROR(INDEX('Темы × классы'!$R:$R,MATCH(D294,'Темы × классы'!$D:$D,0))&amp;"","")</f>
        <v/>
      </c>
      <c r="H294" s="4" t="inlineStr">
        <is>
          <t>не начат</t>
        </is>
      </c>
      <c r="I294" s="4" t="inlineStr">
        <is>
          <t>Spotlight / 9 класс / Module 6 · Town &amp; Community / Dependent prepositions</t>
        </is>
      </c>
    </row>
    <row r="295">
      <c r="A295" s="12" t="n">
        <v>9</v>
      </c>
      <c r="B295" s="4" t="inlineStr">
        <is>
          <t>Module 7 · Staying safe</t>
        </is>
      </c>
      <c r="C295" s="4" t="inlineStr">
        <is>
          <t>7d</t>
        </is>
      </c>
      <c r="D295" s="5" t="inlineStr">
        <is>
          <t>have to</t>
        </is>
      </c>
      <c r="E295" s="12" t="inlineStr">
        <is>
          <t>10+</t>
        </is>
      </c>
      <c r="F295" s="4">
        <f>IFERROR(INDEX('Темы × классы'!$Q:$Q,MATCH(D295,'Темы × классы'!$D:$D,0)),"")</f>
        <v/>
      </c>
      <c r="G295" s="4">
        <f>IFERROR(INDEX('Темы × классы'!$R:$R,MATCH(D295,'Темы × классы'!$D:$D,0))&amp;"","")</f>
        <v/>
      </c>
      <c r="H295" s="4" t="inlineStr">
        <is>
          <t>не начат</t>
        </is>
      </c>
      <c r="I295" s="4" t="inlineStr">
        <is>
          <t>Spotlight / 9 класс / Module 7 · Staying safe / have to</t>
        </is>
      </c>
    </row>
    <row r="296">
      <c r="A296" s="12" t="n">
        <v>9</v>
      </c>
      <c r="B296" s="4" t="inlineStr">
        <is>
          <t>Module 7 · Staying safe</t>
        </is>
      </c>
      <c r="C296" s="4" t="inlineStr">
        <is>
          <t>7d</t>
        </is>
      </c>
      <c r="D296" s="5" t="inlineStr">
        <is>
          <t>may/might</t>
        </is>
      </c>
      <c r="E296" s="12" t="inlineStr">
        <is>
          <t>10+</t>
        </is>
      </c>
      <c r="F296" s="4">
        <f>IFERROR(INDEX('Темы × классы'!$Q:$Q,MATCH(D296,'Темы × классы'!$D:$D,0)),"")</f>
        <v/>
      </c>
      <c r="G296" s="4">
        <f>IFERROR(INDEX('Темы × классы'!$R:$R,MATCH(D296,'Темы × классы'!$D:$D,0))&amp;"","")</f>
        <v/>
      </c>
      <c r="H296" s="4" t="inlineStr">
        <is>
          <t>не начат</t>
        </is>
      </c>
      <c r="I296" s="4" t="inlineStr">
        <is>
          <t>Spotlight / 9 класс / Module 7 · Staying safe / may/might</t>
        </is>
      </c>
    </row>
    <row r="297">
      <c r="A297" s="12" t="n">
        <v>9</v>
      </c>
      <c r="B297" s="4" t="inlineStr">
        <is>
          <t>Module 7 · Staying safe</t>
        </is>
      </c>
      <c r="C297" s="4" t="inlineStr">
        <is>
          <t>7d</t>
        </is>
      </c>
      <c r="D297" s="5" t="inlineStr">
        <is>
          <t>must/mustn't</t>
        </is>
      </c>
      <c r="E297" s="12" t="inlineStr">
        <is>
          <t>10+</t>
        </is>
      </c>
      <c r="F297" s="4">
        <f>IFERROR(INDEX('Темы × классы'!$Q:$Q,MATCH(D297,'Темы × классы'!$D:$D,0)),"")</f>
        <v/>
      </c>
      <c r="G297" s="4">
        <f>IFERROR(INDEX('Темы × классы'!$R:$R,MATCH(D297,'Темы × классы'!$D:$D,0))&amp;"","")</f>
        <v/>
      </c>
      <c r="H297" s="4" t="inlineStr">
        <is>
          <t>не начат</t>
        </is>
      </c>
      <c r="I297" s="4" t="inlineStr">
        <is>
          <t>Spotlight / 9 класс / Module 7 · Staying safe / must/mustn't</t>
        </is>
      </c>
    </row>
    <row r="298">
      <c r="A298" s="12" t="n">
        <v>9</v>
      </c>
      <c r="B298" s="4" t="inlineStr">
        <is>
          <t>Module 7 · Staying safe</t>
        </is>
      </c>
      <c r="C298" s="4" t="inlineStr">
        <is>
          <t>7d</t>
        </is>
      </c>
      <c r="D298" s="5" t="inlineStr">
        <is>
          <t>can (permission/request)</t>
        </is>
      </c>
      <c r="E298" s="12" t="inlineStr">
        <is>
          <t>10+</t>
        </is>
      </c>
      <c r="F298" s="4">
        <f>IFERROR(INDEX('Темы × классы'!$Q:$Q,MATCH(D298,'Темы × классы'!$D:$D,0)),"")</f>
        <v/>
      </c>
      <c r="G298" s="4">
        <f>IFERROR(INDEX('Темы × классы'!$R:$R,MATCH(D298,'Темы × классы'!$D:$D,0))&amp;"","")</f>
        <v/>
      </c>
      <c r="H298" s="4" t="inlineStr">
        <is>
          <t>не начат</t>
        </is>
      </c>
      <c r="I298" s="4" t="inlineStr">
        <is>
          <t>Spotlight / 9 класс / Module 7 · Staying safe / can (permission/request)</t>
        </is>
      </c>
    </row>
    <row r="299">
      <c r="A299" s="12" t="n">
        <v>9</v>
      </c>
      <c r="B299" s="4" t="inlineStr">
        <is>
          <t>Module 7 · Staying safe</t>
        </is>
      </c>
      <c r="C299" s="4" t="inlineStr">
        <is>
          <t>7d</t>
        </is>
      </c>
      <c r="D299" s="5" t="inlineStr">
        <is>
          <t>need/needn't</t>
        </is>
      </c>
      <c r="E299" s="12" t="inlineStr">
        <is>
          <t>10+</t>
        </is>
      </c>
      <c r="F299" s="4">
        <f>IFERROR(INDEX('Темы × классы'!$Q:$Q,MATCH(D299,'Темы × классы'!$D:$D,0)),"")</f>
        <v/>
      </c>
      <c r="G299" s="4">
        <f>IFERROR(INDEX('Темы × классы'!$R:$R,MATCH(D299,'Темы × классы'!$D:$D,0))&amp;"","")</f>
        <v/>
      </c>
      <c r="H299" s="4" t="inlineStr">
        <is>
          <t>не начат</t>
        </is>
      </c>
      <c r="I299" s="4" t="inlineStr">
        <is>
          <t>Spotlight / 9 класс / Module 7 · Staying safe / need/needn't</t>
        </is>
      </c>
    </row>
    <row r="300">
      <c r="A300" s="12" t="n">
        <v>9</v>
      </c>
      <c r="B300" s="4" t="inlineStr">
        <is>
          <t>Module 7 · Staying safe</t>
        </is>
      </c>
      <c r="C300" s="4" t="inlineStr">
        <is>
          <t>7d</t>
        </is>
      </c>
      <c r="D300" s="5" t="inlineStr">
        <is>
          <t>should/shouldn't</t>
        </is>
      </c>
      <c r="E300" s="12" t="inlineStr">
        <is>
          <t>10+</t>
        </is>
      </c>
      <c r="F300" s="4">
        <f>IFERROR(INDEX('Темы × классы'!$Q:$Q,MATCH(D300,'Темы × классы'!$D:$D,0)),"")</f>
        <v/>
      </c>
      <c r="G300" s="4">
        <f>IFERROR(INDEX('Темы × классы'!$R:$R,MATCH(D300,'Темы × классы'!$D:$D,0))&amp;"","")</f>
        <v/>
      </c>
      <c r="H300" s="4" t="inlineStr">
        <is>
          <t>не начат</t>
        </is>
      </c>
      <c r="I300" s="4" t="inlineStr">
        <is>
          <t>Spotlight / 9 класс / Module 7 · Staying safe / should/shouldn't</t>
        </is>
      </c>
    </row>
    <row r="301">
      <c r="A301" s="12" t="n">
        <v>9</v>
      </c>
      <c r="B301" s="4" t="inlineStr">
        <is>
          <t>Module 7 · Staying safe</t>
        </is>
      </c>
      <c r="C301" s="4" t="inlineStr">
        <is>
          <t>7d</t>
        </is>
      </c>
      <c r="D301" s="5" t="inlineStr">
        <is>
          <t>Modal verbs (functions)</t>
        </is>
      </c>
      <c r="E301" s="12" t="inlineStr">
        <is>
          <t>10+</t>
        </is>
      </c>
      <c r="F301" s="4">
        <f>IFERROR(INDEX('Темы × классы'!$Q:$Q,MATCH(D301,'Темы × классы'!$D:$D,0)),"")</f>
        <v/>
      </c>
      <c r="G301" s="4">
        <f>IFERROR(INDEX('Темы × классы'!$R:$R,MATCH(D301,'Темы × классы'!$D:$D,0))&amp;"","")</f>
        <v/>
      </c>
      <c r="H301" s="4" t="inlineStr">
        <is>
          <t>не начат</t>
        </is>
      </c>
      <c r="I301" s="4" t="inlineStr">
        <is>
          <t>Spotlight / 9 класс / Module 7 · Staying safe / Modal verbs (functions)</t>
        </is>
      </c>
    </row>
    <row r="302">
      <c r="A302" s="12" t="n">
        <v>9</v>
      </c>
      <c r="B302" s="4" t="inlineStr">
        <is>
          <t>Module 7 · Staying safe</t>
        </is>
      </c>
      <c r="C302" s="4" t="inlineStr">
        <is>
          <t>7d</t>
        </is>
      </c>
      <c r="D302" s="5" t="inlineStr">
        <is>
          <t>can/could (ability past)</t>
        </is>
      </c>
      <c r="E302" s="12" t="inlineStr">
        <is>
          <t>10+</t>
        </is>
      </c>
      <c r="F302" s="4">
        <f>IFERROR(INDEX('Темы × классы'!$Q:$Q,MATCH(D302,'Темы × классы'!$D:$D,0)),"")</f>
        <v/>
      </c>
      <c r="G302" s="4">
        <f>IFERROR(INDEX('Темы × классы'!$R:$R,MATCH(D302,'Темы × классы'!$D:$D,0))&amp;"","")</f>
        <v/>
      </c>
      <c r="H302" s="4" t="inlineStr">
        <is>
          <t>не начат</t>
        </is>
      </c>
      <c r="I302" s="4" t="inlineStr">
        <is>
          <t>Spotlight / 9 класс / Module 7 · Staying safe / can/could (ability past)</t>
        </is>
      </c>
    </row>
    <row r="303">
      <c r="A303" s="12" t="n">
        <v>9</v>
      </c>
      <c r="B303" s="4" t="inlineStr">
        <is>
          <t>Module 7 · Staying safe</t>
        </is>
      </c>
      <c r="C303" s="4" t="inlineStr">
        <is>
          <t>7c</t>
        </is>
      </c>
      <c r="D303" s="5" t="inlineStr">
        <is>
          <t>Conditionals (Type 1)</t>
        </is>
      </c>
      <c r="E303" s="12" t="inlineStr">
        <is>
          <t>10+</t>
        </is>
      </c>
      <c r="F303" s="4">
        <f>IFERROR(INDEX('Темы × классы'!$Q:$Q,MATCH(D303,'Темы × классы'!$D:$D,0)),"")</f>
        <v/>
      </c>
      <c r="G303" s="4">
        <f>IFERROR(INDEX('Темы × классы'!$R:$R,MATCH(D303,'Темы × классы'!$D:$D,0))&amp;"","")</f>
        <v/>
      </c>
      <c r="H303" s="4" t="inlineStr">
        <is>
          <t>не начат</t>
        </is>
      </c>
      <c r="I303" s="4" t="inlineStr">
        <is>
          <t>Spotlight / 9 класс / Module 7 · Staying safe / Conditionals (Type 1)</t>
        </is>
      </c>
    </row>
    <row r="304">
      <c r="A304" s="12" t="n">
        <v>9</v>
      </c>
      <c r="B304" s="4" t="inlineStr">
        <is>
          <t>Module 7 · Staying safe</t>
        </is>
      </c>
      <c r="C304" s="4" t="inlineStr">
        <is>
          <t>7c</t>
        </is>
      </c>
      <c r="D304" s="5" t="inlineStr">
        <is>
          <t>Conditionals (Type 2)</t>
        </is>
      </c>
      <c r="E304" s="12" t="inlineStr">
        <is>
          <t>10+</t>
        </is>
      </c>
      <c r="F304" s="4">
        <f>IFERROR(INDEX('Темы × классы'!$Q:$Q,MATCH(D304,'Темы × классы'!$D:$D,0)),"")</f>
        <v/>
      </c>
      <c r="G304" s="4">
        <f>IFERROR(INDEX('Темы × классы'!$R:$R,MATCH(D304,'Темы × классы'!$D:$D,0))&amp;"","")</f>
        <v/>
      </c>
      <c r="H304" s="4" t="inlineStr">
        <is>
          <t>не начат</t>
        </is>
      </c>
      <c r="I304" s="4" t="inlineStr">
        <is>
          <t>Spotlight / 9 класс / Module 7 · Staying safe / Conditionals (Type 2)</t>
        </is>
      </c>
    </row>
    <row r="305">
      <c r="A305" s="12" t="n">
        <v>9</v>
      </c>
      <c r="B305" s="4" t="inlineStr">
        <is>
          <t>Module 7 · Staying safe</t>
        </is>
      </c>
      <c r="C305" s="4" t="inlineStr">
        <is>
          <t>7c</t>
        </is>
      </c>
      <c r="D305" s="5" t="inlineStr">
        <is>
          <t>Conditionals (Type 3)</t>
        </is>
      </c>
      <c r="E305" s="12" t="inlineStr">
        <is>
          <t>10+</t>
        </is>
      </c>
      <c r="F305" s="4">
        <f>IFERROR(INDEX('Темы × классы'!$Q:$Q,MATCH(D305,'Темы × классы'!$D:$D,0)),"")</f>
        <v/>
      </c>
      <c r="G305" s="4">
        <f>IFERROR(INDEX('Темы × классы'!$R:$R,MATCH(D305,'Темы × классы'!$D:$D,0))&amp;"","")</f>
        <v/>
      </c>
      <c r="H305" s="4" t="inlineStr">
        <is>
          <t>не начат</t>
        </is>
      </c>
      <c r="I305" s="4" t="inlineStr">
        <is>
          <t>Spotlight / 9 класс / Module 7 · Staying safe / Conditionals (Type 3)</t>
        </is>
      </c>
    </row>
    <row r="306">
      <c r="A306" s="12" t="n">
        <v>9</v>
      </c>
      <c r="B306" s="4" t="inlineStr">
        <is>
          <t>Module 7 · Staying safe</t>
        </is>
      </c>
      <c r="C306" s="4" t="inlineStr">
        <is>
          <t>7c</t>
        </is>
      </c>
      <c r="D306" s="5" t="inlineStr">
        <is>
          <t>Wishes (I wish / If only)</t>
        </is>
      </c>
      <c r="E306" s="12" t="inlineStr">
        <is>
          <t>10+</t>
        </is>
      </c>
      <c r="F306" s="4">
        <f>IFERROR(INDEX('Темы × классы'!$Q:$Q,MATCH(D306,'Темы × классы'!$D:$D,0)),"")</f>
        <v/>
      </c>
      <c r="G306" s="4">
        <f>IFERROR(INDEX('Темы × классы'!$R:$R,MATCH(D306,'Темы × классы'!$D:$D,0))&amp;"","")</f>
        <v/>
      </c>
      <c r="H306" s="4" t="inlineStr">
        <is>
          <t>не начат</t>
        </is>
      </c>
      <c r="I306" s="4" t="inlineStr">
        <is>
          <t>Spotlight / 9 класс / Module 7 · Staying safe / Wishes (I wish / If only)</t>
        </is>
      </c>
    </row>
    <row r="307">
      <c r="A307" s="12" t="n">
        <v>9</v>
      </c>
      <c r="B307" s="4" t="inlineStr">
        <is>
          <t>Module 7 · Staying safe</t>
        </is>
      </c>
      <c r="C307" s="4" t="inlineStr">
        <is>
          <t>7c</t>
        </is>
      </c>
      <c r="D307" s="5" t="inlineStr">
        <is>
          <t>Conditional linkers (unless, provided…)</t>
        </is>
      </c>
      <c r="E307" s="12" t="inlineStr">
        <is>
          <t>10+</t>
        </is>
      </c>
      <c r="F307" s="4">
        <f>IFERROR(INDEX('Темы × классы'!$Q:$Q,MATCH(D307,'Темы × классы'!$D:$D,0)),"")</f>
        <v/>
      </c>
      <c r="G307" s="4">
        <f>IFERROR(INDEX('Темы × классы'!$R:$R,MATCH(D307,'Темы × классы'!$D:$D,0))&amp;"","")</f>
        <v/>
      </c>
      <c r="H307" s="4" t="inlineStr">
        <is>
          <t>не начат</t>
        </is>
      </c>
      <c r="I307" s="4" t="inlineStr">
        <is>
          <t>Spotlight / 9 класс / Module 7 · Staying safe / Conditional linkers (unless, provided…)</t>
        </is>
      </c>
    </row>
    <row r="308">
      <c r="A308" s="12" t="n">
        <v>9</v>
      </c>
      <c r="B308" s="4" t="inlineStr">
        <is>
          <t>Module 7 · Staying safe</t>
        </is>
      </c>
      <c r="C308" s="4" t="inlineStr">
        <is>
          <t>7f</t>
        </is>
      </c>
      <c r="D308" s="5" t="inlineStr">
        <is>
          <t>Phrasal verbs: keep</t>
        </is>
      </c>
      <c r="E308" s="12" t="inlineStr">
        <is>
          <t>10+</t>
        </is>
      </c>
      <c r="F308" s="4">
        <f>IFERROR(INDEX('Темы × классы'!$Q:$Q,MATCH(D308,'Темы × классы'!$D:$D,0)),"")</f>
        <v/>
      </c>
      <c r="G308" s="4">
        <f>IFERROR(INDEX('Темы × классы'!$R:$R,MATCH(D308,'Темы × классы'!$D:$D,0))&amp;"","")</f>
        <v/>
      </c>
      <c r="H308" s="4" t="inlineStr">
        <is>
          <t>не начат</t>
        </is>
      </c>
      <c r="I308" s="4" t="inlineStr">
        <is>
          <t>Spotlight / 9 класс / Module 7 · Staying safe / Phrasal verbs: keep</t>
        </is>
      </c>
    </row>
    <row r="309">
      <c r="A309" s="12" t="n">
        <v>9</v>
      </c>
      <c r="B309" s="4" t="inlineStr">
        <is>
          <t>Module 7 · Staying safe</t>
        </is>
      </c>
      <c r="C309" s="4" t="inlineStr">
        <is>
          <t>7f</t>
        </is>
      </c>
      <c r="D309" s="5" t="inlineStr">
        <is>
          <t>Word formation: verbs from nouns/adjectives</t>
        </is>
      </c>
      <c r="E309" s="12" t="inlineStr">
        <is>
          <t>10+</t>
        </is>
      </c>
      <c r="F309" s="4">
        <f>IFERROR(INDEX('Темы × классы'!$Q:$Q,MATCH(D309,'Темы × классы'!$D:$D,0)),"")</f>
        <v/>
      </c>
      <c r="G309" s="4">
        <f>IFERROR(INDEX('Темы × классы'!$R:$R,MATCH(D309,'Темы × классы'!$D:$D,0))&amp;"","")</f>
        <v/>
      </c>
      <c r="H309" s="4" t="inlineStr">
        <is>
          <t>не начат</t>
        </is>
      </c>
      <c r="I309" s="4" t="inlineStr">
        <is>
          <t>Spotlight / 9 класс / Module 7 · Staying safe / Word formation: verbs from nouns/adjectives</t>
        </is>
      </c>
    </row>
    <row r="310">
      <c r="A310" s="12" t="n">
        <v>9</v>
      </c>
      <c r="B310" s="4" t="inlineStr">
        <is>
          <t>Module 7 · Staying safe</t>
        </is>
      </c>
      <c r="C310" s="4" t="inlineStr">
        <is>
          <t>7f</t>
        </is>
      </c>
      <c r="D310" s="5" t="inlineStr">
        <is>
          <t>Dependent prepositions</t>
        </is>
      </c>
      <c r="E310" s="12" t="inlineStr">
        <is>
          <t>10+</t>
        </is>
      </c>
      <c r="F310" s="4">
        <f>IFERROR(INDEX('Темы × классы'!$Q:$Q,MATCH(D310,'Темы × классы'!$D:$D,0)),"")</f>
        <v/>
      </c>
      <c r="G310" s="4">
        <f>IFERROR(INDEX('Темы × классы'!$R:$R,MATCH(D310,'Темы × классы'!$D:$D,0))&amp;"","")</f>
        <v/>
      </c>
      <c r="H310" s="4" t="inlineStr">
        <is>
          <t>не начат</t>
        </is>
      </c>
      <c r="I310" s="4" t="inlineStr">
        <is>
          <t>Spotlight / 9 класс / Module 7 · Staying safe / Dependent prepositions</t>
        </is>
      </c>
    </row>
    <row r="311">
      <c r="A311" s="12" t="n">
        <v>9</v>
      </c>
      <c r="B311" s="4" t="inlineStr">
        <is>
          <t>Module 8 · Challenges</t>
        </is>
      </c>
      <c r="C311" s="4" t="inlineStr">
        <is>
          <t>8c</t>
        </is>
      </c>
      <c r="D311" s="5" t="inlineStr">
        <is>
          <t>Reported Speech</t>
        </is>
      </c>
      <c r="E311" s="12" t="inlineStr">
        <is>
          <t>10+</t>
        </is>
      </c>
      <c r="F311" s="4">
        <f>IFERROR(INDEX('Темы × классы'!$Q:$Q,MATCH(D311,'Темы × классы'!$D:$D,0)),"")</f>
        <v/>
      </c>
      <c r="G311" s="4">
        <f>IFERROR(INDEX('Темы × классы'!$R:$R,MATCH(D311,'Темы × классы'!$D:$D,0))&amp;"","")</f>
        <v/>
      </c>
      <c r="H311" s="4" t="inlineStr">
        <is>
          <t>не начат</t>
        </is>
      </c>
      <c r="I311" s="4" t="inlineStr">
        <is>
          <t>Spotlight / 9 класс / Module 8 · Challenges / Reported Speech</t>
        </is>
      </c>
    </row>
    <row r="312">
      <c r="A312" s="12" t="n">
        <v>9</v>
      </c>
      <c r="B312" s="4" t="inlineStr">
        <is>
          <t>Module 8 · Challenges</t>
        </is>
      </c>
      <c r="C312" s="4" t="inlineStr">
        <is>
          <t>8c</t>
        </is>
      </c>
      <c r="D312" s="5" t="inlineStr">
        <is>
          <t>Reporting verbs</t>
        </is>
      </c>
      <c r="E312" s="12" t="inlineStr">
        <is>
          <t>10+</t>
        </is>
      </c>
      <c r="F312" s="4">
        <f>IFERROR(INDEX('Темы × классы'!$Q:$Q,MATCH(D312,'Темы × классы'!$D:$D,0)),"")</f>
        <v/>
      </c>
      <c r="G312" s="4">
        <f>IFERROR(INDEX('Темы × классы'!$R:$R,MATCH(D312,'Темы × классы'!$D:$D,0))&amp;"","")</f>
        <v/>
      </c>
      <c r="H312" s="4" t="inlineStr">
        <is>
          <t>не начат</t>
        </is>
      </c>
      <c r="I312" s="4" t="inlineStr">
        <is>
          <t>Spotlight / 9 класс / Module 8 · Challenges / Reporting verbs</t>
        </is>
      </c>
    </row>
    <row r="313">
      <c r="A313" s="12" t="n">
        <v>9</v>
      </c>
      <c r="B313" s="4" t="inlineStr">
        <is>
          <t>Module 8 · Challenges</t>
        </is>
      </c>
      <c r="C313" s="4" t="inlineStr">
        <is>
          <t>8d</t>
        </is>
      </c>
      <c r="D313" s="5" t="inlineStr">
        <is>
          <t>a few/a little</t>
        </is>
      </c>
      <c r="E313" s="12" t="inlineStr">
        <is>
          <t>10+</t>
        </is>
      </c>
      <c r="F313" s="4">
        <f>IFERROR(INDEX('Темы × классы'!$Q:$Q,MATCH(D313,'Темы × классы'!$D:$D,0)),"")</f>
        <v/>
      </c>
      <c r="G313" s="4">
        <f>IFERROR(INDEX('Темы × классы'!$R:$R,MATCH(D313,'Темы × классы'!$D:$D,0))&amp;"","")</f>
        <v/>
      </c>
      <c r="H313" s="4" t="inlineStr">
        <is>
          <t>не начат</t>
        </is>
      </c>
      <c r="I313" s="4" t="inlineStr">
        <is>
          <t>Spotlight / 9 класс / Module 8 · Challenges / a few/a little</t>
        </is>
      </c>
    </row>
    <row r="314">
      <c r="A314" s="12" t="n">
        <v>9</v>
      </c>
      <c r="B314" s="4" t="inlineStr">
        <is>
          <t>Module 8 · Challenges</t>
        </is>
      </c>
      <c r="C314" s="4" t="inlineStr">
        <is>
          <t>8d</t>
        </is>
      </c>
      <c r="D314" s="5" t="inlineStr">
        <is>
          <t>Determiners (every/each)</t>
        </is>
      </c>
      <c r="E314" s="12" t="inlineStr">
        <is>
          <t>10+</t>
        </is>
      </c>
      <c r="F314" s="4">
        <f>IFERROR(INDEX('Темы × классы'!$Q:$Q,MATCH(D314,'Темы × классы'!$D:$D,0)),"")</f>
        <v/>
      </c>
      <c r="G314" s="4">
        <f>IFERROR(INDEX('Темы × классы'!$R:$R,MATCH(D314,'Темы × классы'!$D:$D,0))&amp;"","")</f>
        <v/>
      </c>
      <c r="H314" s="4" t="inlineStr">
        <is>
          <t>не начат</t>
        </is>
      </c>
      <c r="I314" s="4" t="inlineStr">
        <is>
          <t>Spotlight / 9 класс / Module 8 · Challenges / Determiners (every/each)</t>
        </is>
      </c>
    </row>
    <row r="315">
      <c r="A315" s="12" t="n">
        <v>9</v>
      </c>
      <c r="B315" s="4" t="inlineStr">
        <is>
          <t>Module 8 · Challenges</t>
        </is>
      </c>
      <c r="C315" s="4" t="inlineStr">
        <is>
          <t>8d</t>
        </is>
      </c>
      <c r="D315" s="5" t="inlineStr">
        <is>
          <t>Indefinite pronouns (some-/any-/no-/every-)</t>
        </is>
      </c>
      <c r="E315" s="12" t="inlineStr">
        <is>
          <t>10+</t>
        </is>
      </c>
      <c r="F315" s="4">
        <f>IFERROR(INDEX('Темы × классы'!$Q:$Q,MATCH(D315,'Темы × классы'!$D:$D,0)),"")</f>
        <v/>
      </c>
      <c r="G315" s="4">
        <f>IFERROR(INDEX('Темы × классы'!$R:$R,MATCH(D315,'Темы × классы'!$D:$D,0))&amp;"","")</f>
        <v/>
      </c>
      <c r="H315" s="4" t="inlineStr">
        <is>
          <t>не начат</t>
        </is>
      </c>
      <c r="I315" s="4" t="inlineStr">
        <is>
          <t>Spotlight / 9 класс / Module 8 · Challenges / Indefinite pronouns (some-/any-/no-/every-)</t>
        </is>
      </c>
    </row>
    <row r="316">
      <c r="A316" s="12" t="n">
        <v>9</v>
      </c>
      <c r="B316" s="4" t="inlineStr">
        <is>
          <t>Module 8 · Challenges</t>
        </is>
      </c>
      <c r="C316" s="4" t="inlineStr">
        <is>
          <t>8d</t>
        </is>
      </c>
      <c r="D316" s="5" t="inlineStr">
        <is>
          <t>Question tags</t>
        </is>
      </c>
      <c r="E316" s="12" t="inlineStr">
        <is>
          <t>10+</t>
        </is>
      </c>
      <c r="F316" s="4">
        <f>IFERROR(INDEX('Темы × классы'!$Q:$Q,MATCH(D316,'Темы × классы'!$D:$D,0)),"")</f>
        <v/>
      </c>
      <c r="G316" s="4">
        <f>IFERROR(INDEX('Темы × классы'!$R:$R,MATCH(D316,'Темы × классы'!$D:$D,0))&amp;"","")</f>
        <v/>
      </c>
      <c r="H316" s="4" t="inlineStr">
        <is>
          <t>не начат</t>
        </is>
      </c>
      <c r="I316" s="4" t="inlineStr">
        <is>
          <t>Spotlight / 9 класс / Module 8 · Challenges / Question tags</t>
        </is>
      </c>
    </row>
    <row r="317">
      <c r="A317" s="12" t="n">
        <v>9</v>
      </c>
      <c r="B317" s="4" t="inlineStr">
        <is>
          <t>Module 8 · Challenges</t>
        </is>
      </c>
      <c r="C317" s="4" t="inlineStr">
        <is>
          <t>8f</t>
        </is>
      </c>
      <c r="D317" s="5" t="inlineStr">
        <is>
          <t>Phrasal verbs: carry</t>
        </is>
      </c>
      <c r="E317" s="12" t="inlineStr">
        <is>
          <t>10+</t>
        </is>
      </c>
      <c r="F317" s="4">
        <f>IFERROR(INDEX('Темы × классы'!$Q:$Q,MATCH(D317,'Темы × классы'!$D:$D,0)),"")</f>
        <v/>
      </c>
      <c r="G317" s="4">
        <f>IFERROR(INDEX('Темы × классы'!$R:$R,MATCH(D317,'Темы × классы'!$D:$D,0))&amp;"","")</f>
        <v/>
      </c>
      <c r="H317" s="4" t="inlineStr">
        <is>
          <t>не начат</t>
        </is>
      </c>
      <c r="I317" s="4" t="inlineStr">
        <is>
          <t>Spotlight / 9 класс / Module 8 · Challenges / Phrasal verbs: carry</t>
        </is>
      </c>
    </row>
    <row r="318">
      <c r="A318" s="12" t="n">
        <v>9</v>
      </c>
      <c r="B318" s="4" t="inlineStr">
        <is>
          <t>Module 8 · Challenges</t>
        </is>
      </c>
      <c r="C318" s="4" t="inlineStr">
        <is>
          <t>8f</t>
        </is>
      </c>
      <c r="D318" s="5" t="inlineStr">
        <is>
          <t>Word formation: revision</t>
        </is>
      </c>
      <c r="E318" s="12" t="inlineStr">
        <is>
          <t>10+</t>
        </is>
      </c>
      <c r="F318" s="4">
        <f>IFERROR(INDEX('Темы × классы'!$Q:$Q,MATCH(D318,'Темы × классы'!$D:$D,0)),"")</f>
        <v/>
      </c>
      <c r="G318" s="4">
        <f>IFERROR(INDEX('Темы × классы'!$R:$R,MATCH(D318,'Темы × классы'!$D:$D,0))&amp;"","")</f>
        <v/>
      </c>
      <c r="H318" s="4" t="inlineStr">
        <is>
          <t>не начат</t>
        </is>
      </c>
      <c r="I318" s="4" t="inlineStr">
        <is>
          <t>Spotlight / 9 класс / Module 8 · Challenges / Word formation: revision</t>
        </is>
      </c>
    </row>
    <row r="319">
      <c r="A319" s="12" t="n">
        <v>9</v>
      </c>
      <c r="B319" s="4" t="inlineStr">
        <is>
          <t>Module 8 · Challenges</t>
        </is>
      </c>
      <c r="C319" s="4" t="inlineStr">
        <is>
          <t>8f</t>
        </is>
      </c>
      <c r="D319" s="5" t="inlineStr">
        <is>
          <t>Words often confused</t>
        </is>
      </c>
      <c r="E319" s="12" t="inlineStr">
        <is>
          <t>10+</t>
        </is>
      </c>
      <c r="F319" s="4">
        <f>IFERROR(INDEX('Темы × классы'!$Q:$Q,MATCH(D319,'Темы × классы'!$D:$D,0)),"")</f>
        <v/>
      </c>
      <c r="G319" s="4">
        <f>IFERROR(INDEX('Темы × классы'!$R:$R,MATCH(D319,'Темы × классы'!$D:$D,0))&amp;"","")</f>
        <v/>
      </c>
      <c r="H319" s="4" t="inlineStr">
        <is>
          <t>не начат</t>
        </is>
      </c>
      <c r="I319" s="4" t="inlineStr">
        <is>
          <t>Spotlight / 9 класс / Module 8 · Challenges / Words often confused</t>
        </is>
      </c>
    </row>
    <row r="320">
      <c r="A320" s="12" t="n">
        <v>10</v>
      </c>
      <c r="B320" s="4" t="inlineStr">
        <is>
          <t>Irregular Verbs</t>
        </is>
      </c>
      <c r="C320" s="4" t="inlineStr"/>
      <c r="D320" s="5" t="inlineStr">
        <is>
          <t>Irregular verbs (list)</t>
        </is>
      </c>
      <c r="E320" s="12" t="inlineStr">
        <is>
          <t>10+</t>
        </is>
      </c>
      <c r="F320" s="4">
        <f>IFERROR(INDEX('Темы × классы'!$Q:$Q,MATCH(D320,'Темы × классы'!$D:$D,0)),"")</f>
        <v/>
      </c>
      <c r="G320" s="4">
        <f>IFERROR(INDEX('Темы × классы'!$R:$R,MATCH(D320,'Темы × классы'!$D:$D,0))&amp;"","")</f>
        <v/>
      </c>
      <c r="H320" s="4" t="inlineStr">
        <is>
          <t>не начат</t>
        </is>
      </c>
      <c r="I320" s="4" t="inlineStr">
        <is>
          <t>Spotlight / 10 класс / Irregular Verbs / Irregular verbs (list)</t>
        </is>
      </c>
    </row>
    <row r="321">
      <c r="A321" s="12" t="n">
        <v>10</v>
      </c>
      <c r="B321" s="4" t="inlineStr">
        <is>
          <t>Module 1 · Strong ties</t>
        </is>
      </c>
      <c r="C321" s="4" t="inlineStr">
        <is>
          <t>1c</t>
        </is>
      </c>
      <c r="D321" s="5" t="inlineStr">
        <is>
          <t>Present Continuous</t>
        </is>
      </c>
      <c r="E321" s="12" t="inlineStr">
        <is>
          <t>10+</t>
        </is>
      </c>
      <c r="F321" s="4">
        <f>IFERROR(INDEX('Темы × классы'!$Q:$Q,MATCH(D321,'Темы × классы'!$D:$D,0)),"")</f>
        <v/>
      </c>
      <c r="G321" s="4">
        <f>IFERROR(INDEX('Темы × классы'!$R:$R,MATCH(D321,'Темы × классы'!$D:$D,0))&amp;"","")</f>
        <v/>
      </c>
      <c r="H321" s="4" t="inlineStr">
        <is>
          <t>не начат</t>
        </is>
      </c>
      <c r="I321" s="4" t="inlineStr">
        <is>
          <t>Spotlight / 10 класс / Module 1 · Strong ties / Present Continuous</t>
        </is>
      </c>
    </row>
    <row r="322">
      <c r="A322" s="12" t="n">
        <v>10</v>
      </c>
      <c r="B322" s="4" t="inlineStr">
        <is>
          <t>Module 1 · Strong ties</t>
        </is>
      </c>
      <c r="C322" s="4" t="inlineStr">
        <is>
          <t>1c</t>
        </is>
      </c>
      <c r="D322" s="5" t="inlineStr">
        <is>
          <t>Present Simple</t>
        </is>
      </c>
      <c r="E322" s="12" t="inlineStr">
        <is>
          <t>10+</t>
        </is>
      </c>
      <c r="F322" s="4">
        <f>IFERROR(INDEX('Темы × классы'!$Q:$Q,MATCH(D322,'Темы × классы'!$D:$D,0)),"")</f>
        <v/>
      </c>
      <c r="G322" s="4">
        <f>IFERROR(INDEX('Темы × классы'!$R:$R,MATCH(D322,'Темы × классы'!$D:$D,0))&amp;"","")</f>
        <v/>
      </c>
      <c r="H322" s="4" t="inlineStr">
        <is>
          <t>не начат</t>
        </is>
      </c>
      <c r="I322" s="4" t="inlineStr">
        <is>
          <t>Spotlight / 10 класс / Module 1 · Strong ties / Present Simple</t>
        </is>
      </c>
    </row>
    <row r="323">
      <c r="A323" s="12" t="n">
        <v>10</v>
      </c>
      <c r="B323" s="4" t="inlineStr">
        <is>
          <t>Module 1 · Strong ties</t>
        </is>
      </c>
      <c r="C323" s="4" t="inlineStr">
        <is>
          <t>1c</t>
        </is>
      </c>
      <c r="D323" s="5" t="inlineStr">
        <is>
          <t>Present Simple vs Present Continuous</t>
        </is>
      </c>
      <c r="E323" s="12" t="inlineStr">
        <is>
          <t>10+</t>
        </is>
      </c>
      <c r="F323" s="4">
        <f>IFERROR(INDEX('Темы × классы'!$Q:$Q,MATCH(D323,'Темы × классы'!$D:$D,0)),"")</f>
        <v/>
      </c>
      <c r="G323" s="4">
        <f>IFERROR(INDEX('Темы × классы'!$R:$R,MATCH(D323,'Темы × классы'!$D:$D,0))&amp;"","")</f>
        <v/>
      </c>
      <c r="H323" s="4" t="inlineStr">
        <is>
          <t>не начат</t>
        </is>
      </c>
      <c r="I323" s="4" t="inlineStr">
        <is>
          <t>Spotlight / 10 класс / Module 1 · Strong ties / Present Simple vs Present Continuous</t>
        </is>
      </c>
    </row>
    <row r="324">
      <c r="A324" s="12" t="n">
        <v>10</v>
      </c>
      <c r="B324" s="4" t="inlineStr">
        <is>
          <t>Module 1 · Strong ties</t>
        </is>
      </c>
      <c r="C324" s="4" t="inlineStr">
        <is>
          <t>1c</t>
        </is>
      </c>
      <c r="D324" s="5" t="inlineStr">
        <is>
          <t>Present Perfect</t>
        </is>
      </c>
      <c r="E324" s="12" t="inlineStr">
        <is>
          <t>10+</t>
        </is>
      </c>
      <c r="F324" s="4">
        <f>IFERROR(INDEX('Темы × классы'!$Q:$Q,MATCH(D324,'Темы × классы'!$D:$D,0)),"")</f>
        <v/>
      </c>
      <c r="G324" s="4">
        <f>IFERROR(INDEX('Темы × классы'!$R:$R,MATCH(D324,'Темы × классы'!$D:$D,0))&amp;"","")</f>
        <v/>
      </c>
      <c r="H324" s="4" t="inlineStr">
        <is>
          <t>не начат</t>
        </is>
      </c>
      <c r="I324" s="4" t="inlineStr">
        <is>
          <t>Spotlight / 10 класс / Module 1 · Strong ties / Present Perfect</t>
        </is>
      </c>
    </row>
    <row r="325">
      <c r="A325" s="12" t="n">
        <v>10</v>
      </c>
      <c r="B325" s="4" t="inlineStr">
        <is>
          <t>Module 1 · Strong ties</t>
        </is>
      </c>
      <c r="C325" s="4" t="inlineStr">
        <is>
          <t>1c</t>
        </is>
      </c>
      <c r="D325" s="5" t="inlineStr">
        <is>
          <t>Stative verbs</t>
        </is>
      </c>
      <c r="E325" s="12" t="inlineStr">
        <is>
          <t>10+</t>
        </is>
      </c>
      <c r="F325" s="4">
        <f>IFERROR(INDEX('Темы × классы'!$Q:$Q,MATCH(D325,'Темы × классы'!$D:$D,0)),"")</f>
        <v/>
      </c>
      <c r="G325" s="4">
        <f>IFERROR(INDEX('Темы × классы'!$R:$R,MATCH(D325,'Темы × классы'!$D:$D,0))&amp;"","")</f>
        <v/>
      </c>
      <c r="H325" s="4" t="inlineStr">
        <is>
          <t>не начат</t>
        </is>
      </c>
      <c r="I325" s="4" t="inlineStr">
        <is>
          <t>Spotlight / 10 класс / Module 1 · Strong ties / Stative verbs</t>
        </is>
      </c>
    </row>
    <row r="326">
      <c r="A326" s="12" t="n">
        <v>10</v>
      </c>
      <c r="B326" s="4" t="inlineStr">
        <is>
          <t>Module 1 · Strong ties</t>
        </is>
      </c>
      <c r="C326" s="4" t="inlineStr">
        <is>
          <t>1c</t>
        </is>
      </c>
      <c r="D326" s="5" t="inlineStr">
        <is>
          <t>Present Perfect Continuous</t>
        </is>
      </c>
      <c r="E326" s="12" t="inlineStr">
        <is>
          <t>10+</t>
        </is>
      </c>
      <c r="F326" s="4">
        <f>IFERROR(INDEX('Темы × классы'!$Q:$Q,MATCH(D326,'Темы × классы'!$D:$D,0)),"")</f>
        <v/>
      </c>
      <c r="G326" s="4">
        <f>IFERROR(INDEX('Темы × классы'!$R:$R,MATCH(D326,'Темы × классы'!$D:$D,0))&amp;"","")</f>
        <v/>
      </c>
      <c r="H326" s="4" t="inlineStr">
        <is>
          <t>не начат</t>
        </is>
      </c>
      <c r="I326" s="4" t="inlineStr">
        <is>
          <t>Spotlight / 10 класс / Module 1 · Strong ties / Present Perfect Continuous</t>
        </is>
      </c>
    </row>
    <row r="327">
      <c r="A327" s="12" t="n">
        <v>10</v>
      </c>
      <c r="B327" s="4" t="inlineStr">
        <is>
          <t>Module 1 · Strong ties</t>
        </is>
      </c>
      <c r="C327" s="4" t="inlineStr">
        <is>
          <t>1c</t>
        </is>
      </c>
      <c r="D327" s="5" t="inlineStr">
        <is>
          <t>Present Perfect vs Past Simple</t>
        </is>
      </c>
      <c r="E327" s="12" t="inlineStr">
        <is>
          <t>10+</t>
        </is>
      </c>
      <c r="F327" s="4">
        <f>IFERROR(INDEX('Темы × классы'!$Q:$Q,MATCH(D327,'Темы × классы'!$D:$D,0)),"")</f>
        <v/>
      </c>
      <c r="G327" s="4">
        <f>IFERROR(INDEX('Темы × классы'!$R:$R,MATCH(D327,'Темы × классы'!$D:$D,0))&amp;"","")</f>
        <v/>
      </c>
      <c r="H327" s="4" t="inlineStr">
        <is>
          <t>не начат</t>
        </is>
      </c>
      <c r="I327" s="4" t="inlineStr">
        <is>
          <t>Spotlight / 10 класс / Module 1 · Strong ties / Present Perfect vs Past Simple</t>
        </is>
      </c>
    </row>
    <row r="328">
      <c r="A328" s="12" t="n">
        <v>10</v>
      </c>
      <c r="B328" s="4" t="inlineStr">
        <is>
          <t>Module 1 · Strong ties</t>
        </is>
      </c>
      <c r="C328" s="4" t="inlineStr">
        <is>
          <t>1c</t>
        </is>
      </c>
      <c r="D328" s="5" t="inlineStr">
        <is>
          <t>have gone to / have been to / have been in</t>
        </is>
      </c>
      <c r="E328" s="12" t="inlineStr">
        <is>
          <t>10+</t>
        </is>
      </c>
      <c r="F328" s="4">
        <f>IFERROR(INDEX('Темы × классы'!$Q:$Q,MATCH(D328,'Темы × классы'!$D:$D,0)),"")</f>
        <v/>
      </c>
      <c r="G328" s="4">
        <f>IFERROR(INDEX('Темы × классы'!$R:$R,MATCH(D328,'Темы × классы'!$D:$D,0))&amp;"","")</f>
        <v/>
      </c>
      <c r="H328" s="4" t="inlineStr">
        <is>
          <t>не начат</t>
        </is>
      </c>
      <c r="I328" s="4" t="inlineStr">
        <is>
          <t>Spotlight / 10 класс / Module 1 · Strong ties / have gone to / have been to / have been in</t>
        </is>
      </c>
    </row>
    <row r="329">
      <c r="A329" s="12" t="n">
        <v>10</v>
      </c>
      <c r="B329" s="4" t="inlineStr">
        <is>
          <t>Module 1 · Strong ties</t>
        </is>
      </c>
      <c r="C329" s="4" t="inlineStr">
        <is>
          <t>1c</t>
        </is>
      </c>
      <c r="D329" s="5" t="inlineStr">
        <is>
          <t>Adverbs of frequency</t>
        </is>
      </c>
      <c r="E329" s="12" t="inlineStr">
        <is>
          <t>10+</t>
        </is>
      </c>
      <c r="F329" s="4">
        <f>IFERROR(INDEX('Темы × классы'!$Q:$Q,MATCH(D329,'Темы × классы'!$D:$D,0)),"")</f>
        <v/>
      </c>
      <c r="G329" s="4">
        <f>IFERROR(INDEX('Темы × классы'!$R:$R,MATCH(D329,'Темы × классы'!$D:$D,0))&amp;"","")</f>
        <v/>
      </c>
      <c r="H329" s="4" t="inlineStr">
        <is>
          <t>не начат</t>
        </is>
      </c>
      <c r="I329" s="4" t="inlineStr">
        <is>
          <t>Spotlight / 10 класс / Module 1 · Strong ties / Adverbs of frequency</t>
        </is>
      </c>
    </row>
    <row r="330">
      <c r="A330" s="12" t="n">
        <v>10</v>
      </c>
      <c r="B330" s="4" t="inlineStr">
        <is>
          <t>Module 1 · Strong ties</t>
        </is>
      </c>
      <c r="C330" s="4" t="inlineStr">
        <is>
          <t>1c</t>
        </is>
      </c>
      <c r="D330" s="5" t="inlineStr">
        <is>
          <t>Phrasal verbs: look</t>
        </is>
      </c>
      <c r="E330" s="12" t="inlineStr">
        <is>
          <t>10+</t>
        </is>
      </c>
      <c r="F330" s="4">
        <f>IFERROR(INDEX('Темы × классы'!$Q:$Q,MATCH(D330,'Темы × классы'!$D:$D,0)),"")</f>
        <v/>
      </c>
      <c r="G330" s="4">
        <f>IFERROR(INDEX('Темы × классы'!$R:$R,MATCH(D330,'Темы × классы'!$D:$D,0))&amp;"","")</f>
        <v/>
      </c>
      <c r="H330" s="4" t="inlineStr">
        <is>
          <t>не начат</t>
        </is>
      </c>
      <c r="I330" s="4" t="inlineStr">
        <is>
          <t>Spotlight / 10 класс / Module 1 · Strong ties / Phrasal verbs: look</t>
        </is>
      </c>
    </row>
    <row r="331">
      <c r="A331" s="12" t="n">
        <v>10</v>
      </c>
      <c r="B331" s="4" t="inlineStr">
        <is>
          <t>Module 1 · Strong ties</t>
        </is>
      </c>
      <c r="C331" s="4" t="inlineStr">
        <is>
          <t>1c</t>
        </is>
      </c>
      <c r="D331" s="5" t="inlineStr">
        <is>
          <t>Word formation: forming adjectives</t>
        </is>
      </c>
      <c r="E331" s="12" t="inlineStr">
        <is>
          <t>10+</t>
        </is>
      </c>
      <c r="F331" s="4">
        <f>IFERROR(INDEX('Темы × классы'!$Q:$Q,MATCH(D331,'Темы × классы'!$D:$D,0)),"")</f>
        <v/>
      </c>
      <c r="G331" s="4">
        <f>IFERROR(INDEX('Темы × классы'!$R:$R,MATCH(D331,'Темы × классы'!$D:$D,0))&amp;"","")</f>
        <v/>
      </c>
      <c r="H331" s="4" t="inlineStr">
        <is>
          <t>не начат</t>
        </is>
      </c>
      <c r="I331" s="4" t="inlineStr">
        <is>
          <t>Spotlight / 10 класс / Module 1 · Strong ties / Word formation: forming adjectives</t>
        </is>
      </c>
    </row>
    <row r="332">
      <c r="A332" s="12" t="n">
        <v>10</v>
      </c>
      <c r="B332" s="4" t="inlineStr">
        <is>
          <t>Module 1 · Strong ties</t>
        </is>
      </c>
      <c r="C332" s="4" t="inlineStr">
        <is>
          <t>1c</t>
        </is>
      </c>
      <c r="D332" s="5" t="inlineStr">
        <is>
          <t>Dependent prepositions</t>
        </is>
      </c>
      <c r="E332" s="12" t="inlineStr">
        <is>
          <t>10+</t>
        </is>
      </c>
      <c r="F332" s="4">
        <f>IFERROR(INDEX('Темы × классы'!$Q:$Q,MATCH(D332,'Темы × классы'!$D:$D,0)),"")</f>
        <v/>
      </c>
      <c r="G332" s="4">
        <f>IFERROR(INDEX('Темы × классы'!$R:$R,MATCH(D332,'Темы × классы'!$D:$D,0))&amp;"","")</f>
        <v/>
      </c>
      <c r="H332" s="4" t="inlineStr">
        <is>
          <t>не начат</t>
        </is>
      </c>
      <c r="I332" s="4" t="inlineStr">
        <is>
          <t>Spotlight / 10 класс / Module 1 · Strong ties / Dependent prepositions</t>
        </is>
      </c>
    </row>
    <row r="333">
      <c r="A333" s="12" t="n">
        <v>10</v>
      </c>
      <c r="B333" s="4" t="inlineStr">
        <is>
          <t>Appendix 1</t>
        </is>
      </c>
      <c r="C333" s="4" t="inlineStr"/>
      <c r="D333" s="5" t="inlineStr">
        <is>
          <t>Dependent prepositions</t>
        </is>
      </c>
      <c r="E333" s="12" t="inlineStr">
        <is>
          <t>10+</t>
        </is>
      </c>
      <c r="F333" s="4">
        <f>IFERROR(INDEX('Темы × классы'!$Q:$Q,MATCH(D333,'Темы × классы'!$D:$D,0)),"")</f>
        <v/>
      </c>
      <c r="G333" s="4">
        <f>IFERROR(INDEX('Темы × классы'!$R:$R,MATCH(D333,'Темы × классы'!$D:$D,0))&amp;"","")</f>
        <v/>
      </c>
      <c r="H333" s="4" t="inlineStr">
        <is>
          <t>не начат</t>
        </is>
      </c>
      <c r="I333" s="4" t="inlineStr">
        <is>
          <t>Spotlight / 10 класс / Appendix 1 / Dependent prepositions</t>
        </is>
      </c>
    </row>
    <row r="334">
      <c r="A334" s="12" t="n">
        <v>10</v>
      </c>
      <c r="B334" s="4" t="inlineStr">
        <is>
          <t>Module 2 · Living &amp; Spending</t>
        </is>
      </c>
      <c r="C334" s="4" t="inlineStr">
        <is>
          <t>2c</t>
        </is>
      </c>
      <c r="D334" s="5" t="inlineStr">
        <is>
          <t>used to</t>
        </is>
      </c>
      <c r="E334" s="12" t="inlineStr">
        <is>
          <t>10+</t>
        </is>
      </c>
      <c r="F334" s="4">
        <f>IFERROR(INDEX('Темы × классы'!$Q:$Q,MATCH(D334,'Темы × классы'!$D:$D,0)),"")</f>
        <v/>
      </c>
      <c r="G334" s="4">
        <f>IFERROR(INDEX('Темы × классы'!$R:$R,MATCH(D334,'Темы × классы'!$D:$D,0))&amp;"","")</f>
        <v/>
      </c>
      <c r="H334" s="4" t="inlineStr">
        <is>
          <t>не начат</t>
        </is>
      </c>
      <c r="I334" s="4" t="inlineStr">
        <is>
          <t>Spotlight / 10 класс / Module 2 · Living &amp; Spending / used to</t>
        </is>
      </c>
    </row>
    <row r="335">
      <c r="A335" s="12" t="n">
        <v>10</v>
      </c>
      <c r="B335" s="4" t="inlineStr">
        <is>
          <t>Module 2 · Living &amp; Spending</t>
        </is>
      </c>
      <c r="C335" s="4" t="inlineStr">
        <is>
          <t>2c</t>
        </is>
      </c>
      <c r="D335" s="5" t="inlineStr">
        <is>
          <t>Infinitive / -ing form</t>
        </is>
      </c>
      <c r="E335" s="12" t="inlineStr">
        <is>
          <t>10+</t>
        </is>
      </c>
      <c r="F335" s="4">
        <f>IFERROR(INDEX('Темы × классы'!$Q:$Q,MATCH(D335,'Темы × классы'!$D:$D,0)),"")</f>
        <v/>
      </c>
      <c r="G335" s="4">
        <f>IFERROR(INDEX('Темы × классы'!$R:$R,MATCH(D335,'Темы × классы'!$D:$D,0))&amp;"","")</f>
        <v/>
      </c>
      <c r="H335" s="4" t="inlineStr">
        <is>
          <t>не начат</t>
        </is>
      </c>
      <c r="I335" s="4" t="inlineStr">
        <is>
          <t>Spotlight / 10 класс / Module 2 · Living &amp; Spending / Infinitive / -ing form</t>
        </is>
      </c>
    </row>
    <row r="336">
      <c r="A336" s="12" t="n">
        <v>10</v>
      </c>
      <c r="B336" s="4" t="inlineStr">
        <is>
          <t>Module 2 · Living &amp; Spending</t>
        </is>
      </c>
      <c r="C336" s="4" t="inlineStr">
        <is>
          <t>2c</t>
        </is>
      </c>
      <c r="D336" s="5" t="inlineStr">
        <is>
          <t>Expressing preference (prefer / would rather)</t>
        </is>
      </c>
      <c r="E336" s="12" t="inlineStr">
        <is>
          <t>10+</t>
        </is>
      </c>
      <c r="F336" s="4">
        <f>IFERROR(INDEX('Темы × классы'!$Q:$Q,MATCH(D336,'Темы × классы'!$D:$D,0)),"")</f>
        <v/>
      </c>
      <c r="G336" s="4">
        <f>IFERROR(INDEX('Темы × классы'!$R:$R,MATCH(D336,'Темы × классы'!$D:$D,0))&amp;"","")</f>
        <v/>
      </c>
      <c r="H336" s="4" t="inlineStr">
        <is>
          <t>не начат</t>
        </is>
      </c>
      <c r="I336" s="4" t="inlineStr">
        <is>
          <t>Spotlight / 10 класс / Module 2 · Living &amp; Spending / Expressing preference (prefer / would rather)</t>
        </is>
      </c>
    </row>
    <row r="337">
      <c r="A337" s="12" t="n">
        <v>10</v>
      </c>
      <c r="B337" s="4" t="inlineStr">
        <is>
          <t>Module 2 · Living &amp; Spending</t>
        </is>
      </c>
      <c r="C337" s="4" t="inlineStr">
        <is>
          <t>2c</t>
        </is>
      </c>
      <c r="D337" s="5" t="inlineStr">
        <is>
          <t>Infinitive / -ing form (difference in meaning)</t>
        </is>
      </c>
      <c r="E337" s="12" t="inlineStr">
        <is>
          <t>10+</t>
        </is>
      </c>
      <c r="F337" s="4">
        <f>IFERROR(INDEX('Темы × классы'!$Q:$Q,MATCH(D337,'Темы × классы'!$D:$D,0)),"")</f>
        <v/>
      </c>
      <c r="G337" s="4">
        <f>IFERROR(INDEX('Темы × классы'!$R:$R,MATCH(D337,'Темы × классы'!$D:$D,0))&amp;"","")</f>
        <v/>
      </c>
      <c r="H337" s="4" t="inlineStr">
        <is>
          <t>не начат</t>
        </is>
      </c>
      <c r="I337" s="4" t="inlineStr">
        <is>
          <t>Spotlight / 10 класс / Module 2 · Living &amp; Spending / Infinitive / -ing form (difference in meaning)</t>
        </is>
      </c>
    </row>
    <row r="338">
      <c r="A338" s="12" t="n">
        <v>10</v>
      </c>
      <c r="B338" s="4" t="inlineStr">
        <is>
          <t>Module 2 · Living &amp; Spending</t>
        </is>
      </c>
      <c r="C338" s="4" t="inlineStr">
        <is>
          <t>2c</t>
        </is>
      </c>
      <c r="D338" s="5" t="inlineStr">
        <is>
          <t>Phrasal verbs: take</t>
        </is>
      </c>
      <c r="E338" s="12" t="inlineStr">
        <is>
          <t>10+</t>
        </is>
      </c>
      <c r="F338" s="4">
        <f>IFERROR(INDEX('Темы × классы'!$Q:$Q,MATCH(D338,'Темы × классы'!$D:$D,0)),"")</f>
        <v/>
      </c>
      <c r="G338" s="4">
        <f>IFERROR(INDEX('Темы × классы'!$R:$R,MATCH(D338,'Темы × классы'!$D:$D,0))&amp;"","")</f>
        <v/>
      </c>
      <c r="H338" s="4" t="inlineStr">
        <is>
          <t>не начат</t>
        </is>
      </c>
      <c r="I338" s="4" t="inlineStr">
        <is>
          <t>Spotlight / 10 класс / Module 2 · Living &amp; Spending / Phrasal verbs: take</t>
        </is>
      </c>
    </row>
    <row r="339">
      <c r="A339" s="12" t="n">
        <v>10</v>
      </c>
      <c r="B339" s="4" t="inlineStr">
        <is>
          <t>Module 2 · Living &amp; Spending</t>
        </is>
      </c>
      <c r="C339" s="4" t="inlineStr">
        <is>
          <t>2c</t>
        </is>
      </c>
      <c r="D339" s="5" t="inlineStr">
        <is>
          <t>Word formation: abstract nouns</t>
        </is>
      </c>
      <c r="E339" s="12" t="inlineStr">
        <is>
          <t>10+</t>
        </is>
      </c>
      <c r="F339" s="4">
        <f>IFERROR(INDEX('Темы × классы'!$Q:$Q,MATCH(D339,'Темы × классы'!$D:$D,0)),"")</f>
        <v/>
      </c>
      <c r="G339" s="4">
        <f>IFERROR(INDEX('Темы × классы'!$R:$R,MATCH(D339,'Темы × классы'!$D:$D,0))&amp;"","")</f>
        <v/>
      </c>
      <c r="H339" s="4" t="inlineStr">
        <is>
          <t>не начат</t>
        </is>
      </c>
      <c r="I339" s="4" t="inlineStr">
        <is>
          <t>Spotlight / 10 класс / Module 2 · Living &amp; Spending / Word formation: abstract nouns</t>
        </is>
      </c>
    </row>
    <row r="340">
      <c r="A340" s="12" t="n">
        <v>10</v>
      </c>
      <c r="B340" s="4" t="inlineStr">
        <is>
          <t>Module 3 · Schooldays &amp; Work</t>
        </is>
      </c>
      <c r="C340" s="4" t="inlineStr">
        <is>
          <t>3c</t>
        </is>
      </c>
      <c r="D340" s="5" t="inlineStr">
        <is>
          <t>Future Simple (will)</t>
        </is>
      </c>
      <c r="E340" s="12" t="inlineStr">
        <is>
          <t>10+</t>
        </is>
      </c>
      <c r="F340" s="4">
        <f>IFERROR(INDEX('Темы × классы'!$Q:$Q,MATCH(D340,'Темы × классы'!$D:$D,0)),"")</f>
        <v/>
      </c>
      <c r="G340" s="4">
        <f>IFERROR(INDEX('Темы × классы'!$R:$R,MATCH(D340,'Темы × классы'!$D:$D,0))&amp;"","")</f>
        <v/>
      </c>
      <c r="H340" s="4" t="inlineStr">
        <is>
          <t>не начат</t>
        </is>
      </c>
      <c r="I340" s="4" t="inlineStr">
        <is>
          <t>Spotlight / 10 класс / Module 3 · Schooldays &amp; Work / Future Simple (will)</t>
        </is>
      </c>
    </row>
    <row r="341">
      <c r="A341" s="12" t="n">
        <v>10</v>
      </c>
      <c r="B341" s="4" t="inlineStr">
        <is>
          <t>Module 3 · Schooldays &amp; Work</t>
        </is>
      </c>
      <c r="C341" s="4" t="inlineStr">
        <is>
          <t>3c</t>
        </is>
      </c>
      <c r="D341" s="5" t="inlineStr">
        <is>
          <t>be going to</t>
        </is>
      </c>
      <c r="E341" s="12" t="inlineStr">
        <is>
          <t>10+</t>
        </is>
      </c>
      <c r="F341" s="4">
        <f>IFERROR(INDEX('Темы × классы'!$Q:$Q,MATCH(D341,'Темы × классы'!$D:$D,0)),"")</f>
        <v/>
      </c>
      <c r="G341" s="4">
        <f>IFERROR(INDEX('Темы × классы'!$R:$R,MATCH(D341,'Темы × классы'!$D:$D,0))&amp;"","")</f>
        <v/>
      </c>
      <c r="H341" s="4" t="inlineStr">
        <is>
          <t>не начат</t>
        </is>
      </c>
      <c r="I341" s="4" t="inlineStr">
        <is>
          <t>Spotlight / 10 класс / Module 3 · Schooldays &amp; Work / be going to</t>
        </is>
      </c>
    </row>
    <row r="342">
      <c r="A342" s="12" t="n">
        <v>10</v>
      </c>
      <c r="B342" s="4" t="inlineStr">
        <is>
          <t>Module 3 · Schooldays &amp; Work</t>
        </is>
      </c>
      <c r="C342" s="4" t="inlineStr">
        <is>
          <t>3c</t>
        </is>
      </c>
      <c r="D342" s="5" t="inlineStr">
        <is>
          <t>Future forms (comparison)</t>
        </is>
      </c>
      <c r="E342" s="12" t="inlineStr">
        <is>
          <t>10+</t>
        </is>
      </c>
      <c r="F342" s="4">
        <f>IFERROR(INDEX('Темы × классы'!$Q:$Q,MATCH(D342,'Темы × классы'!$D:$D,0)),"")</f>
        <v/>
      </c>
      <c r="G342" s="4">
        <f>IFERROR(INDEX('Темы × классы'!$R:$R,MATCH(D342,'Темы × классы'!$D:$D,0))&amp;"","")</f>
        <v/>
      </c>
      <c r="H342" s="4" t="inlineStr">
        <is>
          <t>не начат</t>
        </is>
      </c>
      <c r="I342" s="4" t="inlineStr">
        <is>
          <t>Spotlight / 10 класс / Module 3 · Schooldays &amp; Work / Future forms (comparison)</t>
        </is>
      </c>
    </row>
    <row r="343">
      <c r="A343" s="12" t="n">
        <v>10</v>
      </c>
      <c r="B343" s="4" t="inlineStr">
        <is>
          <t>Module 3 · Schooldays &amp; Work</t>
        </is>
      </c>
      <c r="C343" s="4" t="inlineStr">
        <is>
          <t>3c</t>
        </is>
      </c>
      <c r="D343" s="5" t="inlineStr">
        <is>
          <t>Future Continuous</t>
        </is>
      </c>
      <c r="E343" s="12" t="inlineStr">
        <is>
          <t>10+</t>
        </is>
      </c>
      <c r="F343" s="4">
        <f>IFERROR(INDEX('Темы × классы'!$Q:$Q,MATCH(D343,'Темы × классы'!$D:$D,0)),"")</f>
        <v/>
      </c>
      <c r="G343" s="4">
        <f>IFERROR(INDEX('Темы × классы'!$R:$R,MATCH(D343,'Темы × классы'!$D:$D,0))&amp;"","")</f>
        <v/>
      </c>
      <c r="H343" s="4" t="inlineStr">
        <is>
          <t>не начат</t>
        </is>
      </c>
      <c r="I343" s="4" t="inlineStr">
        <is>
          <t>Spotlight / 10 класс / Module 3 · Schooldays &amp; Work / Future Continuous</t>
        </is>
      </c>
    </row>
    <row r="344">
      <c r="A344" s="12" t="n">
        <v>10</v>
      </c>
      <c r="B344" s="4" t="inlineStr">
        <is>
          <t>Module 3 · Schooldays &amp; Work</t>
        </is>
      </c>
      <c r="C344" s="4" t="inlineStr">
        <is>
          <t>3c</t>
        </is>
      </c>
      <c r="D344" s="5" t="inlineStr">
        <is>
          <t>Future Perfect</t>
        </is>
      </c>
      <c r="E344" s="12" t="inlineStr">
        <is>
          <t>10+</t>
        </is>
      </c>
      <c r="F344" s="4">
        <f>IFERROR(INDEX('Темы × классы'!$Q:$Q,MATCH(D344,'Темы × классы'!$D:$D,0)),"")</f>
        <v/>
      </c>
      <c r="G344" s="4">
        <f>IFERROR(INDEX('Темы × классы'!$R:$R,MATCH(D344,'Темы × классы'!$D:$D,0))&amp;"","")</f>
        <v/>
      </c>
      <c r="H344" s="4" t="inlineStr">
        <is>
          <t>не начат</t>
        </is>
      </c>
      <c r="I344" s="4" t="inlineStr">
        <is>
          <t>Spotlight / 10 класс / Module 3 · Schooldays &amp; Work / Future Perfect</t>
        </is>
      </c>
    </row>
    <row r="345">
      <c r="A345" s="12" t="n">
        <v>10</v>
      </c>
      <c r="B345" s="4" t="inlineStr">
        <is>
          <t>Module 3 · Schooldays &amp; Work</t>
        </is>
      </c>
      <c r="C345" s="4" t="inlineStr">
        <is>
          <t>3c</t>
        </is>
      </c>
      <c r="D345" s="5" t="inlineStr">
        <is>
          <t>Comparatives &amp; Superlatives</t>
        </is>
      </c>
      <c r="E345" s="12" t="inlineStr">
        <is>
          <t>10+</t>
        </is>
      </c>
      <c r="F345" s="4">
        <f>IFERROR(INDEX('Темы × классы'!$Q:$Q,MATCH(D345,'Темы × классы'!$D:$D,0)),"")</f>
        <v/>
      </c>
      <c r="G345" s="4">
        <f>IFERROR(INDEX('Темы × классы'!$R:$R,MATCH(D345,'Темы × классы'!$D:$D,0))&amp;"","")</f>
        <v/>
      </c>
      <c r="H345" s="4" t="inlineStr">
        <is>
          <t>не начат</t>
        </is>
      </c>
      <c r="I345" s="4" t="inlineStr">
        <is>
          <t>Spotlight / 10 класс / Module 3 · Schooldays &amp; Work / Comparatives &amp; Superlatives</t>
        </is>
      </c>
    </row>
    <row r="346">
      <c r="A346" s="12" t="n">
        <v>10</v>
      </c>
      <c r="B346" s="4" t="inlineStr">
        <is>
          <t>Module 3 · Schooldays &amp; Work</t>
        </is>
      </c>
      <c r="C346" s="4" t="inlineStr">
        <is>
          <t>3c</t>
        </is>
      </c>
      <c r="D346" s="5" t="inlineStr">
        <is>
          <t>Comparative structures</t>
        </is>
      </c>
      <c r="E346" s="12" t="inlineStr">
        <is>
          <t>10+</t>
        </is>
      </c>
      <c r="F346" s="4">
        <f>IFERROR(INDEX('Темы × классы'!$Q:$Q,MATCH(D346,'Темы × классы'!$D:$D,0)),"")</f>
        <v/>
      </c>
      <c r="G346" s="4">
        <f>IFERROR(INDEX('Темы × классы'!$R:$R,MATCH(D346,'Темы × классы'!$D:$D,0))&amp;"","")</f>
        <v/>
      </c>
      <c r="H346" s="4" t="inlineStr">
        <is>
          <t>не начат</t>
        </is>
      </c>
      <c r="I346" s="4" t="inlineStr">
        <is>
          <t>Spotlight / 10 класс / Module 3 · Schooldays &amp; Work / Comparative structures</t>
        </is>
      </c>
    </row>
    <row r="347">
      <c r="A347" s="12" t="n">
        <v>10</v>
      </c>
      <c r="B347" s="4" t="inlineStr">
        <is>
          <t>Module 3 · Schooldays &amp; Work</t>
        </is>
      </c>
      <c r="C347" s="4" t="inlineStr">
        <is>
          <t>3c</t>
        </is>
      </c>
      <c r="D347" s="5" t="inlineStr">
        <is>
          <t>Like / As</t>
        </is>
      </c>
      <c r="E347" s="12" t="inlineStr">
        <is>
          <t>10+</t>
        </is>
      </c>
      <c r="F347" s="4">
        <f>IFERROR(INDEX('Темы × классы'!$Q:$Q,MATCH(D347,'Темы × классы'!$D:$D,0)),"")</f>
        <v/>
      </c>
      <c r="G347" s="4">
        <f>IFERROR(INDEX('Темы × классы'!$R:$R,MATCH(D347,'Темы × классы'!$D:$D,0))&amp;"","")</f>
        <v/>
      </c>
      <c r="H347" s="4" t="inlineStr">
        <is>
          <t>не начат</t>
        </is>
      </c>
      <c r="I347" s="4" t="inlineStr">
        <is>
          <t>Spotlight / 10 класс / Module 3 · Schooldays &amp; Work / Like / As</t>
        </is>
      </c>
    </row>
    <row r="348">
      <c r="A348" s="12" t="n">
        <v>10</v>
      </c>
      <c r="B348" s="4" t="inlineStr">
        <is>
          <t>Module 3 · Schooldays &amp; Work</t>
        </is>
      </c>
      <c r="C348" s="4" t="inlineStr">
        <is>
          <t>3c</t>
        </is>
      </c>
      <c r="D348" s="5" t="inlineStr">
        <is>
          <t>Time clauses</t>
        </is>
      </c>
      <c r="E348" s="12" t="inlineStr">
        <is>
          <t>10+</t>
        </is>
      </c>
      <c r="F348" s="4">
        <f>IFERROR(INDEX('Темы × классы'!$Q:$Q,MATCH(D348,'Темы × классы'!$D:$D,0)),"")</f>
        <v/>
      </c>
      <c r="G348" s="4">
        <f>IFERROR(INDEX('Темы × классы'!$R:$R,MATCH(D348,'Темы × классы'!$D:$D,0))&amp;"","")</f>
        <v/>
      </c>
      <c r="H348" s="4" t="inlineStr">
        <is>
          <t>не начат</t>
        </is>
      </c>
      <c r="I348" s="4" t="inlineStr">
        <is>
          <t>Spotlight / 10 класс / Module 3 · Schooldays &amp; Work / Time clauses</t>
        </is>
      </c>
    </row>
    <row r="349">
      <c r="A349" s="12" t="n">
        <v>10</v>
      </c>
      <c r="B349" s="4" t="inlineStr">
        <is>
          <t>Module 3 · Schooldays &amp; Work</t>
        </is>
      </c>
      <c r="C349" s="4" t="inlineStr">
        <is>
          <t>3c</t>
        </is>
      </c>
      <c r="D349" s="5" t="inlineStr">
        <is>
          <t>Phrasal verbs: pick</t>
        </is>
      </c>
      <c r="E349" s="12" t="inlineStr">
        <is>
          <t>10+</t>
        </is>
      </c>
      <c r="F349" s="4">
        <f>IFERROR(INDEX('Темы × классы'!$Q:$Q,MATCH(D349,'Темы × классы'!$D:$D,0)),"")</f>
        <v/>
      </c>
      <c r="G349" s="4">
        <f>IFERROR(INDEX('Темы × классы'!$R:$R,MATCH(D349,'Темы × классы'!$D:$D,0))&amp;"","")</f>
        <v/>
      </c>
      <c r="H349" s="4" t="inlineStr">
        <is>
          <t>не начат</t>
        </is>
      </c>
      <c r="I349" s="4" t="inlineStr">
        <is>
          <t>Spotlight / 10 класс / Module 3 · Schooldays &amp; Work / Phrasal verbs: pick</t>
        </is>
      </c>
    </row>
    <row r="350">
      <c r="A350" s="12" t="n">
        <v>10</v>
      </c>
      <c r="B350" s="4" t="inlineStr">
        <is>
          <t>Module 3 · Schooldays &amp; Work</t>
        </is>
      </c>
      <c r="C350" s="4" t="inlineStr">
        <is>
          <t>3c</t>
        </is>
      </c>
      <c r="D350" s="5" t="inlineStr">
        <is>
          <t>Word formation: personal nouns</t>
        </is>
      </c>
      <c r="E350" s="12" t="inlineStr">
        <is>
          <t>10+</t>
        </is>
      </c>
      <c r="F350" s="4">
        <f>IFERROR(INDEX('Темы × классы'!$Q:$Q,MATCH(D350,'Темы × классы'!$D:$D,0)),"")</f>
        <v/>
      </c>
      <c r="G350" s="4">
        <f>IFERROR(INDEX('Темы × классы'!$R:$R,MATCH(D350,'Темы × классы'!$D:$D,0))&amp;"","")</f>
        <v/>
      </c>
      <c r="H350" s="4" t="inlineStr">
        <is>
          <t>не начат</t>
        </is>
      </c>
      <c r="I350" s="4" t="inlineStr">
        <is>
          <t>Spotlight / 10 класс / Module 3 · Schooldays &amp; Work / Word formation: personal nouns</t>
        </is>
      </c>
    </row>
    <row r="351">
      <c r="A351" s="12" t="n">
        <v>10</v>
      </c>
      <c r="B351" s="4" t="inlineStr">
        <is>
          <t>Module 4 · Earth Alert!</t>
        </is>
      </c>
      <c r="C351" s="4" t="inlineStr">
        <is>
          <t>4c</t>
        </is>
      </c>
      <c r="D351" s="5" t="inlineStr">
        <is>
          <t>have to</t>
        </is>
      </c>
      <c r="E351" s="12" t="inlineStr">
        <is>
          <t>10+</t>
        </is>
      </c>
      <c r="F351" s="4">
        <f>IFERROR(INDEX('Темы × классы'!$Q:$Q,MATCH(D351,'Темы × классы'!$D:$D,0)),"")</f>
        <v/>
      </c>
      <c r="G351" s="4">
        <f>IFERROR(INDEX('Темы × классы'!$R:$R,MATCH(D351,'Темы × классы'!$D:$D,0))&amp;"","")</f>
        <v/>
      </c>
      <c r="H351" s="4" t="inlineStr">
        <is>
          <t>не начат</t>
        </is>
      </c>
      <c r="I351" s="4" t="inlineStr">
        <is>
          <t>Spotlight / 10 класс / Module 4 · Earth Alert! / have to</t>
        </is>
      </c>
    </row>
    <row r="352">
      <c r="A352" s="12" t="n">
        <v>10</v>
      </c>
      <c r="B352" s="4" t="inlineStr">
        <is>
          <t>Module 4 · Earth Alert!</t>
        </is>
      </c>
      <c r="C352" s="4" t="inlineStr">
        <is>
          <t>4c</t>
        </is>
      </c>
      <c r="D352" s="5" t="inlineStr">
        <is>
          <t>may/might</t>
        </is>
      </c>
      <c r="E352" s="12" t="inlineStr">
        <is>
          <t>10+</t>
        </is>
      </c>
      <c r="F352" s="4">
        <f>IFERROR(INDEX('Темы × классы'!$Q:$Q,MATCH(D352,'Темы × классы'!$D:$D,0)),"")</f>
        <v/>
      </c>
      <c r="G352" s="4">
        <f>IFERROR(INDEX('Темы × классы'!$R:$R,MATCH(D352,'Темы × классы'!$D:$D,0))&amp;"","")</f>
        <v/>
      </c>
      <c r="H352" s="4" t="inlineStr">
        <is>
          <t>не начат</t>
        </is>
      </c>
      <c r="I352" s="4" t="inlineStr">
        <is>
          <t>Spotlight / 10 класс / Module 4 · Earth Alert! / may/might</t>
        </is>
      </c>
    </row>
    <row r="353">
      <c r="A353" s="12" t="n">
        <v>10</v>
      </c>
      <c r="B353" s="4" t="inlineStr">
        <is>
          <t>Module 4 · Earth Alert!</t>
        </is>
      </c>
      <c r="C353" s="4" t="inlineStr">
        <is>
          <t>4c</t>
        </is>
      </c>
      <c r="D353" s="5" t="inlineStr">
        <is>
          <t>must/mustn't</t>
        </is>
      </c>
      <c r="E353" s="12" t="inlineStr">
        <is>
          <t>10+</t>
        </is>
      </c>
      <c r="F353" s="4">
        <f>IFERROR(INDEX('Темы × классы'!$Q:$Q,MATCH(D353,'Темы × классы'!$D:$D,0)),"")</f>
        <v/>
      </c>
      <c r="G353" s="4">
        <f>IFERROR(INDEX('Темы × классы'!$R:$R,MATCH(D353,'Темы × классы'!$D:$D,0))&amp;"","")</f>
        <v/>
      </c>
      <c r="H353" s="4" t="inlineStr">
        <is>
          <t>не начат</t>
        </is>
      </c>
      <c r="I353" s="4" t="inlineStr">
        <is>
          <t>Spotlight / 10 класс / Module 4 · Earth Alert! / must/mustn't</t>
        </is>
      </c>
    </row>
    <row r="354">
      <c r="A354" s="12" t="n">
        <v>10</v>
      </c>
      <c r="B354" s="4" t="inlineStr">
        <is>
          <t>Module 4 · Earth Alert!</t>
        </is>
      </c>
      <c r="C354" s="4" t="inlineStr">
        <is>
          <t>4c</t>
        </is>
      </c>
      <c r="D354" s="5" t="inlineStr">
        <is>
          <t>can (permission/request)</t>
        </is>
      </c>
      <c r="E354" s="12" t="inlineStr">
        <is>
          <t>10+</t>
        </is>
      </c>
      <c r="F354" s="4">
        <f>IFERROR(INDEX('Темы × классы'!$Q:$Q,MATCH(D354,'Темы × классы'!$D:$D,0)),"")</f>
        <v/>
      </c>
      <c r="G354" s="4">
        <f>IFERROR(INDEX('Темы × классы'!$R:$R,MATCH(D354,'Темы × классы'!$D:$D,0))&amp;"","")</f>
        <v/>
      </c>
      <c r="H354" s="4" t="inlineStr">
        <is>
          <t>не начат</t>
        </is>
      </c>
      <c r="I354" s="4" t="inlineStr">
        <is>
          <t>Spotlight / 10 класс / Module 4 · Earth Alert! / can (permission/request)</t>
        </is>
      </c>
    </row>
    <row r="355">
      <c r="A355" s="12" t="n">
        <v>10</v>
      </c>
      <c r="B355" s="4" t="inlineStr">
        <is>
          <t>Module 4 · Earth Alert!</t>
        </is>
      </c>
      <c r="C355" s="4" t="inlineStr">
        <is>
          <t>4c</t>
        </is>
      </c>
      <c r="D355" s="5" t="inlineStr">
        <is>
          <t>need/needn't</t>
        </is>
      </c>
      <c r="E355" s="12" t="inlineStr">
        <is>
          <t>10+</t>
        </is>
      </c>
      <c r="F355" s="4">
        <f>IFERROR(INDEX('Темы × классы'!$Q:$Q,MATCH(D355,'Темы × классы'!$D:$D,0)),"")</f>
        <v/>
      </c>
      <c r="G355" s="4">
        <f>IFERROR(INDEX('Темы × классы'!$R:$R,MATCH(D355,'Темы × классы'!$D:$D,0))&amp;"","")</f>
        <v/>
      </c>
      <c r="H355" s="4" t="inlineStr">
        <is>
          <t>не начат</t>
        </is>
      </c>
      <c r="I355" s="4" t="inlineStr">
        <is>
          <t>Spotlight / 10 класс / Module 4 · Earth Alert! / need/needn't</t>
        </is>
      </c>
    </row>
    <row r="356">
      <c r="A356" s="12" t="n">
        <v>10</v>
      </c>
      <c r="B356" s="4" t="inlineStr">
        <is>
          <t>Module 4 · Earth Alert!</t>
        </is>
      </c>
      <c r="C356" s="4" t="inlineStr">
        <is>
          <t>4c</t>
        </is>
      </c>
      <c r="D356" s="5" t="inlineStr">
        <is>
          <t>should/shouldn't</t>
        </is>
      </c>
      <c r="E356" s="12" t="inlineStr">
        <is>
          <t>10+</t>
        </is>
      </c>
      <c r="F356" s="4">
        <f>IFERROR(INDEX('Темы × классы'!$Q:$Q,MATCH(D356,'Темы × классы'!$D:$D,0)),"")</f>
        <v/>
      </c>
      <c r="G356" s="4">
        <f>IFERROR(INDEX('Темы × классы'!$R:$R,MATCH(D356,'Темы × классы'!$D:$D,0))&amp;"","")</f>
        <v/>
      </c>
      <c r="H356" s="4" t="inlineStr">
        <is>
          <t>не начат</t>
        </is>
      </c>
      <c r="I356" s="4" t="inlineStr">
        <is>
          <t>Spotlight / 10 класс / Module 4 · Earth Alert! / should/shouldn't</t>
        </is>
      </c>
    </row>
    <row r="357">
      <c r="A357" s="12" t="n">
        <v>10</v>
      </c>
      <c r="B357" s="4" t="inlineStr">
        <is>
          <t>Module 4 · Earth Alert!</t>
        </is>
      </c>
      <c r="C357" s="4" t="inlineStr">
        <is>
          <t>4c</t>
        </is>
      </c>
      <c r="D357" s="5" t="inlineStr">
        <is>
          <t>Modal verbs (deduction)</t>
        </is>
      </c>
      <c r="E357" s="12" t="inlineStr">
        <is>
          <t>10+</t>
        </is>
      </c>
      <c r="F357" s="4">
        <f>IFERROR(INDEX('Темы × классы'!$Q:$Q,MATCH(D357,'Темы × классы'!$D:$D,0)),"")</f>
        <v/>
      </c>
      <c r="G357" s="4">
        <f>IFERROR(INDEX('Темы × классы'!$R:$R,MATCH(D357,'Темы × классы'!$D:$D,0))&amp;"","")</f>
        <v/>
      </c>
      <c r="H357" s="4" t="inlineStr">
        <is>
          <t>не начат</t>
        </is>
      </c>
      <c r="I357" s="4" t="inlineStr">
        <is>
          <t>Spotlight / 10 класс / Module 4 · Earth Alert! / Modal verbs (deduction)</t>
        </is>
      </c>
    </row>
    <row r="358">
      <c r="A358" s="12" t="n">
        <v>10</v>
      </c>
      <c r="B358" s="4" t="inlineStr">
        <is>
          <t>Module 4 · Earth Alert!</t>
        </is>
      </c>
      <c r="C358" s="4" t="inlineStr">
        <is>
          <t>4c</t>
        </is>
      </c>
      <c r="D358" s="5" t="inlineStr">
        <is>
          <t>Modal verbs (functions)</t>
        </is>
      </c>
      <c r="E358" s="12" t="inlineStr">
        <is>
          <t>10+</t>
        </is>
      </c>
      <c r="F358" s="4">
        <f>IFERROR(INDEX('Темы × классы'!$Q:$Q,MATCH(D358,'Темы × классы'!$D:$D,0)),"")</f>
        <v/>
      </c>
      <c r="G358" s="4">
        <f>IFERROR(INDEX('Темы × классы'!$R:$R,MATCH(D358,'Темы × классы'!$D:$D,0))&amp;"","")</f>
        <v/>
      </c>
      <c r="H358" s="4" t="inlineStr">
        <is>
          <t>не начат</t>
        </is>
      </c>
      <c r="I358" s="4" t="inlineStr">
        <is>
          <t>Spotlight / 10 класс / Module 4 · Earth Alert! / Modal verbs (functions)</t>
        </is>
      </c>
    </row>
    <row r="359">
      <c r="A359" s="12" t="n">
        <v>10</v>
      </c>
      <c r="B359" s="4" t="inlineStr">
        <is>
          <t>Module 4 · Earth Alert!</t>
        </is>
      </c>
      <c r="C359" s="4" t="inlineStr">
        <is>
          <t>4c</t>
        </is>
      </c>
      <c r="D359" s="5" t="inlineStr">
        <is>
          <t>can/could (ability past)</t>
        </is>
      </c>
      <c r="E359" s="12" t="inlineStr">
        <is>
          <t>10+</t>
        </is>
      </c>
      <c r="F359" s="4">
        <f>IFERROR(INDEX('Темы × классы'!$Q:$Q,MATCH(D359,'Темы × классы'!$D:$D,0)),"")</f>
        <v/>
      </c>
      <c r="G359" s="4">
        <f>IFERROR(INDEX('Темы × классы'!$R:$R,MATCH(D359,'Темы × классы'!$D:$D,0))&amp;"","")</f>
        <v/>
      </c>
      <c r="H359" s="4" t="inlineStr">
        <is>
          <t>не начат</t>
        </is>
      </c>
      <c r="I359" s="4" t="inlineStr">
        <is>
          <t>Spotlight / 10 класс / Module 4 · Earth Alert! / can/could (ability past)</t>
        </is>
      </c>
    </row>
    <row r="360">
      <c r="A360" s="12" t="n">
        <v>10</v>
      </c>
      <c r="B360" s="4" t="inlineStr">
        <is>
          <t>Module 4 · Earth Alert!</t>
        </is>
      </c>
      <c r="C360" s="4" t="inlineStr">
        <is>
          <t>4c</t>
        </is>
      </c>
      <c r="D360" s="5" t="inlineStr">
        <is>
          <t>Phrasal verbs: run</t>
        </is>
      </c>
      <c r="E360" s="12" t="inlineStr">
        <is>
          <t>10+</t>
        </is>
      </c>
      <c r="F360" s="4">
        <f>IFERROR(INDEX('Темы × классы'!$Q:$Q,MATCH(D360,'Темы × классы'!$D:$D,0)),"")</f>
        <v/>
      </c>
      <c r="G360" s="4">
        <f>IFERROR(INDEX('Темы × классы'!$R:$R,MATCH(D360,'Темы × классы'!$D:$D,0))&amp;"","")</f>
        <v/>
      </c>
      <c r="H360" s="4" t="inlineStr">
        <is>
          <t>не начат</t>
        </is>
      </c>
      <c r="I360" s="4" t="inlineStr">
        <is>
          <t>Spotlight / 10 класс / Module 4 · Earth Alert! / Phrasal verbs: run</t>
        </is>
      </c>
    </row>
    <row r="361">
      <c r="A361" s="12" t="n">
        <v>10</v>
      </c>
      <c r="B361" s="4" t="inlineStr">
        <is>
          <t>Module 4 · Earth Alert!</t>
        </is>
      </c>
      <c r="C361" s="4" t="inlineStr">
        <is>
          <t>4c</t>
        </is>
      </c>
      <c r="D361" s="5" t="inlineStr">
        <is>
          <t>Word formation: negative adjectives</t>
        </is>
      </c>
      <c r="E361" s="12" t="inlineStr">
        <is>
          <t>10+</t>
        </is>
      </c>
      <c r="F361" s="4">
        <f>IFERROR(INDEX('Темы × классы'!$Q:$Q,MATCH(D361,'Темы × классы'!$D:$D,0)),"")</f>
        <v/>
      </c>
      <c r="G361" s="4">
        <f>IFERROR(INDEX('Темы × классы'!$R:$R,MATCH(D361,'Темы × классы'!$D:$D,0))&amp;"","")</f>
        <v/>
      </c>
      <c r="H361" s="4" t="inlineStr">
        <is>
          <t>не начат</t>
        </is>
      </c>
      <c r="I361" s="4" t="inlineStr">
        <is>
          <t>Spotlight / 10 класс / Module 4 · Earth Alert! / Word formation: negative adjectives</t>
        </is>
      </c>
    </row>
    <row r="362">
      <c r="A362" s="12" t="n">
        <v>10</v>
      </c>
      <c r="B362" s="4" t="inlineStr">
        <is>
          <t>Module 5 · Holidays</t>
        </is>
      </c>
      <c r="C362" s="4" t="inlineStr">
        <is>
          <t>5c</t>
        </is>
      </c>
      <c r="D362" s="5" t="inlineStr">
        <is>
          <t>Past Simple</t>
        </is>
      </c>
      <c r="E362" s="12" t="inlineStr">
        <is>
          <t>10+</t>
        </is>
      </c>
      <c r="F362" s="4">
        <f>IFERROR(INDEX('Темы × классы'!$Q:$Q,MATCH(D362,'Темы × классы'!$D:$D,0)),"")</f>
        <v/>
      </c>
      <c r="G362" s="4">
        <f>IFERROR(INDEX('Темы × классы'!$R:$R,MATCH(D362,'Темы × классы'!$D:$D,0))&amp;"","")</f>
        <v/>
      </c>
      <c r="H362" s="4" t="inlineStr">
        <is>
          <t>не начат</t>
        </is>
      </c>
      <c r="I362" s="4" t="inlineStr">
        <is>
          <t>Spotlight / 10 класс / Module 5 · Holidays / Past Simple</t>
        </is>
      </c>
    </row>
    <row r="363">
      <c r="A363" s="12" t="n">
        <v>10</v>
      </c>
      <c r="B363" s="4" t="inlineStr">
        <is>
          <t>Module 5 · Holidays</t>
        </is>
      </c>
      <c r="C363" s="4" t="inlineStr">
        <is>
          <t>5c</t>
        </is>
      </c>
      <c r="D363" s="5" t="inlineStr">
        <is>
          <t>Past Continuous</t>
        </is>
      </c>
      <c r="E363" s="12" t="inlineStr">
        <is>
          <t>10+</t>
        </is>
      </c>
      <c r="F363" s="4">
        <f>IFERROR(INDEX('Темы × классы'!$Q:$Q,MATCH(D363,'Темы × классы'!$D:$D,0)),"")</f>
        <v/>
      </c>
      <c r="G363" s="4">
        <f>IFERROR(INDEX('Темы × классы'!$R:$R,MATCH(D363,'Темы × классы'!$D:$D,0))&amp;"","")</f>
        <v/>
      </c>
      <c r="H363" s="4" t="inlineStr">
        <is>
          <t>не начат</t>
        </is>
      </c>
      <c r="I363" s="4" t="inlineStr">
        <is>
          <t>Spotlight / 10 класс / Module 5 · Holidays / Past Continuous</t>
        </is>
      </c>
    </row>
    <row r="364">
      <c r="A364" s="12" t="n">
        <v>10</v>
      </c>
      <c r="B364" s="4" t="inlineStr">
        <is>
          <t>Module 5 · Holidays</t>
        </is>
      </c>
      <c r="C364" s="4" t="inlineStr">
        <is>
          <t>5c</t>
        </is>
      </c>
      <c r="D364" s="5" t="inlineStr">
        <is>
          <t>Past Simple vs Past Continuous</t>
        </is>
      </c>
      <c r="E364" s="12" t="inlineStr">
        <is>
          <t>10+</t>
        </is>
      </c>
      <c r="F364" s="4">
        <f>IFERROR(INDEX('Темы × классы'!$Q:$Q,MATCH(D364,'Темы × классы'!$D:$D,0)),"")</f>
        <v/>
      </c>
      <c r="G364" s="4">
        <f>IFERROR(INDEX('Темы × классы'!$R:$R,MATCH(D364,'Темы × классы'!$D:$D,0))&amp;"","")</f>
        <v/>
      </c>
      <c r="H364" s="4" t="inlineStr">
        <is>
          <t>не начат</t>
        </is>
      </c>
      <c r="I364" s="4" t="inlineStr">
        <is>
          <t>Spotlight / 10 класс / Module 5 · Holidays / Past Simple vs Past Continuous</t>
        </is>
      </c>
    </row>
    <row r="365">
      <c r="A365" s="12" t="n">
        <v>10</v>
      </c>
      <c r="B365" s="4" t="inlineStr">
        <is>
          <t>Module 5 · Holidays</t>
        </is>
      </c>
      <c r="C365" s="4" t="inlineStr">
        <is>
          <t>5c</t>
        </is>
      </c>
      <c r="D365" s="5" t="inlineStr">
        <is>
          <t>Past Perfect</t>
        </is>
      </c>
      <c r="E365" s="12" t="inlineStr">
        <is>
          <t>10+</t>
        </is>
      </c>
      <c r="F365" s="4">
        <f>IFERROR(INDEX('Темы × классы'!$Q:$Q,MATCH(D365,'Темы × классы'!$D:$D,0)),"")</f>
        <v/>
      </c>
      <c r="G365" s="4">
        <f>IFERROR(INDEX('Темы × классы'!$R:$R,MATCH(D365,'Темы × классы'!$D:$D,0))&amp;"","")</f>
        <v/>
      </c>
      <c r="H365" s="4" t="inlineStr">
        <is>
          <t>не начат</t>
        </is>
      </c>
      <c r="I365" s="4" t="inlineStr">
        <is>
          <t>Spotlight / 10 класс / Module 5 · Holidays / Past Perfect</t>
        </is>
      </c>
    </row>
    <row r="366">
      <c r="A366" s="12" t="n">
        <v>10</v>
      </c>
      <c r="B366" s="4" t="inlineStr">
        <is>
          <t>Module 5 · Holidays</t>
        </is>
      </c>
      <c r="C366" s="4" t="inlineStr">
        <is>
          <t>5c</t>
        </is>
      </c>
      <c r="D366" s="5" t="inlineStr">
        <is>
          <t>Past Perfect Continuous</t>
        </is>
      </c>
      <c r="E366" s="12" t="inlineStr">
        <is>
          <t>10+</t>
        </is>
      </c>
      <c r="F366" s="4">
        <f>IFERROR(INDEX('Темы × классы'!$Q:$Q,MATCH(D366,'Темы × классы'!$D:$D,0)),"")</f>
        <v/>
      </c>
      <c r="G366" s="4">
        <f>IFERROR(INDEX('Темы × классы'!$R:$R,MATCH(D366,'Темы × классы'!$D:$D,0))&amp;"","")</f>
        <v/>
      </c>
      <c r="H366" s="4" t="inlineStr">
        <is>
          <t>не начат</t>
        </is>
      </c>
      <c r="I366" s="4" t="inlineStr">
        <is>
          <t>Spotlight / 10 класс / Module 5 · Holidays / Past Perfect Continuous</t>
        </is>
      </c>
    </row>
    <row r="367">
      <c r="A367" s="12" t="n">
        <v>10</v>
      </c>
      <c r="B367" s="4" t="inlineStr">
        <is>
          <t>Module 5 · Holidays</t>
        </is>
      </c>
      <c r="C367" s="4" t="inlineStr">
        <is>
          <t>5c</t>
        </is>
      </c>
      <c r="D367" s="5" t="inlineStr">
        <is>
          <t>much/many/a lot of</t>
        </is>
      </c>
      <c r="E367" s="12" t="inlineStr">
        <is>
          <t>10+</t>
        </is>
      </c>
      <c r="F367" s="4">
        <f>IFERROR(INDEX('Темы × классы'!$Q:$Q,MATCH(D367,'Темы × классы'!$D:$D,0)),"")</f>
        <v/>
      </c>
      <c r="G367" s="4">
        <f>IFERROR(INDEX('Темы × классы'!$R:$R,MATCH(D367,'Темы × классы'!$D:$D,0))&amp;"","")</f>
        <v/>
      </c>
      <c r="H367" s="4" t="inlineStr">
        <is>
          <t>не начат</t>
        </is>
      </c>
      <c r="I367" s="4" t="inlineStr">
        <is>
          <t>Spotlight / 10 класс / Module 5 · Holidays / much/many/a lot of</t>
        </is>
      </c>
    </row>
    <row r="368">
      <c r="A368" s="12" t="n">
        <v>10</v>
      </c>
      <c r="B368" s="4" t="inlineStr">
        <is>
          <t>Module 5 · Holidays</t>
        </is>
      </c>
      <c r="C368" s="4" t="inlineStr">
        <is>
          <t>5c</t>
        </is>
      </c>
      <c r="D368" s="5" t="inlineStr">
        <is>
          <t>Articles (a/an/the/zero)</t>
        </is>
      </c>
      <c r="E368" s="12" t="inlineStr">
        <is>
          <t>10+</t>
        </is>
      </c>
      <c r="F368" s="4">
        <f>IFERROR(INDEX('Темы × классы'!$Q:$Q,MATCH(D368,'Темы × классы'!$D:$D,0)),"")</f>
        <v/>
      </c>
      <c r="G368" s="4">
        <f>IFERROR(INDEX('Темы × классы'!$R:$R,MATCH(D368,'Темы × классы'!$D:$D,0))&amp;"","")</f>
        <v/>
      </c>
      <c r="H368" s="4" t="inlineStr">
        <is>
          <t>не начат</t>
        </is>
      </c>
      <c r="I368" s="4" t="inlineStr">
        <is>
          <t>Spotlight / 10 класс / Module 5 · Holidays / Articles (a/an/the/zero)</t>
        </is>
      </c>
    </row>
    <row r="369">
      <c r="A369" s="12" t="n">
        <v>10</v>
      </c>
      <c r="B369" s="4" t="inlineStr">
        <is>
          <t>Module 5 · Holidays</t>
        </is>
      </c>
      <c r="C369" s="4" t="inlineStr">
        <is>
          <t>5c</t>
        </is>
      </c>
      <c r="D369" s="5" t="inlineStr">
        <is>
          <t>a few/a little</t>
        </is>
      </c>
      <c r="E369" s="12" t="inlineStr">
        <is>
          <t>10+</t>
        </is>
      </c>
      <c r="F369" s="4">
        <f>IFERROR(INDEX('Темы × классы'!$Q:$Q,MATCH(D369,'Темы × классы'!$D:$D,0)),"")</f>
        <v/>
      </c>
      <c r="G369" s="4">
        <f>IFERROR(INDEX('Темы × классы'!$R:$R,MATCH(D369,'Темы × классы'!$D:$D,0))&amp;"","")</f>
        <v/>
      </c>
      <c r="H369" s="4" t="inlineStr">
        <is>
          <t>не начат</t>
        </is>
      </c>
      <c r="I369" s="4" t="inlineStr">
        <is>
          <t>Spotlight / 10 класс / Module 5 · Holidays / a few/a little</t>
        </is>
      </c>
    </row>
    <row r="370">
      <c r="A370" s="12" t="n">
        <v>10</v>
      </c>
      <c r="B370" s="4" t="inlineStr">
        <is>
          <t>Module 5 · Holidays</t>
        </is>
      </c>
      <c r="C370" s="4" t="inlineStr">
        <is>
          <t>5c</t>
        </is>
      </c>
      <c r="D370" s="5" t="inlineStr">
        <is>
          <t>Determiners (every/each)</t>
        </is>
      </c>
      <c r="E370" s="12" t="inlineStr">
        <is>
          <t>10+</t>
        </is>
      </c>
      <c r="F370" s="4">
        <f>IFERROR(INDEX('Темы × классы'!$Q:$Q,MATCH(D370,'Темы × классы'!$D:$D,0)),"")</f>
        <v/>
      </c>
      <c r="G370" s="4">
        <f>IFERROR(INDEX('Темы × классы'!$R:$R,MATCH(D370,'Темы × классы'!$D:$D,0))&amp;"","")</f>
        <v/>
      </c>
      <c r="H370" s="4" t="inlineStr">
        <is>
          <t>не начат</t>
        </is>
      </c>
      <c r="I370" s="4" t="inlineStr">
        <is>
          <t>Spotlight / 10 класс / Module 5 · Holidays / Determiners (every/each)</t>
        </is>
      </c>
    </row>
    <row r="371">
      <c r="A371" s="12" t="n">
        <v>10</v>
      </c>
      <c r="B371" s="4" t="inlineStr">
        <is>
          <t>Module 5 · Holidays</t>
        </is>
      </c>
      <c r="C371" s="4" t="inlineStr">
        <is>
          <t>5c</t>
        </is>
      </c>
      <c r="D371" s="5" t="inlineStr">
        <is>
          <t>Indefinite pronouns (some-/any-/no-/every-)</t>
        </is>
      </c>
      <c r="E371" s="12" t="inlineStr">
        <is>
          <t>10+</t>
        </is>
      </c>
      <c r="F371" s="4">
        <f>IFERROR(INDEX('Темы × классы'!$Q:$Q,MATCH(D371,'Темы × классы'!$D:$D,0)),"")</f>
        <v/>
      </c>
      <c r="G371" s="4">
        <f>IFERROR(INDEX('Темы × классы'!$R:$R,MATCH(D371,'Темы × классы'!$D:$D,0))&amp;"","")</f>
        <v/>
      </c>
      <c r="H371" s="4" t="inlineStr">
        <is>
          <t>не начат</t>
        </is>
      </c>
      <c r="I371" s="4" t="inlineStr">
        <is>
          <t>Spotlight / 10 класс / Module 5 · Holidays / Indefinite pronouns (some-/any-/no-/every-)</t>
        </is>
      </c>
    </row>
    <row r="372">
      <c r="A372" s="12" t="n">
        <v>10</v>
      </c>
      <c r="B372" s="4" t="inlineStr">
        <is>
          <t>Module 5 · Holidays</t>
        </is>
      </c>
      <c r="C372" s="4" t="inlineStr">
        <is>
          <t>5e</t>
        </is>
      </c>
      <c r="D372" s="5" t="inlineStr">
        <is>
          <t>Adjectives -ed/-ing</t>
        </is>
      </c>
      <c r="E372" s="12" t="inlineStr">
        <is>
          <t>10+</t>
        </is>
      </c>
      <c r="F372" s="4">
        <f>IFERROR(INDEX('Темы × классы'!$Q:$Q,MATCH(D372,'Темы × классы'!$D:$D,0)),"")</f>
        <v/>
      </c>
      <c r="G372" s="4">
        <f>IFERROR(INDEX('Темы × классы'!$R:$R,MATCH(D372,'Темы × классы'!$D:$D,0))&amp;"","")</f>
        <v/>
      </c>
      <c r="H372" s="4" t="inlineStr">
        <is>
          <t>не начат</t>
        </is>
      </c>
      <c r="I372" s="4" t="inlineStr">
        <is>
          <t>Spotlight / 10 класс / Module 5 · Holidays / Adjectives -ed/-ing</t>
        </is>
      </c>
    </row>
    <row r="373">
      <c r="A373" s="12" t="n">
        <v>10</v>
      </c>
      <c r="B373" s="4" t="inlineStr">
        <is>
          <t>Module 5 · Holidays</t>
        </is>
      </c>
      <c r="C373" s="4" t="inlineStr">
        <is>
          <t>5c</t>
        </is>
      </c>
      <c r="D373" s="5" t="inlineStr">
        <is>
          <t>Phrasal verbs: get</t>
        </is>
      </c>
      <c r="E373" s="12" t="inlineStr">
        <is>
          <t>10+</t>
        </is>
      </c>
      <c r="F373" s="4">
        <f>IFERROR(INDEX('Темы × классы'!$Q:$Q,MATCH(D373,'Темы × классы'!$D:$D,0)),"")</f>
        <v/>
      </c>
      <c r="G373" s="4">
        <f>IFERROR(INDEX('Темы × классы'!$R:$R,MATCH(D373,'Темы × классы'!$D:$D,0))&amp;"","")</f>
        <v/>
      </c>
      <c r="H373" s="4" t="inlineStr">
        <is>
          <t>не начат</t>
        </is>
      </c>
      <c r="I373" s="4" t="inlineStr">
        <is>
          <t>Spotlight / 10 класс / Module 5 · Holidays / Phrasal verbs: get</t>
        </is>
      </c>
    </row>
    <row r="374">
      <c r="A374" s="12" t="n">
        <v>10</v>
      </c>
      <c r="B374" s="4" t="inlineStr">
        <is>
          <t>Module 5 · Holidays</t>
        </is>
      </c>
      <c r="C374" s="4" t="inlineStr">
        <is>
          <t>5c</t>
        </is>
      </c>
      <c r="D374" s="5" t="inlineStr">
        <is>
          <t>Word formation: compound nouns</t>
        </is>
      </c>
      <c r="E374" s="12" t="inlineStr">
        <is>
          <t>10+</t>
        </is>
      </c>
      <c r="F374" s="4">
        <f>IFERROR(INDEX('Темы × классы'!$Q:$Q,MATCH(D374,'Темы × классы'!$D:$D,0)),"")</f>
        <v/>
      </c>
      <c r="G374" s="4">
        <f>IFERROR(INDEX('Темы × классы'!$R:$R,MATCH(D374,'Темы × классы'!$D:$D,0))&amp;"","")</f>
        <v/>
      </c>
      <c r="H374" s="4" t="inlineStr">
        <is>
          <t>не начат</t>
        </is>
      </c>
      <c r="I374" s="4" t="inlineStr">
        <is>
          <t>Spotlight / 10 класс / Module 5 · Holidays / Word formation: compound nouns</t>
        </is>
      </c>
    </row>
    <row r="375">
      <c r="A375" s="12" t="n">
        <v>10</v>
      </c>
      <c r="B375" s="4" t="inlineStr">
        <is>
          <t>Module 5 · Holidays</t>
        </is>
      </c>
      <c r="C375" s="4" t="inlineStr">
        <is>
          <t>5c</t>
        </is>
      </c>
      <c r="D375" s="5" t="inlineStr">
        <is>
          <t>Idioms &amp; collocations</t>
        </is>
      </c>
      <c r="E375" s="12" t="inlineStr">
        <is>
          <t>10+</t>
        </is>
      </c>
      <c r="F375" s="4">
        <f>IFERROR(INDEX('Темы × классы'!$Q:$Q,MATCH(D375,'Темы × классы'!$D:$D,0)),"")</f>
        <v/>
      </c>
      <c r="G375" s="4">
        <f>IFERROR(INDEX('Темы × классы'!$R:$R,MATCH(D375,'Темы × классы'!$D:$D,0))&amp;"","")</f>
        <v/>
      </c>
      <c r="H375" s="4" t="inlineStr">
        <is>
          <t>не начат</t>
        </is>
      </c>
      <c r="I375" s="4" t="inlineStr">
        <is>
          <t>Spotlight / 10 класс / Module 5 · Holidays / Idioms &amp; collocations</t>
        </is>
      </c>
    </row>
    <row r="376">
      <c r="A376" s="12" t="n">
        <v>10</v>
      </c>
      <c r="B376" s="4" t="inlineStr">
        <is>
          <t>Module 6 · Food &amp; Health</t>
        </is>
      </c>
      <c r="C376" s="4" t="inlineStr">
        <is>
          <t>6c</t>
        </is>
      </c>
      <c r="D376" s="5" t="inlineStr">
        <is>
          <t>Conditionals (Type 0)</t>
        </is>
      </c>
      <c r="E376" s="12" t="inlineStr">
        <is>
          <t>10+</t>
        </is>
      </c>
      <c r="F376" s="4">
        <f>IFERROR(INDEX('Темы × классы'!$Q:$Q,MATCH(D376,'Темы × классы'!$D:$D,0)),"")</f>
        <v/>
      </c>
      <c r="G376" s="4">
        <f>IFERROR(INDEX('Темы × классы'!$R:$R,MATCH(D376,'Темы × классы'!$D:$D,0))&amp;"","")</f>
        <v/>
      </c>
      <c r="H376" s="4" t="inlineStr">
        <is>
          <t>не начат</t>
        </is>
      </c>
      <c r="I376" s="4" t="inlineStr">
        <is>
          <t>Spotlight / 10 класс / Module 6 · Food &amp; Health / Conditionals (Type 0)</t>
        </is>
      </c>
    </row>
    <row r="377">
      <c r="A377" s="12" t="n">
        <v>10</v>
      </c>
      <c r="B377" s="4" t="inlineStr">
        <is>
          <t>Module 6 · Food &amp; Health</t>
        </is>
      </c>
      <c r="C377" s="4" t="inlineStr">
        <is>
          <t>6c</t>
        </is>
      </c>
      <c r="D377" s="5" t="inlineStr">
        <is>
          <t>Conditionals (Type 1)</t>
        </is>
      </c>
      <c r="E377" s="12" t="inlineStr">
        <is>
          <t>10+</t>
        </is>
      </c>
      <c r="F377" s="4">
        <f>IFERROR(INDEX('Темы × классы'!$Q:$Q,MATCH(D377,'Темы × классы'!$D:$D,0)),"")</f>
        <v/>
      </c>
      <c r="G377" s="4">
        <f>IFERROR(INDEX('Темы × классы'!$R:$R,MATCH(D377,'Темы × классы'!$D:$D,0))&amp;"","")</f>
        <v/>
      </c>
      <c r="H377" s="4" t="inlineStr">
        <is>
          <t>не начат</t>
        </is>
      </c>
      <c r="I377" s="4" t="inlineStr">
        <is>
          <t>Spotlight / 10 класс / Module 6 · Food &amp; Health / Conditionals (Type 1)</t>
        </is>
      </c>
    </row>
    <row r="378">
      <c r="A378" s="12" t="n">
        <v>10</v>
      </c>
      <c r="B378" s="4" t="inlineStr">
        <is>
          <t>Module 6 · Food &amp; Health</t>
        </is>
      </c>
      <c r="C378" s="4" t="inlineStr">
        <is>
          <t>6c</t>
        </is>
      </c>
      <c r="D378" s="5" t="inlineStr">
        <is>
          <t>Conditionals (Type 2)</t>
        </is>
      </c>
      <c r="E378" s="12" t="inlineStr">
        <is>
          <t>10+</t>
        </is>
      </c>
      <c r="F378" s="4">
        <f>IFERROR(INDEX('Темы × классы'!$Q:$Q,MATCH(D378,'Темы × классы'!$D:$D,0)),"")</f>
        <v/>
      </c>
      <c r="G378" s="4">
        <f>IFERROR(INDEX('Темы × классы'!$R:$R,MATCH(D378,'Темы × классы'!$D:$D,0))&amp;"","")</f>
        <v/>
      </c>
      <c r="H378" s="4" t="inlineStr">
        <is>
          <t>не начат</t>
        </is>
      </c>
      <c r="I378" s="4" t="inlineStr">
        <is>
          <t>Spotlight / 10 класс / Module 6 · Food &amp; Health / Conditionals (Type 2)</t>
        </is>
      </c>
    </row>
    <row r="379">
      <c r="A379" s="12" t="n">
        <v>10</v>
      </c>
      <c r="B379" s="4" t="inlineStr">
        <is>
          <t>Module 6 · Food &amp; Health</t>
        </is>
      </c>
      <c r="C379" s="4" t="inlineStr">
        <is>
          <t>6c</t>
        </is>
      </c>
      <c r="D379" s="5" t="inlineStr">
        <is>
          <t>Conditionals (Type 3)</t>
        </is>
      </c>
      <c r="E379" s="12" t="inlineStr">
        <is>
          <t>10+</t>
        </is>
      </c>
      <c r="F379" s="4">
        <f>IFERROR(INDEX('Темы × классы'!$Q:$Q,MATCH(D379,'Темы × классы'!$D:$D,0)),"")</f>
        <v/>
      </c>
      <c r="G379" s="4">
        <f>IFERROR(INDEX('Темы × классы'!$R:$R,MATCH(D379,'Темы × классы'!$D:$D,0))&amp;"","")</f>
        <v/>
      </c>
      <c r="H379" s="4" t="inlineStr">
        <is>
          <t>не начат</t>
        </is>
      </c>
      <c r="I379" s="4" t="inlineStr">
        <is>
          <t>Spotlight / 10 класс / Module 6 · Food &amp; Health / Conditionals (Type 3)</t>
        </is>
      </c>
    </row>
    <row r="380">
      <c r="A380" s="12" t="n">
        <v>10</v>
      </c>
      <c r="B380" s="4" t="inlineStr">
        <is>
          <t>Module 6 · Food &amp; Health</t>
        </is>
      </c>
      <c r="C380" s="4" t="inlineStr">
        <is>
          <t>6c</t>
        </is>
      </c>
      <c r="D380" s="5" t="inlineStr">
        <is>
          <t>Wishes (I wish / If only)</t>
        </is>
      </c>
      <c r="E380" s="12" t="inlineStr">
        <is>
          <t>10+</t>
        </is>
      </c>
      <c r="F380" s="4">
        <f>IFERROR(INDEX('Темы × классы'!$Q:$Q,MATCH(D380,'Темы × классы'!$D:$D,0)),"")</f>
        <v/>
      </c>
      <c r="G380" s="4">
        <f>IFERROR(INDEX('Темы × классы'!$R:$R,MATCH(D380,'Темы × классы'!$D:$D,0))&amp;"","")</f>
        <v/>
      </c>
      <c r="H380" s="4" t="inlineStr">
        <is>
          <t>не начат</t>
        </is>
      </c>
      <c r="I380" s="4" t="inlineStr">
        <is>
          <t>Spotlight / 10 класс / Module 6 · Food &amp; Health / Wishes (I wish / If only)</t>
        </is>
      </c>
    </row>
    <row r="381">
      <c r="A381" s="12" t="n">
        <v>10</v>
      </c>
      <c r="B381" s="4" t="inlineStr">
        <is>
          <t>Module 6 · Food &amp; Health</t>
        </is>
      </c>
      <c r="C381" s="4" t="inlineStr">
        <is>
          <t>6c</t>
        </is>
      </c>
      <c r="D381" s="5" t="inlineStr">
        <is>
          <t>Conditional linkers (unless, provided…)</t>
        </is>
      </c>
      <c r="E381" s="12" t="inlineStr">
        <is>
          <t>10+</t>
        </is>
      </c>
      <c r="F381" s="4">
        <f>IFERROR(INDEX('Темы × классы'!$Q:$Q,MATCH(D381,'Темы × классы'!$D:$D,0)),"")</f>
        <v/>
      </c>
      <c r="G381" s="4">
        <f>IFERROR(INDEX('Темы × классы'!$R:$R,MATCH(D381,'Темы × классы'!$D:$D,0))&amp;"","")</f>
        <v/>
      </c>
      <c r="H381" s="4" t="inlineStr">
        <is>
          <t>не начат</t>
        </is>
      </c>
      <c r="I381" s="4" t="inlineStr">
        <is>
          <t>Spotlight / 10 класс / Module 6 · Food &amp; Health / Conditional linkers (unless, provided…)</t>
        </is>
      </c>
    </row>
    <row r="382">
      <c r="A382" s="12" t="n">
        <v>10</v>
      </c>
      <c r="B382" s="4" t="inlineStr">
        <is>
          <t>Module 6 · Food &amp; Health</t>
        </is>
      </c>
      <c r="C382" s="4" t="inlineStr">
        <is>
          <t>6c</t>
        </is>
      </c>
      <c r="D382" s="5" t="inlineStr">
        <is>
          <t>Inversion</t>
        </is>
      </c>
      <c r="E382" s="12" t="inlineStr">
        <is>
          <t>10+</t>
        </is>
      </c>
      <c r="F382" s="4">
        <f>IFERROR(INDEX('Темы × классы'!$Q:$Q,MATCH(D382,'Темы × классы'!$D:$D,0)),"")</f>
        <v/>
      </c>
      <c r="G382" s="4">
        <f>IFERROR(INDEX('Темы × классы'!$R:$R,MATCH(D382,'Темы × классы'!$D:$D,0))&amp;"","")</f>
        <v/>
      </c>
      <c r="H382" s="4" t="inlineStr">
        <is>
          <t>не начат</t>
        </is>
      </c>
      <c r="I382" s="4" t="inlineStr">
        <is>
          <t>Spotlight / 10 класс / Module 6 · Food &amp; Health / Inversion</t>
        </is>
      </c>
    </row>
    <row r="383">
      <c r="A383" s="12" t="n">
        <v>10</v>
      </c>
      <c r="B383" s="4" t="inlineStr">
        <is>
          <t>Module 6 · Food &amp; Health</t>
        </is>
      </c>
      <c r="C383" s="4" t="inlineStr">
        <is>
          <t>6c</t>
        </is>
      </c>
      <c r="D383" s="5" t="inlineStr">
        <is>
          <t>Phrasal verbs: give</t>
        </is>
      </c>
      <c r="E383" s="12" t="inlineStr">
        <is>
          <t>10+</t>
        </is>
      </c>
      <c r="F383" s="4">
        <f>IFERROR(INDEX('Темы × классы'!$Q:$Q,MATCH(D383,'Темы × классы'!$D:$D,0)),"")</f>
        <v/>
      </c>
      <c r="G383" s="4">
        <f>IFERROR(INDEX('Темы × классы'!$R:$R,MATCH(D383,'Темы × классы'!$D:$D,0))&amp;"","")</f>
        <v/>
      </c>
      <c r="H383" s="4" t="inlineStr">
        <is>
          <t>не начат</t>
        </is>
      </c>
      <c r="I383" s="4" t="inlineStr">
        <is>
          <t>Spotlight / 10 класс / Module 6 · Food &amp; Health / Phrasal verbs: give</t>
        </is>
      </c>
    </row>
    <row r="384">
      <c r="A384" s="12" t="n">
        <v>10</v>
      </c>
      <c r="B384" s="4" t="inlineStr">
        <is>
          <t>Module 6 · Food &amp; Health</t>
        </is>
      </c>
      <c r="C384" s="4" t="inlineStr">
        <is>
          <t>6c</t>
        </is>
      </c>
      <c r="D384" s="5" t="inlineStr">
        <is>
          <t>Word formation: prefixes</t>
        </is>
      </c>
      <c r="E384" s="12" t="inlineStr">
        <is>
          <t>10+</t>
        </is>
      </c>
      <c r="F384" s="4">
        <f>IFERROR(INDEX('Темы × классы'!$Q:$Q,MATCH(D384,'Темы × классы'!$D:$D,0)),"")</f>
        <v/>
      </c>
      <c r="G384" s="4">
        <f>IFERROR(INDEX('Темы × классы'!$R:$R,MATCH(D384,'Темы × классы'!$D:$D,0))&amp;"","")</f>
        <v/>
      </c>
      <c r="H384" s="4" t="inlineStr">
        <is>
          <t>не начат</t>
        </is>
      </c>
      <c r="I384" s="4" t="inlineStr">
        <is>
          <t>Spotlight / 10 класс / Module 6 · Food &amp; Health / Word formation: prefixes</t>
        </is>
      </c>
    </row>
    <row r="385">
      <c r="A385" s="12" t="n">
        <v>10</v>
      </c>
      <c r="B385" s="4" t="inlineStr">
        <is>
          <t>Module 7 · Let's have fun</t>
        </is>
      </c>
      <c r="C385" s="4" t="inlineStr">
        <is>
          <t>7e</t>
        </is>
      </c>
      <c r="D385" s="5" t="inlineStr">
        <is>
          <t>Modal verbs (functions)</t>
        </is>
      </c>
      <c r="E385" s="12" t="inlineStr">
        <is>
          <t>10+</t>
        </is>
      </c>
      <c r="F385" s="4">
        <f>IFERROR(INDEX('Темы × классы'!$Q:$Q,MATCH(D385,'Темы × классы'!$D:$D,0)),"")</f>
        <v/>
      </c>
      <c r="G385" s="4">
        <f>IFERROR(INDEX('Темы × классы'!$R:$R,MATCH(D385,'Темы × классы'!$D:$D,0))&amp;"","")</f>
        <v/>
      </c>
      <c r="H385" s="4" t="inlineStr">
        <is>
          <t>не начат</t>
        </is>
      </c>
      <c r="I385" s="4" t="inlineStr">
        <is>
          <t>Spotlight / 10 класс / Module 7 · Let's have fun / Modal verbs (functions)</t>
        </is>
      </c>
    </row>
    <row r="386">
      <c r="A386" s="12" t="n">
        <v>10</v>
      </c>
      <c r="B386" s="4" t="inlineStr">
        <is>
          <t>Module 7 · Let's have fun</t>
        </is>
      </c>
      <c r="C386" s="4" t="inlineStr">
        <is>
          <t>7c</t>
        </is>
      </c>
      <c r="D386" s="5" t="inlineStr">
        <is>
          <t>Passive Voice</t>
        </is>
      </c>
      <c r="E386" s="12" t="inlineStr">
        <is>
          <t>10+</t>
        </is>
      </c>
      <c r="F386" s="4">
        <f>IFERROR(INDEX('Темы × классы'!$Q:$Q,MATCH(D386,'Темы × классы'!$D:$D,0)),"")</f>
        <v/>
      </c>
      <c r="G386" s="4">
        <f>IFERROR(INDEX('Темы × классы'!$R:$R,MATCH(D386,'Темы × классы'!$D:$D,0))&amp;"","")</f>
        <v/>
      </c>
      <c r="H386" s="4" t="inlineStr">
        <is>
          <t>не начат</t>
        </is>
      </c>
      <c r="I386" s="4" t="inlineStr">
        <is>
          <t>Spotlight / 10 класс / Module 7 · Let's have fun / Passive Voice</t>
        </is>
      </c>
    </row>
    <row r="387">
      <c r="A387" s="12" t="n">
        <v>10</v>
      </c>
      <c r="B387" s="4" t="inlineStr">
        <is>
          <t>Module 7 · Let's have fun</t>
        </is>
      </c>
      <c r="C387" s="4" t="inlineStr">
        <is>
          <t>7c</t>
        </is>
      </c>
      <c r="D387" s="5" t="inlineStr">
        <is>
          <t>Phrasal verbs: turn</t>
        </is>
      </c>
      <c r="E387" s="12" t="inlineStr">
        <is>
          <t>10+</t>
        </is>
      </c>
      <c r="F387" s="4">
        <f>IFERROR(INDEX('Темы × классы'!$Q:$Q,MATCH(D387,'Темы × классы'!$D:$D,0)),"")</f>
        <v/>
      </c>
      <c r="G387" s="4">
        <f>IFERROR(INDEX('Темы × классы'!$R:$R,MATCH(D387,'Темы × классы'!$D:$D,0))&amp;"","")</f>
        <v/>
      </c>
      <c r="H387" s="4" t="inlineStr">
        <is>
          <t>не начат</t>
        </is>
      </c>
      <c r="I387" s="4" t="inlineStr">
        <is>
          <t>Spotlight / 10 класс / Module 7 · Let's have fun / Phrasal verbs: turn</t>
        </is>
      </c>
    </row>
    <row r="388">
      <c r="A388" s="12" t="n">
        <v>10</v>
      </c>
      <c r="B388" s="4" t="inlineStr">
        <is>
          <t>Module 7 · Let's have fun</t>
        </is>
      </c>
      <c r="C388" s="4" t="inlineStr">
        <is>
          <t>7c</t>
        </is>
      </c>
      <c r="D388" s="5" t="inlineStr">
        <is>
          <t>Word formation: compound adjectives</t>
        </is>
      </c>
      <c r="E388" s="12" t="inlineStr">
        <is>
          <t>10+</t>
        </is>
      </c>
      <c r="F388" s="4">
        <f>IFERROR(INDEX('Темы × классы'!$Q:$Q,MATCH(D388,'Темы × классы'!$D:$D,0)),"")</f>
        <v/>
      </c>
      <c r="G388" s="4">
        <f>IFERROR(INDEX('Темы × классы'!$R:$R,MATCH(D388,'Темы × классы'!$D:$D,0))&amp;"","")</f>
        <v/>
      </c>
      <c r="H388" s="4" t="inlineStr">
        <is>
          <t>не начат</t>
        </is>
      </c>
      <c r="I388" s="4" t="inlineStr">
        <is>
          <t>Spotlight / 10 класс / Module 7 · Let's have fun / Word formation: compound adjectives</t>
        </is>
      </c>
    </row>
    <row r="389">
      <c r="A389" s="12" t="n">
        <v>10</v>
      </c>
      <c r="B389" s="4" t="inlineStr">
        <is>
          <t>Module 8 · Technology</t>
        </is>
      </c>
      <c r="C389" s="4" t="inlineStr">
        <is>
          <t>8c</t>
        </is>
      </c>
      <c r="D389" s="5" t="inlineStr">
        <is>
          <t>Reported Speech</t>
        </is>
      </c>
      <c r="E389" s="12" t="inlineStr">
        <is>
          <t>10+</t>
        </is>
      </c>
      <c r="F389" s="4">
        <f>IFERROR(INDEX('Темы × классы'!$Q:$Q,MATCH(D389,'Темы × классы'!$D:$D,0)),"")</f>
        <v/>
      </c>
      <c r="G389" s="4">
        <f>IFERROR(INDEX('Темы × классы'!$R:$R,MATCH(D389,'Темы × классы'!$D:$D,0))&amp;"","")</f>
        <v/>
      </c>
      <c r="H389" s="4" t="inlineStr">
        <is>
          <t>не начат</t>
        </is>
      </c>
      <c r="I389" s="4" t="inlineStr">
        <is>
          <t>Spotlight / 10 класс / Module 8 · Technology / Reported Speech</t>
        </is>
      </c>
    </row>
    <row r="390">
      <c r="A390" s="12" t="n">
        <v>10</v>
      </c>
      <c r="B390" s="4" t="inlineStr">
        <is>
          <t>Module 8 · Technology</t>
        </is>
      </c>
      <c r="C390" s="4" t="inlineStr">
        <is>
          <t>8c</t>
        </is>
      </c>
      <c r="D390" s="5" t="inlineStr">
        <is>
          <t>Reported Speech: modal verbs</t>
        </is>
      </c>
      <c r="E390" s="12" t="inlineStr">
        <is>
          <t>10+</t>
        </is>
      </c>
      <c r="F390" s="4">
        <f>IFERROR(INDEX('Темы × классы'!$Q:$Q,MATCH(D390,'Темы × классы'!$D:$D,0)),"")</f>
        <v/>
      </c>
      <c r="G390" s="4">
        <f>IFERROR(INDEX('Темы × классы'!$R:$R,MATCH(D390,'Темы × классы'!$D:$D,0))&amp;"","")</f>
        <v/>
      </c>
      <c r="H390" s="4" t="inlineStr">
        <is>
          <t>не начат</t>
        </is>
      </c>
      <c r="I390" s="4" t="inlineStr">
        <is>
          <t>Spotlight / 10 класс / Module 8 · Technology / Reported Speech: modal verbs</t>
        </is>
      </c>
    </row>
    <row r="391">
      <c r="A391" s="12" t="n">
        <v>10</v>
      </c>
      <c r="B391" s="4" t="inlineStr">
        <is>
          <t>Module 8 · Technology</t>
        </is>
      </c>
      <c r="C391" s="4" t="inlineStr">
        <is>
          <t>8c</t>
        </is>
      </c>
      <c r="D391" s="5" t="inlineStr">
        <is>
          <t>Reported commands/requests</t>
        </is>
      </c>
      <c r="E391" s="12" t="inlineStr">
        <is>
          <t>10+</t>
        </is>
      </c>
      <c r="F391" s="4">
        <f>IFERROR(INDEX('Темы × классы'!$Q:$Q,MATCH(D391,'Темы × классы'!$D:$D,0)),"")</f>
        <v/>
      </c>
      <c r="G391" s="4">
        <f>IFERROR(INDEX('Темы × классы'!$R:$R,MATCH(D391,'Темы × классы'!$D:$D,0))&amp;"","")</f>
        <v/>
      </c>
      <c r="H391" s="4" t="inlineStr">
        <is>
          <t>не начат</t>
        </is>
      </c>
      <c r="I391" s="4" t="inlineStr">
        <is>
          <t>Spotlight / 10 класс / Module 8 · Technology / Reported commands/requests</t>
        </is>
      </c>
    </row>
    <row r="392">
      <c r="A392" s="12" t="n">
        <v>10</v>
      </c>
      <c r="B392" s="4" t="inlineStr">
        <is>
          <t>Module 8 · Technology</t>
        </is>
      </c>
      <c r="C392" s="4" t="inlineStr">
        <is>
          <t>8c</t>
        </is>
      </c>
      <c r="D392" s="5" t="inlineStr">
        <is>
          <t>Reported questions</t>
        </is>
      </c>
      <c r="E392" s="12" t="inlineStr">
        <is>
          <t>10+</t>
        </is>
      </c>
      <c r="F392" s="4">
        <f>IFERROR(INDEX('Темы × классы'!$Q:$Q,MATCH(D392,'Темы × классы'!$D:$D,0)),"")</f>
        <v/>
      </c>
      <c r="G392" s="4">
        <f>IFERROR(INDEX('Темы × классы'!$R:$R,MATCH(D392,'Темы × классы'!$D:$D,0))&amp;"","")</f>
        <v/>
      </c>
      <c r="H392" s="4" t="inlineStr">
        <is>
          <t>не начат</t>
        </is>
      </c>
      <c r="I392" s="4" t="inlineStr">
        <is>
          <t>Spotlight / 10 класс / Module 8 · Technology / Reported questions</t>
        </is>
      </c>
    </row>
    <row r="393">
      <c r="A393" s="12" t="n">
        <v>10</v>
      </c>
      <c r="B393" s="4" t="inlineStr">
        <is>
          <t>Module 8 · Technology</t>
        </is>
      </c>
      <c r="C393" s="4" t="inlineStr">
        <is>
          <t>8c</t>
        </is>
      </c>
      <c r="D393" s="5" t="inlineStr">
        <is>
          <t>Reporting verbs</t>
        </is>
      </c>
      <c r="E393" s="12" t="inlineStr">
        <is>
          <t>10+</t>
        </is>
      </c>
      <c r="F393" s="4">
        <f>IFERROR(INDEX('Темы × классы'!$Q:$Q,MATCH(D393,'Темы × классы'!$D:$D,0)),"")</f>
        <v/>
      </c>
      <c r="G393" s="4">
        <f>IFERROR(INDEX('Темы × классы'!$R:$R,MATCH(D393,'Темы × классы'!$D:$D,0))&amp;"","")</f>
        <v/>
      </c>
      <c r="H393" s="4" t="inlineStr">
        <is>
          <t>не начат</t>
        </is>
      </c>
      <c r="I393" s="4" t="inlineStr">
        <is>
          <t>Spotlight / 10 класс / Module 8 · Technology / Reporting verbs</t>
        </is>
      </c>
    </row>
    <row r="394">
      <c r="A394" s="12" t="n">
        <v>10</v>
      </c>
      <c r="B394" s="4" t="inlineStr">
        <is>
          <t>Module 8 · Technology</t>
        </is>
      </c>
      <c r="C394" s="4" t="inlineStr">
        <is>
          <t>8c</t>
        </is>
      </c>
      <c r="D394" s="5" t="inlineStr">
        <is>
          <t>Relative pronouns / Relative clauses</t>
        </is>
      </c>
      <c r="E394" s="12" t="inlineStr">
        <is>
          <t>10+</t>
        </is>
      </c>
      <c r="F394" s="4">
        <f>IFERROR(INDEX('Темы × классы'!$Q:$Q,MATCH(D394,'Темы × классы'!$D:$D,0)),"")</f>
        <v/>
      </c>
      <c r="G394" s="4">
        <f>IFERROR(INDEX('Темы × классы'!$R:$R,MATCH(D394,'Темы × классы'!$D:$D,0))&amp;"","")</f>
        <v/>
      </c>
      <c r="H394" s="4" t="inlineStr">
        <is>
          <t>не начат</t>
        </is>
      </c>
      <c r="I394" s="4" t="inlineStr">
        <is>
          <t>Spotlight / 10 класс / Module 8 · Technology / Relative pronouns / Relative clauses</t>
        </is>
      </c>
    </row>
    <row r="395">
      <c r="A395" s="12" t="n">
        <v>10</v>
      </c>
      <c r="B395" s="4" t="inlineStr">
        <is>
          <t>Module 8 · Technology</t>
        </is>
      </c>
      <c r="C395" s="4" t="inlineStr">
        <is>
          <t>8c</t>
        </is>
      </c>
      <c r="D395" s="5" t="inlineStr">
        <is>
          <t>Phrasal verbs: bring</t>
        </is>
      </c>
      <c r="E395" s="12" t="inlineStr">
        <is>
          <t>10+</t>
        </is>
      </c>
      <c r="F395" s="4">
        <f>IFERROR(INDEX('Темы × классы'!$Q:$Q,MATCH(D395,'Темы × классы'!$D:$D,0)),"")</f>
        <v/>
      </c>
      <c r="G395" s="4">
        <f>IFERROR(INDEX('Темы × классы'!$R:$R,MATCH(D395,'Темы × классы'!$D:$D,0))&amp;"","")</f>
        <v/>
      </c>
      <c r="H395" s="4" t="inlineStr">
        <is>
          <t>не начат</t>
        </is>
      </c>
      <c r="I395" s="4" t="inlineStr">
        <is>
          <t>Spotlight / 10 класс / Module 8 · Technology / Phrasal verbs: bring</t>
        </is>
      </c>
    </row>
    <row r="396">
      <c r="A396" s="12" t="n">
        <v>10</v>
      </c>
      <c r="B396" s="4" t="inlineStr">
        <is>
          <t>Module 8 · Technology</t>
        </is>
      </c>
      <c r="C396" s="4" t="inlineStr">
        <is>
          <t>8c</t>
        </is>
      </c>
      <c r="D396" s="5" t="inlineStr">
        <is>
          <t>Word formation: forming verbs</t>
        </is>
      </c>
      <c r="E396" s="12" t="inlineStr">
        <is>
          <t>10+</t>
        </is>
      </c>
      <c r="F396" s="4">
        <f>IFERROR(INDEX('Темы × классы'!$Q:$Q,MATCH(D396,'Темы × классы'!$D:$D,0)),"")</f>
        <v/>
      </c>
      <c r="G396" s="4">
        <f>IFERROR(INDEX('Темы × классы'!$R:$R,MATCH(D396,'Темы × классы'!$D:$D,0))&amp;"","")</f>
        <v/>
      </c>
      <c r="H396" s="4" t="inlineStr">
        <is>
          <t>не начат</t>
        </is>
      </c>
      <c r="I396" s="4" t="inlineStr">
        <is>
          <t>Spotlight / 10 класс / Module 8 · Technology / Word formation: forming verbs</t>
        </is>
      </c>
    </row>
    <row r="397">
      <c r="A397" s="12" t="n">
        <v>11</v>
      </c>
      <c r="B397" s="4" t="inlineStr">
        <is>
          <t>Module 1 · Relationships</t>
        </is>
      </c>
      <c r="C397" s="4" t="inlineStr">
        <is>
          <t>1c</t>
        </is>
      </c>
      <c r="D397" s="5" t="inlineStr">
        <is>
          <t>Past Simple</t>
        </is>
      </c>
      <c r="E397" s="12" t="inlineStr">
        <is>
          <t>10+</t>
        </is>
      </c>
      <c r="F397" s="4">
        <f>IFERROR(INDEX('Темы × классы'!$Q:$Q,MATCH(D397,'Темы × классы'!$D:$D,0)),"")</f>
        <v/>
      </c>
      <c r="G397" s="4">
        <f>IFERROR(INDEX('Темы × классы'!$R:$R,MATCH(D397,'Темы × классы'!$D:$D,0))&amp;"","")</f>
        <v/>
      </c>
      <c r="H397" s="4" t="inlineStr">
        <is>
          <t>не начат</t>
        </is>
      </c>
      <c r="I397" s="4" t="inlineStr">
        <is>
          <t>Spotlight / 11 класс / Module 1 · Relationships / Past Simple</t>
        </is>
      </c>
    </row>
    <row r="398">
      <c r="A398" s="12" t="n">
        <v>11</v>
      </c>
      <c r="B398" s="4" t="inlineStr">
        <is>
          <t>Module 1 · Relationships</t>
        </is>
      </c>
      <c r="C398" s="4" t="inlineStr">
        <is>
          <t>1c</t>
        </is>
      </c>
      <c r="D398" s="5" t="inlineStr">
        <is>
          <t>Present Continuous</t>
        </is>
      </c>
      <c r="E398" s="12" t="inlineStr">
        <is>
          <t>10+</t>
        </is>
      </c>
      <c r="F398" s="4">
        <f>IFERROR(INDEX('Темы × классы'!$Q:$Q,MATCH(D398,'Темы × классы'!$D:$D,0)),"")</f>
        <v/>
      </c>
      <c r="G398" s="4">
        <f>IFERROR(INDEX('Темы × классы'!$R:$R,MATCH(D398,'Темы × классы'!$D:$D,0))&amp;"","")</f>
        <v/>
      </c>
      <c r="H398" s="4" t="inlineStr">
        <is>
          <t>не начат</t>
        </is>
      </c>
      <c r="I398" s="4" t="inlineStr">
        <is>
          <t>Spotlight / 11 класс / Module 1 · Relationships / Present Continuous</t>
        </is>
      </c>
    </row>
    <row r="399">
      <c r="A399" s="12" t="n">
        <v>11</v>
      </c>
      <c r="B399" s="4" t="inlineStr">
        <is>
          <t>Module 1 · Relationships</t>
        </is>
      </c>
      <c r="C399" s="4" t="inlineStr">
        <is>
          <t>1c</t>
        </is>
      </c>
      <c r="D399" s="5" t="inlineStr">
        <is>
          <t>Present Simple</t>
        </is>
      </c>
      <c r="E399" s="12" t="inlineStr">
        <is>
          <t>10+</t>
        </is>
      </c>
      <c r="F399" s="4">
        <f>IFERROR(INDEX('Темы × классы'!$Q:$Q,MATCH(D399,'Темы × классы'!$D:$D,0)),"")</f>
        <v/>
      </c>
      <c r="G399" s="4">
        <f>IFERROR(INDEX('Темы × классы'!$R:$R,MATCH(D399,'Темы × классы'!$D:$D,0))&amp;"","")</f>
        <v/>
      </c>
      <c r="H399" s="4" t="inlineStr">
        <is>
          <t>не начат</t>
        </is>
      </c>
      <c r="I399" s="4" t="inlineStr">
        <is>
          <t>Spotlight / 11 класс / Module 1 · Relationships / Present Simple</t>
        </is>
      </c>
    </row>
    <row r="400">
      <c r="A400" s="12" t="n">
        <v>11</v>
      </c>
      <c r="B400" s="4" t="inlineStr">
        <is>
          <t>Module 1 · Relationships</t>
        </is>
      </c>
      <c r="C400" s="4" t="inlineStr">
        <is>
          <t>1c</t>
        </is>
      </c>
      <c r="D400" s="5" t="inlineStr">
        <is>
          <t>Future Simple (will)</t>
        </is>
      </c>
      <c r="E400" s="12" t="inlineStr">
        <is>
          <t>10+</t>
        </is>
      </c>
      <c r="F400" s="4">
        <f>IFERROR(INDEX('Темы × классы'!$Q:$Q,MATCH(D400,'Темы × классы'!$D:$D,0)),"")</f>
        <v/>
      </c>
      <c r="G400" s="4">
        <f>IFERROR(INDEX('Темы × классы'!$R:$R,MATCH(D400,'Темы × классы'!$D:$D,0))&amp;"","")</f>
        <v/>
      </c>
      <c r="H400" s="4" t="inlineStr">
        <is>
          <t>не начат</t>
        </is>
      </c>
      <c r="I400" s="4" t="inlineStr">
        <is>
          <t>Spotlight / 11 класс / Module 1 · Relationships / Future Simple (will)</t>
        </is>
      </c>
    </row>
    <row r="401">
      <c r="A401" s="12" t="n">
        <v>11</v>
      </c>
      <c r="B401" s="4" t="inlineStr">
        <is>
          <t>Module 1 · Relationships</t>
        </is>
      </c>
      <c r="C401" s="4" t="inlineStr">
        <is>
          <t>1c</t>
        </is>
      </c>
      <c r="D401" s="5" t="inlineStr">
        <is>
          <t>Present Simple vs Present Continuous</t>
        </is>
      </c>
      <c r="E401" s="12" t="inlineStr">
        <is>
          <t>10+</t>
        </is>
      </c>
      <c r="F401" s="4">
        <f>IFERROR(INDEX('Темы × классы'!$Q:$Q,MATCH(D401,'Темы × классы'!$D:$D,0)),"")</f>
        <v/>
      </c>
      <c r="G401" s="4">
        <f>IFERROR(INDEX('Темы × классы'!$R:$R,MATCH(D401,'Темы × классы'!$D:$D,0))&amp;"","")</f>
        <v/>
      </c>
      <c r="H401" s="4" t="inlineStr">
        <is>
          <t>не начат</t>
        </is>
      </c>
      <c r="I401" s="4" t="inlineStr">
        <is>
          <t>Spotlight / 11 класс / Module 1 · Relationships / Present Simple vs Present Continuous</t>
        </is>
      </c>
    </row>
    <row r="402">
      <c r="A402" s="12" t="n">
        <v>11</v>
      </c>
      <c r="B402" s="4" t="inlineStr">
        <is>
          <t>Module 1 · Relationships</t>
        </is>
      </c>
      <c r="C402" s="4" t="inlineStr">
        <is>
          <t>1c</t>
        </is>
      </c>
      <c r="D402" s="5" t="inlineStr">
        <is>
          <t>be going to</t>
        </is>
      </c>
      <c r="E402" s="12" t="inlineStr">
        <is>
          <t>10+</t>
        </is>
      </c>
      <c r="F402" s="4">
        <f>IFERROR(INDEX('Темы × классы'!$Q:$Q,MATCH(D402,'Темы × классы'!$D:$D,0)),"")</f>
        <v/>
      </c>
      <c r="G402" s="4">
        <f>IFERROR(INDEX('Темы × классы'!$R:$R,MATCH(D402,'Темы × классы'!$D:$D,0))&amp;"","")</f>
        <v/>
      </c>
      <c r="H402" s="4" t="inlineStr">
        <is>
          <t>не начат</t>
        </is>
      </c>
      <c r="I402" s="4" t="inlineStr">
        <is>
          <t>Spotlight / 11 класс / Module 1 · Relationships / be going to</t>
        </is>
      </c>
    </row>
    <row r="403">
      <c r="A403" s="12" t="n">
        <v>11</v>
      </c>
      <c r="B403" s="4" t="inlineStr">
        <is>
          <t>Module 1 · Relationships</t>
        </is>
      </c>
      <c r="C403" s="4" t="inlineStr">
        <is>
          <t>1c</t>
        </is>
      </c>
      <c r="D403" s="5" t="inlineStr">
        <is>
          <t>Present Perfect</t>
        </is>
      </c>
      <c r="E403" s="12" t="inlineStr">
        <is>
          <t>10+</t>
        </is>
      </c>
      <c r="F403" s="4">
        <f>IFERROR(INDEX('Темы × классы'!$Q:$Q,MATCH(D403,'Темы × классы'!$D:$D,0)),"")</f>
        <v/>
      </c>
      <c r="G403" s="4">
        <f>IFERROR(INDEX('Темы × классы'!$R:$R,MATCH(D403,'Темы × классы'!$D:$D,0))&amp;"","")</f>
        <v/>
      </c>
      <c r="H403" s="4" t="inlineStr">
        <is>
          <t>не начат</t>
        </is>
      </c>
      <c r="I403" s="4" t="inlineStr">
        <is>
          <t>Spotlight / 11 класс / Module 1 · Relationships / Present Perfect</t>
        </is>
      </c>
    </row>
    <row r="404">
      <c r="A404" s="12" t="n">
        <v>11</v>
      </c>
      <c r="B404" s="4" t="inlineStr">
        <is>
          <t>Module 1 · Relationships</t>
        </is>
      </c>
      <c r="C404" s="4" t="inlineStr">
        <is>
          <t>1c</t>
        </is>
      </c>
      <c r="D404" s="5" t="inlineStr">
        <is>
          <t>Stative verbs</t>
        </is>
      </c>
      <c r="E404" s="12" t="inlineStr">
        <is>
          <t>10+</t>
        </is>
      </c>
      <c r="F404" s="4">
        <f>IFERROR(INDEX('Темы × классы'!$Q:$Q,MATCH(D404,'Темы × классы'!$D:$D,0)),"")</f>
        <v/>
      </c>
      <c r="G404" s="4">
        <f>IFERROR(INDEX('Темы × классы'!$R:$R,MATCH(D404,'Темы × классы'!$D:$D,0))&amp;"","")</f>
        <v/>
      </c>
      <c r="H404" s="4" t="inlineStr">
        <is>
          <t>не начат</t>
        </is>
      </c>
      <c r="I404" s="4" t="inlineStr">
        <is>
          <t>Spotlight / 11 класс / Module 1 · Relationships / Stative verbs</t>
        </is>
      </c>
    </row>
    <row r="405">
      <c r="A405" s="12" t="n">
        <v>11</v>
      </c>
      <c r="B405" s="4" t="inlineStr">
        <is>
          <t>Module 1 · Relationships</t>
        </is>
      </c>
      <c r="C405" s="4" t="inlineStr">
        <is>
          <t>1c</t>
        </is>
      </c>
      <c r="D405" s="5" t="inlineStr">
        <is>
          <t>Future forms (comparison)</t>
        </is>
      </c>
      <c r="E405" s="12" t="inlineStr">
        <is>
          <t>10+</t>
        </is>
      </c>
      <c r="F405" s="4">
        <f>IFERROR(INDEX('Темы × классы'!$Q:$Q,MATCH(D405,'Темы × классы'!$D:$D,0)),"")</f>
        <v/>
      </c>
      <c r="G405" s="4">
        <f>IFERROR(INDEX('Темы × классы'!$R:$R,MATCH(D405,'Темы × классы'!$D:$D,0))&amp;"","")</f>
        <v/>
      </c>
      <c r="H405" s="4" t="inlineStr">
        <is>
          <t>не начат</t>
        </is>
      </c>
      <c r="I405" s="4" t="inlineStr">
        <is>
          <t>Spotlight / 11 класс / Module 1 · Relationships / Future forms (comparison)</t>
        </is>
      </c>
    </row>
    <row r="406">
      <c r="A406" s="12" t="n">
        <v>11</v>
      </c>
      <c r="B406" s="4" t="inlineStr">
        <is>
          <t>Module 1 · Relationships</t>
        </is>
      </c>
      <c r="C406" s="4" t="inlineStr">
        <is>
          <t>1c</t>
        </is>
      </c>
      <c r="D406" s="5" t="inlineStr">
        <is>
          <t>Past Continuous</t>
        </is>
      </c>
      <c r="E406" s="12" t="inlineStr">
        <is>
          <t>10+</t>
        </is>
      </c>
      <c r="F406" s="4">
        <f>IFERROR(INDEX('Темы × классы'!$Q:$Q,MATCH(D406,'Темы × классы'!$D:$D,0)),"")</f>
        <v/>
      </c>
      <c r="G406" s="4">
        <f>IFERROR(INDEX('Темы × классы'!$R:$R,MATCH(D406,'Темы × классы'!$D:$D,0))&amp;"","")</f>
        <v/>
      </c>
      <c r="H406" s="4" t="inlineStr">
        <is>
          <t>не начат</t>
        </is>
      </c>
      <c r="I406" s="4" t="inlineStr">
        <is>
          <t>Spotlight / 11 класс / Module 1 · Relationships / Past Continuous</t>
        </is>
      </c>
    </row>
    <row r="407">
      <c r="A407" s="12" t="n">
        <v>11</v>
      </c>
      <c r="B407" s="4" t="inlineStr">
        <is>
          <t>Module 1 · Relationships</t>
        </is>
      </c>
      <c r="C407" s="4" t="inlineStr">
        <is>
          <t>1c</t>
        </is>
      </c>
      <c r="D407" s="5" t="inlineStr">
        <is>
          <t>Past Simple vs Past Continuous</t>
        </is>
      </c>
      <c r="E407" s="12" t="inlineStr">
        <is>
          <t>10+</t>
        </is>
      </c>
      <c r="F407" s="4">
        <f>IFERROR(INDEX('Темы × классы'!$Q:$Q,MATCH(D407,'Темы × классы'!$D:$D,0)),"")</f>
        <v/>
      </c>
      <c r="G407" s="4">
        <f>IFERROR(INDEX('Темы × классы'!$R:$R,MATCH(D407,'Темы × классы'!$D:$D,0))&amp;"","")</f>
        <v/>
      </c>
      <c r="H407" s="4" t="inlineStr">
        <is>
          <t>не начат</t>
        </is>
      </c>
      <c r="I407" s="4" t="inlineStr">
        <is>
          <t>Spotlight / 11 класс / Module 1 · Relationships / Past Simple vs Past Continuous</t>
        </is>
      </c>
    </row>
    <row r="408">
      <c r="A408" s="12" t="n">
        <v>11</v>
      </c>
      <c r="B408" s="4" t="inlineStr">
        <is>
          <t>Module 1 · Relationships</t>
        </is>
      </c>
      <c r="C408" s="4" t="inlineStr">
        <is>
          <t>1c</t>
        </is>
      </c>
      <c r="D408" s="5" t="inlineStr">
        <is>
          <t>Present Perfect Continuous</t>
        </is>
      </c>
      <c r="E408" s="12" t="inlineStr">
        <is>
          <t>10+</t>
        </is>
      </c>
      <c r="F408" s="4">
        <f>IFERROR(INDEX('Темы × классы'!$Q:$Q,MATCH(D408,'Темы × классы'!$D:$D,0)),"")</f>
        <v/>
      </c>
      <c r="G408" s="4">
        <f>IFERROR(INDEX('Темы × классы'!$R:$R,MATCH(D408,'Темы × классы'!$D:$D,0))&amp;"","")</f>
        <v/>
      </c>
      <c r="H408" s="4" t="inlineStr">
        <is>
          <t>не начат</t>
        </is>
      </c>
      <c r="I408" s="4" t="inlineStr">
        <is>
          <t>Spotlight / 11 класс / Module 1 · Relationships / Present Perfect Continuous</t>
        </is>
      </c>
    </row>
    <row r="409">
      <c r="A409" s="12" t="n">
        <v>11</v>
      </c>
      <c r="B409" s="4" t="inlineStr">
        <is>
          <t>Module 1 · Relationships</t>
        </is>
      </c>
      <c r="C409" s="4" t="inlineStr">
        <is>
          <t>1c</t>
        </is>
      </c>
      <c r="D409" s="5" t="inlineStr">
        <is>
          <t>Present Perfect vs Past Simple</t>
        </is>
      </c>
      <c r="E409" s="12" t="inlineStr">
        <is>
          <t>10+</t>
        </is>
      </c>
      <c r="F409" s="4">
        <f>IFERROR(INDEX('Темы × классы'!$Q:$Q,MATCH(D409,'Темы × классы'!$D:$D,0)),"")</f>
        <v/>
      </c>
      <c r="G409" s="4">
        <f>IFERROR(INDEX('Темы × классы'!$R:$R,MATCH(D409,'Темы × классы'!$D:$D,0))&amp;"","")</f>
        <v/>
      </c>
      <c r="H409" s="4" t="inlineStr">
        <is>
          <t>не начат</t>
        </is>
      </c>
      <c r="I409" s="4" t="inlineStr">
        <is>
          <t>Spotlight / 11 класс / Module 1 · Relationships / Present Perfect vs Past Simple</t>
        </is>
      </c>
    </row>
    <row r="410">
      <c r="A410" s="12" t="n">
        <v>11</v>
      </c>
      <c r="B410" s="4" t="inlineStr">
        <is>
          <t>Module 1 · Relationships</t>
        </is>
      </c>
      <c r="C410" s="4" t="inlineStr">
        <is>
          <t>1c</t>
        </is>
      </c>
      <c r="D410" s="5" t="inlineStr">
        <is>
          <t>have gone to / have been to / have been in</t>
        </is>
      </c>
      <c r="E410" s="12" t="inlineStr">
        <is>
          <t>10+</t>
        </is>
      </c>
      <c r="F410" s="4">
        <f>IFERROR(INDEX('Темы × классы'!$Q:$Q,MATCH(D410,'Темы × классы'!$D:$D,0)),"")</f>
        <v/>
      </c>
      <c r="G410" s="4">
        <f>IFERROR(INDEX('Темы × классы'!$R:$R,MATCH(D410,'Темы × классы'!$D:$D,0))&amp;"","")</f>
        <v/>
      </c>
      <c r="H410" s="4" t="inlineStr">
        <is>
          <t>не начат</t>
        </is>
      </c>
      <c r="I410" s="4" t="inlineStr">
        <is>
          <t>Spotlight / 11 класс / Module 1 · Relationships / have gone to / have been to / have been in</t>
        </is>
      </c>
    </row>
    <row r="411">
      <c r="A411" s="12" t="n">
        <v>11</v>
      </c>
      <c r="B411" s="4" t="inlineStr">
        <is>
          <t>Module 1 · Relationships</t>
        </is>
      </c>
      <c r="C411" s="4" t="inlineStr">
        <is>
          <t>1c</t>
        </is>
      </c>
      <c r="D411" s="5" t="inlineStr">
        <is>
          <t>Future Continuous</t>
        </is>
      </c>
      <c r="E411" s="12" t="inlineStr">
        <is>
          <t>10+</t>
        </is>
      </c>
      <c r="F411" s="4">
        <f>IFERROR(INDEX('Темы × классы'!$Q:$Q,MATCH(D411,'Темы × классы'!$D:$D,0)),"")</f>
        <v/>
      </c>
      <c r="G411" s="4">
        <f>IFERROR(INDEX('Темы × классы'!$R:$R,MATCH(D411,'Темы × классы'!$D:$D,0))&amp;"","")</f>
        <v/>
      </c>
      <c r="H411" s="4" t="inlineStr">
        <is>
          <t>не начат</t>
        </is>
      </c>
      <c r="I411" s="4" t="inlineStr">
        <is>
          <t>Spotlight / 11 класс / Module 1 · Relationships / Future Continuous</t>
        </is>
      </c>
    </row>
    <row r="412">
      <c r="A412" s="12" t="n">
        <v>11</v>
      </c>
      <c r="B412" s="4" t="inlineStr">
        <is>
          <t>Module 1 · Relationships</t>
        </is>
      </c>
      <c r="C412" s="4" t="inlineStr"/>
      <c r="D412" s="5" t="inlineStr">
        <is>
          <t>Irregular verbs (list)</t>
        </is>
      </c>
      <c r="E412" s="12" t="inlineStr">
        <is>
          <t>10+</t>
        </is>
      </c>
      <c r="F412" s="4">
        <f>IFERROR(INDEX('Темы × классы'!$Q:$Q,MATCH(D412,'Темы × классы'!$D:$D,0)),"")</f>
        <v/>
      </c>
      <c r="G412" s="4">
        <f>IFERROR(INDEX('Темы × классы'!$R:$R,MATCH(D412,'Темы × классы'!$D:$D,0))&amp;"","")</f>
        <v/>
      </c>
      <c r="H412" s="4" t="inlineStr">
        <is>
          <t>не начат</t>
        </is>
      </c>
      <c r="I412" s="4" t="inlineStr">
        <is>
          <t>Spotlight / 11 класс / Module 1 · Relationships / Irregular verbs (list)</t>
        </is>
      </c>
    </row>
    <row r="413">
      <c r="A413" s="12" t="n">
        <v>11</v>
      </c>
      <c r="B413" s="4" t="inlineStr">
        <is>
          <t>Module 1 · Relationships</t>
        </is>
      </c>
      <c r="C413" s="4" t="inlineStr">
        <is>
          <t>1c</t>
        </is>
      </c>
      <c r="D413" s="5" t="inlineStr">
        <is>
          <t>used to</t>
        </is>
      </c>
      <c r="E413" s="12" t="inlineStr">
        <is>
          <t>10+</t>
        </is>
      </c>
      <c r="F413" s="4">
        <f>IFERROR(INDEX('Темы × классы'!$Q:$Q,MATCH(D413,'Темы × классы'!$D:$D,0)),"")</f>
        <v/>
      </c>
      <c r="G413" s="4">
        <f>IFERROR(INDEX('Темы × классы'!$R:$R,MATCH(D413,'Темы × классы'!$D:$D,0))&amp;"","")</f>
        <v/>
      </c>
      <c r="H413" s="4" t="inlineStr">
        <is>
          <t>не начат</t>
        </is>
      </c>
      <c r="I413" s="4" t="inlineStr">
        <is>
          <t>Spotlight / 11 класс / Module 1 · Relationships / used to</t>
        </is>
      </c>
    </row>
    <row r="414">
      <c r="A414" s="12" t="n">
        <v>11</v>
      </c>
      <c r="B414" s="4" t="inlineStr">
        <is>
          <t>Module 1 · Relationships</t>
        </is>
      </c>
      <c r="C414" s="4" t="inlineStr">
        <is>
          <t>1c</t>
        </is>
      </c>
      <c r="D414" s="5" t="inlineStr">
        <is>
          <t>be/get used to</t>
        </is>
      </c>
      <c r="E414" s="12" t="inlineStr">
        <is>
          <t>10+</t>
        </is>
      </c>
      <c r="F414" s="4">
        <f>IFERROR(INDEX('Темы × классы'!$Q:$Q,MATCH(D414,'Темы × классы'!$D:$D,0)),"")</f>
        <v/>
      </c>
      <c r="G414" s="4">
        <f>IFERROR(INDEX('Темы × классы'!$R:$R,MATCH(D414,'Темы × классы'!$D:$D,0))&amp;"","")</f>
        <v/>
      </c>
      <c r="H414" s="4" t="inlineStr">
        <is>
          <t>не начат</t>
        </is>
      </c>
      <c r="I414" s="4" t="inlineStr">
        <is>
          <t>Spotlight / 11 класс / Module 1 · Relationships / be/get used to</t>
        </is>
      </c>
    </row>
    <row r="415">
      <c r="A415" s="12" t="n">
        <v>11</v>
      </c>
      <c r="B415" s="4" t="inlineStr">
        <is>
          <t>Module 1 · Relationships</t>
        </is>
      </c>
      <c r="C415" s="4" t="inlineStr">
        <is>
          <t>1c</t>
        </is>
      </c>
      <c r="D415" s="5" t="inlineStr">
        <is>
          <t>Adverbs of frequency</t>
        </is>
      </c>
      <c r="E415" s="12" t="inlineStr">
        <is>
          <t>10+</t>
        </is>
      </c>
      <c r="F415" s="4">
        <f>IFERROR(INDEX('Темы × классы'!$Q:$Q,MATCH(D415,'Темы × классы'!$D:$D,0)),"")</f>
        <v/>
      </c>
      <c r="G415" s="4">
        <f>IFERROR(INDEX('Темы × классы'!$R:$R,MATCH(D415,'Темы × классы'!$D:$D,0))&amp;"","")</f>
        <v/>
      </c>
      <c r="H415" s="4" t="inlineStr">
        <is>
          <t>не начат</t>
        </is>
      </c>
      <c r="I415" s="4" t="inlineStr">
        <is>
          <t>Spotlight / 11 класс / Module 1 · Relationships / Adverbs of frequency</t>
        </is>
      </c>
    </row>
    <row r="416">
      <c r="A416" s="12" t="n">
        <v>11</v>
      </c>
      <c r="B416" s="4" t="inlineStr">
        <is>
          <t>Module 1 · Relationships</t>
        </is>
      </c>
      <c r="C416" s="4" t="inlineStr">
        <is>
          <t>1c</t>
        </is>
      </c>
      <c r="D416" s="5" t="inlineStr">
        <is>
          <t>Phrasal verbs: come</t>
        </is>
      </c>
      <c r="E416" s="12" t="inlineStr">
        <is>
          <t>10+</t>
        </is>
      </c>
      <c r="F416" s="4">
        <f>IFERROR(INDEX('Темы × классы'!$Q:$Q,MATCH(D416,'Темы × классы'!$D:$D,0)),"")</f>
        <v/>
      </c>
      <c r="G416" s="4">
        <f>IFERROR(INDEX('Темы × классы'!$R:$R,MATCH(D416,'Темы × классы'!$D:$D,0))&amp;"","")</f>
        <v/>
      </c>
      <c r="H416" s="4" t="inlineStr">
        <is>
          <t>не начат</t>
        </is>
      </c>
      <c r="I416" s="4" t="inlineStr">
        <is>
          <t>Spotlight / 11 класс / Module 1 · Relationships / Phrasal verbs: come</t>
        </is>
      </c>
    </row>
    <row r="417">
      <c r="A417" s="12" t="n">
        <v>11</v>
      </c>
      <c r="B417" s="4" t="inlineStr">
        <is>
          <t>Module 1 · Relationships</t>
        </is>
      </c>
      <c r="C417" s="4" t="inlineStr">
        <is>
          <t>1c</t>
        </is>
      </c>
      <c r="D417" s="5" t="inlineStr">
        <is>
          <t>Dependent prepositions</t>
        </is>
      </c>
      <c r="E417" s="12" t="inlineStr">
        <is>
          <t>10+</t>
        </is>
      </c>
      <c r="F417" s="4">
        <f>IFERROR(INDEX('Темы × классы'!$Q:$Q,MATCH(D417,'Темы × классы'!$D:$D,0)),"")</f>
        <v/>
      </c>
      <c r="G417" s="4">
        <f>IFERROR(INDEX('Темы × классы'!$R:$R,MATCH(D417,'Темы × классы'!$D:$D,0))&amp;"","")</f>
        <v/>
      </c>
      <c r="H417" s="4" t="inlineStr">
        <is>
          <t>не начат</t>
        </is>
      </c>
      <c r="I417" s="4" t="inlineStr">
        <is>
          <t>Spotlight / 11 класс / Module 1 · Relationships / Dependent prepositions</t>
        </is>
      </c>
    </row>
    <row r="418">
      <c r="A418" s="12" t="n">
        <v>11</v>
      </c>
      <c r="B418" s="4" t="inlineStr">
        <is>
          <t>Module 1 · Relationships</t>
        </is>
      </c>
      <c r="C418" s="4" t="inlineStr">
        <is>
          <t>1b</t>
        </is>
      </c>
      <c r="D418" s="5" t="inlineStr">
        <is>
          <t>Idioms &amp; collocations</t>
        </is>
      </c>
      <c r="E418" s="12" t="inlineStr">
        <is>
          <t>10+</t>
        </is>
      </c>
      <c r="F418" s="4">
        <f>IFERROR(INDEX('Темы × классы'!$Q:$Q,MATCH(D418,'Темы × классы'!$D:$D,0)),"")</f>
        <v/>
      </c>
      <c r="G418" s="4">
        <f>IFERROR(INDEX('Темы × классы'!$R:$R,MATCH(D418,'Темы × классы'!$D:$D,0))&amp;"","")</f>
        <v/>
      </c>
      <c r="H418" s="4" t="inlineStr">
        <is>
          <t>не начат</t>
        </is>
      </c>
      <c r="I418" s="4" t="inlineStr">
        <is>
          <t>Spotlight / 11 класс / Module 1 · Relationships / Idioms &amp; collocations</t>
        </is>
      </c>
    </row>
    <row r="419">
      <c r="A419" s="12" t="n">
        <v>11</v>
      </c>
      <c r="B419" s="4" t="inlineStr">
        <is>
          <t>Module 2 · Where there's a will there's a way</t>
        </is>
      </c>
      <c r="C419" s="4" t="inlineStr">
        <is>
          <t>2c</t>
        </is>
      </c>
      <c r="D419" s="5" t="inlineStr">
        <is>
          <t>so / such</t>
        </is>
      </c>
      <c r="E419" s="12" t="inlineStr">
        <is>
          <t>10+</t>
        </is>
      </c>
      <c r="F419" s="4">
        <f>IFERROR(INDEX('Темы × классы'!$Q:$Q,MATCH(D419,'Темы × классы'!$D:$D,0)),"")</f>
        <v/>
      </c>
      <c r="G419" s="4">
        <f>IFERROR(INDEX('Темы × классы'!$R:$R,MATCH(D419,'Темы × классы'!$D:$D,0))&amp;"","")</f>
        <v/>
      </c>
      <c r="H419" s="4" t="inlineStr">
        <is>
          <t>не начат</t>
        </is>
      </c>
      <c r="I419" s="4" t="inlineStr">
        <is>
          <t>Spotlight / 11 класс / Module 2 · Where there's a will there's a way / so / such</t>
        </is>
      </c>
    </row>
    <row r="420">
      <c r="A420" s="12" t="n">
        <v>11</v>
      </c>
      <c r="B420" s="4" t="inlineStr">
        <is>
          <t>Module 2 · Where there's a will there's a way</t>
        </is>
      </c>
      <c r="C420" s="4" t="inlineStr">
        <is>
          <t>2c</t>
        </is>
      </c>
      <c r="D420" s="5" t="inlineStr">
        <is>
          <t>Relative pronouns / Relative clauses</t>
        </is>
      </c>
      <c r="E420" s="12" t="inlineStr">
        <is>
          <t>10+</t>
        </is>
      </c>
      <c r="F420" s="4">
        <f>IFERROR(INDEX('Темы × классы'!$Q:$Q,MATCH(D420,'Темы × классы'!$D:$D,0)),"")</f>
        <v/>
      </c>
      <c r="G420" s="4">
        <f>IFERROR(INDEX('Темы × классы'!$R:$R,MATCH(D420,'Темы × классы'!$D:$D,0))&amp;"","")</f>
        <v/>
      </c>
      <c r="H420" s="4" t="inlineStr">
        <is>
          <t>не начат</t>
        </is>
      </c>
      <c r="I420" s="4" t="inlineStr">
        <is>
          <t>Spotlight / 11 класс / Module 2 · Where there's a will there's a way / Relative pronouns / Relative clauses</t>
        </is>
      </c>
    </row>
    <row r="421">
      <c r="A421" s="12" t="n">
        <v>11</v>
      </c>
      <c r="B421" s="4" t="inlineStr">
        <is>
          <t>Module 2 · Where there's a will there's a way</t>
        </is>
      </c>
      <c r="C421" s="4" t="inlineStr">
        <is>
          <t>2c</t>
        </is>
      </c>
      <c r="D421" s="5" t="inlineStr">
        <is>
          <t>Clauses of purpose</t>
        </is>
      </c>
      <c r="E421" s="12" t="inlineStr">
        <is>
          <t>10+</t>
        </is>
      </c>
      <c r="F421" s="4">
        <f>IFERROR(INDEX('Темы × классы'!$Q:$Q,MATCH(D421,'Темы × классы'!$D:$D,0)),"")</f>
        <v/>
      </c>
      <c r="G421" s="4">
        <f>IFERROR(INDEX('Темы × классы'!$R:$R,MATCH(D421,'Темы × классы'!$D:$D,0))&amp;"","")</f>
        <v/>
      </c>
      <c r="H421" s="4" t="inlineStr">
        <is>
          <t>не начат</t>
        </is>
      </c>
      <c r="I421" s="4" t="inlineStr">
        <is>
          <t>Spotlight / 11 класс / Module 2 · Where there's a will there's a way / Clauses of purpose</t>
        </is>
      </c>
    </row>
    <row r="422">
      <c r="A422" s="12" t="n">
        <v>11</v>
      </c>
      <c r="B422" s="4" t="inlineStr">
        <is>
          <t>Module 2 · Where there's a will there's a way</t>
        </is>
      </c>
      <c r="C422" s="4" t="inlineStr">
        <is>
          <t>2c</t>
        </is>
      </c>
      <c r="D422" s="5" t="inlineStr">
        <is>
          <t>Clauses of result</t>
        </is>
      </c>
      <c r="E422" s="12" t="inlineStr">
        <is>
          <t>10+</t>
        </is>
      </c>
      <c r="F422" s="4">
        <f>IFERROR(INDEX('Темы × классы'!$Q:$Q,MATCH(D422,'Темы × классы'!$D:$D,0)),"")</f>
        <v/>
      </c>
      <c r="G422" s="4">
        <f>IFERROR(INDEX('Темы × классы'!$R:$R,MATCH(D422,'Темы × классы'!$D:$D,0))&amp;"","")</f>
        <v/>
      </c>
      <c r="H422" s="4" t="inlineStr">
        <is>
          <t>не начат</t>
        </is>
      </c>
      <c r="I422" s="4" t="inlineStr">
        <is>
          <t>Spotlight / 11 класс / Module 2 · Where there's a will there's a way / Clauses of result</t>
        </is>
      </c>
    </row>
    <row r="423">
      <c r="A423" s="12" t="n">
        <v>11</v>
      </c>
      <c r="B423" s="4" t="inlineStr">
        <is>
          <t>Module 2 · Where there's a will there's a way</t>
        </is>
      </c>
      <c r="C423" s="4" t="inlineStr">
        <is>
          <t>2c</t>
        </is>
      </c>
      <c r="D423" s="5" t="inlineStr">
        <is>
          <t>Clauses of reason</t>
        </is>
      </c>
      <c r="E423" s="12" t="inlineStr">
        <is>
          <t>10+</t>
        </is>
      </c>
      <c r="F423" s="4">
        <f>IFERROR(INDEX('Темы × классы'!$Q:$Q,MATCH(D423,'Темы × классы'!$D:$D,0)),"")</f>
        <v/>
      </c>
      <c r="G423" s="4">
        <f>IFERROR(INDEX('Темы × классы'!$R:$R,MATCH(D423,'Темы × классы'!$D:$D,0))&amp;"","")</f>
        <v/>
      </c>
      <c r="H423" s="4" t="inlineStr">
        <is>
          <t>не начат</t>
        </is>
      </c>
      <c r="I423" s="4" t="inlineStr">
        <is>
          <t>Spotlight / 11 класс / Module 2 · Where there's a will there's a way / Clauses of reason</t>
        </is>
      </c>
    </row>
    <row r="424">
      <c r="A424" s="12" t="n">
        <v>11</v>
      </c>
      <c r="B424" s="4" t="inlineStr">
        <is>
          <t>Module 2 · Where there's a will there's a way</t>
        </is>
      </c>
      <c r="C424" s="4" t="inlineStr">
        <is>
          <t>2c</t>
        </is>
      </c>
      <c r="D424" s="5" t="inlineStr">
        <is>
          <t>Prepositions in relative clauses</t>
        </is>
      </c>
      <c r="E424" s="12" t="inlineStr">
        <is>
          <t>10+</t>
        </is>
      </c>
      <c r="F424" s="4">
        <f>IFERROR(INDEX('Темы × классы'!$Q:$Q,MATCH(D424,'Темы × классы'!$D:$D,0)),"")</f>
        <v/>
      </c>
      <c r="G424" s="4">
        <f>IFERROR(INDEX('Темы × классы'!$R:$R,MATCH(D424,'Темы × классы'!$D:$D,0))&amp;"","")</f>
        <v/>
      </c>
      <c r="H424" s="4" t="inlineStr">
        <is>
          <t>не начат</t>
        </is>
      </c>
      <c r="I424" s="4" t="inlineStr">
        <is>
          <t>Spotlight / 11 класс / Module 2 · Where there's a will there's a way / Prepositions in relative clauses</t>
        </is>
      </c>
    </row>
    <row r="425">
      <c r="A425" s="12" t="n">
        <v>11</v>
      </c>
      <c r="B425" s="4" t="inlineStr">
        <is>
          <t>Module 2 · Where there's a will there's a way</t>
        </is>
      </c>
      <c r="C425" s="4" t="inlineStr">
        <is>
          <t>2c</t>
        </is>
      </c>
      <c r="D425" s="5" t="inlineStr">
        <is>
          <t>Relative adverbs</t>
        </is>
      </c>
      <c r="E425" s="12" t="inlineStr">
        <is>
          <t>10+</t>
        </is>
      </c>
      <c r="F425" s="4">
        <f>IFERROR(INDEX('Темы × классы'!$Q:$Q,MATCH(D425,'Темы × классы'!$D:$D,0)),"")</f>
        <v/>
      </c>
      <c r="G425" s="4">
        <f>IFERROR(INDEX('Темы × классы'!$R:$R,MATCH(D425,'Темы × классы'!$D:$D,0))&amp;"","")</f>
        <v/>
      </c>
      <c r="H425" s="4" t="inlineStr">
        <is>
          <t>не начат</t>
        </is>
      </c>
      <c r="I425" s="4" t="inlineStr">
        <is>
          <t>Spotlight / 11 класс / Module 2 · Where there's a will there's a way / Relative adverbs</t>
        </is>
      </c>
    </row>
    <row r="426">
      <c r="A426" s="12" t="n">
        <v>11</v>
      </c>
      <c r="B426" s="4" t="inlineStr">
        <is>
          <t>Module 2 · Where there's a will there's a way</t>
        </is>
      </c>
      <c r="C426" s="4" t="inlineStr">
        <is>
          <t>2c</t>
        </is>
      </c>
      <c r="D426" s="5" t="inlineStr">
        <is>
          <t>Phrasal verbs: put</t>
        </is>
      </c>
      <c r="E426" s="12" t="inlineStr">
        <is>
          <t>10+</t>
        </is>
      </c>
      <c r="F426" s="4">
        <f>IFERROR(INDEX('Темы × классы'!$Q:$Q,MATCH(D426,'Темы × классы'!$D:$D,0)),"")</f>
        <v/>
      </c>
      <c r="G426" s="4">
        <f>IFERROR(INDEX('Темы × классы'!$R:$R,MATCH(D426,'Темы × классы'!$D:$D,0))&amp;"","")</f>
        <v/>
      </c>
      <c r="H426" s="4" t="inlineStr">
        <is>
          <t>не начат</t>
        </is>
      </c>
      <c r="I426" s="4" t="inlineStr">
        <is>
          <t>Spotlight / 11 класс / Module 2 · Where there's a will there's a way / Phrasal verbs: put</t>
        </is>
      </c>
    </row>
    <row r="427">
      <c r="A427" s="12" t="n">
        <v>11</v>
      </c>
      <c r="B427" s="4" t="inlineStr">
        <is>
          <t>Module 2 · Where there's a will there's a way</t>
        </is>
      </c>
      <c r="C427" s="4" t="inlineStr">
        <is>
          <t>2c</t>
        </is>
      </c>
      <c r="D427" s="5" t="inlineStr">
        <is>
          <t>Dependent prepositions</t>
        </is>
      </c>
      <c r="E427" s="12" t="inlineStr">
        <is>
          <t>10+</t>
        </is>
      </c>
      <c r="F427" s="4">
        <f>IFERROR(INDEX('Темы × классы'!$Q:$Q,MATCH(D427,'Темы × классы'!$D:$D,0)),"")</f>
        <v/>
      </c>
      <c r="G427" s="4">
        <f>IFERROR(INDEX('Темы × классы'!$R:$R,MATCH(D427,'Темы × классы'!$D:$D,0))&amp;"","")</f>
        <v/>
      </c>
      <c r="H427" s="4" t="inlineStr">
        <is>
          <t>не начат</t>
        </is>
      </c>
      <c r="I427" s="4" t="inlineStr">
        <is>
          <t>Spotlight / 11 класс / Module 2 · Where there's a will there's a way / Dependent prepositions</t>
        </is>
      </c>
    </row>
    <row r="428">
      <c r="A428" s="12" t="n">
        <v>11</v>
      </c>
      <c r="B428" s="4" t="inlineStr">
        <is>
          <t>Module 2 · Where there's a will there's a way</t>
        </is>
      </c>
      <c r="C428" s="4" t="inlineStr">
        <is>
          <t>2b</t>
        </is>
      </c>
      <c r="D428" s="5" t="inlineStr">
        <is>
          <t>Idioms &amp; collocations</t>
        </is>
      </c>
      <c r="E428" s="12" t="inlineStr">
        <is>
          <t>10+</t>
        </is>
      </c>
      <c r="F428" s="4">
        <f>IFERROR(INDEX('Темы × классы'!$Q:$Q,MATCH(D428,'Темы × классы'!$D:$D,0)),"")</f>
        <v/>
      </c>
      <c r="G428" s="4">
        <f>IFERROR(INDEX('Темы × классы'!$R:$R,MATCH(D428,'Темы × классы'!$D:$D,0))&amp;"","")</f>
        <v/>
      </c>
      <c r="H428" s="4" t="inlineStr">
        <is>
          <t>не начат</t>
        </is>
      </c>
      <c r="I428" s="4" t="inlineStr">
        <is>
          <t>Spotlight / 11 класс / Module 2 · Where there's a will there's a way / Idioms &amp; collocations</t>
        </is>
      </c>
    </row>
    <row r="429">
      <c r="A429" s="12" t="n">
        <v>11</v>
      </c>
      <c r="B429" s="4" t="inlineStr">
        <is>
          <t>Module 3 · Responsibility</t>
        </is>
      </c>
      <c r="C429" s="4" t="inlineStr">
        <is>
          <t>3c</t>
        </is>
      </c>
      <c r="D429" s="5" t="inlineStr">
        <is>
          <t>Infinitive / -ing form</t>
        </is>
      </c>
      <c r="E429" s="12" t="inlineStr">
        <is>
          <t>10+</t>
        </is>
      </c>
      <c r="F429" s="4">
        <f>IFERROR(INDEX('Темы × классы'!$Q:$Q,MATCH(D429,'Темы × классы'!$D:$D,0)),"")</f>
        <v/>
      </c>
      <c r="G429" s="4">
        <f>IFERROR(INDEX('Темы × классы'!$R:$R,MATCH(D429,'Темы × классы'!$D:$D,0))&amp;"","")</f>
        <v/>
      </c>
      <c r="H429" s="4" t="inlineStr">
        <is>
          <t>не начат</t>
        </is>
      </c>
      <c r="I429" s="4" t="inlineStr">
        <is>
          <t>Spotlight / 11 класс / Module 3 · Responsibility / Infinitive / -ing form</t>
        </is>
      </c>
    </row>
    <row r="430">
      <c r="A430" s="12" t="n">
        <v>11</v>
      </c>
      <c r="B430" s="4" t="inlineStr">
        <is>
          <t>Module 3 · Responsibility</t>
        </is>
      </c>
      <c r="C430" s="4" t="inlineStr"/>
      <c r="D430" s="5" t="inlineStr">
        <is>
          <t>Expressing preference (prefer / would rather)</t>
        </is>
      </c>
      <c r="E430" s="12" t="inlineStr">
        <is>
          <t>10+</t>
        </is>
      </c>
      <c r="F430" s="4">
        <f>IFERROR(INDEX('Темы × классы'!$Q:$Q,MATCH(D430,'Темы × классы'!$D:$D,0)),"")</f>
        <v/>
      </c>
      <c r="G430" s="4">
        <f>IFERROR(INDEX('Темы × классы'!$R:$R,MATCH(D430,'Темы × классы'!$D:$D,0))&amp;"","")</f>
        <v/>
      </c>
      <c r="H430" s="4" t="inlineStr">
        <is>
          <t>не начат</t>
        </is>
      </c>
      <c r="I430" s="4" t="inlineStr">
        <is>
          <t>Spotlight / 11 класс / Module 3 · Responsibility / Expressing preference (prefer / would rather)</t>
        </is>
      </c>
    </row>
    <row r="431">
      <c r="A431" s="12" t="n">
        <v>11</v>
      </c>
      <c r="B431" s="4" t="inlineStr">
        <is>
          <t>Module 3 · Responsibility</t>
        </is>
      </c>
      <c r="C431" s="4" t="inlineStr">
        <is>
          <t>3c</t>
        </is>
      </c>
      <c r="D431" s="5" t="inlineStr">
        <is>
          <t>Infinitive / -ing form (difference in meaning)</t>
        </is>
      </c>
      <c r="E431" s="12" t="inlineStr">
        <is>
          <t>10+</t>
        </is>
      </c>
      <c r="F431" s="4">
        <f>IFERROR(INDEX('Темы × классы'!$Q:$Q,MATCH(D431,'Темы × классы'!$D:$D,0)),"")</f>
        <v/>
      </c>
      <c r="G431" s="4">
        <f>IFERROR(INDEX('Темы × классы'!$R:$R,MATCH(D431,'Темы × классы'!$D:$D,0))&amp;"","")</f>
        <v/>
      </c>
      <c r="H431" s="4" t="inlineStr">
        <is>
          <t>не начат</t>
        </is>
      </c>
      <c r="I431" s="4" t="inlineStr">
        <is>
          <t>Spotlight / 11 класс / Module 3 · Responsibility / Infinitive / -ing form (difference in meaning)</t>
        </is>
      </c>
    </row>
    <row r="432">
      <c r="A432" s="12" t="n">
        <v>11</v>
      </c>
      <c r="B432" s="4" t="inlineStr">
        <is>
          <t>Module 3 · Responsibility</t>
        </is>
      </c>
      <c r="C432" s="4" t="inlineStr">
        <is>
          <t>3c</t>
        </is>
      </c>
      <c r="D432" s="5" t="inlineStr">
        <is>
          <t>Phrasal verbs: keep</t>
        </is>
      </c>
      <c r="E432" s="12" t="inlineStr">
        <is>
          <t>10+</t>
        </is>
      </c>
      <c r="F432" s="4">
        <f>IFERROR(INDEX('Темы × классы'!$Q:$Q,MATCH(D432,'Темы × классы'!$D:$D,0)),"")</f>
        <v/>
      </c>
      <c r="G432" s="4">
        <f>IFERROR(INDEX('Темы × классы'!$R:$R,MATCH(D432,'Темы × классы'!$D:$D,0))&amp;"","")</f>
        <v/>
      </c>
      <c r="H432" s="4" t="inlineStr">
        <is>
          <t>не начат</t>
        </is>
      </c>
      <c r="I432" s="4" t="inlineStr">
        <is>
          <t>Spotlight / 11 класс / Module 3 · Responsibility / Phrasal verbs: keep</t>
        </is>
      </c>
    </row>
    <row r="433">
      <c r="A433" s="12" t="n">
        <v>11</v>
      </c>
      <c r="B433" s="4" t="inlineStr">
        <is>
          <t>Module 3 · Responsibility</t>
        </is>
      </c>
      <c r="C433" s="4" t="inlineStr">
        <is>
          <t>3c</t>
        </is>
      </c>
      <c r="D433" s="5" t="inlineStr">
        <is>
          <t>Dependent prepositions</t>
        </is>
      </c>
      <c r="E433" s="12" t="inlineStr">
        <is>
          <t>10+</t>
        </is>
      </c>
      <c r="F433" s="4">
        <f>IFERROR(INDEX('Темы × классы'!$Q:$Q,MATCH(D433,'Темы × классы'!$D:$D,0)),"")</f>
        <v/>
      </c>
      <c r="G433" s="4">
        <f>IFERROR(INDEX('Темы × классы'!$R:$R,MATCH(D433,'Темы × классы'!$D:$D,0))&amp;"","")</f>
        <v/>
      </c>
      <c r="H433" s="4" t="inlineStr">
        <is>
          <t>не начат</t>
        </is>
      </c>
      <c r="I433" s="4" t="inlineStr">
        <is>
          <t>Spotlight / 11 класс / Module 3 · Responsibility / Dependent prepositions</t>
        </is>
      </c>
    </row>
    <row r="434">
      <c r="A434" s="12" t="n">
        <v>11</v>
      </c>
      <c r="B434" s="4" t="inlineStr">
        <is>
          <t>Module 3 · Responsibility</t>
        </is>
      </c>
      <c r="C434" s="4" t="inlineStr">
        <is>
          <t>3a</t>
        </is>
      </c>
      <c r="D434" s="5" t="inlineStr">
        <is>
          <t>Words often confused</t>
        </is>
      </c>
      <c r="E434" s="12" t="inlineStr">
        <is>
          <t>10+</t>
        </is>
      </c>
      <c r="F434" s="4">
        <f>IFERROR(INDEX('Темы × классы'!$Q:$Q,MATCH(D434,'Темы × классы'!$D:$D,0)),"")</f>
        <v/>
      </c>
      <c r="G434" s="4">
        <f>IFERROR(INDEX('Темы × классы'!$R:$R,MATCH(D434,'Темы × классы'!$D:$D,0))&amp;"","")</f>
        <v/>
      </c>
      <c r="H434" s="4" t="inlineStr">
        <is>
          <t>не начат</t>
        </is>
      </c>
      <c r="I434" s="4" t="inlineStr">
        <is>
          <t>Spotlight / 11 класс / Module 3 · Responsibility / Words often confused</t>
        </is>
      </c>
    </row>
    <row r="435">
      <c r="A435" s="12" t="n">
        <v>11</v>
      </c>
      <c r="B435" s="4" t="inlineStr">
        <is>
          <t>Module 4 · Danger!</t>
        </is>
      </c>
      <c r="C435" s="4" t="inlineStr">
        <is>
          <t>4c</t>
        </is>
      </c>
      <c r="D435" s="5" t="inlineStr">
        <is>
          <t>Causative (have something done)</t>
        </is>
      </c>
      <c r="E435" s="12" t="inlineStr">
        <is>
          <t>10+</t>
        </is>
      </c>
      <c r="F435" s="4">
        <f>IFERROR(INDEX('Темы × классы'!$Q:$Q,MATCH(D435,'Темы × классы'!$D:$D,0)),"")</f>
        <v/>
      </c>
      <c r="G435" s="4">
        <f>IFERROR(INDEX('Темы × классы'!$R:$R,MATCH(D435,'Темы × классы'!$D:$D,0))&amp;"","")</f>
        <v/>
      </c>
      <c r="H435" s="4" t="inlineStr">
        <is>
          <t>не начат</t>
        </is>
      </c>
      <c r="I435" s="4" t="inlineStr">
        <is>
          <t>Spotlight / 11 класс / Module 4 · Danger! / Causative (have something done)</t>
        </is>
      </c>
    </row>
    <row r="436">
      <c r="A436" s="12" t="n">
        <v>11</v>
      </c>
      <c r="B436" s="4" t="inlineStr">
        <is>
          <t>Module 4 · Danger!</t>
        </is>
      </c>
      <c r="C436" s="4" t="inlineStr">
        <is>
          <t>4c</t>
        </is>
      </c>
      <c r="D436" s="5" t="inlineStr">
        <is>
          <t>Passive Voice</t>
        </is>
      </c>
      <c r="E436" s="12" t="inlineStr">
        <is>
          <t>10+</t>
        </is>
      </c>
      <c r="F436" s="4">
        <f>IFERROR(INDEX('Темы × классы'!$Q:$Q,MATCH(D436,'Темы × классы'!$D:$D,0)),"")</f>
        <v/>
      </c>
      <c r="G436" s="4">
        <f>IFERROR(INDEX('Темы × классы'!$R:$R,MATCH(D436,'Темы × классы'!$D:$D,0))&amp;"","")</f>
        <v/>
      </c>
      <c r="H436" s="4" t="inlineStr">
        <is>
          <t>не начат</t>
        </is>
      </c>
      <c r="I436" s="4" t="inlineStr">
        <is>
          <t>Spotlight / 11 класс / Module 4 · Danger! / Passive Voice</t>
        </is>
      </c>
    </row>
    <row r="437">
      <c r="A437" s="12" t="n">
        <v>11</v>
      </c>
      <c r="B437" s="4" t="inlineStr">
        <is>
          <t>Module 4 · Danger!</t>
        </is>
      </c>
      <c r="C437" s="4" t="inlineStr"/>
      <c r="D437" s="5" t="inlineStr">
        <is>
          <t>Reflexive pronouns</t>
        </is>
      </c>
      <c r="E437" s="12" t="inlineStr">
        <is>
          <t>10+</t>
        </is>
      </c>
      <c r="F437" s="4">
        <f>IFERROR(INDEX('Темы × классы'!$Q:$Q,MATCH(D437,'Темы × классы'!$D:$D,0)),"")</f>
        <v/>
      </c>
      <c r="G437" s="4">
        <f>IFERROR(INDEX('Темы × классы'!$R:$R,MATCH(D437,'Темы × классы'!$D:$D,0))&amp;"","")</f>
        <v/>
      </c>
      <c r="H437" s="4" t="inlineStr">
        <is>
          <t>не начат</t>
        </is>
      </c>
      <c r="I437" s="4" t="inlineStr">
        <is>
          <t>Spotlight / 11 класс / Module 4 · Danger! / Reflexive pronouns</t>
        </is>
      </c>
    </row>
    <row r="438">
      <c r="A438" s="12" t="n">
        <v>11</v>
      </c>
      <c r="B438" s="4" t="inlineStr">
        <is>
          <t>Module 4 · Danger!</t>
        </is>
      </c>
      <c r="C438" s="4" t="inlineStr">
        <is>
          <t>4c</t>
        </is>
      </c>
      <c r="D438" s="5" t="inlineStr">
        <is>
          <t>Phrasal verbs: go</t>
        </is>
      </c>
      <c r="E438" s="12" t="inlineStr">
        <is>
          <t>10+</t>
        </is>
      </c>
      <c r="F438" s="4">
        <f>IFERROR(INDEX('Темы × классы'!$Q:$Q,MATCH(D438,'Темы × классы'!$D:$D,0)),"")</f>
        <v/>
      </c>
      <c r="G438" s="4">
        <f>IFERROR(INDEX('Темы × классы'!$R:$R,MATCH(D438,'Темы × классы'!$D:$D,0))&amp;"","")</f>
        <v/>
      </c>
      <c r="H438" s="4" t="inlineStr">
        <is>
          <t>не начат</t>
        </is>
      </c>
      <c r="I438" s="4" t="inlineStr">
        <is>
          <t>Spotlight / 11 класс / Module 4 · Danger! / Phrasal verbs: go</t>
        </is>
      </c>
    </row>
    <row r="439">
      <c r="A439" s="12" t="n">
        <v>11</v>
      </c>
      <c r="B439" s="4" t="inlineStr">
        <is>
          <t>Module 4 · Danger!</t>
        </is>
      </c>
      <c r="C439" s="4" t="inlineStr">
        <is>
          <t>4c</t>
        </is>
      </c>
      <c r="D439" s="5" t="inlineStr">
        <is>
          <t>Dependent prepositions</t>
        </is>
      </c>
      <c r="E439" s="12" t="inlineStr">
        <is>
          <t>10+</t>
        </is>
      </c>
      <c r="F439" s="4">
        <f>IFERROR(INDEX('Темы × классы'!$Q:$Q,MATCH(D439,'Темы × классы'!$D:$D,0)),"")</f>
        <v/>
      </c>
      <c r="G439" s="4">
        <f>IFERROR(INDEX('Темы × классы'!$R:$R,MATCH(D439,'Темы × классы'!$D:$D,0))&amp;"","")</f>
        <v/>
      </c>
      <c r="H439" s="4" t="inlineStr">
        <is>
          <t>не начат</t>
        </is>
      </c>
      <c r="I439" s="4" t="inlineStr">
        <is>
          <t>Spotlight / 11 класс / Module 4 · Danger! / Dependent prepositions</t>
        </is>
      </c>
    </row>
    <row r="440">
      <c r="A440" s="12" t="n">
        <v>11</v>
      </c>
      <c r="B440" s="4" t="inlineStr">
        <is>
          <t>Module 4 · Danger!</t>
        </is>
      </c>
      <c r="C440" s="4" t="inlineStr">
        <is>
          <t>4b</t>
        </is>
      </c>
      <c r="D440" s="5" t="inlineStr">
        <is>
          <t>Idioms &amp; collocations</t>
        </is>
      </c>
      <c r="E440" s="12" t="inlineStr">
        <is>
          <t>10+</t>
        </is>
      </c>
      <c r="F440" s="4">
        <f>IFERROR(INDEX('Темы × классы'!$Q:$Q,MATCH(D440,'Темы × классы'!$D:$D,0)),"")</f>
        <v/>
      </c>
      <c r="G440" s="4">
        <f>IFERROR(INDEX('Темы × классы'!$R:$R,MATCH(D440,'Темы × классы'!$D:$D,0))&amp;"","")</f>
        <v/>
      </c>
      <c r="H440" s="4" t="inlineStr">
        <is>
          <t>не начат</t>
        </is>
      </c>
      <c r="I440" s="4" t="inlineStr">
        <is>
          <t>Spotlight / 11 класс / Module 4 · Danger! / Idioms &amp; collocations</t>
        </is>
      </c>
    </row>
    <row r="441">
      <c r="A441" s="12" t="n">
        <v>11</v>
      </c>
      <c r="B441" s="4" t="inlineStr">
        <is>
          <t>Module 5 · Who are you?</t>
        </is>
      </c>
      <c r="C441" s="4" t="inlineStr">
        <is>
          <t>5c</t>
        </is>
      </c>
      <c r="D441" s="5" t="inlineStr">
        <is>
          <t>may/might</t>
        </is>
      </c>
      <c r="E441" s="12" t="inlineStr">
        <is>
          <t>10+</t>
        </is>
      </c>
      <c r="F441" s="4">
        <f>IFERROR(INDEX('Темы × классы'!$Q:$Q,MATCH(D441,'Темы × классы'!$D:$D,0)),"")</f>
        <v/>
      </c>
      <c r="G441" s="4">
        <f>IFERROR(INDEX('Темы × классы'!$R:$R,MATCH(D441,'Темы × классы'!$D:$D,0))&amp;"","")</f>
        <v/>
      </c>
      <c r="H441" s="4" t="inlineStr">
        <is>
          <t>не начат</t>
        </is>
      </c>
      <c r="I441" s="4" t="inlineStr">
        <is>
          <t>Spotlight / 11 класс / Module 5 · Who are you? / may/might</t>
        </is>
      </c>
    </row>
    <row r="442">
      <c r="A442" s="12" t="n">
        <v>11</v>
      </c>
      <c r="B442" s="4" t="inlineStr">
        <is>
          <t>Module 5 · Who are you?</t>
        </is>
      </c>
      <c r="C442" s="4" t="inlineStr">
        <is>
          <t>5c</t>
        </is>
      </c>
      <c r="D442" s="5" t="inlineStr">
        <is>
          <t>can (permission/request)</t>
        </is>
      </c>
      <c r="E442" s="12" t="inlineStr">
        <is>
          <t>10+</t>
        </is>
      </c>
      <c r="F442" s="4">
        <f>IFERROR(INDEX('Темы × классы'!$Q:$Q,MATCH(D442,'Темы × классы'!$D:$D,0)),"")</f>
        <v/>
      </c>
      <c r="G442" s="4">
        <f>IFERROR(INDEX('Темы × классы'!$R:$R,MATCH(D442,'Темы × классы'!$D:$D,0))&amp;"","")</f>
        <v/>
      </c>
      <c r="H442" s="4" t="inlineStr">
        <is>
          <t>не начат</t>
        </is>
      </c>
      <c r="I442" s="4" t="inlineStr">
        <is>
          <t>Spotlight / 11 класс / Module 5 · Who are you? / can (permission/request)</t>
        </is>
      </c>
    </row>
    <row r="443">
      <c r="A443" s="12" t="n">
        <v>11</v>
      </c>
      <c r="B443" s="4" t="inlineStr">
        <is>
          <t>Module 5 · Who are you?</t>
        </is>
      </c>
      <c r="C443" s="4" t="inlineStr">
        <is>
          <t>5c</t>
        </is>
      </c>
      <c r="D443" s="5" t="inlineStr">
        <is>
          <t>need/needn't</t>
        </is>
      </c>
      <c r="E443" s="12" t="inlineStr">
        <is>
          <t>10+</t>
        </is>
      </c>
      <c r="F443" s="4">
        <f>IFERROR(INDEX('Темы × классы'!$Q:$Q,MATCH(D443,'Темы × классы'!$D:$D,0)),"")</f>
        <v/>
      </c>
      <c r="G443" s="4">
        <f>IFERROR(INDEX('Темы × классы'!$R:$R,MATCH(D443,'Темы × классы'!$D:$D,0))&amp;"","")</f>
        <v/>
      </c>
      <c r="H443" s="4" t="inlineStr">
        <is>
          <t>не начат</t>
        </is>
      </c>
      <c r="I443" s="4" t="inlineStr">
        <is>
          <t>Spotlight / 11 класс / Module 5 · Who are you? / need/needn't</t>
        </is>
      </c>
    </row>
    <row r="444">
      <c r="A444" s="12" t="n">
        <v>11</v>
      </c>
      <c r="B444" s="4" t="inlineStr">
        <is>
          <t>Module 5 · Who are you?</t>
        </is>
      </c>
      <c r="C444" s="4" t="inlineStr">
        <is>
          <t>5c</t>
        </is>
      </c>
      <c r="D444" s="5" t="inlineStr">
        <is>
          <t>should/shouldn't</t>
        </is>
      </c>
      <c r="E444" s="12" t="inlineStr">
        <is>
          <t>10+</t>
        </is>
      </c>
      <c r="F444" s="4">
        <f>IFERROR(INDEX('Темы × классы'!$Q:$Q,MATCH(D444,'Темы × классы'!$D:$D,0)),"")</f>
        <v/>
      </c>
      <c r="G444" s="4">
        <f>IFERROR(INDEX('Темы × классы'!$R:$R,MATCH(D444,'Темы × классы'!$D:$D,0))&amp;"","")</f>
        <v/>
      </c>
      <c r="H444" s="4" t="inlineStr">
        <is>
          <t>не начат</t>
        </is>
      </c>
      <c r="I444" s="4" t="inlineStr">
        <is>
          <t>Spotlight / 11 класс / Module 5 · Who are you? / should/shouldn't</t>
        </is>
      </c>
    </row>
    <row r="445">
      <c r="A445" s="12" t="n">
        <v>11</v>
      </c>
      <c r="B445" s="4" t="inlineStr">
        <is>
          <t>Module 5 · Who are you?</t>
        </is>
      </c>
      <c r="C445" s="4" t="inlineStr">
        <is>
          <t>5c</t>
        </is>
      </c>
      <c r="D445" s="5" t="inlineStr">
        <is>
          <t>Modal verbs (deduction)</t>
        </is>
      </c>
      <c r="E445" s="12" t="inlineStr">
        <is>
          <t>10+</t>
        </is>
      </c>
      <c r="F445" s="4">
        <f>IFERROR(INDEX('Темы × классы'!$Q:$Q,MATCH(D445,'Темы × классы'!$D:$D,0)),"")</f>
        <v/>
      </c>
      <c r="G445" s="4">
        <f>IFERROR(INDEX('Темы × классы'!$R:$R,MATCH(D445,'Темы × классы'!$D:$D,0))&amp;"","")</f>
        <v/>
      </c>
      <c r="H445" s="4" t="inlineStr">
        <is>
          <t>не начат</t>
        </is>
      </c>
      <c r="I445" s="4" t="inlineStr">
        <is>
          <t>Spotlight / 11 класс / Module 5 · Who are you? / Modal verbs (deduction)</t>
        </is>
      </c>
    </row>
    <row r="446">
      <c r="A446" s="12" t="n">
        <v>11</v>
      </c>
      <c r="B446" s="4" t="inlineStr">
        <is>
          <t>Module 5 · Who are you?</t>
        </is>
      </c>
      <c r="C446" s="4" t="inlineStr">
        <is>
          <t>5c</t>
        </is>
      </c>
      <c r="D446" s="5" t="inlineStr">
        <is>
          <t>Modal verbs (functions)</t>
        </is>
      </c>
      <c r="E446" s="12" t="inlineStr">
        <is>
          <t>10+</t>
        </is>
      </c>
      <c r="F446" s="4">
        <f>IFERROR(INDEX('Темы × классы'!$Q:$Q,MATCH(D446,'Темы × классы'!$D:$D,0)),"")</f>
        <v/>
      </c>
      <c r="G446" s="4">
        <f>IFERROR(INDEX('Темы × классы'!$R:$R,MATCH(D446,'Темы × классы'!$D:$D,0))&amp;"","")</f>
        <v/>
      </c>
      <c r="H446" s="4" t="inlineStr">
        <is>
          <t>не начат</t>
        </is>
      </c>
      <c r="I446" s="4" t="inlineStr">
        <is>
          <t>Spotlight / 11 класс / Module 5 · Who are you? / Modal verbs (functions)</t>
        </is>
      </c>
    </row>
    <row r="447">
      <c r="A447" s="12" t="n">
        <v>11</v>
      </c>
      <c r="B447" s="4" t="inlineStr">
        <is>
          <t>Module 5 · Who are you?</t>
        </is>
      </c>
      <c r="C447" s="4" t="inlineStr">
        <is>
          <t>5c</t>
        </is>
      </c>
      <c r="D447" s="5" t="inlineStr">
        <is>
          <t>can/could (ability past)</t>
        </is>
      </c>
      <c r="E447" s="12" t="inlineStr">
        <is>
          <t>10+</t>
        </is>
      </c>
      <c r="F447" s="4">
        <f>IFERROR(INDEX('Темы × классы'!$Q:$Q,MATCH(D447,'Темы × классы'!$D:$D,0)),"")</f>
        <v/>
      </c>
      <c r="G447" s="4">
        <f>IFERROR(INDEX('Темы × классы'!$R:$R,MATCH(D447,'Темы × классы'!$D:$D,0))&amp;"","")</f>
        <v/>
      </c>
      <c r="H447" s="4" t="inlineStr">
        <is>
          <t>не начат</t>
        </is>
      </c>
      <c r="I447" s="4" t="inlineStr">
        <is>
          <t>Spotlight / 11 класс / Module 5 · Who are you? / can/could (ability past)</t>
        </is>
      </c>
    </row>
    <row r="448">
      <c r="A448" s="12" t="n">
        <v>11</v>
      </c>
      <c r="B448" s="4" t="inlineStr">
        <is>
          <t>Module 5 · Who are you?</t>
        </is>
      </c>
      <c r="C448" s="4" t="inlineStr">
        <is>
          <t>5c</t>
        </is>
      </c>
      <c r="D448" s="5" t="inlineStr">
        <is>
          <t>Semi-modals</t>
        </is>
      </c>
      <c r="E448" s="12" t="inlineStr">
        <is>
          <t>10+</t>
        </is>
      </c>
      <c r="F448" s="4">
        <f>IFERROR(INDEX('Темы × классы'!$Q:$Q,MATCH(D448,'Темы × классы'!$D:$D,0)),"")</f>
        <v/>
      </c>
      <c r="G448" s="4">
        <f>IFERROR(INDEX('Темы × классы'!$R:$R,MATCH(D448,'Темы × классы'!$D:$D,0))&amp;"","")</f>
        <v/>
      </c>
      <c r="H448" s="4" t="inlineStr">
        <is>
          <t>не начат</t>
        </is>
      </c>
      <c r="I448" s="4" t="inlineStr">
        <is>
          <t>Spotlight / 11 класс / Module 5 · Who are you? / Semi-modals</t>
        </is>
      </c>
    </row>
    <row r="449">
      <c r="A449" s="12" t="n">
        <v>11</v>
      </c>
      <c r="B449" s="4" t="inlineStr">
        <is>
          <t>Module 5 · Who are you?</t>
        </is>
      </c>
      <c r="C449" s="4" t="inlineStr">
        <is>
          <t>5c</t>
        </is>
      </c>
      <c r="D449" s="5" t="inlineStr">
        <is>
          <t>must/have to (obligation)</t>
        </is>
      </c>
      <c r="E449" s="12" t="inlineStr">
        <is>
          <t>10+</t>
        </is>
      </c>
      <c r="F449" s="4">
        <f>IFERROR(INDEX('Темы × классы'!$Q:$Q,MATCH(D449,'Темы × классы'!$D:$D,0)),"")</f>
        <v/>
      </c>
      <c r="G449" s="4">
        <f>IFERROR(INDEX('Темы × классы'!$R:$R,MATCH(D449,'Темы × классы'!$D:$D,0))&amp;"","")</f>
        <v/>
      </c>
      <c r="H449" s="4" t="inlineStr">
        <is>
          <t>не начат</t>
        </is>
      </c>
      <c r="I449" s="4" t="inlineStr">
        <is>
          <t>Spotlight / 11 класс / Module 5 · Who are you? / must/have to (obligation)</t>
        </is>
      </c>
    </row>
    <row r="450">
      <c r="A450" s="12" t="n">
        <v>11</v>
      </c>
      <c r="B450" s="4" t="inlineStr">
        <is>
          <t>Module 5 · Who are you?</t>
        </is>
      </c>
      <c r="C450" s="4" t="inlineStr">
        <is>
          <t>5c</t>
        </is>
      </c>
      <c r="D450" s="5" t="inlineStr">
        <is>
          <t>Phrasal verbs: do</t>
        </is>
      </c>
      <c r="E450" s="12" t="inlineStr">
        <is>
          <t>10+</t>
        </is>
      </c>
      <c r="F450" s="4">
        <f>IFERROR(INDEX('Темы × классы'!$Q:$Q,MATCH(D450,'Темы × классы'!$D:$D,0)),"")</f>
        <v/>
      </c>
      <c r="G450" s="4">
        <f>IFERROR(INDEX('Темы × классы'!$R:$R,MATCH(D450,'Темы × классы'!$D:$D,0))&amp;"","")</f>
        <v/>
      </c>
      <c r="H450" s="4" t="inlineStr">
        <is>
          <t>не начат</t>
        </is>
      </c>
      <c r="I450" s="4" t="inlineStr">
        <is>
          <t>Spotlight / 11 класс / Module 5 · Who are you? / Phrasal verbs: do</t>
        </is>
      </c>
    </row>
    <row r="451">
      <c r="A451" s="12" t="n">
        <v>11</v>
      </c>
      <c r="B451" s="4" t="inlineStr">
        <is>
          <t>Module 5 · Who are you?</t>
        </is>
      </c>
      <c r="C451" s="4" t="inlineStr">
        <is>
          <t>5c</t>
        </is>
      </c>
      <c r="D451" s="5" t="inlineStr">
        <is>
          <t>Dependent prepositions</t>
        </is>
      </c>
      <c r="E451" s="12" t="inlineStr">
        <is>
          <t>10+</t>
        </is>
      </c>
      <c r="F451" s="4">
        <f>IFERROR(INDEX('Темы × классы'!$Q:$Q,MATCH(D451,'Темы × классы'!$D:$D,0)),"")</f>
        <v/>
      </c>
      <c r="G451" s="4">
        <f>IFERROR(INDEX('Темы × классы'!$R:$R,MATCH(D451,'Темы × классы'!$D:$D,0))&amp;"","")</f>
        <v/>
      </c>
      <c r="H451" s="4" t="inlineStr">
        <is>
          <t>не начат</t>
        </is>
      </c>
      <c r="I451" s="4" t="inlineStr">
        <is>
          <t>Spotlight / 11 класс / Module 5 · Who are you? / Dependent prepositions</t>
        </is>
      </c>
    </row>
    <row r="452">
      <c r="A452" s="12" t="n">
        <v>11</v>
      </c>
      <c r="B452" s="4" t="inlineStr">
        <is>
          <t>Module 5 · Who are you?</t>
        </is>
      </c>
      <c r="C452" s="4" t="inlineStr">
        <is>
          <t>5b</t>
        </is>
      </c>
      <c r="D452" s="5" t="inlineStr">
        <is>
          <t>Idioms &amp; collocations</t>
        </is>
      </c>
      <c r="E452" s="12" t="inlineStr">
        <is>
          <t>10+</t>
        </is>
      </c>
      <c r="F452" s="4">
        <f>IFERROR(INDEX('Темы × классы'!$Q:$Q,MATCH(D452,'Темы × классы'!$D:$D,0)),"")</f>
        <v/>
      </c>
      <c r="G452" s="4">
        <f>IFERROR(INDEX('Темы × классы'!$R:$R,MATCH(D452,'Темы × классы'!$D:$D,0))&amp;"","")</f>
        <v/>
      </c>
      <c r="H452" s="4" t="inlineStr">
        <is>
          <t>не начат</t>
        </is>
      </c>
      <c r="I452" s="4" t="inlineStr">
        <is>
          <t>Spotlight / 11 класс / Module 5 · Who are you? / Idioms &amp; collocations</t>
        </is>
      </c>
    </row>
    <row r="453">
      <c r="A453" s="12" t="n">
        <v>11</v>
      </c>
      <c r="B453" s="4" t="inlineStr">
        <is>
          <t>Module 6 · Communication</t>
        </is>
      </c>
      <c r="C453" s="4" t="inlineStr">
        <is>
          <t>6c</t>
        </is>
      </c>
      <c r="D453" s="5" t="inlineStr">
        <is>
          <t>Reported Speech</t>
        </is>
      </c>
      <c r="E453" s="12" t="inlineStr">
        <is>
          <t>10+</t>
        </is>
      </c>
      <c r="F453" s="4">
        <f>IFERROR(INDEX('Темы × классы'!$Q:$Q,MATCH(D453,'Темы × классы'!$D:$D,0)),"")</f>
        <v/>
      </c>
      <c r="G453" s="4">
        <f>IFERROR(INDEX('Темы × классы'!$R:$R,MATCH(D453,'Темы × классы'!$D:$D,0))&amp;"","")</f>
        <v/>
      </c>
      <c r="H453" s="4" t="inlineStr">
        <is>
          <t>не начат</t>
        </is>
      </c>
      <c r="I453" s="4" t="inlineStr">
        <is>
          <t>Spotlight / 11 класс / Module 6 · Communication / Reported Speech</t>
        </is>
      </c>
    </row>
    <row r="454">
      <c r="A454" s="12" t="n">
        <v>11</v>
      </c>
      <c r="B454" s="4" t="inlineStr">
        <is>
          <t>Module 6 · Communication</t>
        </is>
      </c>
      <c r="C454" s="4" t="inlineStr">
        <is>
          <t>6c</t>
        </is>
      </c>
      <c r="D454" s="5" t="inlineStr">
        <is>
          <t>Reported Speech: modal verbs</t>
        </is>
      </c>
      <c r="E454" s="12" t="inlineStr">
        <is>
          <t>10+</t>
        </is>
      </c>
      <c r="F454" s="4">
        <f>IFERROR(INDEX('Темы × классы'!$Q:$Q,MATCH(D454,'Темы × классы'!$D:$D,0)),"")</f>
        <v/>
      </c>
      <c r="G454" s="4">
        <f>IFERROR(INDEX('Темы × классы'!$R:$R,MATCH(D454,'Темы × классы'!$D:$D,0))&amp;"","")</f>
        <v/>
      </c>
      <c r="H454" s="4" t="inlineStr">
        <is>
          <t>не начат</t>
        </is>
      </c>
      <c r="I454" s="4" t="inlineStr">
        <is>
          <t>Spotlight / 11 класс / Module 6 · Communication / Reported Speech: modal verbs</t>
        </is>
      </c>
    </row>
    <row r="455">
      <c r="A455" s="12" t="n">
        <v>11</v>
      </c>
      <c r="B455" s="4" t="inlineStr">
        <is>
          <t>Module 6 · Communication</t>
        </is>
      </c>
      <c r="C455" s="4" t="inlineStr">
        <is>
          <t>6c</t>
        </is>
      </c>
      <c r="D455" s="5" t="inlineStr">
        <is>
          <t>Reported commands/requests</t>
        </is>
      </c>
      <c r="E455" s="12" t="inlineStr">
        <is>
          <t>10+</t>
        </is>
      </c>
      <c r="F455" s="4">
        <f>IFERROR(INDEX('Темы × классы'!$Q:$Q,MATCH(D455,'Темы × классы'!$D:$D,0)),"")</f>
        <v/>
      </c>
      <c r="G455" s="4">
        <f>IFERROR(INDEX('Темы × классы'!$R:$R,MATCH(D455,'Темы × классы'!$D:$D,0))&amp;"","")</f>
        <v/>
      </c>
      <c r="H455" s="4" t="inlineStr">
        <is>
          <t>не начат</t>
        </is>
      </c>
      <c r="I455" s="4" t="inlineStr">
        <is>
          <t>Spotlight / 11 класс / Module 6 · Communication / Reported commands/requests</t>
        </is>
      </c>
    </row>
    <row r="456">
      <c r="A456" s="12" t="n">
        <v>11</v>
      </c>
      <c r="B456" s="4" t="inlineStr">
        <is>
          <t>Module 6 · Communication</t>
        </is>
      </c>
      <c r="C456" s="4" t="inlineStr">
        <is>
          <t>6c</t>
        </is>
      </c>
      <c r="D456" s="5" t="inlineStr">
        <is>
          <t>Reported questions</t>
        </is>
      </c>
      <c r="E456" s="12" t="inlineStr">
        <is>
          <t>10+</t>
        </is>
      </c>
      <c r="F456" s="4">
        <f>IFERROR(INDEX('Темы × классы'!$Q:$Q,MATCH(D456,'Темы × классы'!$D:$D,0)),"")</f>
        <v/>
      </c>
      <c r="G456" s="4">
        <f>IFERROR(INDEX('Темы × классы'!$R:$R,MATCH(D456,'Темы × классы'!$D:$D,0))&amp;"","")</f>
        <v/>
      </c>
      <c r="H456" s="4" t="inlineStr">
        <is>
          <t>не начат</t>
        </is>
      </c>
      <c r="I456" s="4" t="inlineStr">
        <is>
          <t>Spotlight / 11 класс / Module 6 · Communication / Reported questions</t>
        </is>
      </c>
    </row>
    <row r="457">
      <c r="A457" s="12" t="n">
        <v>11</v>
      </c>
      <c r="B457" s="4" t="inlineStr">
        <is>
          <t>Module 6 · Communication</t>
        </is>
      </c>
      <c r="C457" s="4" t="inlineStr">
        <is>
          <t>6c</t>
        </is>
      </c>
      <c r="D457" s="5" t="inlineStr">
        <is>
          <t>Reporting verbs</t>
        </is>
      </c>
      <c r="E457" s="12" t="inlineStr">
        <is>
          <t>10+</t>
        </is>
      </c>
      <c r="F457" s="4">
        <f>IFERROR(INDEX('Темы × классы'!$Q:$Q,MATCH(D457,'Темы × классы'!$D:$D,0)),"")</f>
        <v/>
      </c>
      <c r="G457" s="4">
        <f>IFERROR(INDEX('Темы × классы'!$R:$R,MATCH(D457,'Темы × классы'!$D:$D,0))&amp;"","")</f>
        <v/>
      </c>
      <c r="H457" s="4" t="inlineStr">
        <is>
          <t>не начат</t>
        </is>
      </c>
      <c r="I457" s="4" t="inlineStr">
        <is>
          <t>Spotlight / 11 класс / Module 6 · Communication / Reporting verbs</t>
        </is>
      </c>
    </row>
    <row r="458">
      <c r="A458" s="12" t="n">
        <v>11</v>
      </c>
      <c r="B458" s="4" t="inlineStr">
        <is>
          <t>Module 6 · Communication</t>
        </is>
      </c>
      <c r="C458" s="4" t="inlineStr">
        <is>
          <t>6c</t>
        </is>
      </c>
      <c r="D458" s="5" t="inlineStr">
        <is>
          <t>Phrasal verbs: talk</t>
        </is>
      </c>
      <c r="E458" s="12" t="inlineStr">
        <is>
          <t>10+</t>
        </is>
      </c>
      <c r="F458" s="4">
        <f>IFERROR(INDEX('Темы × классы'!$Q:$Q,MATCH(D458,'Темы × классы'!$D:$D,0)),"")</f>
        <v/>
      </c>
      <c r="G458" s="4">
        <f>IFERROR(INDEX('Темы × классы'!$R:$R,MATCH(D458,'Темы × классы'!$D:$D,0))&amp;"","")</f>
        <v/>
      </c>
      <c r="H458" s="4" t="inlineStr">
        <is>
          <t>не начат</t>
        </is>
      </c>
      <c r="I458" s="4" t="inlineStr">
        <is>
          <t>Spotlight / 11 класс / Module 6 · Communication / Phrasal verbs: talk</t>
        </is>
      </c>
    </row>
    <row r="459">
      <c r="A459" s="12" t="n">
        <v>11</v>
      </c>
      <c r="B459" s="4" t="inlineStr">
        <is>
          <t>Module 6 · Communication</t>
        </is>
      </c>
      <c r="C459" s="4" t="inlineStr">
        <is>
          <t>6c</t>
        </is>
      </c>
      <c r="D459" s="5" t="inlineStr">
        <is>
          <t>Dependent prepositions</t>
        </is>
      </c>
      <c r="E459" s="12" t="inlineStr">
        <is>
          <t>10+</t>
        </is>
      </c>
      <c r="F459" s="4">
        <f>IFERROR(INDEX('Темы × классы'!$Q:$Q,MATCH(D459,'Темы × классы'!$D:$D,0)),"")</f>
        <v/>
      </c>
      <c r="G459" s="4">
        <f>IFERROR(INDEX('Темы × классы'!$R:$R,MATCH(D459,'Темы × классы'!$D:$D,0))&amp;"","")</f>
        <v/>
      </c>
      <c r="H459" s="4" t="inlineStr">
        <is>
          <t>не начат</t>
        </is>
      </c>
      <c r="I459" s="4" t="inlineStr">
        <is>
          <t>Spotlight / 11 класс / Module 6 · Communication / Dependent prepositions</t>
        </is>
      </c>
    </row>
    <row r="460">
      <c r="A460" s="12" t="n">
        <v>11</v>
      </c>
      <c r="B460" s="4" t="inlineStr">
        <is>
          <t>Module 6 · Communication</t>
        </is>
      </c>
      <c r="C460" s="4" t="inlineStr">
        <is>
          <t>6b</t>
        </is>
      </c>
      <c r="D460" s="5" t="inlineStr">
        <is>
          <t>Idioms &amp; collocations</t>
        </is>
      </c>
      <c r="E460" s="12" t="inlineStr">
        <is>
          <t>10+</t>
        </is>
      </c>
      <c r="F460" s="4">
        <f>IFERROR(INDEX('Темы × классы'!$Q:$Q,MATCH(D460,'Темы × классы'!$D:$D,0)),"")</f>
        <v/>
      </c>
      <c r="G460" s="4">
        <f>IFERROR(INDEX('Темы × классы'!$R:$R,MATCH(D460,'Темы × классы'!$D:$D,0))&amp;"","")</f>
        <v/>
      </c>
      <c r="H460" s="4" t="inlineStr">
        <is>
          <t>не начат</t>
        </is>
      </c>
      <c r="I460" s="4" t="inlineStr">
        <is>
          <t>Spotlight / 11 класс / Module 6 · Communication / Idioms &amp; collocations</t>
        </is>
      </c>
    </row>
    <row r="461">
      <c r="A461" s="12" t="n">
        <v>11</v>
      </c>
      <c r="B461" s="4" t="inlineStr">
        <is>
          <t>Module 7 · In days to come</t>
        </is>
      </c>
      <c r="C461" s="4" t="inlineStr">
        <is>
          <t>7c</t>
        </is>
      </c>
      <c r="D461" s="5" t="inlineStr">
        <is>
          <t>Conditionals (Type 1)</t>
        </is>
      </c>
      <c r="E461" s="12" t="inlineStr">
        <is>
          <t>10+</t>
        </is>
      </c>
      <c r="F461" s="4">
        <f>IFERROR(INDEX('Темы × классы'!$Q:$Q,MATCH(D461,'Темы × классы'!$D:$D,0)),"")</f>
        <v/>
      </c>
      <c r="G461" s="4">
        <f>IFERROR(INDEX('Темы × классы'!$R:$R,MATCH(D461,'Темы × классы'!$D:$D,0))&amp;"","")</f>
        <v/>
      </c>
      <c r="H461" s="4" t="inlineStr">
        <is>
          <t>не начат</t>
        </is>
      </c>
      <c r="I461" s="4" t="inlineStr">
        <is>
          <t>Spotlight / 11 класс / Module 7 · In days to come / Conditionals (Type 1)</t>
        </is>
      </c>
    </row>
    <row r="462">
      <c r="A462" s="12" t="n">
        <v>11</v>
      </c>
      <c r="B462" s="4" t="inlineStr">
        <is>
          <t>Module 7 · In days to come</t>
        </is>
      </c>
      <c r="C462" s="4" t="inlineStr">
        <is>
          <t>7c</t>
        </is>
      </c>
      <c r="D462" s="5" t="inlineStr">
        <is>
          <t>Conditionals (Type 2)</t>
        </is>
      </c>
      <c r="E462" s="12" t="inlineStr">
        <is>
          <t>10+</t>
        </is>
      </c>
      <c r="F462" s="4">
        <f>IFERROR(INDEX('Темы × классы'!$Q:$Q,MATCH(D462,'Темы × классы'!$D:$D,0)),"")</f>
        <v/>
      </c>
      <c r="G462" s="4">
        <f>IFERROR(INDEX('Темы × классы'!$R:$R,MATCH(D462,'Темы × классы'!$D:$D,0))&amp;"","")</f>
        <v/>
      </c>
      <c r="H462" s="4" t="inlineStr">
        <is>
          <t>не начат</t>
        </is>
      </c>
      <c r="I462" s="4" t="inlineStr">
        <is>
          <t>Spotlight / 11 класс / Module 7 · In days to come / Conditionals (Type 2)</t>
        </is>
      </c>
    </row>
    <row r="463">
      <c r="A463" s="12" t="n">
        <v>11</v>
      </c>
      <c r="B463" s="4" t="inlineStr">
        <is>
          <t>Module 7 · In days to come</t>
        </is>
      </c>
      <c r="C463" s="4" t="inlineStr">
        <is>
          <t>7c</t>
        </is>
      </c>
      <c r="D463" s="5" t="inlineStr">
        <is>
          <t>Conditionals (Type 3)</t>
        </is>
      </c>
      <c r="E463" s="12" t="inlineStr">
        <is>
          <t>10+</t>
        </is>
      </c>
      <c r="F463" s="4">
        <f>IFERROR(INDEX('Темы × классы'!$Q:$Q,MATCH(D463,'Темы × классы'!$D:$D,0)),"")</f>
        <v/>
      </c>
      <c r="G463" s="4">
        <f>IFERROR(INDEX('Темы × классы'!$R:$R,MATCH(D463,'Темы × классы'!$D:$D,0))&amp;"","")</f>
        <v/>
      </c>
      <c r="H463" s="4" t="inlineStr">
        <is>
          <t>не начат</t>
        </is>
      </c>
      <c r="I463" s="4" t="inlineStr">
        <is>
          <t>Spotlight / 11 класс / Module 7 · In days to come / Conditionals (Type 3)</t>
        </is>
      </c>
    </row>
    <row r="464">
      <c r="A464" s="12" t="n">
        <v>11</v>
      </c>
      <c r="B464" s="4" t="inlineStr">
        <is>
          <t>Module 7 · In days to come</t>
        </is>
      </c>
      <c r="C464" s="4" t="inlineStr">
        <is>
          <t>7c</t>
        </is>
      </c>
      <c r="D464" s="5" t="inlineStr">
        <is>
          <t>Wishes (I wish / If only)</t>
        </is>
      </c>
      <c r="E464" s="12" t="inlineStr">
        <is>
          <t>10+</t>
        </is>
      </c>
      <c r="F464" s="4">
        <f>IFERROR(INDEX('Темы × классы'!$Q:$Q,MATCH(D464,'Темы × классы'!$D:$D,0)),"")</f>
        <v/>
      </c>
      <c r="G464" s="4">
        <f>IFERROR(INDEX('Темы × классы'!$R:$R,MATCH(D464,'Темы × классы'!$D:$D,0))&amp;"","")</f>
        <v/>
      </c>
      <c r="H464" s="4" t="inlineStr">
        <is>
          <t>не начат</t>
        </is>
      </c>
      <c r="I464" s="4" t="inlineStr">
        <is>
          <t>Spotlight / 11 класс / Module 7 · In days to come / Wishes (I wish / If only)</t>
        </is>
      </c>
    </row>
    <row r="465">
      <c r="A465" s="12" t="n">
        <v>11</v>
      </c>
      <c r="B465" s="4" t="inlineStr">
        <is>
          <t>Module 7 · In days to come</t>
        </is>
      </c>
      <c r="C465" s="4" t="inlineStr">
        <is>
          <t>7c</t>
        </is>
      </c>
      <c r="D465" s="5" t="inlineStr">
        <is>
          <t>Conditional linkers (unless, provided…)</t>
        </is>
      </c>
      <c r="E465" s="12" t="inlineStr">
        <is>
          <t>10+</t>
        </is>
      </c>
      <c r="F465" s="4">
        <f>IFERROR(INDEX('Темы × классы'!$Q:$Q,MATCH(D465,'Темы × классы'!$D:$D,0)),"")</f>
        <v/>
      </c>
      <c r="G465" s="4">
        <f>IFERROR(INDEX('Темы × классы'!$R:$R,MATCH(D465,'Темы × классы'!$D:$D,0))&amp;"","")</f>
        <v/>
      </c>
      <c r="H465" s="4" t="inlineStr">
        <is>
          <t>не начат</t>
        </is>
      </c>
      <c r="I465" s="4" t="inlineStr">
        <is>
          <t>Spotlight / 11 класс / Module 7 · In days to come / Conditional linkers (unless, provided…)</t>
        </is>
      </c>
    </row>
    <row r="466">
      <c r="A466" s="12" t="n">
        <v>11</v>
      </c>
      <c r="B466" s="4" t="inlineStr">
        <is>
          <t>Module 7 · In days to come</t>
        </is>
      </c>
      <c r="C466" s="4" t="inlineStr">
        <is>
          <t>7c</t>
        </is>
      </c>
      <c r="D466" s="5" t="inlineStr">
        <is>
          <t>Inversion</t>
        </is>
      </c>
      <c r="E466" s="12" t="inlineStr">
        <is>
          <t>10+</t>
        </is>
      </c>
      <c r="F466" s="4">
        <f>IFERROR(INDEX('Темы × классы'!$Q:$Q,MATCH(D466,'Темы × классы'!$D:$D,0)),"")</f>
        <v/>
      </c>
      <c r="G466" s="4">
        <f>IFERROR(INDEX('Темы × классы'!$R:$R,MATCH(D466,'Темы × классы'!$D:$D,0))&amp;"","")</f>
        <v/>
      </c>
      <c r="H466" s="4" t="inlineStr">
        <is>
          <t>не начат</t>
        </is>
      </c>
      <c r="I466" s="4" t="inlineStr">
        <is>
          <t>Spotlight / 11 класс / Module 7 · In days to come / Inversion</t>
        </is>
      </c>
    </row>
    <row r="467">
      <c r="A467" s="12" t="n">
        <v>11</v>
      </c>
      <c r="B467" s="4" t="inlineStr">
        <is>
          <t>Module 7 · In days to come</t>
        </is>
      </c>
      <c r="C467" s="4" t="inlineStr">
        <is>
          <t>7c</t>
        </is>
      </c>
      <c r="D467" s="5" t="inlineStr">
        <is>
          <t>Phrasal verbs: carry</t>
        </is>
      </c>
      <c r="E467" s="12" t="inlineStr">
        <is>
          <t>10+</t>
        </is>
      </c>
      <c r="F467" s="4">
        <f>IFERROR(INDEX('Темы × классы'!$Q:$Q,MATCH(D467,'Темы × классы'!$D:$D,0)),"")</f>
        <v/>
      </c>
      <c r="G467" s="4">
        <f>IFERROR(INDEX('Темы × классы'!$R:$R,MATCH(D467,'Темы × классы'!$D:$D,0))&amp;"","")</f>
        <v/>
      </c>
      <c r="H467" s="4" t="inlineStr">
        <is>
          <t>не начат</t>
        </is>
      </c>
      <c r="I467" s="4" t="inlineStr">
        <is>
          <t>Spotlight / 11 класс / Module 7 · In days to come / Phrasal verbs: carry</t>
        </is>
      </c>
    </row>
    <row r="468">
      <c r="A468" s="12" t="n">
        <v>11</v>
      </c>
      <c r="B468" s="4" t="inlineStr">
        <is>
          <t>Module 7 · In days to come</t>
        </is>
      </c>
      <c r="C468" s="4" t="inlineStr">
        <is>
          <t>7c</t>
        </is>
      </c>
      <c r="D468" s="5" t="inlineStr">
        <is>
          <t>Dependent prepositions</t>
        </is>
      </c>
      <c r="E468" s="12" t="inlineStr">
        <is>
          <t>10+</t>
        </is>
      </c>
      <c r="F468" s="4">
        <f>IFERROR(INDEX('Темы × классы'!$Q:$Q,MATCH(D468,'Темы × классы'!$D:$D,0)),"")</f>
        <v/>
      </c>
      <c r="G468" s="4">
        <f>IFERROR(INDEX('Темы × классы'!$R:$R,MATCH(D468,'Темы × классы'!$D:$D,0))&amp;"","")</f>
        <v/>
      </c>
      <c r="H468" s="4" t="inlineStr">
        <is>
          <t>не начат</t>
        </is>
      </c>
      <c r="I468" s="4" t="inlineStr">
        <is>
          <t>Spotlight / 11 класс / Module 7 · In days to come / Dependent prepositions</t>
        </is>
      </c>
    </row>
    <row r="469">
      <c r="A469" s="12" t="n">
        <v>11</v>
      </c>
      <c r="B469" s="4" t="inlineStr">
        <is>
          <t>Module 7 · In days to come</t>
        </is>
      </c>
      <c r="C469" s="4" t="inlineStr">
        <is>
          <t>7a</t>
        </is>
      </c>
      <c r="D469" s="5" t="inlineStr">
        <is>
          <t>Idioms &amp; collocations</t>
        </is>
      </c>
      <c r="E469" s="12" t="inlineStr">
        <is>
          <t>10+</t>
        </is>
      </c>
      <c r="F469" s="4">
        <f>IFERROR(INDEX('Темы × классы'!$Q:$Q,MATCH(D469,'Темы × классы'!$D:$D,0)),"")</f>
        <v/>
      </c>
      <c r="G469" s="4">
        <f>IFERROR(INDEX('Темы × классы'!$R:$R,MATCH(D469,'Темы × классы'!$D:$D,0))&amp;"","")</f>
        <v/>
      </c>
      <c r="H469" s="4" t="inlineStr">
        <is>
          <t>не начат</t>
        </is>
      </c>
      <c r="I469" s="4" t="inlineStr">
        <is>
          <t>Spotlight / 11 класс / Module 7 · In days to come / Idioms &amp; collocations</t>
        </is>
      </c>
    </row>
    <row r="470">
      <c r="A470" s="12" t="n">
        <v>11</v>
      </c>
      <c r="B470" s="4" t="inlineStr">
        <is>
          <t>Module 8 · Travel</t>
        </is>
      </c>
      <c r="C470" s="4" t="inlineStr">
        <is>
          <t>8c</t>
        </is>
      </c>
      <c r="D470" s="5" t="inlineStr">
        <is>
          <t>Countable / Uncountable nouns</t>
        </is>
      </c>
      <c r="E470" s="12" t="inlineStr">
        <is>
          <t>10+</t>
        </is>
      </c>
      <c r="F470" s="4">
        <f>IFERROR(INDEX('Темы × классы'!$Q:$Q,MATCH(D470,'Темы × классы'!$D:$D,0)),"")</f>
        <v/>
      </c>
      <c r="G470" s="4">
        <f>IFERROR(INDEX('Темы × классы'!$R:$R,MATCH(D470,'Темы × классы'!$D:$D,0))&amp;"","")</f>
        <v/>
      </c>
      <c r="H470" s="4" t="inlineStr">
        <is>
          <t>не начат</t>
        </is>
      </c>
      <c r="I470" s="4" t="inlineStr">
        <is>
          <t>Spotlight / 11 класс / Module 8 · Travel / Countable / Uncountable nouns</t>
        </is>
      </c>
    </row>
    <row r="471">
      <c r="A471" s="12" t="n">
        <v>11</v>
      </c>
      <c r="B471" s="4" t="inlineStr">
        <is>
          <t>Module 8 · Travel</t>
        </is>
      </c>
      <c r="C471" s="4" t="inlineStr">
        <is>
          <t>8c</t>
        </is>
      </c>
      <c r="D471" s="5" t="inlineStr">
        <is>
          <t>much/many/a lot of</t>
        </is>
      </c>
      <c r="E471" s="12" t="inlineStr">
        <is>
          <t>10+</t>
        </is>
      </c>
      <c r="F471" s="4">
        <f>IFERROR(INDEX('Темы × классы'!$Q:$Q,MATCH(D471,'Темы × классы'!$D:$D,0)),"")</f>
        <v/>
      </c>
      <c r="G471" s="4">
        <f>IFERROR(INDEX('Темы × классы'!$R:$R,MATCH(D471,'Темы × классы'!$D:$D,0))&amp;"","")</f>
        <v/>
      </c>
      <c r="H471" s="4" t="inlineStr">
        <is>
          <t>не начат</t>
        </is>
      </c>
      <c r="I471" s="4" t="inlineStr">
        <is>
          <t>Spotlight / 11 класс / Module 8 · Travel / much/many/a lot of</t>
        </is>
      </c>
    </row>
    <row r="472">
      <c r="A472" s="12" t="n">
        <v>11</v>
      </c>
      <c r="B472" s="4" t="inlineStr">
        <is>
          <t>Module 8 · Travel</t>
        </is>
      </c>
      <c r="C472" s="4" t="inlineStr">
        <is>
          <t>8c</t>
        </is>
      </c>
      <c r="D472" s="5" t="inlineStr">
        <is>
          <t>a few/a little</t>
        </is>
      </c>
      <c r="E472" s="12" t="inlineStr">
        <is>
          <t>10+</t>
        </is>
      </c>
      <c r="F472" s="4">
        <f>IFERROR(INDEX('Темы × классы'!$Q:$Q,MATCH(D472,'Темы × классы'!$D:$D,0)),"")</f>
        <v/>
      </c>
      <c r="G472" s="4">
        <f>IFERROR(INDEX('Темы × классы'!$R:$R,MATCH(D472,'Темы × классы'!$D:$D,0))&amp;"","")</f>
        <v/>
      </c>
      <c r="H472" s="4" t="inlineStr">
        <is>
          <t>не начат</t>
        </is>
      </c>
      <c r="I472" s="4" t="inlineStr">
        <is>
          <t>Spotlight / 11 класс / Module 8 · Travel / a few/a little</t>
        </is>
      </c>
    </row>
    <row r="473">
      <c r="A473" s="12" t="n">
        <v>11</v>
      </c>
      <c r="B473" s="4" t="inlineStr">
        <is>
          <t>Module 8 · Travel</t>
        </is>
      </c>
      <c r="C473" s="4" t="inlineStr">
        <is>
          <t>8c</t>
        </is>
      </c>
      <c r="D473" s="5" t="inlineStr">
        <is>
          <t>Quantifiers</t>
        </is>
      </c>
      <c r="E473" s="12" t="inlineStr">
        <is>
          <t>10+</t>
        </is>
      </c>
      <c r="F473" s="4">
        <f>IFERROR(INDEX('Темы × классы'!$Q:$Q,MATCH(D473,'Темы × классы'!$D:$D,0)),"")</f>
        <v/>
      </c>
      <c r="G473" s="4">
        <f>IFERROR(INDEX('Темы × классы'!$R:$R,MATCH(D473,'Темы × классы'!$D:$D,0))&amp;"","")</f>
        <v/>
      </c>
      <c r="H473" s="4" t="inlineStr">
        <is>
          <t>не начат</t>
        </is>
      </c>
      <c r="I473" s="4" t="inlineStr">
        <is>
          <t>Spotlight / 11 класс / Module 8 · Travel / Quantifiers</t>
        </is>
      </c>
    </row>
    <row r="474">
      <c r="A474" s="12" t="n">
        <v>11</v>
      </c>
      <c r="B474" s="4" t="inlineStr">
        <is>
          <t>Module 8 · Travel</t>
        </is>
      </c>
      <c r="C474" s="4" t="inlineStr">
        <is>
          <t>8c</t>
        </is>
      </c>
      <c r="D474" s="5" t="inlineStr">
        <is>
          <t>Indefinite pronouns (some-/any-/no-/every-)</t>
        </is>
      </c>
      <c r="E474" s="12" t="inlineStr">
        <is>
          <t>10+</t>
        </is>
      </c>
      <c r="F474" s="4">
        <f>IFERROR(INDEX('Темы × классы'!$Q:$Q,MATCH(D474,'Темы × классы'!$D:$D,0)),"")</f>
        <v/>
      </c>
      <c r="G474" s="4">
        <f>IFERROR(INDEX('Темы × классы'!$R:$R,MATCH(D474,'Темы × классы'!$D:$D,0))&amp;"","")</f>
        <v/>
      </c>
      <c r="H474" s="4" t="inlineStr">
        <is>
          <t>не начат</t>
        </is>
      </c>
      <c r="I474" s="4" t="inlineStr">
        <is>
          <t>Spotlight / 11 класс / Module 8 · Travel / Indefinite pronouns (some-/any-/no-/every-)</t>
        </is>
      </c>
    </row>
    <row r="475">
      <c r="A475" s="12" t="n">
        <v>11</v>
      </c>
      <c r="B475" s="4" t="inlineStr">
        <is>
          <t>Module 8 · Travel</t>
        </is>
      </c>
      <c r="C475" s="4" t="inlineStr">
        <is>
          <t>8c</t>
        </is>
      </c>
      <c r="D475" s="5" t="inlineStr">
        <is>
          <t>Determiners (both/either/neither/all/none)</t>
        </is>
      </c>
      <c r="E475" s="12" t="inlineStr">
        <is>
          <t>10+</t>
        </is>
      </c>
      <c r="F475" s="4">
        <f>IFERROR(INDEX('Темы × классы'!$Q:$Q,MATCH(D475,'Темы × классы'!$D:$D,0)),"")</f>
        <v/>
      </c>
      <c r="G475" s="4">
        <f>IFERROR(INDEX('Темы × классы'!$R:$R,MATCH(D475,'Темы × классы'!$D:$D,0))&amp;"","")</f>
        <v/>
      </c>
      <c r="H475" s="4" t="inlineStr">
        <is>
          <t>не начат</t>
        </is>
      </c>
      <c r="I475" s="4" t="inlineStr">
        <is>
          <t>Spotlight / 11 класс / Module 8 · Travel / Determiners (both/either/neither/all/none)</t>
        </is>
      </c>
    </row>
    <row r="476">
      <c r="A476" s="12" t="n">
        <v>11</v>
      </c>
      <c r="B476" s="4" t="inlineStr">
        <is>
          <t>Module 8 · Travel</t>
        </is>
      </c>
      <c r="C476" s="4" t="inlineStr">
        <is>
          <t>8c</t>
        </is>
      </c>
      <c r="D476" s="5" t="inlineStr">
        <is>
          <t>Inversion</t>
        </is>
      </c>
      <c r="E476" s="12" t="inlineStr">
        <is>
          <t>10+</t>
        </is>
      </c>
      <c r="F476" s="4">
        <f>IFERROR(INDEX('Темы × классы'!$Q:$Q,MATCH(D476,'Темы × классы'!$D:$D,0)),"")</f>
        <v/>
      </c>
      <c r="G476" s="4">
        <f>IFERROR(INDEX('Темы × классы'!$R:$R,MATCH(D476,'Темы × классы'!$D:$D,0))&amp;"","")</f>
        <v/>
      </c>
      <c r="H476" s="4" t="inlineStr">
        <is>
          <t>не начат</t>
        </is>
      </c>
      <c r="I476" s="4" t="inlineStr">
        <is>
          <t>Spotlight / 11 класс / Module 8 · Travel / Inversion</t>
        </is>
      </c>
    </row>
    <row r="477">
      <c r="A477" s="12" t="n">
        <v>11</v>
      </c>
      <c r="B477" s="4" t="inlineStr">
        <is>
          <t>Module 8 · Travel</t>
        </is>
      </c>
      <c r="C477" s="4" t="inlineStr">
        <is>
          <t>8c</t>
        </is>
      </c>
      <c r="D477" s="5" t="inlineStr">
        <is>
          <t>So / Neither / Nor (agreement)</t>
        </is>
      </c>
      <c r="E477" s="12" t="inlineStr">
        <is>
          <t>10+</t>
        </is>
      </c>
      <c r="F477" s="4">
        <f>IFERROR(INDEX('Темы × классы'!$Q:$Q,MATCH(D477,'Темы × классы'!$D:$D,0)),"")</f>
        <v/>
      </c>
      <c r="G477" s="4">
        <f>IFERROR(INDEX('Темы × классы'!$R:$R,MATCH(D477,'Темы × классы'!$D:$D,0))&amp;"","")</f>
        <v/>
      </c>
      <c r="H477" s="4" t="inlineStr">
        <is>
          <t>не начат</t>
        </is>
      </c>
      <c r="I477" s="4" t="inlineStr">
        <is>
          <t>Spotlight / 11 класс / Module 8 · Travel / So / Neither / Nor (agreement)</t>
        </is>
      </c>
    </row>
    <row r="478">
      <c r="A478" s="12" t="n">
        <v>11</v>
      </c>
      <c r="B478" s="4" t="inlineStr">
        <is>
          <t>Module 8 · Travel</t>
        </is>
      </c>
      <c r="C478" s="4" t="inlineStr">
        <is>
          <t>8c</t>
        </is>
      </c>
      <c r="D478" s="5" t="inlineStr">
        <is>
          <t>Phrasal verbs: check</t>
        </is>
      </c>
      <c r="E478" s="12" t="inlineStr">
        <is>
          <t>10+</t>
        </is>
      </c>
      <c r="F478" s="4">
        <f>IFERROR(INDEX('Темы × классы'!$Q:$Q,MATCH(D478,'Темы × классы'!$D:$D,0)),"")</f>
        <v/>
      </c>
      <c r="G478" s="4">
        <f>IFERROR(INDEX('Темы × классы'!$R:$R,MATCH(D478,'Темы × классы'!$D:$D,0))&amp;"","")</f>
        <v/>
      </c>
      <c r="H478" s="4" t="inlineStr">
        <is>
          <t>не начат</t>
        </is>
      </c>
      <c r="I478" s="4" t="inlineStr">
        <is>
          <t>Spotlight / 11 класс / Module 8 · Travel / Phrasal verbs: check</t>
        </is>
      </c>
    </row>
    <row r="479">
      <c r="A479" s="12" t="n">
        <v>11</v>
      </c>
      <c r="B479" s="4" t="inlineStr">
        <is>
          <t>Module 8 · Travel</t>
        </is>
      </c>
      <c r="C479" s="4" t="inlineStr">
        <is>
          <t>8c</t>
        </is>
      </c>
      <c r="D479" s="5" t="inlineStr">
        <is>
          <t>Dependent prepositions</t>
        </is>
      </c>
      <c r="E479" s="12" t="inlineStr">
        <is>
          <t>10+</t>
        </is>
      </c>
      <c r="F479" s="4">
        <f>IFERROR(INDEX('Темы × классы'!$Q:$Q,MATCH(D479,'Темы × классы'!$D:$D,0)),"")</f>
        <v/>
      </c>
      <c r="G479" s="4">
        <f>IFERROR(INDEX('Темы × классы'!$R:$R,MATCH(D479,'Темы × классы'!$D:$D,0))&amp;"","")</f>
        <v/>
      </c>
      <c r="H479" s="4" t="inlineStr">
        <is>
          <t>не начат</t>
        </is>
      </c>
      <c r="I479" s="4" t="inlineStr">
        <is>
          <t>Spotlight / 11 класс / Module 8 · Travel / Dependent prepositions</t>
        </is>
      </c>
    </row>
    <row r="480">
      <c r="A480" s="12" t="n">
        <v>11</v>
      </c>
      <c r="B480" s="4" t="inlineStr">
        <is>
          <t>Module 8 · Travel</t>
        </is>
      </c>
      <c r="C480" s="4" t="inlineStr">
        <is>
          <t>8b</t>
        </is>
      </c>
      <c r="D480" s="5" t="inlineStr">
        <is>
          <t>Idioms &amp; collocations</t>
        </is>
      </c>
      <c r="E480" s="12" t="inlineStr">
        <is>
          <t>10+</t>
        </is>
      </c>
      <c r="F480" s="4">
        <f>IFERROR(INDEX('Темы × классы'!$Q:$Q,MATCH(D480,'Темы × классы'!$D:$D,0)),"")</f>
        <v/>
      </c>
      <c r="G480" s="4">
        <f>IFERROR(INDEX('Темы × классы'!$R:$R,MATCH(D480,'Темы × классы'!$D:$D,0))&amp;"","")</f>
        <v/>
      </c>
      <c r="H480" s="4" t="inlineStr">
        <is>
          <t>не начат</t>
        </is>
      </c>
      <c r="I480" s="4" t="inlineStr">
        <is>
          <t>Spotlight / 11 класс / Module 8 · Travel / Idioms &amp; collocations</t>
        </is>
      </c>
    </row>
  </sheetData>
  <autoFilter ref="A1:I480"/>
  <conditionalFormatting sqref="F2:F480">
    <cfRule type="cellIs" priority="1" operator="equal" dxfId="0">
      <formula>"есть"</formula>
    </cfRule>
    <cfRule type="cellIs" priority="2" operator="equal" dxfId="1">
      <formula>"нет"</formula>
    </cfRule>
  </conditionalFormatting>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1" customWidth="1" min="3" max="3"/>
    <col width="11" customWidth="1" min="4" max="4"/>
    <col width="11" customWidth="1" min="5" max="5"/>
    <col width="26" customWidth="1" min="6" max="6"/>
    <col width="13" customWidth="1" min="7" max="7"/>
  </cols>
  <sheetData>
    <row r="1">
      <c r="A1" s="3" t="inlineStr">
        <is>
          <t>Группа</t>
        </is>
      </c>
      <c r="B1" s="3" t="inlineStr">
        <is>
          <t>Классы</t>
        </is>
      </c>
      <c r="C1" s="3" t="inlineStr">
        <is>
          <t>Тем нужно</t>
        </is>
      </c>
      <c r="D1" s="3" t="inlineStr">
        <is>
          <t>Видео есть</t>
        </is>
      </c>
      <c r="E1" s="3" t="inlineStr">
        <is>
          <t>Видео нет</t>
        </is>
      </c>
      <c r="F1" s="3" t="inlineStr">
        <is>
          <t>Понедельников на остальные (1 вебинар группы в неделю)</t>
        </is>
      </c>
      <c r="G1" s="3" t="inlineStr">
        <is>
          <t>Папок-уроков</t>
        </is>
      </c>
    </row>
    <row r="2">
      <c r="A2" s="11" t="inlineStr">
        <is>
          <t>7–9</t>
        </is>
      </c>
      <c r="B2" s="4" t="inlineStr">
        <is>
          <t>3</t>
        </is>
      </c>
      <c r="C2" s="4">
        <f>COUNTIF('Темы × классы'!O:O,"есть")+COUNTIF('Темы × классы'!O:O,"нет")</f>
        <v/>
      </c>
      <c r="D2" s="4">
        <f>COUNTIF('Темы × классы'!O:O,"есть")</f>
        <v/>
      </c>
      <c r="E2" s="4">
        <f>COUNTIF('Темы × классы'!O:O,"нет")</f>
        <v/>
      </c>
      <c r="F2" s="4">
        <f>E2</f>
        <v/>
      </c>
      <c r="G2" s="4">
        <f>COUNTIF('Папки уроков'!E:E,"7–9")</f>
        <v/>
      </c>
    </row>
    <row r="3">
      <c r="A3" s="12" t="inlineStr">
        <is>
          <t>10+</t>
        </is>
      </c>
      <c r="B3" s="4" t="inlineStr">
        <is>
          <t>4, 5, 6, 7, 8, 9, 10, 11</t>
        </is>
      </c>
      <c r="C3" s="4">
        <f>COUNTIF('Темы × классы'!Q:Q,"есть")+COUNTIF('Темы × классы'!Q:Q,"нет")</f>
        <v/>
      </c>
      <c r="D3" s="4">
        <f>COUNTIF('Темы × классы'!Q:Q,"есть")</f>
        <v/>
      </c>
      <c r="E3" s="4">
        <f>COUNTIF('Темы × классы'!Q:Q,"нет")</f>
        <v/>
      </c>
      <c r="F3" s="4">
        <f>E3</f>
        <v/>
      </c>
      <c r="G3" s="4">
        <f>COUNTIF('Папки уроков'!E:E,"10+")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2026-10-07T18:52:34Z</dcterms:created>
  <dcterms:modified xmlns:dcterms="http://purl.org/dc/terms/" xmlns:xsi="http://www.w3.org/2001/XMLSchema-instance" xsi:type="dcterms:W3CDTF">2026-10-07T18:52:34Z</dcterms:modified>
</cp:coreProperties>
</file>